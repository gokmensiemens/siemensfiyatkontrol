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329" documentId="8_{04D112BD-6BD0-48D2-BCD0-B02DB0158664}" xr6:coauthVersionLast="47" xr6:coauthVersionMax="47" xr10:uidLastSave="{4DBD6789-8A8F-4CE7-ABC9-E50A191C12E5}"/>
  <bookViews>
    <workbookView xWindow="-120" yWindow="-120" windowWidth="29040" windowHeight="15720" xr2:uid="{1E52CA65-F887-4B64-9670-ADEB1436F142}"/>
  </bookViews>
  <sheets>
    <sheet name="Sayfa1" sheetId="13" r:id="rId1"/>
    <sheet name="Bundle Kampanya" sheetId="14" r:id="rId2"/>
    <sheet name="ÜRÜNLER" sheetId="7" r:id="rId3"/>
  </sheets>
  <definedNames>
    <definedName name="_xlnm._FilterDatabase" localSheetId="0" hidden="1">Sayfa1!$A$1:$Y$493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8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9" i="13"/>
  <c r="B490" i="13"/>
  <c r="B491" i="13"/>
  <c r="B492" i="13"/>
  <c r="B493" i="13"/>
  <c r="B2" i="13"/>
  <c r="N493" i="13"/>
  <c r="N492" i="13"/>
  <c r="N491" i="13"/>
  <c r="N490" i="13"/>
  <c r="N489" i="13"/>
  <c r="N488" i="13"/>
  <c r="N487" i="13"/>
  <c r="N486" i="13"/>
  <c r="N485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8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33" i="13" s="1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415" i="13" s="1"/>
  <c r="N381" i="13"/>
  <c r="N380" i="13"/>
  <c r="N378" i="13"/>
  <c r="N377" i="13"/>
  <c r="N376" i="13"/>
  <c r="N375" i="13"/>
  <c r="N379" i="13" s="1"/>
  <c r="N373" i="13"/>
  <c r="N372" i="13"/>
  <c r="N371" i="13"/>
  <c r="N370" i="13"/>
  <c r="N369" i="13"/>
  <c r="N368" i="13"/>
  <c r="N367" i="13"/>
  <c r="N366" i="13"/>
  <c r="N365" i="13"/>
  <c r="N364" i="13"/>
  <c r="N362" i="13"/>
  <c r="N361" i="13"/>
  <c r="N360" i="13"/>
  <c r="N359" i="13"/>
  <c r="N358" i="13"/>
  <c r="N357" i="13"/>
  <c r="N363" i="13" s="1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288" i="13"/>
  <c r="N287" i="13"/>
  <c r="N286" i="13"/>
  <c r="N285" i="13"/>
  <c r="N284" i="13"/>
  <c r="N283" i="13"/>
  <c r="N282" i="13"/>
  <c r="N281" i="13"/>
  <c r="N280" i="13"/>
  <c r="N279" i="13"/>
  <c r="N278" i="13"/>
  <c r="N289" i="13" s="1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26" i="13" s="1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208" i="13" s="1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68" i="13" s="1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N356" i="13" l="1"/>
  <c r="N49" i="13"/>
  <c r="N374" i="13"/>
  <c r="N277" i="13"/>
  <c r="N14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0" authorId="0" shapeId="0" xr:uid="{275D0A82-4353-4048-A58D-E7D4FB74D4C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<sst xmlns="http://schemas.openxmlformats.org/spreadsheetml/2006/main" count="4053" uniqueCount="1887">
  <si>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</si>
  <si>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</si>
  <si>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</si>
  <si>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</si>
  <si>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</si>
  <si>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</si>
  <si>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</si>
  <si>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</si>
  <si>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</si>
  <si>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</si>
  <si>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</si>
  <si>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</si>
  <si>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</si>
  <si>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</si>
  <si>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</si>
  <si>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</si>
  <si>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</si>
  <si>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</si>
  <si>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</si>
  <si>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</si>
  <si>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</si>
  <si>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</si>
  <si>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</si>
  <si>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</si>
  <si>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</si>
  <si>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</si>
  <si>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</si>
  <si>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</si>
  <si>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</si>
  <si>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</si>
  <si>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</si>
  <si>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</si>
  <si>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</si>
  <si>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</si>
  <si>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</si>
  <si>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</si>
  <si>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</si>
  <si>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</si>
  <si>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</si>
  <si>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</si>
  <si>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</si>
  <si>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</si>
  <si>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</si>
  <si>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</si>
  <si>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</si>
  <si>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</si>
  <si>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</si>
  <si>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</si>
  <si>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</si>
  <si>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</si>
  <si>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</si>
  <si>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</si>
  <si>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</si>
  <si>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</si>
  <si>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</si>
  <si>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</si>
  <si>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</si>
  <si>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</si>
  <si>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</si>
  <si>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</si>
  <si>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</si>
  <si>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</si>
  <si>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</si>
  <si>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</si>
  <si>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</si>
  <si>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</si>
  <si>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</si>
  <si>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</si>
  <si>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</si>
  <si>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</si>
  <si>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</si>
  <si>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</si>
  <si>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</si>
  <si>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</si>
  <si>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</si>
  <si>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</si>
  <si>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</si>
  <si>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</si>
  <si>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</si>
  <si>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</si>
  <si>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</si>
  <si>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</si>
  <si>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</si>
  <si>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</si>
  <si>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</si>
  <si>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</si>
  <si>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</si>
  <si>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</si>
  <si>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</si>
  <si>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</si>
  <si>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</si>
  <si>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</si>
  <si>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</si>
  <si>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</si>
  <si>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</si>
  <si>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</si>
  <si>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</si>
  <si>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</si>
  <si>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</si>
  <si>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</si>
  <si>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</si>
  <si>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</si>
  <si>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</si>
  <si>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</si>
  <si>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</si>
  <si>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</si>
  <si>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</si>
  <si>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</si>
  <si>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</si>
  <si>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</si>
  <si>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</si>
  <si>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</si>
  <si>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</si>
  <si>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</si>
  <si>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</si>
  <si>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</si>
  <si>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</si>
  <si>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</si>
  <si>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</si>
  <si>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</si>
  <si>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</si>
  <si>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</si>
  <si>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</si>
  <si>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</si>
  <si>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</si>
  <si>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</si>
  <si>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</si>
  <si>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</si>
  <si>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</si>
  <si>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</si>
  <si>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</si>
  <si>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</si>
  <si>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</si>
  <si>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</si>
  <si>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</si>
  <si>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</si>
  <si>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</si>
  <si>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</si>
  <si>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</si>
  <si>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</si>
  <si>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</si>
  <si>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</si>
  <si>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</si>
  <si>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</si>
  <si>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</si>
  <si>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</si>
  <si>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</si>
  <si>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</si>
  <si>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</si>
  <si>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</si>
  <si>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</si>
  <si>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</si>
  <si>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</si>
  <si>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</si>
  <si>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</si>
  <si>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</si>
  <si>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</si>
  <si>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</si>
  <si>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</si>
  <si>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</si>
  <si>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</si>
  <si>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</si>
  <si>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</si>
  <si>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</si>
  <si>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</si>
  <si>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</si>
  <si>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</si>
  <si>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</si>
  <si>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</si>
  <si>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</si>
  <si>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</si>
  <si>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</si>
  <si>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</si>
  <si>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</si>
  <si>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</si>
  <si>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</si>
  <si>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</si>
  <si>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</si>
  <si>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</si>
  <si>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</si>
  <si>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</si>
  <si>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</si>
  <si>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</si>
  <si>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</si>
  <si>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</si>
  <si>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</si>
  <si>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</si>
  <si>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</si>
  <si>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</si>
  <si>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</si>
  <si>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</si>
  <si>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</si>
  <si>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</si>
  <si>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</si>
  <si>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</si>
  <si>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</si>
  <si>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</si>
  <si>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</si>
  <si>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</si>
  <si>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</si>
  <si>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</si>
  <si>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</si>
  <si>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</si>
  <si>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</si>
  <si>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</si>
  <si>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</si>
  <si>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</si>
  <si>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</si>
  <si>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</si>
  <si>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</si>
  <si>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</si>
  <si>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</si>
  <si>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</si>
  <si>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</si>
  <si>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</si>
  <si>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</si>
  <si>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</si>
  <si>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</si>
  <si>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</si>
  <si>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</si>
  <si>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</si>
  <si>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</si>
  <si>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</si>
  <si>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</si>
  <si>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</si>
  <si>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</si>
  <si>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</si>
  <si>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</si>
  <si>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</si>
  <si>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</si>
  <si>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</si>
  <si>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</si>
  <si>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</si>
  <si>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</si>
  <si>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</si>
  <si>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</si>
  <si>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</si>
  <si>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</si>
  <si>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</si>
  <si>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</si>
  <si>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</si>
  <si>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</si>
  <si>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</si>
  <si>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</si>
  <si>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</si>
  <si>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</si>
  <si>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</si>
  <si>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</si>
  <si>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</si>
  <si>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</si>
  <si>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</si>
  <si>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</si>
  <si>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</si>
  <si>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</si>
  <si>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</si>
  <si>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</si>
  <si>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</si>
  <si>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</si>
  <si>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</si>
  <si>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</si>
  <si>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</si>
  <si>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</si>
  <si>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</si>
  <si>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</si>
  <si>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</si>
  <si>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</si>
  <si>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</si>
  <si>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</si>
  <si>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</si>
  <si>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</si>
  <si>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</si>
  <si>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</si>
  <si>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</si>
  <si>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</si>
  <si>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</si>
  <si>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</si>
  <si>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</si>
  <si>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</si>
  <si>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</si>
  <si>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</si>
  <si>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</si>
  <si>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</si>
  <si>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</si>
  <si>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</si>
  <si>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</si>
  <si>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</si>
  <si>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</si>
  <si>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</si>
  <si>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</si>
  <si>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</si>
  <si>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</si>
  <si>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</si>
  <si>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</si>
  <si>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</si>
  <si>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</si>
  <si>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</si>
  <si>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</si>
  <si>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</si>
  <si>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</si>
  <si>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</si>
  <si>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</si>
  <si>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</si>
  <si>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</si>
  <si>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</si>
  <si>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</si>
  <si>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</si>
  <si>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</si>
  <si>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</si>
  <si>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</si>
  <si>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</si>
  <si>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</si>
  <si>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</si>
  <si>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</si>
  <si>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</si>
  <si>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</si>
  <si>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</si>
  <si>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</si>
  <si>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</si>
  <si>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</si>
  <si>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</si>
  <si>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</si>
  <si>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</si>
  <si>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</si>
  <si>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</si>
  <si>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</si>
  <si>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</si>
  <si>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</si>
  <si>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</si>
  <si>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</si>
  <si>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</si>
  <si>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</si>
  <si>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</si>
  <si>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</si>
  <si>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</si>
  <si>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</si>
  <si>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</si>
  <si>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</si>
  <si>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</si>
  <si>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</si>
  <si>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</si>
  <si>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</si>
  <si>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</si>
  <si>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</si>
  <si>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</si>
  <si>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</si>
  <si>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</si>
  <si>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</si>
  <si>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</si>
  <si>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</si>
  <si>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</si>
  <si>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</si>
  <si>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</si>
  <si>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</si>
  <si>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</si>
  <si>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</si>
  <si>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</si>
  <si>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</si>
  <si>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</si>
  <si>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</si>
  <si>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</si>
  <si>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</si>
  <si>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</si>
  <si>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</si>
  <si>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</si>
  <si>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</si>
  <si>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</si>
  <si>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</si>
  <si>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</si>
  <si>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</si>
  <si>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</si>
  <si>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</si>
  <si>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</si>
  <si>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</si>
  <si>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</si>
  <si>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</si>
  <si>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</si>
  <si>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</si>
  <si>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</si>
  <si>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</si>
  <si>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</si>
  <si>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</si>
  <si>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</si>
  <si>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</si>
  <si>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</si>
  <si>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</si>
  <si>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</si>
  <si>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</si>
  <si>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</si>
  <si>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</si>
  <si>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</si>
  <si>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</si>
  <si>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</si>
  <si>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</si>
  <si>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</si>
  <si>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</si>
  <si>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</si>
  <si>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</si>
  <si>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</si>
  <si>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</si>
  <si>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</si>
  <si>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</si>
  <si>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</si>
  <si>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</si>
  <si>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</si>
  <si>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</si>
  <si>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</si>
  <si>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</si>
  <si>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</si>
  <si>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</si>
  <si>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</si>
  <si>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</si>
  <si>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</si>
  <si>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</si>
  <si>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</si>
  <si>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</si>
  <si>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</si>
  <si>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</si>
  <si>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</si>
  <si>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</si>
  <si>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</si>
  <si>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</si>
  <si>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</si>
  <si>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</si>
  <si>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</si>
  <si>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</si>
  <si>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</si>
  <si>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</si>
  <si>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</si>
  <si>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</si>
  <si>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</si>
  <si>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</si>
  <si>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</si>
  <si>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</si>
  <si>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</si>
  <si>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</si>
  <si>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</si>
  <si>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</si>
  <si>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</si>
  <si>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</si>
  <si>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</si>
  <si>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</si>
  <si>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</si>
  <si>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</si>
  <si>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</si>
  <si>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</si>
  <si>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</si>
  <si>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</si>
  <si>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</si>
  <si>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</si>
  <si>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</si>
  <si>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</si>
  <si>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</si>
  <si>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</si>
  <si>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</si>
  <si>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</si>
  <si>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</si>
  <si>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</si>
  <si>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</si>
  <si>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</si>
  <si>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</si>
  <si>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</si>
  <si>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</si>
  <si>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</si>
  <si>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</si>
  <si>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</si>
  <si>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</si>
  <si>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</si>
  <si>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</si>
  <si>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</si>
  <si>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</si>
  <si>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</si>
  <si>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</si>
  <si>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</si>
  <si>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</si>
  <si>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</si>
  <si>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</si>
  <si>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</si>
  <si>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</si>
  <si>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</si>
  <si>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</si>
  <si>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</si>
  <si>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</si>
  <si>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</si>
  <si>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</si>
  <si>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</si>
  <si>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</si>
  <si>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</si>
  <si>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</si>
  <si>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</si>
  <si>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</si>
  <si>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</si>
  <si>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</si>
  <si>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</si>
  <si>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</si>
  <si>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</si>
  <si>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</si>
  <si>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</si>
  <si>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</si>
  <si>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</si>
  <si>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</si>
  <si>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</si>
  <si>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</si>
  <si>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</si>
  <si>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</si>
  <si>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</si>
  <si>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</si>
  <si>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</si>
  <si>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</si>
  <si>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</si>
  <si>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</si>
  <si>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</si>
  <si>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</si>
  <si>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</si>
  <si>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</si>
  <si>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</si>
  <si>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</si>
  <si>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</si>
  <si>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</si>
  <si>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</si>
  <si>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</si>
  <si>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</si>
  <si>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</si>
  <si>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</si>
  <si>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</si>
  <si>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</si>
  <si>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</si>
  <si>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</si>
  <si>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</si>
  <si>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</si>
  <si>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</si>
  <si>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</si>
  <si>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</si>
  <si>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</si>
  <si>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</si>
  <si>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</si>
  <si>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</si>
  <si>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</si>
  <si>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</si>
  <si>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</si>
  <si>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</si>
  <si>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</si>
  <si>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</si>
  <si>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</si>
  <si>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</si>
  <si>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</si>
  <si>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</si>
  <si>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</si>
  <si>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</si>
  <si>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</si>
  <si>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</si>
  <si>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</si>
  <si>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</si>
  <si>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</si>
  <si>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</si>
  <si>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</si>
  <si>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</si>
  <si>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</si>
  <si>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</si>
  <si>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</si>
  <si>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</si>
  <si>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</si>
  <si>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</si>
  <si>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</si>
  <si>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</si>
  <si>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</si>
  <si>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</si>
  <si>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</si>
  <si>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</si>
  <si>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</si>
  <si>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</si>
  <si>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</si>
  <si>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</si>
  <si>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</si>
  <si>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</si>
  <si>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</si>
  <si>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</si>
  <si>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</si>
  <si>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</si>
  <si>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</si>
  <si>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</si>
  <si>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</si>
  <si>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</si>
  <si>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</si>
  <si>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</si>
  <si>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</si>
  <si>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</si>
  <si>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</si>
  <si>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</si>
  <si>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</si>
  <si>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</si>
  <si>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</si>
  <si>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</si>
  <si>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</si>
  <si>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</si>
  <si>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</si>
  <si>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</si>
  <si>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</si>
  <si>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</si>
  <si>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</si>
  <si>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</si>
  <si>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</si>
  <si>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</si>
  <si>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</si>
  <si>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</si>
  <si>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</si>
  <si>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</si>
  <si>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</si>
  <si>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</si>
  <si>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</si>
  <si>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</si>
  <si>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</si>
  <si>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</si>
  <si>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</si>
  <si>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</si>
  <si>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</si>
  <si>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</si>
  <si>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</si>
  <si>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</si>
  <si>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</si>
  <si>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</si>
  <si>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</si>
  <si>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</si>
  <si>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</si>
  <si>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</si>
  <si>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</si>
  <si>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</si>
  <si>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</si>
  <si>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</si>
  <si>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</si>
  <si>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</si>
  <si>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</si>
  <si>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</si>
  <si>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</si>
  <si>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</si>
  <si>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</si>
  <si>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</si>
  <si>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</si>
  <si>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</si>
  <si>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</si>
  <si>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</si>
  <si>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</si>
  <si>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</si>
  <si>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</si>
  <si>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</si>
  <si>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</si>
  <si>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</si>
  <si>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</si>
  <si>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</si>
  <si>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</si>
  <si>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</si>
  <si>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</si>
  <si>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</si>
  <si>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</si>
  <si>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</si>
  <si>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</si>
  <si>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</si>
  <si>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</si>
  <si>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</si>
  <si>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</si>
  <si>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</si>
  <si>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</si>
  <si>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</si>
  <si>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</si>
  <si>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</si>
  <si>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</si>
  <si>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</si>
  <si>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</si>
  <si>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</si>
  <si>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</si>
  <si>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</si>
  <si>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</si>
  <si>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</si>
  <si>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</si>
  <si>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</si>
  <si>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</si>
  <si>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</si>
  <si>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</si>
  <si>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</si>
  <si>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</si>
  <si>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</si>
  <si>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</si>
  <si>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</si>
  <si>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</si>
  <si>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</si>
  <si>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</si>
  <si>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</si>
  <si>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</si>
  <si>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</si>
  <si>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</si>
  <si>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</si>
  <si>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</si>
  <si>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</si>
  <si>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</si>
  <si>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</si>
  <si>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</si>
  <si>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</si>
  <si>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</si>
  <si>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</si>
  <si>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</si>
  <si>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</si>
  <si>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</si>
  <si>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</si>
  <si>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</si>
  <si>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</si>
  <si>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</si>
  <si>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</si>
  <si>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</si>
  <si>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</si>
  <si>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</si>
  <si>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</si>
  <si>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</si>
  <si>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</si>
  <si>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</si>
  <si>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</si>
  <si>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</si>
  <si>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</si>
  <si>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</si>
  <si>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</si>
  <si>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</si>
  <si>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</si>
  <si>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</si>
  <si>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</si>
  <si>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</si>
  <si>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</si>
  <si>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</si>
  <si>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</si>
  <si>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</si>
  <si>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</si>
  <si>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</si>
  <si>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</si>
  <si>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</si>
  <si>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</si>
  <si>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</si>
  <si>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</si>
  <si>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</si>
  <si>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</si>
  <si>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</si>
  <si>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</si>
  <si>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</si>
  <si>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</si>
  <si>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</si>
  <si>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</si>
  <si>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</si>
  <si>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</si>
  <si>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</si>
  <si>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</si>
  <si>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</si>
  <si>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</si>
  <si>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</si>
  <si>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</si>
  <si>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</si>
  <si>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</si>
  <si>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</si>
  <si>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</si>
  <si>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</si>
  <si>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</si>
  <si>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</si>
  <si>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</si>
  <si>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</si>
  <si>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</si>
  <si>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</si>
  <si>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</si>
  <si>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</si>
  <si>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</si>
  <si>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</si>
  <si>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</si>
  <si>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</si>
  <si>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</si>
  <si>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</si>
  <si>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</si>
  <si>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</si>
  <si>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</si>
  <si>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</si>
  <si>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</si>
  <si>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</si>
  <si>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</si>
  <si>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</si>
  <si>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</si>
  <si>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</si>
  <si>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</si>
  <si>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</si>
  <si>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</si>
  <si>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</si>
  <si>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</si>
  <si>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</si>
  <si>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</si>
  <si>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</si>
  <si>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</si>
  <si>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</si>
  <si>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</si>
  <si>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</si>
  <si>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</si>
  <si>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</si>
  <si>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</si>
  <si>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</si>
  <si>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</si>
  <si>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</si>
  <si>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</si>
  <si>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</si>
  <si>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</si>
  <si>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</si>
  <si>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</si>
  <si>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</si>
  <si>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</si>
  <si>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</si>
  <si>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</si>
  <si>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</si>
  <si>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</si>
  <si>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</si>
  <si>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</si>
  <si>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</si>
  <si>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</si>
  <si>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</si>
  <si>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</si>
  <si>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</si>
  <si>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</si>
  <si>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</si>
  <si>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</si>
  <si>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</si>
  <si>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</si>
  <si>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</si>
  <si>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</si>
  <si>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</si>
  <si>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</si>
  <si>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</si>
  <si>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</si>
  <si>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</si>
  <si>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</si>
  <si>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</si>
  <si>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</si>
  <si>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</si>
  <si>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</si>
  <si>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</si>
  <si>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</si>
  <si>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</si>
  <si>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</si>
  <si>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</si>
  <si>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</si>
  <si>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</si>
  <si>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</si>
  <si>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</si>
  <si>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</si>
  <si>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</si>
  <si>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</si>
  <si>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</si>
  <si>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</si>
  <si>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</si>
  <si>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</si>
  <si>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</si>
  <si>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</si>
  <si>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</si>
  <si>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</si>
  <si>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</si>
  <si>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</si>
  <si>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</si>
  <si>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</si>
  <si>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</si>
  <si>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</si>
  <si>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</si>
  <si>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</si>
  <si>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</si>
  <si>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</si>
  <si>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</si>
  <si>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</si>
  <si>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</si>
  <si>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</si>
  <si>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</si>
  <si>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</si>
  <si>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</si>
  <si>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</si>
  <si>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</si>
  <si>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</si>
  <si>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</si>
  <si>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</si>
  <si>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</si>
  <si>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</si>
  <si>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</si>
  <si>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</si>
  <si>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</si>
  <si>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</si>
  <si>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</si>
  <si>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</si>
  <si>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</si>
  <si>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</si>
  <si>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</si>
  <si>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</si>
  <si>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</si>
  <si>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</si>
  <si>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</si>
  <si>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</si>
  <si>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</si>
  <si>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</si>
  <si>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</si>
  <si>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</si>
  <si>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</si>
  <si>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</si>
  <si>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</si>
  <si>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</si>
  <si>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</si>
  <si>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</si>
  <si>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</si>
  <si>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</si>
  <si>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</si>
  <si>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</si>
  <si>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</si>
  <si>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</si>
  <si>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</si>
  <si>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</si>
  <si>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</si>
  <si>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</si>
  <si>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</si>
  <si>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</si>
  <si>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</si>
  <si>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</si>
  <si>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</si>
  <si>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</si>
  <si>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</si>
  <si>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</si>
  <si>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</si>
  <si>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</si>
  <si>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</si>
  <si>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</si>
  <si>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</si>
  <si>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</si>
  <si>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</si>
  <si>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</si>
  <si>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</si>
  <si>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</si>
  <si>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</si>
  <si>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</si>
  <si>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</si>
  <si>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</si>
  <si>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</si>
  <si>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</si>
  <si>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</si>
  <si>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</si>
  <si>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</si>
  <si>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</si>
  <si>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</si>
  <si>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</si>
  <si>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</si>
  <si>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</si>
  <si>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</si>
  <si>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</si>
  <si>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</si>
  <si>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</si>
  <si>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</si>
  <si>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</si>
  <si>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</si>
  <si>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</si>
  <si>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</si>
  <si>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</si>
  <si>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</si>
  <si>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</si>
  <si>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</si>
  <si>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</si>
  <si>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</si>
  <si>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</si>
  <si>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</si>
  <si>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</si>
  <si>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</si>
  <si>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</si>
  <si>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</si>
  <si>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</si>
  <si>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</si>
  <si>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</si>
  <si>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</si>
  <si>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</si>
  <si>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</si>
  <si>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</si>
  <si>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</si>
  <si>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</si>
  <si>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</si>
  <si>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</si>
  <si>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</si>
  <si>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</si>
  <si>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</si>
  <si>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</si>
  <si>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</si>
  <si>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</si>
  <si>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</si>
  <si>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</si>
  <si>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</si>
  <si>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</si>
  <si>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</si>
  <si>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</si>
  <si>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</si>
  <si>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</si>
  <si>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</si>
  <si>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</si>
  <si>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</si>
  <si>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</si>
  <si>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</si>
  <si>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</si>
  <si>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</si>
  <si>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</si>
  <si>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</si>
  <si>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</si>
  <si>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</si>
  <si>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</si>
  <si>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</si>
  <si>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</si>
  <si>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</si>
  <si>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</si>
  <si>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</si>
  <si>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</si>
  <si>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</si>
  <si>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</si>
  <si>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</si>
  <si>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</si>
  <si>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</si>
  <si>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</si>
  <si>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</si>
  <si>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</si>
  <si>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</si>
  <si>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</si>
  <si>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</si>
  <si>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</si>
  <si>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</si>
  <si>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</si>
  <si>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</si>
  <si>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</si>
  <si>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</si>
  <si>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</si>
  <si>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</si>
  <si>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</si>
  <si>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</si>
  <si>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</si>
  <si>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</si>
  <si>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</si>
  <si>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</si>
  <si>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</si>
  <si>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</si>
  <si>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</si>
  <si>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</si>
  <si>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</si>
  <si>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</si>
  <si>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</si>
  <si>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</si>
  <si>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</si>
  <si>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</si>
  <si>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</si>
  <si>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</si>
  <si>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</si>
  <si>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</si>
  <si>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</si>
  <si>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</si>
  <si>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</si>
  <si>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</si>
  <si>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</si>
  <si>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</si>
  <si>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</si>
  <si>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</si>
  <si>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</si>
  <si>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</si>
  <si>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</si>
  <si>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</si>
  <si>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</si>
  <si>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</si>
  <si>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</si>
  <si>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</si>
  <si>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</si>
  <si>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</si>
  <si>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</si>
  <si>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</si>
  <si>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</si>
  <si>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</si>
  <si>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</si>
  <si>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</si>
  <si>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</si>
  <si>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</si>
  <si>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</si>
  <si>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</si>
  <si>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</si>
  <si>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</si>
  <si>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</si>
  <si>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</si>
  <si>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</si>
  <si>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</si>
  <si>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</si>
  <si>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</si>
  <si>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</si>
  <si>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</si>
  <si>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</si>
  <si>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</si>
  <si>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</si>
  <si>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</si>
  <si>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</si>
  <si>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</si>
  <si>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</si>
  <si>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</si>
  <si>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</si>
  <si>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</si>
  <si>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</si>
  <si>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</si>
  <si>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</si>
  <si>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</si>
  <si>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</si>
  <si>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</si>
  <si>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</si>
  <si>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</si>
  <si>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</si>
  <si>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</si>
  <si>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</si>
  <si>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</si>
  <si>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</si>
  <si>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</si>
  <si>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</si>
  <si>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</si>
  <si>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</si>
  <si>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</si>
  <si>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</si>
  <si>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</si>
  <si>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</si>
  <si>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</si>
  <si>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</si>
  <si>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</si>
  <si>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</si>
  <si>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</si>
  <si>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</si>
  <si>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</si>
  <si>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</si>
  <si>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</si>
  <si>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</si>
  <si>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</si>
  <si>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</si>
  <si>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</si>
  <si>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</si>
  <si>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</si>
  <si>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</si>
  <si>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</si>
  <si>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</si>
  <si>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</si>
  <si>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</si>
  <si>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</si>
  <si>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</si>
  <si>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</si>
  <si>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</si>
  <si>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</si>
  <si>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</si>
  <si>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</si>
  <si>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</si>
  <si>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</si>
  <si>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</si>
  <si>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</si>
  <si>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</si>
  <si>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</si>
  <si>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</si>
  <si>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</si>
  <si>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</si>
  <si>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</si>
  <si>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</si>
  <si>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</si>
  <si>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</si>
  <si>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</si>
  <si>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</si>
  <si>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</si>
  <si>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</si>
  <si>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</si>
  <si>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</si>
  <si>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</si>
  <si>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</si>
  <si>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</si>
  <si>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</si>
  <si>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</si>
  <si>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</si>
  <si>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</si>
  <si>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</si>
  <si>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</si>
  <si>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</si>
  <si>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</si>
  <si>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</si>
  <si>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</si>
  <si>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</si>
  <si>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</si>
  <si>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</si>
  <si>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</si>
  <si>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</si>
  <si>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</si>
  <si>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</si>
  <si>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</si>
  <si>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</si>
  <si>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</si>
  <si>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</si>
  <si>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</si>
  <si>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</si>
  <si>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</si>
  <si>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</si>
  <si>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</si>
  <si>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</si>
  <si>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</si>
  <si>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</si>
  <si>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</si>
  <si>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</si>
  <si>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</si>
  <si>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</si>
  <si>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</si>
  <si>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</si>
  <si>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</si>
  <si>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</si>
  <si>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</si>
  <si>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</si>
  <si>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</si>
  <si>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</si>
  <si>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</si>
  <si>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</si>
  <si>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</si>
  <si>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</si>
  <si>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</si>
  <si>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</si>
  <si>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</si>
  <si>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</si>
  <si>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</si>
  <si>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</si>
  <si>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</si>
  <si>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</si>
  <si>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</si>
  <si>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</si>
  <si>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</si>
  <si>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</si>
  <si>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</si>
  <si>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</si>
  <si>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</si>
  <si>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</si>
  <si>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</si>
  <si>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</si>
  <si>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</si>
  <si>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</si>
  <si>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</si>
  <si>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</si>
  <si>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</si>
  <si>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</si>
  <si>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</si>
  <si>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</si>
  <si>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</si>
  <si>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</si>
  <si>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</si>
  <si>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</si>
  <si>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</si>
  <si>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</si>
  <si>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</si>
  <si>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</si>
  <si>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</si>
  <si>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</si>
  <si>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</si>
  <si>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</si>
  <si>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</si>
  <si>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</si>
  <si>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</si>
  <si>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</si>
  <si>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</si>
  <si>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</si>
  <si>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</si>
  <si>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</si>
  <si>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</si>
  <si>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</si>
  <si>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</si>
  <si>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</si>
  <si>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</si>
  <si>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</si>
  <si>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</si>
  <si>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</si>
  <si>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</si>
  <si>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</si>
  <si>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</si>
  <si>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</si>
  <si>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</si>
  <si>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</si>
  <si>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</si>
  <si>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</si>
  <si>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</si>
  <si>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</si>
  <si>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</si>
  <si>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</si>
  <si>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</si>
  <si>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</si>
  <si>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</si>
  <si>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</si>
  <si>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</si>
  <si>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</si>
  <si>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</si>
  <si>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</si>
  <si>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</si>
  <si>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</si>
  <si>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</si>
  <si>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</si>
  <si>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</si>
  <si>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</si>
  <si>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</si>
  <si>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</si>
  <si>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</si>
  <si>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</si>
  <si>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</si>
  <si>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</si>
  <si>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</si>
  <si>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</si>
  <si>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</si>
  <si>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</si>
  <si>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</si>
  <si>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</si>
  <si>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</si>
  <si>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</si>
  <si>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</si>
  <si>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</si>
  <si>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</si>
  <si>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</si>
  <si>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</si>
  <si>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</si>
  <si>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</si>
  <si>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</si>
  <si>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</si>
  <si>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</si>
  <si>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</si>
  <si>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</si>
  <si>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</si>
  <si>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</si>
  <si>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</si>
  <si>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</si>
  <si>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</si>
  <si>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</si>
  <si>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</si>
  <si>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</si>
  <si>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</si>
  <si>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</si>
  <si>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</si>
  <si>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</si>
  <si>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</si>
  <si>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</si>
  <si>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</si>
  <si>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</si>
  <si>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</si>
  <si>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</si>
  <si>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</si>
  <si>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</si>
  <si>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</si>
  <si>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</si>
  <si>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</si>
  <si>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</si>
  <si>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</si>
  <si>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</si>
  <si>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</si>
  <si>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</si>
  <si>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</si>
  <si>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</si>
  <si>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</si>
  <si>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</si>
  <si>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</si>
  <si>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</si>
  <si>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</si>
  <si>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</si>
  <si>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</si>
  <si>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</si>
  <si>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</si>
  <si>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</si>
  <si>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</si>
  <si>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</si>
  <si>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</si>
  <si>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</si>
  <si>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</si>
  <si>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</si>
  <si>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</si>
  <si>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</si>
  <si>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</si>
  <si>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</si>
  <si>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</si>
  <si>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</si>
  <si>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</si>
  <si>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</si>
  <si>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</si>
  <si>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</si>
  <si>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</si>
  <si>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</si>
  <si>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</si>
  <si>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</si>
  <si>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</si>
  <si>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</si>
  <si>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</si>
  <si>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</si>
  <si>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</si>
  <si>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</si>
  <si>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</si>
  <si>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</si>
  <si>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</si>
  <si>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</si>
  <si>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</si>
  <si>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</si>
  <si>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</si>
  <si>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</si>
  <si>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</si>
  <si>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</si>
  <si>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</si>
  <si>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</si>
  <si>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</si>
  <si>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</si>
  <si>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</si>
  <si>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</si>
  <si>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</si>
  <si>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</si>
  <si>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</si>
  <si>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</si>
  <si>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</si>
  <si>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</si>
  <si>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</si>
  <si>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</si>
  <si>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</si>
  <si>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</si>
  <si>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</si>
  <si>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</si>
  <si>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</si>
  <si>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</si>
  <si>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</si>
  <si>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</si>
  <si>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</si>
  <si>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</si>
  <si>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</si>
  <si>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</si>
  <si>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</si>
  <si>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</si>
  <si>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</si>
  <si>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</si>
  <si>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</si>
  <si>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</si>
  <si>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</si>
  <si>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</si>
  <si>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</si>
  <si>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</si>
  <si>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</si>
  <si>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</si>
  <si>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</si>
  <si>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</si>
  <si>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</si>
  <si>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</si>
  <si>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</si>
  <si>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</si>
  <si>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</si>
  <si>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</si>
  <si>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</si>
  <si>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</si>
  <si>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</si>
  <si>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</si>
  <si>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</si>
  <si>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</si>
  <si>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</si>
  <si>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</si>
  <si>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</si>
  <si>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</si>
  <si>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</si>
  <si>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</si>
  <si>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</si>
  <si>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</si>
  <si>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</si>
  <si>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</si>
  <si>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</si>
  <si>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</si>
  <si>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</si>
  <si>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</si>
  <si>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</si>
  <si>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</si>
  <si>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</si>
  <si>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</si>
  <si>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</si>
  <si>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</si>
  <si>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</si>
  <si>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</si>
  <si>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</si>
  <si>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</si>
  <si>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</si>
  <si>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</si>
  <si>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</si>
  <si>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</si>
  <si>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</si>
  <si>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</si>
  <si>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</si>
  <si>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</si>
  <si>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</si>
  <si>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</si>
  <si>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</si>
  <si>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</si>
  <si>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</si>
  <si>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</si>
  <si>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</si>
  <si>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</si>
  <si>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</si>
  <si>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</si>
  <si>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</si>
  <si>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</si>
  <si>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</si>
  <si>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</si>
  <si>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</si>
  <si>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</si>
  <si>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</si>
  <si>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</si>
  <si>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</si>
  <si>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</si>
  <si>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</si>
  <si>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</si>
  <si>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</si>
  <si>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</si>
  <si>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</si>
  <si>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</si>
  <si>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</si>
  <si>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</si>
  <si>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</si>
  <si>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</si>
  <si>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</si>
  <si>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</si>
  <si>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</si>
  <si>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</si>
  <si>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</si>
  <si>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</si>
  <si>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</si>
  <si>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</si>
  <si>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</si>
  <si>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</si>
  <si>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</si>
  <si>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</si>
  <si>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</si>
  <si>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</si>
  <si>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</si>
  <si>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</si>
  <si>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</si>
  <si>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</si>
  <si>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</si>
  <si>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</si>
  <si>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</si>
  <si>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</si>
  <si>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</si>
  <si>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</si>
  <si>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</si>
  <si>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</si>
  <si>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</si>
  <si>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</si>
  <si>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</si>
  <si>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</si>
  <si>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</si>
  <si>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</si>
  <si>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</si>
  <si>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</si>
  <si>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</si>
  <si>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</si>
  <si>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</si>
  <si>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</si>
  <si>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</si>
  <si>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</si>
  <si>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</si>
  <si>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</si>
  <si>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</si>
  <si>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</si>
  <si>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</si>
  <si>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</si>
  <si>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</si>
  <si>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</si>
  <si>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</si>
  <si>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</si>
  <si>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</si>
  <si>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</si>
  <si>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</si>
  <si>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</si>
  <si>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</si>
  <si>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</si>
  <si>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</si>
  <si>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</si>
  <si>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</si>
  <si>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</si>
  <si>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</si>
  <si>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</si>
  <si>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</si>
  <si>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</si>
  <si>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</si>
  <si>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</si>
  <si>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</si>
  <si>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</si>
  <si>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</si>
  <si>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</si>
  <si>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</si>
  <si>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</si>
  <si>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</si>
  <si>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</si>
  <si>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</si>
  <si>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</si>
  <si>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</si>
  <si>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</si>
  <si>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</si>
  <si>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</si>
  <si>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</si>
  <si>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</si>
  <si>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</si>
  <si>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</si>
  <si>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</si>
  <si>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</si>
  <si>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</si>
  <si>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</si>
  <si>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</si>
  <si>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</si>
  <si>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</si>
  <si>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</si>
  <si>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</si>
  <si>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</si>
  <si>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</si>
  <si>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</si>
  <si>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</si>
  <si>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</si>
  <si>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</si>
  <si>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</si>
  <si>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</si>
  <si>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</si>
  <si>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</si>
  <si>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</si>
  <si>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</si>
  <si>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</si>
  <si>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</si>
  <si>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</si>
  <si>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</si>
  <si>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</si>
  <si>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</si>
  <si>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</si>
  <si>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</si>
  <si>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</si>
  <si>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</si>
  <si>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</si>
  <si>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</si>
  <si>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</si>
  <si>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</si>
  <si>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</si>
  <si>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</si>
  <si>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</si>
  <si>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</si>
  <si>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</si>
  <si>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</si>
  <si>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</si>
  <si>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</si>
  <si>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</si>
  <si>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</si>
  <si>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</si>
  <si>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</si>
  <si>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</si>
  <si>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</si>
  <si>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</si>
  <si>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</si>
  <si>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</si>
  <si>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</si>
  <si>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</si>
  <si>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</si>
  <si>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</si>
  <si>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</si>
  <si>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</si>
  <si>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</si>
  <si>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</si>
  <si>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</si>
  <si>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</si>
  <si>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</si>
  <si>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</si>
  <si>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</si>
  <si>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</si>
  <si>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</si>
  <si>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</si>
  <si>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</si>
  <si>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</si>
  <si>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</si>
  <si>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</si>
  <si>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</si>
  <si>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</si>
  <si>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</si>
  <si>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</si>
  <si>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</si>
  <si>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</si>
  <si>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</si>
  <si>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</si>
  <si>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</si>
  <si>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</si>
  <si>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</si>
  <si>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</si>
  <si>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</si>
  <si>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</si>
  <si>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</si>
  <si>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</si>
  <si>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</si>
  <si>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</si>
  <si>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</si>
  <si>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</si>
  <si>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</si>
  <si>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</si>
  <si>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</si>
  <si>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</si>
  <si>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</si>
  <si>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</si>
  <si>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</si>
  <si>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</si>
  <si>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</si>
  <si>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</si>
  <si>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</si>
  <si>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</si>
  <si>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</si>
  <si>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</si>
  <si>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</si>
  <si>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</si>
  <si>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</si>
  <si>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</si>
  <si>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</si>
  <si>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</si>
  <si>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</si>
  <si>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</si>
  <si>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</si>
  <si>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</si>
  <si>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</si>
  <si>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</si>
  <si>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</si>
  <si>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</si>
  <si>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</si>
  <si>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</si>
  <si>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</si>
  <si>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</si>
  <si>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</si>
  <si>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</si>
  <si>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</si>
  <si>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</si>
  <si>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</si>
  <si>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</si>
  <si>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</si>
  <si>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</si>
  <si>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</si>
  <si>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</si>
  <si>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</si>
  <si>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</si>
  <si>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</si>
  <si>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</si>
  <si>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</si>
  <si>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</si>
  <si>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</si>
  <si>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</si>
  <si>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</si>
  <si>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</si>
  <si>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</si>
  <si>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</si>
  <si>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</si>
  <si>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</si>
  <si>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</si>
  <si>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</si>
  <si>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</si>
  <si>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</si>
  <si>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</si>
  <si>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</si>
  <si>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</si>
  <si>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</si>
  <si>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</si>
  <si>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</si>
  <si>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</si>
  <si>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</si>
  <si>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</si>
  <si>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</si>
  <si>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</si>
  <si>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</si>
  <si>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</si>
  <si>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</si>
  <si>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</si>
  <si>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</si>
  <si>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</si>
  <si>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</si>
  <si>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</si>
  <si>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</si>
  <si>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</si>
  <si>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</si>
  <si>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</si>
  <si>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</si>
  <si>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</si>
  <si>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</si>
  <si>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</si>
  <si>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</si>
  <si>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</si>
  <si>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</si>
  <si>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</si>
  <si>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</si>
  <si>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</si>
  <si>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</si>
  <si>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</si>
  <si>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</si>
  <si>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</si>
  <si>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</si>
  <si>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</si>
  <si>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</si>
  <si>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</si>
  <si>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</si>
  <si>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</si>
  <si>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</si>
  <si>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</si>
  <si>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</si>
  <si>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</si>
  <si>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</si>
  <si>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</si>
  <si>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</si>
  <si>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</si>
  <si>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</si>
  <si>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</si>
  <si>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</si>
  <si>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</si>
  <si>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</si>
  <si>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</si>
  <si>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</si>
  <si>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</si>
  <si>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</si>
  <si>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</si>
  <si>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</si>
  <si>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</si>
  <si>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</si>
  <si>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</si>
  <si>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</si>
  <si>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</si>
  <si>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</si>
  <si>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</si>
  <si>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</si>
  <si>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</si>
  <si>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</si>
  <si>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</si>
  <si>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</si>
  <si>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</si>
  <si>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</si>
  <si>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</si>
  <si>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</si>
  <si>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CEPA</t>
  </si>
  <si>
    <t>TEDARİK SORUNLU</t>
  </si>
  <si>
    <t>TP551E19</t>
  </si>
  <si>
    <t>TP553E05</t>
  </si>
  <si>
    <t>EQ500 iAroma Tam Otomatik Kahve Makinesi, Piano Black</t>
  </si>
  <si>
    <t>PRİM DAHİL</t>
  </si>
  <si>
    <t>17 EYLÜL HOROZ</t>
  </si>
  <si>
    <t>CAM OFİS KAPALI KUTU</t>
  </si>
  <si>
    <t>ÜRÜN NOTLARI</t>
  </si>
  <si>
    <t>28 EYLÜL STUDIOLINE HOROZ</t>
  </si>
  <si>
    <t>28 EYLÜL  YILDIZ DEPO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</si>
  <si>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</si>
  <si>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</si>
  <si>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</si>
  <si>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</si>
  <si>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</si>
  <si>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</si>
  <si>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</si>
  <si>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</si>
  <si>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</si>
  <si>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</si>
  <si>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EKİM TOPTAN</t>
  </si>
  <si>
    <t>EKİM BİP</t>
  </si>
  <si>
    <t>teşhir fiyatı 300 bin tl</t>
  </si>
  <si>
    <t>30.11.2026 montaj zorunlu PHASE OUT</t>
  </si>
  <si>
    <t>6 Kasım Montaj Zorunlu</t>
  </si>
  <si>
    <t>TELEVİZYON</t>
  </si>
  <si>
    <t>50PUS8349/62</t>
  </si>
  <si>
    <t>65PUS8349/62</t>
  </si>
  <si>
    <t>EP6A9HB20</t>
  </si>
  <si>
    <t>https://www.siemens-home.bsh-group.com/tr/tr/product/kampanyalar/ankastre-set-indirim/ocaklar/EP6A9HB20</t>
  </si>
  <si>
    <t>LC66GCD50T</t>
  </si>
  <si>
    <t>iQ300 Düz Davlumbaz, 60cm, 620m3, Cam Dekor Inox</t>
  </si>
  <si>
    <t>https://www.siemens-home.bsh-group.com/tr/tr/product/LC66GCD50T</t>
  </si>
  <si>
    <t>WT7WH460TR</t>
  </si>
  <si>
    <t>https://www.siemens-home.bsh-group.com/tr/tr/product/camasir-ve-kurutma-makineleri/WT7WH460TR</t>
  </si>
  <si>
    <t>KG56NUWF0N</t>
  </si>
  <si>
    <t>https://www.siemens-home.bsh-group.com/tr/tr/product/prsiemensfridge/KG56NUWF0N</t>
  </si>
  <si>
    <t>HF12G240</t>
  </si>
  <si>
    <t>iQ500 Ankastre Mikrodalga, Izgaralı, Beyaz</t>
  </si>
  <si>
    <t>https://www.siemens-home.bsh-group.com/tr/tr/product/HF12G240</t>
  </si>
  <si>
    <t>EO7C2HO12O</t>
  </si>
  <si>
    <t>https://www.siemens-home.bsh-group.com/tr/tr/product/pisirme-grubu/ocaklar/gazli-ocaklar/EO7C2HO12O</t>
  </si>
  <si>
    <t>KG56NVIF0N</t>
  </si>
  <si>
    <t>https://www.siemens-home.bsh-group.com/tr/tr/product/prsiemensfridge15/KG56NVIF0N</t>
  </si>
  <si>
    <t>EO0C6PO12O</t>
  </si>
  <si>
    <t>https://www.siemens-home.bsh-group.com/tr/tr/product/EO0C6PO12O</t>
  </si>
  <si>
    <t>EN6B2PO10O</t>
  </si>
  <si>
    <t>https://www.siemens-home.bsh-group.com/tr/tr/product/EN6B2PO10O</t>
  </si>
  <si>
    <t>8 EKİM BEKLEYEN</t>
  </si>
  <si>
    <t>KD55NNWE1N</t>
  </si>
  <si>
    <t>iQ300 Üstten Donduruculu Kulpsuz Buzdolabı, 70cm, Beyaz (TF70 Kahvaltılık Çekmeceli)</t>
  </si>
  <si>
    <t>https://www.siemens-home.bsh-group.com/tr/tr/product/buzdolaplari-ve-derin-dondurucular/solo-buzdolaplari-ve-derin-dondurucular/ustten-donduruculu-solo-buzdolaplari/KD55NNWE1N</t>
  </si>
  <si>
    <t>KD55NNLE1N</t>
  </si>
  <si>
    <t>iQ300 Üstten Donduruculu Kulpsuz Buzdolabı, 70cm, Inox Görünümlü (TF70 Kahvaltılık Çekmeceli)</t>
  </si>
  <si>
    <t>https://www.siemens-home.bsh-group.com/tr/tr/product/buzdolaplari-ve-derin-dondurucular/solo-buzdolaplari-ve-derin-dondurucular/ustten-donduruculu-solo-buzdolaplari/KD55NNLE1N</t>
  </si>
  <si>
    <t>SN23EW63MT</t>
  </si>
  <si>
    <t>iQ300 Solo Bulaşık Makinesi, autoOpen dry, Üstten Sepetli, Beyaz</t>
  </si>
  <si>
    <t>https://www.siemens-home.bsh-group.com/tr/tr/product/bulasik-makineleri/solo-bulasik-makineleri/tam-ebatli-bulasik-makineleri-60cm/SN23EW63MT</t>
  </si>
  <si>
    <t>SN23EI63MT</t>
  </si>
  <si>
    <t>iQ300 Solo Bulaşık Makinesi, autoOpen dry, Üstten Sepetli, Inox</t>
  </si>
  <si>
    <t>https://www.siemens-home.bsh-group.com/tr/tr/product/bulasik-makineleri/solo-bulasik-makineleri/tam-ebatli-bulasik-makineleri-60cm/SN23EI63MT</t>
  </si>
  <si>
    <t>SN23EI64MT</t>
  </si>
  <si>
    <t>https://www.siemens-home.bsh-group.com/tr/tr/product/bulasik-makineleri/solo-bulasik-makineleri/tam-ebatli-bulasik-makineleri-60cm/SN23EI64MT</t>
  </si>
  <si>
    <t>SN23II63KT</t>
  </si>
  <si>
    <t>https://www.siemens-home.bsh-group.com/tr/tr/product/bulasik-makineleri/solo-bulasik-makineleri/tam-ebatli-bulasik-makineleri-60cm/SN23II63KT</t>
  </si>
  <si>
    <t>SN23IW63KT</t>
  </si>
  <si>
    <t>https://www.siemens-home.bsh-group.com/tr/tr/product/bulasik-makineleri/solo-bulasik-makineleri/tam-ebatli-bulasik-makineleri-60cm/SN23IW63KT</t>
  </si>
  <si>
    <t>BEDELSİZ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</si>
</sst>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6" formatCode="&quot;₺&quot;#,##0"/>
  </numFmts>
  <fonts count="6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3" fillId="0" borderId="0"/>
    <xf numFmtId="0" fontId="1" fillId="0" borderId="0"/>
    <xf numFmtId="0" fontId="22" fillId="0" borderId="0"/>
    <xf numFmtId="0" fontId="23" fillId="0" borderId="0"/>
    <xf numFmtId="0" fontId="13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/>
    <xf numFmtId="0" fontId="2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93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49" fontId="0" fillId="0" borderId="0" xfId="0" applyNumberFormat="1"/>
    <xf numFmtId="0" fontId="24" fillId="0" borderId="0" xfId="7" applyAlignment="1">
      <alignment vertical="center"/>
    </xf>
    <xf numFmtId="0" fontId="1" fillId="0" borderId="0" xfId="9"/>
    <xf numFmtId="0" fontId="2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4" fillId="0" borderId="0" xfId="7" applyNumberFormat="1"/>
    <xf numFmtId="0" fontId="25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6" applyFont="1"/>
    <xf numFmtId="0" fontId="28" fillId="19" borderId="12" xfId="9" applyFont="1" applyFill="1" applyBorder="1" applyAlignment="1">
      <alignment horizontal="center" vertical="center"/>
    </xf>
    <xf numFmtId="49" fontId="28" fillId="1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3" fillId="0" borderId="0" xfId="11" applyNumberFormat="1"/>
    <xf numFmtId="0" fontId="24" fillId="0" borderId="0" xfId="12"/>
    <xf numFmtId="49" fontId="24" fillId="0" borderId="0" xfId="12" applyNumberFormat="1"/>
    <xf numFmtId="0" fontId="24" fillId="0" borderId="0" xfId="12" applyAlignment="1">
      <alignment vertical="center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1" fillId="0" borderId="0" xfId="0" applyFont="1"/>
    <xf numFmtId="0" fontId="19" fillId="0" borderId="0" xfId="0" applyFont="1"/>
    <xf numFmtId="0" fontId="1" fillId="0" borderId="0" xfId="0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6" fillId="0" borderId="0" xfId="0" applyFont="1"/>
    <xf numFmtId="0" fontId="40" fillId="0" borderId="0" xfId="0" applyFont="1" applyAlignment="1">
      <alignment horizontal="center"/>
    </xf>
    <xf numFmtId="0" fontId="36" fillId="0" borderId="0" xfId="0" applyFont="1"/>
    <xf numFmtId="0" fontId="37" fillId="0" borderId="0" xfId="0" applyFont="1"/>
    <xf numFmtId="0" fontId="27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1" fillId="0" borderId="0" xfId="1" applyNumberFormat="1" applyFont="1"/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17" fillId="13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30" fillId="6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0" fillId="0" borderId="0" xfId="0" applyFont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11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9" fillId="18" borderId="0" xfId="0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0" fillId="9" borderId="0" xfId="0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44" fillId="0" borderId="0" xfId="6" applyFont="1" applyAlignment="1">
      <alignment horizontal="center" vertical="center"/>
    </xf>
    <xf numFmtId="0" fontId="44" fillId="0" borderId="0" xfId="6" applyFont="1" applyAlignment="1">
      <alignment horizontal="center" vertical="center" wrapText="1"/>
    </xf>
    <xf numFmtId="1" fontId="1" fillId="0" borderId="0" xfId="9" applyNumberFormat="1" applyAlignment="1">
      <alignment horizontal="left" vertical="center"/>
    </xf>
    <xf numFmtId="0" fontId="1" fillId="0" borderId="0" xfId="9" applyAlignment="1">
      <alignment horizontal="left" vertical="center"/>
    </xf>
    <xf numFmtId="166" fontId="5" fillId="4" borderId="1" xfId="13" applyNumberFormat="1" applyFont="1" applyFill="1" applyBorder="1" applyAlignment="1">
      <alignment horizontal="center" vertical="center" wrapText="1"/>
    </xf>
    <xf numFmtId="166" fontId="21" fillId="0" borderId="1" xfId="13" applyNumberFormat="1" applyFont="1" applyFill="1" applyBorder="1" applyAlignment="1">
      <alignment horizontal="center" vertical="center" wrapText="1"/>
    </xf>
    <xf numFmtId="166" fontId="5" fillId="8" borderId="1" xfId="13" applyNumberFormat="1" applyFont="1" applyFill="1" applyBorder="1" applyAlignment="1">
      <alignment horizontal="center" vertical="center" wrapText="1"/>
    </xf>
    <xf numFmtId="166" fontId="27" fillId="15" borderId="0" xfId="13" applyNumberFormat="1" applyFont="1" applyFill="1" applyAlignment="1">
      <alignment horizontal="center" vertical="center" wrapText="1"/>
    </xf>
    <xf numFmtId="166" fontId="27" fillId="0" borderId="2" xfId="13" applyNumberFormat="1" applyFont="1" applyFill="1" applyBorder="1" applyAlignment="1">
      <alignment horizontal="center" vertical="center" wrapText="1"/>
    </xf>
    <xf numFmtId="166" fontId="8" fillId="9" borderId="0" xfId="13" applyNumberFormat="1" applyFont="1" applyFill="1" applyAlignment="1">
      <alignment horizontal="center" vertical="center" wrapText="1"/>
    </xf>
    <xf numFmtId="166" fontId="27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 wrapText="1"/>
    </xf>
    <xf numFmtId="166" fontId="10" fillId="0" borderId="0" xfId="1" applyNumberFormat="1" applyFont="1" applyFill="1" applyAlignment="1">
      <alignment horizontal="right" vertical="center" wrapText="1"/>
    </xf>
    <xf numFmtId="166" fontId="9" fillId="0" borderId="0" xfId="1" applyNumberFormat="1" applyFont="1" applyFill="1" applyAlignment="1">
      <alignment horizontal="right" vertical="center"/>
    </xf>
    <xf numFmtId="166" fontId="8" fillId="6" borderId="0" xfId="1" applyNumberFormat="1" applyFont="1" applyFill="1" applyAlignment="1">
      <alignment horizontal="right" vertical="center"/>
    </xf>
    <xf numFmtId="166" fontId="1" fillId="0" borderId="0" xfId="1" applyNumberFormat="1" applyFont="1" applyAlignment="1">
      <alignment horizontal="right"/>
    </xf>
    <xf numFmtId="166" fontId="8" fillId="9" borderId="0" xfId="1" applyNumberFormat="1" applyFont="1" applyFill="1" applyAlignment="1">
      <alignment horizontal="right" vertical="center" wrapText="1"/>
    </xf>
    <xf numFmtId="166" fontId="8" fillId="0" borderId="0" xfId="1" applyNumberFormat="1" applyFont="1" applyFill="1" applyAlignment="1">
      <alignment horizontal="right" vertical="center"/>
    </xf>
    <xf numFmtId="166" fontId="8" fillId="8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/>
    </xf>
    <xf numFmtId="166" fontId="3" fillId="0" borderId="0" xfId="1" applyNumberFormat="1" applyFont="1" applyAlignment="1">
      <alignment horizontal="right"/>
    </xf>
    <xf numFmtId="166" fontId="10" fillId="8" borderId="0" xfId="1" applyNumberFormat="1" applyFont="1" applyFill="1" applyAlignment="1">
      <alignment horizontal="right" vertical="center" wrapText="1"/>
    </xf>
    <xf numFmtId="166" fontId="8" fillId="17" borderId="0" xfId="1" applyNumberFormat="1" applyFont="1" applyFill="1" applyAlignment="1">
      <alignment horizontal="right" vertical="center" wrapText="1"/>
    </xf>
    <xf numFmtId="166" fontId="8" fillId="8" borderId="0" xfId="1" applyNumberFormat="1" applyFont="1" applyFill="1" applyAlignment="1">
      <alignment horizontal="right" vertical="center" wrapText="1"/>
    </xf>
    <xf numFmtId="166" fontId="8" fillId="17" borderId="0" xfId="1" applyNumberFormat="1" applyFont="1" applyFill="1" applyAlignment="1">
      <alignment horizontal="right" vertical="center"/>
    </xf>
    <xf numFmtId="166" fontId="1" fillId="0" borderId="0" xfId="1" applyNumberFormat="1" applyFont="1" applyFill="1" applyAlignment="1">
      <alignment horizontal="right"/>
    </xf>
    <xf numFmtId="166" fontId="8" fillId="6" borderId="0" xfId="1" applyNumberFormat="1" applyFont="1" applyFill="1" applyAlignment="1">
      <alignment horizontal="right" vertical="center" wrapText="1"/>
    </xf>
    <xf numFmtId="166" fontId="8" fillId="15" borderId="0" xfId="1" applyNumberFormat="1" applyFont="1" applyFill="1" applyAlignment="1">
      <alignment horizontal="right" vertical="center" wrapText="1"/>
    </xf>
    <xf numFmtId="166" fontId="8" fillId="9" borderId="0" xfId="1" applyNumberFormat="1" applyFont="1" applyFill="1" applyAlignment="1">
      <alignment horizontal="right" vertical="center"/>
    </xf>
    <xf numFmtId="166" fontId="41" fillId="0" borderId="0" xfId="0" applyNumberFormat="1" applyFont="1" applyAlignment="1">
      <alignment horizontal="right" vertical="center"/>
    </xf>
    <xf numFmtId="166" fontId="8" fillId="17" borderId="0" xfId="1" applyNumberFormat="1" applyFont="1" applyFill="1" applyAlignment="1">
      <alignment horizontal="right"/>
    </xf>
    <xf numFmtId="166" fontId="21" fillId="0" borderId="0" xfId="1" applyNumberFormat="1" applyFont="1" applyFill="1" applyBorder="1" applyAlignment="1">
      <alignment horizontal="right" vertical="center" wrapText="1"/>
    </xf>
    <xf numFmtId="166" fontId="8" fillId="8" borderId="1" xfId="1" applyNumberFormat="1" applyFont="1" applyFill="1" applyBorder="1" applyAlignment="1">
      <alignment horizontal="right" vertical="center" wrapText="1"/>
    </xf>
    <xf numFmtId="166" fontId="8" fillId="0" borderId="1" xfId="1" applyNumberFormat="1" applyFont="1" applyFill="1" applyBorder="1" applyAlignment="1">
      <alignment horizontal="right" vertical="center" wrapText="1"/>
    </xf>
    <xf numFmtId="166" fontId="8" fillId="0" borderId="0" xfId="1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7" xfId="6" applyFont="1" applyBorder="1" applyAlignment="1">
      <alignment horizontal="center" vertical="center" wrapText="1"/>
    </xf>
    <xf numFmtId="0" fontId="57" fillId="0" borderId="8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5" fillId="20" borderId="4" xfId="6" applyFont="1" applyFill="1" applyBorder="1" applyAlignment="1">
      <alignment horizontal="center" vertical="center" wrapText="1"/>
    </xf>
    <xf numFmtId="0" fontId="45" fillId="20" borderId="6" xfId="6" applyFont="1" applyFill="1" applyBorder="1" applyAlignment="1">
      <alignment horizontal="center" vertical="center" wrapText="1"/>
    </xf>
    <xf numFmtId="0" fontId="45" fillId="20" borderId="11" xfId="6" applyFont="1" applyFill="1" applyBorder="1" applyAlignment="1">
      <alignment horizontal="center" vertical="center" wrapText="1"/>
    </xf>
    <xf numFmtId="0" fontId="58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7" xfId="6" applyFont="1" applyBorder="1" applyAlignment="1">
      <alignment horizontal="center" vertical="center" wrapText="1"/>
    </xf>
    <xf numFmtId="0" fontId="44" fillId="0" borderId="8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51" fillId="4" borderId="3" xfId="6" applyFont="1" applyFill="1" applyBorder="1" applyAlignment="1">
      <alignment horizontal="center" vertical="center" wrapText="1"/>
    </xf>
    <xf numFmtId="0" fontId="51" fillId="4" borderId="5" xfId="6" applyFont="1" applyFill="1" applyBorder="1" applyAlignment="1">
      <alignment horizontal="center" vertical="center" wrapText="1"/>
    </xf>
    <xf numFmtId="0" fontId="51" fillId="4" borderId="7" xfId="6" applyFont="1" applyFill="1" applyBorder="1" applyAlignment="1">
      <alignment horizontal="center" vertical="center" wrapText="1"/>
    </xf>
    <xf numFmtId="0" fontId="51" fillId="4" borderId="8" xfId="6" applyFont="1" applyFill="1" applyBorder="1" applyAlignment="1">
      <alignment horizontal="center" vertical="center" wrapText="1"/>
    </xf>
    <xf numFmtId="0" fontId="51" fillId="4" borderId="9" xfId="6" applyFont="1" applyFill="1" applyBorder="1" applyAlignment="1">
      <alignment horizontal="center" vertical="center" wrapText="1"/>
    </xf>
    <xf numFmtId="0" fontId="51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51" fillId="8" borderId="3" xfId="6" applyFont="1" applyFill="1" applyBorder="1" applyAlignment="1">
      <alignment horizontal="center" vertical="center" wrapText="1"/>
    </xf>
    <xf numFmtId="0" fontId="51" fillId="8" borderId="5" xfId="6" applyFont="1" applyFill="1" applyBorder="1" applyAlignment="1">
      <alignment horizontal="center" vertical="center" wrapText="1"/>
    </xf>
    <xf numFmtId="0" fontId="51" fillId="8" borderId="9" xfId="6" applyFont="1" applyFill="1" applyBorder="1" applyAlignment="1">
      <alignment horizontal="center" vertical="center" wrapText="1"/>
    </xf>
    <xf numFmtId="0" fontId="51" fillId="8" borderId="10" xfId="6" applyFont="1" applyFill="1" applyBorder="1" applyAlignment="1">
      <alignment horizontal="center" vertical="center" wrapText="1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671" Type="http://schemas.openxmlformats.org/officeDocument/2006/relationships/hyperlink" Target="https://www.siemens-home.bsh-group.com/tr/tr/product/camasir-ve-kurutma-makineleri/WT7WH460TR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682" Type="http://schemas.openxmlformats.org/officeDocument/2006/relationships/hyperlink" Target="https://www.siemens-home.bsh-group.com/tr/tr/product/bulasik-makineleri/solo-bulasik-makineleri/tam-ebatli-bulasik-makineleri-60cm/SN23II63KT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675" Type="http://schemas.openxmlformats.org/officeDocument/2006/relationships/hyperlink" Target="https://www.siemens-home.bsh-group.com/tr/tr/product/prsiemensfridge15/KG56NVIF0N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79" Type="http://schemas.openxmlformats.org/officeDocument/2006/relationships/hyperlink" Target="https://www.siemens-home.bsh-group.com/tr/tr/product/ldaset2wm/WQ42G20RTR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hyperlink" Target="https://www.siemens-home.bsh-group.com/tr/tr/product/buzdolaplari-ve-derin-dondurucular/solo-buzdolaplari-ve-derin-dondurucular/ustten-donduruculu-solo-buzdolaplari/KD55NNLE1N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679" Type="http://schemas.openxmlformats.org/officeDocument/2006/relationships/hyperlink" Target="https://www.siemens-home.bsh-group.com/tr/tr/product/bulasik-makineleri/solo-bulasik-makineleri/tam-ebatli-bulasik-makineleri-60cm/SN23EW63MT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670" Type="http://schemas.openxmlformats.org/officeDocument/2006/relationships/hyperlink" Target="https://www.siemens-home.bsh-group.com/tr/tr/product/LC66GCD50T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681" Type="http://schemas.openxmlformats.org/officeDocument/2006/relationships/hyperlink" Target="https://www.siemens-home.bsh-group.com/tr/tr/product/bulasik-makineleri/solo-bulasik-makineleri/tam-ebatli-bulasik-makineleri-60cm/SN23EI64MT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672" Type="http://schemas.openxmlformats.org/officeDocument/2006/relationships/hyperlink" Target="https://www.siemens-home.bsh-group.com/tr/tr/product/prsiemensfridge/KG56NUWF0N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683" Type="http://schemas.openxmlformats.org/officeDocument/2006/relationships/hyperlink" Target="https://www.siemens-home.bsh-group.com/tr/tr/product/bulasik-makineleri/solo-bulasik-makineleri/tam-ebatli-bulasik-makineleri-60cm/SN23IW63KT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674" Type="http://schemas.openxmlformats.org/officeDocument/2006/relationships/hyperlink" Target="https://www.siemens-home.bsh-group.com/tr/tr/product/pisirme-grubu/ocaklar/gazli-ocaklar/EO7C2HO12O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676" Type="http://schemas.openxmlformats.org/officeDocument/2006/relationships/hyperlink" Target="https://www.siemens-home.bsh-group.com/tr/tr/product/EO0C6PO12O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78" Type="http://schemas.openxmlformats.org/officeDocument/2006/relationships/hyperlink" Target="https://www.siemens-home.bsh-group.com/tr/tr/product/buzdolaplari-ve-derin-dondurucular/solo-buzdolaplari-ve-derin-dondurucular/ustten-donduruculu-solo-buzdolaplari/KD55NNWE1N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669" Type="http://schemas.openxmlformats.org/officeDocument/2006/relationships/hyperlink" Target="https://www.siemens-home.bsh-group.com/tr/tr/product/kampanyalar/ankastre-set-indirim/ocaklar/EP6A9HB20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680" Type="http://schemas.openxmlformats.org/officeDocument/2006/relationships/hyperlink" Target="https://www.siemens-home.bsh-group.com/tr/tr/product/bulasik-makineleri/solo-bulasik-makineleri/tam-ebatli-bulasik-makineleri-60cm/SN23EI63MT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673" Type="http://schemas.openxmlformats.org/officeDocument/2006/relationships/hyperlink" Target="https://www.siemens-home.bsh-group.com/tr/tr/product/HF12G240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684" Type="http://schemas.openxmlformats.org/officeDocument/2006/relationships/printerSettings" Target="../printerSettings/printerSettings2.bin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677" Type="http://schemas.openxmlformats.org/officeDocument/2006/relationships/hyperlink" Target="https://www.siemens-home.bsh-group.com/tr/tr/product/EN6B2PO10O" TargetMode="External"/><Relationship Id="rId232" Type="http://schemas.openxmlformats.org/officeDocument/2006/relationships/hyperlink" Target="https://www.siemens-home.bsh-group.com/tr/tr/product/arsiv/HB655GNW1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537" Type="http://schemas.openxmlformats.org/officeDocument/2006/relationships/hyperlink" Target="https://www.siemens-home.bsh-group.com/tr/tr/product/prsiemenswm/WG44A2Z0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450" Type="http://schemas.openxmlformats.org/officeDocument/2006/relationships/hyperlink" Target="https://www.siemens-home.bsh-group.com/tr/tr/product/SN55ES80KT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548" Type="http://schemas.openxmlformats.org/officeDocument/2006/relationships/hyperlink" Target="https://www.siemens-home.bsh-group.com/tr/tr/product/evlilik-kampanyasi-camasir-makineleri/WG52A2XV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Y493"/>
  <sheetViews>
    <sheetView tabSelected="1" topLeftCell="B1" zoomScale="90" zoomScaleNormal="90" workbookViewId="0">
      <pane ySplit="1" topLeftCell="A2" activePane="bottomLeft" state="frozen"/>
      <selection pane="bottomLeft" activeCell="R2" sqref="R2"/>
    </sheetView>
  </sheetViews>
  <sheetFormatPr defaultColWidth="17.85546875" defaultRowHeight="17.25"/>
  <cols>
    <col min="1" max="1" width="15.42578125" style="64" customWidth="1"/>
    <col min="2" max="2" width="54" style="23" customWidth="1"/>
    <col min="3" max="3" width="6.85546875" style="12" customWidth="1"/>
    <col min="4" max="4" width="8.85546875" style="13" bestFit="1" customWidth="1"/>
    <col min="5" max="5" width="5.140625" style="14" bestFit="1" customWidth="1"/>
    <col min="6" max="6" width="6.140625" style="14" bestFit="1" customWidth="1"/>
    <col min="7" max="7" width="6.42578125" style="14" customWidth="1"/>
    <col min="8" max="8" width="4" style="14" customWidth="1"/>
    <col min="9" max="9" width="6.5703125" style="41" bestFit="1" customWidth="1"/>
    <col min="10" max="10" width="4.7109375" style="41" bestFit="1" customWidth="1"/>
    <col min="11" max="11" width="5.7109375" style="15" bestFit="1" customWidth="1"/>
    <col min="12" max="12" width="6.42578125" style="15" bestFit="1" customWidth="1"/>
    <col min="13" max="13" width="7.140625" style="41" bestFit="1" customWidth="1"/>
    <col min="14" max="14" width="6.85546875" style="48" customWidth="1"/>
    <col min="15" max="15" width="6.85546875" style="49" bestFit="1" customWidth="1"/>
    <col min="16" max="16" width="7.85546875" style="98" customWidth="1"/>
    <col min="17" max="17" width="11.42578125" style="125" customWidth="1"/>
    <col min="18" max="18" width="9.7109375" style="131" customWidth="1"/>
    <col min="19" max="19" width="11.140625" style="147" customWidth="1"/>
    <col min="20" max="20" width="10.5703125" style="147" customWidth="1"/>
    <col min="21" max="21" width="10.5703125" style="148" customWidth="1"/>
    <col min="22" max="22" width="9.85546875" style="149" bestFit="1" customWidth="1"/>
    <col min="23" max="23" width="11" style="149" customWidth="1"/>
    <col min="24" max="24" width="18" style="127" bestFit="1" customWidth="1"/>
    <col min="25" max="25" width="17.85546875" style="41"/>
  </cols>
  <sheetData>
    <row r="1" spans="1:25" s="3" customFormat="1" ht="61.5" customHeight="1">
      <c r="A1" s="99" t="s">
        <v>0</v>
      </c>
      <c r="B1" s="24" t="s">
        <v>1</v>
      </c>
      <c r="C1" s="1" t="s">
        <v>1824</v>
      </c>
      <c r="D1" s="50" t="s">
        <v>1827</v>
      </c>
      <c r="E1" s="51" t="s">
        <v>1828</v>
      </c>
      <c r="F1" s="1" t="s">
        <v>1825</v>
      </c>
      <c r="G1" s="52" t="s">
        <v>1766</v>
      </c>
      <c r="H1" s="52" t="s">
        <v>2</v>
      </c>
      <c r="I1" s="2" t="s">
        <v>1301</v>
      </c>
      <c r="J1" s="2" t="s">
        <v>1818</v>
      </c>
      <c r="K1" s="53" t="s">
        <v>1771</v>
      </c>
      <c r="L1" s="53" t="s">
        <v>3</v>
      </c>
      <c r="M1" s="2" t="s">
        <v>4</v>
      </c>
      <c r="N1" s="1" t="s">
        <v>5</v>
      </c>
      <c r="O1" s="54" t="s">
        <v>1867</v>
      </c>
      <c r="P1" s="55" t="s">
        <v>1535</v>
      </c>
      <c r="Q1" s="116" t="s">
        <v>1839</v>
      </c>
      <c r="R1" s="117" t="s">
        <v>6</v>
      </c>
      <c r="S1" s="117" t="s">
        <v>7</v>
      </c>
      <c r="T1" s="117" t="s">
        <v>1652</v>
      </c>
      <c r="U1" s="118" t="s">
        <v>1840</v>
      </c>
      <c r="V1" s="119" t="s">
        <v>1842</v>
      </c>
      <c r="W1" s="120" t="s">
        <v>459</v>
      </c>
      <c r="X1" s="121" t="s">
        <v>1772</v>
      </c>
      <c r="Y1" s="3" t="s">
        <v>1826</v>
      </c>
    </row>
    <row r="2" spans="1:25">
      <c r="A2" s="57" t="s">
        <v>8</v>
      </c>
      <c r="B2" s="36" t="str">
        <f>IFERROR(HYPERLINK(VLOOKUP(A2,ÜRÜNLER!A:C,3,FALSE),VLOOKUP(A2,ÜRÜNLER!A:B,2,FALSE)),"")</f>
        <v>iQ300 Gardırop Tipi Buzdolabı, 90.8cm, Inox</v>
      </c>
      <c r="C2" s="4"/>
      <c r="D2" s="4"/>
      <c r="E2" s="5"/>
      <c r="F2" s="5"/>
      <c r="G2" s="5"/>
      <c r="H2" s="5"/>
      <c r="I2" s="6"/>
      <c r="J2" s="6">
        <v>1</v>
      </c>
      <c r="K2" s="5"/>
      <c r="L2" s="5">
        <v>1</v>
      </c>
      <c r="M2" s="6"/>
      <c r="N2" s="39">
        <f t="shared" ref="N2:N48" si="0">M2+K2+L2+J2+I2+H2+G2+F2+E2+D2+C2</f>
        <v>2</v>
      </c>
      <c r="O2" s="40">
        <v>0</v>
      </c>
      <c r="P2" s="29"/>
      <c r="Q2" s="125" t="s">
        <v>1773</v>
      </c>
      <c r="R2" s="123">
        <v>80000</v>
      </c>
      <c r="S2" s="124">
        <v>83200</v>
      </c>
      <c r="T2" s="124">
        <v>86400</v>
      </c>
      <c r="U2" s="125"/>
      <c r="V2" s="123"/>
      <c r="W2" s="126">
        <v>1000</v>
      </c>
    </row>
    <row r="3" spans="1:25">
      <c r="A3" s="58" t="s">
        <v>9</v>
      </c>
      <c r="B3" s="36" t="str">
        <f>IFERROR(HYPERLINK(VLOOKUP(A3,ÜRÜNLER!A:C,3,FALSE),VLOOKUP(A3,ÜRÜNLER!A:B,2,FALSE)),"")</f>
        <v>iQ700 Gardırop Tipi Buzdolabı, Cam Kapı, Alkol Çekmeceli, 90.5cm, Siyah</v>
      </c>
      <c r="C3" s="4">
        <v>4</v>
      </c>
      <c r="D3" s="4"/>
      <c r="E3" s="5"/>
      <c r="F3" s="5">
        <v>1</v>
      </c>
      <c r="G3" s="5"/>
      <c r="H3" s="5"/>
      <c r="I3" s="6">
        <v>1</v>
      </c>
      <c r="J3" s="6">
        <v>1</v>
      </c>
      <c r="K3" s="5"/>
      <c r="L3" s="5"/>
      <c r="M3" s="6">
        <v>1</v>
      </c>
      <c r="N3" s="39">
        <f t="shared" si="0"/>
        <v>8</v>
      </c>
      <c r="O3" s="40">
        <v>11</v>
      </c>
      <c r="P3" s="29"/>
      <c r="Q3" s="125">
        <v>215784.16717519649</v>
      </c>
      <c r="R3" s="128">
        <v>204994.95881643667</v>
      </c>
      <c r="S3" s="124">
        <v>213194.75716909414</v>
      </c>
      <c r="T3" s="124">
        <v>221394.55552175161</v>
      </c>
      <c r="U3" s="125"/>
      <c r="V3" s="123"/>
      <c r="W3" s="129"/>
    </row>
    <row r="4" spans="1:25">
      <c r="A4" s="58" t="s">
        <v>10</v>
      </c>
      <c r="B4" s="36" t="str">
        <f>IFERROR(HYPERLINK(VLOOKUP(A4,ÜRÜNLER!A:C,3,FALSE),VLOOKUP(A4,ÜRÜNLER!A:B,2,FALSE)),"")</f>
        <v>iQ300 Gardırop Tipi Buzdolabı, 90.5cm, BlackSteel</v>
      </c>
      <c r="C4" s="4"/>
      <c r="D4" s="4"/>
      <c r="E4" s="5"/>
      <c r="F4" s="5"/>
      <c r="G4" s="5"/>
      <c r="H4" s="5"/>
      <c r="I4" s="6">
        <v>1</v>
      </c>
      <c r="J4" s="6">
        <v>1</v>
      </c>
      <c r="K4" s="5">
        <v>1</v>
      </c>
      <c r="L4" s="5">
        <v>2</v>
      </c>
      <c r="M4" s="6">
        <v>1</v>
      </c>
      <c r="N4" s="39">
        <f t="shared" si="0"/>
        <v>6</v>
      </c>
      <c r="O4" s="40">
        <v>16</v>
      </c>
      <c r="P4" s="29"/>
      <c r="Q4" s="125">
        <v>134806.50673133694</v>
      </c>
      <c r="R4" s="129">
        <v>134806.50673133694</v>
      </c>
      <c r="S4" s="124">
        <v>140198.76700059042</v>
      </c>
      <c r="T4" s="124">
        <v>145591.02726984388</v>
      </c>
      <c r="U4" s="125">
        <v>37017.154879485082</v>
      </c>
      <c r="V4" s="123"/>
      <c r="W4" s="129"/>
    </row>
    <row r="5" spans="1:25">
      <c r="A5" s="57" t="s">
        <v>11</v>
      </c>
      <c r="B5" s="36" t="str">
        <f>IFERROR(HYPERLINK(VLOOKUP(A5,ÜRÜNLER!A:C,3,FALSE),VLOOKUP(A5,ÜRÜNLER!A:B,2,FALSE)),"")</f>
        <v>iQ300 Gardırop Tipi Buzdolabı, 90.5cm, Inox</v>
      </c>
      <c r="C5" s="4">
        <v>13</v>
      </c>
      <c r="D5" s="4"/>
      <c r="E5" s="5"/>
      <c r="F5" s="5"/>
      <c r="G5" s="5"/>
      <c r="H5" s="5"/>
      <c r="I5" s="6">
        <v>1</v>
      </c>
      <c r="J5" s="6"/>
      <c r="K5" s="5"/>
      <c r="L5" s="5">
        <v>2</v>
      </c>
      <c r="M5" s="6"/>
      <c r="N5" s="39">
        <f t="shared" si="0"/>
        <v>16</v>
      </c>
      <c r="O5" s="40">
        <v>1</v>
      </c>
      <c r="P5" s="29"/>
      <c r="Q5" s="125">
        <v>118087.26901460295</v>
      </c>
      <c r="R5" s="128">
        <v>112182.9055638728</v>
      </c>
      <c r="S5" s="124">
        <v>116670.22178642772</v>
      </c>
      <c r="T5" s="124">
        <v>121157.53800898262</v>
      </c>
      <c r="U5" s="125">
        <v>22366.338782044801</v>
      </c>
      <c r="V5" s="123"/>
      <c r="W5" s="126">
        <v>250</v>
      </c>
    </row>
    <row r="6" spans="1:25">
      <c r="A6" s="57" t="s">
        <v>12</v>
      </c>
      <c r="B6" s="36" t="str">
        <f>IFERROR(HYPERLINK(VLOOKUP(A6,ÜRÜNLER!A:C,3,FALSE),VLOOKUP(A6,ÜRÜNLER!A:B,2,FALSE)),"")</f>
        <v>iQ100 Üstten Donduruculu Kulpsuz Buzdolabı, 70cm, Beyaz</v>
      </c>
      <c r="C6" s="4">
        <v>1</v>
      </c>
      <c r="D6" s="4"/>
      <c r="E6" s="5"/>
      <c r="F6" s="5"/>
      <c r="G6" s="5"/>
      <c r="H6" s="5"/>
      <c r="I6" s="6"/>
      <c r="J6" s="6"/>
      <c r="K6" s="5"/>
      <c r="L6" s="5"/>
      <c r="M6" s="6"/>
      <c r="N6" s="39">
        <f t="shared" si="0"/>
        <v>1</v>
      </c>
      <c r="O6" s="40">
        <v>0</v>
      </c>
      <c r="P6" s="59" t="s">
        <v>1536</v>
      </c>
      <c r="Q6" s="125">
        <v>35217.431778693797</v>
      </c>
      <c r="R6" s="123">
        <v>35569.606096480733</v>
      </c>
      <c r="S6" s="124">
        <v>36992.39034033996</v>
      </c>
      <c r="T6" s="124">
        <v>38415.174584199194</v>
      </c>
      <c r="U6" s="125"/>
      <c r="V6" s="123"/>
      <c r="W6" s="129"/>
    </row>
    <row r="7" spans="1:25">
      <c r="A7" s="57" t="s">
        <v>13</v>
      </c>
      <c r="B7" s="36" t="str">
        <f>IFERROR(HYPERLINK(VLOOKUP(A7,ÜRÜNLER!A:C,3,FALSE),VLOOKUP(A7,ÜRÜNLER!A:B,2,FALSE)),"")</f>
        <v>iQ300 Üstten Donduruculu Kulpsuz Buzdolabı, 70cm, Beyaz</v>
      </c>
      <c r="C7" s="4"/>
      <c r="D7" s="4"/>
      <c r="E7" s="5"/>
      <c r="F7" s="5">
        <v>1</v>
      </c>
      <c r="G7" s="5"/>
      <c r="H7" s="5"/>
      <c r="I7" s="6"/>
      <c r="J7" s="6"/>
      <c r="K7" s="5"/>
      <c r="L7" s="5"/>
      <c r="M7" s="6"/>
      <c r="N7" s="39">
        <f t="shared" si="0"/>
        <v>1</v>
      </c>
      <c r="O7" s="40">
        <v>0</v>
      </c>
      <c r="P7" s="59" t="s">
        <v>1536</v>
      </c>
      <c r="Q7" s="125" t="s">
        <v>1773</v>
      </c>
      <c r="R7" s="123">
        <v>36986.14173954296</v>
      </c>
      <c r="S7" s="124">
        <v>38465.587409124681</v>
      </c>
      <c r="T7" s="124">
        <v>39945.033078706394</v>
      </c>
      <c r="U7" s="125"/>
      <c r="V7" s="123"/>
      <c r="W7" s="129"/>
    </row>
    <row r="8" spans="1:25">
      <c r="A8" s="57" t="s">
        <v>1324</v>
      </c>
      <c r="B8" s="36" t="str">
        <f>IFERROR(HYPERLINK(VLOOKUP(A8,ÜRÜNLER!A:C,3,FALSE),VLOOKUP(A8,ÜRÜNLER!A:B,2,FALSE)),"")</f>
        <v>iQ300 Üstten Donduruculu Kulpsuz Buzdolabı, 70cm, Inox Görünümlü</v>
      </c>
      <c r="C8" s="4">
        <v>3</v>
      </c>
      <c r="D8" s="4"/>
      <c r="E8" s="5"/>
      <c r="F8" s="5"/>
      <c r="G8" s="5"/>
      <c r="H8" s="5"/>
      <c r="I8" s="6"/>
      <c r="J8" s="6"/>
      <c r="K8" s="5"/>
      <c r="L8" s="5"/>
      <c r="M8" s="6"/>
      <c r="N8" s="39">
        <f t="shared" si="0"/>
        <v>3</v>
      </c>
      <c r="O8" s="40">
        <v>0</v>
      </c>
      <c r="P8" s="59" t="s">
        <v>1536</v>
      </c>
      <c r="Q8" s="125" t="s">
        <v>1773</v>
      </c>
      <c r="R8" s="130">
        <v>43670</v>
      </c>
      <c r="S8" s="124">
        <v>45416.800000000003</v>
      </c>
      <c r="T8" s="124">
        <v>47163.6</v>
      </c>
      <c r="U8" s="125">
        <v>2879.6532942814961</v>
      </c>
      <c r="V8" s="123"/>
      <c r="W8" s="129"/>
    </row>
    <row r="9" spans="1:25">
      <c r="A9" s="57" t="s">
        <v>14</v>
      </c>
      <c r="B9" s="36" t="str">
        <f>IFERROR(HYPERLINK(VLOOKUP(A9,ÜRÜNLER!A:C,3,FALSE),VLOOKUP(A9,ÜRÜNLER!A:B,2,FALSE)),"")</f>
        <v>iQ300 Üstten Donduruculu Kulpsuz Buzdolabı, 70cm, Beyaz</v>
      </c>
      <c r="C9" s="4"/>
      <c r="D9" s="4"/>
      <c r="E9" s="5"/>
      <c r="F9" s="5"/>
      <c r="G9" s="5"/>
      <c r="H9" s="5"/>
      <c r="I9" s="6"/>
      <c r="J9" s="6"/>
      <c r="K9" s="5"/>
      <c r="L9" s="5">
        <v>1</v>
      </c>
      <c r="M9" s="6"/>
      <c r="N9" s="39">
        <f t="shared" si="0"/>
        <v>1</v>
      </c>
      <c r="O9" s="40">
        <v>0</v>
      </c>
      <c r="P9" s="29"/>
      <c r="Q9" s="125" t="s">
        <v>1773</v>
      </c>
      <c r="R9" s="131">
        <v>40000</v>
      </c>
      <c r="S9" s="124">
        <v>41600</v>
      </c>
      <c r="T9" s="124">
        <v>43200</v>
      </c>
      <c r="U9" s="125"/>
      <c r="V9" s="123"/>
      <c r="W9" s="126">
        <v>500</v>
      </c>
      <c r="Y9" s="7"/>
    </row>
    <row r="10" spans="1:25">
      <c r="A10" s="61" t="s">
        <v>16</v>
      </c>
      <c r="B10" s="36" t="str">
        <f>IFERROR(HYPERLINK(VLOOKUP(A10,ÜRÜNLER!A:C,3,FALSE),VLOOKUP(A10,ÜRÜNLER!A:B,2,FALSE)),"")</f>
        <v>iQ500 Üstten Donduruculu Kulplu Buzdolabı, 75cm, Inox</v>
      </c>
      <c r="C10" s="4">
        <v>11</v>
      </c>
      <c r="D10" s="4"/>
      <c r="E10" s="5"/>
      <c r="F10" s="5"/>
      <c r="G10" s="5"/>
      <c r="H10" s="5"/>
      <c r="I10" s="6"/>
      <c r="J10" s="6"/>
      <c r="K10" s="5"/>
      <c r="L10" s="5"/>
      <c r="M10" s="6"/>
      <c r="N10" s="39">
        <f t="shared" si="0"/>
        <v>11</v>
      </c>
      <c r="O10" s="40">
        <v>0</v>
      </c>
      <c r="P10" s="29"/>
      <c r="Q10" s="125">
        <v>84535.624718473977</v>
      </c>
      <c r="R10" s="128">
        <v>80308.843482550277</v>
      </c>
      <c r="S10" s="124">
        <v>83521.197221852286</v>
      </c>
      <c r="T10" s="124">
        <v>86733.550961154295</v>
      </c>
      <c r="U10" s="125">
        <v>12012.368904520483</v>
      </c>
      <c r="V10" s="123"/>
      <c r="W10" s="129"/>
    </row>
    <row r="11" spans="1:25">
      <c r="A11" s="61" t="s">
        <v>1538</v>
      </c>
      <c r="B11" s="36" t="str">
        <f>IFERROR(HYPERLINK(VLOOKUP(A11,ÜRÜNLER!A:C,3,FALSE),VLOOKUP(A11,ÜRÜNLER!A:B,2,FALSE)),"")</f>
        <v>iQ500 Üstten Donduruculu Kulplu Buzdolabı, 75cm, Beyaz</v>
      </c>
      <c r="C11" s="4">
        <v>5</v>
      </c>
      <c r="D11" s="4"/>
      <c r="E11" s="5"/>
      <c r="F11" s="5"/>
      <c r="G11" s="5"/>
      <c r="H11" s="5"/>
      <c r="I11" s="6"/>
      <c r="J11" s="6"/>
      <c r="K11" s="5"/>
      <c r="L11" s="5"/>
      <c r="M11" s="6"/>
      <c r="N11" s="39">
        <f t="shared" si="0"/>
        <v>5</v>
      </c>
      <c r="O11" s="40">
        <v>5</v>
      </c>
      <c r="P11" s="29"/>
      <c r="Q11" s="125">
        <v>62949.551468023252</v>
      </c>
      <c r="R11" s="128">
        <v>59802.073894622088</v>
      </c>
      <c r="S11" s="124">
        <v>62194.156850406973</v>
      </c>
      <c r="T11" s="124">
        <v>64586.239806191857</v>
      </c>
      <c r="U11" s="125"/>
      <c r="V11" s="123"/>
      <c r="W11" s="129"/>
    </row>
    <row r="12" spans="1:25">
      <c r="A12" s="60" t="s">
        <v>18</v>
      </c>
      <c r="B12" s="36" t="str">
        <f>IFERROR(HYPERLINK(VLOOKUP(A12,ÜRÜNLER!A:C,3,FALSE),VLOOKUP(A12,ÜRÜNLER!A:B,2,FALSE)),"")</f>
        <v>iQ500 Üstten Donduruculu Kulpsuz Buzdolabı, 75cm, Inox</v>
      </c>
      <c r="C12" s="4">
        <v>11</v>
      </c>
      <c r="D12" s="4"/>
      <c r="E12" s="5"/>
      <c r="F12" s="5"/>
      <c r="G12" s="5"/>
      <c r="H12" s="5"/>
      <c r="I12" s="6"/>
      <c r="J12" s="6"/>
      <c r="K12" s="5"/>
      <c r="L12" s="5"/>
      <c r="M12" s="6"/>
      <c r="N12" s="39">
        <f t="shared" si="0"/>
        <v>11</v>
      </c>
      <c r="O12" s="40">
        <v>0</v>
      </c>
      <c r="P12" s="29"/>
      <c r="Q12" s="125">
        <v>70136.480962004265</v>
      </c>
      <c r="R12" s="128">
        <v>66629.656913904051</v>
      </c>
      <c r="S12" s="124">
        <v>69294.843190460218</v>
      </c>
      <c r="T12" s="124">
        <v>71960.029467016371</v>
      </c>
      <c r="U12" s="125">
        <v>5101.5972410740287</v>
      </c>
      <c r="V12" s="123"/>
      <c r="W12" s="123"/>
    </row>
    <row r="13" spans="1:25">
      <c r="A13" s="60" t="s">
        <v>19</v>
      </c>
      <c r="B13" s="36" t="str">
        <f>IFERROR(HYPERLINK(VLOOKUP(A13,ÜRÜNLER!A:C,3,FALSE),VLOOKUP(A13,ÜRÜNLER!A:B,2,FALSE)),"")</f>
        <v>iQ300 Üstten Donduruculu, Kulpsuz Buzdolabı, 75cm, Beyaz</v>
      </c>
      <c r="C13" s="4"/>
      <c r="D13" s="4"/>
      <c r="E13" s="5"/>
      <c r="F13" s="5"/>
      <c r="G13" s="5"/>
      <c r="H13" s="5"/>
      <c r="I13" s="6">
        <v>1</v>
      </c>
      <c r="J13" s="6">
        <v>1</v>
      </c>
      <c r="K13" s="5"/>
      <c r="L13" s="5"/>
      <c r="M13" s="6">
        <v>1</v>
      </c>
      <c r="N13" s="39">
        <f t="shared" si="0"/>
        <v>3</v>
      </c>
      <c r="O13" s="40">
        <v>11</v>
      </c>
      <c r="P13" s="29"/>
      <c r="Q13" s="125">
        <v>64328.533377100357</v>
      </c>
      <c r="R13" s="128">
        <v>61112.106708245337</v>
      </c>
      <c r="S13" s="124">
        <v>63556.590976575149</v>
      </c>
      <c r="T13" s="124">
        <v>66001.075244904961</v>
      </c>
      <c r="U13" s="125">
        <v>11177.370586402678</v>
      </c>
      <c r="V13" s="123"/>
      <c r="W13" s="123"/>
    </row>
    <row r="14" spans="1:25">
      <c r="A14" s="60" t="s">
        <v>1315</v>
      </c>
      <c r="B14" s="36" t="str">
        <f>IFERROR(HYPERLINK(VLOOKUP(A14,ÜRÜNLER!A:C,3,FALSE),VLOOKUP(A14,ÜRÜNLER!A:B,2,FALSE)),"")</f>
        <v>iQ300 Üstten Donduruculu Kulpsuz Buzdolabı, 75cm, Beyaz</v>
      </c>
      <c r="C14" s="4"/>
      <c r="D14" s="4"/>
      <c r="E14" s="5"/>
      <c r="F14" s="5"/>
      <c r="G14" s="5"/>
      <c r="H14" s="5"/>
      <c r="I14" s="6"/>
      <c r="J14" s="6"/>
      <c r="K14" s="5"/>
      <c r="L14" s="5">
        <v>1</v>
      </c>
      <c r="M14" s="6"/>
      <c r="N14" s="39">
        <f t="shared" si="0"/>
        <v>1</v>
      </c>
      <c r="O14" s="40">
        <v>0</v>
      </c>
      <c r="P14" s="29"/>
      <c r="Q14" s="125" t="s">
        <v>1773</v>
      </c>
      <c r="R14" s="129">
        <v>55000</v>
      </c>
      <c r="S14" s="124">
        <v>57200</v>
      </c>
      <c r="T14" s="124">
        <v>59400</v>
      </c>
      <c r="U14" s="125"/>
      <c r="V14" s="123"/>
      <c r="W14" s="126">
        <v>500</v>
      </c>
    </row>
    <row r="15" spans="1:25">
      <c r="A15" s="60" t="s">
        <v>1783</v>
      </c>
      <c r="B15" s="36" t="str">
        <f>IFERROR(HYPERLINK(VLOOKUP(A15,ÜRÜNLER!A:C,3,FALSE),VLOOKUP(A15,ÜRÜNLER!A:B,2,FALSE)),"")</f>
        <v>iQ300 Üstten Donduruculu Kulpsuz Buzdolabı, 75cm, Beyaz</v>
      </c>
      <c r="C15" s="4"/>
      <c r="D15" s="4"/>
      <c r="E15" s="5"/>
      <c r="F15" s="5"/>
      <c r="G15" s="5"/>
      <c r="H15" s="5"/>
      <c r="I15" s="6"/>
      <c r="J15" s="6"/>
      <c r="K15" s="5"/>
      <c r="L15" s="5"/>
      <c r="M15" s="6"/>
      <c r="N15" s="39">
        <f t="shared" si="0"/>
        <v>0</v>
      </c>
      <c r="O15" s="40">
        <v>0</v>
      </c>
      <c r="P15" s="29"/>
      <c r="Q15" s="125">
        <v>56792.905181497161</v>
      </c>
      <c r="R15" s="129">
        <v>56793</v>
      </c>
      <c r="S15" s="124">
        <v>59064.72</v>
      </c>
      <c r="T15" s="124">
        <v>61336.44</v>
      </c>
      <c r="U15" s="125">
        <v>5920.8121582413442</v>
      </c>
      <c r="V15" s="123"/>
      <c r="W15" s="123"/>
    </row>
    <row r="16" spans="1:25">
      <c r="A16" s="57" t="s">
        <v>20</v>
      </c>
      <c r="B16" s="36" t="str">
        <f>IFERROR(HYPERLINK(VLOOKUP(A16,ÜRÜNLER!A:C,3,FALSE),VLOOKUP(A16,ÜRÜNLER!A:B,2,FALSE)),"")</f>
        <v>iQ500 Üstten Donduruculu Kulplu Buzdolabı, 86cm, Inox</v>
      </c>
      <c r="C16" s="4">
        <v>9</v>
      </c>
      <c r="D16" s="4"/>
      <c r="E16" s="5">
        <v>1</v>
      </c>
      <c r="F16" s="5"/>
      <c r="G16" s="5"/>
      <c r="H16" s="5"/>
      <c r="I16" s="6">
        <v>1</v>
      </c>
      <c r="J16" s="6">
        <v>1</v>
      </c>
      <c r="K16" s="5">
        <v>1</v>
      </c>
      <c r="L16" s="5"/>
      <c r="M16" s="6"/>
      <c r="N16" s="39">
        <f t="shared" si="0"/>
        <v>13</v>
      </c>
      <c r="O16" s="40">
        <v>0</v>
      </c>
      <c r="P16" s="29"/>
      <c r="Q16" s="125">
        <v>98053.757359079536</v>
      </c>
      <c r="R16" s="128">
        <v>93151.069491125556</v>
      </c>
      <c r="S16" s="124">
        <v>96877.11227077058</v>
      </c>
      <c r="T16" s="124">
        <v>100603.1550504156</v>
      </c>
      <c r="U16" s="125">
        <v>19751.431777684178</v>
      </c>
      <c r="V16" s="123"/>
      <c r="W16" s="129"/>
    </row>
    <row r="17" spans="1:25">
      <c r="A17" s="57" t="s">
        <v>23</v>
      </c>
      <c r="B17" s="36" t="str">
        <f>IFERROR(HYPERLINK(VLOOKUP(A17,ÜRÜNLER!A:C,3,FALSE),VLOOKUP(A17,ÜRÜNLER!A:B,2,FALSE)),"")</f>
        <v>iQ500 Üstten Donduruculu Kulplu Buzdolabı, 86cm, Beyaz</v>
      </c>
      <c r="C17" s="4">
        <v>1</v>
      </c>
      <c r="D17" s="4"/>
      <c r="E17" s="5"/>
      <c r="F17" s="5"/>
      <c r="G17" s="5"/>
      <c r="H17" s="5"/>
      <c r="I17" s="6"/>
      <c r="J17" s="6"/>
      <c r="K17" s="5"/>
      <c r="L17" s="5"/>
      <c r="M17" s="6"/>
      <c r="N17" s="39">
        <f t="shared" si="0"/>
        <v>1</v>
      </c>
      <c r="O17" s="40">
        <v>10</v>
      </c>
      <c r="P17" s="29"/>
      <c r="Q17" s="125">
        <v>85320.530544562032</v>
      </c>
      <c r="R17" s="128">
        <v>81054.504017333937</v>
      </c>
      <c r="S17" s="124">
        <v>84296.684178027295</v>
      </c>
      <c r="T17" s="124">
        <v>87538.864338720654</v>
      </c>
      <c r="U17" s="125">
        <v>12797.274730608538</v>
      </c>
      <c r="V17" s="123"/>
      <c r="W17" s="129"/>
    </row>
    <row r="18" spans="1:25" s="7" customFormat="1">
      <c r="A18" s="57" t="s">
        <v>24</v>
      </c>
      <c r="B18" s="36" t="str">
        <f>IFERROR(HYPERLINK(VLOOKUP(A18,ÜRÜNLER!A:C,3,FALSE),VLOOKUP(A18,ÜRÜNLER!A:B,2,FALSE)),"")</f>
        <v>iQ500 Üstten Donduruculu Kulplu Buzdolabı, 86cm, Inox</v>
      </c>
      <c r="C18" s="4"/>
      <c r="D18" s="4"/>
      <c r="E18" s="5"/>
      <c r="F18" s="5"/>
      <c r="G18" s="5"/>
      <c r="H18" s="5"/>
      <c r="I18" s="6"/>
      <c r="J18" s="6"/>
      <c r="K18" s="5"/>
      <c r="L18" s="5">
        <v>1</v>
      </c>
      <c r="M18" s="6"/>
      <c r="N18" s="39">
        <f t="shared" si="0"/>
        <v>1</v>
      </c>
      <c r="O18" s="40">
        <v>0</v>
      </c>
      <c r="P18" s="29"/>
      <c r="Q18" s="125" t="s">
        <v>1773</v>
      </c>
      <c r="R18" s="131">
        <v>55000</v>
      </c>
      <c r="S18" s="124">
        <v>57200</v>
      </c>
      <c r="T18" s="124">
        <v>59400</v>
      </c>
      <c r="U18" s="125"/>
      <c r="V18" s="123"/>
      <c r="W18" s="126">
        <v>500</v>
      </c>
      <c r="X18" s="127"/>
      <c r="Y18" s="41"/>
    </row>
    <row r="19" spans="1:25">
      <c r="A19" s="60" t="s">
        <v>25</v>
      </c>
      <c r="B19" s="36" t="str">
        <f>IFERROR(HYPERLINK(VLOOKUP(A19,ÜRÜNLER!A:C,3,FALSE),VLOOKUP(A19,ÜRÜNLER!A:B,2,FALSE)),"")</f>
        <v>iQ100 Alttan Donduruculu Kulpsuz Buzdolabı, 60cm, Inox</v>
      </c>
      <c r="C19" s="4"/>
      <c r="D19" s="4"/>
      <c r="E19" s="5"/>
      <c r="F19" s="5"/>
      <c r="G19" s="5"/>
      <c r="H19" s="5"/>
      <c r="I19" s="6"/>
      <c r="J19" s="6"/>
      <c r="K19" s="5"/>
      <c r="L19" s="5"/>
      <c r="M19" s="6"/>
      <c r="N19" s="39">
        <f t="shared" si="0"/>
        <v>0</v>
      </c>
      <c r="O19" s="40">
        <v>0</v>
      </c>
      <c r="P19" s="29"/>
      <c r="Q19" s="125" t="s">
        <v>1773</v>
      </c>
      <c r="R19" s="131">
        <v>40000</v>
      </c>
      <c r="S19" s="124">
        <v>41600</v>
      </c>
      <c r="T19" s="124">
        <v>43200</v>
      </c>
      <c r="U19" s="125"/>
      <c r="V19" s="123"/>
      <c r="W19" s="126">
        <v>500</v>
      </c>
    </row>
    <row r="20" spans="1:25">
      <c r="A20" s="57" t="s">
        <v>26</v>
      </c>
      <c r="B20" s="36" t="str">
        <f>IFERROR(HYPERLINK(VLOOKUP(A20,ÜRÜNLER!A:C,3,FALSE),VLOOKUP(A20,ÜRÜNLER!A:B,2,FALSE)),"")</f>
        <v>iQ300 Alttan Donduruculu Kulpsuz Buzdolabı, 70cm, Inox</v>
      </c>
      <c r="C20" s="4">
        <v>55</v>
      </c>
      <c r="D20" s="4"/>
      <c r="E20" s="5">
        <v>4</v>
      </c>
      <c r="F20" s="5"/>
      <c r="G20" s="5"/>
      <c r="H20" s="5"/>
      <c r="I20" s="6">
        <v>1</v>
      </c>
      <c r="J20" s="6">
        <v>1</v>
      </c>
      <c r="K20" s="5"/>
      <c r="L20" s="5">
        <v>1</v>
      </c>
      <c r="M20" s="6">
        <v>1</v>
      </c>
      <c r="N20" s="39">
        <f t="shared" si="0"/>
        <v>63</v>
      </c>
      <c r="O20" s="40">
        <v>0</v>
      </c>
      <c r="P20" s="29"/>
      <c r="Q20" s="125">
        <v>65373.710842426284</v>
      </c>
      <c r="R20" s="128">
        <v>62105.025300304973</v>
      </c>
      <c r="S20" s="124">
        <v>64589.226312317172</v>
      </c>
      <c r="T20" s="124">
        <v>67073.427324329372</v>
      </c>
      <c r="U20" s="125">
        <v>15803.943400565811</v>
      </c>
      <c r="V20" s="123"/>
      <c r="W20" s="129"/>
      <c r="Y20" s="108"/>
    </row>
    <row r="21" spans="1:25">
      <c r="A21" s="57" t="s">
        <v>27</v>
      </c>
      <c r="B21" s="36" t="str">
        <f>IFERROR(HYPERLINK(VLOOKUP(A21,ÜRÜNLER!A:C,3,FALSE),VLOOKUP(A21,ÜRÜNLER!A:B,2,FALSE)),"")</f>
        <v>iQ300 Alttan Donduruculu Kulpsuz Buzdolabı, 70cm, Beyaz</v>
      </c>
      <c r="C21" s="4">
        <v>75</v>
      </c>
      <c r="D21" s="4"/>
      <c r="E21" s="5"/>
      <c r="F21" s="5"/>
      <c r="G21" s="5"/>
      <c r="H21" s="5"/>
      <c r="I21" s="6">
        <v>1</v>
      </c>
      <c r="J21" s="6"/>
      <c r="K21" s="5">
        <v>1</v>
      </c>
      <c r="L21" s="5">
        <v>2</v>
      </c>
      <c r="M21" s="6"/>
      <c r="N21" s="39">
        <f t="shared" si="0"/>
        <v>79</v>
      </c>
      <c r="O21" s="40">
        <v>0</v>
      </c>
      <c r="P21" s="29"/>
      <c r="Q21" s="125">
        <v>60461.404943148395</v>
      </c>
      <c r="R21" s="128">
        <v>57438.334695990976</v>
      </c>
      <c r="S21" s="124">
        <v>59735.868083830617</v>
      </c>
      <c r="T21" s="124">
        <v>62033.401471670251</v>
      </c>
      <c r="U21" s="125">
        <v>12845.125873380952</v>
      </c>
      <c r="V21" s="123"/>
      <c r="W21" s="129"/>
      <c r="Y21" s="108"/>
    </row>
    <row r="22" spans="1:25">
      <c r="A22" s="57" t="s">
        <v>28</v>
      </c>
      <c r="B22" s="36" t="str">
        <f>IFERROR(HYPERLINK(VLOOKUP(A22,ÜRÜNLER!A:C,3,FALSE),VLOOKUP(A22,ÜRÜNLER!A:B,2,FALSE)),"")</f>
        <v>iQ300 Alttan Donduruculu Kulpsuz Buzdolabı, 70cm, Inox</v>
      </c>
      <c r="C22" s="4"/>
      <c r="D22" s="4"/>
      <c r="E22" s="5">
        <v>1</v>
      </c>
      <c r="F22" s="5"/>
      <c r="G22" s="5"/>
      <c r="H22" s="5"/>
      <c r="I22" s="6"/>
      <c r="J22" s="6"/>
      <c r="K22" s="5"/>
      <c r="L22" s="5">
        <v>1</v>
      </c>
      <c r="M22" s="6"/>
      <c r="N22" s="39">
        <f t="shared" si="0"/>
        <v>2</v>
      </c>
      <c r="O22" s="40">
        <v>0</v>
      </c>
      <c r="P22" s="29"/>
      <c r="Q22" s="125" t="s">
        <v>1773</v>
      </c>
      <c r="R22" s="123">
        <v>55000</v>
      </c>
      <c r="S22" s="124">
        <v>57200</v>
      </c>
      <c r="T22" s="124">
        <v>59400</v>
      </c>
      <c r="U22" s="125">
        <v>6001.9872159182569</v>
      </c>
      <c r="V22" s="123"/>
      <c r="W22" s="123"/>
    </row>
    <row r="23" spans="1:25">
      <c r="A23" s="57" t="s">
        <v>29</v>
      </c>
      <c r="B23" s="36" t="str">
        <f>IFERROR(HYPERLINK(VLOOKUP(A23,ÜRÜNLER!A:C,3,FALSE),VLOOKUP(A23,ÜRÜNLER!A:B,2,FALSE)),"")</f>
        <v>iQ300 Alttan Donduruculu Kulpsuz Buzdolabı, 70cm, Beyaz</v>
      </c>
      <c r="C23" s="4"/>
      <c r="D23" s="4"/>
      <c r="E23" s="5">
        <v>1</v>
      </c>
      <c r="F23" s="5"/>
      <c r="G23" s="5"/>
      <c r="H23" s="5"/>
      <c r="I23" s="6"/>
      <c r="J23" s="6"/>
      <c r="K23" s="5"/>
      <c r="L23" s="5">
        <v>1</v>
      </c>
      <c r="M23" s="6"/>
      <c r="N23" s="39">
        <f t="shared" si="0"/>
        <v>2</v>
      </c>
      <c r="O23" s="40">
        <v>0</v>
      </c>
      <c r="P23" s="29"/>
      <c r="Q23" s="125" t="s">
        <v>1773</v>
      </c>
      <c r="R23" s="123">
        <v>44500</v>
      </c>
      <c r="S23" s="124">
        <v>46280</v>
      </c>
      <c r="T23" s="124">
        <v>48060</v>
      </c>
      <c r="U23" s="125">
        <v>2497.0134408368249</v>
      </c>
      <c r="V23" s="123"/>
      <c r="W23" s="126">
        <v>500</v>
      </c>
    </row>
    <row r="24" spans="1:25" s="42" customFormat="1">
      <c r="A24" s="61" t="s">
        <v>1784</v>
      </c>
      <c r="B24" s="36" t="str">
        <f>IFERROR(HYPERLINK(VLOOKUP(A24,ÜRÜNLER!A:C,3,FALSE),VLOOKUP(A24,ÜRÜNLER!A:B,2,FALSE)),"")</f>
        <v>iQ300 Alttan Donduruculu Kulpsuz Buzdolabı, 70cm, Inox (Wi-Fi)</v>
      </c>
      <c r="C24" s="4">
        <v>3</v>
      </c>
      <c r="D24" s="4"/>
      <c r="E24" s="5"/>
      <c r="F24" s="5"/>
      <c r="G24" s="5"/>
      <c r="H24" s="5"/>
      <c r="I24" s="6"/>
      <c r="J24" s="6"/>
      <c r="K24" s="5"/>
      <c r="L24" s="5"/>
      <c r="M24" s="6"/>
      <c r="N24" s="39">
        <f t="shared" si="0"/>
        <v>3</v>
      </c>
      <c r="O24" s="40">
        <v>0</v>
      </c>
      <c r="P24" s="29"/>
      <c r="Q24" s="125">
        <v>60254.001126083655</v>
      </c>
      <c r="R24" s="128">
        <v>57241.301069779474</v>
      </c>
      <c r="S24" s="123">
        <v>59530.953112570656</v>
      </c>
      <c r="T24" s="123">
        <v>61820.605155361831</v>
      </c>
      <c r="U24" s="125">
        <v>3277.2569400371435</v>
      </c>
      <c r="V24" s="123"/>
      <c r="W24" s="129"/>
      <c r="X24" s="132"/>
      <c r="Y24" s="7"/>
    </row>
    <row r="25" spans="1:25" s="42" customFormat="1">
      <c r="A25" s="61" t="s">
        <v>1785</v>
      </c>
      <c r="B25" s="36" t="str">
        <f>IFERROR(HYPERLINK(VLOOKUP(A25,ÜRÜNLER!A:C,3,FALSE),VLOOKUP(A25,ÜRÜNLER!A:B,2,FALSE)),"")</f>
        <v>iQ300 Alttan Donduruculu Kulpsuz Buzdolabı, 70cm, Beyaz (Wi-Fi)</v>
      </c>
      <c r="C25" s="4">
        <v>2</v>
      </c>
      <c r="D25" s="4"/>
      <c r="E25" s="5"/>
      <c r="F25" s="5"/>
      <c r="G25" s="5"/>
      <c r="H25" s="5"/>
      <c r="I25" s="6"/>
      <c r="J25" s="6"/>
      <c r="K25" s="5"/>
      <c r="L25" s="5"/>
      <c r="M25" s="6"/>
      <c r="N25" s="39">
        <f t="shared" si="0"/>
        <v>2</v>
      </c>
      <c r="O25" s="40">
        <v>0</v>
      </c>
      <c r="P25" s="29"/>
      <c r="Q25" s="125">
        <v>55360.410160065025</v>
      </c>
      <c r="R25" s="128">
        <v>52592.389652061771</v>
      </c>
      <c r="S25" s="123">
        <v>54696.085238144238</v>
      </c>
      <c r="T25" s="123">
        <v>56799.780824226713</v>
      </c>
      <c r="U25" s="125"/>
      <c r="V25" s="123"/>
      <c r="W25" s="129"/>
      <c r="X25" s="132"/>
      <c r="Y25" s="7"/>
    </row>
    <row r="26" spans="1:25" s="42" customFormat="1">
      <c r="A26" s="62" t="s">
        <v>1786</v>
      </c>
      <c r="B26" s="36" t="str">
        <f>IFERROR(HYPERLINK(VLOOKUP(A26,ÜRÜNLER!A:C,3,FALSE),VLOOKUP(A26,ÜRÜNLER!A:B,2,FALSE)),"")</f>
        <v>iQ300 Alttan Donduruculu Kulpsuz Buzdolabı, 70cm, Black Inox (Wi-Fi)</v>
      </c>
      <c r="C26" s="4">
        <v>2</v>
      </c>
      <c r="D26" s="4"/>
      <c r="E26" s="5"/>
      <c r="F26" s="5"/>
      <c r="G26" s="5"/>
      <c r="H26" s="5"/>
      <c r="I26" s="6"/>
      <c r="J26" s="6"/>
      <c r="K26" s="5"/>
      <c r="L26" s="5"/>
      <c r="M26" s="6"/>
      <c r="N26" s="39">
        <f t="shared" si="0"/>
        <v>2</v>
      </c>
      <c r="O26" s="40">
        <v>0</v>
      </c>
      <c r="P26" s="29"/>
      <c r="Q26" s="125">
        <v>63899.365449394172</v>
      </c>
      <c r="R26" s="128">
        <v>60704.397176924467</v>
      </c>
      <c r="S26" s="123">
        <v>63132.573064001444</v>
      </c>
      <c r="T26" s="123">
        <v>65560.748951078422</v>
      </c>
      <c r="U26" s="125">
        <v>3992.3887052081263</v>
      </c>
      <c r="V26" s="123"/>
      <c r="W26" s="129"/>
      <c r="X26" s="132"/>
      <c r="Y26" s="7"/>
    </row>
    <row r="27" spans="1:25" s="42" customFormat="1">
      <c r="A27" s="62" t="s">
        <v>30</v>
      </c>
      <c r="B27" s="36" t="str">
        <f>IFERROR(HYPERLINK(VLOOKUP(A27,ÜRÜNLER!A:C,3,FALSE),VLOOKUP(A27,ÜRÜNLER!A:B,2,FALSE)),"")</f>
        <v>iQ500 Alttan Donduruculu Kulpsuz Buzdolabı, 70cm, Parlak Siyah</v>
      </c>
      <c r="C27" s="4">
        <v>4</v>
      </c>
      <c r="D27" s="4"/>
      <c r="E27" s="5"/>
      <c r="F27" s="5"/>
      <c r="G27" s="5"/>
      <c r="H27" s="5"/>
      <c r="I27" s="6">
        <v>2</v>
      </c>
      <c r="J27" s="6">
        <v>1</v>
      </c>
      <c r="K27" s="5">
        <v>1</v>
      </c>
      <c r="L27" s="5"/>
      <c r="M27" s="6">
        <v>2</v>
      </c>
      <c r="N27" s="39">
        <f t="shared" si="0"/>
        <v>10</v>
      </c>
      <c r="O27" s="40">
        <v>0</v>
      </c>
      <c r="P27" s="29"/>
      <c r="Q27" s="125">
        <v>65451.170341567115</v>
      </c>
      <c r="R27" s="128">
        <v>62178.611824488762</v>
      </c>
      <c r="S27" s="123">
        <v>64665.75629746831</v>
      </c>
      <c r="T27" s="123">
        <v>67152.900770447857</v>
      </c>
      <c r="U27" s="125"/>
      <c r="V27" s="123"/>
      <c r="W27" s="129"/>
      <c r="X27" s="132"/>
      <c r="Y27" s="7"/>
    </row>
    <row r="28" spans="1:25" s="42" customFormat="1">
      <c r="A28" s="61" t="s">
        <v>1636</v>
      </c>
      <c r="B28" s="36" t="str">
        <f>IFERROR(HYPERLINK(VLOOKUP(A28,ÜRÜNLER!A:C,3,FALSE),VLOOKUP(A28,ÜRÜNLER!A:B,2,FALSE)),"")</f>
        <v>iQ100 Alttan Donduruculu Kulpsuz Buzdolabı, 70cm, Beyaz (Wi-Fi)</v>
      </c>
      <c r="C28" s="4">
        <v>42</v>
      </c>
      <c r="D28" s="4"/>
      <c r="E28" s="5"/>
      <c r="F28" s="5"/>
      <c r="G28" s="5"/>
      <c r="H28" s="5"/>
      <c r="I28" s="6">
        <v>1</v>
      </c>
      <c r="J28" s="6"/>
      <c r="K28" s="5"/>
      <c r="L28" s="5"/>
      <c r="M28" s="6"/>
      <c r="N28" s="39">
        <f t="shared" si="0"/>
        <v>43</v>
      </c>
      <c r="O28" s="40">
        <v>0</v>
      </c>
      <c r="P28" s="29"/>
      <c r="Q28" s="125">
        <v>46178.678796249987</v>
      </c>
      <c r="R28" s="128">
        <v>43869.744856437486</v>
      </c>
      <c r="S28" s="123">
        <v>45624.534650694986</v>
      </c>
      <c r="T28" s="123">
        <v>47379.324444952486</v>
      </c>
      <c r="U28" s="125"/>
      <c r="V28" s="123"/>
      <c r="W28" s="129"/>
      <c r="X28" s="132"/>
      <c r="Y28" s="7"/>
    </row>
    <row r="29" spans="1:25" s="42" customFormat="1">
      <c r="A29" s="61" t="s">
        <v>31</v>
      </c>
      <c r="B29" s="36" t="str">
        <f>IFERROR(HYPERLINK(VLOOKUP(A29,ÜRÜNLER!A:C,3,FALSE),VLOOKUP(A29,ÜRÜNLER!A:B,2,FALSE)),"")</f>
        <v>iQ500 Alttan Donduruculu Kulpsuz Buzdolabı, 70cm, Seramik Desen</v>
      </c>
      <c r="C29" s="4"/>
      <c r="D29" s="4"/>
      <c r="E29" s="5"/>
      <c r="F29" s="5"/>
      <c r="G29" s="5"/>
      <c r="H29" s="5"/>
      <c r="I29" s="6"/>
      <c r="J29" s="6">
        <v>1</v>
      </c>
      <c r="K29" s="5"/>
      <c r="L29" s="5"/>
      <c r="M29" s="6"/>
      <c r="N29" s="39">
        <f t="shared" si="0"/>
        <v>1</v>
      </c>
      <c r="O29" s="40">
        <v>0</v>
      </c>
      <c r="P29" s="29"/>
      <c r="Q29" s="125" t="s">
        <v>1773</v>
      </c>
      <c r="R29" s="123">
        <v>48000</v>
      </c>
      <c r="S29" s="123">
        <v>49920</v>
      </c>
      <c r="T29" s="123">
        <v>51840</v>
      </c>
      <c r="U29" s="125"/>
      <c r="V29" s="123"/>
      <c r="W29" s="126">
        <v>500</v>
      </c>
      <c r="X29" s="132"/>
      <c r="Y29" s="7"/>
    </row>
    <row r="30" spans="1:25" s="42" customFormat="1">
      <c r="A30" s="61" t="s">
        <v>32</v>
      </c>
      <c r="B30" s="36" t="str">
        <f>IFERROR(HYPERLINK(VLOOKUP(A30,ÜRÜNLER!A:C,3,FALSE),VLOOKUP(A30,ÜRÜNLER!A:B,2,FALSE)),"")</f>
        <v>iQ500 Alttan Donduruculu Kulpsuz Buzdolabı, 70cm, Mat Siyah</v>
      </c>
      <c r="C30" s="4"/>
      <c r="D30" s="4"/>
      <c r="E30" s="5"/>
      <c r="F30" s="5"/>
      <c r="G30" s="5">
        <v>1</v>
      </c>
      <c r="H30" s="5"/>
      <c r="I30" s="6"/>
      <c r="J30" s="6"/>
      <c r="K30" s="5"/>
      <c r="L30" s="5"/>
      <c r="M30" s="6"/>
      <c r="N30" s="39">
        <f t="shared" si="0"/>
        <v>1</v>
      </c>
      <c r="O30" s="40">
        <v>0</v>
      </c>
      <c r="P30" s="29"/>
      <c r="Q30" s="125" t="s">
        <v>1773</v>
      </c>
      <c r="R30" s="123">
        <v>48000</v>
      </c>
      <c r="S30" s="123">
        <v>49920</v>
      </c>
      <c r="T30" s="123">
        <v>51840</v>
      </c>
      <c r="U30" s="125"/>
      <c r="V30" s="123"/>
      <c r="W30" s="126">
        <v>500</v>
      </c>
      <c r="X30" s="132"/>
      <c r="Y30" s="7"/>
    </row>
    <row r="31" spans="1:25" s="42" customFormat="1">
      <c r="A31" s="61" t="s">
        <v>33</v>
      </c>
      <c r="B31" s="36" t="str">
        <f>IFERROR(HYPERLINK(VLOOKUP(A31,ÜRÜNLER!A:C,3,FALSE),VLOOKUP(A31,ÜRÜNLER!A:B,2,FALSE)),"")</f>
        <v>iQ500 Alttan Donduruculu Kulpsuz Buzdolabı, 70cm, Seramik Desen</v>
      </c>
      <c r="C31" s="4"/>
      <c r="D31" s="4"/>
      <c r="E31" s="5"/>
      <c r="F31" s="5"/>
      <c r="G31" s="5"/>
      <c r="H31" s="5"/>
      <c r="I31" s="6"/>
      <c r="J31" s="6"/>
      <c r="K31" s="5"/>
      <c r="L31" s="5">
        <v>1</v>
      </c>
      <c r="M31" s="6"/>
      <c r="N31" s="39">
        <f t="shared" si="0"/>
        <v>1</v>
      </c>
      <c r="O31" s="40">
        <v>0</v>
      </c>
      <c r="P31" s="29"/>
      <c r="Q31" s="125" t="s">
        <v>1773</v>
      </c>
      <c r="R31" s="123">
        <v>48000</v>
      </c>
      <c r="S31" s="123">
        <v>49920</v>
      </c>
      <c r="T31" s="123">
        <v>51840</v>
      </c>
      <c r="U31" s="125"/>
      <c r="V31" s="123"/>
      <c r="W31" s="126">
        <v>500</v>
      </c>
      <c r="X31" s="132"/>
      <c r="Y31" s="7"/>
    </row>
    <row r="32" spans="1:25" s="42" customFormat="1">
      <c r="A32" s="61" t="s">
        <v>1642</v>
      </c>
      <c r="B32" s="36" t="str">
        <f>IFERROR(HYPERLINK(VLOOKUP(A32,ÜRÜNLER!A:C,3,FALSE),VLOOKUP(A32,ÜRÜNLER!A:B,2,FALSE)),"")</f>
        <v>iQ300 Alttan Donduruculu Kulpsuz Buzdolabı, 70cm, Inox (Wi-Fi)</v>
      </c>
      <c r="C32" s="4">
        <v>26</v>
      </c>
      <c r="D32" s="4"/>
      <c r="E32" s="5"/>
      <c r="F32" s="5"/>
      <c r="G32" s="5"/>
      <c r="H32" s="5"/>
      <c r="I32" s="6">
        <v>1</v>
      </c>
      <c r="J32" s="6"/>
      <c r="K32" s="5"/>
      <c r="L32" s="5"/>
      <c r="M32" s="6"/>
      <c r="N32" s="39">
        <f t="shared" si="0"/>
        <v>27</v>
      </c>
      <c r="O32" s="40">
        <v>20</v>
      </c>
      <c r="P32" s="29"/>
      <c r="Q32" s="125">
        <v>52906.162790697657</v>
      </c>
      <c r="R32" s="128">
        <v>50260.854651162772</v>
      </c>
      <c r="S32" s="123">
        <v>52271.288837209286</v>
      </c>
      <c r="T32" s="123">
        <v>54281.723023255792</v>
      </c>
      <c r="U32" s="125"/>
      <c r="V32" s="123"/>
      <c r="W32" s="129"/>
      <c r="X32" s="132"/>
      <c r="Y32" s="7"/>
    </row>
    <row r="33" spans="1:25" s="42" customFormat="1">
      <c r="A33" s="61" t="s">
        <v>1639</v>
      </c>
      <c r="B33" s="36" t="str">
        <f>IFERROR(HYPERLINK(VLOOKUP(A33,ÜRÜNLER!A:C,3,FALSE),VLOOKUP(A33,ÜRÜNLER!A:B,2,FALSE)),"")</f>
        <v>iQ300 Alttan Donduruculu Kulpsuz Buzdolabı, 70cm, Beyaz (Wi-Fi)</v>
      </c>
      <c r="C33" s="4">
        <v>30</v>
      </c>
      <c r="D33" s="4"/>
      <c r="E33" s="5"/>
      <c r="F33" s="5"/>
      <c r="G33" s="5"/>
      <c r="H33" s="5"/>
      <c r="I33" s="6"/>
      <c r="J33" s="6"/>
      <c r="K33" s="5"/>
      <c r="L33" s="5"/>
      <c r="M33" s="6"/>
      <c r="N33" s="39">
        <f t="shared" si="0"/>
        <v>30</v>
      </c>
      <c r="O33" s="40">
        <v>21</v>
      </c>
      <c r="P33" s="29"/>
      <c r="Q33" s="125">
        <v>50483.320161322677</v>
      </c>
      <c r="R33" s="128">
        <v>47959.154153256546</v>
      </c>
      <c r="S33" s="123">
        <v>49877.520319386807</v>
      </c>
      <c r="T33" s="123">
        <v>51795.886485517069</v>
      </c>
      <c r="U33" s="125"/>
      <c r="V33" s="123"/>
      <c r="W33" s="129"/>
      <c r="X33" s="132"/>
      <c r="Y33" s="7"/>
    </row>
    <row r="34" spans="1:25">
      <c r="A34" s="57" t="s">
        <v>35</v>
      </c>
      <c r="B34" s="36" t="str">
        <f>IFERROR(HYPERLINK(VLOOKUP(A34,ÜRÜNLER!A:C,3,FALSE),VLOOKUP(A34,ÜRÜNLER!A:B,2,FALSE)),"")</f>
        <v>iQ700 Alttan Donduruculu Kulplu Buzdolabı, 75cm, Inox</v>
      </c>
      <c r="C34" s="4">
        <v>13</v>
      </c>
      <c r="D34" s="4"/>
      <c r="E34" s="5"/>
      <c r="F34" s="5"/>
      <c r="G34" s="5"/>
      <c r="H34" s="5"/>
      <c r="I34" s="6"/>
      <c r="J34" s="6"/>
      <c r="K34" s="5"/>
      <c r="L34" s="5"/>
      <c r="M34" s="6"/>
      <c r="N34" s="39">
        <f t="shared" si="0"/>
        <v>13</v>
      </c>
      <c r="O34" s="40">
        <v>0</v>
      </c>
      <c r="P34" s="29"/>
      <c r="Q34" s="125">
        <v>84646.164438751875</v>
      </c>
      <c r="R34" s="128">
        <v>80413.856216814282</v>
      </c>
      <c r="S34" s="124">
        <v>83630.410465486857</v>
      </c>
      <c r="T34" s="124">
        <v>86846.964714159418</v>
      </c>
      <c r="U34" s="125">
        <v>6343.838857356518</v>
      </c>
      <c r="V34" s="123"/>
      <c r="W34" s="129"/>
    </row>
    <row r="35" spans="1:25">
      <c r="A35" s="57" t="s">
        <v>36</v>
      </c>
      <c r="B35" s="36" t="str">
        <f>IFERROR(HYPERLINK(VLOOKUP(A35,ÜRÜNLER!A:C,3,FALSE),VLOOKUP(A35,ÜRÜNLER!A:B,2,FALSE)),"")</f>
        <v>iQ500 Alttan Donduruculu Kulplu Buzdolabı, 75cm, Inox</v>
      </c>
      <c r="C35" s="4">
        <v>3</v>
      </c>
      <c r="D35" s="4"/>
      <c r="E35" s="5"/>
      <c r="F35" s="5"/>
      <c r="G35" s="5"/>
      <c r="H35" s="5"/>
      <c r="I35" s="6">
        <v>1</v>
      </c>
      <c r="J35" s="6">
        <v>1</v>
      </c>
      <c r="K35" s="5">
        <v>1</v>
      </c>
      <c r="L35" s="5">
        <v>3</v>
      </c>
      <c r="M35" s="6">
        <v>1</v>
      </c>
      <c r="N35" s="39">
        <f t="shared" si="0"/>
        <v>10</v>
      </c>
      <c r="O35" s="40">
        <v>5</v>
      </c>
      <c r="P35" s="29"/>
      <c r="Q35" s="125">
        <v>89337.569444670866</v>
      </c>
      <c r="R35" s="128">
        <v>84870.690972437325</v>
      </c>
      <c r="S35" s="124">
        <v>88265.518611334817</v>
      </c>
      <c r="T35" s="124">
        <v>91660.346250232309</v>
      </c>
      <c r="U35" s="125">
        <v>19093.383398159232</v>
      </c>
      <c r="V35" s="123"/>
      <c r="W35" s="129"/>
    </row>
    <row r="36" spans="1:25" s="8" customFormat="1">
      <c r="A36" s="57" t="s">
        <v>37</v>
      </c>
      <c r="B36" s="36" t="str">
        <f>IFERROR(HYPERLINK(VLOOKUP(A36,ÜRÜNLER!A:C,3,FALSE),VLOOKUP(A36,ÜRÜNLER!A:B,2,FALSE)),"")</f>
        <v>iQ500 Alttan Donduruculu Kulplu Buzdolabı, 75cm, Beyaz</v>
      </c>
      <c r="C36" s="4">
        <v>33</v>
      </c>
      <c r="D36" s="4"/>
      <c r="E36" s="5"/>
      <c r="F36" s="5"/>
      <c r="G36" s="5"/>
      <c r="H36" s="5"/>
      <c r="I36" s="6">
        <v>1</v>
      </c>
      <c r="J36" s="6"/>
      <c r="K36" s="5"/>
      <c r="L36" s="5">
        <v>1</v>
      </c>
      <c r="M36" s="6"/>
      <c r="N36" s="39">
        <f t="shared" si="0"/>
        <v>35</v>
      </c>
      <c r="O36" s="40">
        <v>0</v>
      </c>
      <c r="P36" s="29"/>
      <c r="Q36" s="125">
        <v>80897.295942227123</v>
      </c>
      <c r="R36" s="128">
        <v>76852.43114511577</v>
      </c>
      <c r="S36" s="124">
        <v>79926.528390920401</v>
      </c>
      <c r="T36" s="124">
        <v>83000.625636725032</v>
      </c>
      <c r="U36" s="125">
        <v>12199.621523622469</v>
      </c>
      <c r="V36" s="123"/>
      <c r="W36" s="129"/>
      <c r="X36" s="127"/>
      <c r="Y36" s="43"/>
    </row>
    <row r="37" spans="1:25">
      <c r="A37" s="58" t="s">
        <v>38</v>
      </c>
      <c r="B37" s="36" t="str">
        <f>IFERROR(HYPERLINK(VLOOKUP(A37,ÜRÜNLER!A:C,3,FALSE),VLOOKUP(A37,ÜRÜNLER!A:B,2,FALSE)),"")</f>
        <v>iQ500 Alttan Donduruculu Kulpsuz Buzdolabı, 75cm, darkSteel</v>
      </c>
      <c r="C37" s="4">
        <v>113</v>
      </c>
      <c r="D37" s="4"/>
      <c r="E37" s="5"/>
      <c r="F37" s="5"/>
      <c r="G37" s="5"/>
      <c r="H37" s="5"/>
      <c r="I37" s="6">
        <v>1</v>
      </c>
      <c r="J37" s="6">
        <v>1</v>
      </c>
      <c r="K37" s="5">
        <v>1</v>
      </c>
      <c r="L37" s="5"/>
      <c r="M37" s="6">
        <v>1</v>
      </c>
      <c r="N37" s="39">
        <f t="shared" si="0"/>
        <v>117</v>
      </c>
      <c r="O37" s="40">
        <v>0</v>
      </c>
      <c r="P37" s="29"/>
      <c r="Q37" s="125">
        <v>99433.899972588129</v>
      </c>
      <c r="R37" s="128">
        <v>94462.204973958724</v>
      </c>
      <c r="S37" s="133">
        <v>98240.693172917076</v>
      </c>
      <c r="T37" s="133">
        <v>102019.18137187543</v>
      </c>
      <c r="U37" s="125">
        <v>23492.03950747184</v>
      </c>
      <c r="V37" s="123"/>
      <c r="W37" s="129"/>
    </row>
    <row r="38" spans="1:25">
      <c r="A38" s="57" t="s">
        <v>39</v>
      </c>
      <c r="B38" s="36" t="str">
        <f>IFERROR(HYPERLINK(VLOOKUP(A38,ÜRÜNLER!A:C,3,FALSE),VLOOKUP(A38,ÜRÜNLER!A:B,2,FALSE)),"")</f>
        <v>iQ300 Alttan Donduruculu Kulpsuz Buzdolabı, 75cm, Inox</v>
      </c>
      <c r="C38" s="4">
        <v>31</v>
      </c>
      <c r="D38" s="4"/>
      <c r="E38" s="5"/>
      <c r="F38" s="5"/>
      <c r="G38" s="5">
        <v>2</v>
      </c>
      <c r="H38" s="5"/>
      <c r="I38" s="6">
        <v>1</v>
      </c>
      <c r="J38" s="6"/>
      <c r="K38" s="5"/>
      <c r="L38" s="5">
        <v>2</v>
      </c>
      <c r="M38" s="6"/>
      <c r="N38" s="39">
        <f t="shared" si="0"/>
        <v>36</v>
      </c>
      <c r="O38" s="40">
        <v>0</v>
      </c>
      <c r="P38" s="29"/>
      <c r="Q38" s="125">
        <v>80743.425892217376</v>
      </c>
      <c r="R38" s="128">
        <v>76706.254597606501</v>
      </c>
      <c r="S38" s="133">
        <v>79774.504781510768</v>
      </c>
      <c r="T38" s="133">
        <v>82842.754965415021</v>
      </c>
      <c r="U38" s="125">
        <v>13103.891008496432</v>
      </c>
      <c r="V38" s="123"/>
      <c r="W38" s="129"/>
    </row>
    <row r="39" spans="1:25">
      <c r="A39" s="57" t="s">
        <v>40</v>
      </c>
      <c r="B39" s="36" t="str">
        <f>IFERROR(HYPERLINK(VLOOKUP(A39,ÜRÜNLER!A:C,3,FALSE),VLOOKUP(A39,ÜRÜNLER!A:B,2,FALSE)),"")</f>
        <v>iQ300 Alttan Donduruculu Kulpsuz Buzdolabı, 75cm, Beyaz</v>
      </c>
      <c r="C39" s="4">
        <v>17</v>
      </c>
      <c r="D39" s="4"/>
      <c r="E39" s="5"/>
      <c r="F39" s="5"/>
      <c r="G39" s="5"/>
      <c r="H39" s="5"/>
      <c r="I39" s="6">
        <v>1</v>
      </c>
      <c r="J39" s="6">
        <v>1</v>
      </c>
      <c r="K39" s="5"/>
      <c r="L39" s="5"/>
      <c r="M39" s="6">
        <v>1</v>
      </c>
      <c r="N39" s="39">
        <f t="shared" si="0"/>
        <v>20</v>
      </c>
      <c r="O39" s="40">
        <v>0</v>
      </c>
      <c r="P39" s="29"/>
      <c r="Q39" s="125">
        <v>72507.334385134804</v>
      </c>
      <c r="R39" s="128">
        <v>68881.967665878066</v>
      </c>
      <c r="S39" s="124">
        <v>71637.246372513182</v>
      </c>
      <c r="T39" s="124">
        <v>74392.525079148312</v>
      </c>
      <c r="U39" s="125">
        <v>15693.380896762712</v>
      </c>
      <c r="V39" s="123"/>
      <c r="W39" s="129"/>
    </row>
    <row r="40" spans="1:25">
      <c r="A40" s="57" t="s">
        <v>41</v>
      </c>
      <c r="B40" s="36" t="str">
        <f>IFERROR(HYPERLINK(VLOOKUP(A40,ÜRÜNLER!A:C,3,FALSE),VLOOKUP(A40,ÜRÜNLER!A:B,2,FALSE)),"")</f>
        <v>iQ700 Alttan Donduruculu Kulplu Buzdolabı, 75cm, Inox</v>
      </c>
      <c r="C40" s="4">
        <v>37</v>
      </c>
      <c r="D40" s="4"/>
      <c r="E40" s="5">
        <v>2</v>
      </c>
      <c r="F40" s="5"/>
      <c r="G40" s="5">
        <v>1</v>
      </c>
      <c r="H40" s="5"/>
      <c r="I40" s="6">
        <v>1</v>
      </c>
      <c r="J40" s="6">
        <v>1</v>
      </c>
      <c r="K40" s="5"/>
      <c r="L40" s="5"/>
      <c r="M40" s="6">
        <v>1</v>
      </c>
      <c r="N40" s="39">
        <f t="shared" si="0"/>
        <v>43</v>
      </c>
      <c r="O40" s="40">
        <v>0</v>
      </c>
      <c r="P40" s="29"/>
      <c r="Q40" s="125">
        <v>93563.754304094517</v>
      </c>
      <c r="R40" s="128">
        <v>88885.566588889793</v>
      </c>
      <c r="S40" s="124">
        <v>92440.98925244539</v>
      </c>
      <c r="T40" s="124">
        <v>95996.411916000972</v>
      </c>
      <c r="U40" s="125">
        <v>10784.684536652654</v>
      </c>
      <c r="V40" s="123"/>
      <c r="W40" s="129"/>
    </row>
    <row r="41" spans="1:25">
      <c r="A41" s="57" t="s">
        <v>42</v>
      </c>
      <c r="B41" s="36" t="str">
        <f>IFERROR(HYPERLINK(VLOOKUP(A41,ÜRÜNLER!A:C,3,FALSE),VLOOKUP(A41,ÜRÜNLER!A:B,2,FALSE)),"")</f>
        <v>iQ700 Alttan Donduruculu Kulplu Buzdolabı, 75cm, Beyaz</v>
      </c>
      <c r="C41" s="4">
        <v>18</v>
      </c>
      <c r="D41" s="4"/>
      <c r="E41" s="5">
        <v>1</v>
      </c>
      <c r="F41" s="5"/>
      <c r="G41" s="5"/>
      <c r="H41" s="5"/>
      <c r="I41" s="6">
        <v>1</v>
      </c>
      <c r="J41" s="6"/>
      <c r="K41" s="5">
        <v>1</v>
      </c>
      <c r="L41" s="5">
        <v>3</v>
      </c>
      <c r="M41" s="6"/>
      <c r="N41" s="39">
        <f t="shared" si="0"/>
        <v>24</v>
      </c>
      <c r="O41" s="40">
        <v>1</v>
      </c>
      <c r="P41" s="44"/>
      <c r="Q41" s="125">
        <v>85858.484053583932</v>
      </c>
      <c r="R41" s="128">
        <v>81565.559850904741</v>
      </c>
      <c r="S41" s="124">
        <v>84828.182244940937</v>
      </c>
      <c r="T41" s="124">
        <v>88090.804638977119</v>
      </c>
      <c r="U41" s="125">
        <v>8858.4840535839321</v>
      </c>
      <c r="V41" s="123"/>
      <c r="W41" s="129"/>
    </row>
    <row r="42" spans="1:25" s="8" customFormat="1">
      <c r="A42" s="61" t="s">
        <v>43</v>
      </c>
      <c r="B42" s="36" t="str">
        <f>IFERROR(HYPERLINK(VLOOKUP(A42,ÜRÜNLER!A:C,3,FALSE),VLOOKUP(A42,ÜRÜNLER!A:B,2,FALSE)),"")</f>
        <v>iQ500 Alttan Donduruculu Kulplu Buzdolabı, 86cm, Inox</v>
      </c>
      <c r="C42" s="4">
        <v>65</v>
      </c>
      <c r="D42" s="4"/>
      <c r="E42" s="5">
        <v>1</v>
      </c>
      <c r="F42" s="5"/>
      <c r="G42" s="5"/>
      <c r="H42" s="5"/>
      <c r="I42" s="6">
        <v>1</v>
      </c>
      <c r="J42" s="6">
        <v>1</v>
      </c>
      <c r="K42" s="5">
        <v>1</v>
      </c>
      <c r="L42" s="5">
        <v>1</v>
      </c>
      <c r="M42" s="6">
        <v>1</v>
      </c>
      <c r="N42" s="39">
        <f t="shared" si="0"/>
        <v>71</v>
      </c>
      <c r="O42" s="40">
        <v>0</v>
      </c>
      <c r="P42" s="29"/>
      <c r="Q42" s="125">
        <v>104311.67380670749</v>
      </c>
      <c r="R42" s="128">
        <v>99096.090116372114</v>
      </c>
      <c r="S42" s="124">
        <v>103059.933721027</v>
      </c>
      <c r="T42" s="124">
        <v>107023.77732568188</v>
      </c>
      <c r="U42" s="125">
        <v>29834.929620660972</v>
      </c>
      <c r="V42" s="123"/>
      <c r="W42" s="129"/>
      <c r="X42" s="127"/>
      <c r="Y42" s="43"/>
    </row>
    <row r="43" spans="1:25" s="8" customFormat="1">
      <c r="A43" s="61" t="s">
        <v>44</v>
      </c>
      <c r="B43" s="36" t="str">
        <f>IFERROR(HYPERLINK(VLOOKUP(A43,ÜRÜNLER!A:C,3,FALSE),VLOOKUP(A43,ÜRÜNLER!A:B,2,FALSE)),"")</f>
        <v>iQ500 Alttan Donduruculu Kulplu Buzdolabı, 86cm, Beyaz</v>
      </c>
      <c r="C43" s="4">
        <v>6</v>
      </c>
      <c r="D43" s="4"/>
      <c r="E43" s="5"/>
      <c r="F43" s="5"/>
      <c r="G43" s="5">
        <v>1</v>
      </c>
      <c r="H43" s="5"/>
      <c r="I43" s="6">
        <v>1</v>
      </c>
      <c r="J43" s="6"/>
      <c r="K43" s="5">
        <v>1</v>
      </c>
      <c r="L43" s="5"/>
      <c r="M43" s="6"/>
      <c r="N43" s="39">
        <f t="shared" si="0"/>
        <v>9</v>
      </c>
      <c r="O43" s="40">
        <v>5</v>
      </c>
      <c r="P43" s="44"/>
      <c r="Q43" s="125">
        <v>89598.547283956679</v>
      </c>
      <c r="R43" s="128">
        <v>85118.619919758843</v>
      </c>
      <c r="S43" s="124">
        <v>88523.3647165492</v>
      </c>
      <c r="T43" s="124">
        <v>91928.109513339557</v>
      </c>
      <c r="U43" s="125">
        <v>19354.361237445046</v>
      </c>
      <c r="V43" s="123"/>
      <c r="W43" s="129"/>
      <c r="X43" s="127"/>
      <c r="Y43" s="43"/>
    </row>
    <row r="44" spans="1:25" s="8" customFormat="1">
      <c r="A44" s="61" t="s">
        <v>45</v>
      </c>
      <c r="B44" s="36" t="str">
        <f>IFERROR(HYPERLINK(VLOOKUP(A44,ÜRÜNLER!A:C,3,FALSE),VLOOKUP(A44,ÜRÜNLER!A:B,2,FALSE)),"")</f>
        <v>iQ500 Alttan Donduruculu Kulpsuz Buzdolabı, 86cm, Beyaz</v>
      </c>
      <c r="C44" s="4">
        <v>35</v>
      </c>
      <c r="D44" s="4"/>
      <c r="E44" s="5"/>
      <c r="F44" s="5"/>
      <c r="G44" s="5">
        <v>1</v>
      </c>
      <c r="H44" s="5"/>
      <c r="I44" s="6"/>
      <c r="J44" s="6">
        <v>1</v>
      </c>
      <c r="K44" s="5"/>
      <c r="L44" s="5"/>
      <c r="M44" s="6"/>
      <c r="N44" s="39">
        <f t="shared" si="0"/>
        <v>37</v>
      </c>
      <c r="O44" s="40">
        <v>0</v>
      </c>
      <c r="P44" s="29"/>
      <c r="Q44" s="125">
        <v>79438.432781814583</v>
      </c>
      <c r="R44" s="128">
        <v>75466.511142723859</v>
      </c>
      <c r="S44" s="133">
        <v>78485.171588432815</v>
      </c>
      <c r="T44" s="133">
        <v>81503.832034141771</v>
      </c>
      <c r="U44" s="125">
        <v>12124.479293442491</v>
      </c>
      <c r="V44" s="123"/>
      <c r="W44" s="129"/>
      <c r="X44" s="127"/>
      <c r="Y44" s="43"/>
    </row>
    <row r="45" spans="1:25" s="8" customFormat="1">
      <c r="A45" s="61" t="s">
        <v>47</v>
      </c>
      <c r="B45" s="36" t="str">
        <f>IFERROR(HYPERLINK(VLOOKUP(A45,ÜRÜNLER!A:C,3,FALSE),VLOOKUP(A45,ÜRÜNLER!A:B,2,FALSE)),"")</f>
        <v>iQ700 Alttan Donduruculu Kulplu Buzdolabı, 86cm, Inox</v>
      </c>
      <c r="C45" s="4">
        <v>1</v>
      </c>
      <c r="D45" s="4"/>
      <c r="E45" s="5"/>
      <c r="F45" s="5"/>
      <c r="G45" s="5"/>
      <c r="H45" s="5"/>
      <c r="I45" s="6"/>
      <c r="J45" s="6"/>
      <c r="K45" s="5"/>
      <c r="L45" s="5"/>
      <c r="M45" s="6"/>
      <c r="N45" s="39">
        <f t="shared" si="0"/>
        <v>1</v>
      </c>
      <c r="O45" s="40">
        <v>0</v>
      </c>
      <c r="P45" s="29"/>
      <c r="Q45" s="125" t="s">
        <v>1773</v>
      </c>
      <c r="R45" s="123">
        <v>80000</v>
      </c>
      <c r="S45" s="124">
        <v>83200</v>
      </c>
      <c r="T45" s="124">
        <v>86400</v>
      </c>
      <c r="U45" s="125"/>
      <c r="V45" s="123"/>
      <c r="W45" s="129"/>
      <c r="X45" s="127"/>
      <c r="Y45" s="43"/>
    </row>
    <row r="46" spans="1:25" s="8" customFormat="1">
      <c r="A46" s="62" t="s">
        <v>46</v>
      </c>
      <c r="B46" s="36" t="str">
        <f>IFERROR(HYPERLINK(VLOOKUP(A46,ÜRÜNLER!A:C,3,FALSE),VLOOKUP(A46,ÜRÜNLER!A:B,2,FALSE)),"")</f>
        <v>iQ700 Alttan Donduruculu Kulpsuz Buzdolabı, 86cm, darkSteel</v>
      </c>
      <c r="C46" s="4">
        <v>18</v>
      </c>
      <c r="D46" s="4"/>
      <c r="E46" s="5"/>
      <c r="F46" s="5"/>
      <c r="G46" s="5"/>
      <c r="H46" s="5"/>
      <c r="I46" s="6">
        <v>1</v>
      </c>
      <c r="J46" s="6"/>
      <c r="K46" s="5"/>
      <c r="L46" s="5"/>
      <c r="M46" s="6">
        <v>1</v>
      </c>
      <c r="N46" s="39">
        <f t="shared" si="0"/>
        <v>20</v>
      </c>
      <c r="O46" s="40">
        <v>0</v>
      </c>
      <c r="P46" s="29"/>
      <c r="Q46" s="125">
        <v>119402.30490978497</v>
      </c>
      <c r="R46" s="128">
        <v>113432.18966429573</v>
      </c>
      <c r="S46" s="124">
        <v>117969.47725086755</v>
      </c>
      <c r="T46" s="124">
        <v>122506.76483743939</v>
      </c>
      <c r="U46" s="125">
        <v>27669.746770250087</v>
      </c>
      <c r="V46" s="123"/>
      <c r="W46" s="129"/>
      <c r="X46" s="127"/>
      <c r="Y46" s="43"/>
    </row>
    <row r="47" spans="1:25" s="8" customFormat="1">
      <c r="A47" s="61" t="s">
        <v>48</v>
      </c>
      <c r="B47" s="36" t="str">
        <f>IFERROR(HYPERLINK(VLOOKUP(A47,ÜRÜNLER!A:C,3,FALSE),VLOOKUP(A47,ÜRÜNLER!A:B,2,FALSE)),"")</f>
        <v>iQ700 Alttan Donduruculu Kulplu Buzdolabı, 86cm, Inox</v>
      </c>
      <c r="C47" s="4">
        <v>113</v>
      </c>
      <c r="D47" s="4"/>
      <c r="E47" s="5"/>
      <c r="F47" s="5">
        <v>1</v>
      </c>
      <c r="G47" s="5">
        <v>1</v>
      </c>
      <c r="H47" s="5"/>
      <c r="I47" s="6">
        <v>1</v>
      </c>
      <c r="J47" s="6"/>
      <c r="K47" s="5">
        <v>1</v>
      </c>
      <c r="L47" s="5">
        <v>1</v>
      </c>
      <c r="M47" s="6">
        <v>1</v>
      </c>
      <c r="N47" s="39">
        <f t="shared" si="0"/>
        <v>119</v>
      </c>
      <c r="O47" s="40">
        <v>0</v>
      </c>
      <c r="P47" s="44"/>
      <c r="Q47" s="125">
        <v>113812.0276797781</v>
      </c>
      <c r="R47" s="128">
        <v>108121.42629578919</v>
      </c>
      <c r="S47" s="133">
        <v>112446.28334762076</v>
      </c>
      <c r="T47" s="133">
        <v>116771.14039945233</v>
      </c>
      <c r="U47" s="125">
        <v>28102.725354196711</v>
      </c>
      <c r="V47" s="123"/>
      <c r="W47" s="129"/>
      <c r="X47" s="127"/>
      <c r="Y47" s="43"/>
    </row>
    <row r="48" spans="1:25">
      <c r="A48" s="61" t="s">
        <v>49</v>
      </c>
      <c r="B48" s="36" t="str">
        <f>IFERROR(HYPERLINK(VLOOKUP(A48,ÜRÜNLER!A:C,3,FALSE),VLOOKUP(A48,ÜRÜNLER!A:B,2,FALSE)),"")</f>
        <v>iQ700 Alttan Donduruculu Kulplu Buzdolabı, 86cm, Beyaz</v>
      </c>
      <c r="C48" s="4">
        <v>46</v>
      </c>
      <c r="D48" s="4"/>
      <c r="E48" s="5"/>
      <c r="F48" s="5"/>
      <c r="G48" s="5">
        <v>1</v>
      </c>
      <c r="H48" s="5"/>
      <c r="I48" s="6">
        <v>1</v>
      </c>
      <c r="J48" s="6">
        <v>1</v>
      </c>
      <c r="K48" s="5"/>
      <c r="L48" s="5"/>
      <c r="M48" s="6"/>
      <c r="N48" s="39">
        <f t="shared" si="0"/>
        <v>49</v>
      </c>
      <c r="O48" s="40">
        <v>0</v>
      </c>
      <c r="P48" s="29"/>
      <c r="Q48" s="125">
        <v>102827.95689172141</v>
      </c>
      <c r="R48" s="128">
        <v>97686.559047135335</v>
      </c>
      <c r="S48" s="124">
        <v>101594.02140902074</v>
      </c>
      <c r="T48" s="124">
        <v>105501.48377090617</v>
      </c>
      <c r="U48" s="125">
        <v>24688.422008000463</v>
      </c>
      <c r="V48" s="123"/>
      <c r="W48" s="129"/>
    </row>
    <row r="49" spans="1:25" ht="37.5" customHeight="1">
      <c r="A49" s="100" t="s">
        <v>1487</v>
      </c>
      <c r="B49" s="36" t="str">
        <f>IFERROR(HYPERLINK(VLOOKUP(A49,ÜRÜNLER!A:C,3,FALSE),VLOOKUP(A49,ÜRÜNLER!A:B,2,FALSE)),"")</f>
        <v/>
      </c>
      <c r="C49" s="4"/>
      <c r="D49" s="4"/>
      <c r="E49" s="5"/>
      <c r="F49" s="5"/>
      <c r="G49" s="5"/>
      <c r="H49" s="5"/>
      <c r="I49" s="6"/>
      <c r="J49" s="6"/>
      <c r="K49" s="5"/>
      <c r="L49" s="5"/>
      <c r="M49" s="6"/>
      <c r="N49" s="39">
        <f>SUM(N2:N48)</f>
        <v>954</v>
      </c>
      <c r="O49" s="40">
        <v>0</v>
      </c>
      <c r="P49" s="5"/>
      <c r="R49" s="129"/>
      <c r="S49" s="124"/>
      <c r="T49" s="124"/>
      <c r="U49" s="125"/>
      <c r="V49" s="123"/>
      <c r="W49" s="129"/>
    </row>
    <row r="50" spans="1:25">
      <c r="A50" s="57" t="s">
        <v>50</v>
      </c>
      <c r="B50" s="36" t="str">
        <f>IFERROR(HYPERLINK(VLOOKUP(A50,ÜRÜNLER!A:C,3,FALSE),VLOOKUP(A50,ÜRÜNLER!A:B,2,FALSE)),"")</f>
        <v>iQ300 Derin Dondurucu, 146x60cm, Statik, Beyaz</v>
      </c>
      <c r="C50" s="4">
        <v>93</v>
      </c>
      <c r="D50" s="4"/>
      <c r="E50" s="5"/>
      <c r="F50" s="5"/>
      <c r="G50" s="5">
        <v>1</v>
      </c>
      <c r="H50" s="5"/>
      <c r="I50" s="6"/>
      <c r="J50" s="6"/>
      <c r="K50" s="5"/>
      <c r="L50" s="5"/>
      <c r="M50" s="6"/>
      <c r="N50" s="39">
        <f t="shared" ref="N50:N59" si="1">M50+K50+L50+J50+I50+H50+G50+F50+E50+D50+C50</f>
        <v>94</v>
      </c>
      <c r="O50" s="40">
        <v>0</v>
      </c>
      <c r="P50" s="59" t="s">
        <v>1536</v>
      </c>
      <c r="Q50" s="125">
        <v>24592.564804472833</v>
      </c>
      <c r="R50" s="128">
        <v>23000</v>
      </c>
      <c r="S50" s="124">
        <v>23920</v>
      </c>
      <c r="T50" s="124">
        <v>24840</v>
      </c>
      <c r="U50" s="125"/>
      <c r="V50" s="123"/>
      <c r="W50" s="129"/>
    </row>
    <row r="51" spans="1:25">
      <c r="A51" s="57" t="s">
        <v>51</v>
      </c>
      <c r="B51" s="36" t="str">
        <f>IFERROR(HYPERLINK(VLOOKUP(A51,ÜRÜNLER!A:C,3,FALSE),VLOOKUP(A51,ÜRÜNLER!A:B,2,FALSE)),"")</f>
        <v>iQ300 Derin Dondurucu, 146x60cm, Statik, Beyaz</v>
      </c>
      <c r="C51" s="4"/>
      <c r="D51" s="4"/>
      <c r="E51" s="5">
        <v>1</v>
      </c>
      <c r="F51" s="5"/>
      <c r="G51" s="5"/>
      <c r="H51" s="5"/>
      <c r="I51" s="6"/>
      <c r="J51" s="6"/>
      <c r="K51" s="5"/>
      <c r="L51" s="5"/>
      <c r="M51" s="6"/>
      <c r="N51" s="39">
        <f t="shared" si="1"/>
        <v>1</v>
      </c>
      <c r="O51" s="40">
        <v>0</v>
      </c>
      <c r="P51" s="59" t="s">
        <v>1536</v>
      </c>
      <c r="Q51" s="125" t="s">
        <v>1773</v>
      </c>
      <c r="R51" s="123">
        <v>20000</v>
      </c>
      <c r="S51" s="124">
        <v>20800</v>
      </c>
      <c r="T51" s="124">
        <v>21600</v>
      </c>
      <c r="U51" s="125"/>
      <c r="V51" s="123"/>
      <c r="W51" s="126">
        <v>500</v>
      </c>
    </row>
    <row r="52" spans="1:25">
      <c r="A52" s="63" t="s">
        <v>52</v>
      </c>
      <c r="B52" s="36" t="str">
        <f>IFERROR(HYPERLINK(VLOOKUP(A52,ÜRÜNLER!A:C,3,FALSE),VLOOKUP(A52,ÜRÜNLER!A:B,2,FALSE)),"")</f>
        <v>iQ300 Derin Dondurucu, 161x60cm, No-Frost, Beyaz</v>
      </c>
      <c r="C52" s="4">
        <v>11</v>
      </c>
      <c r="D52" s="4"/>
      <c r="E52" s="5"/>
      <c r="F52" s="5">
        <v>1</v>
      </c>
      <c r="G52" s="5"/>
      <c r="H52" s="5"/>
      <c r="I52" s="6"/>
      <c r="J52" s="6"/>
      <c r="K52" s="5"/>
      <c r="L52" s="5"/>
      <c r="M52" s="6"/>
      <c r="N52" s="39">
        <f t="shared" si="1"/>
        <v>12</v>
      </c>
      <c r="O52" s="40">
        <v>0</v>
      </c>
      <c r="P52" s="59" t="s">
        <v>1536</v>
      </c>
      <c r="Q52" s="125">
        <v>37824.325084093944</v>
      </c>
      <c r="R52" s="129">
        <v>41606.757592503331</v>
      </c>
      <c r="S52" s="124">
        <v>43271.027896203464</v>
      </c>
      <c r="T52" s="124">
        <v>44935.298199903598</v>
      </c>
      <c r="U52" s="125">
        <v>1794.9133193880625</v>
      </c>
      <c r="V52" s="123"/>
      <c r="W52" s="129"/>
      <c r="Y52" s="108"/>
    </row>
    <row r="53" spans="1:25">
      <c r="A53" s="63" t="s">
        <v>53</v>
      </c>
      <c r="B53" s="36" t="str">
        <f>IFERROR(HYPERLINK(VLOOKUP(A53,ÜRÜNLER!A:C,3,FALSE),VLOOKUP(A53,ÜRÜNLER!A:B,2,FALSE)),"")</f>
        <v>iQ300 Derin Dondurucu, 161x60cm, Statik, Beyaz</v>
      </c>
      <c r="C53" s="4">
        <v>101</v>
      </c>
      <c r="D53" s="4"/>
      <c r="E53" s="5"/>
      <c r="F53" s="5">
        <v>1</v>
      </c>
      <c r="G53" s="5">
        <v>1</v>
      </c>
      <c r="H53" s="5"/>
      <c r="I53" s="6">
        <v>1</v>
      </c>
      <c r="J53" s="6"/>
      <c r="K53" s="5">
        <v>1</v>
      </c>
      <c r="L53" s="5"/>
      <c r="M53" s="6"/>
      <c r="N53" s="39">
        <f t="shared" si="1"/>
        <v>105</v>
      </c>
      <c r="O53" s="40">
        <v>0</v>
      </c>
      <c r="P53" s="59" t="s">
        <v>1536</v>
      </c>
      <c r="Q53" s="125">
        <v>25437.803391758662</v>
      </c>
      <c r="R53" s="129">
        <v>27981.583730934533</v>
      </c>
      <c r="S53" s="124">
        <v>29100.847080171916</v>
      </c>
      <c r="T53" s="124">
        <v>30220.110429409295</v>
      </c>
      <c r="U53" s="125"/>
      <c r="V53" s="123"/>
      <c r="W53" s="129"/>
      <c r="Y53" s="108"/>
    </row>
    <row r="54" spans="1:25">
      <c r="A54" s="63" t="s">
        <v>54</v>
      </c>
      <c r="B54" s="36" t="str">
        <f>IFERROR(HYPERLINK(VLOOKUP(A54,ÜRÜNLER!A:C,3,FALSE),VLOOKUP(A54,ÜRÜNLER!A:B,2,FALSE)),"")</f>
        <v>iQ300 Derin Dondurucu, 176x60cm, Statik, Inox</v>
      </c>
      <c r="C54" s="4">
        <v>91</v>
      </c>
      <c r="D54" s="4"/>
      <c r="E54" s="5">
        <v>2</v>
      </c>
      <c r="F54" s="5">
        <v>3</v>
      </c>
      <c r="G54" s="5">
        <v>2</v>
      </c>
      <c r="H54" s="5"/>
      <c r="I54" s="6">
        <v>1</v>
      </c>
      <c r="J54" s="6"/>
      <c r="K54" s="5"/>
      <c r="L54" s="5">
        <v>1</v>
      </c>
      <c r="M54" s="6">
        <v>1</v>
      </c>
      <c r="N54" s="39">
        <f t="shared" si="1"/>
        <v>101</v>
      </c>
      <c r="O54" s="40">
        <v>0</v>
      </c>
      <c r="P54" s="59" t="s">
        <v>1536</v>
      </c>
      <c r="Q54" s="125">
        <v>31580.842639611692</v>
      </c>
      <c r="R54" s="129">
        <v>34738.926903572858</v>
      </c>
      <c r="S54" s="124">
        <v>36128.483979715769</v>
      </c>
      <c r="T54" s="124">
        <v>37518.041055858688</v>
      </c>
      <c r="U54" s="125"/>
      <c r="V54" s="123"/>
      <c r="W54" s="129"/>
      <c r="Y54" s="108"/>
    </row>
    <row r="55" spans="1:25">
      <c r="A55" s="63" t="s">
        <v>55</v>
      </c>
      <c r="B55" s="36" t="str">
        <f>IFERROR(HYPERLINK(VLOOKUP(A55,ÜRÜNLER!A:C,3,FALSE),VLOOKUP(A55,ÜRÜNLER!A:B,2,FALSE)),"")</f>
        <v>iQ300 Derin Dondurucu, 176x60cm, Statik, Beyaz</v>
      </c>
      <c r="C55" s="4">
        <v>110</v>
      </c>
      <c r="D55" s="4"/>
      <c r="E55" s="5">
        <v>5</v>
      </c>
      <c r="F55" s="5">
        <v>1</v>
      </c>
      <c r="G55" s="5"/>
      <c r="H55" s="5"/>
      <c r="I55" s="6">
        <v>1</v>
      </c>
      <c r="J55" s="6">
        <v>1</v>
      </c>
      <c r="K55" s="5"/>
      <c r="L55" s="5"/>
      <c r="M55" s="6"/>
      <c r="N55" s="39">
        <f t="shared" si="1"/>
        <v>118</v>
      </c>
      <c r="O55" s="40">
        <v>0</v>
      </c>
      <c r="P55" s="59" t="s">
        <v>1536</v>
      </c>
      <c r="Q55" s="125">
        <v>28432.702244249125</v>
      </c>
      <c r="R55" s="129">
        <v>31275.972468674037</v>
      </c>
      <c r="S55" s="124">
        <v>32527.011367421001</v>
      </c>
      <c r="T55" s="124">
        <v>33778.050266167964</v>
      </c>
      <c r="U55" s="125"/>
      <c r="V55" s="123"/>
      <c r="W55" s="129"/>
      <c r="Y55" s="108"/>
    </row>
    <row r="56" spans="1:25">
      <c r="A56" s="101" t="s">
        <v>56</v>
      </c>
      <c r="B56" s="36" t="str">
        <f>IFERROR(HYPERLINK(VLOOKUP(A56,ÜRÜNLER!A:C,3,FALSE),VLOOKUP(A56,ÜRÜNLER!A:B,2,FALSE)),"")</f>
        <v>iQ300 Derin Dondurucu, 186x60cm, No-Frost Inox</v>
      </c>
      <c r="C56" s="4"/>
      <c r="D56" s="4"/>
      <c r="E56" s="5"/>
      <c r="F56" s="5"/>
      <c r="G56" s="5">
        <v>1</v>
      </c>
      <c r="H56" s="5"/>
      <c r="I56" s="6"/>
      <c r="J56" s="6"/>
      <c r="K56" s="5"/>
      <c r="L56" s="5"/>
      <c r="M56" s="6"/>
      <c r="N56" s="39">
        <f t="shared" si="1"/>
        <v>1</v>
      </c>
      <c r="O56" s="40">
        <v>0</v>
      </c>
      <c r="P56" s="59" t="s">
        <v>1536</v>
      </c>
      <c r="Q56" s="125" t="s">
        <v>1773</v>
      </c>
      <c r="R56" s="123">
        <v>36000</v>
      </c>
      <c r="S56" s="124">
        <v>37440</v>
      </c>
      <c r="T56" s="124">
        <v>38880</v>
      </c>
      <c r="U56" s="125"/>
      <c r="V56" s="123"/>
      <c r="W56" s="126">
        <v>500</v>
      </c>
    </row>
    <row r="57" spans="1:25">
      <c r="A57" s="60" t="s">
        <v>1325</v>
      </c>
      <c r="B57" s="36" t="str">
        <f>IFERROR(HYPERLINK(VLOOKUP(A57,ÜRÜNLER!A:C,3,FALSE),VLOOKUP(A57,ÜRÜNLER!A:B,2,FALSE)),"")</f>
        <v>iQ300 Derin Dondurucu, 186x60cm, No-Frost, Inox</v>
      </c>
      <c r="C57" s="4"/>
      <c r="D57" s="4"/>
      <c r="E57" s="5"/>
      <c r="F57" s="5"/>
      <c r="G57" s="5"/>
      <c r="H57" s="5"/>
      <c r="I57" s="6"/>
      <c r="J57" s="6"/>
      <c r="K57" s="5"/>
      <c r="L57" s="5"/>
      <c r="M57" s="6"/>
      <c r="N57" s="39">
        <f t="shared" si="1"/>
        <v>0</v>
      </c>
      <c r="O57" s="40">
        <v>0</v>
      </c>
      <c r="P57" s="59" t="s">
        <v>1536</v>
      </c>
      <c r="Q57" s="125">
        <v>34578.68292151163</v>
      </c>
      <c r="R57" s="129">
        <v>38036.551213662795</v>
      </c>
      <c r="S57" s="124">
        <v>39558.013262209308</v>
      </c>
      <c r="T57" s="124">
        <v>41079.475310755821</v>
      </c>
      <c r="U57" s="125">
        <v>1658.6009542985194</v>
      </c>
      <c r="V57" s="123"/>
      <c r="W57" s="129"/>
      <c r="Y57" s="108"/>
    </row>
    <row r="58" spans="1:25">
      <c r="A58" s="60" t="s">
        <v>57</v>
      </c>
      <c r="B58" s="36" t="str">
        <f>IFERROR(HYPERLINK(VLOOKUP(A58,ÜRÜNLER!A:C,3,FALSE),VLOOKUP(A58,ÜRÜNLER!A:B,2,FALSE)),"")</f>
        <v>iQ300 Derin Dondurucu, 186x60cm, No-Frost, Beyaz</v>
      </c>
      <c r="C58" s="4"/>
      <c r="D58" s="4"/>
      <c r="E58" s="5"/>
      <c r="F58" s="5"/>
      <c r="G58" s="5"/>
      <c r="H58" s="5"/>
      <c r="I58" s="6"/>
      <c r="J58" s="6"/>
      <c r="K58" s="5"/>
      <c r="L58" s="5">
        <v>1</v>
      </c>
      <c r="M58" s="6"/>
      <c r="N58" s="39">
        <f t="shared" si="1"/>
        <v>1</v>
      </c>
      <c r="O58" s="40">
        <v>0</v>
      </c>
      <c r="P58" s="59" t="s">
        <v>1536</v>
      </c>
      <c r="Q58" s="125" t="s">
        <v>1773</v>
      </c>
      <c r="R58" s="123">
        <v>30000</v>
      </c>
      <c r="S58" s="124">
        <v>31200</v>
      </c>
      <c r="T58" s="124">
        <v>32400</v>
      </c>
      <c r="U58" s="125"/>
      <c r="V58" s="123"/>
      <c r="W58" s="126">
        <v>500</v>
      </c>
    </row>
    <row r="59" spans="1:25">
      <c r="A59" s="101" t="s">
        <v>58</v>
      </c>
      <c r="B59" s="36" t="str">
        <f>IFERROR(HYPERLINK(VLOOKUP(A59,ÜRÜNLER!A:C,3,FALSE),VLOOKUP(A59,ÜRÜNLER!A:B,2,FALSE)),"")</f>
        <v>iQ300 Derin Dondurucu, 176x70cm, No-Frost, Beyaz</v>
      </c>
      <c r="C59" s="4">
        <v>59</v>
      </c>
      <c r="D59" s="4"/>
      <c r="E59" s="5">
        <v>3</v>
      </c>
      <c r="F59" s="5"/>
      <c r="G59" s="5"/>
      <c r="H59" s="5"/>
      <c r="I59" s="6"/>
      <c r="J59" s="6"/>
      <c r="K59" s="5"/>
      <c r="L59" s="5"/>
      <c r="M59" s="6"/>
      <c r="N59" s="39">
        <f t="shared" si="1"/>
        <v>62</v>
      </c>
      <c r="O59" s="40">
        <v>0</v>
      </c>
      <c r="P59" s="59" t="s">
        <v>1536</v>
      </c>
      <c r="Q59" s="125">
        <v>41328.219470344258</v>
      </c>
      <c r="R59" s="129">
        <v>45461.041417378685</v>
      </c>
      <c r="S59" s="124">
        <v>47279.483074073833</v>
      </c>
      <c r="T59" s="124">
        <v>49097.92473076898</v>
      </c>
      <c r="U59" s="125">
        <v>1989.9841762266078</v>
      </c>
      <c r="V59" s="123"/>
      <c r="W59" s="129"/>
      <c r="Y59" s="108"/>
    </row>
    <row r="60" spans="1:25" ht="36" customHeight="1">
      <c r="A60" s="100" t="s">
        <v>1488</v>
      </c>
      <c r="B60" s="36" t="str">
        <f>IFERROR(HYPERLINK(VLOOKUP(A60,ÜRÜNLER!A:C,3,FALSE),VLOOKUP(A60,ÜRÜNLER!A:B,2,FALSE)),"")</f>
        <v/>
      </c>
      <c r="C60" s="4"/>
      <c r="D60" s="4"/>
      <c r="E60" s="5"/>
      <c r="F60" s="5"/>
      <c r="G60" s="5"/>
      <c r="H60" s="5"/>
      <c r="I60" s="6"/>
      <c r="J60" s="6"/>
      <c r="K60" s="5"/>
      <c r="L60" s="5"/>
      <c r="M60" s="6"/>
      <c r="N60" s="39">
        <f>SUM(N50:N59)</f>
        <v>495</v>
      </c>
      <c r="O60" s="40">
        <v>0</v>
      </c>
      <c r="P60" s="5"/>
      <c r="R60" s="129"/>
      <c r="S60" s="124"/>
      <c r="T60" s="124"/>
      <c r="U60" s="125"/>
      <c r="V60" s="123"/>
      <c r="W60" s="129"/>
    </row>
    <row r="61" spans="1:25">
      <c r="A61" s="57" t="s">
        <v>59</v>
      </c>
      <c r="B61" s="36" t="str">
        <f>IFERROR(HYPERLINK(VLOOKUP(A61,ÜRÜNLER!A:C,3,FALSE),VLOOKUP(A61,ÜRÜNLER!A:B,2,FALSE)),"")</f>
        <v>iQ700 studioLine Ankastre Şarap Soğutucu, 212.5x60.3cm</v>
      </c>
      <c r="C61" s="4"/>
      <c r="D61" s="4">
        <v>4</v>
      </c>
      <c r="E61" s="5"/>
      <c r="F61" s="5"/>
      <c r="G61" s="5"/>
      <c r="H61" s="5">
        <v>1</v>
      </c>
      <c r="I61" s="6"/>
      <c r="J61" s="6"/>
      <c r="K61" s="5"/>
      <c r="L61" s="5"/>
      <c r="M61" s="6"/>
      <c r="N61" s="39">
        <f t="shared" ref="N61:N74" si="2">M61+K61+L61+J61+I61+H61+G61+F61+E61+D61+C61</f>
        <v>5</v>
      </c>
      <c r="O61" s="40">
        <v>0</v>
      </c>
      <c r="P61" s="29"/>
      <c r="Q61" s="125" t="s">
        <v>1773</v>
      </c>
      <c r="R61" s="135">
        <v>279033.75853787118</v>
      </c>
      <c r="S61" s="124">
        <v>290195.10887938604</v>
      </c>
      <c r="T61" s="124">
        <v>301356.4592209009</v>
      </c>
      <c r="U61" s="125"/>
      <c r="V61" s="123"/>
      <c r="W61" s="129">
        <v>250</v>
      </c>
    </row>
    <row r="62" spans="1:25">
      <c r="A62" s="57" t="s">
        <v>60</v>
      </c>
      <c r="B62" s="36" t="str">
        <f>IFERROR(HYPERLINK(VLOOKUP(A62,ÜRÜNLER!A:C,3,FALSE),VLOOKUP(A62,ÜRÜNLER!A:B,2,FALSE)),"")</f>
        <v>iQ700 studioLine Alttan Donduruculu Ankastre Buzdolabı, 212.5x75.6cm, Düz Menteşe</v>
      </c>
      <c r="C62" s="4"/>
      <c r="D62" s="4">
        <v>2</v>
      </c>
      <c r="E62" s="5"/>
      <c r="F62" s="5"/>
      <c r="G62" s="5"/>
      <c r="H62" s="5">
        <v>1</v>
      </c>
      <c r="I62" s="6"/>
      <c r="J62" s="6"/>
      <c r="K62" s="5"/>
      <c r="L62" s="5"/>
      <c r="M62" s="6"/>
      <c r="N62" s="39">
        <f t="shared" si="2"/>
        <v>3</v>
      </c>
      <c r="O62" s="40">
        <v>0</v>
      </c>
      <c r="P62" s="29"/>
      <c r="Q62" s="125" t="s">
        <v>1773</v>
      </c>
      <c r="R62" s="134">
        <v>375000</v>
      </c>
      <c r="S62" s="124">
        <v>390000</v>
      </c>
      <c r="T62" s="124">
        <v>405000</v>
      </c>
      <c r="U62" s="125"/>
      <c r="V62" s="123"/>
      <c r="W62" s="126">
        <v>1000</v>
      </c>
      <c r="Y62" s="56" t="s">
        <v>1841</v>
      </c>
    </row>
    <row r="63" spans="1:25">
      <c r="A63" s="64" t="s">
        <v>61</v>
      </c>
      <c r="B63" s="36" t="str">
        <f>IFERROR(HYPERLINK(VLOOKUP(A63,ÜRÜNLER!A:C,3,FALSE),VLOOKUP(A63,ÜRÜNLER!A:B,2,FALSE)),"")</f>
        <v>iQ700 studioLine Ankastre Buzdolabı, 212.5x75.6cm, Düz Menteşe</v>
      </c>
      <c r="C63" s="4"/>
      <c r="D63" s="4">
        <v>5</v>
      </c>
      <c r="E63" s="5"/>
      <c r="F63" s="5"/>
      <c r="G63" s="5">
        <v>1</v>
      </c>
      <c r="H63" s="5"/>
      <c r="I63" s="6"/>
      <c r="J63" s="6">
        <v>1</v>
      </c>
      <c r="K63" s="5"/>
      <c r="L63" s="5"/>
      <c r="M63" s="6"/>
      <c r="N63" s="39">
        <f t="shared" si="2"/>
        <v>7</v>
      </c>
      <c r="O63" s="40">
        <v>0</v>
      </c>
      <c r="P63" s="29"/>
      <c r="Q63" s="125" t="s">
        <v>1773</v>
      </c>
      <c r="R63" s="134">
        <v>400000</v>
      </c>
      <c r="S63" s="124">
        <v>416000</v>
      </c>
      <c r="T63" s="124">
        <v>432000</v>
      </c>
      <c r="U63" s="125"/>
      <c r="V63" s="123"/>
      <c r="W63" s="126">
        <v>1000</v>
      </c>
    </row>
    <row r="64" spans="1:25">
      <c r="A64" s="57" t="s">
        <v>62</v>
      </c>
      <c r="B64" s="36" t="str">
        <f>IFERROR(HYPERLINK(VLOOKUP(A64,ÜRÜNLER!A:C,3,FALSE),VLOOKUP(A64,ÜRÜNLER!A:B,2,FALSE)),"")</f>
        <v>iQ700 Alttan Donduruculu Ankastre Buzdolabı, 212.5x90.8cm, Düz Menteşe</v>
      </c>
      <c r="C64" s="4"/>
      <c r="D64" s="4"/>
      <c r="E64" s="5">
        <v>1</v>
      </c>
      <c r="F64" s="5"/>
      <c r="G64" s="5"/>
      <c r="H64" s="5">
        <v>1</v>
      </c>
      <c r="I64" s="6"/>
      <c r="J64" s="6"/>
      <c r="K64" s="5"/>
      <c r="L64" s="5">
        <v>1</v>
      </c>
      <c r="M64" s="6"/>
      <c r="N64" s="39">
        <f t="shared" si="2"/>
        <v>3</v>
      </c>
      <c r="O64" s="40">
        <v>0</v>
      </c>
      <c r="P64" s="29"/>
      <c r="Q64" s="125" t="s">
        <v>1773</v>
      </c>
      <c r="R64" s="134">
        <v>325000</v>
      </c>
      <c r="S64" s="124">
        <v>338000</v>
      </c>
      <c r="T64" s="124">
        <v>351000</v>
      </c>
      <c r="U64" s="125"/>
      <c r="V64" s="123"/>
      <c r="W64" s="126">
        <v>1000</v>
      </c>
    </row>
    <row r="65" spans="1:25">
      <c r="A65" s="64" t="s">
        <v>63</v>
      </c>
      <c r="B65" s="36" t="str">
        <f>IFERROR(HYPERLINK(VLOOKUP(A65,ÜRÜNLER!A:C,3,FALSE),VLOOKUP(A65,ÜRÜNLER!A:B,2,FALSE)),"")</f>
        <v>iQ700 Ankastre Derin Dondurucu, 212.5x60.3cm, Düz Menteşe</v>
      </c>
      <c r="C65" s="4"/>
      <c r="D65" s="4"/>
      <c r="E65" s="5"/>
      <c r="F65" s="5">
        <v>1</v>
      </c>
      <c r="G65" s="5"/>
      <c r="H65" s="5"/>
      <c r="I65" s="6"/>
      <c r="J65" s="6">
        <v>1</v>
      </c>
      <c r="K65" s="5"/>
      <c r="L65" s="5">
        <v>1</v>
      </c>
      <c r="M65" s="6"/>
      <c r="N65" s="39">
        <f t="shared" si="2"/>
        <v>3</v>
      </c>
      <c r="O65" s="40">
        <v>0</v>
      </c>
      <c r="P65" s="29"/>
      <c r="Q65" s="125" t="s">
        <v>1773</v>
      </c>
      <c r="R65" s="134">
        <v>300000</v>
      </c>
      <c r="S65" s="124">
        <v>312000</v>
      </c>
      <c r="T65" s="124">
        <v>324000</v>
      </c>
      <c r="U65" s="125"/>
      <c r="V65" s="123"/>
      <c r="W65" s="126">
        <v>1000</v>
      </c>
    </row>
    <row r="66" spans="1:25">
      <c r="A66" s="64" t="s">
        <v>64</v>
      </c>
      <c r="B66" s="36" t="str">
        <f>IFERROR(HYPERLINK(VLOOKUP(A66,ÜRÜNLER!A:C,3,FALSE),VLOOKUP(A66,ÜRÜNLER!A:B,2,FALSE)),"")</f>
        <v>iQ700 Ankastre Derin Dondurucu, 212.5x60.3cm, Düz Menteşe</v>
      </c>
      <c r="C66" s="4">
        <v>1</v>
      </c>
      <c r="D66" s="4"/>
      <c r="E66" s="5"/>
      <c r="F66" s="5"/>
      <c r="G66" s="5"/>
      <c r="H66" s="5"/>
      <c r="I66" s="6"/>
      <c r="J66" s="6"/>
      <c r="K66" s="5"/>
      <c r="L66" s="5"/>
      <c r="M66" s="6"/>
      <c r="N66" s="39">
        <f t="shared" si="2"/>
        <v>1</v>
      </c>
      <c r="O66" s="40">
        <v>0</v>
      </c>
      <c r="P66" s="29"/>
      <c r="Q66" s="125" t="s">
        <v>1773</v>
      </c>
      <c r="R66" s="129">
        <v>323156.50178004295</v>
      </c>
      <c r="S66" s="124">
        <v>336082.76185124466</v>
      </c>
      <c r="T66" s="124">
        <v>349009.02192244638</v>
      </c>
      <c r="U66" s="125"/>
      <c r="V66" s="123"/>
      <c r="W66" s="129"/>
    </row>
    <row r="67" spans="1:25">
      <c r="A67" s="64" t="s">
        <v>65</v>
      </c>
      <c r="B67" s="36" t="str">
        <f>IFERROR(HYPERLINK(VLOOKUP(A67,ÜRÜNLER!A:C,3,FALSE),VLOOKUP(A67,ÜRÜNLER!A:B,2,FALSE)),"")</f>
        <v>iQ500 Tezgah Altı Ankastre Buzdolabı, 82x59.8cm, softClosing Düz Menteşe</v>
      </c>
      <c r="C67" s="4"/>
      <c r="D67" s="4"/>
      <c r="E67" s="5"/>
      <c r="F67" s="5"/>
      <c r="G67" s="5"/>
      <c r="H67" s="5"/>
      <c r="I67" s="6"/>
      <c r="J67" s="6"/>
      <c r="K67" s="5"/>
      <c r="L67" s="5"/>
      <c r="M67" s="6"/>
      <c r="N67" s="39">
        <f t="shared" si="2"/>
        <v>0</v>
      </c>
      <c r="O67" s="40">
        <v>3</v>
      </c>
      <c r="P67" s="29"/>
      <c r="Q67" s="125">
        <v>69903.349893729057</v>
      </c>
      <c r="R67" s="129">
        <v>66893.157793042163</v>
      </c>
      <c r="S67" s="124">
        <v>69568.884104763856</v>
      </c>
      <c r="T67" s="124">
        <v>72244.610416485535</v>
      </c>
      <c r="U67" s="125"/>
      <c r="V67" s="123"/>
      <c r="W67" s="129"/>
    </row>
    <row r="68" spans="1:25">
      <c r="A68" s="64" t="s">
        <v>66</v>
      </c>
      <c r="B68" s="36" t="str">
        <f>IFERROR(HYPERLINK(VLOOKUP(A68,ÜRÜNLER!A:C,3,FALSE),VLOOKUP(A68,ÜRÜNLER!A:B,2,FALSE)),"")</f>
        <v>iQ500 Ankastre Şarap Soğutucu, 81.8x59.8cm</v>
      </c>
      <c r="C68" s="4"/>
      <c r="D68" s="4"/>
      <c r="E68" s="5"/>
      <c r="F68" s="5"/>
      <c r="G68" s="5"/>
      <c r="H68" s="5"/>
      <c r="I68" s="6"/>
      <c r="J68" s="6">
        <v>1</v>
      </c>
      <c r="K68" s="5"/>
      <c r="L68" s="5"/>
      <c r="M68" s="6">
        <v>1</v>
      </c>
      <c r="N68" s="39">
        <f t="shared" si="2"/>
        <v>2</v>
      </c>
      <c r="O68" s="40">
        <v>3</v>
      </c>
      <c r="P68" s="29"/>
      <c r="Q68" s="125">
        <v>107384.56032754118</v>
      </c>
      <c r="R68" s="129">
        <v>102760.3448110442</v>
      </c>
      <c r="S68" s="124">
        <v>106870.75860348597</v>
      </c>
      <c r="T68" s="124">
        <v>110981.17239592773</v>
      </c>
      <c r="U68" s="125"/>
      <c r="V68" s="123"/>
      <c r="W68" s="129"/>
    </row>
    <row r="69" spans="1:25">
      <c r="A69" s="63" t="s">
        <v>67</v>
      </c>
      <c r="B69" s="36" t="str">
        <f>IFERROR(HYPERLINK(VLOOKUP(A69,ÜRÜNLER!A:C,3,FALSE),VLOOKUP(A69,ÜRÜNLER!A:B,2,FALSE)),"")</f>
        <v>iQ500 Derin Donduruculu Ankastre Buzdolabı, 177.2x55.8cm, softClosing Düz Menteşe</v>
      </c>
      <c r="C69" s="4">
        <v>8</v>
      </c>
      <c r="D69" s="4"/>
      <c r="E69" s="5"/>
      <c r="F69" s="5">
        <v>1</v>
      </c>
      <c r="G69" s="5"/>
      <c r="H69" s="5"/>
      <c r="I69" s="6"/>
      <c r="J69" s="6"/>
      <c r="K69" s="5"/>
      <c r="L69" s="5"/>
      <c r="M69" s="6"/>
      <c r="N69" s="39">
        <f t="shared" si="2"/>
        <v>9</v>
      </c>
      <c r="O69" s="40">
        <v>0</v>
      </c>
      <c r="P69" s="29"/>
      <c r="Q69" s="125">
        <v>100312.20831803433</v>
      </c>
      <c r="R69" s="128">
        <v>95296.59790213262</v>
      </c>
      <c r="S69" s="124">
        <v>99108.461818217926</v>
      </c>
      <c r="T69" s="124">
        <v>102920.32573430323</v>
      </c>
      <c r="U69" s="125"/>
      <c r="V69" s="123"/>
      <c r="W69" s="129"/>
    </row>
    <row r="70" spans="1:25">
      <c r="A70" s="64" t="s">
        <v>68</v>
      </c>
      <c r="B70" s="36" t="str">
        <f>IFERROR(HYPERLINK(VLOOKUP(A70,ÜRÜNLER!A:C,3,FALSE),VLOOKUP(A70,ÜRÜNLER!A:B,2,FALSE)),"")</f>
        <v>iQ500 Alttan Donduruculu Ankastre Buzdolabı, 177.2x55.8cm, softClosing Düz Menteşe</v>
      </c>
      <c r="C70" s="4"/>
      <c r="D70" s="4"/>
      <c r="E70" s="5"/>
      <c r="F70" s="5"/>
      <c r="G70" s="5">
        <v>1</v>
      </c>
      <c r="H70" s="5"/>
      <c r="I70" s="6"/>
      <c r="J70" s="6"/>
      <c r="K70" s="5"/>
      <c r="L70" s="5"/>
      <c r="M70" s="6"/>
      <c r="N70" s="39">
        <f t="shared" si="2"/>
        <v>1</v>
      </c>
      <c r="O70" s="40">
        <v>0</v>
      </c>
      <c r="P70" s="29"/>
      <c r="Q70" s="125" t="s">
        <v>1773</v>
      </c>
      <c r="R70" s="123">
        <v>75000</v>
      </c>
      <c r="S70" s="124">
        <v>78000</v>
      </c>
      <c r="T70" s="124">
        <v>81000</v>
      </c>
      <c r="U70" s="125"/>
      <c r="V70" s="123"/>
      <c r="W70" s="130">
        <v>1000</v>
      </c>
    </row>
    <row r="71" spans="1:25">
      <c r="A71" s="57" t="s">
        <v>69</v>
      </c>
      <c r="B71" s="36" t="str">
        <f>IFERROR(HYPERLINK(VLOOKUP(A71,ÜRÜNLER!A:C,3,FALSE),VLOOKUP(A71,ÜRÜNLER!A:B,2,FALSE)),"")</f>
        <v>iQ500 Alttan Donduruculu Ankastre Buzdolabı, 177.2x55.8cm, Düz Menteşe</v>
      </c>
      <c r="C71" s="4"/>
      <c r="D71" s="4"/>
      <c r="E71" s="5">
        <v>2</v>
      </c>
      <c r="F71" s="5"/>
      <c r="G71" s="5"/>
      <c r="H71" s="5"/>
      <c r="I71" s="6"/>
      <c r="J71" s="6">
        <v>1</v>
      </c>
      <c r="K71" s="5"/>
      <c r="L71" s="5">
        <v>1</v>
      </c>
      <c r="M71" s="6"/>
      <c r="N71" s="39">
        <f t="shared" si="2"/>
        <v>4</v>
      </c>
      <c r="O71" s="40">
        <v>5</v>
      </c>
      <c r="P71" s="29"/>
      <c r="Q71" s="125">
        <v>101735.10495069233</v>
      </c>
      <c r="R71" s="129">
        <v>97354.167416930461</v>
      </c>
      <c r="S71" s="124">
        <v>101248.33411360768</v>
      </c>
      <c r="T71" s="124">
        <v>105142.5008102849</v>
      </c>
      <c r="U71" s="125"/>
      <c r="V71" s="123"/>
      <c r="W71" s="129"/>
    </row>
    <row r="72" spans="1:25">
      <c r="A72" s="57" t="s">
        <v>1782</v>
      </c>
      <c r="B72" s="36" t="str">
        <f>IFERROR(HYPERLINK(VLOOKUP(A72,ÜRÜNLER!A:C,3,FALSE),VLOOKUP(A72,ÜRÜNLER!A:B,2,FALSE)),"")</f>
        <v>iQ500 Alttan Donduruculu Ankastre Buzdolabı, 193.5x70.8cm, softClosing Düz Menteşe</v>
      </c>
      <c r="C72" s="4"/>
      <c r="D72" s="4"/>
      <c r="E72" s="5"/>
      <c r="F72" s="5"/>
      <c r="G72" s="5"/>
      <c r="H72" s="5"/>
      <c r="I72" s="6"/>
      <c r="J72" s="6"/>
      <c r="K72" s="5"/>
      <c r="L72" s="5"/>
      <c r="M72" s="6"/>
      <c r="N72" s="39">
        <f t="shared" si="2"/>
        <v>0</v>
      </c>
      <c r="O72" s="40">
        <v>4</v>
      </c>
      <c r="P72" s="29"/>
      <c r="Q72" s="125">
        <v>125395.81308964087</v>
      </c>
      <c r="R72" s="129">
        <v>119995.99338721613</v>
      </c>
      <c r="S72" s="124">
        <v>124795.83312270477</v>
      </c>
      <c r="T72" s="124">
        <v>129595.67285819343</v>
      </c>
      <c r="U72" s="125"/>
      <c r="V72" s="123"/>
      <c r="W72" s="129"/>
    </row>
    <row r="73" spans="1:25">
      <c r="A73" s="64" t="s">
        <v>70</v>
      </c>
      <c r="B73" s="36" t="str">
        <f>IFERROR(HYPERLINK(VLOOKUP(A73,ÜRÜNLER!A:C,3,FALSE),VLOOKUP(A73,ÜRÜNLER!A:B,2,FALSE)),"")</f>
        <v>iQ500 Alttan Donduruculu Ankastre Buzdolabı, 193.5x70.8cm, softClosing Düz Menteşe</v>
      </c>
      <c r="C73" s="4">
        <v>1</v>
      </c>
      <c r="D73" s="4"/>
      <c r="E73" s="5"/>
      <c r="F73" s="5"/>
      <c r="G73" s="5"/>
      <c r="H73" s="5"/>
      <c r="I73" s="6"/>
      <c r="J73" s="6"/>
      <c r="K73" s="5"/>
      <c r="L73" s="5"/>
      <c r="M73" s="6"/>
      <c r="N73" s="39">
        <f t="shared" si="2"/>
        <v>1</v>
      </c>
      <c r="O73" s="40">
        <v>5</v>
      </c>
      <c r="P73" s="29"/>
      <c r="Q73" s="125">
        <v>125395.81308964087</v>
      </c>
      <c r="R73" s="129">
        <v>119995.99338721613</v>
      </c>
      <c r="S73" s="124">
        <v>124795.83312270477</v>
      </c>
      <c r="T73" s="124">
        <v>129595.67285819343</v>
      </c>
      <c r="U73" s="125"/>
      <c r="V73" s="123"/>
      <c r="W73" s="129"/>
    </row>
    <row r="74" spans="1:25">
      <c r="A74" s="64" t="s">
        <v>1477</v>
      </c>
      <c r="B74" s="36" t="str">
        <f>IFERROR(HYPERLINK(VLOOKUP(A74,ÜRÜNLER!A:C,3,FALSE),VLOOKUP(A74,ÜRÜNLER!A:B,2,FALSE)),"")</f>
        <v>iQ500 studioLine Alttan Donduruculu Ankastre Buzdolabı, 193.5x70.8cm, Düz Menteşe</v>
      </c>
      <c r="C74" s="4"/>
      <c r="D74" s="4">
        <v>12</v>
      </c>
      <c r="E74" s="5"/>
      <c r="F74" s="5"/>
      <c r="G74" s="5"/>
      <c r="H74" s="5"/>
      <c r="I74" s="6"/>
      <c r="J74" s="6"/>
      <c r="K74" s="5"/>
      <c r="L74" s="5"/>
      <c r="M74" s="6"/>
      <c r="N74" s="39">
        <f t="shared" si="2"/>
        <v>12</v>
      </c>
      <c r="O74" s="40">
        <v>0</v>
      </c>
      <c r="P74" s="29"/>
      <c r="Q74" s="125">
        <v>151937.5120382171</v>
      </c>
      <c r="R74" s="130">
        <v>126493.43107487932</v>
      </c>
      <c r="S74" s="124">
        <v>131553.16831787449</v>
      </c>
      <c r="T74" s="124">
        <v>136612.90556086967</v>
      </c>
      <c r="U74" s="125"/>
      <c r="V74" s="123"/>
      <c r="W74" s="126">
        <v>500</v>
      </c>
    </row>
    <row r="75" spans="1:25" s="9" customFormat="1" ht="35.25" customHeight="1">
      <c r="A75" s="100" t="s">
        <v>71</v>
      </c>
      <c r="B75" s="36" t="str">
        <f>IFERROR(HYPERLINK(VLOOKUP(A75,ÜRÜNLER!A:C,3,FALSE),VLOOKUP(A75,ÜRÜNLER!A:B,2,FALSE)),"")</f>
        <v/>
      </c>
      <c r="C75" s="4"/>
      <c r="D75" s="4"/>
      <c r="E75" s="5"/>
      <c r="F75" s="5"/>
      <c r="G75" s="5"/>
      <c r="H75" s="5"/>
      <c r="I75" s="6"/>
      <c r="J75" s="6"/>
      <c r="K75" s="5"/>
      <c r="L75" s="5"/>
      <c r="M75" s="6"/>
      <c r="N75" s="39">
        <f>SUM(N61:N74)</f>
        <v>51</v>
      </c>
      <c r="O75" s="40">
        <v>0</v>
      </c>
      <c r="P75" s="5"/>
      <c r="Q75" s="125"/>
      <c r="R75" s="122"/>
      <c r="S75" s="122"/>
      <c r="T75" s="124"/>
      <c r="U75" s="125"/>
      <c r="V75" s="123"/>
      <c r="W75" s="129"/>
      <c r="X75" s="127"/>
      <c r="Y75" s="45"/>
    </row>
    <row r="76" spans="1:25">
      <c r="A76" s="61" t="s">
        <v>1421</v>
      </c>
      <c r="B76" s="36" t="str">
        <f>IFERROR(HYPERLINK(VLOOKUP(A76,ÜRÜNLER!A:C,3,FALSE),VLOOKUP(A76,ÜRÜNLER!A:B,2,FALSE)),"")</f>
        <v>iQ300 Çamaşır Makinesi, 9kg/1200devir, Gümüş</v>
      </c>
      <c r="C76" s="4"/>
      <c r="D76" s="4"/>
      <c r="E76" s="5"/>
      <c r="F76" s="5"/>
      <c r="G76" s="5"/>
      <c r="H76" s="5"/>
      <c r="I76" s="6">
        <v>1</v>
      </c>
      <c r="J76" s="6"/>
      <c r="K76" s="5"/>
      <c r="L76" s="5"/>
      <c r="M76" s="6"/>
      <c r="N76" s="39">
        <f t="shared" ref="N76:N106" si="3">M76+K76+L76+J76+I76+H76+G76+F76+E76+D76+C76</f>
        <v>1</v>
      </c>
      <c r="O76" s="40">
        <v>0</v>
      </c>
      <c r="P76" s="29"/>
      <c r="Q76" s="125" t="s">
        <v>1773</v>
      </c>
      <c r="R76" s="129">
        <v>35000</v>
      </c>
      <c r="S76" s="124">
        <v>36400</v>
      </c>
      <c r="T76" s="124">
        <v>37800</v>
      </c>
      <c r="U76" s="125"/>
      <c r="V76" s="123"/>
      <c r="W76" s="126">
        <v>500</v>
      </c>
    </row>
    <row r="77" spans="1:25">
      <c r="A77" s="61" t="s">
        <v>74</v>
      </c>
      <c r="B77" s="36" t="str">
        <f>IFERROR(HYPERLINK(VLOOKUP(A77,ÜRÜNLER!A:C,3,FALSE),VLOOKUP(A77,ÜRÜNLER!A:B,2,FALSE)),"")</f>
        <v>iQ300 Çamaşır Makinesi, 9kg/1200devir, Beyaz</v>
      </c>
      <c r="C77" s="4">
        <v>7</v>
      </c>
      <c r="D77" s="4"/>
      <c r="E77" s="5"/>
      <c r="F77" s="5"/>
      <c r="G77" s="5">
        <v>1</v>
      </c>
      <c r="H77" s="5"/>
      <c r="I77" s="6">
        <v>2</v>
      </c>
      <c r="J77" s="6">
        <v>2</v>
      </c>
      <c r="K77" s="5">
        <v>1</v>
      </c>
      <c r="L77" s="5"/>
      <c r="M77" s="6">
        <v>1</v>
      </c>
      <c r="N77" s="39">
        <f t="shared" si="3"/>
        <v>14</v>
      </c>
      <c r="O77" s="40">
        <v>0</v>
      </c>
      <c r="P77" s="44"/>
      <c r="Q77" s="125">
        <v>35478.870163799198</v>
      </c>
      <c r="R77" s="129">
        <v>33951.071927080571</v>
      </c>
      <c r="S77" s="124">
        <v>35309.114804163793</v>
      </c>
      <c r="T77" s="124">
        <v>36667.157681247016</v>
      </c>
      <c r="U77" s="125">
        <v>1455.6143498457095</v>
      </c>
      <c r="V77" s="123"/>
      <c r="W77" s="129"/>
    </row>
    <row r="78" spans="1:25">
      <c r="A78" s="61" t="s">
        <v>75</v>
      </c>
      <c r="B78" s="36" t="str">
        <f>IFERROR(HYPERLINK(VLOOKUP(A78,ÜRÜNLER!A:C,3,FALSE),VLOOKUP(A78,ÜRÜNLER!A:B,2,FALSE)),"")</f>
        <v>iQ500 Çamaşır Makinesi, 9kg/1200devir, Beyaz</v>
      </c>
      <c r="C78" s="4">
        <v>32</v>
      </c>
      <c r="D78" s="4"/>
      <c r="E78" s="5"/>
      <c r="F78" s="5"/>
      <c r="G78" s="5"/>
      <c r="H78" s="5"/>
      <c r="I78" s="6">
        <v>1</v>
      </c>
      <c r="J78" s="6"/>
      <c r="K78" s="5"/>
      <c r="L78" s="5">
        <v>1</v>
      </c>
      <c r="M78" s="6"/>
      <c r="N78" s="39">
        <f t="shared" si="3"/>
        <v>34</v>
      </c>
      <c r="O78" s="40">
        <v>0</v>
      </c>
      <c r="P78" s="29"/>
      <c r="Q78" s="125">
        <v>45590.828425347914</v>
      </c>
      <c r="R78" s="128">
        <v>43311.287004080521</v>
      </c>
      <c r="S78" s="124">
        <v>45043.738484243739</v>
      </c>
      <c r="T78" s="124">
        <v>46776.189964406964</v>
      </c>
      <c r="U78" s="125"/>
      <c r="V78" s="123"/>
      <c r="W78" s="129"/>
    </row>
    <row r="79" spans="1:25">
      <c r="A79" s="102" t="s">
        <v>76</v>
      </c>
      <c r="B79" s="36" t="str">
        <f>IFERROR(HYPERLINK(VLOOKUP(A79,ÜRÜNLER!A:C,3,FALSE),VLOOKUP(A79,ÜRÜNLER!A:B,2,FALSE)),"")</f>
        <v>iQ500 Çamaşır Makinesi, 9kg/1200devir, Gümüş</v>
      </c>
      <c r="C79" s="4">
        <v>52</v>
      </c>
      <c r="D79" s="4"/>
      <c r="E79" s="5"/>
      <c r="F79" s="5"/>
      <c r="G79" s="5"/>
      <c r="H79" s="5"/>
      <c r="I79" s="6">
        <v>1</v>
      </c>
      <c r="J79" s="6">
        <v>1</v>
      </c>
      <c r="K79" s="5">
        <v>1</v>
      </c>
      <c r="L79" s="5"/>
      <c r="M79" s="6">
        <v>1</v>
      </c>
      <c r="N79" s="39">
        <f t="shared" si="3"/>
        <v>56</v>
      </c>
      <c r="O79" s="40">
        <v>0</v>
      </c>
      <c r="P79" s="44"/>
      <c r="Q79" s="125">
        <v>47541.989011553684</v>
      </c>
      <c r="R79" s="128">
        <v>45164.889560976</v>
      </c>
      <c r="S79" s="123">
        <v>46971.485143415041</v>
      </c>
      <c r="T79" s="124">
        <v>48778.080725854081</v>
      </c>
      <c r="U79" s="125"/>
      <c r="V79" s="123"/>
      <c r="W79" s="129"/>
    </row>
    <row r="80" spans="1:25">
      <c r="A80" s="61" t="s">
        <v>77</v>
      </c>
      <c r="B80" s="36" t="str">
        <f>IFERROR(HYPERLINK(VLOOKUP(A80,ÜRÜNLER!A:C,3,FALSE),VLOOKUP(A80,ÜRÜNLER!A:B,2,FALSE)),"")</f>
        <v>iQ300 Çamaşır Makinesi, 9kg/1400devir, Beyaz</v>
      </c>
      <c r="C80" s="4"/>
      <c r="D80" s="4"/>
      <c r="E80" s="5"/>
      <c r="F80" s="5"/>
      <c r="G80" s="5"/>
      <c r="H80" s="5"/>
      <c r="I80" s="6">
        <v>1</v>
      </c>
      <c r="J80" s="6"/>
      <c r="K80" s="5"/>
      <c r="L80" s="5"/>
      <c r="M80" s="6"/>
      <c r="N80" s="39">
        <f t="shared" si="3"/>
        <v>1</v>
      </c>
      <c r="O80" s="40">
        <v>0</v>
      </c>
      <c r="P80" s="29"/>
      <c r="Q80" s="125" t="s">
        <v>1773</v>
      </c>
      <c r="R80" s="131">
        <v>32000</v>
      </c>
      <c r="S80" s="124">
        <v>33280</v>
      </c>
      <c r="T80" s="124">
        <v>34560</v>
      </c>
      <c r="U80" s="125"/>
      <c r="V80" s="123"/>
      <c r="W80" s="126">
        <v>500</v>
      </c>
    </row>
    <row r="81" spans="1:25">
      <c r="A81" s="61" t="s">
        <v>79</v>
      </c>
      <c r="B81" s="36" t="str">
        <f>IFERROR(HYPERLINK(VLOOKUP(A81,ÜRÜNLER!A:C,3,FALSE),VLOOKUP(A81,ÜRÜNLER!A:B,2,FALSE)),"")</f>
        <v>iQ700 Çamaşır Makinesi, 9kg/1400devir, i-dos, Beyaz</v>
      </c>
      <c r="C81" s="4"/>
      <c r="D81" s="4"/>
      <c r="E81" s="5"/>
      <c r="F81" s="5"/>
      <c r="G81" s="5"/>
      <c r="H81" s="5"/>
      <c r="I81" s="6"/>
      <c r="J81" s="6">
        <v>1</v>
      </c>
      <c r="K81" s="5"/>
      <c r="L81" s="5">
        <v>1</v>
      </c>
      <c r="M81" s="6">
        <v>1</v>
      </c>
      <c r="N81" s="39">
        <f t="shared" si="3"/>
        <v>3</v>
      </c>
      <c r="O81" s="40">
        <v>5</v>
      </c>
      <c r="P81" s="29"/>
      <c r="Q81" s="125">
        <v>53167.085575032099</v>
      </c>
      <c r="R81" s="129">
        <v>50878</v>
      </c>
      <c r="S81" s="124">
        <v>52913.120000000003</v>
      </c>
      <c r="T81" s="124">
        <v>54948.24</v>
      </c>
      <c r="U81" s="125"/>
      <c r="V81" s="123"/>
      <c r="W81" s="129"/>
    </row>
    <row r="82" spans="1:25">
      <c r="A82" s="61" t="s">
        <v>80</v>
      </c>
      <c r="B82" s="36" t="str">
        <f>IFERROR(HYPERLINK(VLOOKUP(A82,ÜRÜNLER!A:C,3,FALSE),VLOOKUP(A82,ÜRÜNLER!A:B,2,FALSE)),"")</f>
        <v>iQ500 Çamaşır Makinesi, 9kg/1400devir, Beyaz</v>
      </c>
      <c r="C82" s="4">
        <v>13</v>
      </c>
      <c r="D82" s="4"/>
      <c r="E82" s="5"/>
      <c r="F82" s="5">
        <v>1</v>
      </c>
      <c r="G82" s="5"/>
      <c r="H82" s="5"/>
      <c r="I82" s="6">
        <v>1</v>
      </c>
      <c r="J82" s="6">
        <v>1</v>
      </c>
      <c r="K82" s="5"/>
      <c r="L82" s="5"/>
      <c r="M82" s="6"/>
      <c r="N82" s="39">
        <f t="shared" si="3"/>
        <v>16</v>
      </c>
      <c r="O82" s="40">
        <v>0</v>
      </c>
      <c r="P82" s="29"/>
      <c r="Q82" s="125">
        <v>45245.966877999883</v>
      </c>
      <c r="R82" s="128">
        <v>42983.668534099888</v>
      </c>
      <c r="S82" s="124">
        <v>44703.015275463884</v>
      </c>
      <c r="T82" s="124">
        <v>46422.362016827879</v>
      </c>
      <c r="U82" s="125"/>
      <c r="V82" s="123"/>
      <c r="W82" s="129"/>
    </row>
    <row r="83" spans="1:25">
      <c r="A83" s="57" t="s">
        <v>81</v>
      </c>
      <c r="B83" s="36" t="str">
        <f>IFERROR(HYPERLINK(VLOOKUP(A83,ÜRÜNLER!A:C,3,FALSE),VLOOKUP(A83,ÜRÜNLER!A:B,2,FALSE)),"")</f>
        <v>iQ300 Çamaşır Makinesi, 10kg/1200devir, Beyaz</v>
      </c>
      <c r="C83" s="4"/>
      <c r="D83" s="4"/>
      <c r="E83" s="5"/>
      <c r="F83" s="5"/>
      <c r="G83" s="5"/>
      <c r="H83" s="5"/>
      <c r="I83" s="6">
        <v>1</v>
      </c>
      <c r="J83" s="6">
        <v>1</v>
      </c>
      <c r="K83" s="5"/>
      <c r="L83" s="5">
        <v>1</v>
      </c>
      <c r="M83" s="6"/>
      <c r="N83" s="39">
        <f t="shared" si="3"/>
        <v>3</v>
      </c>
      <c r="O83" s="40">
        <v>0</v>
      </c>
      <c r="P83" s="29"/>
      <c r="Q83" s="125" t="s">
        <v>1773</v>
      </c>
      <c r="R83" s="123">
        <v>34557</v>
      </c>
      <c r="S83" s="124">
        <v>35939.279999999999</v>
      </c>
      <c r="T83" s="124">
        <v>37321.56</v>
      </c>
      <c r="U83" s="125">
        <v>598.48948481139814</v>
      </c>
      <c r="V83" s="123"/>
      <c r="W83" s="126">
        <v>500</v>
      </c>
      <c r="Y83" s="46"/>
    </row>
    <row r="84" spans="1:25">
      <c r="A84" s="110" t="s">
        <v>1428</v>
      </c>
      <c r="B84" s="36" t="str">
        <f>IFERROR(HYPERLINK(VLOOKUP(A84,ÜRÜNLER!A:C,3,FALSE),VLOOKUP(A84,ÜRÜNLER!A:B,2,FALSE)),"")</f>
        <v>iQ300 Çamaşır Makinesi, 10kg/1200devir, Beyaz</v>
      </c>
      <c r="C84" s="4">
        <v>135</v>
      </c>
      <c r="D84" s="4"/>
      <c r="E84" s="5"/>
      <c r="F84" s="5"/>
      <c r="G84" s="5"/>
      <c r="H84" s="5"/>
      <c r="I84" s="6">
        <v>1</v>
      </c>
      <c r="J84" s="6">
        <v>1</v>
      </c>
      <c r="K84" s="5">
        <v>1</v>
      </c>
      <c r="L84" s="5"/>
      <c r="M84" s="6"/>
      <c r="N84" s="39">
        <f t="shared" si="3"/>
        <v>138</v>
      </c>
      <c r="O84" s="40">
        <v>0</v>
      </c>
      <c r="P84" s="29"/>
      <c r="Q84" s="125">
        <v>41077.18023255813</v>
      </c>
      <c r="R84" s="128">
        <v>39023.321220930222</v>
      </c>
      <c r="S84" s="124">
        <v>40584.254069767434</v>
      </c>
      <c r="T84" s="124">
        <v>42145.186918604639</v>
      </c>
      <c r="U84" s="125">
        <v>4123.6918604651073</v>
      </c>
      <c r="V84" s="123"/>
      <c r="W84" s="129"/>
      <c r="X84" s="137"/>
      <c r="Y84" s="46"/>
    </row>
    <row r="85" spans="1:25" s="10" customFormat="1">
      <c r="A85" s="63" t="s">
        <v>82</v>
      </c>
      <c r="B85" s="36" t="str">
        <f>IFERROR(HYPERLINK(VLOOKUP(A85,ÜRÜNLER!A:C,3,FALSE),VLOOKUP(A85,ÜRÜNLER!A:B,2,FALSE)),"")</f>
        <v>iQ500 Çamaşır Makinesi, 10kg/1200devir, i-dos, Beyaz</v>
      </c>
      <c r="C85" s="4"/>
      <c r="D85" s="4"/>
      <c r="E85" s="5"/>
      <c r="F85" s="5"/>
      <c r="G85" s="5"/>
      <c r="H85" s="5"/>
      <c r="I85" s="6"/>
      <c r="J85" s="6"/>
      <c r="K85" s="5"/>
      <c r="L85" s="5">
        <v>1</v>
      </c>
      <c r="M85" s="6"/>
      <c r="N85" s="39">
        <f t="shared" si="3"/>
        <v>1</v>
      </c>
      <c r="O85" s="40">
        <v>0</v>
      </c>
      <c r="P85" s="29"/>
      <c r="Q85" s="125" t="s">
        <v>1773</v>
      </c>
      <c r="R85" s="123">
        <v>40000</v>
      </c>
      <c r="S85" s="124">
        <v>41600</v>
      </c>
      <c r="T85" s="124">
        <v>43200</v>
      </c>
      <c r="U85" s="125"/>
      <c r="V85" s="123"/>
      <c r="W85" s="126">
        <v>500</v>
      </c>
      <c r="X85" s="127"/>
      <c r="Y85" s="41"/>
    </row>
    <row r="86" spans="1:25" s="10" customFormat="1">
      <c r="A86" s="63" t="s">
        <v>83</v>
      </c>
      <c r="B86" s="36" t="str">
        <f>IFERROR(HYPERLINK(VLOOKUP(A86,ÜRÜNLER!A:C,3,FALSE),VLOOKUP(A86,ÜRÜNLER!A:B,2,FALSE)),"")</f>
        <v>iQ500 Çamaşır Makinesi, 10kg/1200devir, i-dos, Beyaz</v>
      </c>
      <c r="C86" s="4"/>
      <c r="D86" s="4"/>
      <c r="E86" s="5">
        <v>1</v>
      </c>
      <c r="F86" s="5"/>
      <c r="G86" s="5"/>
      <c r="H86" s="5"/>
      <c r="I86" s="6">
        <v>1</v>
      </c>
      <c r="J86" s="6"/>
      <c r="K86" s="5">
        <v>1</v>
      </c>
      <c r="L86" s="5">
        <v>1</v>
      </c>
      <c r="M86" s="6">
        <v>1</v>
      </c>
      <c r="N86" s="39">
        <f t="shared" si="3"/>
        <v>5</v>
      </c>
      <c r="O86" s="40">
        <v>0</v>
      </c>
      <c r="P86" s="29"/>
      <c r="Q86" s="125" t="s">
        <v>1773</v>
      </c>
      <c r="R86" s="131">
        <v>40000</v>
      </c>
      <c r="S86" s="124">
        <v>41600</v>
      </c>
      <c r="T86" s="124">
        <v>43200</v>
      </c>
      <c r="U86" s="125"/>
      <c r="V86" s="123"/>
      <c r="W86" s="126">
        <v>500</v>
      </c>
      <c r="X86" s="127"/>
      <c r="Y86" s="41"/>
    </row>
    <row r="87" spans="1:25" s="10" customFormat="1">
      <c r="A87" s="57" t="s">
        <v>1431</v>
      </c>
      <c r="B87" s="36" t="str">
        <f>IFERROR(HYPERLINK(VLOOKUP(A87,ÜRÜNLER!A:C,3,FALSE),VLOOKUP(A87,ÜRÜNLER!A:B,2,FALSE)),"")</f>
        <v>iQ500 Çamaşır Makinesi, 10kg/1200devir, Beyaz</v>
      </c>
      <c r="C87" s="4"/>
      <c r="D87" s="4"/>
      <c r="E87" s="5"/>
      <c r="F87" s="5"/>
      <c r="G87" s="5"/>
      <c r="H87" s="5"/>
      <c r="I87" s="6"/>
      <c r="J87" s="6"/>
      <c r="K87" s="5"/>
      <c r="L87" s="5">
        <v>1</v>
      </c>
      <c r="M87" s="6"/>
      <c r="N87" s="39">
        <f t="shared" si="3"/>
        <v>1</v>
      </c>
      <c r="O87" s="40">
        <v>0</v>
      </c>
      <c r="P87" s="29"/>
      <c r="Q87" s="125" t="s">
        <v>1773</v>
      </c>
      <c r="R87" s="131">
        <v>40000</v>
      </c>
      <c r="S87" s="124">
        <v>41600</v>
      </c>
      <c r="T87" s="124">
        <v>43200</v>
      </c>
      <c r="U87" s="125"/>
      <c r="V87" s="123">
        <v>3490.44</v>
      </c>
      <c r="W87" s="126">
        <v>500</v>
      </c>
      <c r="X87" s="127"/>
      <c r="Y87" s="41"/>
    </row>
    <row r="88" spans="1:25">
      <c r="A88" s="103" t="s">
        <v>84</v>
      </c>
      <c r="B88" s="36" t="str">
        <f>IFERROR(HYPERLINK(VLOOKUP(A88,ÜRÜNLER!A:C,3,FALSE),VLOOKUP(A88,ÜRÜNLER!A:B,2,FALSE)),"")</f>
        <v>iQ300 Çamaşır Makinesi, 10kg/1200devir, Gümüş</v>
      </c>
      <c r="C88" s="4"/>
      <c r="D88" s="4"/>
      <c r="E88" s="5">
        <v>1</v>
      </c>
      <c r="F88" s="5"/>
      <c r="G88" s="5"/>
      <c r="H88" s="5"/>
      <c r="I88" s="6"/>
      <c r="J88" s="6"/>
      <c r="K88" s="5"/>
      <c r="L88" s="5"/>
      <c r="M88" s="6"/>
      <c r="N88" s="39">
        <f t="shared" si="3"/>
        <v>1</v>
      </c>
      <c r="O88" s="40">
        <v>0</v>
      </c>
      <c r="P88" s="29"/>
      <c r="Q88" s="125" t="s">
        <v>1773</v>
      </c>
      <c r="R88" s="131">
        <v>40000</v>
      </c>
      <c r="S88" s="124">
        <v>41600</v>
      </c>
      <c r="T88" s="124">
        <v>43200</v>
      </c>
      <c r="U88" s="125"/>
      <c r="V88" s="123"/>
      <c r="W88" s="126">
        <v>500</v>
      </c>
    </row>
    <row r="89" spans="1:25">
      <c r="A89" s="104" t="s">
        <v>85</v>
      </c>
      <c r="B89" s="36" t="str">
        <f>IFERROR(HYPERLINK(VLOOKUP(A89,ÜRÜNLER!A:C,3,FALSE),VLOOKUP(A89,ÜRÜNLER!A:B,2,FALSE)),"")</f>
        <v>iQ500 Çamaşır Makinesi, 10kg/1200devir, Beyaz</v>
      </c>
      <c r="C89" s="4"/>
      <c r="D89" s="4"/>
      <c r="E89" s="5"/>
      <c r="F89" s="5"/>
      <c r="G89" s="5"/>
      <c r="H89" s="5"/>
      <c r="I89" s="6">
        <v>1</v>
      </c>
      <c r="J89" s="6">
        <v>1</v>
      </c>
      <c r="K89" s="5"/>
      <c r="L89" s="5"/>
      <c r="M89" s="6"/>
      <c r="N89" s="39">
        <f t="shared" si="3"/>
        <v>2</v>
      </c>
      <c r="O89" s="40">
        <v>0</v>
      </c>
      <c r="P89" s="29"/>
      <c r="Q89" s="125" t="s">
        <v>1773</v>
      </c>
      <c r="R89" s="123">
        <v>38000</v>
      </c>
      <c r="S89" s="124">
        <v>39520</v>
      </c>
      <c r="T89" s="124">
        <v>41040</v>
      </c>
      <c r="U89" s="125"/>
      <c r="V89" s="123"/>
      <c r="W89" s="126">
        <v>500</v>
      </c>
    </row>
    <row r="90" spans="1:25">
      <c r="A90" s="64" t="s">
        <v>1433</v>
      </c>
      <c r="B90" s="36" t="str">
        <f>IFERROR(HYPERLINK(VLOOKUP(A90,ÜRÜNLER!A:C,3,FALSE),VLOOKUP(A90,ÜRÜNLER!A:B,2,FALSE)),"")</f>
        <v>iQ500 Çamaşır Makinesi, 10kg/1200devir, Beyaz</v>
      </c>
      <c r="C90" s="4">
        <v>12</v>
      </c>
      <c r="D90" s="4"/>
      <c r="E90" s="5"/>
      <c r="F90" s="5">
        <v>1</v>
      </c>
      <c r="G90" s="5"/>
      <c r="H90" s="5"/>
      <c r="I90" s="6">
        <v>1</v>
      </c>
      <c r="J90" s="6">
        <v>1</v>
      </c>
      <c r="K90" s="5">
        <v>1</v>
      </c>
      <c r="L90" s="5"/>
      <c r="M90" s="6"/>
      <c r="N90" s="39">
        <f t="shared" si="3"/>
        <v>16</v>
      </c>
      <c r="O90" s="40">
        <v>0</v>
      </c>
      <c r="P90" s="29"/>
      <c r="Q90" s="125">
        <v>49269.643902688302</v>
      </c>
      <c r="R90" s="128">
        <v>46806.161707553889</v>
      </c>
      <c r="S90" s="124">
        <v>48678.408175856042</v>
      </c>
      <c r="T90" s="124">
        <v>50550.654644158203</v>
      </c>
      <c r="U90" s="125"/>
      <c r="V90" s="123"/>
      <c r="W90" s="129"/>
    </row>
    <row r="91" spans="1:25">
      <c r="A91" s="103" t="s">
        <v>1533</v>
      </c>
      <c r="B91" s="36" t="str">
        <f>IFERROR(HYPERLINK(VLOOKUP(A91,ÜRÜNLER!A:C,3,FALSE),VLOOKUP(A91,ÜRÜNLER!A:B,2,FALSE)),"")</f>
        <v>iQ500 Çamaşır Makinesi, 10kg/1200devir, Gümüş</v>
      </c>
      <c r="C91" s="4">
        <v>5</v>
      </c>
      <c r="D91" s="4"/>
      <c r="E91" s="5"/>
      <c r="F91" s="5"/>
      <c r="G91" s="5"/>
      <c r="H91" s="5"/>
      <c r="I91" s="6">
        <v>1</v>
      </c>
      <c r="J91" s="6"/>
      <c r="K91" s="5"/>
      <c r="L91" s="5"/>
      <c r="M91" s="6"/>
      <c r="N91" s="39">
        <f t="shared" si="3"/>
        <v>6</v>
      </c>
      <c r="O91" s="40">
        <v>10</v>
      </c>
      <c r="P91" s="29"/>
      <c r="Q91" s="125">
        <v>51282.033111009812</v>
      </c>
      <c r="R91" s="128">
        <v>48717.931455459322</v>
      </c>
      <c r="S91" s="124">
        <v>50666.648713677692</v>
      </c>
      <c r="T91" s="124">
        <v>52615.36597189607</v>
      </c>
      <c r="U91" s="125"/>
      <c r="V91" s="123"/>
      <c r="W91" s="129"/>
      <c r="Y91" s="46"/>
    </row>
    <row r="92" spans="1:25">
      <c r="A92" s="103" t="s">
        <v>86</v>
      </c>
      <c r="B92" s="36" t="str">
        <f>IFERROR(HYPERLINK(VLOOKUP(A92,ÜRÜNLER!A:C,3,FALSE),VLOOKUP(A92,ÜRÜNLER!A:B,2,FALSE)),"")</f>
        <v>iQ500 Çamaşır Makinesi, 10kg/1200devir, Gümüş</v>
      </c>
      <c r="C92" s="4"/>
      <c r="D92" s="4"/>
      <c r="E92" s="5"/>
      <c r="F92" s="5"/>
      <c r="G92" s="5"/>
      <c r="H92" s="5"/>
      <c r="I92" s="6"/>
      <c r="J92" s="6">
        <v>1</v>
      </c>
      <c r="K92" s="5"/>
      <c r="L92" s="5"/>
      <c r="M92" s="6"/>
      <c r="N92" s="39">
        <f t="shared" si="3"/>
        <v>1</v>
      </c>
      <c r="O92" s="40">
        <v>0</v>
      </c>
      <c r="P92" s="29"/>
      <c r="Q92" s="125" t="s">
        <v>1773</v>
      </c>
      <c r="R92" s="123">
        <v>40000</v>
      </c>
      <c r="S92" s="124">
        <v>41600</v>
      </c>
      <c r="T92" s="124">
        <v>43200</v>
      </c>
      <c r="U92" s="125"/>
      <c r="V92" s="123"/>
      <c r="W92" s="126">
        <v>500</v>
      </c>
    </row>
    <row r="93" spans="1:25">
      <c r="A93" s="61" t="s">
        <v>87</v>
      </c>
      <c r="B93" s="36" t="str">
        <f>IFERROR(HYPERLINK(VLOOKUP(A93,ÜRÜNLER!A:C,3,FALSE),VLOOKUP(A93,ÜRÜNLER!A:B,2,FALSE)),"")</f>
        <v>iQ300 Çamaşır Makinesi, 10kg/1400devir, Beyaz</v>
      </c>
      <c r="C93" s="4"/>
      <c r="D93" s="4"/>
      <c r="E93" s="5"/>
      <c r="F93" s="5"/>
      <c r="G93" s="5"/>
      <c r="H93" s="5"/>
      <c r="I93" s="6"/>
      <c r="J93" s="6"/>
      <c r="K93" s="5"/>
      <c r="L93" s="5">
        <v>1</v>
      </c>
      <c r="M93" s="6"/>
      <c r="N93" s="39">
        <f t="shared" si="3"/>
        <v>1</v>
      </c>
      <c r="O93" s="40">
        <v>0</v>
      </c>
      <c r="P93" s="29"/>
      <c r="Q93" s="125" t="s">
        <v>1773</v>
      </c>
      <c r="R93" s="131">
        <v>42000</v>
      </c>
      <c r="S93" s="124">
        <v>43680</v>
      </c>
      <c r="T93" s="124">
        <v>45360</v>
      </c>
      <c r="U93" s="125"/>
      <c r="V93" s="123"/>
      <c r="W93" s="126">
        <v>500</v>
      </c>
    </row>
    <row r="94" spans="1:25">
      <c r="A94" s="61" t="s">
        <v>1794</v>
      </c>
      <c r="B94" s="36" t="str">
        <f>IFERROR(HYPERLINK(VLOOKUP(A94,ÜRÜNLER!A:C,3,FALSE),VLOOKUP(A94,ÜRÜNLER!A:B,2,FALSE)),"")</f>
        <v>iQ700 Çamaşır Makinesi, 10kg/1400devir, intelligentDosing, Beyaz</v>
      </c>
      <c r="C94" s="4"/>
      <c r="D94" s="4"/>
      <c r="E94" s="5"/>
      <c r="F94" s="5"/>
      <c r="G94" s="5"/>
      <c r="H94" s="5"/>
      <c r="I94" s="6"/>
      <c r="J94" s="6"/>
      <c r="K94" s="5"/>
      <c r="L94" s="5"/>
      <c r="M94" s="6"/>
      <c r="N94" s="39">
        <f t="shared" si="3"/>
        <v>0</v>
      </c>
      <c r="O94" s="40">
        <v>0</v>
      </c>
      <c r="P94" s="29"/>
      <c r="Q94" s="125">
        <v>54926.755909278625</v>
      </c>
      <c r="R94" s="131">
        <v>52561.488908400599</v>
      </c>
      <c r="S94" s="124">
        <v>54663.948464736626</v>
      </c>
      <c r="T94" s="124">
        <v>56766.408021072646</v>
      </c>
      <c r="U94" s="125"/>
      <c r="V94" s="123"/>
      <c r="W94" s="123"/>
    </row>
    <row r="95" spans="1:25">
      <c r="A95" s="61" t="s">
        <v>88</v>
      </c>
      <c r="B95" s="36" t="str">
        <f>IFERROR(HYPERLINK(VLOOKUP(A95,ÜRÜNLER!A:C,3,FALSE),VLOOKUP(A95,ÜRÜNLER!A:B,2,FALSE)),"")</f>
        <v>iQ700 Çamaşır Makinesi, 10kg/1400devir, i-dos, Beyaz</v>
      </c>
      <c r="C95" s="4"/>
      <c r="D95" s="4"/>
      <c r="E95" s="5"/>
      <c r="F95" s="5"/>
      <c r="G95" s="5"/>
      <c r="H95" s="5"/>
      <c r="I95" s="6"/>
      <c r="J95" s="6"/>
      <c r="K95" s="5"/>
      <c r="L95" s="5">
        <v>1</v>
      </c>
      <c r="M95" s="6"/>
      <c r="N95" s="39">
        <f t="shared" si="3"/>
        <v>1</v>
      </c>
      <c r="O95" s="40">
        <v>0</v>
      </c>
      <c r="P95" s="29"/>
      <c r="Q95" s="125" t="s">
        <v>1773</v>
      </c>
      <c r="R95" s="131">
        <v>52000</v>
      </c>
      <c r="S95" s="124">
        <v>54080</v>
      </c>
      <c r="T95" s="124">
        <v>56160</v>
      </c>
      <c r="U95" s="125"/>
      <c r="V95" s="123"/>
      <c r="W95" s="126">
        <v>500</v>
      </c>
    </row>
    <row r="96" spans="1:25">
      <c r="A96" s="61" t="s">
        <v>1438</v>
      </c>
      <c r="B96" s="36" t="str">
        <f>IFERROR(HYPERLINK(VLOOKUP(A96,ÜRÜNLER!A:C,3,FALSE),VLOOKUP(A96,ÜRÜNLER!A:B,2,FALSE)),"")</f>
        <v>iQ700 Çamaşır Makinesi, 10kg/1400devir, i-dos, Gümüş</v>
      </c>
      <c r="C96" s="4"/>
      <c r="D96" s="4"/>
      <c r="E96" s="5"/>
      <c r="F96" s="5"/>
      <c r="G96" s="5"/>
      <c r="H96" s="5"/>
      <c r="I96" s="6"/>
      <c r="J96" s="6">
        <v>1</v>
      </c>
      <c r="K96" s="5"/>
      <c r="L96" s="5"/>
      <c r="M96" s="6"/>
      <c r="N96" s="39">
        <f t="shared" si="3"/>
        <v>1</v>
      </c>
      <c r="O96" s="40">
        <v>0</v>
      </c>
      <c r="P96" s="29"/>
      <c r="Q96" s="125" t="s">
        <v>1773</v>
      </c>
      <c r="R96" s="131">
        <v>55000</v>
      </c>
      <c r="S96" s="124">
        <v>57200</v>
      </c>
      <c r="T96" s="124">
        <v>59400</v>
      </c>
      <c r="U96" s="125"/>
      <c r="V96" s="123"/>
      <c r="W96" s="126">
        <v>500</v>
      </c>
    </row>
    <row r="97" spans="1:25">
      <c r="A97" s="61" t="s">
        <v>1440</v>
      </c>
      <c r="B97" s="36" t="str">
        <f>IFERROR(HYPERLINK(VLOOKUP(A97,ÜRÜNLER!A:C,3,FALSE),VLOOKUP(A97,ÜRÜNLER!A:B,2,FALSE)),"")</f>
        <v>iQ500 Çamaşır Makinesi, 10kg/1400devir, i-dos, Beyaz</v>
      </c>
      <c r="C97" s="4">
        <v>18</v>
      </c>
      <c r="D97" s="4"/>
      <c r="E97" s="5"/>
      <c r="F97" s="5"/>
      <c r="G97" s="5"/>
      <c r="H97" s="5"/>
      <c r="I97" s="6">
        <v>2</v>
      </c>
      <c r="J97" s="6"/>
      <c r="K97" s="5"/>
      <c r="L97" s="5"/>
      <c r="M97" s="6">
        <v>1</v>
      </c>
      <c r="N97" s="39">
        <f t="shared" si="3"/>
        <v>21</v>
      </c>
      <c r="O97" s="40">
        <v>0</v>
      </c>
      <c r="P97" s="29"/>
      <c r="Q97" s="125">
        <v>49417.857259489538</v>
      </c>
      <c r="R97" s="128">
        <v>46946.964396515061</v>
      </c>
      <c r="S97" s="124">
        <v>48824.842972375664</v>
      </c>
      <c r="T97" s="124">
        <v>50702.721548236266</v>
      </c>
      <c r="U97" s="125"/>
      <c r="V97" s="123"/>
      <c r="W97" s="129"/>
      <c r="Y97" s="108"/>
    </row>
    <row r="98" spans="1:25">
      <c r="A98" s="63" t="s">
        <v>1790</v>
      </c>
      <c r="B98" s="36" t="str">
        <f>IFERROR(HYPERLINK(VLOOKUP(A98,ÜRÜNLER!A:C,3,FALSE),VLOOKUP(A98,ÜRÜNLER!A:B,2,FALSE)),"")</f>
        <v>iQ700 Çamaşır Makinesi, 11kg/1400devir, intelligentDosing, Beyaz</v>
      </c>
      <c r="C98" s="4"/>
      <c r="D98" s="4"/>
      <c r="E98" s="5"/>
      <c r="F98" s="5"/>
      <c r="G98" s="5"/>
      <c r="H98" s="5"/>
      <c r="I98" s="6"/>
      <c r="J98" s="6"/>
      <c r="K98" s="5"/>
      <c r="L98" s="5"/>
      <c r="M98" s="6"/>
      <c r="N98" s="39">
        <f t="shared" si="3"/>
        <v>0</v>
      </c>
      <c r="O98" s="40">
        <v>2</v>
      </c>
      <c r="P98" s="29"/>
      <c r="Q98" s="125">
        <v>63701.587899504404</v>
      </c>
      <c r="R98" s="123">
        <v>60958.457320099915</v>
      </c>
      <c r="S98" s="124">
        <v>63396.795612903908</v>
      </c>
      <c r="T98" s="124">
        <v>65835.133905707902</v>
      </c>
      <c r="U98" s="125"/>
      <c r="V98" s="123"/>
      <c r="W98" s="129"/>
    </row>
    <row r="99" spans="1:25">
      <c r="A99" s="63" t="s">
        <v>1787</v>
      </c>
      <c r="B99" s="36" t="str">
        <f>IFERROR(HYPERLINK(VLOOKUP(A99,ÜRÜNLER!A:C,3,FALSE),VLOOKUP(A99,ÜRÜNLER!A:B,2,FALSE)),"")</f>
        <v>iQ700 Çamaşır Makinesi, 11kg/1400devir, intelligentDosingPlus, Gümüş</v>
      </c>
      <c r="C99" s="4"/>
      <c r="D99" s="4"/>
      <c r="E99" s="5"/>
      <c r="F99" s="5"/>
      <c r="G99" s="5"/>
      <c r="H99" s="5"/>
      <c r="I99" s="6"/>
      <c r="J99" s="6"/>
      <c r="K99" s="5"/>
      <c r="L99" s="5"/>
      <c r="M99" s="6">
        <v>1</v>
      </c>
      <c r="N99" s="39">
        <f t="shared" si="3"/>
        <v>1</v>
      </c>
      <c r="O99" s="40">
        <v>2</v>
      </c>
      <c r="P99" s="29"/>
      <c r="Q99" s="125">
        <v>65605.401046530824</v>
      </c>
      <c r="R99" s="123">
        <v>62780.288082804618</v>
      </c>
      <c r="S99" s="124">
        <v>65291.499606116806</v>
      </c>
      <c r="T99" s="124">
        <v>67802.711129428993</v>
      </c>
      <c r="U99" s="125"/>
      <c r="V99" s="123"/>
      <c r="W99" s="129"/>
    </row>
    <row r="100" spans="1:25">
      <c r="A100" s="63" t="s">
        <v>90</v>
      </c>
      <c r="B100" s="36" t="str">
        <f>IFERROR(HYPERLINK(VLOOKUP(A100,ÜRÜNLER!A:C,3,FALSE),VLOOKUP(A100,ÜRÜNLER!A:B,2,FALSE)),"")</f>
        <v>iQ500 Çamaşır Makinesi, 11kg/1400devir, i-dos, Beyaz</v>
      </c>
      <c r="C100" s="4"/>
      <c r="D100" s="4"/>
      <c r="E100" s="5"/>
      <c r="F100" s="5"/>
      <c r="G100" s="5"/>
      <c r="H100" s="5"/>
      <c r="I100" s="6"/>
      <c r="J100" s="6"/>
      <c r="K100" s="5"/>
      <c r="L100" s="5">
        <v>1</v>
      </c>
      <c r="M100" s="6"/>
      <c r="N100" s="39">
        <f t="shared" si="3"/>
        <v>1</v>
      </c>
      <c r="O100" s="40">
        <v>0</v>
      </c>
      <c r="P100" s="29"/>
      <c r="Q100" s="125" t="s">
        <v>1773</v>
      </c>
      <c r="R100" s="123">
        <v>40000</v>
      </c>
      <c r="S100" s="124">
        <v>41600</v>
      </c>
      <c r="T100" s="124">
        <v>43200</v>
      </c>
      <c r="U100" s="125"/>
      <c r="V100" s="123"/>
      <c r="W100" s="126">
        <v>500</v>
      </c>
    </row>
    <row r="101" spans="1:25">
      <c r="A101" s="57" t="s">
        <v>1442</v>
      </c>
      <c r="B101" s="36" t="str">
        <f>IFERROR(HYPERLINK(VLOOKUP(A101,ÜRÜNLER!A:C,3,FALSE),VLOOKUP(A101,ÜRÜNLER!A:B,2,FALSE)),"")</f>
        <v>iQ500 Çamaşır Makinesi, 11kg/1400devir, i-dos, Beyaz</v>
      </c>
      <c r="C101" s="4">
        <v>3</v>
      </c>
      <c r="D101" s="4"/>
      <c r="E101" s="5"/>
      <c r="F101" s="5"/>
      <c r="G101" s="5"/>
      <c r="H101" s="5"/>
      <c r="I101" s="6"/>
      <c r="J101" s="6"/>
      <c r="K101" s="5"/>
      <c r="L101" s="5"/>
      <c r="M101" s="6"/>
      <c r="N101" s="39">
        <f t="shared" si="3"/>
        <v>3</v>
      </c>
      <c r="O101" s="40">
        <v>0</v>
      </c>
      <c r="P101" s="29"/>
      <c r="Q101" s="125">
        <v>52633.66805769311</v>
      </c>
      <c r="R101" s="128">
        <v>50001.984654808453</v>
      </c>
      <c r="S101" s="124">
        <v>52002.064041000791</v>
      </c>
      <c r="T101" s="124">
        <v>54002.143427193128</v>
      </c>
      <c r="U101" s="125"/>
      <c r="V101" s="123"/>
      <c r="W101" s="129"/>
    </row>
    <row r="102" spans="1:25">
      <c r="A102" s="111" t="s">
        <v>91</v>
      </c>
      <c r="B102" s="36" t="str">
        <f>IFERROR(HYPERLINK(VLOOKUP(A102,ÜRÜNLER!A:C,3,FALSE),VLOOKUP(A102,ÜRÜNLER!A:B,2,FALSE)),"")</f>
        <v>iQ500 Çamaşır Makinesi, 11kg/1400devir, Beyaz</v>
      </c>
      <c r="C102" s="4">
        <v>45</v>
      </c>
      <c r="D102" s="4"/>
      <c r="E102" s="5"/>
      <c r="F102" s="5"/>
      <c r="G102" s="5"/>
      <c r="H102" s="5"/>
      <c r="I102" s="6">
        <v>2</v>
      </c>
      <c r="J102" s="6">
        <v>1</v>
      </c>
      <c r="K102" s="5">
        <v>1</v>
      </c>
      <c r="L102" s="5">
        <v>1</v>
      </c>
      <c r="M102" s="6">
        <v>1</v>
      </c>
      <c r="N102" s="39">
        <f t="shared" si="3"/>
        <v>51</v>
      </c>
      <c r="O102" s="40">
        <v>0</v>
      </c>
      <c r="P102" s="29"/>
      <c r="Q102" s="125">
        <v>51196.964332515417</v>
      </c>
      <c r="R102" s="128">
        <v>48637.116115889643</v>
      </c>
      <c r="S102" s="124">
        <v>50582.600760525231</v>
      </c>
      <c r="T102" s="124">
        <v>52528.085405160811</v>
      </c>
      <c r="U102" s="125"/>
      <c r="V102" s="123"/>
      <c r="W102" s="129"/>
    </row>
    <row r="103" spans="1:25">
      <c r="A103" s="62" t="s">
        <v>92</v>
      </c>
      <c r="B103" s="36" t="str">
        <f>IFERROR(HYPERLINK(VLOOKUP(A103,ÜRÜNLER!A:C,3,FALSE),VLOOKUP(A103,ÜRÜNLER!A:B,2,FALSE)),"")</f>
        <v>iQ500 Çamaşır Makinesi, 11kg/1400devir, Antrasit/Dark</v>
      </c>
      <c r="C103" s="4">
        <v>54</v>
      </c>
      <c r="D103" s="4"/>
      <c r="E103" s="5"/>
      <c r="F103" s="5"/>
      <c r="G103" s="5"/>
      <c r="H103" s="5"/>
      <c r="I103" s="6">
        <v>1</v>
      </c>
      <c r="J103" s="6">
        <v>1</v>
      </c>
      <c r="K103" s="5">
        <v>1</v>
      </c>
      <c r="L103" s="5"/>
      <c r="M103" s="6">
        <v>1</v>
      </c>
      <c r="N103" s="39">
        <f t="shared" si="3"/>
        <v>58</v>
      </c>
      <c r="O103" s="40">
        <v>0</v>
      </c>
      <c r="P103" s="29"/>
      <c r="Q103" s="125">
        <v>54745.411206179102</v>
      </c>
      <c r="R103" s="128">
        <v>52008.140645870146</v>
      </c>
      <c r="S103" s="124">
        <v>54088.46627170495</v>
      </c>
      <c r="T103" s="124">
        <v>56168.791897539755</v>
      </c>
      <c r="U103" s="125"/>
      <c r="V103" s="123"/>
      <c r="W103" s="129"/>
    </row>
    <row r="104" spans="1:25">
      <c r="A104" s="63" t="s">
        <v>94</v>
      </c>
      <c r="B104" s="36" t="str">
        <f>IFERROR(HYPERLINK(VLOOKUP(A104,ÜRÜNLER!A:C,3,FALSE),VLOOKUP(A104,ÜRÜNLER!A:B,2,FALSE)),"")</f>
        <v>iQ500 Çamaşır Makinesi, 9kg/1400devir, i-dos, Beyaz</v>
      </c>
      <c r="C104" s="4"/>
      <c r="D104" s="4"/>
      <c r="E104" s="5"/>
      <c r="F104" s="5"/>
      <c r="G104" s="5"/>
      <c r="H104" s="5"/>
      <c r="I104" s="6">
        <v>1</v>
      </c>
      <c r="J104" s="6"/>
      <c r="K104" s="5"/>
      <c r="L104" s="5">
        <v>1</v>
      </c>
      <c r="M104" s="6"/>
      <c r="N104" s="39">
        <f t="shared" si="3"/>
        <v>2</v>
      </c>
      <c r="O104" s="40">
        <v>0</v>
      </c>
      <c r="P104" s="29"/>
      <c r="Q104" s="125" t="s">
        <v>1773</v>
      </c>
      <c r="R104" s="123">
        <v>40000</v>
      </c>
      <c r="S104" s="124">
        <v>41600</v>
      </c>
      <c r="T104" s="124">
        <v>43200</v>
      </c>
      <c r="U104" s="125"/>
      <c r="V104" s="123"/>
      <c r="W104" s="126">
        <v>500</v>
      </c>
    </row>
    <row r="105" spans="1:25">
      <c r="A105" s="63" t="s">
        <v>95</v>
      </c>
      <c r="B105" s="36" t="str">
        <f>IFERROR(HYPERLINK(VLOOKUP(A105,ÜRÜNLER!A:C,3,FALSE),VLOOKUP(A105,ÜRÜNLER!A:B,2,FALSE)),"")</f>
        <v>iQ700 Çamaşır Makinesi, 10kg/1400devir, i-dos, Beyaz</v>
      </c>
      <c r="C105" s="4"/>
      <c r="D105" s="4"/>
      <c r="E105" s="5"/>
      <c r="F105" s="5"/>
      <c r="G105" s="5"/>
      <c r="H105" s="5"/>
      <c r="I105" s="6">
        <v>1</v>
      </c>
      <c r="J105" s="6"/>
      <c r="K105" s="5"/>
      <c r="L105" s="5"/>
      <c r="M105" s="6"/>
      <c r="N105" s="39">
        <f t="shared" si="3"/>
        <v>1</v>
      </c>
      <c r="O105" s="40">
        <v>0</v>
      </c>
      <c r="P105" s="29"/>
      <c r="Q105" s="125" t="s">
        <v>1773</v>
      </c>
      <c r="R105" s="123">
        <v>40000</v>
      </c>
      <c r="S105" s="124">
        <v>41600</v>
      </c>
      <c r="T105" s="124">
        <v>43200</v>
      </c>
      <c r="U105" s="125"/>
      <c r="V105" s="123"/>
      <c r="W105" s="126">
        <v>500</v>
      </c>
    </row>
    <row r="106" spans="1:25">
      <c r="A106" s="63" t="s">
        <v>96</v>
      </c>
      <c r="B106" s="36" t="str">
        <f>IFERROR(HYPERLINK(VLOOKUP(A106,ÜRÜNLER!A:C,3,FALSE),VLOOKUP(A106,ÜRÜNLER!A:B,2,FALSE)),"")</f>
        <v>iQ700 Kurutmalı Çamaşır Makinesi, 10.5kg/6kg/1400devir, i-dos, Beyaz</v>
      </c>
      <c r="C106" s="4"/>
      <c r="D106" s="4"/>
      <c r="E106" s="5"/>
      <c r="F106" s="5"/>
      <c r="G106" s="5"/>
      <c r="H106" s="5"/>
      <c r="I106" s="6"/>
      <c r="J106" s="6"/>
      <c r="K106" s="5"/>
      <c r="L106" s="5"/>
      <c r="M106" s="6"/>
      <c r="N106" s="39">
        <f t="shared" si="3"/>
        <v>0</v>
      </c>
      <c r="O106" s="40">
        <v>0</v>
      </c>
      <c r="P106" s="29"/>
      <c r="Q106" s="125">
        <v>86864.040970704868</v>
      </c>
      <c r="R106" s="129">
        <v>83123.484182492699</v>
      </c>
      <c r="S106" s="124">
        <v>86448.423549792409</v>
      </c>
      <c r="T106" s="124">
        <v>89773.362917092119</v>
      </c>
      <c r="U106" s="125"/>
      <c r="V106" s="123"/>
      <c r="W106" s="126">
        <v>500</v>
      </c>
      <c r="Y106" s="108"/>
    </row>
    <row r="107" spans="1:25" ht="30">
      <c r="A107" s="105" t="s">
        <v>97</v>
      </c>
      <c r="B107" s="36" t="str">
        <f>IFERROR(HYPERLINK(VLOOKUP(A107,ÜRÜNLER!A:C,3,FALSE),VLOOKUP(A107,ÜRÜNLER!A:B,2,FALSE)),"")</f>
        <v/>
      </c>
      <c r="C107" s="4"/>
      <c r="D107" s="4"/>
      <c r="E107" s="5"/>
      <c r="F107" s="5"/>
      <c r="G107" s="5"/>
      <c r="H107" s="5"/>
      <c r="I107" s="6"/>
      <c r="J107" s="6"/>
      <c r="K107" s="5"/>
      <c r="L107" s="5"/>
      <c r="M107" s="6"/>
      <c r="N107" s="39">
        <f>SUM(N76:N106)</f>
        <v>440</v>
      </c>
      <c r="O107" s="40">
        <v>0</v>
      </c>
      <c r="P107" s="47"/>
      <c r="R107" s="129"/>
      <c r="S107" s="124"/>
      <c r="T107" s="124"/>
      <c r="U107" s="125"/>
      <c r="V107" s="123"/>
      <c r="W107" s="129"/>
    </row>
    <row r="108" spans="1:25">
      <c r="A108" s="65" t="s">
        <v>1305</v>
      </c>
      <c r="B108" s="36" t="str">
        <f>IFERROR(HYPERLINK(VLOOKUP(A108,ÜRÜNLER!A:C,3,FALSE),VLOOKUP(A108,ÜRÜNLER!A:B,2,FALSE)),"")</f>
        <v>iQ300 Isı Pompalı Kurutma Makinesi, 9kg, Gümüş</v>
      </c>
      <c r="C108" s="4"/>
      <c r="D108" s="4"/>
      <c r="E108" s="5"/>
      <c r="F108" s="5"/>
      <c r="G108" s="5"/>
      <c r="H108" s="5"/>
      <c r="I108" s="6">
        <v>2</v>
      </c>
      <c r="J108" s="6"/>
      <c r="K108" s="5"/>
      <c r="L108" s="5"/>
      <c r="M108" s="6"/>
      <c r="N108" s="39">
        <f t="shared" ref="N108:N119" si="4">M108+K108+L108+J108+I108+H108+G108+F108+E108+D108+C108</f>
        <v>2</v>
      </c>
      <c r="O108" s="40">
        <v>0</v>
      </c>
      <c r="P108" s="29"/>
      <c r="Q108" s="125" t="s">
        <v>1773</v>
      </c>
      <c r="R108" s="129">
        <v>40000</v>
      </c>
      <c r="S108" s="124">
        <v>41600</v>
      </c>
      <c r="T108" s="124">
        <v>43200</v>
      </c>
      <c r="U108" s="125"/>
      <c r="V108" s="123"/>
      <c r="W108" s="129">
        <v>500</v>
      </c>
    </row>
    <row r="109" spans="1:25">
      <c r="A109" s="57" t="s">
        <v>102</v>
      </c>
      <c r="B109" s="36" t="str">
        <f>IFERROR(HYPERLINK(VLOOKUP(A109,ÜRÜNLER!A:C,3,FALSE),VLOOKUP(A109,ÜRÜNLER!A:B,2,FALSE)),"")</f>
        <v>iQ300 Isı Pompalı Kurutma Makinesi, 9kg, Beyaz</v>
      </c>
      <c r="C109" s="4">
        <v>252</v>
      </c>
      <c r="D109" s="4"/>
      <c r="E109" s="5"/>
      <c r="F109" s="5"/>
      <c r="G109" s="5"/>
      <c r="H109" s="5"/>
      <c r="I109" s="6">
        <v>1</v>
      </c>
      <c r="J109" s="6">
        <v>1</v>
      </c>
      <c r="K109" s="5"/>
      <c r="L109" s="5">
        <v>1</v>
      </c>
      <c r="M109" s="6">
        <v>1</v>
      </c>
      <c r="N109" s="39">
        <f t="shared" si="4"/>
        <v>256</v>
      </c>
      <c r="O109" s="40">
        <v>25</v>
      </c>
      <c r="P109" s="29"/>
      <c r="Q109" s="125">
        <v>42300.746894101358</v>
      </c>
      <c r="R109" s="128">
        <v>40185.709549396292</v>
      </c>
      <c r="S109" s="124">
        <v>41793.137931372141</v>
      </c>
      <c r="T109" s="124">
        <v>43400.566313347997</v>
      </c>
      <c r="U109" s="125">
        <v>2986.7934057292664</v>
      </c>
      <c r="V109" s="123"/>
      <c r="W109" s="129"/>
    </row>
    <row r="110" spans="1:25">
      <c r="A110" s="65" t="s">
        <v>98</v>
      </c>
      <c r="B110" s="36" t="str">
        <f>IFERROR(HYPERLINK(VLOOKUP(A110,ÜRÜNLER!A:C,3,FALSE),VLOOKUP(A110,ÜRÜNLER!A:B,2,FALSE)),"")</f>
        <v>iQ500 Isı Pompalı Kurutma Makinesi, 9kg, Beyaz</v>
      </c>
      <c r="C110" s="4">
        <v>37</v>
      </c>
      <c r="D110" s="4"/>
      <c r="E110" s="5"/>
      <c r="F110" s="5"/>
      <c r="G110" s="5"/>
      <c r="H110" s="5"/>
      <c r="I110" s="6">
        <v>1</v>
      </c>
      <c r="J110" s="6">
        <v>1</v>
      </c>
      <c r="K110" s="5"/>
      <c r="L110" s="5"/>
      <c r="M110" s="6"/>
      <c r="N110" s="39">
        <f t="shared" si="4"/>
        <v>39</v>
      </c>
      <c r="O110" s="40">
        <v>13</v>
      </c>
      <c r="P110" s="29"/>
      <c r="Q110" s="125">
        <v>46583.270348837221</v>
      </c>
      <c r="R110" s="128">
        <v>44254.106831395358</v>
      </c>
      <c r="S110" s="124">
        <v>46024.271104651176</v>
      </c>
      <c r="T110" s="124">
        <v>47794.435377906986</v>
      </c>
      <c r="U110" s="125"/>
      <c r="V110" s="123"/>
      <c r="W110" s="129">
        <v>500</v>
      </c>
    </row>
    <row r="111" spans="1:25">
      <c r="A111" s="66" t="s">
        <v>1331</v>
      </c>
      <c r="B111" s="36" t="str">
        <f>IFERROR(HYPERLINK(VLOOKUP(A111,ÜRÜNLER!A:C,3,FALSE),VLOOKUP(A111,ÜRÜNLER!A:B,2,FALSE)),"")</f>
        <v>iQ500 Isı Pompalı Kurutma Makinesi, 9kg, Gümüş</v>
      </c>
      <c r="C111" s="4">
        <v>203</v>
      </c>
      <c r="D111" s="4"/>
      <c r="E111" s="5"/>
      <c r="F111" s="5"/>
      <c r="G111" s="5"/>
      <c r="H111" s="5"/>
      <c r="I111" s="6">
        <v>1</v>
      </c>
      <c r="J111" s="6">
        <v>1</v>
      </c>
      <c r="K111" s="5">
        <v>1</v>
      </c>
      <c r="L111" s="5"/>
      <c r="M111" s="6"/>
      <c r="N111" s="39">
        <f t="shared" si="4"/>
        <v>206</v>
      </c>
      <c r="O111" s="40">
        <v>0</v>
      </c>
      <c r="P111" s="29"/>
      <c r="Q111" s="125">
        <v>48079.423610465128</v>
      </c>
      <c r="R111" s="128">
        <v>45675.45242994187</v>
      </c>
      <c r="S111" s="124">
        <v>47502.470527139543</v>
      </c>
      <c r="T111" s="124">
        <v>49329.488624337217</v>
      </c>
      <c r="U111" s="125"/>
      <c r="V111" s="123"/>
      <c r="W111" s="129">
        <v>500</v>
      </c>
    </row>
    <row r="112" spans="1:25">
      <c r="A112" s="57" t="s">
        <v>99</v>
      </c>
      <c r="B112" s="36" t="str">
        <f>IFERROR(HYPERLINK(VLOOKUP(A112,ÜRÜNLER!A:C,3,FALSE),VLOOKUP(A112,ÜRÜNLER!A:B,2,FALSE)),"")</f>
        <v>iQ500 Isı Pompalı Kurutma Makinesi, 9kg, Beyaz</v>
      </c>
      <c r="C112" s="4">
        <v>141</v>
      </c>
      <c r="D112" s="4"/>
      <c r="E112" s="5"/>
      <c r="F112" s="5"/>
      <c r="G112" s="5"/>
      <c r="H112" s="5"/>
      <c r="I112" s="6">
        <v>1</v>
      </c>
      <c r="J112" s="6"/>
      <c r="K112" s="5">
        <v>1</v>
      </c>
      <c r="L112" s="5"/>
      <c r="M112" s="6">
        <v>1</v>
      </c>
      <c r="N112" s="39">
        <f t="shared" si="4"/>
        <v>144</v>
      </c>
      <c r="O112" s="40">
        <v>0</v>
      </c>
      <c r="P112" s="44"/>
      <c r="Q112" s="125">
        <v>49554.811046511626</v>
      </c>
      <c r="R112" s="128">
        <v>47077.070494186046</v>
      </c>
      <c r="S112" s="124">
        <v>48960.153313953488</v>
      </c>
      <c r="T112" s="124">
        <v>50843.23613372093</v>
      </c>
      <c r="U112" s="125"/>
      <c r="V112" s="123"/>
      <c r="W112" s="129">
        <v>500</v>
      </c>
    </row>
    <row r="113" spans="1:25">
      <c r="A113" s="67" t="s">
        <v>103</v>
      </c>
      <c r="B113" s="36" t="str">
        <f>IFERROR(HYPERLINK(VLOOKUP(A113,ÜRÜNLER!A:C,3,FALSE),VLOOKUP(A113,ÜRÜNLER!A:B,2,FALSE)),"")</f>
        <v>iQ500 Isı Pompalı Kurutma Makinesi, 9kg, SelfClean, Beyaz</v>
      </c>
      <c r="C113" s="4">
        <v>22</v>
      </c>
      <c r="D113" s="4"/>
      <c r="E113" s="5"/>
      <c r="F113" s="5"/>
      <c r="G113" s="5"/>
      <c r="H113" s="5"/>
      <c r="I113" s="6">
        <v>1</v>
      </c>
      <c r="J113" s="6">
        <v>1</v>
      </c>
      <c r="K113" s="5"/>
      <c r="L113" s="5">
        <v>1</v>
      </c>
      <c r="M113" s="6">
        <v>1</v>
      </c>
      <c r="N113" s="39">
        <f t="shared" si="4"/>
        <v>26</v>
      </c>
      <c r="O113" s="40">
        <v>0</v>
      </c>
      <c r="P113" s="29"/>
      <c r="Q113" s="125" t="s">
        <v>1773</v>
      </c>
      <c r="R113" s="123">
        <v>44000</v>
      </c>
      <c r="S113" s="124">
        <v>45760</v>
      </c>
      <c r="T113" s="124">
        <v>47520</v>
      </c>
      <c r="U113" s="125"/>
      <c r="V113" s="123"/>
      <c r="W113" s="129">
        <v>500</v>
      </c>
    </row>
    <row r="114" spans="1:25">
      <c r="A114" s="57" t="s">
        <v>104</v>
      </c>
      <c r="B114" s="36" t="str">
        <f>IFERROR(HYPERLINK(VLOOKUP(A114,ÜRÜNLER!A:C,3,FALSE),VLOOKUP(A114,ÜRÜNLER!A:B,2,FALSE)),"")</f>
        <v>iQ700 Isı Pompalı Kurutma Makinesi, 9kg, Beyaz</v>
      </c>
      <c r="C114" s="4">
        <v>161</v>
      </c>
      <c r="D114" s="4"/>
      <c r="E114" s="5"/>
      <c r="F114" s="5"/>
      <c r="G114" s="5"/>
      <c r="H114" s="5"/>
      <c r="I114" s="6">
        <v>2</v>
      </c>
      <c r="J114" s="6"/>
      <c r="K114" s="5"/>
      <c r="L114" s="5">
        <v>1</v>
      </c>
      <c r="M114" s="6"/>
      <c r="N114" s="39">
        <f t="shared" si="4"/>
        <v>164</v>
      </c>
      <c r="O114" s="40">
        <v>0</v>
      </c>
      <c r="P114" s="29"/>
      <c r="Q114" s="125">
        <v>65965.931379718546</v>
      </c>
      <c r="R114" s="128">
        <v>62667.634810732619</v>
      </c>
      <c r="S114" s="124">
        <v>65174.340203161926</v>
      </c>
      <c r="T114" s="124">
        <v>67681.045595591233</v>
      </c>
      <c r="U114" s="125"/>
      <c r="V114" s="123"/>
      <c r="W114" s="129">
        <v>500</v>
      </c>
    </row>
    <row r="115" spans="1:25">
      <c r="A115" s="66" t="s">
        <v>105</v>
      </c>
      <c r="B115" s="36" t="str">
        <f>IFERROR(HYPERLINK(VLOOKUP(A115,ÜRÜNLER!A:C,3,FALSE),VLOOKUP(A115,ÜRÜNLER!A:B,2,FALSE)),"")</f>
        <v>iQ700 Isı Pompalı Kurutma Makinesi, 9kg, Gümüş</v>
      </c>
      <c r="C115" s="4">
        <v>102</v>
      </c>
      <c r="D115" s="4"/>
      <c r="E115" s="5"/>
      <c r="F115" s="5"/>
      <c r="G115" s="5">
        <v>1</v>
      </c>
      <c r="H115" s="5"/>
      <c r="I115" s="6">
        <v>1</v>
      </c>
      <c r="J115" s="6">
        <v>1</v>
      </c>
      <c r="K115" s="5">
        <v>1</v>
      </c>
      <c r="L115" s="5"/>
      <c r="M115" s="6">
        <v>1</v>
      </c>
      <c r="N115" s="39">
        <f t="shared" si="4"/>
        <v>107</v>
      </c>
      <c r="O115" s="40">
        <v>5</v>
      </c>
      <c r="P115" s="29"/>
      <c r="Q115" s="125">
        <v>67061.636680601994</v>
      </c>
      <c r="R115" s="128">
        <v>63708.554846571897</v>
      </c>
      <c r="S115" s="124">
        <v>66256.897040434778</v>
      </c>
      <c r="T115" s="124">
        <v>68805.239234297653</v>
      </c>
      <c r="U115" s="125"/>
      <c r="V115" s="123"/>
      <c r="W115" s="129">
        <v>500</v>
      </c>
    </row>
    <row r="116" spans="1:25">
      <c r="A116" s="61" t="s">
        <v>463</v>
      </c>
      <c r="B116" s="36" t="str">
        <f>IFERROR(HYPERLINK(VLOOKUP(A116,ÜRÜNLER!A:C,3,FALSE),VLOOKUP(A116,ÜRÜNLER!A:B,2,FALSE)),"")</f>
        <v>iQ300 Isı Pompalı Kurutma Makinesi, 10kg, Beyaz</v>
      </c>
      <c r="C116" s="4">
        <v>336</v>
      </c>
      <c r="D116" s="4"/>
      <c r="E116" s="5"/>
      <c r="F116" s="5"/>
      <c r="G116" s="5"/>
      <c r="H116" s="5"/>
      <c r="I116" s="6"/>
      <c r="J116" s="6"/>
      <c r="K116" s="5"/>
      <c r="L116" s="5"/>
      <c r="M116" s="6">
        <v>1</v>
      </c>
      <c r="N116" s="39">
        <f t="shared" si="4"/>
        <v>337</v>
      </c>
      <c r="O116" s="40">
        <v>0</v>
      </c>
      <c r="P116" s="29"/>
      <c r="Q116" s="125">
        <v>46583.270348837221</v>
      </c>
      <c r="R116" s="128">
        <v>44254.106831395358</v>
      </c>
      <c r="S116" s="124">
        <v>46024.271104651176</v>
      </c>
      <c r="T116" s="124">
        <v>47794.435377906986</v>
      </c>
      <c r="U116" s="125">
        <v>3932.1075581395417</v>
      </c>
      <c r="V116" s="123"/>
      <c r="W116" s="129">
        <v>500</v>
      </c>
    </row>
    <row r="117" spans="1:25">
      <c r="A117" s="62" t="s">
        <v>1302</v>
      </c>
      <c r="B117" s="36" t="str">
        <f>IFERROR(HYPERLINK(VLOOKUP(A117,ÜRÜNLER!A:C,3,FALSE),VLOOKUP(A117,ÜRÜNLER!A:B,2,FALSE)),"")</f>
        <v>iQ500 Isı Pompalı Kurutma Makinesi, 10kg, Antrasit/Dark</v>
      </c>
      <c r="C117" s="4">
        <v>116</v>
      </c>
      <c r="D117" s="4"/>
      <c r="E117" s="5"/>
      <c r="F117" s="5"/>
      <c r="G117" s="5"/>
      <c r="H117" s="5"/>
      <c r="I117" s="6">
        <v>1</v>
      </c>
      <c r="J117" s="6">
        <v>1</v>
      </c>
      <c r="K117" s="5">
        <v>1</v>
      </c>
      <c r="L117" s="5"/>
      <c r="M117" s="6">
        <v>1</v>
      </c>
      <c r="N117" s="39">
        <f t="shared" si="4"/>
        <v>120</v>
      </c>
      <c r="O117" s="40">
        <v>0</v>
      </c>
      <c r="P117" s="29"/>
      <c r="Q117" s="125">
        <v>51577.888392441862</v>
      </c>
      <c r="R117" s="128">
        <v>48998.993972819771</v>
      </c>
      <c r="S117" s="124">
        <v>50958.953731732559</v>
      </c>
      <c r="T117" s="124">
        <v>52918.913490645355</v>
      </c>
      <c r="U117" s="125"/>
      <c r="V117" s="123"/>
      <c r="W117" s="129">
        <v>500</v>
      </c>
    </row>
    <row r="118" spans="1:25">
      <c r="A118" s="61" t="s">
        <v>107</v>
      </c>
      <c r="B118" s="36" t="str">
        <f>IFERROR(HYPERLINK(VLOOKUP(A118,ÜRÜNLER!A:C,3,FALSE),VLOOKUP(A118,ÜRÜNLER!A:B,2,FALSE)),"")</f>
        <v>iQ500 Isı Pompalı Kurutma Makinesi, 10kg, Beyaz</v>
      </c>
      <c r="C118" s="4">
        <v>22</v>
      </c>
      <c r="D118" s="4"/>
      <c r="E118" s="5"/>
      <c r="F118" s="5"/>
      <c r="G118" s="5"/>
      <c r="H118" s="5"/>
      <c r="I118" s="6"/>
      <c r="J118" s="6">
        <v>1</v>
      </c>
      <c r="K118" s="5">
        <v>1</v>
      </c>
      <c r="L118" s="5"/>
      <c r="M118" s="6"/>
      <c r="N118" s="39">
        <f t="shared" si="4"/>
        <v>24</v>
      </c>
      <c r="O118" s="40">
        <v>27</v>
      </c>
      <c r="P118" s="29"/>
      <c r="Q118" s="125">
        <v>51103.177682615482</v>
      </c>
      <c r="R118" s="128">
        <v>48548.018798484707</v>
      </c>
      <c r="S118" s="124">
        <v>50489.939550424097</v>
      </c>
      <c r="T118" s="124">
        <v>52431.860302363486</v>
      </c>
      <c r="U118" s="125"/>
      <c r="V118" s="123"/>
      <c r="W118" s="129">
        <v>500</v>
      </c>
    </row>
    <row r="119" spans="1:25">
      <c r="A119" s="57" t="s">
        <v>100</v>
      </c>
      <c r="B119" s="36" t="str">
        <f>IFERROR(HYPERLINK(VLOOKUP(A119,ÜRÜNLER!A:C,3,FALSE),VLOOKUP(A119,ÜRÜNLER!A:B,2,FALSE)),"")</f>
        <v>iQ300 Isı Pompalı Kurutma Makinesi, 8kg, Beyaz</v>
      </c>
      <c r="C119" s="4"/>
      <c r="D119" s="4"/>
      <c r="E119" s="5"/>
      <c r="F119" s="5"/>
      <c r="G119" s="5">
        <v>1</v>
      </c>
      <c r="H119" s="5"/>
      <c r="I119" s="6"/>
      <c r="J119" s="6">
        <v>1</v>
      </c>
      <c r="K119" s="5"/>
      <c r="L119" s="5"/>
      <c r="M119" s="6">
        <v>1</v>
      </c>
      <c r="N119" s="39">
        <f t="shared" si="4"/>
        <v>3</v>
      </c>
      <c r="O119" s="40">
        <v>0</v>
      </c>
      <c r="P119" s="29"/>
      <c r="Q119" s="125" t="s">
        <v>1773</v>
      </c>
      <c r="R119" s="129">
        <v>35000</v>
      </c>
      <c r="S119" s="124">
        <v>36400</v>
      </c>
      <c r="T119" s="124">
        <v>37800</v>
      </c>
      <c r="U119" s="125"/>
      <c r="V119" s="123"/>
      <c r="W119" s="129">
        <v>500</v>
      </c>
    </row>
    <row r="120" spans="1:25" s="9" customFormat="1" ht="34.5" customHeight="1">
      <c r="A120" s="86" t="s">
        <v>108</v>
      </c>
      <c r="B120" s="36" t="str">
        <f>IFERROR(HYPERLINK(VLOOKUP(A120,ÜRÜNLER!A:C,3,FALSE),VLOOKUP(A120,ÜRÜNLER!A:B,2,FALSE)),"")</f>
        <v/>
      </c>
      <c r="C120" s="4"/>
      <c r="D120" s="4"/>
      <c r="E120" s="5"/>
      <c r="F120" s="5"/>
      <c r="G120" s="5"/>
      <c r="H120" s="5"/>
      <c r="I120" s="6"/>
      <c r="J120" s="6"/>
      <c r="K120" s="5"/>
      <c r="L120" s="5"/>
      <c r="M120" s="6"/>
      <c r="N120" s="39">
        <f>SUM(N108:N119)</f>
        <v>1428</v>
      </c>
      <c r="O120" s="40">
        <v>0</v>
      </c>
      <c r="P120" s="29"/>
      <c r="Q120" s="125"/>
      <c r="R120" s="129"/>
      <c r="S120" s="124"/>
      <c r="T120" s="124"/>
      <c r="U120" s="125"/>
      <c r="V120" s="123"/>
      <c r="W120" s="129"/>
      <c r="X120" s="127"/>
      <c r="Y120" s="45"/>
    </row>
    <row r="121" spans="1:25">
      <c r="A121" s="57" t="s">
        <v>111</v>
      </c>
      <c r="B121" s="36" t="str">
        <f>IFERROR(HYPERLINK(VLOOKUP(A121,ÜRÜNLER!A:C,3,FALSE),VLOOKUP(A121,ÜRÜNLER!A:B,2,FALSE)),"")</f>
        <v>iQ500 Solo Bulaşık Makinesi, autoOpen dry, glassZone, Inox</v>
      </c>
      <c r="C121" s="4">
        <v>4</v>
      </c>
      <c r="D121" s="4"/>
      <c r="E121" s="5"/>
      <c r="F121" s="5"/>
      <c r="G121" s="5"/>
      <c r="H121" s="5"/>
      <c r="I121" s="6"/>
      <c r="J121" s="6"/>
      <c r="K121" s="5">
        <v>1</v>
      </c>
      <c r="L121" s="5"/>
      <c r="M121" s="6"/>
      <c r="N121" s="39">
        <f t="shared" ref="N121:N145" si="5">M121+K121+L121+J121+I121+H121+G121+F121+E121+D121+C121</f>
        <v>5</v>
      </c>
      <c r="O121" s="40">
        <v>16</v>
      </c>
      <c r="P121" s="29"/>
      <c r="Q121" s="125">
        <v>43532.22378781603</v>
      </c>
      <c r="R121" s="128">
        <v>41355.612598425228</v>
      </c>
      <c r="S121" s="124">
        <v>43009.837102362239</v>
      </c>
      <c r="T121" s="124">
        <v>44664.061606299249</v>
      </c>
      <c r="U121" s="125"/>
      <c r="V121" s="123"/>
      <c r="W121" s="129"/>
    </row>
    <row r="122" spans="1:25">
      <c r="A122" s="58" t="s">
        <v>112</v>
      </c>
      <c r="B122" s="36" t="str">
        <f>IFERROR(HYPERLINK(VLOOKUP(A122,ÜRÜNLER!A:C,3,FALSE),VLOOKUP(A122,ÜRÜNLER!A:B,2,FALSE)),"")</f>
        <v>iQ500 Solo Bulaşık Makinesi, autoOpen dry, glassZone, darkSteel</v>
      </c>
      <c r="C122" s="4">
        <v>85</v>
      </c>
      <c r="D122" s="4"/>
      <c r="E122" s="5"/>
      <c r="F122" s="5"/>
      <c r="G122" s="5"/>
      <c r="H122" s="5"/>
      <c r="I122" s="6">
        <v>1</v>
      </c>
      <c r="J122" s="6">
        <v>1</v>
      </c>
      <c r="K122" s="5">
        <v>1</v>
      </c>
      <c r="L122" s="5"/>
      <c r="M122" s="6">
        <v>1</v>
      </c>
      <c r="N122" s="39">
        <f t="shared" si="5"/>
        <v>89</v>
      </c>
      <c r="O122" s="40">
        <v>0</v>
      </c>
      <c r="P122" s="29"/>
      <c r="Q122" s="125">
        <v>45341.674235357968</v>
      </c>
      <c r="R122" s="128">
        <v>43074.590523590072</v>
      </c>
      <c r="S122" s="124">
        <v>44797.574144533675</v>
      </c>
      <c r="T122" s="124">
        <v>46520.557765477279</v>
      </c>
      <c r="U122" s="125"/>
      <c r="V122" s="123"/>
      <c r="W122" s="129"/>
    </row>
    <row r="123" spans="1:25">
      <c r="A123" s="57" t="s">
        <v>110</v>
      </c>
      <c r="B123" s="36" t="str">
        <f>IFERROR(HYPERLINK(VLOOKUP(A123,ÜRÜNLER!A:C,3,FALSE),VLOOKUP(A123,ÜRÜNLER!A:B,2,FALSE)),"")</f>
        <v>iQ500 Solo Bulaşık Makinesi, autoOpen dry, glassZone, Beyaz</v>
      </c>
      <c r="C123" s="4">
        <v>29</v>
      </c>
      <c r="D123" s="4"/>
      <c r="E123" s="5"/>
      <c r="F123" s="5"/>
      <c r="G123" s="5"/>
      <c r="H123" s="5"/>
      <c r="I123" s="6">
        <v>1</v>
      </c>
      <c r="J123" s="6"/>
      <c r="K123" s="5"/>
      <c r="L123" s="5"/>
      <c r="M123" s="6"/>
      <c r="N123" s="39">
        <f t="shared" si="5"/>
        <v>30</v>
      </c>
      <c r="O123" s="40">
        <v>0</v>
      </c>
      <c r="P123" s="29"/>
      <c r="Q123" s="125">
        <v>40394.351253928682</v>
      </c>
      <c r="R123" s="128">
        <v>38374.633691232251</v>
      </c>
      <c r="S123" s="124">
        <v>39909.619038881545</v>
      </c>
      <c r="T123" s="124">
        <v>41444.604386530831</v>
      </c>
      <c r="U123" s="125"/>
      <c r="V123" s="123"/>
      <c r="W123" s="129"/>
    </row>
    <row r="124" spans="1:25">
      <c r="A124" s="57" t="s">
        <v>113</v>
      </c>
      <c r="B124" s="36" t="str">
        <f>IFERROR(HYPERLINK(VLOOKUP(A124,ÜRÜNLER!A:C,3,FALSE),VLOOKUP(A124,ÜRÜNLER!A:B,2,FALSE)),"")</f>
        <v>iQ100 Solo Bulaşık Makinesi, Inox</v>
      </c>
      <c r="C124" s="4">
        <v>46</v>
      </c>
      <c r="D124" s="4"/>
      <c r="E124" s="5"/>
      <c r="F124" s="5"/>
      <c r="G124" s="5">
        <v>2</v>
      </c>
      <c r="H124" s="5"/>
      <c r="I124" s="6">
        <v>1</v>
      </c>
      <c r="J124" s="6">
        <v>1</v>
      </c>
      <c r="K124" s="5"/>
      <c r="L124" s="5">
        <v>1</v>
      </c>
      <c r="M124" s="6">
        <v>1</v>
      </c>
      <c r="N124" s="39">
        <f t="shared" si="5"/>
        <v>52</v>
      </c>
      <c r="O124" s="40">
        <v>0</v>
      </c>
      <c r="P124" s="59" t="s">
        <v>1536</v>
      </c>
      <c r="Q124" s="125">
        <v>28392.60538072262</v>
      </c>
      <c r="R124" s="129">
        <v>28500</v>
      </c>
      <c r="S124" s="124">
        <v>29640</v>
      </c>
      <c r="T124" s="124">
        <v>30780</v>
      </c>
      <c r="U124" s="125"/>
      <c r="V124" s="123"/>
      <c r="W124" s="129"/>
    </row>
    <row r="125" spans="1:25">
      <c r="A125" s="57" t="s">
        <v>114</v>
      </c>
      <c r="B125" s="36" t="str">
        <f>IFERROR(HYPERLINK(VLOOKUP(A125,ÜRÜNLER!A:C,3,FALSE),VLOOKUP(A125,ÜRÜNLER!A:B,2,FALSE)),"")</f>
        <v>iQ100 Solo Bulaşık Makinesi, Beyaz</v>
      </c>
      <c r="C125" s="4">
        <v>2</v>
      </c>
      <c r="D125" s="4"/>
      <c r="E125" s="5"/>
      <c r="F125" s="5"/>
      <c r="G125" s="5"/>
      <c r="H125" s="5"/>
      <c r="I125" s="6">
        <v>1</v>
      </c>
      <c r="J125" s="6">
        <v>1</v>
      </c>
      <c r="K125" s="5">
        <v>1</v>
      </c>
      <c r="L125" s="5">
        <v>2</v>
      </c>
      <c r="M125" s="6"/>
      <c r="N125" s="39">
        <f t="shared" si="5"/>
        <v>7</v>
      </c>
      <c r="O125" s="40">
        <v>10</v>
      </c>
      <c r="P125" s="59" t="s">
        <v>1536</v>
      </c>
      <c r="Q125" s="125">
        <v>27155.374846273568</v>
      </c>
      <c r="R125" s="129">
        <v>28500</v>
      </c>
      <c r="S125" s="124">
        <v>29640</v>
      </c>
      <c r="T125" s="124">
        <v>30780</v>
      </c>
      <c r="U125" s="125">
        <v>132.11903232007535</v>
      </c>
      <c r="V125" s="123"/>
      <c r="W125" s="129"/>
    </row>
    <row r="126" spans="1:25">
      <c r="A126" s="57" t="s">
        <v>1407</v>
      </c>
      <c r="B126" s="36" t="str">
        <f>IFERROR(HYPERLINK(VLOOKUP(A126,ÜRÜNLER!A:C,3,FALSE),VLOOKUP(A126,ÜRÜNLER!A:B,2,FALSE)),"")</f>
        <v>iQ300 Solo Bulaşık Makinesi, Inox</v>
      </c>
      <c r="C126" s="4"/>
      <c r="D126" s="4"/>
      <c r="E126" s="5"/>
      <c r="F126" s="5"/>
      <c r="G126" s="5"/>
      <c r="H126" s="5"/>
      <c r="I126" s="6"/>
      <c r="J126" s="6"/>
      <c r="K126" s="5"/>
      <c r="L126" s="5">
        <v>1</v>
      </c>
      <c r="M126" s="6"/>
      <c r="N126" s="39">
        <f t="shared" si="5"/>
        <v>1</v>
      </c>
      <c r="O126" s="40">
        <v>0</v>
      </c>
      <c r="P126" s="40"/>
      <c r="Q126" s="125" t="s">
        <v>1773</v>
      </c>
      <c r="R126" s="129">
        <v>30000</v>
      </c>
      <c r="S126" s="124">
        <v>31200</v>
      </c>
      <c r="T126" s="124">
        <v>32400</v>
      </c>
      <c r="U126" s="125"/>
      <c r="V126" s="123"/>
      <c r="W126" s="126">
        <v>1000</v>
      </c>
    </row>
    <row r="127" spans="1:25">
      <c r="A127" s="57" t="s">
        <v>124</v>
      </c>
      <c r="B127" s="36" t="str">
        <f>IFERROR(HYPERLINK(VLOOKUP(A127,ÜRÜNLER!A:C,3,FALSE),VLOOKUP(A127,ÜRÜNLER!A:B,2,FALSE)),"")</f>
        <v>iQ500 Solo Bulaşık Makinesi, autoOpen dry, Inox</v>
      </c>
      <c r="C127" s="4"/>
      <c r="D127" s="4"/>
      <c r="E127" s="5"/>
      <c r="F127" s="5"/>
      <c r="G127" s="5"/>
      <c r="H127" s="5"/>
      <c r="I127" s="6">
        <v>1</v>
      </c>
      <c r="J127" s="6"/>
      <c r="K127" s="5"/>
      <c r="L127" s="5"/>
      <c r="M127" s="6"/>
      <c r="N127" s="39">
        <f t="shared" si="5"/>
        <v>1</v>
      </c>
      <c r="O127" s="40">
        <v>0</v>
      </c>
      <c r="P127" s="29"/>
      <c r="Q127" s="125" t="s">
        <v>1773</v>
      </c>
      <c r="R127" s="131">
        <v>33624</v>
      </c>
      <c r="S127" s="124">
        <v>34968.959999999999</v>
      </c>
      <c r="T127" s="124">
        <v>36313.919999999998</v>
      </c>
      <c r="U127" s="125"/>
      <c r="V127" s="123">
        <v>7623.54</v>
      </c>
      <c r="W127" s="126">
        <v>500</v>
      </c>
    </row>
    <row r="128" spans="1:25">
      <c r="A128" s="57" t="s">
        <v>115</v>
      </c>
      <c r="B128" s="36" t="str">
        <f>IFERROR(HYPERLINK(VLOOKUP(A128,ÜRÜNLER!A:C,3,FALSE),VLOOKUP(A128,ÜRÜNLER!A:B,2,FALSE)),"")</f>
        <v>iQ300 Solo Bulaşık Makinesi, autoOpen dry, Beyaz</v>
      </c>
      <c r="C128" s="4">
        <v>42</v>
      </c>
      <c r="D128" s="4"/>
      <c r="E128" s="5"/>
      <c r="F128" s="5">
        <v>1</v>
      </c>
      <c r="G128" s="5"/>
      <c r="H128" s="5"/>
      <c r="I128" s="6"/>
      <c r="J128" s="6"/>
      <c r="K128" s="5">
        <v>1</v>
      </c>
      <c r="L128" s="5"/>
      <c r="M128" s="6"/>
      <c r="N128" s="39">
        <f t="shared" si="5"/>
        <v>44</v>
      </c>
      <c r="O128" s="40">
        <v>1</v>
      </c>
      <c r="P128" s="29"/>
      <c r="Q128" s="125">
        <v>34609.794751972418</v>
      </c>
      <c r="R128" s="128">
        <v>32879.3050143738</v>
      </c>
      <c r="S128" s="124">
        <v>34194.477214948754</v>
      </c>
      <c r="T128" s="124">
        <v>35509.649415523701</v>
      </c>
      <c r="U128" s="125">
        <v>1726.0738217398541</v>
      </c>
      <c r="V128" s="123"/>
      <c r="W128" s="129"/>
    </row>
    <row r="129" spans="1:25">
      <c r="A129" s="62" t="s">
        <v>116</v>
      </c>
      <c r="B129" s="36" t="str">
        <f>IFERROR(HYPERLINK(VLOOKUP(A129,ÜRÜNLER!A:C,3,FALSE),VLOOKUP(A129,ÜRÜNLER!A:B,2,FALSE)),"")</f>
        <v>iQ500 Solo Bulaşık Makinesi, Üstten Sepetli, Siyah Cam</v>
      </c>
      <c r="C129" s="4"/>
      <c r="D129" s="4"/>
      <c r="E129" s="5"/>
      <c r="F129" s="5"/>
      <c r="G129" s="5"/>
      <c r="H129" s="5"/>
      <c r="I129" s="6"/>
      <c r="J129" s="6"/>
      <c r="K129" s="5"/>
      <c r="L129" s="5">
        <v>1</v>
      </c>
      <c r="M129" s="6"/>
      <c r="N129" s="39">
        <f t="shared" si="5"/>
        <v>1</v>
      </c>
      <c r="O129" s="40">
        <v>0</v>
      </c>
      <c r="P129" s="29"/>
      <c r="Q129" s="125" t="s">
        <v>1773</v>
      </c>
      <c r="R129" s="129">
        <v>44765</v>
      </c>
      <c r="S129" s="124">
        <v>46555.6</v>
      </c>
      <c r="T129" s="124">
        <v>48346.2</v>
      </c>
      <c r="U129" s="125"/>
      <c r="V129" s="123"/>
      <c r="W129" s="126">
        <v>1000</v>
      </c>
    </row>
    <row r="130" spans="1:25">
      <c r="A130" s="66" t="s">
        <v>117</v>
      </c>
      <c r="B130" s="36" t="str">
        <f>IFERROR(HYPERLINK(VLOOKUP(A130,ÜRÜNLER!A:C,3,FALSE),VLOOKUP(A130,ÜRÜNLER!A:B,2,FALSE)),"")</f>
        <v>iQ500 Solo Bulaşık Makinesi, Üstten Sepetli, Beyaz Cam</v>
      </c>
      <c r="C130" s="4">
        <v>1</v>
      </c>
      <c r="D130" s="4"/>
      <c r="E130" s="5"/>
      <c r="F130" s="5"/>
      <c r="G130" s="5"/>
      <c r="H130" s="5"/>
      <c r="I130" s="6"/>
      <c r="J130" s="6">
        <v>1</v>
      </c>
      <c r="K130" s="5"/>
      <c r="L130" s="5"/>
      <c r="M130" s="6"/>
      <c r="N130" s="39">
        <f t="shared" si="5"/>
        <v>2</v>
      </c>
      <c r="O130" s="40">
        <v>0</v>
      </c>
      <c r="P130" s="29"/>
      <c r="Q130" s="125" t="s">
        <v>1773</v>
      </c>
      <c r="R130" s="129">
        <v>43000</v>
      </c>
      <c r="S130" s="124">
        <v>44720</v>
      </c>
      <c r="T130" s="124">
        <v>46440</v>
      </c>
      <c r="U130" s="125"/>
      <c r="V130" s="123"/>
      <c r="W130" s="129"/>
    </row>
    <row r="131" spans="1:25">
      <c r="A131" s="106" t="s">
        <v>118</v>
      </c>
      <c r="B131" s="36" t="str">
        <f>IFERROR(HYPERLINK(VLOOKUP(A131,ÜRÜNLER!A:C,3,FALSE),VLOOKUP(A131,ÜRÜNLER!A:B,2,FALSE)),"")</f>
        <v>iQ500 Solo Bulaşık Makinesi, Üstten Sepetli, Antrasit Cam</v>
      </c>
      <c r="C131" s="4">
        <v>4</v>
      </c>
      <c r="D131" s="4"/>
      <c r="E131" s="5"/>
      <c r="F131" s="5"/>
      <c r="G131" s="5"/>
      <c r="H131" s="5"/>
      <c r="I131" s="6">
        <v>1</v>
      </c>
      <c r="J131" s="6"/>
      <c r="K131" s="5"/>
      <c r="L131" s="5">
        <v>1</v>
      </c>
      <c r="M131" s="6"/>
      <c r="N131" s="39">
        <f t="shared" si="5"/>
        <v>6</v>
      </c>
      <c r="O131" s="40">
        <v>0</v>
      </c>
      <c r="P131" s="29"/>
      <c r="Q131" s="125" t="s">
        <v>1773</v>
      </c>
      <c r="R131" s="128">
        <v>43565.573117964086</v>
      </c>
      <c r="S131" s="124">
        <v>45308.196042682648</v>
      </c>
      <c r="T131" s="124">
        <v>47050.81896740121</v>
      </c>
      <c r="U131" s="125"/>
      <c r="V131" s="123"/>
      <c r="W131" s="129"/>
    </row>
    <row r="132" spans="1:25">
      <c r="A132" s="58" t="s">
        <v>119</v>
      </c>
      <c r="B132" s="36" t="str">
        <f>IFERROR(HYPERLINK(VLOOKUP(A132,ÜRÜNLER!A:C,3,FALSE),VLOOKUP(A132,ÜRÜNLER!A:B,2,FALSE)),"")</f>
        <v>iQ300 Solo Bulaşık Makinesi, Üstten Sepetli, darkSteel</v>
      </c>
      <c r="C132" s="4"/>
      <c r="D132" s="4"/>
      <c r="E132" s="5"/>
      <c r="F132" s="5"/>
      <c r="G132" s="5"/>
      <c r="H132" s="5"/>
      <c r="I132" s="6">
        <v>1</v>
      </c>
      <c r="J132" s="6">
        <v>1</v>
      </c>
      <c r="K132" s="5"/>
      <c r="L132" s="5">
        <v>1</v>
      </c>
      <c r="M132" s="6"/>
      <c r="N132" s="39">
        <f t="shared" si="5"/>
        <v>3</v>
      </c>
      <c r="O132" s="40">
        <v>0</v>
      </c>
      <c r="P132" s="29"/>
      <c r="Q132" s="125" t="s">
        <v>1773</v>
      </c>
      <c r="R132" s="129">
        <v>36000</v>
      </c>
      <c r="S132" s="124">
        <v>37440</v>
      </c>
      <c r="T132" s="124">
        <v>38880</v>
      </c>
      <c r="U132" s="125"/>
      <c r="V132" s="123"/>
      <c r="W132" s="126">
        <v>500</v>
      </c>
    </row>
    <row r="133" spans="1:25">
      <c r="A133" s="68" t="s">
        <v>120</v>
      </c>
      <c r="B133" s="36" t="str">
        <f>IFERROR(HYPERLINK(VLOOKUP(A133,ÜRÜNLER!A:C,3,FALSE),VLOOKUP(A133,ÜRÜNLER!A:B,2,FALSE)),"")</f>
        <v>iQ300 Solo Bulaşık Makinesi, Inox</v>
      </c>
      <c r="C133" s="4">
        <v>24</v>
      </c>
      <c r="D133" s="4"/>
      <c r="E133" s="5"/>
      <c r="F133" s="5"/>
      <c r="G133" s="5"/>
      <c r="H133" s="5"/>
      <c r="I133" s="6">
        <v>1</v>
      </c>
      <c r="J133" s="6">
        <v>1</v>
      </c>
      <c r="K133" s="5">
        <v>1</v>
      </c>
      <c r="L133" s="5">
        <v>1</v>
      </c>
      <c r="M133" s="6"/>
      <c r="N133" s="39">
        <f t="shared" si="5"/>
        <v>28</v>
      </c>
      <c r="O133" s="40">
        <v>0</v>
      </c>
      <c r="P133" s="44"/>
      <c r="Q133" s="125">
        <v>36240.481354441705</v>
      </c>
      <c r="R133" s="128">
        <v>34428.457286719618</v>
      </c>
      <c r="S133" s="124">
        <v>35805.595578188404</v>
      </c>
      <c r="T133" s="124">
        <v>37182.73386965719</v>
      </c>
      <c r="U133" s="125">
        <v>2217.2255404882162</v>
      </c>
      <c r="V133" s="123"/>
      <c r="W133" s="129"/>
    </row>
    <row r="134" spans="1:25">
      <c r="A134" s="68" t="s">
        <v>122</v>
      </c>
      <c r="B134" s="36" t="str">
        <f>IFERROR(HYPERLINK(VLOOKUP(A134,ÜRÜNLER!A:C,3,FALSE),VLOOKUP(A134,ÜRÜNLER!A:B,2,FALSE)),"")</f>
        <v>iQ300 Solo Bulaşık Makinesi, Beyaz</v>
      </c>
      <c r="C134" s="4">
        <v>100</v>
      </c>
      <c r="D134" s="4"/>
      <c r="E134" s="5"/>
      <c r="F134" s="5"/>
      <c r="G134" s="5"/>
      <c r="H134" s="5"/>
      <c r="I134" s="6">
        <v>2</v>
      </c>
      <c r="J134" s="6">
        <v>1</v>
      </c>
      <c r="K134" s="5">
        <v>1</v>
      </c>
      <c r="L134" s="5">
        <v>1</v>
      </c>
      <c r="M134" s="6">
        <v>1</v>
      </c>
      <c r="N134" s="39">
        <f t="shared" si="5"/>
        <v>106</v>
      </c>
      <c r="O134" s="40">
        <v>0</v>
      </c>
      <c r="P134" s="44"/>
      <c r="Q134" s="125">
        <v>33948.361891003922</v>
      </c>
      <c r="R134" s="128">
        <v>32250.943796453725</v>
      </c>
      <c r="S134" s="124">
        <v>33540.981548311873</v>
      </c>
      <c r="T134" s="124">
        <v>34831.019300170025</v>
      </c>
      <c r="U134" s="125">
        <v>4564.6409607713613</v>
      </c>
      <c r="V134" s="123"/>
      <c r="W134" s="129"/>
    </row>
    <row r="135" spans="1:25">
      <c r="A135" s="68" t="s">
        <v>121</v>
      </c>
      <c r="B135" s="36" t="str">
        <f>IFERROR(HYPERLINK(VLOOKUP(A135,ÜRÜNLER!A:C,3,FALSE),VLOOKUP(A135,ÜRÜNLER!A:B,2,FALSE)),"")</f>
        <v>iQ300 Solo Bulaşık Makinesi, Üstten Sepetli, Inox</v>
      </c>
      <c r="C135" s="4"/>
      <c r="D135" s="4"/>
      <c r="E135" s="5"/>
      <c r="F135" s="5">
        <v>1</v>
      </c>
      <c r="G135" s="5"/>
      <c r="H135" s="5"/>
      <c r="I135" s="6"/>
      <c r="J135" s="6">
        <v>1</v>
      </c>
      <c r="K135" s="5"/>
      <c r="L135" s="5">
        <v>1</v>
      </c>
      <c r="M135" s="6"/>
      <c r="N135" s="39">
        <f t="shared" si="5"/>
        <v>3</v>
      </c>
      <c r="O135" s="40">
        <v>0</v>
      </c>
      <c r="P135" s="29"/>
      <c r="Q135" s="125" t="s">
        <v>1773</v>
      </c>
      <c r="R135" s="124">
        <v>33000</v>
      </c>
      <c r="S135" s="124">
        <v>34320</v>
      </c>
      <c r="T135" s="124">
        <v>35640</v>
      </c>
      <c r="U135" s="125"/>
      <c r="V135" s="123"/>
      <c r="W135" s="129"/>
    </row>
    <row r="136" spans="1:25">
      <c r="A136" s="57" t="s">
        <v>123</v>
      </c>
      <c r="B136" s="36" t="str">
        <f>IFERROR(HYPERLINK(VLOOKUP(A136,ÜRÜNLER!A:C,3,FALSE),VLOOKUP(A136,ÜRÜNLER!A:B,2,FALSE)),"")</f>
        <v>iQ300 Solo Bulaşık Makinesi, Üstten Sepetli, Beyaz</v>
      </c>
      <c r="C136" s="4">
        <v>1</v>
      </c>
      <c r="D136" s="4"/>
      <c r="E136" s="5"/>
      <c r="F136" s="5">
        <v>1</v>
      </c>
      <c r="G136" s="5"/>
      <c r="H136" s="5"/>
      <c r="I136" s="6">
        <v>1</v>
      </c>
      <c r="J136" s="6"/>
      <c r="K136" s="5">
        <v>1</v>
      </c>
      <c r="L136" s="5">
        <v>3</v>
      </c>
      <c r="M136" s="6"/>
      <c r="N136" s="39">
        <f t="shared" si="5"/>
        <v>7</v>
      </c>
      <c r="O136" s="40">
        <v>0</v>
      </c>
      <c r="P136" s="29"/>
      <c r="Q136" s="125" t="s">
        <v>1773</v>
      </c>
      <c r="R136" s="124">
        <v>31000</v>
      </c>
      <c r="S136" s="124">
        <v>32240</v>
      </c>
      <c r="T136" s="124">
        <v>33480</v>
      </c>
      <c r="U136" s="125"/>
      <c r="V136" s="123"/>
      <c r="W136" s="129"/>
    </row>
    <row r="137" spans="1:25">
      <c r="A137" s="57" t="s">
        <v>126</v>
      </c>
      <c r="B137" s="36" t="str">
        <f>IFERROR(HYPERLINK(VLOOKUP(A137,ÜRÜNLER!A:C,3,FALSE),VLOOKUP(A137,ÜRÜNLER!A:B,2,FALSE)),"")</f>
        <v>iQ500 Solo Bulaşık Makinesi, autoOpen dry, Inox</v>
      </c>
      <c r="C137" s="4">
        <v>8</v>
      </c>
      <c r="D137" s="4"/>
      <c r="E137" s="5"/>
      <c r="F137" s="5">
        <v>4</v>
      </c>
      <c r="G137" s="5"/>
      <c r="H137" s="5"/>
      <c r="I137" s="6"/>
      <c r="J137" s="6">
        <v>1</v>
      </c>
      <c r="K137" s="5"/>
      <c r="L137" s="5"/>
      <c r="M137" s="6"/>
      <c r="N137" s="39">
        <f t="shared" si="5"/>
        <v>13</v>
      </c>
      <c r="O137" s="40">
        <v>0</v>
      </c>
      <c r="P137" s="29"/>
      <c r="Q137" s="125">
        <v>42747.439122601747</v>
      </c>
      <c r="R137" s="128">
        <v>40610.067166471657</v>
      </c>
      <c r="S137" s="124">
        <v>42234.469853130526</v>
      </c>
      <c r="T137" s="124">
        <v>43858.872539789387</v>
      </c>
      <c r="U137" s="125"/>
      <c r="V137" s="123"/>
      <c r="W137" s="129"/>
      <c r="Y137" s="108"/>
    </row>
    <row r="138" spans="1:25">
      <c r="A138" s="57" t="s">
        <v>109</v>
      </c>
      <c r="B138" s="36" t="str">
        <f>IFERROR(HYPERLINK(VLOOKUP(A138,ÜRÜNLER!A:C,3,FALSE),VLOOKUP(A138,ÜRÜNLER!A:B,2,FALSE)),"")</f>
        <v>iQ500 Solo Bulaşık Makinesi, autoOpen dry, Üstten Sepetli, Inox</v>
      </c>
      <c r="C138" s="4">
        <v>15</v>
      </c>
      <c r="D138" s="4"/>
      <c r="E138" s="5"/>
      <c r="F138" s="5"/>
      <c r="G138" s="5"/>
      <c r="H138" s="5"/>
      <c r="I138" s="6"/>
      <c r="J138" s="6"/>
      <c r="K138" s="5"/>
      <c r="L138" s="5"/>
      <c r="M138" s="6"/>
      <c r="N138" s="39">
        <f t="shared" si="5"/>
        <v>15</v>
      </c>
      <c r="O138" s="40">
        <v>0</v>
      </c>
      <c r="P138" s="29"/>
      <c r="Q138" s="125">
        <v>44507.652723033782</v>
      </c>
      <c r="R138" s="128">
        <v>42282.27008688209</v>
      </c>
      <c r="S138" s="124">
        <v>43973.560890357374</v>
      </c>
      <c r="T138" s="124">
        <v>45664.851693832657</v>
      </c>
      <c r="U138" s="125"/>
      <c r="V138" s="123"/>
      <c r="W138" s="129"/>
      <c r="Y138" s="108"/>
    </row>
    <row r="139" spans="1:25">
      <c r="A139" s="68" t="s">
        <v>128</v>
      </c>
      <c r="B139" s="36" t="str">
        <f>IFERROR(HYPERLINK(VLOOKUP(A139,ÜRÜNLER!A:C,3,FALSE),VLOOKUP(A139,ÜRÜNLER!A:B,2,FALSE)),"")</f>
        <v>iQ500 Solo Bulaşık Makinesi, autoOpen dry, Üstten Sepetli, Inox</v>
      </c>
      <c r="C139" s="4">
        <v>3</v>
      </c>
      <c r="D139" s="4"/>
      <c r="E139" s="5"/>
      <c r="F139" s="5">
        <v>1</v>
      </c>
      <c r="G139" s="5"/>
      <c r="H139" s="5"/>
      <c r="I139" s="6">
        <v>1</v>
      </c>
      <c r="J139" s="6"/>
      <c r="K139" s="5"/>
      <c r="L139" s="5">
        <v>1</v>
      </c>
      <c r="M139" s="6"/>
      <c r="N139" s="39">
        <f t="shared" si="5"/>
        <v>6</v>
      </c>
      <c r="O139" s="40">
        <v>16</v>
      </c>
      <c r="P139" s="29"/>
      <c r="Q139" s="125">
        <v>50737.681875795031</v>
      </c>
      <c r="R139" s="128">
        <v>48200.797782005277</v>
      </c>
      <c r="S139" s="124">
        <v>50128.829693285486</v>
      </c>
      <c r="T139" s="124">
        <v>52056.861604565696</v>
      </c>
      <c r="U139" s="125"/>
      <c r="V139" s="123"/>
      <c r="W139" s="129"/>
    </row>
    <row r="140" spans="1:25">
      <c r="A140" s="68" t="s">
        <v>129</v>
      </c>
      <c r="B140" s="36" t="str">
        <f>IFERROR(HYPERLINK(VLOOKUP(A140,ÜRÜNLER!A:C,3,FALSE),VLOOKUP(A140,ÜRÜNLER!A:B,2,FALSE)),"")</f>
        <v>iQ500 Solo Bulaşık Makinesi, autoOpen dry, glassZone, Inox</v>
      </c>
      <c r="C140" s="4"/>
      <c r="D140" s="4"/>
      <c r="E140" s="5"/>
      <c r="F140" s="5"/>
      <c r="G140" s="5"/>
      <c r="H140" s="5"/>
      <c r="I140" s="6">
        <v>1</v>
      </c>
      <c r="J140" s="6"/>
      <c r="K140" s="5"/>
      <c r="L140" s="5"/>
      <c r="M140" s="6"/>
      <c r="N140" s="39">
        <f t="shared" si="5"/>
        <v>1</v>
      </c>
      <c r="O140" s="40">
        <v>0</v>
      </c>
      <c r="P140" s="29"/>
      <c r="Q140" s="125" t="s">
        <v>1773</v>
      </c>
      <c r="R140" s="129">
        <v>49000</v>
      </c>
      <c r="S140" s="124">
        <v>50960</v>
      </c>
      <c r="T140" s="124">
        <v>52920</v>
      </c>
      <c r="U140" s="125"/>
      <c r="V140" s="123"/>
      <c r="W140" s="126">
        <v>1000</v>
      </c>
    </row>
    <row r="141" spans="1:25">
      <c r="A141" s="61" t="s">
        <v>132</v>
      </c>
      <c r="B141" s="36" t="str">
        <f>IFERROR(HYPERLINK(VLOOKUP(A141,ÜRÜNLER!A:C,3,FALSE),VLOOKUP(A141,ÜRÜNLER!A:B,2,FALSE)),"")</f>
        <v>iQ500 Solo Bulaşık Makinesi, autoOpen dry, glassZone, Üstten Sepetli, Inox</v>
      </c>
      <c r="C141" s="4">
        <v>3</v>
      </c>
      <c r="D141" s="4"/>
      <c r="E141" s="5"/>
      <c r="F141" s="5"/>
      <c r="G141" s="5"/>
      <c r="H141" s="5"/>
      <c r="I141" s="6"/>
      <c r="J141" s="6"/>
      <c r="K141" s="5"/>
      <c r="L141" s="5"/>
      <c r="M141" s="6">
        <v>1</v>
      </c>
      <c r="N141" s="39">
        <f t="shared" si="5"/>
        <v>4</v>
      </c>
      <c r="O141" s="40">
        <v>0</v>
      </c>
      <c r="P141" s="29"/>
      <c r="Q141" s="125">
        <v>60719.56459312301</v>
      </c>
      <c r="R141" s="128">
        <v>57683.586363466857</v>
      </c>
      <c r="S141" s="124">
        <v>59990.929818005534</v>
      </c>
      <c r="T141" s="124">
        <v>62298.273272544204</v>
      </c>
      <c r="U141" s="125"/>
      <c r="V141" s="123"/>
      <c r="W141" s="129"/>
    </row>
    <row r="142" spans="1:25">
      <c r="A142" s="57" t="s">
        <v>127</v>
      </c>
      <c r="B142" s="36" t="str">
        <f>IFERROR(HYPERLINK(VLOOKUP(A142,ÜRÜNLER!A:C,3,FALSE),VLOOKUP(A142,ÜRÜNLER!A:B,2,FALSE)),"")</f>
        <v>iQ500 Solo Bulaşık Makinesi, autoOpen dry, Beyaz</v>
      </c>
      <c r="C142" s="4">
        <v>4</v>
      </c>
      <c r="D142" s="4"/>
      <c r="E142" s="5"/>
      <c r="F142" s="5"/>
      <c r="G142" s="5"/>
      <c r="H142" s="5"/>
      <c r="I142" s="6">
        <v>1</v>
      </c>
      <c r="J142" s="6"/>
      <c r="K142" s="5"/>
      <c r="L142" s="5"/>
      <c r="M142" s="6"/>
      <c r="N142" s="39">
        <f t="shared" si="5"/>
        <v>5</v>
      </c>
      <c r="O142" s="40">
        <v>0</v>
      </c>
      <c r="P142" s="29"/>
      <c r="Q142" s="125">
        <v>40203.197674418596</v>
      </c>
      <c r="R142" s="128">
        <v>38193.037790697665</v>
      </c>
      <c r="S142" s="124">
        <v>39720.759302325569</v>
      </c>
      <c r="T142" s="124">
        <v>41248.48081395348</v>
      </c>
      <c r="U142" s="125"/>
      <c r="V142" s="123"/>
      <c r="W142" s="129"/>
      <c r="Y142" s="108"/>
    </row>
    <row r="143" spans="1:25">
      <c r="A143" s="57" t="s">
        <v>130</v>
      </c>
      <c r="B143" s="36" t="str">
        <f>IFERROR(HYPERLINK(VLOOKUP(A143,ÜRÜNLER!A:C,3,FALSE),VLOOKUP(A143,ÜRÜNLER!A:B,2,FALSE)),"")</f>
        <v>iQ500 Solo Bulaşık Makinesi, autoOpen dry, Üstten Sepetli, Beyaz</v>
      </c>
      <c r="C143" s="4"/>
      <c r="D143" s="4"/>
      <c r="E143" s="5"/>
      <c r="F143" s="5">
        <v>1</v>
      </c>
      <c r="G143" s="5"/>
      <c r="H143" s="5"/>
      <c r="I143" s="6"/>
      <c r="J143" s="6"/>
      <c r="K143" s="5"/>
      <c r="L143" s="5"/>
      <c r="M143" s="6"/>
      <c r="N143" s="39">
        <f t="shared" si="5"/>
        <v>1</v>
      </c>
      <c r="O143" s="40">
        <v>0</v>
      </c>
      <c r="P143" s="29"/>
      <c r="Q143" s="125" t="s">
        <v>1773</v>
      </c>
      <c r="R143" s="129">
        <v>43000</v>
      </c>
      <c r="S143" s="124">
        <v>44720</v>
      </c>
      <c r="T143" s="124">
        <v>46440</v>
      </c>
      <c r="U143" s="125"/>
      <c r="V143" s="123"/>
      <c r="W143" s="138">
        <v>1000</v>
      </c>
    </row>
    <row r="144" spans="1:25">
      <c r="A144" s="57" t="s">
        <v>131</v>
      </c>
      <c r="B144" s="36" t="str">
        <f>IFERROR(HYPERLINK(VLOOKUP(A144,ÜRÜNLER!A:C,3,FALSE),VLOOKUP(A144,ÜRÜNLER!A:B,2,FALSE)),"")</f>
        <v>iQ500 Solo Bulaşık Makinesi, Üstten Sepetli, Beyaz</v>
      </c>
      <c r="C144" s="4"/>
      <c r="D144" s="4"/>
      <c r="E144" s="5"/>
      <c r="F144" s="5"/>
      <c r="G144" s="5"/>
      <c r="H144" s="5"/>
      <c r="I144" s="6"/>
      <c r="J144" s="6">
        <v>1</v>
      </c>
      <c r="K144" s="5"/>
      <c r="L144" s="5"/>
      <c r="M144" s="6"/>
      <c r="N144" s="39">
        <f t="shared" si="5"/>
        <v>1</v>
      </c>
      <c r="O144" s="40">
        <v>0</v>
      </c>
      <c r="P144" s="29"/>
      <c r="Q144" s="125" t="s">
        <v>1773</v>
      </c>
      <c r="R144" s="123">
        <v>44000</v>
      </c>
      <c r="S144" s="124">
        <v>45760</v>
      </c>
      <c r="T144" s="124">
        <v>47520</v>
      </c>
      <c r="U144" s="125"/>
      <c r="V144" s="123"/>
      <c r="W144" s="138">
        <v>1000</v>
      </c>
    </row>
    <row r="145" spans="1:24">
      <c r="A145" s="68" t="s">
        <v>133</v>
      </c>
      <c r="B145" s="36" t="str">
        <f>IFERROR(HYPERLINK(VLOOKUP(A145,ÜRÜNLER!A:C,3,FALSE),VLOOKUP(A145,ÜRÜNLER!A:B,2,FALSE)),"")</f>
        <v>iQ700 Solo Bulaşık Makinesi, Zeolith dry, glassZone, Inox</v>
      </c>
      <c r="C145" s="4">
        <v>20</v>
      </c>
      <c r="D145" s="4"/>
      <c r="E145" s="5"/>
      <c r="F145" s="5"/>
      <c r="G145" s="5">
        <v>1</v>
      </c>
      <c r="H145" s="5"/>
      <c r="I145" s="6">
        <v>1</v>
      </c>
      <c r="J145" s="6">
        <v>1</v>
      </c>
      <c r="K145" s="5">
        <v>1</v>
      </c>
      <c r="L145" s="5">
        <v>1</v>
      </c>
      <c r="M145" s="6">
        <v>1</v>
      </c>
      <c r="N145" s="39">
        <f t="shared" si="5"/>
        <v>26</v>
      </c>
      <c r="O145" s="40">
        <v>0</v>
      </c>
      <c r="P145" s="44"/>
      <c r="Q145" s="125">
        <v>66131.510633498096</v>
      </c>
      <c r="R145" s="128">
        <v>62824.93510182319</v>
      </c>
      <c r="S145" s="124">
        <v>65337.932505896119</v>
      </c>
      <c r="T145" s="124">
        <v>67850.92990996904</v>
      </c>
      <c r="U145" s="125"/>
      <c r="V145" s="123"/>
      <c r="W145" s="123"/>
    </row>
    <row r="146" spans="1:24" s="11" customFormat="1" ht="30">
      <c r="A146" s="69" t="s">
        <v>1539</v>
      </c>
      <c r="B146" s="36" t="str">
        <f>IFERROR(HYPERLINK(VLOOKUP(A146,ÜRÜNLER!A:C,3,FALSE),VLOOKUP(A146,ÜRÜNLER!A:B,2,FALSE)),"")</f>
        <v/>
      </c>
      <c r="C146" s="4"/>
      <c r="D146" s="4"/>
      <c r="E146" s="5"/>
      <c r="F146" s="5"/>
      <c r="G146" s="5"/>
      <c r="H146" s="5"/>
      <c r="I146" s="6"/>
      <c r="J146" s="6"/>
      <c r="K146" s="5"/>
      <c r="L146" s="5"/>
      <c r="M146" s="6"/>
      <c r="N146" s="39">
        <f>SUM(N121:N145)</f>
        <v>457</v>
      </c>
      <c r="O146" s="40">
        <v>0</v>
      </c>
      <c r="P146" s="29"/>
      <c r="Q146" s="125"/>
      <c r="R146" s="129"/>
      <c r="S146" s="124"/>
      <c r="T146" s="124"/>
      <c r="U146" s="125"/>
      <c r="V146" s="123"/>
      <c r="W146" s="129"/>
      <c r="X146" s="127"/>
    </row>
    <row r="147" spans="1:24">
      <c r="A147" s="64" t="s">
        <v>464</v>
      </c>
      <c r="B147" s="36" t="str">
        <f>IFERROR(HYPERLINK(VLOOKUP(A147,ÜRÜNLER!A:C,3,FALSE),VLOOKUP(A147,ÜRÜNLER!A:B,2,FALSE)),"")</f>
        <v>iQ500 Tezgah Altı Ankastre Kapaklı Bulaşık Makinesi, autoOpen dry, timeLight, 3 Sepetli, Siyah Cam</v>
      </c>
      <c r="C147" s="4">
        <v>17</v>
      </c>
      <c r="D147" s="4"/>
      <c r="E147" s="5"/>
      <c r="F147" s="5"/>
      <c r="G147" s="5"/>
      <c r="H147" s="5"/>
      <c r="I147" s="6">
        <v>1</v>
      </c>
      <c r="J147" s="6"/>
      <c r="K147" s="5">
        <v>1</v>
      </c>
      <c r="L147" s="5"/>
      <c r="M147" s="6"/>
      <c r="N147" s="39">
        <f t="shared" ref="N147:N167" si="6">M147+K147+L147+J147+I147+H147+G147+F147+E147+D147+C147</f>
        <v>19</v>
      </c>
      <c r="O147" s="40">
        <v>1</v>
      </c>
      <c r="P147" s="29"/>
      <c r="Q147" s="125">
        <v>48386.060445880896</v>
      </c>
      <c r="R147" s="128">
        <v>45966.757423586852</v>
      </c>
      <c r="S147" s="124">
        <v>47805.42772053033</v>
      </c>
      <c r="T147" s="124">
        <v>49644.0980174738</v>
      </c>
      <c r="U147" s="125"/>
      <c r="V147" s="123"/>
      <c r="W147" s="129"/>
    </row>
    <row r="148" spans="1:24">
      <c r="A148" s="64" t="s">
        <v>465</v>
      </c>
      <c r="B148" s="36" t="str">
        <f>IFERROR(HYPERLINK(VLOOKUP(A148,ÜRÜNLER!A:C,3,FALSE),VLOOKUP(A148,ÜRÜNLER!A:B,2,FALSE)),"")</f>
        <v>iQ500 Tezgah Altı Ankastre Kapaklı Bulaşık Makinesi, autoOpen dry, timeLight, 3 Sepetli, Antrasit Cam</v>
      </c>
      <c r="C148" s="4">
        <v>11</v>
      </c>
      <c r="D148" s="4"/>
      <c r="E148" s="5"/>
      <c r="F148" s="5"/>
      <c r="G148" s="5"/>
      <c r="H148" s="5"/>
      <c r="I148" s="6"/>
      <c r="J148" s="6"/>
      <c r="K148" s="5"/>
      <c r="L148" s="5"/>
      <c r="M148" s="6"/>
      <c r="N148" s="39">
        <f t="shared" si="6"/>
        <v>11</v>
      </c>
      <c r="O148" s="40">
        <v>0</v>
      </c>
      <c r="P148" s="29"/>
      <c r="Q148" s="125">
        <v>48386.060445880896</v>
      </c>
      <c r="R148" s="128">
        <v>45966.757423586852</v>
      </c>
      <c r="S148" s="124">
        <v>47805.42772053033</v>
      </c>
      <c r="T148" s="124">
        <v>49644.0980174738</v>
      </c>
      <c r="U148" s="125"/>
      <c r="V148" s="123"/>
      <c r="W148" s="129"/>
    </row>
    <row r="149" spans="1:24">
      <c r="A149" s="64" t="s">
        <v>136</v>
      </c>
      <c r="B149" s="36" t="str">
        <f>IFERROR(HYPERLINK(VLOOKUP(A149,ÜRÜNLER!A:C,3,FALSE),VLOOKUP(A149,ÜRÜNLER!A:B,2,FALSE)),"")</f>
        <v>iQ100 Yarı Ankastre Bulaşık Makinesi, Beyaz</v>
      </c>
      <c r="C149" s="4"/>
      <c r="D149" s="4"/>
      <c r="E149" s="5"/>
      <c r="F149" s="5"/>
      <c r="G149" s="5"/>
      <c r="H149" s="5"/>
      <c r="I149" s="6">
        <v>1</v>
      </c>
      <c r="J149" s="6"/>
      <c r="K149" s="5"/>
      <c r="L149" s="5"/>
      <c r="M149" s="6"/>
      <c r="N149" s="39">
        <f t="shared" si="6"/>
        <v>1</v>
      </c>
      <c r="O149" s="40">
        <v>0</v>
      </c>
      <c r="P149" s="29"/>
      <c r="Q149" s="125" t="s">
        <v>1773</v>
      </c>
      <c r="R149" s="123">
        <v>20000</v>
      </c>
      <c r="S149" s="124">
        <v>20800</v>
      </c>
      <c r="T149" s="124">
        <v>21600</v>
      </c>
      <c r="U149" s="125"/>
      <c r="V149" s="123"/>
      <c r="W149" s="126">
        <v>500</v>
      </c>
    </row>
    <row r="150" spans="1:24">
      <c r="A150" s="64" t="s">
        <v>135</v>
      </c>
      <c r="B150" s="36" t="str">
        <f>IFERROR(HYPERLINK(VLOOKUP(A150,ÜRÜNLER!A:C,3,FALSE),VLOOKUP(A150,ÜRÜNLER!A:B,2,FALSE)),"")</f>
        <v>iQ100 Yarı Ankastre Bulaşık Makinesi, Beyaz</v>
      </c>
      <c r="C150" s="4"/>
      <c r="D150" s="4"/>
      <c r="E150" s="5"/>
      <c r="F150" s="5"/>
      <c r="G150" s="5">
        <v>1</v>
      </c>
      <c r="H150" s="5"/>
      <c r="I150" s="6"/>
      <c r="J150" s="6"/>
      <c r="K150" s="5"/>
      <c r="L150" s="5">
        <v>1</v>
      </c>
      <c r="M150" s="6"/>
      <c r="N150" s="39">
        <f t="shared" si="6"/>
        <v>2</v>
      </c>
      <c r="O150" s="40">
        <v>0</v>
      </c>
      <c r="P150" s="29"/>
      <c r="Q150" s="125" t="s">
        <v>1773</v>
      </c>
      <c r="R150" s="123">
        <v>22140</v>
      </c>
      <c r="S150" s="124">
        <v>23025.599999999999</v>
      </c>
      <c r="T150" s="124">
        <v>23911.200000000001</v>
      </c>
      <c r="U150" s="125"/>
      <c r="V150" s="123">
        <v>2139.91</v>
      </c>
      <c r="W150" s="126">
        <v>500</v>
      </c>
    </row>
    <row r="151" spans="1:24">
      <c r="A151" s="64" t="s">
        <v>1767</v>
      </c>
      <c r="B151" s="36" t="str">
        <f>IFERROR(HYPERLINK(VLOOKUP(A151,ÜRÜNLER!A:C,3,FALSE),VLOOKUP(A151,ÜRÜNLER!A:B,2,FALSE)),"")</f>
        <v>iQ300 Yarı Ankastre Bulaşık Makinesi, Siyah/Inox</v>
      </c>
      <c r="C151" s="4"/>
      <c r="D151" s="4"/>
      <c r="E151" s="5"/>
      <c r="F151" s="5"/>
      <c r="G151" s="5"/>
      <c r="H151" s="5"/>
      <c r="I151" s="6"/>
      <c r="J151" s="6"/>
      <c r="K151" s="5"/>
      <c r="L151" s="5"/>
      <c r="M151" s="6"/>
      <c r="N151" s="39">
        <f t="shared" si="6"/>
        <v>0</v>
      </c>
      <c r="O151" s="40">
        <v>13</v>
      </c>
      <c r="P151" s="29"/>
      <c r="Q151" s="125">
        <v>40866.065346093754</v>
      </c>
      <c r="R151" s="129">
        <v>39106.282627840912</v>
      </c>
      <c r="S151" s="124">
        <v>40670.533932954546</v>
      </c>
      <c r="T151" s="124">
        <v>42234.785238068187</v>
      </c>
      <c r="U151" s="125"/>
      <c r="V151" s="123"/>
      <c r="W151" s="129"/>
    </row>
    <row r="152" spans="1:24">
      <c r="A152" s="64" t="s">
        <v>139</v>
      </c>
      <c r="B152" s="36" t="str">
        <f>IFERROR(HYPERLINK(VLOOKUP(A152,ÜRÜNLER!A:C,3,FALSE),VLOOKUP(A152,ÜRÜNLER!A:B,2,FALSE)),"")</f>
        <v>iQ300 Yarı Ankastre Bulaşık Makinesi, Siyah/Inox</v>
      </c>
      <c r="C152" s="4">
        <v>10</v>
      </c>
      <c r="D152" s="4"/>
      <c r="E152" s="5"/>
      <c r="F152" s="5">
        <v>1</v>
      </c>
      <c r="G152" s="5"/>
      <c r="H152" s="5"/>
      <c r="I152" s="6"/>
      <c r="J152" s="6"/>
      <c r="K152" s="5">
        <v>1</v>
      </c>
      <c r="L152" s="5"/>
      <c r="M152" s="6">
        <v>1</v>
      </c>
      <c r="N152" s="39">
        <f t="shared" si="6"/>
        <v>13</v>
      </c>
      <c r="O152" s="40">
        <v>0</v>
      </c>
      <c r="P152" s="29"/>
      <c r="Q152" s="125">
        <v>38851.93945761324</v>
      </c>
      <c r="R152" s="128">
        <v>36909.34248473258</v>
      </c>
      <c r="S152" s="124">
        <v>38385.716184121884</v>
      </c>
      <c r="T152" s="124">
        <v>39862.089883511188</v>
      </c>
      <c r="U152" s="125"/>
      <c r="V152" s="123"/>
      <c r="W152" s="129"/>
    </row>
    <row r="153" spans="1:24">
      <c r="A153" s="61" t="s">
        <v>137</v>
      </c>
      <c r="B153" s="36" t="str">
        <f>IFERROR(HYPERLINK(VLOOKUP(A153,ÜRÜNLER!A:C,3,FALSE),VLOOKUP(A153,ÜRÜNLER!A:B,2,FALSE)),"")</f>
        <v>iQ500 Yarı Ankastre Bulaşık Makinesi, Üstten Sepetli, Inox</v>
      </c>
      <c r="C153" s="4">
        <v>7</v>
      </c>
      <c r="D153" s="4"/>
      <c r="E153" s="5"/>
      <c r="F153" s="5">
        <v>1</v>
      </c>
      <c r="G153" s="5"/>
      <c r="H153" s="5"/>
      <c r="I153" s="6">
        <v>1</v>
      </c>
      <c r="J153" s="6">
        <v>1</v>
      </c>
      <c r="K153" s="5"/>
      <c r="L153" s="5">
        <v>1</v>
      </c>
      <c r="M153" s="6"/>
      <c r="N153" s="39">
        <f t="shared" si="6"/>
        <v>11</v>
      </c>
      <c r="O153" s="40">
        <v>0</v>
      </c>
      <c r="P153" s="29"/>
      <c r="Q153" s="125">
        <v>40873.488763542984</v>
      </c>
      <c r="R153" s="128">
        <v>38829.814325365835</v>
      </c>
      <c r="S153" s="124">
        <v>40383.006898380467</v>
      </c>
      <c r="T153" s="124">
        <v>41936.199471395099</v>
      </c>
      <c r="U153" s="125"/>
      <c r="V153" s="123"/>
      <c r="W153" s="129"/>
    </row>
    <row r="154" spans="1:24">
      <c r="A154" s="64" t="s">
        <v>138</v>
      </c>
      <c r="B154" s="36" t="str">
        <f>IFERROR(HYPERLINK(VLOOKUP(A154,ÜRÜNLER!A:C,3,FALSE),VLOOKUP(A154,ÜRÜNLER!A:B,2,FALSE)),"")</f>
        <v>iQ300 Yarı Ankastre Bulaşık Makinesi, Beyaz/Inox</v>
      </c>
      <c r="C154" s="4">
        <v>1</v>
      </c>
      <c r="D154" s="4"/>
      <c r="E154" s="5"/>
      <c r="F154" s="5"/>
      <c r="G154" s="5"/>
      <c r="H154" s="5"/>
      <c r="I154" s="6">
        <v>1</v>
      </c>
      <c r="J154" s="6">
        <v>1</v>
      </c>
      <c r="K154" s="5"/>
      <c r="L154" s="5"/>
      <c r="M154" s="6"/>
      <c r="N154" s="39">
        <f t="shared" si="6"/>
        <v>3</v>
      </c>
      <c r="O154" s="40">
        <v>0</v>
      </c>
      <c r="P154" s="29"/>
      <c r="Q154" s="125" t="s">
        <v>1773</v>
      </c>
      <c r="R154" s="129">
        <v>27756.046587678491</v>
      </c>
      <c r="S154" s="124">
        <v>28866.288451185632</v>
      </c>
      <c r="T154" s="124">
        <v>29976.530314692769</v>
      </c>
      <c r="U154" s="125"/>
      <c r="V154" s="123"/>
      <c r="W154" s="129"/>
    </row>
    <row r="155" spans="1:24">
      <c r="A155" s="70" t="s">
        <v>141</v>
      </c>
      <c r="B155" s="36" t="str">
        <f>IFERROR(HYPERLINK(VLOOKUP(A155,ÜRÜNLER!A:C,3,FALSE),VLOOKUP(A155,ÜRÜNLER!A:B,2,FALSE)),"")</f>
        <v>iQ500 Yarı Ankastre Bulaşık Makinesi, autoOpen dry, Siyah/Inox</v>
      </c>
      <c r="C155" s="4">
        <v>11</v>
      </c>
      <c r="D155" s="4"/>
      <c r="E155" s="5"/>
      <c r="F155" s="5"/>
      <c r="G155" s="5">
        <v>2</v>
      </c>
      <c r="H155" s="5"/>
      <c r="I155" s="6"/>
      <c r="J155" s="6"/>
      <c r="K155" s="5"/>
      <c r="L155" s="5">
        <v>1</v>
      </c>
      <c r="M155" s="6"/>
      <c r="N155" s="39">
        <f t="shared" si="6"/>
        <v>14</v>
      </c>
      <c r="O155" s="40">
        <v>0</v>
      </c>
      <c r="P155" s="29"/>
      <c r="Q155" s="125">
        <v>53446.62098950606</v>
      </c>
      <c r="R155" s="128">
        <v>50774.289940030758</v>
      </c>
      <c r="S155" s="124">
        <v>52805.261537631988</v>
      </c>
      <c r="T155" s="124">
        <v>54836.233135233218</v>
      </c>
      <c r="U155" s="125"/>
      <c r="V155" s="123"/>
      <c r="W155" s="129"/>
    </row>
    <row r="156" spans="1:24">
      <c r="A156" s="64" t="s">
        <v>142</v>
      </c>
      <c r="B156" s="36" t="str">
        <f>IFERROR(HYPERLINK(VLOOKUP(A156,ÜRÜNLER!A:C,3,FALSE),VLOOKUP(A156,ÜRÜNLER!A:B,2,FALSE)),"")</f>
        <v>iQ700 Yarı Ankastre Bulaşık Makinesi, Zeolith dry, Siyah/Inox</v>
      </c>
      <c r="C156" s="4"/>
      <c r="D156" s="4"/>
      <c r="E156" s="5"/>
      <c r="F156" s="5">
        <v>1</v>
      </c>
      <c r="G156" s="5"/>
      <c r="H156" s="5"/>
      <c r="I156" s="6"/>
      <c r="J156" s="6"/>
      <c r="K156" s="5"/>
      <c r="L156" s="5"/>
      <c r="M156" s="6"/>
      <c r="N156" s="39">
        <f t="shared" si="6"/>
        <v>1</v>
      </c>
      <c r="O156" s="40">
        <v>0</v>
      </c>
      <c r="P156" s="29"/>
      <c r="Q156" s="125" t="s">
        <v>1773</v>
      </c>
      <c r="R156" s="131">
        <v>50000</v>
      </c>
      <c r="S156" s="124">
        <v>52000</v>
      </c>
      <c r="T156" s="124">
        <v>54000</v>
      </c>
      <c r="U156" s="125"/>
      <c r="V156" s="123"/>
      <c r="W156" s="126">
        <v>500</v>
      </c>
    </row>
    <row r="157" spans="1:24">
      <c r="A157" s="70" t="s">
        <v>143</v>
      </c>
      <c r="B157" s="36" t="str">
        <f>IFERROR(HYPERLINK(VLOOKUP(A157,ÜRÜNLER!A:C,3,FALSE),VLOOKUP(A157,ÜRÜNLER!A:B,2,FALSE)),"")</f>
        <v>iQ700 Yarı Ankastre Bulaşık Makinesi, Zeolith dry, Siyah/Inox</v>
      </c>
      <c r="C157" s="4">
        <v>1</v>
      </c>
      <c r="D157" s="4"/>
      <c r="E157" s="5"/>
      <c r="F157" s="5"/>
      <c r="G157" s="5"/>
      <c r="H157" s="5"/>
      <c r="I157" s="6"/>
      <c r="J157" s="6"/>
      <c r="K157" s="5"/>
      <c r="L157" s="5"/>
      <c r="M157" s="6"/>
      <c r="N157" s="39">
        <f t="shared" si="6"/>
        <v>1</v>
      </c>
      <c r="O157" s="40">
        <v>1</v>
      </c>
      <c r="P157" s="29"/>
      <c r="Q157" s="125">
        <v>82910.132627936851</v>
      </c>
      <c r="R157" s="129">
        <v>79339.839835346269</v>
      </c>
      <c r="S157" s="124">
        <v>82513.433428760123</v>
      </c>
      <c r="T157" s="124">
        <v>85687.027022173977</v>
      </c>
      <c r="U157" s="125"/>
      <c r="V157" s="123"/>
      <c r="W157" s="129"/>
    </row>
    <row r="158" spans="1:24">
      <c r="A158" s="64" t="s">
        <v>144</v>
      </c>
      <c r="B158" s="36" t="str">
        <f>IFERROR(HYPERLINK(VLOOKUP(A158,ÜRÜNLER!A:C,3,FALSE),VLOOKUP(A158,ÜRÜNLER!A:B,2,FALSE)),"")</f>
        <v>iQ100 Tam Ankastre Bulaşık Makinesi</v>
      </c>
      <c r="C158" s="4">
        <v>4</v>
      </c>
      <c r="D158" s="4"/>
      <c r="E158" s="5"/>
      <c r="F158" s="5">
        <v>1</v>
      </c>
      <c r="G158" s="5"/>
      <c r="H158" s="5"/>
      <c r="I158" s="6">
        <v>1</v>
      </c>
      <c r="J158" s="6">
        <v>1</v>
      </c>
      <c r="K158" s="5"/>
      <c r="L158" s="5"/>
      <c r="M158" s="6"/>
      <c r="N158" s="39">
        <f t="shared" si="6"/>
        <v>7</v>
      </c>
      <c r="O158" s="40">
        <v>10</v>
      </c>
      <c r="P158" s="29"/>
      <c r="Q158" s="125">
        <v>40326.096419789028</v>
      </c>
      <c r="R158" s="129">
        <v>38589.565951951226</v>
      </c>
      <c r="S158" s="124">
        <v>40133.148590029276</v>
      </c>
      <c r="T158" s="124">
        <v>41676.731228107325</v>
      </c>
      <c r="U158" s="125"/>
      <c r="V158" s="123"/>
      <c r="W158" s="129"/>
    </row>
    <row r="159" spans="1:24">
      <c r="A159" s="62" t="s">
        <v>146</v>
      </c>
      <c r="B159" s="36" t="str">
        <f>IFERROR(HYPERLINK(VLOOKUP(A159,ÜRÜNLER!A:C,3,FALSE),VLOOKUP(A159,ÜRÜNLER!A:B,2,FALSE)),"")</f>
        <v>iQ500 Tam Ankastre Bulaşık Makinesi, Üstten Sepetli</v>
      </c>
      <c r="C159" s="4"/>
      <c r="D159" s="4"/>
      <c r="E159" s="5"/>
      <c r="F159" s="5"/>
      <c r="G159" s="5"/>
      <c r="H159" s="5"/>
      <c r="I159" s="6"/>
      <c r="J159" s="6"/>
      <c r="K159" s="5"/>
      <c r="L159" s="5"/>
      <c r="M159" s="6">
        <v>1</v>
      </c>
      <c r="N159" s="39">
        <f t="shared" si="6"/>
        <v>1</v>
      </c>
      <c r="O159" s="40">
        <v>0</v>
      </c>
      <c r="P159" s="29"/>
      <c r="Q159" s="125" t="s">
        <v>1773</v>
      </c>
      <c r="R159" s="123">
        <v>42000</v>
      </c>
      <c r="S159" s="124">
        <v>43680</v>
      </c>
      <c r="T159" s="124">
        <v>45360</v>
      </c>
      <c r="U159" s="125"/>
      <c r="V159" s="123"/>
      <c r="W159" s="126">
        <v>500</v>
      </c>
    </row>
    <row r="160" spans="1:24">
      <c r="A160" s="60" t="s">
        <v>1768</v>
      </c>
      <c r="B160" s="36" t="str">
        <f>IFERROR(HYPERLINK(VLOOKUP(A160,ÜRÜNLER!A:C,3,FALSE),VLOOKUP(A160,ÜRÜNLER!A:B,2,FALSE)),"")</f>
        <v>iQ500 Tam Ankastre Bulaşık Makinesi, Üstten Sepetli</v>
      </c>
      <c r="C160" s="4">
        <v>5</v>
      </c>
      <c r="D160" s="4"/>
      <c r="E160" s="5"/>
      <c r="F160" s="5"/>
      <c r="G160" s="5"/>
      <c r="H160" s="5"/>
      <c r="I160" s="6"/>
      <c r="J160" s="6"/>
      <c r="K160" s="5"/>
      <c r="L160" s="5"/>
      <c r="M160" s="6"/>
      <c r="N160" s="39">
        <f t="shared" si="6"/>
        <v>5</v>
      </c>
      <c r="O160" s="40">
        <v>0</v>
      </c>
      <c r="P160" s="29"/>
      <c r="Q160" s="125">
        <v>58197.704147916673</v>
      </c>
      <c r="R160" s="129">
        <v>55691.582916666674</v>
      </c>
      <c r="S160" s="124">
        <v>57919.246233333339</v>
      </c>
      <c r="T160" s="124">
        <v>60146.909550000011</v>
      </c>
      <c r="U160" s="125"/>
      <c r="V160" s="123"/>
      <c r="W160" s="129"/>
    </row>
    <row r="161" spans="1:24">
      <c r="A161" s="68" t="s">
        <v>1543</v>
      </c>
      <c r="B161" s="36" t="str">
        <f>IFERROR(HYPERLINK(VLOOKUP(A161,ÜRÜNLER!A:C,3,FALSE),VLOOKUP(A161,ÜRÜNLER!A:B,2,FALSE)),"")</f>
        <v>iQ500 Tam Ankastre Bulaşık Makinesi, autoOpen dry, glassZone, Üstten Sepetli</v>
      </c>
      <c r="C161" s="4">
        <v>1</v>
      </c>
      <c r="D161" s="4"/>
      <c r="E161" s="5"/>
      <c r="F161" s="5"/>
      <c r="G161" s="5"/>
      <c r="H161" s="5"/>
      <c r="I161" s="6"/>
      <c r="J161" s="6">
        <v>1</v>
      </c>
      <c r="K161" s="5"/>
      <c r="L161" s="5"/>
      <c r="M161" s="6"/>
      <c r="N161" s="39">
        <f t="shared" si="6"/>
        <v>2</v>
      </c>
      <c r="O161" s="40">
        <v>10</v>
      </c>
      <c r="P161" s="29"/>
      <c r="Q161" s="125">
        <v>66494.110352941774</v>
      </c>
      <c r="R161" s="129">
        <v>63630.727610470603</v>
      </c>
      <c r="S161" s="124">
        <v>66175.956714889428</v>
      </c>
      <c r="T161" s="124">
        <v>68721.185819308244</v>
      </c>
      <c r="U161" s="125"/>
      <c r="V161" s="123"/>
      <c r="W161" s="129"/>
    </row>
    <row r="162" spans="1:24">
      <c r="A162" s="61" t="s">
        <v>149</v>
      </c>
      <c r="B162" s="36" t="str">
        <f>IFERROR(HYPERLINK(VLOOKUP(A162,ÜRÜNLER!A:C,3,FALSE),VLOOKUP(A162,ÜRÜNLER!A:B,2,FALSE)),"")</f>
        <v>iQ500 studioLine Tam Ankastre Bulaşık Makinesi, autoOpen dry, glassZone</v>
      </c>
      <c r="C162" s="4"/>
      <c r="D162" s="4">
        <v>2</v>
      </c>
      <c r="E162" s="5"/>
      <c r="F162" s="5"/>
      <c r="G162" s="5"/>
      <c r="H162" s="5">
        <v>1</v>
      </c>
      <c r="I162" s="6"/>
      <c r="J162" s="6"/>
      <c r="K162" s="5"/>
      <c r="L162" s="5"/>
      <c r="M162" s="6"/>
      <c r="N162" s="39">
        <f t="shared" si="6"/>
        <v>3</v>
      </c>
      <c r="O162" s="40">
        <v>0</v>
      </c>
      <c r="P162" s="29"/>
      <c r="Q162" s="125" t="s">
        <v>1773</v>
      </c>
      <c r="R162" s="134">
        <v>80000</v>
      </c>
      <c r="S162" s="124">
        <v>83200</v>
      </c>
      <c r="T162" s="124">
        <v>86400</v>
      </c>
      <c r="U162" s="125"/>
      <c r="V162" s="123"/>
      <c r="W162" s="126">
        <v>500</v>
      </c>
    </row>
    <row r="163" spans="1:24">
      <c r="A163" s="61" t="s">
        <v>1494</v>
      </c>
      <c r="B163" s="36" t="str">
        <f>IFERROR(HYPERLINK(VLOOKUP(A163,ÜRÜNLER!A:C,3,FALSE),VLOOKUP(A163,ÜRÜNLER!A:B,2,FALSE)),"")</f>
        <v>iQ500 studioLine Tam Ankastre Bulaşık Makinesi, autoOpen dry, glassZone</v>
      </c>
      <c r="C163" s="4"/>
      <c r="D163" s="4">
        <v>11</v>
      </c>
      <c r="E163" s="5"/>
      <c r="F163" s="5"/>
      <c r="G163" s="5"/>
      <c r="H163" s="5"/>
      <c r="I163" s="6"/>
      <c r="J163" s="6"/>
      <c r="K163" s="5"/>
      <c r="L163" s="5"/>
      <c r="M163" s="6"/>
      <c r="N163" s="39">
        <f t="shared" si="6"/>
        <v>11</v>
      </c>
      <c r="O163" s="40">
        <v>0</v>
      </c>
      <c r="P163" s="29"/>
      <c r="Q163" s="125">
        <v>108475.86711123305</v>
      </c>
      <c r="R163" s="136">
        <v>93424.191770439953</v>
      </c>
      <c r="S163" s="124">
        <v>97161.15944125755</v>
      </c>
      <c r="T163" s="124">
        <v>100898.12711207515</v>
      </c>
      <c r="U163" s="125"/>
      <c r="V163" s="123"/>
      <c r="W163" s="126">
        <v>500</v>
      </c>
    </row>
    <row r="164" spans="1:24">
      <c r="A164" s="61" t="s">
        <v>148</v>
      </c>
      <c r="B164" s="36" t="str">
        <f>IFERROR(HYPERLINK(VLOOKUP(A164,ÜRÜNLER!A:C,3,FALSE),VLOOKUP(A164,ÜRÜNLER!A:B,2,FALSE)),"")</f>
        <v>iQ700 studioLine Tam Ankastre Bulaşık Makinesi, Zeolith dry, glassZone</v>
      </c>
      <c r="C164" s="4"/>
      <c r="D164" s="4">
        <v>2</v>
      </c>
      <c r="E164" s="5"/>
      <c r="F164" s="5"/>
      <c r="G164" s="5"/>
      <c r="H164" s="5"/>
      <c r="I164" s="6"/>
      <c r="J164" s="6"/>
      <c r="K164" s="5"/>
      <c r="L164" s="5"/>
      <c r="M164" s="6"/>
      <c r="N164" s="39">
        <f t="shared" si="6"/>
        <v>2</v>
      </c>
      <c r="O164" s="40">
        <v>0</v>
      </c>
      <c r="P164" s="29"/>
      <c r="Q164" s="125">
        <v>126852.80414971727</v>
      </c>
      <c r="R164" s="136">
        <v>109251.21888492398</v>
      </c>
      <c r="S164" s="124">
        <v>113621.26764032093</v>
      </c>
      <c r="T164" s="124">
        <v>117991.31639571789</v>
      </c>
      <c r="U164" s="125"/>
      <c r="V164" s="123"/>
      <c r="W164" s="126">
        <v>500</v>
      </c>
    </row>
    <row r="165" spans="1:24">
      <c r="A165" s="61" t="s">
        <v>150</v>
      </c>
      <c r="B165" s="36" t="str">
        <f>IFERROR(HYPERLINK(VLOOKUP(A165,ÜRÜNLER!A:C,3,FALSE),VLOOKUP(A165,ÜRÜNLER!A:B,2,FALSE)),"")</f>
        <v>iQ500 Tam Ankastre Bulaşık Makinesi, autoOpen dry, glassZone, XXL 86,5 - 92,5cm</v>
      </c>
      <c r="C165" s="4"/>
      <c r="D165" s="4"/>
      <c r="E165" s="5"/>
      <c r="F165" s="5">
        <v>1</v>
      </c>
      <c r="G165" s="5"/>
      <c r="H165" s="5"/>
      <c r="I165" s="6"/>
      <c r="J165" s="6"/>
      <c r="K165" s="5"/>
      <c r="L165" s="5">
        <v>1</v>
      </c>
      <c r="M165" s="6"/>
      <c r="N165" s="39">
        <f t="shared" si="6"/>
        <v>2</v>
      </c>
      <c r="O165" s="40">
        <v>0</v>
      </c>
      <c r="P165" s="29"/>
      <c r="Q165" s="125" t="s">
        <v>1773</v>
      </c>
      <c r="R165" s="129">
        <v>50000</v>
      </c>
      <c r="S165" s="124">
        <v>52000</v>
      </c>
      <c r="T165" s="124">
        <v>54000</v>
      </c>
      <c r="U165" s="125"/>
      <c r="V165" s="123"/>
      <c r="W165" s="126">
        <v>500</v>
      </c>
    </row>
    <row r="166" spans="1:24">
      <c r="A166" s="61" t="s">
        <v>1523</v>
      </c>
      <c r="B166" s="36" t="str">
        <f>IFERROR(HYPERLINK(VLOOKUP(A166,ÜRÜNLER!A:C,3,FALSE),VLOOKUP(A166,ÜRÜNLER!A:B,2,FALSE)),"")</f>
        <v>iQ500 Tam Ankastre Bulaşık Makinesi, autoOpen dry, glassZone, XXL 86,5 - 92,5cm</v>
      </c>
      <c r="C166" s="4">
        <v>1</v>
      </c>
      <c r="D166" s="4"/>
      <c r="E166" s="5"/>
      <c r="F166" s="5"/>
      <c r="G166" s="5"/>
      <c r="H166" s="5"/>
      <c r="I166" s="6"/>
      <c r="J166" s="6"/>
      <c r="K166" s="5"/>
      <c r="L166" s="5"/>
      <c r="M166" s="6"/>
      <c r="N166" s="39">
        <f t="shared" si="6"/>
        <v>1</v>
      </c>
      <c r="O166" s="40">
        <v>2</v>
      </c>
      <c r="P166" s="29"/>
      <c r="Q166" s="125">
        <v>68077.554796971192</v>
      </c>
      <c r="R166" s="129">
        <v>65145.985451647073</v>
      </c>
      <c r="S166" s="124">
        <v>67751.82486971296</v>
      </c>
      <c r="T166" s="124">
        <v>70357.66428777884</v>
      </c>
      <c r="U166" s="125"/>
      <c r="V166" s="123"/>
      <c r="W166" s="123"/>
    </row>
    <row r="167" spans="1:24">
      <c r="A167" s="61" t="s">
        <v>1478</v>
      </c>
      <c r="B167" s="36" t="str">
        <f>IFERROR(HYPERLINK(VLOOKUP(A167,ÜRÜNLER!A:C,3,FALSE),VLOOKUP(A167,ÜRÜNLER!A:B,2,FALSE)),"")</f>
        <v>Siemens Bulaşık Makinesi 3. Tepsi</v>
      </c>
      <c r="C167" s="4"/>
      <c r="D167" s="4">
        <v>23</v>
      </c>
      <c r="E167" s="5"/>
      <c r="F167" s="5"/>
      <c r="G167" s="5"/>
      <c r="H167" s="5"/>
      <c r="I167" s="6"/>
      <c r="J167" s="6"/>
      <c r="K167" s="5"/>
      <c r="L167" s="5"/>
      <c r="M167" s="6"/>
      <c r="N167" s="39">
        <f t="shared" si="6"/>
        <v>23</v>
      </c>
      <c r="O167" s="40">
        <v>0</v>
      </c>
      <c r="P167" s="29"/>
      <c r="Q167" s="125" t="s">
        <v>1773</v>
      </c>
      <c r="R167" s="136">
        <v>1250</v>
      </c>
      <c r="S167" s="124">
        <v>1300</v>
      </c>
      <c r="T167" s="124">
        <v>1350</v>
      </c>
      <c r="U167" s="125"/>
      <c r="V167" s="123"/>
      <c r="W167" s="129"/>
    </row>
    <row r="168" spans="1:24" s="11" customFormat="1" ht="30">
      <c r="A168" s="69" t="s">
        <v>151</v>
      </c>
      <c r="B168" s="36" t="str">
        <f>IFERROR(HYPERLINK(VLOOKUP(A168,ÜRÜNLER!A:C,3,FALSE),VLOOKUP(A168,ÜRÜNLER!A:B,2,FALSE)),"")</f>
        <v/>
      </c>
      <c r="C168" s="4"/>
      <c r="D168" s="4"/>
      <c r="E168" s="5"/>
      <c r="F168" s="5"/>
      <c r="G168" s="5"/>
      <c r="H168" s="5"/>
      <c r="I168" s="6"/>
      <c r="J168" s="6"/>
      <c r="K168" s="5"/>
      <c r="L168" s="5"/>
      <c r="M168" s="6"/>
      <c r="N168" s="39">
        <f>SUM(N147:N167)</f>
        <v>133</v>
      </c>
      <c r="O168" s="40">
        <v>0</v>
      </c>
      <c r="P168" s="29"/>
      <c r="Q168" s="125"/>
      <c r="R168" s="129"/>
      <c r="S168" s="124"/>
      <c r="T168" s="124"/>
      <c r="U168" s="125"/>
      <c r="V168" s="123"/>
      <c r="W168" s="129"/>
      <c r="X168" s="127"/>
    </row>
    <row r="169" spans="1:24">
      <c r="A169" s="71" t="s">
        <v>197</v>
      </c>
      <c r="B169" s="36" t="str">
        <f>IFERROR(HYPERLINK(VLOOKUP(A169,ÜRÜNLER!A:C,3,FALSE),VLOOKUP(A169,ÜRÜNLER!A:B,2,FALSE)),"")</f>
        <v>iQ700 Buhar Destekli Kompakt Ankastre Fırın, Siyah/Inox</v>
      </c>
      <c r="C169" s="4"/>
      <c r="D169" s="4"/>
      <c r="E169" s="5"/>
      <c r="F169" s="5">
        <v>1</v>
      </c>
      <c r="G169" s="5"/>
      <c r="H169" s="5"/>
      <c r="I169" s="6"/>
      <c r="J169" s="6"/>
      <c r="K169" s="5"/>
      <c r="L169" s="5"/>
      <c r="M169" s="6"/>
      <c r="N169" s="39">
        <f t="shared" ref="N169:N207" si="7">M169+K169+L169+J169+I169+H169+G169+F169+E169+D169+C169</f>
        <v>1</v>
      </c>
      <c r="O169" s="40">
        <v>0</v>
      </c>
      <c r="P169" s="29"/>
      <c r="Q169" s="125" t="s">
        <v>1773</v>
      </c>
      <c r="R169" s="123">
        <v>70000</v>
      </c>
      <c r="S169" s="124">
        <v>72800</v>
      </c>
      <c r="T169" s="124">
        <v>75600</v>
      </c>
      <c r="U169" s="125"/>
      <c r="V169" s="123"/>
      <c r="W169" s="126">
        <v>1000</v>
      </c>
    </row>
    <row r="170" spans="1:24">
      <c r="A170" s="71" t="s">
        <v>198</v>
      </c>
      <c r="B170" s="36" t="str">
        <f>IFERROR(HYPERLINK(VLOOKUP(A170,ÜRÜNLER!A:C,3,FALSE),VLOOKUP(A170,ÜRÜNLER!A:B,2,FALSE)),"")</f>
        <v>iQ700 Buhar Destekli Kompakt Ankastre Fırın, Siyah</v>
      </c>
      <c r="C170" s="4">
        <v>3</v>
      </c>
      <c r="D170" s="4"/>
      <c r="E170" s="5"/>
      <c r="F170" s="5"/>
      <c r="G170" s="5"/>
      <c r="H170" s="5"/>
      <c r="I170" s="6"/>
      <c r="J170" s="6"/>
      <c r="K170" s="5"/>
      <c r="L170" s="5"/>
      <c r="M170" s="6"/>
      <c r="N170" s="39">
        <f t="shared" si="7"/>
        <v>3</v>
      </c>
      <c r="O170" s="40">
        <v>0</v>
      </c>
      <c r="P170" s="29"/>
      <c r="Q170" s="125">
        <v>90948.684988916168</v>
      </c>
      <c r="R170" s="128">
        <v>86401.250739470357</v>
      </c>
      <c r="S170" s="124">
        <v>89857.300769049165</v>
      </c>
      <c r="T170" s="124">
        <v>93313.350798627987</v>
      </c>
      <c r="U170" s="125"/>
      <c r="V170" s="123"/>
      <c r="W170" s="129">
        <v>250</v>
      </c>
    </row>
    <row r="171" spans="1:24">
      <c r="A171" s="64" t="s">
        <v>196</v>
      </c>
      <c r="B171" s="36" t="str">
        <f>IFERROR(HYPERLINK(VLOOKUP(A171,ÜRÜNLER!A:C,3,FALSE),VLOOKUP(A171,ÜRÜNLER!A:B,2,FALSE)),"")</f>
        <v>iQ700 studioLine Mikrodalga Fonksiyonlu Kompakt Ankastre Fırın, Komple Kendini Temizler, Siyah</v>
      </c>
      <c r="C171" s="4"/>
      <c r="D171" s="4">
        <v>2</v>
      </c>
      <c r="E171" s="5"/>
      <c r="F171" s="5"/>
      <c r="G171" s="5"/>
      <c r="H171" s="5"/>
      <c r="I171" s="6"/>
      <c r="J171" s="6"/>
      <c r="K171" s="5"/>
      <c r="L171" s="5"/>
      <c r="M171" s="6"/>
      <c r="N171" s="39">
        <f t="shared" si="7"/>
        <v>2</v>
      </c>
      <c r="O171" s="40">
        <v>0</v>
      </c>
      <c r="P171" s="29"/>
      <c r="Q171" s="125">
        <v>198782.04284845298</v>
      </c>
      <c r="R171" s="136">
        <v>171199.84551541405</v>
      </c>
      <c r="S171" s="124">
        <v>178047.83933603062</v>
      </c>
      <c r="T171" s="124">
        <v>184895.83315664719</v>
      </c>
      <c r="U171" s="125"/>
      <c r="V171" s="123"/>
      <c r="W171" s="129">
        <v>250</v>
      </c>
    </row>
    <row r="172" spans="1:24">
      <c r="A172" s="64" t="s">
        <v>199</v>
      </c>
      <c r="B172" s="36" t="str">
        <f>IFERROR(HYPERLINK(VLOOKUP(A172,ÜRÜNLER!A:C,3,FALSE),VLOOKUP(A172,ÜRÜNLER!A:B,2,FALSE)),"")</f>
        <v>iQ700 studioLine Mikrodalga Fonksiyonlu Kompakt Ankastre Fırın, Arkası Kendini Temizler, Siyah</v>
      </c>
      <c r="C172" s="4"/>
      <c r="D172" s="4">
        <v>3</v>
      </c>
      <c r="E172" s="5"/>
      <c r="F172" s="5"/>
      <c r="G172" s="5"/>
      <c r="H172" s="5">
        <v>1</v>
      </c>
      <c r="I172" s="6"/>
      <c r="J172" s="6"/>
      <c r="K172" s="5"/>
      <c r="L172" s="5"/>
      <c r="M172" s="6"/>
      <c r="N172" s="39">
        <f t="shared" si="7"/>
        <v>4</v>
      </c>
      <c r="O172" s="40">
        <v>0</v>
      </c>
      <c r="P172" s="29"/>
      <c r="Q172" s="125" t="s">
        <v>1773</v>
      </c>
      <c r="R172" s="123">
        <v>120000</v>
      </c>
      <c r="S172" s="124">
        <v>124800</v>
      </c>
      <c r="T172" s="124">
        <v>129600</v>
      </c>
      <c r="U172" s="125"/>
      <c r="V172" s="123"/>
      <c r="W172" s="129">
        <v>250</v>
      </c>
    </row>
    <row r="173" spans="1:24">
      <c r="A173" s="70" t="s">
        <v>163</v>
      </c>
      <c r="B173" s="36" t="str">
        <f>IFERROR(HYPERLINK(VLOOKUP(A173,ÜRÜNLER!A:C,3,FALSE),VLOOKUP(A173,ÜRÜNLER!A:B,2,FALSE)),"")</f>
        <v>iQ100 Ankastre Fırın, Siyah</v>
      </c>
      <c r="C173" s="4">
        <v>16</v>
      </c>
      <c r="D173" s="4"/>
      <c r="E173" s="5"/>
      <c r="F173" s="5"/>
      <c r="G173" s="5"/>
      <c r="H173" s="5"/>
      <c r="I173" s="6"/>
      <c r="J173" s="6">
        <v>1</v>
      </c>
      <c r="K173" s="5"/>
      <c r="L173" s="5"/>
      <c r="M173" s="6"/>
      <c r="N173" s="39">
        <f t="shared" si="7"/>
        <v>17</v>
      </c>
      <c r="O173" s="40">
        <v>10</v>
      </c>
      <c r="P173" s="28"/>
      <c r="Q173" s="125">
        <v>24822.570824200731</v>
      </c>
      <c r="R173" s="139">
        <v>22340.313741780657</v>
      </c>
      <c r="S173" s="124">
        <v>23233.926291451884</v>
      </c>
      <c r="T173" s="124">
        <v>24127.538841123111</v>
      </c>
      <c r="U173" s="125"/>
      <c r="V173" s="123"/>
      <c r="W173" s="129"/>
    </row>
    <row r="174" spans="1:24">
      <c r="A174" s="72" t="s">
        <v>164</v>
      </c>
      <c r="B174" s="36" t="str">
        <f>IFERROR(HYPERLINK(VLOOKUP(A174,ÜRÜNLER!A:C,3,FALSE),VLOOKUP(A174,ÜRÜNLER!A:B,2,FALSE)),"")</f>
        <v>iQ100 Ankastre Fırın, Antrasit</v>
      </c>
      <c r="C174" s="4">
        <v>51</v>
      </c>
      <c r="D174" s="4"/>
      <c r="E174" s="5"/>
      <c r="F174" s="5"/>
      <c r="G174" s="5"/>
      <c r="H174" s="5"/>
      <c r="I174" s="6">
        <v>1</v>
      </c>
      <c r="J174" s="6"/>
      <c r="K174" s="5">
        <v>1</v>
      </c>
      <c r="L174" s="5"/>
      <c r="M174" s="6">
        <v>1</v>
      </c>
      <c r="N174" s="39">
        <f t="shared" si="7"/>
        <v>54</v>
      </c>
      <c r="O174" s="40">
        <v>0</v>
      </c>
      <c r="P174" s="28"/>
      <c r="Q174" s="125">
        <v>24822.570824200731</v>
      </c>
      <c r="R174" s="139">
        <v>22340.313741780657</v>
      </c>
      <c r="S174" s="124">
        <v>23233.926291451884</v>
      </c>
      <c r="T174" s="124">
        <v>24127.538841123111</v>
      </c>
      <c r="U174" s="125"/>
      <c r="V174" s="123"/>
      <c r="W174" s="129"/>
    </row>
    <row r="175" spans="1:24">
      <c r="A175" s="64" t="s">
        <v>165</v>
      </c>
      <c r="B175" s="36" t="str">
        <f>IFERROR(HYPERLINK(VLOOKUP(A175,ÜRÜNLER!A:C,3,FALSE),VLOOKUP(A175,ÜRÜNLER!A:B,2,FALSE)),"")</f>
        <v>iQ100 Ankastre Fırın, Beyaz</v>
      </c>
      <c r="C175" s="4">
        <v>24</v>
      </c>
      <c r="D175" s="4"/>
      <c r="E175" s="5"/>
      <c r="F175" s="5"/>
      <c r="G175" s="5"/>
      <c r="H175" s="5"/>
      <c r="I175" s="6">
        <v>1</v>
      </c>
      <c r="J175" s="6">
        <v>1</v>
      </c>
      <c r="K175" s="5">
        <v>1</v>
      </c>
      <c r="L175" s="5"/>
      <c r="M175" s="6">
        <v>1</v>
      </c>
      <c r="N175" s="39">
        <f t="shared" si="7"/>
        <v>28</v>
      </c>
      <c r="O175" s="40">
        <v>0</v>
      </c>
      <c r="P175" s="28"/>
      <c r="Q175" s="125">
        <v>24822.570824200731</v>
      </c>
      <c r="R175" s="139">
        <v>22340.313741780657</v>
      </c>
      <c r="S175" s="124">
        <v>23233.926291451884</v>
      </c>
      <c r="T175" s="124">
        <v>24127.538841123111</v>
      </c>
      <c r="U175" s="125"/>
      <c r="V175" s="123"/>
      <c r="W175" s="129"/>
    </row>
    <row r="176" spans="1:24">
      <c r="A176" s="61" t="s">
        <v>1333</v>
      </c>
      <c r="B176" s="36" t="str">
        <f>IFERROR(HYPERLINK(VLOOKUP(A176,ÜRÜNLER!A:C,3,FALSE),VLOOKUP(A176,ÜRÜNLER!A:B,2,FALSE)),"")</f>
        <v>iQ100 Ankastre Fırın, Siyah</v>
      </c>
      <c r="C176" s="4"/>
      <c r="D176" s="4"/>
      <c r="E176" s="5"/>
      <c r="F176" s="5">
        <v>1</v>
      </c>
      <c r="G176" s="5"/>
      <c r="H176" s="5"/>
      <c r="I176" s="6"/>
      <c r="J176" s="6"/>
      <c r="K176" s="5"/>
      <c r="L176" s="5">
        <v>1</v>
      </c>
      <c r="M176" s="6"/>
      <c r="N176" s="39">
        <f t="shared" si="7"/>
        <v>2</v>
      </c>
      <c r="O176" s="40">
        <v>0</v>
      </c>
      <c r="P176" s="29"/>
      <c r="Q176" s="125" t="s">
        <v>1773</v>
      </c>
      <c r="R176" s="123">
        <v>17797</v>
      </c>
      <c r="S176" s="124">
        <v>18508.88</v>
      </c>
      <c r="T176" s="124">
        <v>19220.759999999998</v>
      </c>
      <c r="U176" s="125"/>
      <c r="V176" s="123">
        <v>2797.3</v>
      </c>
      <c r="W176" s="126">
        <v>500</v>
      </c>
    </row>
    <row r="177" spans="1:23">
      <c r="A177" s="72" t="s">
        <v>170</v>
      </c>
      <c r="B177" s="36" t="str">
        <f>IFERROR(HYPERLINK(VLOOKUP(A177,ÜRÜNLER!A:C,3,FALSE),VLOOKUP(A177,ÜRÜNLER!A:B,2,FALSE)),"")</f>
        <v>iQ300 Ankastre Fırın, 1 Teleskopik Ray, Arkası Kendini Temizler, Gri</v>
      </c>
      <c r="C177" s="4"/>
      <c r="D177" s="4"/>
      <c r="E177" s="5"/>
      <c r="F177" s="5"/>
      <c r="G177" s="5"/>
      <c r="H177" s="5"/>
      <c r="I177" s="6">
        <v>1</v>
      </c>
      <c r="J177" s="6"/>
      <c r="K177" s="5"/>
      <c r="L177" s="5"/>
      <c r="M177" s="6"/>
      <c r="N177" s="39">
        <f t="shared" si="7"/>
        <v>1</v>
      </c>
      <c r="O177" s="40">
        <v>0</v>
      </c>
      <c r="P177" s="29"/>
      <c r="Q177" s="125" t="s">
        <v>1773</v>
      </c>
      <c r="R177" s="123">
        <v>23000</v>
      </c>
      <c r="S177" s="124">
        <v>23920</v>
      </c>
      <c r="T177" s="124">
        <v>24840</v>
      </c>
      <c r="U177" s="125"/>
      <c r="V177" s="123">
        <v>3040.14</v>
      </c>
      <c r="W177" s="126">
        <v>500</v>
      </c>
    </row>
    <row r="178" spans="1:23">
      <c r="A178" s="70" t="s">
        <v>172</v>
      </c>
      <c r="B178" s="36" t="str">
        <f>IFERROR(HYPERLINK(VLOOKUP(A178,ÜRÜNLER!A:C,3,FALSE),VLOOKUP(A178,ÜRÜNLER!A:B,2,FALSE)),"")</f>
        <v>iQ500 studioLine Ankastre Fırın, 1 Teleskopik Ray, Komple Kendini Temizler, Siyah</v>
      </c>
      <c r="C178" s="4"/>
      <c r="D178" s="4">
        <v>2</v>
      </c>
      <c r="E178" s="5"/>
      <c r="F178" s="5"/>
      <c r="G178" s="5"/>
      <c r="H178" s="5">
        <v>1</v>
      </c>
      <c r="I178" s="6"/>
      <c r="J178" s="6"/>
      <c r="K178" s="5"/>
      <c r="L178" s="5"/>
      <c r="M178" s="6"/>
      <c r="N178" s="39">
        <f t="shared" si="7"/>
        <v>3</v>
      </c>
      <c r="O178" s="40">
        <v>0</v>
      </c>
      <c r="P178" s="29"/>
      <c r="Q178" s="125" t="s">
        <v>1773</v>
      </c>
      <c r="R178" s="134">
        <v>85000</v>
      </c>
      <c r="S178" s="124">
        <v>88400</v>
      </c>
      <c r="T178" s="124">
        <v>91800</v>
      </c>
      <c r="U178" s="125"/>
      <c r="V178" s="123"/>
      <c r="W178" s="126">
        <v>500</v>
      </c>
    </row>
    <row r="179" spans="1:23">
      <c r="A179" s="61" t="s">
        <v>1013</v>
      </c>
      <c r="B179" s="36" t="str">
        <f>IFERROR(HYPERLINK(VLOOKUP(A179,ÜRÜNLER!A:C,3,FALSE),VLOOKUP(A179,ÜRÜNLER!A:B,2,FALSE)),"")</f>
        <v>iQ300 Ankastre Fırın, Titanyum Gri</v>
      </c>
      <c r="C179" s="4"/>
      <c r="D179" s="4"/>
      <c r="E179" s="5">
        <v>1</v>
      </c>
      <c r="F179" s="5"/>
      <c r="G179" s="5"/>
      <c r="H179" s="5"/>
      <c r="I179" s="6"/>
      <c r="J179" s="6"/>
      <c r="K179" s="5"/>
      <c r="L179" s="5"/>
      <c r="M179" s="6"/>
      <c r="N179" s="39">
        <f t="shared" si="7"/>
        <v>1</v>
      </c>
      <c r="O179" s="40">
        <v>0</v>
      </c>
      <c r="P179" s="29"/>
      <c r="Q179" s="125" t="s">
        <v>1773</v>
      </c>
      <c r="R179" s="123">
        <v>17423</v>
      </c>
      <c r="S179" s="124">
        <v>18119.919999999998</v>
      </c>
      <c r="T179" s="124">
        <v>18816.84</v>
      </c>
      <c r="U179" s="125"/>
      <c r="V179" s="123">
        <v>1422.55</v>
      </c>
      <c r="W179" s="126">
        <v>500</v>
      </c>
    </row>
    <row r="180" spans="1:23">
      <c r="A180" s="70" t="s">
        <v>175</v>
      </c>
      <c r="B180" s="36" t="str">
        <f>IFERROR(HYPERLINK(VLOOKUP(A180,ÜRÜNLER!A:C,3,FALSE),VLOOKUP(A180,ÜRÜNLER!A:B,2,FALSE)),"")</f>
        <v>iQ300 Ankastre Fırın, 1 Teleskopik Ray, Arkası Kendini Temizler, Siyah/Inox</v>
      </c>
      <c r="C180" s="4"/>
      <c r="D180" s="4"/>
      <c r="E180" s="5">
        <v>1</v>
      </c>
      <c r="F180" s="5"/>
      <c r="G180" s="5"/>
      <c r="H180" s="5"/>
      <c r="I180" s="6"/>
      <c r="J180" s="6"/>
      <c r="K180" s="5"/>
      <c r="L180" s="5">
        <v>1</v>
      </c>
      <c r="M180" s="6">
        <v>1</v>
      </c>
      <c r="N180" s="39">
        <f t="shared" si="7"/>
        <v>3</v>
      </c>
      <c r="O180" s="40">
        <v>0</v>
      </c>
      <c r="P180" s="29"/>
      <c r="Q180" s="125" t="s">
        <v>1773</v>
      </c>
      <c r="R180" s="123">
        <v>18607</v>
      </c>
      <c r="S180" s="124">
        <v>19351.28</v>
      </c>
      <c r="T180" s="124">
        <v>20095.560000000001</v>
      </c>
      <c r="U180" s="125"/>
      <c r="V180" s="123">
        <v>1606.58</v>
      </c>
      <c r="W180" s="126">
        <v>500</v>
      </c>
    </row>
    <row r="181" spans="1:23">
      <c r="A181" s="70" t="s">
        <v>176</v>
      </c>
      <c r="B181" s="36" t="str">
        <f>IFERROR(HYPERLINK(VLOOKUP(A181,ÜRÜNLER!A:C,3,FALSE),VLOOKUP(A181,ÜRÜNLER!A:B,2,FALSE)),"")</f>
        <v>iQ500 Ankastre Fırın, 1 Teleskopik Ray, Komple Kendini Temizler, Siyah</v>
      </c>
      <c r="C181" s="4">
        <v>8</v>
      </c>
      <c r="D181" s="4"/>
      <c r="E181" s="5"/>
      <c r="F181" s="5"/>
      <c r="G181" s="5"/>
      <c r="H181" s="5"/>
      <c r="I181" s="6">
        <v>2</v>
      </c>
      <c r="J181" s="6">
        <v>1</v>
      </c>
      <c r="K181" s="5"/>
      <c r="L181" s="5"/>
      <c r="M181" s="6"/>
      <c r="N181" s="39">
        <f t="shared" si="7"/>
        <v>11</v>
      </c>
      <c r="O181" s="40">
        <v>3</v>
      </c>
      <c r="P181" s="29"/>
      <c r="Q181" s="125">
        <v>38127.783157013859</v>
      </c>
      <c r="R181" s="128">
        <v>36221.393999163163</v>
      </c>
      <c r="S181" s="124">
        <v>37670.249759129692</v>
      </c>
      <c r="T181" s="124">
        <v>39119.105519096214</v>
      </c>
      <c r="U181" s="125"/>
      <c r="V181" s="123"/>
      <c r="W181" s="129"/>
    </row>
    <row r="182" spans="1:23">
      <c r="A182" s="72" t="s">
        <v>177</v>
      </c>
      <c r="B182" s="36" t="str">
        <f>IFERROR(HYPERLINK(VLOOKUP(A182,ÜRÜNLER!A:C,3,FALSE),VLOOKUP(A182,ÜRÜNLER!A:B,2,FALSE)),"")</f>
        <v>iQ500 Ankastre Fırın, 2 Teleskopik Ray, Komple Kendini Temizler, Titanyum Gri</v>
      </c>
      <c r="C182" s="4"/>
      <c r="D182" s="4"/>
      <c r="E182" s="5">
        <v>2</v>
      </c>
      <c r="F182" s="5"/>
      <c r="G182" s="5"/>
      <c r="H182" s="5"/>
      <c r="I182" s="6"/>
      <c r="J182" s="6"/>
      <c r="K182" s="5"/>
      <c r="L182" s="5">
        <v>1</v>
      </c>
      <c r="M182" s="6"/>
      <c r="N182" s="39">
        <f t="shared" si="7"/>
        <v>3</v>
      </c>
      <c r="O182" s="40">
        <v>0</v>
      </c>
      <c r="P182" s="29"/>
      <c r="Q182" s="125" t="s">
        <v>1773</v>
      </c>
      <c r="R182" s="123">
        <v>20000</v>
      </c>
      <c r="S182" s="124">
        <v>20800</v>
      </c>
      <c r="T182" s="124">
        <v>21600</v>
      </c>
      <c r="U182" s="125"/>
      <c r="V182" s="123"/>
      <c r="W182" s="126">
        <v>500</v>
      </c>
    </row>
    <row r="183" spans="1:23">
      <c r="A183" s="70" t="s">
        <v>1624</v>
      </c>
      <c r="B183" s="36" t="str">
        <f>IFERROR(HYPERLINK(VLOOKUP(A183,ÜRÜNLER!A:C,3,FALSE),VLOOKUP(A183,ÜRÜNLER!A:B,2,FALSE)),"")</f>
        <v>iQ100 Ankastre Fırın, Siyah</v>
      </c>
      <c r="C183" s="4">
        <v>3</v>
      </c>
      <c r="D183" s="4"/>
      <c r="E183" s="5"/>
      <c r="F183" s="5"/>
      <c r="G183" s="5"/>
      <c r="H183" s="5"/>
      <c r="I183" s="6"/>
      <c r="J183" s="6"/>
      <c r="K183" s="5"/>
      <c r="L183" s="5"/>
      <c r="M183" s="6"/>
      <c r="N183" s="39">
        <f t="shared" si="7"/>
        <v>3</v>
      </c>
      <c r="O183" s="40">
        <v>0</v>
      </c>
      <c r="P183" s="29"/>
      <c r="Q183" s="125">
        <v>15996.501882755467</v>
      </c>
      <c r="R183" s="128">
        <v>15196.676788617693</v>
      </c>
      <c r="S183" s="124">
        <v>15804.543860162401</v>
      </c>
      <c r="T183" s="124">
        <v>16412.410931707109</v>
      </c>
      <c r="U183" s="125"/>
      <c r="V183" s="123"/>
      <c r="W183" s="129"/>
    </row>
    <row r="184" spans="1:23">
      <c r="A184" s="70" t="s">
        <v>1010</v>
      </c>
      <c r="B184" s="36" t="str">
        <f>IFERROR(HYPERLINK(VLOOKUP(A184,ÜRÜNLER!A:C,3,FALSE),VLOOKUP(A184,ÜRÜNLER!A:B,2,FALSE)),"")</f>
        <v>iQ500 Ankastre Fırın, 1 Teleskopik Ray, darkSteel</v>
      </c>
      <c r="C184" s="4"/>
      <c r="D184" s="4"/>
      <c r="E184" s="5"/>
      <c r="F184" s="5"/>
      <c r="G184" s="5"/>
      <c r="H184" s="5"/>
      <c r="I184" s="6">
        <v>1</v>
      </c>
      <c r="J184" s="6"/>
      <c r="K184" s="5">
        <v>1</v>
      </c>
      <c r="L184" s="5"/>
      <c r="M184" s="6"/>
      <c r="N184" s="39">
        <f t="shared" si="7"/>
        <v>2</v>
      </c>
      <c r="O184" s="40">
        <v>0</v>
      </c>
      <c r="P184" s="29"/>
      <c r="Q184" s="125" t="s">
        <v>1773</v>
      </c>
      <c r="R184" s="123">
        <v>21000</v>
      </c>
      <c r="S184" s="124">
        <v>21840</v>
      </c>
      <c r="T184" s="124">
        <v>22680</v>
      </c>
      <c r="U184" s="125"/>
      <c r="V184" s="123"/>
      <c r="W184" s="126">
        <v>500</v>
      </c>
    </row>
    <row r="185" spans="1:23">
      <c r="A185" s="61" t="s">
        <v>1335</v>
      </c>
      <c r="B185" s="36" t="str">
        <f>IFERROR(HYPERLINK(VLOOKUP(A185,ÜRÜNLER!A:C,3,FALSE),VLOOKUP(A185,ÜRÜNLER!A:B,2,FALSE)),"")</f>
        <v>iQ700 Ankastre Fırın, Siyah</v>
      </c>
      <c r="C185" s="4"/>
      <c r="D185" s="4"/>
      <c r="E185" s="5"/>
      <c r="F185" s="5"/>
      <c r="G185" s="5"/>
      <c r="H185" s="5"/>
      <c r="I185" s="6"/>
      <c r="J185" s="6"/>
      <c r="K185" s="5">
        <v>1</v>
      </c>
      <c r="L185" s="5"/>
      <c r="M185" s="6"/>
      <c r="N185" s="39">
        <f t="shared" si="7"/>
        <v>1</v>
      </c>
      <c r="O185" s="40">
        <v>0</v>
      </c>
      <c r="P185" s="29"/>
      <c r="Q185" s="125" t="s">
        <v>1773</v>
      </c>
      <c r="R185" s="123">
        <v>45000</v>
      </c>
      <c r="S185" s="124">
        <v>46800</v>
      </c>
      <c r="T185" s="124">
        <v>48600</v>
      </c>
      <c r="U185" s="125"/>
      <c r="V185" s="123"/>
      <c r="W185" s="126">
        <v>500</v>
      </c>
    </row>
    <row r="186" spans="1:23">
      <c r="A186" s="64" t="s">
        <v>183</v>
      </c>
      <c r="B186" s="36" t="str">
        <f>IFERROR(HYPERLINK(VLOOKUP(A186,ÜRÜNLER!A:C,3,FALSE),VLOOKUP(A186,ÜRÜNLER!A:B,2,FALSE)),"")</f>
        <v>iQ700 Ankastre Fırın, Arkası Kendini Temizler, Siyah</v>
      </c>
      <c r="C186" s="4">
        <v>1</v>
      </c>
      <c r="D186" s="4"/>
      <c r="E186" s="5"/>
      <c r="F186" s="5"/>
      <c r="G186" s="5"/>
      <c r="H186" s="5"/>
      <c r="I186" s="6">
        <v>1</v>
      </c>
      <c r="J186" s="6">
        <v>1</v>
      </c>
      <c r="K186" s="5">
        <v>1</v>
      </c>
      <c r="L186" s="5">
        <v>1</v>
      </c>
      <c r="M186" s="6"/>
      <c r="N186" s="39">
        <f t="shared" si="7"/>
        <v>5</v>
      </c>
      <c r="O186" s="40">
        <v>2</v>
      </c>
      <c r="P186" s="29"/>
      <c r="Q186" s="125">
        <v>62353.172629588888</v>
      </c>
      <c r="R186" s="128">
        <v>59235.51399810944</v>
      </c>
      <c r="S186" s="124">
        <v>61604.934558033819</v>
      </c>
      <c r="T186" s="124">
        <v>63974.355117958199</v>
      </c>
      <c r="U186" s="125"/>
      <c r="V186" s="123"/>
      <c r="W186" s="126">
        <v>500</v>
      </c>
    </row>
    <row r="187" spans="1:23">
      <c r="A187" s="64" t="s">
        <v>184</v>
      </c>
      <c r="B187" s="36" t="str">
        <f>IFERROR(HYPERLINK(VLOOKUP(A187,ÜRÜNLER!A:C,3,FALSE),VLOOKUP(A187,ÜRÜNLER!A:B,2,FALSE)),"")</f>
        <v>iQ700 Ankastre Fırın, Arkası Kendini Temizler, Beyaz</v>
      </c>
      <c r="C187" s="4">
        <v>3</v>
      </c>
      <c r="D187" s="4"/>
      <c r="E187" s="5"/>
      <c r="F187" s="5"/>
      <c r="G187" s="5"/>
      <c r="H187" s="5"/>
      <c r="I187" s="6">
        <v>1</v>
      </c>
      <c r="J187" s="6"/>
      <c r="K187" s="5"/>
      <c r="L187" s="5"/>
      <c r="M187" s="6"/>
      <c r="N187" s="39">
        <f t="shared" si="7"/>
        <v>4</v>
      </c>
      <c r="O187" s="40">
        <v>0</v>
      </c>
      <c r="P187" s="29"/>
      <c r="Q187" s="125" t="s">
        <v>1773</v>
      </c>
      <c r="R187" s="123">
        <v>55000</v>
      </c>
      <c r="S187" s="124">
        <v>57200</v>
      </c>
      <c r="T187" s="124">
        <v>59400</v>
      </c>
      <c r="U187" s="125"/>
      <c r="V187" s="123"/>
      <c r="W187" s="126">
        <v>500</v>
      </c>
    </row>
    <row r="188" spans="1:23">
      <c r="A188" s="70" t="s">
        <v>185</v>
      </c>
      <c r="B188" s="36" t="str">
        <f>IFERROR(HYPERLINK(VLOOKUP(A188,ÜRÜNLER!A:C,3,FALSE),VLOOKUP(A188,ÜRÜNLER!A:B,2,FALSE)),"")</f>
        <v>iQ700 Ankastre Fırın, Siyah</v>
      </c>
      <c r="C188" s="4">
        <v>2</v>
      </c>
      <c r="D188" s="4"/>
      <c r="E188" s="5"/>
      <c r="F188" s="5">
        <v>3</v>
      </c>
      <c r="G188" s="5"/>
      <c r="H188" s="5"/>
      <c r="I188" s="6"/>
      <c r="J188" s="6">
        <v>1</v>
      </c>
      <c r="K188" s="5"/>
      <c r="L188" s="5"/>
      <c r="M188" s="6">
        <v>1</v>
      </c>
      <c r="N188" s="39">
        <f t="shared" si="7"/>
        <v>7</v>
      </c>
      <c r="O188" s="40">
        <v>5</v>
      </c>
      <c r="P188" s="29"/>
      <c r="Q188" s="125">
        <v>79288.602232687073</v>
      </c>
      <c r="R188" s="128">
        <v>75324.172121052718</v>
      </c>
      <c r="S188" s="124">
        <v>78337.139005894831</v>
      </c>
      <c r="T188" s="124">
        <v>81350.10589073693</v>
      </c>
      <c r="U188" s="125"/>
      <c r="V188" s="123"/>
      <c r="W188" s="129"/>
    </row>
    <row r="189" spans="1:23">
      <c r="A189" s="70" t="s">
        <v>186</v>
      </c>
      <c r="B189" s="36" t="str">
        <f>IFERROR(HYPERLINK(VLOOKUP(A189,ÜRÜNLER!A:C,3,FALSE),VLOOKUP(A189,ÜRÜNLER!A:B,2,FALSE)),"")</f>
        <v>iQ700 Ankastre Fırın, Komple Kendini Temizler, Siyah</v>
      </c>
      <c r="C189" s="4">
        <v>9</v>
      </c>
      <c r="D189" s="4"/>
      <c r="E189" s="5"/>
      <c r="F189" s="5"/>
      <c r="G189" s="5"/>
      <c r="H189" s="5"/>
      <c r="I189" s="6"/>
      <c r="J189" s="6"/>
      <c r="K189" s="5"/>
      <c r="L189" s="5"/>
      <c r="M189" s="6"/>
      <c r="N189" s="39">
        <f t="shared" si="7"/>
        <v>9</v>
      </c>
      <c r="O189" s="40">
        <v>3</v>
      </c>
      <c r="P189" s="29"/>
      <c r="Q189" s="125">
        <v>92202.364673598349</v>
      </c>
      <c r="R189" s="128">
        <v>87592.246439918439</v>
      </c>
      <c r="S189" s="124">
        <v>91095.936297515174</v>
      </c>
      <c r="T189" s="124">
        <v>94599.62615511191</v>
      </c>
      <c r="U189" s="125"/>
      <c r="V189" s="123"/>
      <c r="W189" s="129"/>
    </row>
    <row r="190" spans="1:23">
      <c r="A190" s="70" t="s">
        <v>187</v>
      </c>
      <c r="B190" s="36" t="str">
        <f>IFERROR(HYPERLINK(VLOOKUP(A190,ÜRÜNLER!A:C,3,FALSE),VLOOKUP(A190,ÜRÜNLER!A:B,2,FALSE)),"")</f>
        <v>iQ700 studioLine Ankastre Fırın, 3 Teleskopik Ray, Komple Kendini Temizler, Siyah</v>
      </c>
      <c r="C190" s="4"/>
      <c r="D190" s="4">
        <v>2</v>
      </c>
      <c r="E190" s="5"/>
      <c r="F190" s="5"/>
      <c r="G190" s="5"/>
      <c r="H190" s="5">
        <v>1</v>
      </c>
      <c r="I190" s="6"/>
      <c r="J190" s="6"/>
      <c r="K190" s="5"/>
      <c r="L190" s="5"/>
      <c r="M190" s="6"/>
      <c r="N190" s="39">
        <f t="shared" si="7"/>
        <v>3</v>
      </c>
      <c r="O190" s="40">
        <v>0</v>
      </c>
      <c r="P190" s="29"/>
      <c r="Q190" s="125" t="s">
        <v>1773</v>
      </c>
      <c r="R190" s="123">
        <v>100000</v>
      </c>
      <c r="S190" s="124">
        <v>104000</v>
      </c>
      <c r="T190" s="124">
        <v>108000</v>
      </c>
      <c r="U190" s="125"/>
      <c r="V190" s="123"/>
      <c r="W190" s="126">
        <v>500</v>
      </c>
    </row>
    <row r="191" spans="1:23">
      <c r="A191" s="70" t="s">
        <v>194</v>
      </c>
      <c r="B191" s="36" t="str">
        <f>IFERROR(HYPERLINK(VLOOKUP(A191,ÜRÜNLER!A:C,3,FALSE),VLOOKUP(A191,ÜRÜNLER!A:B,2,FALSE)),"")</f>
        <v>iQ700 studioLine Ankastre Fırın, 1 Teleskopik Ray, Komple Kendini Temizler, Siyah</v>
      </c>
      <c r="C191" s="4"/>
      <c r="D191" s="4">
        <v>3</v>
      </c>
      <c r="E191" s="5"/>
      <c r="F191" s="5"/>
      <c r="G191" s="5"/>
      <c r="H191" s="5">
        <v>1</v>
      </c>
      <c r="I191" s="6"/>
      <c r="J191" s="6"/>
      <c r="K191" s="5"/>
      <c r="L191" s="5"/>
      <c r="M191" s="6"/>
      <c r="N191" s="39">
        <f t="shared" si="7"/>
        <v>4</v>
      </c>
      <c r="O191" s="40">
        <v>0</v>
      </c>
      <c r="P191" s="29"/>
      <c r="Q191" s="125">
        <v>147098.71170785514</v>
      </c>
      <c r="R191" s="136">
        <v>126687.88568140636</v>
      </c>
      <c r="S191" s="124">
        <v>131755.40110866263</v>
      </c>
      <c r="T191" s="124">
        <v>136822.91653591886</v>
      </c>
      <c r="U191" s="125"/>
      <c r="V191" s="123"/>
      <c r="W191" s="126">
        <v>500</v>
      </c>
    </row>
    <row r="192" spans="1:23">
      <c r="A192" s="71" t="s">
        <v>1306</v>
      </c>
      <c r="B192" s="36" t="str">
        <f>IFERROR(HYPERLINK(VLOOKUP(A192,ÜRÜNLER!A:C,3,FALSE),VLOOKUP(A192,ÜRÜNLER!A:B,2,FALSE)),"")</f>
        <v>iQ300 Ankastre Fırın, 1 Teleskopik Ray, Arkası Kendini Temizler, Beyaz</v>
      </c>
      <c r="C192" s="4"/>
      <c r="D192" s="4"/>
      <c r="E192" s="5"/>
      <c r="F192" s="5"/>
      <c r="G192" s="5"/>
      <c r="H192" s="5"/>
      <c r="I192" s="6">
        <v>1</v>
      </c>
      <c r="J192" s="6"/>
      <c r="K192" s="5"/>
      <c r="L192" s="5"/>
      <c r="M192" s="6"/>
      <c r="N192" s="39">
        <f t="shared" si="7"/>
        <v>1</v>
      </c>
      <c r="O192" s="40">
        <v>0</v>
      </c>
      <c r="P192" s="29"/>
      <c r="Q192" s="125" t="s">
        <v>1773</v>
      </c>
      <c r="R192" s="123">
        <v>20000</v>
      </c>
      <c r="S192" s="124">
        <v>20800</v>
      </c>
      <c r="T192" s="124">
        <v>21600</v>
      </c>
      <c r="U192" s="125"/>
      <c r="V192" s="123"/>
      <c r="W192" s="126">
        <v>500</v>
      </c>
    </row>
    <row r="193" spans="1:24">
      <c r="A193" s="73" t="s">
        <v>153</v>
      </c>
      <c r="B193" s="36" t="str">
        <f>IFERROR(HYPERLINK(VLOOKUP(A193,ÜRÜNLER!A:C,3,FALSE),VLOOKUP(A193,ÜRÜNLER!A:B,2,FALSE)),"")</f>
        <v>iQ500 Ankastre Fırın, 2 Teleskopik Ray, Komple Kendini Temizler, Siyah</v>
      </c>
      <c r="C193" s="4">
        <v>50</v>
      </c>
      <c r="D193" s="4"/>
      <c r="E193" s="5"/>
      <c r="F193" s="5">
        <v>1</v>
      </c>
      <c r="G193" s="5"/>
      <c r="H193" s="5"/>
      <c r="I193" s="6">
        <v>1</v>
      </c>
      <c r="J193" s="6"/>
      <c r="K193" s="5"/>
      <c r="L193" s="5">
        <v>2</v>
      </c>
      <c r="M193" s="6">
        <v>1</v>
      </c>
      <c r="N193" s="39">
        <f t="shared" si="7"/>
        <v>55</v>
      </c>
      <c r="O193" s="40">
        <v>0</v>
      </c>
      <c r="P193" s="28"/>
      <c r="Q193" s="125">
        <v>37217.365123313917</v>
      </c>
      <c r="R193" s="128">
        <v>35356.49686714822</v>
      </c>
      <c r="S193" s="123">
        <v>36770.75674183415</v>
      </c>
      <c r="T193" s="123">
        <v>38185.016616520079</v>
      </c>
      <c r="U193" s="125"/>
      <c r="V193" s="123"/>
      <c r="W193" s="129"/>
    </row>
    <row r="194" spans="1:24">
      <c r="A194" s="72" t="s">
        <v>155</v>
      </c>
      <c r="B194" s="36" t="str">
        <f>IFERROR(HYPERLINK(VLOOKUP(A194,ÜRÜNLER!A:C,3,FALSE),VLOOKUP(A194,ÜRÜNLER!A:B,2,FALSE)),"")</f>
        <v>iQ500 Ankastre Fırın, 2 Teleskopik Ray, Komple Kendini Temizler, Antrasit</v>
      </c>
      <c r="C194" s="4">
        <v>26</v>
      </c>
      <c r="D194" s="4"/>
      <c r="E194" s="5"/>
      <c r="F194" s="5">
        <v>1</v>
      </c>
      <c r="G194" s="5">
        <v>1</v>
      </c>
      <c r="H194" s="5"/>
      <c r="I194" s="6"/>
      <c r="J194" s="6">
        <v>1</v>
      </c>
      <c r="K194" s="5"/>
      <c r="L194" s="5"/>
      <c r="M194" s="6"/>
      <c r="N194" s="39">
        <f t="shared" si="7"/>
        <v>29</v>
      </c>
      <c r="O194" s="40">
        <v>0</v>
      </c>
      <c r="P194" s="28"/>
      <c r="Q194" s="125">
        <v>37217.365123313917</v>
      </c>
      <c r="R194" s="128">
        <v>35356.49686714822</v>
      </c>
      <c r="S194" s="124">
        <v>36770.75674183415</v>
      </c>
      <c r="T194" s="124">
        <v>38185.016616520079</v>
      </c>
      <c r="U194" s="125"/>
      <c r="V194" s="123"/>
      <c r="W194" s="129"/>
    </row>
    <row r="195" spans="1:24">
      <c r="A195" s="64" t="s">
        <v>154</v>
      </c>
      <c r="B195" s="36" t="str">
        <f>IFERROR(HYPERLINK(VLOOKUP(A195,ÜRÜNLER!A:C,3,FALSE),VLOOKUP(A195,ÜRÜNLER!A:B,2,FALSE)),"")</f>
        <v>iQ500 Ankastre Fırın, 2 Teleskopik Ray, Komple Kendini Temizler, Beyaz</v>
      </c>
      <c r="C195" s="4">
        <v>7</v>
      </c>
      <c r="D195" s="4"/>
      <c r="E195" s="5"/>
      <c r="F195" s="5">
        <v>2</v>
      </c>
      <c r="G195" s="5">
        <v>1</v>
      </c>
      <c r="H195" s="5"/>
      <c r="I195" s="6">
        <v>1</v>
      </c>
      <c r="J195" s="6">
        <v>1</v>
      </c>
      <c r="K195" s="5">
        <v>1</v>
      </c>
      <c r="L195" s="5"/>
      <c r="M195" s="6"/>
      <c r="N195" s="39">
        <f t="shared" si="7"/>
        <v>13</v>
      </c>
      <c r="O195" s="40">
        <v>10</v>
      </c>
      <c r="P195" s="28"/>
      <c r="Q195" s="125">
        <v>37217.365123313917</v>
      </c>
      <c r="R195" s="128">
        <v>35356.49686714822</v>
      </c>
      <c r="S195" s="124">
        <v>36770.75674183415</v>
      </c>
      <c r="T195" s="124">
        <v>38185.016616520079</v>
      </c>
      <c r="U195" s="125"/>
      <c r="V195" s="123"/>
      <c r="W195" s="129"/>
    </row>
    <row r="196" spans="1:24">
      <c r="A196" s="64" t="s">
        <v>195</v>
      </c>
      <c r="B196" s="36" t="str">
        <f>IFERROR(HYPERLINK(VLOOKUP(A196,ÜRÜNLER!A:C,3,FALSE),VLOOKUP(A196,ÜRÜNLER!A:B,2,FALSE)),"")</f>
        <v>iQ700 studioLine Buhar ve Mikrodalga Fonksiyonlu Ankastre Fırın, Komple Kendini Temizler, Siyah</v>
      </c>
      <c r="C196" s="4"/>
      <c r="D196" s="4">
        <v>1</v>
      </c>
      <c r="E196" s="5"/>
      <c r="F196" s="5"/>
      <c r="G196" s="5"/>
      <c r="H196" s="5"/>
      <c r="I196" s="6"/>
      <c r="J196" s="6"/>
      <c r="K196" s="5"/>
      <c r="L196" s="5"/>
      <c r="M196" s="6"/>
      <c r="N196" s="39">
        <f t="shared" si="7"/>
        <v>1</v>
      </c>
      <c r="O196" s="40">
        <v>0</v>
      </c>
      <c r="P196" s="29"/>
      <c r="Q196" s="125">
        <v>254908.73729978077</v>
      </c>
      <c r="R196" s="136">
        <v>219538.62542564856</v>
      </c>
      <c r="S196" s="124">
        <v>228320.17044267448</v>
      </c>
      <c r="T196" s="124">
        <v>237101.71545970044</v>
      </c>
      <c r="U196" s="125"/>
      <c r="V196" s="123"/>
      <c r="W196" s="126">
        <v>500</v>
      </c>
    </row>
    <row r="197" spans="1:24">
      <c r="A197" s="73" t="s">
        <v>152</v>
      </c>
      <c r="B197" s="36" t="str">
        <f>IFERROR(HYPERLINK(VLOOKUP(A197,ÜRÜNLER!A:C,3,FALSE),VLOOKUP(A197,ÜRÜNLER!A:B,2,FALSE)),"")</f>
        <v>iQ300 Buhar Destekli Ankastre Fırın, 1 Teleskopik Ray, Arkası Kendini Temizler, Siyah/Dark Inox</v>
      </c>
      <c r="C197" s="4">
        <v>2</v>
      </c>
      <c r="D197" s="4"/>
      <c r="E197" s="5"/>
      <c r="F197" s="5"/>
      <c r="G197" s="5"/>
      <c r="H197" s="5"/>
      <c r="I197" s="6">
        <v>1</v>
      </c>
      <c r="J197" s="6"/>
      <c r="K197" s="5">
        <v>1</v>
      </c>
      <c r="L197" s="5">
        <v>1</v>
      </c>
      <c r="M197" s="6"/>
      <c r="N197" s="39">
        <f t="shared" si="7"/>
        <v>5</v>
      </c>
      <c r="O197" s="40">
        <v>2</v>
      </c>
      <c r="P197" s="29"/>
      <c r="Q197" s="125">
        <v>42011.440642314621</v>
      </c>
      <c r="R197" s="129">
        <v>40202.335542884808</v>
      </c>
      <c r="S197" s="124">
        <v>41810.4289646002</v>
      </c>
      <c r="T197" s="124">
        <v>43418.522386315592</v>
      </c>
      <c r="U197" s="125"/>
      <c r="V197" s="123"/>
      <c r="W197" s="129"/>
    </row>
    <row r="198" spans="1:24">
      <c r="A198" s="70" t="s">
        <v>190</v>
      </c>
      <c r="B198" s="36" t="str">
        <f>IFERROR(HYPERLINK(VLOOKUP(A198,ÜRÜNLER!A:C,3,FALSE),VLOOKUP(A198,ÜRÜNLER!A:B,2,FALSE)),"")</f>
        <v>iQ500 Buhar Destekli Ankastre Fırın, Arkası Kendini Temizler, Siyah/Inox</v>
      </c>
      <c r="C198" s="4">
        <v>3</v>
      </c>
      <c r="D198" s="4"/>
      <c r="E198" s="5"/>
      <c r="F198" s="5"/>
      <c r="G198" s="5"/>
      <c r="H198" s="5"/>
      <c r="I198" s="6">
        <v>1</v>
      </c>
      <c r="J198" s="6">
        <v>1</v>
      </c>
      <c r="K198" s="5">
        <v>1</v>
      </c>
      <c r="L198" s="5"/>
      <c r="M198" s="6">
        <v>1</v>
      </c>
      <c r="N198" s="39">
        <f t="shared" si="7"/>
        <v>7</v>
      </c>
      <c r="O198" s="40">
        <v>0</v>
      </c>
      <c r="P198" s="29"/>
      <c r="Q198" s="125" t="s">
        <v>1773</v>
      </c>
      <c r="R198" s="123">
        <v>26144</v>
      </c>
      <c r="S198" s="124">
        <v>27189.759999999998</v>
      </c>
      <c r="T198" s="124">
        <v>28235.52</v>
      </c>
      <c r="U198" s="125"/>
      <c r="V198" s="123"/>
      <c r="W198" s="129"/>
    </row>
    <row r="199" spans="1:24">
      <c r="A199" s="64" t="s">
        <v>191</v>
      </c>
      <c r="B199" s="36" t="str">
        <f>IFERROR(HYPERLINK(VLOOKUP(A199,ÜRÜNLER!A:C,3,FALSE),VLOOKUP(A199,ÜRÜNLER!A:B,2,FALSE)),"")</f>
        <v>iQ700 Ankastre Fırın, Siyah</v>
      </c>
      <c r="C199" s="4">
        <v>1</v>
      </c>
      <c r="D199" s="4"/>
      <c r="E199" s="5"/>
      <c r="F199" s="5"/>
      <c r="G199" s="5"/>
      <c r="H199" s="5"/>
      <c r="I199" s="6">
        <v>1</v>
      </c>
      <c r="J199" s="6">
        <v>1</v>
      </c>
      <c r="K199" s="5"/>
      <c r="L199" s="5">
        <v>1</v>
      </c>
      <c r="M199" s="6">
        <v>1</v>
      </c>
      <c r="N199" s="39">
        <f t="shared" si="7"/>
        <v>5</v>
      </c>
      <c r="O199" s="40">
        <v>11</v>
      </c>
      <c r="P199" s="29"/>
      <c r="Q199" s="125">
        <v>94796.520022315555</v>
      </c>
      <c r="R199" s="128">
        <v>90056.694021199772</v>
      </c>
      <c r="S199" s="124">
        <v>93658.961782047758</v>
      </c>
      <c r="T199" s="124">
        <v>97261.229542895759</v>
      </c>
      <c r="U199" s="125"/>
      <c r="V199" s="123"/>
      <c r="W199" s="123"/>
    </row>
    <row r="200" spans="1:24">
      <c r="A200" s="71" t="s">
        <v>192</v>
      </c>
      <c r="B200" s="36" t="str">
        <f>IFERROR(HYPERLINK(VLOOKUP(A200,ÜRÜNLER!A:C,3,FALSE),VLOOKUP(A200,ÜRÜNLER!A:B,2,FALSE)),"")</f>
        <v>iQ700 Buhar Destekli Ankastre Fırın, Arkası Kendini Temizler, Siyah/Inox</v>
      </c>
      <c r="C200" s="4"/>
      <c r="D200" s="4"/>
      <c r="E200" s="5"/>
      <c r="F200" s="5"/>
      <c r="G200" s="5"/>
      <c r="H200" s="5"/>
      <c r="I200" s="6">
        <v>1</v>
      </c>
      <c r="J200" s="6"/>
      <c r="K200" s="5"/>
      <c r="L200" s="5"/>
      <c r="M200" s="6"/>
      <c r="N200" s="39">
        <f t="shared" si="7"/>
        <v>1</v>
      </c>
      <c r="O200" s="40">
        <v>0</v>
      </c>
      <c r="P200" s="29"/>
      <c r="Q200" s="125" t="s">
        <v>1773</v>
      </c>
      <c r="R200" s="123">
        <v>66000</v>
      </c>
      <c r="S200" s="124">
        <v>68640</v>
      </c>
      <c r="T200" s="124">
        <v>71280</v>
      </c>
      <c r="U200" s="125"/>
      <c r="V200" s="123"/>
      <c r="W200" s="129"/>
    </row>
    <row r="201" spans="1:24">
      <c r="A201" s="73" t="s">
        <v>157</v>
      </c>
      <c r="B201" s="36" t="str">
        <f>IFERROR(HYPERLINK(VLOOKUP(A201,ÜRÜNLER!A:C,3,FALSE),VLOOKUP(A201,ÜRÜNLER!A:B,2,FALSE)),"")</f>
        <v>iQ300 Buhar Destekli Ankastre Fırın, Siyah</v>
      </c>
      <c r="C201" s="4">
        <v>25</v>
      </c>
      <c r="D201" s="4"/>
      <c r="E201" s="5"/>
      <c r="F201" s="5">
        <v>1</v>
      </c>
      <c r="G201" s="5"/>
      <c r="H201" s="5"/>
      <c r="I201" s="6">
        <v>1</v>
      </c>
      <c r="J201" s="6">
        <v>1</v>
      </c>
      <c r="K201" s="5"/>
      <c r="L201" s="5"/>
      <c r="M201" s="6"/>
      <c r="N201" s="39">
        <f t="shared" si="7"/>
        <v>28</v>
      </c>
      <c r="O201" s="40">
        <v>0</v>
      </c>
      <c r="P201" s="28"/>
      <c r="Q201" s="125">
        <v>27623.886093930971</v>
      </c>
      <c r="R201" s="128">
        <v>26242.691789234421</v>
      </c>
      <c r="S201" s="124">
        <v>27292.399460803797</v>
      </c>
      <c r="T201" s="124">
        <v>28342.107132373174</v>
      </c>
      <c r="U201" s="125"/>
      <c r="V201" s="123"/>
      <c r="W201" s="129"/>
    </row>
    <row r="202" spans="1:24">
      <c r="A202" s="72" t="s">
        <v>158</v>
      </c>
      <c r="B202" s="36" t="str">
        <f>IFERROR(HYPERLINK(VLOOKUP(A202,ÜRÜNLER!A:C,3,FALSE),VLOOKUP(A202,ÜRÜNLER!A:B,2,FALSE)),"")</f>
        <v>iQ300 Buhar Destekli Ankastre Fırın, Antrasit</v>
      </c>
      <c r="C202" s="4"/>
      <c r="D202" s="4"/>
      <c r="E202" s="5"/>
      <c r="F202" s="5"/>
      <c r="G202" s="5"/>
      <c r="H202" s="5"/>
      <c r="I202" s="6">
        <v>1</v>
      </c>
      <c r="J202" s="6">
        <v>1</v>
      </c>
      <c r="K202" s="5"/>
      <c r="L202" s="5"/>
      <c r="M202" s="6">
        <v>1</v>
      </c>
      <c r="N202" s="39">
        <f t="shared" si="7"/>
        <v>3</v>
      </c>
      <c r="O202" s="40">
        <v>11</v>
      </c>
      <c r="P202" s="28"/>
      <c r="Q202" s="125">
        <v>27623.886093930971</v>
      </c>
      <c r="R202" s="128">
        <v>26242.691789234421</v>
      </c>
      <c r="S202" s="124">
        <v>27292.399460803797</v>
      </c>
      <c r="T202" s="124">
        <v>28342.107132373174</v>
      </c>
      <c r="U202" s="125"/>
      <c r="V202" s="123"/>
      <c r="W202" s="129"/>
    </row>
    <row r="203" spans="1:24">
      <c r="A203" s="64" t="s">
        <v>156</v>
      </c>
      <c r="B203" s="36" t="str">
        <f>IFERROR(HYPERLINK(VLOOKUP(A203,ÜRÜNLER!A:C,3,FALSE),VLOOKUP(A203,ÜRÜNLER!A:B,2,FALSE)),"")</f>
        <v>iQ300 Buhar Destekli Ankastre Fırın, Beyaz</v>
      </c>
      <c r="C203" s="4"/>
      <c r="D203" s="4"/>
      <c r="E203" s="5"/>
      <c r="F203" s="5"/>
      <c r="G203" s="5"/>
      <c r="H203" s="5"/>
      <c r="I203" s="6">
        <v>1</v>
      </c>
      <c r="J203" s="6">
        <v>1</v>
      </c>
      <c r="K203" s="5">
        <v>1</v>
      </c>
      <c r="L203" s="5"/>
      <c r="M203" s="6"/>
      <c r="N203" s="39">
        <f t="shared" si="7"/>
        <v>3</v>
      </c>
      <c r="O203" s="40">
        <v>30</v>
      </c>
      <c r="P203" s="28"/>
      <c r="Q203" s="125">
        <v>27623.886093930971</v>
      </c>
      <c r="R203" s="128">
        <v>26242.691789234421</v>
      </c>
      <c r="S203" s="124">
        <v>27292.399460803797</v>
      </c>
      <c r="T203" s="124">
        <v>28342.107132373174</v>
      </c>
      <c r="U203" s="125"/>
      <c r="V203" s="123"/>
      <c r="W203" s="129"/>
    </row>
    <row r="204" spans="1:24">
      <c r="A204" s="73" t="s">
        <v>159</v>
      </c>
      <c r="B204" s="36" t="str">
        <f>IFERROR(HYPERLINK(VLOOKUP(A204,ÜRÜNLER!A:C,3,FALSE),VLOOKUP(A204,ÜRÜNLER!A:B,2,FALSE)),"")</f>
        <v>iQ300 Ankastre Fırın, 1 Teleskopik Ray, Arkası Kendini Temizler, Siyah</v>
      </c>
      <c r="C204" s="4">
        <v>21</v>
      </c>
      <c r="D204" s="4"/>
      <c r="E204" s="5"/>
      <c r="F204" s="5"/>
      <c r="G204" s="5"/>
      <c r="H204" s="5"/>
      <c r="I204" s="6">
        <v>1</v>
      </c>
      <c r="J204" s="6"/>
      <c r="K204" s="5"/>
      <c r="L204" s="5"/>
      <c r="M204" s="6">
        <v>1</v>
      </c>
      <c r="N204" s="39">
        <f t="shared" si="7"/>
        <v>23</v>
      </c>
      <c r="O204" s="40">
        <v>0</v>
      </c>
      <c r="P204" s="28"/>
      <c r="Q204" s="125">
        <v>31109.767052834293</v>
      </c>
      <c r="R204" s="128">
        <v>29554.278700192579</v>
      </c>
      <c r="S204" s="124">
        <v>30736.449848200282</v>
      </c>
      <c r="T204" s="124">
        <v>31918.620996207985</v>
      </c>
      <c r="U204" s="125"/>
      <c r="V204" s="123"/>
      <c r="W204" s="129"/>
    </row>
    <row r="205" spans="1:24">
      <c r="A205" s="73" t="s">
        <v>160</v>
      </c>
      <c r="B205" s="36" t="str">
        <f>IFERROR(HYPERLINK(VLOOKUP(A205,ÜRÜNLER!A:C,3,FALSE),VLOOKUP(A205,ÜRÜNLER!A:B,2,FALSE)),"")</f>
        <v>iQ300 Buhar Destekli Ankastre Fırın, 1 Teleskopik Ray, Arkası Kendini Temizler, darkSteel Line</v>
      </c>
      <c r="C205" s="4">
        <v>14</v>
      </c>
      <c r="D205" s="4"/>
      <c r="E205" s="5"/>
      <c r="F205" s="5"/>
      <c r="G205" s="5"/>
      <c r="H205" s="5"/>
      <c r="I205" s="6">
        <v>1</v>
      </c>
      <c r="J205" s="6"/>
      <c r="K205" s="5"/>
      <c r="L205" s="5"/>
      <c r="M205" s="6"/>
      <c r="N205" s="39">
        <f t="shared" si="7"/>
        <v>15</v>
      </c>
      <c r="O205" s="40">
        <v>10</v>
      </c>
      <c r="P205" s="28"/>
      <c r="Q205" s="125">
        <v>31109.767052834293</v>
      </c>
      <c r="R205" s="128">
        <v>29554.278700192579</v>
      </c>
      <c r="S205" s="124">
        <v>30736.449848200282</v>
      </c>
      <c r="T205" s="124">
        <v>31918.620996207985</v>
      </c>
      <c r="U205" s="125"/>
      <c r="V205" s="123"/>
      <c r="W205" s="129"/>
    </row>
    <row r="206" spans="1:24">
      <c r="A206" s="72" t="s">
        <v>161</v>
      </c>
      <c r="B206" s="36" t="str">
        <f>IFERROR(HYPERLINK(VLOOKUP(A206,ÜRÜNLER!A:C,3,FALSE),VLOOKUP(A206,ÜRÜNLER!A:B,2,FALSE)),"")</f>
        <v>iQ300 Ankastre Fırın, 1 Teleskopik Ray, Arkası Kendini Temizler, Antrasit</v>
      </c>
      <c r="C206" s="4">
        <v>6</v>
      </c>
      <c r="D206" s="4"/>
      <c r="E206" s="5"/>
      <c r="F206" s="5"/>
      <c r="G206" s="5">
        <v>1</v>
      </c>
      <c r="H206" s="5"/>
      <c r="I206" s="6"/>
      <c r="J206" s="6">
        <v>1</v>
      </c>
      <c r="K206" s="5">
        <v>1</v>
      </c>
      <c r="L206" s="5"/>
      <c r="M206" s="6">
        <v>1</v>
      </c>
      <c r="N206" s="39">
        <f t="shared" si="7"/>
        <v>10</v>
      </c>
      <c r="O206" s="40">
        <v>10</v>
      </c>
      <c r="P206" s="28"/>
      <c r="Q206" s="125">
        <v>30816.278684411329</v>
      </c>
      <c r="R206" s="128">
        <v>29275.464750190764</v>
      </c>
      <c r="S206" s="124">
        <v>30446.483340198396</v>
      </c>
      <c r="T206" s="124">
        <v>31617.501930206025</v>
      </c>
      <c r="U206" s="125"/>
      <c r="V206" s="123"/>
      <c r="W206" s="129"/>
    </row>
    <row r="207" spans="1:24">
      <c r="A207" s="64" t="s">
        <v>162</v>
      </c>
      <c r="B207" s="36" t="str">
        <f>IFERROR(HYPERLINK(VLOOKUP(A207,ÜRÜNLER!A:C,3,FALSE),VLOOKUP(A207,ÜRÜNLER!A:B,2,FALSE)),"")</f>
        <v>iQ300 Buhar Destekli Ankastre Fırın, 1 Teleskopik Ray, Arkası Kendini Temizler, Beyaz</v>
      </c>
      <c r="C207" s="4"/>
      <c r="D207" s="4"/>
      <c r="E207" s="5"/>
      <c r="F207" s="5"/>
      <c r="G207" s="5"/>
      <c r="H207" s="5"/>
      <c r="I207" s="6"/>
      <c r="J207" s="6">
        <v>1</v>
      </c>
      <c r="K207" s="5"/>
      <c r="L207" s="5"/>
      <c r="M207" s="6"/>
      <c r="N207" s="39">
        <f t="shared" si="7"/>
        <v>1</v>
      </c>
      <c r="O207" s="40">
        <v>25</v>
      </c>
      <c r="P207" s="28"/>
      <c r="Q207" s="125">
        <v>31109.767052834293</v>
      </c>
      <c r="R207" s="128">
        <v>29554.278700192579</v>
      </c>
      <c r="S207" s="124">
        <v>30736.449848200282</v>
      </c>
      <c r="T207" s="124">
        <v>31918.620996207985</v>
      </c>
      <c r="U207" s="125"/>
      <c r="V207" s="123"/>
      <c r="W207" s="129"/>
    </row>
    <row r="208" spans="1:24" s="11" customFormat="1" ht="40.5" customHeight="1">
      <c r="A208" s="74" t="s">
        <v>202</v>
      </c>
      <c r="B208" s="36" t="str">
        <f>IFERROR(HYPERLINK(VLOOKUP(A208,ÜRÜNLER!A:C,3,FALSE),VLOOKUP(A208,ÜRÜNLER!A:B,2,FALSE)),"")</f>
        <v/>
      </c>
      <c r="C208" s="4"/>
      <c r="D208" s="4"/>
      <c r="E208" s="5"/>
      <c r="F208" s="5"/>
      <c r="G208" s="5"/>
      <c r="H208" s="5"/>
      <c r="I208" s="6"/>
      <c r="J208" s="6"/>
      <c r="K208" s="5"/>
      <c r="L208" s="5"/>
      <c r="M208" s="6"/>
      <c r="N208" s="39">
        <f>SUM(N169:N207)</f>
        <v>371</v>
      </c>
      <c r="O208" s="40">
        <v>0</v>
      </c>
      <c r="P208" s="29"/>
      <c r="Q208" s="125"/>
      <c r="R208" s="122"/>
      <c r="S208" s="124"/>
      <c r="T208" s="124"/>
      <c r="U208" s="125"/>
      <c r="V208" s="123"/>
      <c r="W208" s="123"/>
      <c r="X208" s="127"/>
    </row>
    <row r="209" spans="1:25">
      <c r="A209" s="62" t="s">
        <v>203</v>
      </c>
      <c r="B209" s="36" t="str">
        <f>IFERROR(HYPERLINK(VLOOKUP(A209,ÜRÜNLER!A:C,3,FALSE),VLOOKUP(A209,ÜRÜNLER!A:B,2,FALSE)),"")</f>
        <v>iQ500 Ankastre Mikrodalga, Izgaralı, Siyah</v>
      </c>
      <c r="C209" s="4"/>
      <c r="D209" s="4"/>
      <c r="E209" s="5"/>
      <c r="F209" s="5">
        <v>1</v>
      </c>
      <c r="G209" s="5"/>
      <c r="H209" s="5"/>
      <c r="I209" s="6"/>
      <c r="J209" s="6"/>
      <c r="K209" s="5"/>
      <c r="L209" s="5"/>
      <c r="M209" s="6"/>
      <c r="N209" s="39">
        <f t="shared" ref="N209:N225" si="8">M209+K209+L209+J209+I209+H209+G209+F209+E209+D209+C209</f>
        <v>1</v>
      </c>
      <c r="O209" s="40">
        <v>20</v>
      </c>
      <c r="P209" s="29"/>
      <c r="Q209" s="125">
        <v>22972.03951940751</v>
      </c>
      <c r="R209" s="128">
        <v>21823.437543437136</v>
      </c>
      <c r="S209" s="124">
        <v>22696.37504517462</v>
      </c>
      <c r="T209" s="124">
        <v>23569.312546912108</v>
      </c>
      <c r="U209" s="125"/>
      <c r="V209" s="123"/>
      <c r="W209" s="123"/>
      <c r="X209" s="127">
        <v>20700</v>
      </c>
      <c r="Y209" s="108"/>
    </row>
    <row r="210" spans="1:25">
      <c r="A210" s="60" t="s">
        <v>204</v>
      </c>
      <c r="B210" s="36" t="str">
        <f>IFERROR(HYPERLINK(VLOOKUP(A210,ÜRÜNLER!A:C,3,FALSE),VLOOKUP(A210,ÜRÜNLER!A:B,2,FALSE)),"")</f>
        <v>iQ500 Ankastre Mikrodalga, Izgara Fonksiyonlu, 20L, Siyah/darkSteel</v>
      </c>
      <c r="C210" s="4">
        <v>2</v>
      </c>
      <c r="D210" s="4"/>
      <c r="E210" s="5"/>
      <c r="F210" s="5">
        <v>1</v>
      </c>
      <c r="G210" s="5"/>
      <c r="H210" s="5"/>
      <c r="I210" s="6"/>
      <c r="J210" s="6"/>
      <c r="K210" s="5"/>
      <c r="L210" s="5">
        <v>1</v>
      </c>
      <c r="M210" s="6"/>
      <c r="N210" s="39">
        <f t="shared" si="8"/>
        <v>4</v>
      </c>
      <c r="O210" s="40">
        <v>15</v>
      </c>
      <c r="P210" s="29"/>
      <c r="Q210" s="125">
        <v>22972.03951940751</v>
      </c>
      <c r="R210" s="128">
        <v>21823.437543437136</v>
      </c>
      <c r="S210" s="124">
        <v>22696.37504517462</v>
      </c>
      <c r="T210" s="124">
        <v>23569.312546912108</v>
      </c>
      <c r="U210" s="125"/>
      <c r="V210" s="123"/>
      <c r="W210" s="129"/>
    </row>
    <row r="211" spans="1:25">
      <c r="A211" s="72" t="s">
        <v>205</v>
      </c>
      <c r="B211" s="36" t="str">
        <f>IFERROR(HYPERLINK(VLOOKUP(A211,ÜRÜNLER!A:C,3,FALSE),VLOOKUP(A211,ÜRÜNLER!A:B,2,FALSE)),"")</f>
        <v>iQ500 Ankastre Mikrodalga, Izgaralı, Anstrasit</v>
      </c>
      <c r="C211" s="4"/>
      <c r="D211" s="4"/>
      <c r="E211" s="5"/>
      <c r="F211" s="5"/>
      <c r="G211" s="5"/>
      <c r="H211" s="5"/>
      <c r="I211" s="6"/>
      <c r="J211" s="6"/>
      <c r="K211" s="5"/>
      <c r="L211" s="5"/>
      <c r="M211" s="6"/>
      <c r="N211" s="39">
        <f t="shared" si="8"/>
        <v>0</v>
      </c>
      <c r="O211" s="40">
        <v>31</v>
      </c>
      <c r="P211" s="29"/>
      <c r="Q211" s="125">
        <v>22972.03951940751</v>
      </c>
      <c r="R211" s="128">
        <v>21823.437543437136</v>
      </c>
      <c r="S211" s="124">
        <v>22696.37504517462</v>
      </c>
      <c r="T211" s="124">
        <v>23569.312546912108</v>
      </c>
      <c r="U211" s="125"/>
      <c r="V211" s="123"/>
      <c r="W211" s="129"/>
    </row>
    <row r="212" spans="1:25">
      <c r="A212" s="61" t="s">
        <v>206</v>
      </c>
      <c r="B212" s="36" t="str">
        <f>IFERROR(HYPERLINK(VLOOKUP(A212,ÜRÜNLER!A:C,3,FALSE),VLOOKUP(A212,ÜRÜNLER!A:B,2,FALSE)),"")</f>
        <v>iQ500 Ankastre Mikrodalga, Izgara Fonksiyonlu, 20L, Beyaz</v>
      </c>
      <c r="C212" s="4">
        <v>1</v>
      </c>
      <c r="D212" s="4"/>
      <c r="E212" s="5"/>
      <c r="F212" s="5"/>
      <c r="G212" s="5"/>
      <c r="H212" s="5"/>
      <c r="I212" s="6"/>
      <c r="J212" s="6"/>
      <c r="K212" s="5"/>
      <c r="L212" s="5"/>
      <c r="M212" s="6"/>
      <c r="N212" s="39">
        <f t="shared" si="8"/>
        <v>1</v>
      </c>
      <c r="O212" s="40">
        <v>6</v>
      </c>
      <c r="P212" s="29"/>
      <c r="Q212" s="125">
        <v>22972.03951940751</v>
      </c>
      <c r="R212" s="128">
        <v>21823.437543437136</v>
      </c>
      <c r="S212" s="124">
        <v>22696.37504517462</v>
      </c>
      <c r="T212" s="124">
        <v>23569.312546912108</v>
      </c>
      <c r="U212" s="125"/>
      <c r="V212" s="123"/>
      <c r="W212" s="129"/>
    </row>
    <row r="213" spans="1:25">
      <c r="A213" s="62" t="s">
        <v>209</v>
      </c>
      <c r="B213" s="36" t="str">
        <f>IFERROR(HYPERLINK(VLOOKUP(A213,ÜRÜNLER!A:C,3,FALSE),VLOOKUP(A213,ÜRÜNLER!A:B,2,FALSE)),"")</f>
        <v>iQ500 Ankastre Mikrodalga, Izgaralı, Siyah</v>
      </c>
      <c r="C213" s="4">
        <v>1</v>
      </c>
      <c r="D213" s="4"/>
      <c r="E213" s="5"/>
      <c r="F213" s="5"/>
      <c r="G213" s="5"/>
      <c r="H213" s="5"/>
      <c r="I213" s="6">
        <v>1</v>
      </c>
      <c r="J213" s="6"/>
      <c r="K213" s="5">
        <v>1</v>
      </c>
      <c r="L213" s="5"/>
      <c r="M213" s="6"/>
      <c r="N213" s="39">
        <f t="shared" si="8"/>
        <v>3</v>
      </c>
      <c r="O213" s="40">
        <v>25</v>
      </c>
      <c r="P213" s="29"/>
      <c r="Q213" s="125">
        <v>26238.731588665971</v>
      </c>
      <c r="R213" s="128">
        <v>24926.795009232672</v>
      </c>
      <c r="S213" s="124">
        <v>25923.866809601979</v>
      </c>
      <c r="T213" s="124">
        <v>26920.938609971286</v>
      </c>
      <c r="U213" s="125"/>
      <c r="V213" s="123"/>
      <c r="W213" s="123"/>
    </row>
    <row r="214" spans="1:25">
      <c r="A214" s="61" t="s">
        <v>210</v>
      </c>
      <c r="B214" s="36" t="str">
        <f>IFERROR(HYPERLINK(VLOOKUP(A214,ÜRÜNLER!A:C,3,FALSE),VLOOKUP(A214,ÜRÜNLER!A:B,2,FALSE)),"")</f>
        <v>iQ700 Ankastre Mikrodalga, Izgara Fonksiyonlu, 21L, Siyah</v>
      </c>
      <c r="C214" s="4">
        <v>1</v>
      </c>
      <c r="D214" s="4"/>
      <c r="E214" s="5"/>
      <c r="F214" s="5">
        <v>1</v>
      </c>
      <c r="G214" s="5">
        <v>2</v>
      </c>
      <c r="H214" s="5"/>
      <c r="I214" s="6"/>
      <c r="J214" s="6"/>
      <c r="K214" s="5"/>
      <c r="L214" s="5"/>
      <c r="M214" s="6"/>
      <c r="N214" s="39">
        <f t="shared" si="8"/>
        <v>4</v>
      </c>
      <c r="O214" s="40">
        <v>5</v>
      </c>
      <c r="P214" s="29"/>
      <c r="Q214" s="125">
        <v>37317.411963415027</v>
      </c>
      <c r="R214" s="128">
        <v>35451.541365244273</v>
      </c>
      <c r="S214" s="124">
        <v>36869.603019854047</v>
      </c>
      <c r="T214" s="124">
        <v>38287.664674463813</v>
      </c>
      <c r="U214" s="125"/>
      <c r="V214" s="123"/>
      <c r="W214" s="123"/>
    </row>
    <row r="215" spans="1:25">
      <c r="A215" s="62" t="s">
        <v>211</v>
      </c>
      <c r="B215" s="36" t="str">
        <f>IFERROR(HYPERLINK(VLOOKUP(A215,ÜRÜNLER!A:C,3,FALSE),VLOOKUP(A215,ÜRÜNLER!A:B,2,FALSE)),"")</f>
        <v>iQ300 Ankastre Mikrodalga, 20L, Siyah</v>
      </c>
      <c r="C215" s="4">
        <v>4</v>
      </c>
      <c r="D215" s="4"/>
      <c r="E215" s="5"/>
      <c r="F215" s="5"/>
      <c r="G215" s="5"/>
      <c r="H215" s="5"/>
      <c r="I215" s="6"/>
      <c r="J215" s="6"/>
      <c r="K215" s="5"/>
      <c r="L215" s="5"/>
      <c r="M215" s="6"/>
      <c r="N215" s="39">
        <f t="shared" si="8"/>
        <v>4</v>
      </c>
      <c r="O215" s="40">
        <v>10</v>
      </c>
      <c r="P215" s="29"/>
      <c r="Q215" s="125">
        <v>19496.756823255568</v>
      </c>
      <c r="R215" s="128">
        <v>18521.91898209279</v>
      </c>
      <c r="S215" s="124">
        <v>19262.7957413765</v>
      </c>
      <c r="T215" s="124">
        <v>20003.672500660214</v>
      </c>
      <c r="U215" s="125"/>
      <c r="V215" s="123"/>
      <c r="W215" s="123"/>
    </row>
    <row r="216" spans="1:25">
      <c r="A216" s="61" t="s">
        <v>212</v>
      </c>
      <c r="B216" s="36" t="str">
        <f>IFERROR(HYPERLINK(VLOOKUP(A216,ÜRÜNLER!A:C,3,FALSE),VLOOKUP(A216,ÜRÜNLER!A:B,2,FALSE)),"")</f>
        <v>iQ300 Ankastre Mikrodalga, 20L, Siyah/Inox</v>
      </c>
      <c r="C216" s="4"/>
      <c r="D216" s="4"/>
      <c r="E216" s="5"/>
      <c r="F216" s="5"/>
      <c r="G216" s="5"/>
      <c r="H216" s="5"/>
      <c r="I216" s="6">
        <v>1</v>
      </c>
      <c r="J216" s="6">
        <v>1</v>
      </c>
      <c r="K216" s="5"/>
      <c r="L216" s="5"/>
      <c r="M216" s="6"/>
      <c r="N216" s="39">
        <f t="shared" si="8"/>
        <v>2</v>
      </c>
      <c r="O216" s="40">
        <v>0</v>
      </c>
      <c r="P216" s="29"/>
      <c r="Q216" s="125" t="s">
        <v>1773</v>
      </c>
      <c r="R216" s="123">
        <v>19500</v>
      </c>
      <c r="S216" s="124">
        <v>20280</v>
      </c>
      <c r="T216" s="124">
        <v>21060</v>
      </c>
      <c r="U216" s="125"/>
      <c r="V216" s="123"/>
      <c r="W216" s="138">
        <v>500</v>
      </c>
    </row>
    <row r="217" spans="1:25">
      <c r="A217" s="61" t="s">
        <v>214</v>
      </c>
      <c r="B217" s="36" t="str">
        <f>IFERROR(HYPERLINK(VLOOKUP(A217,ÜRÜNLER!A:C,3,FALSE),VLOOKUP(A217,ÜRÜNLER!A:B,2,FALSE)),"")</f>
        <v>iQ500 Ankastre Mikrodalga, 20L, Beyaz/Inox</v>
      </c>
      <c r="C217" s="4"/>
      <c r="D217" s="4"/>
      <c r="E217" s="5"/>
      <c r="F217" s="5"/>
      <c r="G217" s="5"/>
      <c r="H217" s="5"/>
      <c r="I217" s="6">
        <v>1</v>
      </c>
      <c r="J217" s="6">
        <v>1</v>
      </c>
      <c r="K217" s="5"/>
      <c r="L217" s="5">
        <v>2</v>
      </c>
      <c r="M217" s="6"/>
      <c r="N217" s="39">
        <f t="shared" si="8"/>
        <v>4</v>
      </c>
      <c r="O217" s="40">
        <v>0</v>
      </c>
      <c r="P217" s="29"/>
      <c r="Q217" s="125" t="s">
        <v>1773</v>
      </c>
      <c r="R217" s="123">
        <v>19500</v>
      </c>
      <c r="S217" s="124">
        <v>20280</v>
      </c>
      <c r="T217" s="124">
        <v>21060</v>
      </c>
      <c r="U217" s="125"/>
      <c r="V217" s="123"/>
      <c r="W217" s="138">
        <v>500</v>
      </c>
    </row>
    <row r="218" spans="1:25">
      <c r="A218" s="72" t="s">
        <v>215</v>
      </c>
      <c r="B218" s="36" t="str">
        <f>IFERROR(HYPERLINK(VLOOKUP(A218,ÜRÜNLER!A:C,3,FALSE),VLOOKUP(A218,ÜRÜNLER!A:B,2,FALSE)),"")</f>
        <v>iQ300 Ankastre Mikrodalga, 20L, Antrasit/Titanyum Gri</v>
      </c>
      <c r="C218" s="4">
        <v>11</v>
      </c>
      <c r="D218" s="4"/>
      <c r="E218" s="5"/>
      <c r="F218" s="5"/>
      <c r="G218" s="5"/>
      <c r="H218" s="5"/>
      <c r="I218" s="6">
        <v>1</v>
      </c>
      <c r="J218" s="6">
        <v>1</v>
      </c>
      <c r="K218" s="5"/>
      <c r="L218" s="5"/>
      <c r="M218" s="6"/>
      <c r="N218" s="39">
        <f t="shared" si="8"/>
        <v>13</v>
      </c>
      <c r="O218" s="40">
        <v>0</v>
      </c>
      <c r="P218" s="29"/>
      <c r="Q218" s="125">
        <v>18286.041817652796</v>
      </c>
      <c r="R218" s="128">
        <v>17371.739726770156</v>
      </c>
      <c r="S218" s="124">
        <v>18066.609315840964</v>
      </c>
      <c r="T218" s="124">
        <v>18761.478904911768</v>
      </c>
      <c r="U218" s="125"/>
      <c r="V218" s="123"/>
      <c r="W218" s="123"/>
      <c r="X218" s="127">
        <v>16400</v>
      </c>
      <c r="Y218" s="108"/>
    </row>
    <row r="219" spans="1:25">
      <c r="A219" s="61" t="s">
        <v>216</v>
      </c>
      <c r="B219" s="36" t="str">
        <f>IFERROR(HYPERLINK(VLOOKUP(A219,ÜRÜNLER!A:C,3,FALSE),VLOOKUP(A219,ÜRÜNLER!A:B,2,FALSE)),"")</f>
        <v>iQ300 Ankastre Mikrodalga, Inox</v>
      </c>
      <c r="C219" s="4">
        <v>9</v>
      </c>
      <c r="D219" s="4"/>
      <c r="E219" s="5"/>
      <c r="F219" s="5">
        <v>1</v>
      </c>
      <c r="G219" s="5"/>
      <c r="H219" s="5"/>
      <c r="I219" s="6">
        <v>1</v>
      </c>
      <c r="J219" s="6"/>
      <c r="K219" s="5">
        <v>1</v>
      </c>
      <c r="L219" s="5"/>
      <c r="M219" s="6">
        <v>1</v>
      </c>
      <c r="N219" s="39">
        <f t="shared" si="8"/>
        <v>13</v>
      </c>
      <c r="O219" s="40">
        <v>0</v>
      </c>
      <c r="P219" s="29"/>
      <c r="Q219" s="125">
        <v>18547.328533046202</v>
      </c>
      <c r="R219" s="128">
        <v>17619.96210639389</v>
      </c>
      <c r="S219" s="124">
        <v>18324.760590649646</v>
      </c>
      <c r="T219" s="124">
        <v>19029.559074905403</v>
      </c>
      <c r="U219" s="125"/>
      <c r="V219" s="123"/>
      <c r="W219" s="129"/>
      <c r="X219" s="127">
        <v>16400</v>
      </c>
      <c r="Y219" s="108"/>
    </row>
    <row r="220" spans="1:25">
      <c r="A220" s="61" t="s">
        <v>217</v>
      </c>
      <c r="B220" s="36" t="str">
        <f>IFERROR(HYPERLINK(VLOOKUP(A220,ÜRÜNLER!A:C,3,FALSE),VLOOKUP(A220,ÜRÜNLER!A:B,2,FALSE)),"")</f>
        <v>iQ300 Ankastre Mikrodalga, 20L, Beyaz</v>
      </c>
      <c r="C220" s="4">
        <v>9</v>
      </c>
      <c r="D220" s="4"/>
      <c r="E220" s="5"/>
      <c r="F220" s="5">
        <v>1</v>
      </c>
      <c r="G220" s="5"/>
      <c r="H220" s="5"/>
      <c r="I220" s="6">
        <v>1</v>
      </c>
      <c r="J220" s="6"/>
      <c r="K220" s="5"/>
      <c r="L220" s="5"/>
      <c r="M220" s="6"/>
      <c r="N220" s="39">
        <f t="shared" si="8"/>
        <v>11</v>
      </c>
      <c r="O220" s="40">
        <v>0</v>
      </c>
      <c r="P220" s="29"/>
      <c r="Q220" s="125">
        <v>18547.328533046202</v>
      </c>
      <c r="R220" s="128">
        <v>17619.96210639389</v>
      </c>
      <c r="S220" s="124">
        <v>18324.760590649646</v>
      </c>
      <c r="T220" s="124">
        <v>19029.559074905403</v>
      </c>
      <c r="U220" s="125"/>
      <c r="V220" s="123"/>
      <c r="W220" s="129"/>
      <c r="X220" s="127">
        <v>16400</v>
      </c>
      <c r="Y220" s="108"/>
    </row>
    <row r="221" spans="1:25">
      <c r="A221" s="61" t="s">
        <v>218</v>
      </c>
      <c r="B221" s="36" t="str">
        <f>IFERROR(HYPERLINK(VLOOKUP(A221,ÜRÜNLER!A:C,3,FALSE),VLOOKUP(A221,ÜRÜNLER!A:B,2,FALSE)),"")</f>
        <v>iQ700 studioLine Ankastre Mikrodalga, 21L, Siyah</v>
      </c>
      <c r="C221" s="4"/>
      <c r="D221" s="4">
        <v>2</v>
      </c>
      <c r="E221" s="5"/>
      <c r="F221" s="5"/>
      <c r="G221" s="5"/>
      <c r="H221" s="5">
        <v>1</v>
      </c>
      <c r="I221" s="6"/>
      <c r="J221" s="6"/>
      <c r="K221" s="5"/>
      <c r="L221" s="5"/>
      <c r="M221" s="6"/>
      <c r="N221" s="39">
        <f t="shared" si="8"/>
        <v>3</v>
      </c>
      <c r="O221" s="40">
        <v>0</v>
      </c>
      <c r="P221" s="29"/>
      <c r="Q221" s="125" t="s">
        <v>1773</v>
      </c>
      <c r="R221" s="134">
        <v>45000</v>
      </c>
      <c r="S221" s="124">
        <v>46800</v>
      </c>
      <c r="T221" s="124">
        <v>48600</v>
      </c>
      <c r="U221" s="125"/>
      <c r="V221" s="123"/>
      <c r="W221" s="126">
        <v>500</v>
      </c>
    </row>
    <row r="222" spans="1:25">
      <c r="A222" s="62" t="s">
        <v>219</v>
      </c>
      <c r="B222" s="36" t="str">
        <f>IFERROR(HYPERLINK(VLOOKUP(A222,ÜRÜNLER!A:C,3,FALSE),VLOOKUP(A222,ÜRÜNLER!A:B,2,FALSE)),"")</f>
        <v>iQ700 studioLine Ankastre Mikrodalga, 21L, Siyah</v>
      </c>
      <c r="C222" s="4"/>
      <c r="D222" s="4">
        <v>3</v>
      </c>
      <c r="E222" s="5"/>
      <c r="F222" s="5"/>
      <c r="G222" s="5"/>
      <c r="H222" s="5"/>
      <c r="I222" s="6"/>
      <c r="J222" s="6"/>
      <c r="K222" s="5"/>
      <c r="L222" s="5"/>
      <c r="M222" s="6"/>
      <c r="N222" s="39">
        <f t="shared" si="8"/>
        <v>3</v>
      </c>
      <c r="O222" s="40">
        <v>0</v>
      </c>
      <c r="P222" s="29"/>
      <c r="Q222" s="125">
        <v>57554.48432741197</v>
      </c>
      <c r="R222" s="134">
        <v>49568.455401598825</v>
      </c>
      <c r="S222" s="124">
        <v>51551.193617662779</v>
      </c>
      <c r="T222" s="124">
        <v>53533.931833726732</v>
      </c>
      <c r="U222" s="125"/>
      <c r="V222" s="123"/>
      <c r="W222" s="126">
        <v>500</v>
      </c>
    </row>
    <row r="223" spans="1:25">
      <c r="A223" s="63" t="s">
        <v>220</v>
      </c>
      <c r="B223" s="36" t="str">
        <f>IFERROR(HYPERLINK(VLOOKUP(A223,ÜRÜNLER!A:C,3,FALSE),VLOOKUP(A223,ÜRÜNLER!A:B,2,FALSE)),"")</f>
        <v>iQ300 Solo Mikrodalga, 20L, Siyah</v>
      </c>
      <c r="C223" s="4">
        <v>4</v>
      </c>
      <c r="D223" s="4"/>
      <c r="E223" s="5"/>
      <c r="F223" s="5">
        <v>2</v>
      </c>
      <c r="G223" s="5"/>
      <c r="H223" s="5"/>
      <c r="I223" s="6">
        <v>1</v>
      </c>
      <c r="J223" s="6">
        <v>1</v>
      </c>
      <c r="K223" s="5"/>
      <c r="L223" s="5">
        <v>1</v>
      </c>
      <c r="M223" s="6">
        <v>1</v>
      </c>
      <c r="N223" s="39">
        <f t="shared" si="8"/>
        <v>10</v>
      </c>
      <c r="O223" s="40">
        <v>0</v>
      </c>
      <c r="P223" s="29"/>
      <c r="Q223" s="125">
        <v>8245.9356583679855</v>
      </c>
      <c r="R223" s="128">
        <v>7833.6388754495865</v>
      </c>
      <c r="S223" s="124">
        <v>8146.9844304675698</v>
      </c>
      <c r="T223" s="124">
        <v>8460.3299854855541</v>
      </c>
      <c r="U223" s="125"/>
      <c r="V223" s="123"/>
      <c r="W223" s="123"/>
    </row>
    <row r="224" spans="1:25">
      <c r="A224" s="63" t="s">
        <v>221</v>
      </c>
      <c r="B224" s="36" t="str">
        <f>IFERROR(HYPERLINK(VLOOKUP(A224,ÜRÜNLER!A:C,3,FALSE),VLOOKUP(A224,ÜRÜNLER!A:B,2,FALSE)),"")</f>
        <v>iQ300 Solo Mikrodalga, 20L, Beyaz</v>
      </c>
      <c r="C224" s="4">
        <v>9</v>
      </c>
      <c r="D224" s="4"/>
      <c r="E224" s="5"/>
      <c r="F224" s="5">
        <v>1</v>
      </c>
      <c r="G224" s="5"/>
      <c r="H224" s="5"/>
      <c r="I224" s="6">
        <v>1</v>
      </c>
      <c r="J224" s="6">
        <v>1</v>
      </c>
      <c r="K224" s="5">
        <v>1</v>
      </c>
      <c r="L224" s="5"/>
      <c r="M224" s="6">
        <v>1</v>
      </c>
      <c r="N224" s="39">
        <f t="shared" si="8"/>
        <v>14</v>
      </c>
      <c r="O224" s="40">
        <v>1</v>
      </c>
      <c r="P224" s="29"/>
      <c r="Q224" s="125">
        <v>7650.3911352173373</v>
      </c>
      <c r="R224" s="128">
        <v>7267.8715784564702</v>
      </c>
      <c r="S224" s="124">
        <v>7558.586441594729</v>
      </c>
      <c r="T224" s="124">
        <v>7849.3013047329878</v>
      </c>
      <c r="U224" s="125"/>
      <c r="V224" s="123"/>
      <c r="W224" s="123"/>
    </row>
    <row r="225" spans="1:23">
      <c r="A225" s="63" t="s">
        <v>222</v>
      </c>
      <c r="B225" s="36" t="str">
        <f>IFERROR(HYPERLINK(VLOOKUP(A225,ÜRÜNLER!A:C,3,FALSE),VLOOKUP(A225,ÜRÜNLER!A:B,2,FALSE)),"")</f>
        <v>iQ300 Solo Mikrodalga, 20L, Siyah/Inox</v>
      </c>
      <c r="C225" s="4">
        <v>6</v>
      </c>
      <c r="D225" s="4"/>
      <c r="E225" s="5"/>
      <c r="F225" s="5">
        <v>1</v>
      </c>
      <c r="G225" s="5"/>
      <c r="H225" s="5"/>
      <c r="I225" s="6">
        <v>1</v>
      </c>
      <c r="J225" s="6"/>
      <c r="K225" s="5"/>
      <c r="L225" s="5"/>
      <c r="M225" s="6">
        <v>1</v>
      </c>
      <c r="N225" s="39">
        <f t="shared" si="8"/>
        <v>9</v>
      </c>
      <c r="O225" s="40">
        <v>0</v>
      </c>
      <c r="P225" s="29"/>
      <c r="Q225" s="125">
        <v>9137.7886054963765</v>
      </c>
      <c r="R225" s="128">
        <v>8680.899175221557</v>
      </c>
      <c r="S225" s="124">
        <v>9028.1351422304197</v>
      </c>
      <c r="T225" s="124">
        <v>9375.3711092392823</v>
      </c>
      <c r="U225" s="125"/>
      <c r="V225" s="123"/>
      <c r="W225" s="123"/>
    </row>
    <row r="226" spans="1:23" ht="35.25" customHeight="1">
      <c r="A226" s="69" t="s">
        <v>223</v>
      </c>
      <c r="B226" s="36" t="str">
        <f>IFERROR(HYPERLINK(VLOOKUP(A226,ÜRÜNLER!A:C,3,FALSE),VLOOKUP(A226,ÜRÜNLER!A:B,2,FALSE)),"")</f>
        <v/>
      </c>
      <c r="C226" s="4"/>
      <c r="D226" s="4"/>
      <c r="E226" s="5"/>
      <c r="F226" s="5"/>
      <c r="G226" s="5"/>
      <c r="H226" s="5"/>
      <c r="I226" s="6"/>
      <c r="J226" s="6"/>
      <c r="K226" s="5"/>
      <c r="L226" s="5"/>
      <c r="M226" s="6"/>
      <c r="N226" s="39">
        <f>SUM(N209:N225)</f>
        <v>99</v>
      </c>
      <c r="O226" s="40">
        <v>0</v>
      </c>
      <c r="P226" s="29"/>
      <c r="R226" s="122"/>
      <c r="S226" s="124"/>
      <c r="T226" s="124"/>
      <c r="U226" s="125"/>
      <c r="V226" s="123"/>
      <c r="W226" s="123"/>
    </row>
    <row r="227" spans="1:23">
      <c r="A227" s="64" t="s">
        <v>227</v>
      </c>
      <c r="B227" s="36" t="str">
        <f>IFERROR(HYPERLINK(VLOOKUP(A227,ÜRÜNLER!A:C,3,FALSE),VLOOKUP(A227,ÜRÜNLER!A:B,2,FALSE)),"")</f>
        <v>iQ100 Eğimli Davlumbaz, 59cm, 360m3, Beyaz Cam</v>
      </c>
      <c r="C227" s="4"/>
      <c r="D227" s="4"/>
      <c r="E227" s="5"/>
      <c r="F227" s="5">
        <v>1</v>
      </c>
      <c r="G227" s="5"/>
      <c r="H227" s="5"/>
      <c r="I227" s="6"/>
      <c r="J227" s="6"/>
      <c r="K227" s="5"/>
      <c r="L227" s="5"/>
      <c r="M227" s="6"/>
      <c r="N227" s="39">
        <f t="shared" ref="N227:N276" si="9">M227+K227+L227+J227+I227+H227+G227+F227+E227+D227+C227</f>
        <v>1</v>
      </c>
      <c r="O227" s="40">
        <v>0</v>
      </c>
      <c r="P227" s="59" t="s">
        <v>1536</v>
      </c>
      <c r="Q227" s="125">
        <v>10397.656385938039</v>
      </c>
      <c r="R227" s="123">
        <v>9949.9104171655872</v>
      </c>
      <c r="S227" s="124">
        <v>10347.90683385221</v>
      </c>
      <c r="T227" s="124">
        <v>10745.903250538835</v>
      </c>
      <c r="U227" s="125"/>
      <c r="V227" s="123"/>
      <c r="W227" s="123"/>
    </row>
    <row r="228" spans="1:23">
      <c r="A228" s="64" t="s">
        <v>228</v>
      </c>
      <c r="B228" s="36" t="str">
        <f>IFERROR(HYPERLINK(VLOOKUP(A228,ÜRÜNLER!A:C,3,FALSE),VLOOKUP(A228,ÜRÜNLER!A:B,2,FALSE)),"")</f>
        <v>iQ100 Eğimli Davlumbaz, 59cm, 360m3, Siyah Cam</v>
      </c>
      <c r="C228" s="4"/>
      <c r="D228" s="4"/>
      <c r="E228" s="5"/>
      <c r="F228" s="5"/>
      <c r="G228" s="5"/>
      <c r="H228" s="5"/>
      <c r="I228" s="6"/>
      <c r="J228" s="6"/>
      <c r="K228" s="5"/>
      <c r="L228" s="5"/>
      <c r="M228" s="6">
        <v>1</v>
      </c>
      <c r="N228" s="39">
        <f t="shared" si="9"/>
        <v>1</v>
      </c>
      <c r="O228" s="40">
        <v>0</v>
      </c>
      <c r="P228" s="59" t="s">
        <v>1536</v>
      </c>
      <c r="Q228" s="125">
        <v>10397.656385938039</v>
      </c>
      <c r="R228" s="123">
        <v>9949.9104171655872</v>
      </c>
      <c r="S228" s="124">
        <v>10347.90683385221</v>
      </c>
      <c r="T228" s="124">
        <v>10745.903250538835</v>
      </c>
      <c r="U228" s="125"/>
      <c r="V228" s="123"/>
      <c r="W228" s="123"/>
    </row>
    <row r="229" spans="1:23">
      <c r="A229" s="64" t="s">
        <v>229</v>
      </c>
      <c r="B229" s="36" t="str">
        <f>IFERROR(HYPERLINK(VLOOKUP(A229,ÜRÜNLER!A:C,3,FALSE),VLOOKUP(A229,ÜRÜNLER!A:B,2,FALSE)),"")</f>
        <v>iQ100 Eğimli Davlumbaz, 59cm, 360m3, Siyah Cam</v>
      </c>
      <c r="C229" s="4"/>
      <c r="D229" s="4"/>
      <c r="E229" s="5"/>
      <c r="F229" s="5"/>
      <c r="G229" s="5"/>
      <c r="H229" s="5"/>
      <c r="I229" s="6"/>
      <c r="J229" s="6"/>
      <c r="K229" s="5"/>
      <c r="L229" s="5">
        <v>1</v>
      </c>
      <c r="M229" s="6"/>
      <c r="N229" s="39">
        <f t="shared" si="9"/>
        <v>1</v>
      </c>
      <c r="O229" s="40">
        <v>0</v>
      </c>
      <c r="P229" s="59" t="s">
        <v>1536</v>
      </c>
      <c r="Q229" s="125">
        <v>10397.656385938039</v>
      </c>
      <c r="R229" s="123">
        <v>9949.9104171655872</v>
      </c>
      <c r="S229" s="124">
        <v>10347.90683385221</v>
      </c>
      <c r="T229" s="124">
        <v>10745.903250538835</v>
      </c>
      <c r="U229" s="125"/>
      <c r="V229" s="123"/>
      <c r="W229" s="123"/>
    </row>
    <row r="230" spans="1:23">
      <c r="A230" s="61" t="s">
        <v>236</v>
      </c>
      <c r="B230" s="36" t="str">
        <f>IFERROR(HYPERLINK(VLOOKUP(A230,ÜRÜNLER!A:C,3,FALSE),VLOOKUP(A230,ÜRÜNLER!A:B,2,FALSE)),"")</f>
        <v>iQ100 Eğimli Davlumbaz, 60cm, 400m3, Beyaz Cam</v>
      </c>
      <c r="C230" s="4">
        <v>10</v>
      </c>
      <c r="D230" s="4"/>
      <c r="E230" s="5"/>
      <c r="F230" s="5"/>
      <c r="G230" s="5"/>
      <c r="H230" s="5"/>
      <c r="I230" s="6">
        <v>1</v>
      </c>
      <c r="J230" s="6"/>
      <c r="K230" s="5"/>
      <c r="L230" s="5"/>
      <c r="M230" s="6"/>
      <c r="N230" s="39">
        <f t="shared" si="9"/>
        <v>11</v>
      </c>
      <c r="O230" s="40">
        <v>10</v>
      </c>
      <c r="P230" s="29"/>
      <c r="Q230" s="125">
        <v>16148.827944425086</v>
      </c>
      <c r="R230" s="129">
        <v>15453.423870263241</v>
      </c>
      <c r="S230" s="124">
        <v>16071.560825073771</v>
      </c>
      <c r="T230" s="124">
        <v>16689.6977798843</v>
      </c>
      <c r="U230" s="125"/>
      <c r="V230" s="123"/>
      <c r="W230" s="123"/>
    </row>
    <row r="231" spans="1:23">
      <c r="A231" s="61" t="s">
        <v>237</v>
      </c>
      <c r="B231" s="36" t="str">
        <f>IFERROR(HYPERLINK(VLOOKUP(A231,ÜRÜNLER!A:C,3,FALSE),VLOOKUP(A231,ÜRÜNLER!A:B,2,FALSE)),"")</f>
        <v>iQ100 Eğimli Davlumbaz, 60cm, 400m3, Siyah Cam</v>
      </c>
      <c r="C231" s="4"/>
      <c r="D231" s="4"/>
      <c r="E231" s="5"/>
      <c r="F231" s="5"/>
      <c r="G231" s="5"/>
      <c r="H231" s="5"/>
      <c r="I231" s="6"/>
      <c r="J231" s="6">
        <v>1</v>
      </c>
      <c r="K231" s="5"/>
      <c r="L231" s="5"/>
      <c r="M231" s="6"/>
      <c r="N231" s="39">
        <f t="shared" si="9"/>
        <v>1</v>
      </c>
      <c r="O231" s="40">
        <v>20</v>
      </c>
      <c r="P231" s="59" t="s">
        <v>1819</v>
      </c>
      <c r="Q231" s="125">
        <v>16148.827944425086</v>
      </c>
      <c r="R231" s="129">
        <v>16956.269341646341</v>
      </c>
      <c r="S231" s="124">
        <v>17634.520115312196</v>
      </c>
      <c r="T231" s="124">
        <v>18312.770888978048</v>
      </c>
      <c r="U231" s="125"/>
      <c r="V231" s="123"/>
      <c r="W231" s="123"/>
    </row>
    <row r="232" spans="1:23">
      <c r="A232" s="72" t="s">
        <v>238</v>
      </c>
      <c r="B232" s="36" t="str">
        <f>IFERROR(HYPERLINK(VLOOKUP(A232,ÜRÜNLER!A:C,3,FALSE),VLOOKUP(A232,ÜRÜNLER!A:B,2,FALSE)),"")</f>
        <v>iQ100 Eğimli Davlumbaz, 60cm, 400m3, Antrasit Gri Cam</v>
      </c>
      <c r="C232" s="4">
        <v>25</v>
      </c>
      <c r="D232" s="4"/>
      <c r="E232" s="5"/>
      <c r="F232" s="5">
        <v>1</v>
      </c>
      <c r="G232" s="5"/>
      <c r="H232" s="5"/>
      <c r="I232" s="6">
        <v>1</v>
      </c>
      <c r="J232" s="6"/>
      <c r="K232" s="5">
        <v>1</v>
      </c>
      <c r="L232" s="5"/>
      <c r="M232" s="6">
        <v>1</v>
      </c>
      <c r="N232" s="39">
        <f t="shared" si="9"/>
        <v>29</v>
      </c>
      <c r="O232" s="40">
        <v>1</v>
      </c>
      <c r="P232" s="59" t="s">
        <v>1819</v>
      </c>
      <c r="Q232" s="125">
        <v>16148.827944425086</v>
      </c>
      <c r="R232" s="129">
        <v>16956.269341646341</v>
      </c>
      <c r="S232" s="124">
        <v>17634.520115312196</v>
      </c>
      <c r="T232" s="124">
        <v>18312.770888978048</v>
      </c>
      <c r="U232" s="125"/>
      <c r="V232" s="123"/>
      <c r="W232" s="123"/>
    </row>
    <row r="233" spans="1:23">
      <c r="A233" s="64" t="s">
        <v>224</v>
      </c>
      <c r="B233" s="36" t="str">
        <f>IFERROR(HYPERLINK(VLOOKUP(A233,ÜRÜNLER!A:C,3,FALSE),VLOOKUP(A233,ÜRÜNLER!A:B,2,FALSE)),"")</f>
        <v>iQ100 Düz Davlumbaz, 60cm, 380m3, Beyaz</v>
      </c>
      <c r="C233" s="4">
        <v>1</v>
      </c>
      <c r="D233" s="4"/>
      <c r="E233" s="5"/>
      <c r="F233" s="5"/>
      <c r="G233" s="5"/>
      <c r="H233" s="5"/>
      <c r="I233" s="6">
        <v>1</v>
      </c>
      <c r="J233" s="6"/>
      <c r="K233" s="5"/>
      <c r="L233" s="5">
        <v>1</v>
      </c>
      <c r="M233" s="6"/>
      <c r="N233" s="39">
        <f t="shared" si="9"/>
        <v>3</v>
      </c>
      <c r="O233" s="40">
        <v>0</v>
      </c>
      <c r="P233" s="29"/>
      <c r="Q233" s="125" t="s">
        <v>1773</v>
      </c>
      <c r="R233" s="123">
        <v>8000</v>
      </c>
      <c r="S233" s="124">
        <v>8320</v>
      </c>
      <c r="T233" s="124">
        <v>8640</v>
      </c>
      <c r="U233" s="125"/>
      <c r="V233" s="123"/>
      <c r="W233" s="126">
        <v>500</v>
      </c>
    </row>
    <row r="234" spans="1:23">
      <c r="A234" s="64" t="s">
        <v>225</v>
      </c>
      <c r="B234" s="36" t="str">
        <f>IFERROR(HYPERLINK(VLOOKUP(A234,ÜRÜNLER!A:C,3,FALSE),VLOOKUP(A234,ÜRÜNLER!A:B,2,FALSE)),"")</f>
        <v>iQ100 Düz Davlumbaz, 60cm, 380m3, Inox</v>
      </c>
      <c r="C234" s="4">
        <v>3</v>
      </c>
      <c r="D234" s="4"/>
      <c r="E234" s="5"/>
      <c r="F234" s="5"/>
      <c r="G234" s="5"/>
      <c r="H234" s="5"/>
      <c r="I234" s="6"/>
      <c r="J234" s="6"/>
      <c r="K234" s="5">
        <v>1</v>
      </c>
      <c r="L234" s="5"/>
      <c r="M234" s="6"/>
      <c r="N234" s="39">
        <f t="shared" si="9"/>
        <v>4</v>
      </c>
      <c r="O234" s="40">
        <v>0</v>
      </c>
      <c r="P234" s="75" t="s">
        <v>1537</v>
      </c>
      <c r="Q234" s="125" t="s">
        <v>1773</v>
      </c>
      <c r="R234" s="123">
        <v>9000</v>
      </c>
      <c r="S234" s="124">
        <v>9360</v>
      </c>
      <c r="T234" s="124">
        <v>9720</v>
      </c>
      <c r="U234" s="125"/>
      <c r="V234" s="123"/>
      <c r="W234" s="129">
        <v>250</v>
      </c>
    </row>
    <row r="235" spans="1:23">
      <c r="A235" s="64" t="s">
        <v>226</v>
      </c>
      <c r="B235" s="36" t="str">
        <f>IFERROR(HYPERLINK(VLOOKUP(A235,ÜRÜNLER!A:C,3,FALSE),VLOOKUP(A235,ÜRÜNLER!A:B,2,FALSE)),"")</f>
        <v>iQ100 Düz Davlumbaz, 60cm, 380m3, Siyah</v>
      </c>
      <c r="C235" s="4">
        <v>2</v>
      </c>
      <c r="D235" s="4"/>
      <c r="E235" s="5"/>
      <c r="F235" s="5">
        <v>1</v>
      </c>
      <c r="G235" s="5"/>
      <c r="H235" s="5"/>
      <c r="I235" s="6"/>
      <c r="J235" s="6"/>
      <c r="K235" s="5"/>
      <c r="L235" s="5">
        <v>2</v>
      </c>
      <c r="M235" s="6"/>
      <c r="N235" s="39">
        <f t="shared" si="9"/>
        <v>5</v>
      </c>
      <c r="O235" s="40">
        <v>0</v>
      </c>
      <c r="P235" s="29"/>
      <c r="Q235" s="125" t="s">
        <v>1773</v>
      </c>
      <c r="R235" s="123">
        <v>9000</v>
      </c>
      <c r="S235" s="124">
        <v>9360</v>
      </c>
      <c r="T235" s="124">
        <v>9720</v>
      </c>
      <c r="U235" s="125"/>
      <c r="V235" s="123"/>
      <c r="W235" s="129">
        <v>250</v>
      </c>
    </row>
    <row r="236" spans="1:23">
      <c r="A236" s="64" t="s">
        <v>230</v>
      </c>
      <c r="B236" s="36" t="str">
        <f>IFERROR(HYPERLINK(VLOOKUP(A236,ÜRÜNLER!A:C,3,FALSE),VLOOKUP(A236,ÜRÜNLER!A:B,2,FALSE)),"")</f>
        <v>iQ100 Düz Davlumbaz, 60cm, 612m3, Paslanmaz Çelik</v>
      </c>
      <c r="C236" s="4">
        <v>5</v>
      </c>
      <c r="D236" s="4"/>
      <c r="E236" s="5"/>
      <c r="F236" s="5">
        <v>1</v>
      </c>
      <c r="G236" s="5"/>
      <c r="H236" s="5"/>
      <c r="I236" s="6">
        <v>1</v>
      </c>
      <c r="J236" s="6"/>
      <c r="K236" s="5"/>
      <c r="L236" s="5"/>
      <c r="M236" s="6"/>
      <c r="N236" s="39">
        <f t="shared" si="9"/>
        <v>7</v>
      </c>
      <c r="O236" s="40">
        <v>0</v>
      </c>
      <c r="P236" s="29"/>
      <c r="Q236" s="125">
        <v>19362.914256659336</v>
      </c>
      <c r="R236" s="129">
        <v>18529.104551827117</v>
      </c>
      <c r="S236" s="124">
        <v>19270.2687339002</v>
      </c>
      <c r="T236" s="124">
        <v>20011.432915973288</v>
      </c>
      <c r="U236" s="125"/>
      <c r="V236" s="123"/>
      <c r="W236" s="123"/>
    </row>
    <row r="237" spans="1:23">
      <c r="A237" s="72" t="s">
        <v>244</v>
      </c>
      <c r="B237" s="36" t="str">
        <f>IFERROR(HYPERLINK(VLOOKUP(A237,ÜRÜNLER!A:C,3,FALSE),VLOOKUP(A237,ÜRÜNLER!A:B,2,FALSE)),"")</f>
        <v>iQ300 Düz Davlumbaz, 60cm, 649m3, Antrasit Gri Cam</v>
      </c>
      <c r="C237" s="4">
        <v>5</v>
      </c>
      <c r="D237" s="4"/>
      <c r="E237" s="5"/>
      <c r="F237" s="5"/>
      <c r="G237" s="5"/>
      <c r="H237" s="5"/>
      <c r="I237" s="6"/>
      <c r="J237" s="6"/>
      <c r="K237" s="5">
        <v>1</v>
      </c>
      <c r="L237" s="5">
        <v>1</v>
      </c>
      <c r="M237" s="6"/>
      <c r="N237" s="39">
        <f t="shared" si="9"/>
        <v>7</v>
      </c>
      <c r="O237" s="40">
        <v>0</v>
      </c>
      <c r="P237" s="29"/>
      <c r="Q237" s="125">
        <v>22820.460991570078</v>
      </c>
      <c r="R237" s="129">
        <v>21837.761714421129</v>
      </c>
      <c r="S237" s="124">
        <v>22711.272182997975</v>
      </c>
      <c r="T237" s="124">
        <v>23584.78265157482</v>
      </c>
      <c r="U237" s="125"/>
      <c r="V237" s="123"/>
      <c r="W237" s="123"/>
    </row>
    <row r="238" spans="1:23">
      <c r="A238" s="64" t="s">
        <v>232</v>
      </c>
      <c r="B238" s="36" t="str">
        <f>IFERROR(HYPERLINK(VLOOKUP(A238,ÜRÜNLER!A:C,3,FALSE),VLOOKUP(A238,ÜRÜNLER!A:B,2,FALSE)),"")</f>
        <v>iQ300 Düz Davlumbaz, 60cm, 649m3, Beyaz Cam</v>
      </c>
      <c r="C238" s="4">
        <v>10</v>
      </c>
      <c r="D238" s="4"/>
      <c r="E238" s="5"/>
      <c r="F238" s="5">
        <v>1</v>
      </c>
      <c r="G238" s="5"/>
      <c r="H238" s="5"/>
      <c r="I238" s="6"/>
      <c r="J238" s="6">
        <v>1</v>
      </c>
      <c r="K238" s="5"/>
      <c r="L238" s="5">
        <v>1</v>
      </c>
      <c r="M238" s="6"/>
      <c r="N238" s="39">
        <f t="shared" si="9"/>
        <v>13</v>
      </c>
      <c r="O238" s="40">
        <v>0</v>
      </c>
      <c r="P238" s="29"/>
      <c r="Q238" s="125">
        <v>22820.460991570078</v>
      </c>
      <c r="R238" s="129">
        <v>21837.761714421129</v>
      </c>
      <c r="S238" s="124">
        <v>22711.272182997975</v>
      </c>
      <c r="T238" s="124">
        <v>23584.78265157482</v>
      </c>
      <c r="U238" s="125"/>
      <c r="V238" s="123"/>
      <c r="W238" s="123"/>
    </row>
    <row r="239" spans="1:23">
      <c r="A239" s="64" t="s">
        <v>233</v>
      </c>
      <c r="B239" s="36" t="str">
        <f>IFERROR(HYPERLINK(VLOOKUP(A239,ÜRÜNLER!A:C,3,FALSE),VLOOKUP(A239,ÜRÜNLER!A:B,2,FALSE)),"")</f>
        <v>iQ300 Düz Davlumbaz, 60cm, 649m3, Siyah Cam</v>
      </c>
      <c r="C239" s="4"/>
      <c r="D239" s="4"/>
      <c r="E239" s="5"/>
      <c r="F239" s="5"/>
      <c r="G239" s="5"/>
      <c r="H239" s="5"/>
      <c r="I239" s="6">
        <v>2</v>
      </c>
      <c r="J239" s="6"/>
      <c r="K239" s="5"/>
      <c r="L239" s="5">
        <v>1</v>
      </c>
      <c r="M239" s="6"/>
      <c r="N239" s="39">
        <f t="shared" si="9"/>
        <v>3</v>
      </c>
      <c r="O239" s="40">
        <v>0</v>
      </c>
      <c r="P239" s="29"/>
      <c r="Q239" s="125">
        <v>22820.460991570078</v>
      </c>
      <c r="R239" s="129">
        <v>21837.761714421129</v>
      </c>
      <c r="S239" s="124">
        <v>22711.272182997975</v>
      </c>
      <c r="T239" s="124">
        <v>23584.78265157482</v>
      </c>
      <c r="U239" s="125"/>
      <c r="V239" s="123"/>
      <c r="W239" s="123"/>
    </row>
    <row r="240" spans="1:23">
      <c r="A240" s="62" t="s">
        <v>234</v>
      </c>
      <c r="B240" s="36" t="str">
        <f>IFERROR(HYPERLINK(VLOOKUP(A240,ÜRÜNLER!A:C,3,FALSE),VLOOKUP(A240,ÜRÜNLER!A:B,2,FALSE)),"")</f>
        <v>iQ300 Eğimli Davlumbaz, 60cm, 593m3, Siyah Cam</v>
      </c>
      <c r="C240" s="4"/>
      <c r="D240" s="4"/>
      <c r="E240" s="5"/>
      <c r="F240" s="5">
        <v>1</v>
      </c>
      <c r="G240" s="5"/>
      <c r="H240" s="5"/>
      <c r="I240" s="6"/>
      <c r="J240" s="6"/>
      <c r="K240" s="5"/>
      <c r="L240" s="5"/>
      <c r="M240" s="6"/>
      <c r="N240" s="39">
        <f t="shared" si="9"/>
        <v>1</v>
      </c>
      <c r="O240" s="40">
        <v>0</v>
      </c>
      <c r="P240" s="29"/>
      <c r="Q240" s="125" t="s">
        <v>1773</v>
      </c>
      <c r="R240" s="123">
        <v>13000</v>
      </c>
      <c r="S240" s="124">
        <v>13520</v>
      </c>
      <c r="T240" s="124">
        <v>14040</v>
      </c>
      <c r="U240" s="125"/>
      <c r="V240" s="123"/>
      <c r="W240" s="123">
        <v>250</v>
      </c>
    </row>
    <row r="241" spans="1:23">
      <c r="A241" s="61" t="s">
        <v>239</v>
      </c>
      <c r="B241" s="36" t="str">
        <f>IFERROR(HYPERLINK(VLOOKUP(A241,ÜRÜNLER!A:C,3,FALSE),VLOOKUP(A241,ÜRÜNLER!A:B,2,FALSE)),"")</f>
        <v>iQ300 Eğimli Davlumbaz, 60cm, 510m3, Beyaz Cam</v>
      </c>
      <c r="C241" s="4">
        <v>6</v>
      </c>
      <c r="D241" s="4"/>
      <c r="E241" s="5"/>
      <c r="F241" s="5"/>
      <c r="G241" s="5"/>
      <c r="H241" s="5"/>
      <c r="I241" s="6">
        <v>1</v>
      </c>
      <c r="J241" s="6"/>
      <c r="K241" s="5"/>
      <c r="L241" s="5"/>
      <c r="M241" s="6">
        <v>1</v>
      </c>
      <c r="N241" s="39">
        <f t="shared" si="9"/>
        <v>8</v>
      </c>
      <c r="O241" s="40">
        <v>25</v>
      </c>
      <c r="P241" s="29"/>
      <c r="Q241" s="125">
        <v>20407.166737063955</v>
      </c>
      <c r="R241" s="129">
        <v>19528.389222070771</v>
      </c>
      <c r="S241" s="124">
        <v>20309.524790953601</v>
      </c>
      <c r="T241" s="124">
        <v>21090.660359836435</v>
      </c>
      <c r="U241" s="125"/>
      <c r="V241" s="123"/>
      <c r="W241" s="123"/>
    </row>
    <row r="242" spans="1:23">
      <c r="A242" s="62" t="s">
        <v>240</v>
      </c>
      <c r="B242" s="36" t="str">
        <f>IFERROR(HYPERLINK(VLOOKUP(A242,ÜRÜNLER!A:C,3,FALSE),VLOOKUP(A242,ÜRÜNLER!A:B,2,FALSE)),"")</f>
        <v>iQ300 Eğimli Davlumbaz, 60cm, 510m3, Siyah Cam</v>
      </c>
      <c r="C242" s="4">
        <v>15</v>
      </c>
      <c r="D242" s="4"/>
      <c r="E242" s="5"/>
      <c r="F242" s="5"/>
      <c r="G242" s="5"/>
      <c r="H242" s="5"/>
      <c r="I242" s="6"/>
      <c r="J242" s="6"/>
      <c r="K242" s="5">
        <v>1</v>
      </c>
      <c r="L242" s="5">
        <v>1</v>
      </c>
      <c r="M242" s="6"/>
      <c r="N242" s="39">
        <f t="shared" si="9"/>
        <v>17</v>
      </c>
      <c r="O242" s="40">
        <v>0</v>
      </c>
      <c r="P242" s="59" t="s">
        <v>1819</v>
      </c>
      <c r="Q242" s="125">
        <v>20407.166737063955</v>
      </c>
      <c r="R242" s="129">
        <v>21427.525073917153</v>
      </c>
      <c r="S242" s="124">
        <v>22284.626076873839</v>
      </c>
      <c r="T242" s="124">
        <v>23141.727079830525</v>
      </c>
      <c r="U242" s="125"/>
      <c r="V242" s="123"/>
      <c r="W242" s="123"/>
    </row>
    <row r="243" spans="1:23">
      <c r="A243" s="72" t="s">
        <v>241</v>
      </c>
      <c r="B243" s="36" t="str">
        <f>IFERROR(HYPERLINK(VLOOKUP(A243,ÜRÜNLER!A:C,3,FALSE),VLOOKUP(A243,ÜRÜNLER!A:B,2,FALSE)),"")</f>
        <v>iQ300 Eğimli Davlumbaz, 60cm, 510m3, Antrasit Gri Cam</v>
      </c>
      <c r="C243" s="4">
        <v>6</v>
      </c>
      <c r="D243" s="4"/>
      <c r="E243" s="5"/>
      <c r="F243" s="5">
        <v>1</v>
      </c>
      <c r="G243" s="5"/>
      <c r="H243" s="5"/>
      <c r="I243" s="6">
        <v>1</v>
      </c>
      <c r="J243" s="6"/>
      <c r="K243" s="5"/>
      <c r="L243" s="5"/>
      <c r="M243" s="6"/>
      <c r="N243" s="39">
        <f t="shared" si="9"/>
        <v>8</v>
      </c>
      <c r="O243" s="40">
        <v>25</v>
      </c>
      <c r="P243" s="29"/>
      <c r="Q243" s="125">
        <v>20407.166737063955</v>
      </c>
      <c r="R243" s="129">
        <v>19528.389222070771</v>
      </c>
      <c r="S243" s="124">
        <v>20309.524790953601</v>
      </c>
      <c r="T243" s="124">
        <v>21090.660359836435</v>
      </c>
      <c r="U243" s="125"/>
      <c r="V243" s="123"/>
      <c r="W243" s="123"/>
    </row>
    <row r="244" spans="1:23">
      <c r="A244" s="76" t="s">
        <v>1626</v>
      </c>
      <c r="B244" s="36" t="str">
        <f>IFERROR(HYPERLINK(VLOOKUP(A244,ÜRÜNLER!A:C,3,FALSE),VLOOKUP(A244,ÜRÜNLER!A:B,2,FALSE)),"")</f>
        <v>iQ300 Düz Davlumbaz, 60cm, 582m3, Magnet Silver</v>
      </c>
      <c r="C244" s="4">
        <v>1</v>
      </c>
      <c r="D244" s="4"/>
      <c r="E244" s="5"/>
      <c r="F244" s="5"/>
      <c r="G244" s="5"/>
      <c r="H244" s="5"/>
      <c r="I244" s="6"/>
      <c r="J244" s="6"/>
      <c r="K244" s="5"/>
      <c r="L244" s="5"/>
      <c r="M244" s="6"/>
      <c r="N244" s="39">
        <f t="shared" si="9"/>
        <v>1</v>
      </c>
      <c r="O244" s="40">
        <v>0</v>
      </c>
      <c r="P244" s="29"/>
      <c r="Q244" s="125" t="s">
        <v>1773</v>
      </c>
      <c r="R244" s="129">
        <v>18296.350661364198</v>
      </c>
      <c r="S244" s="124">
        <v>19028.204687818765</v>
      </c>
      <c r="T244" s="124">
        <v>19760.058714273335</v>
      </c>
      <c r="U244" s="125"/>
      <c r="V244" s="123"/>
      <c r="W244" s="129">
        <v>250</v>
      </c>
    </row>
    <row r="245" spans="1:23">
      <c r="A245" s="64" t="s">
        <v>242</v>
      </c>
      <c r="B245" s="36" t="str">
        <f>IFERROR(HYPERLINK(VLOOKUP(A245,ÜRÜNLER!A:C,3,FALSE),VLOOKUP(A245,ÜRÜNLER!A:B,2,FALSE)),"")</f>
        <v>iQ300 Düz Davlumbaz, 60cm, 582m3, Beyaz/Inox</v>
      </c>
      <c r="C245" s="4">
        <v>24</v>
      </c>
      <c r="D245" s="4"/>
      <c r="E245" s="5"/>
      <c r="F245" s="5">
        <v>1</v>
      </c>
      <c r="G245" s="5">
        <v>1</v>
      </c>
      <c r="H245" s="5"/>
      <c r="I245" s="6"/>
      <c r="J245" s="6">
        <v>1</v>
      </c>
      <c r="K245" s="5"/>
      <c r="L245" s="5"/>
      <c r="M245" s="6"/>
      <c r="N245" s="39">
        <f t="shared" si="9"/>
        <v>27</v>
      </c>
      <c r="O245" s="40">
        <v>0</v>
      </c>
      <c r="P245" s="59" t="s">
        <v>1819</v>
      </c>
      <c r="Q245" s="125">
        <v>21079.454301340957</v>
      </c>
      <c r="R245" s="128">
        <v>20025.481586273909</v>
      </c>
      <c r="S245" s="124">
        <v>20826.500849724864</v>
      </c>
      <c r="T245" s="124">
        <v>21627.520113175822</v>
      </c>
      <c r="U245" s="125"/>
      <c r="V245" s="123"/>
      <c r="W245" s="129">
        <v>250</v>
      </c>
    </row>
    <row r="246" spans="1:23">
      <c r="A246" s="70" t="s">
        <v>243</v>
      </c>
      <c r="B246" s="36" t="str">
        <f>IFERROR(HYPERLINK(VLOOKUP(A246,ÜRÜNLER!A:C,3,FALSE),VLOOKUP(A246,ÜRÜNLER!A:B,2,FALSE)),"")</f>
        <v>iQ300 Düz Davlumbaz, 60cm, 582m3, Siyah/Inox</v>
      </c>
      <c r="C246" s="4">
        <v>36</v>
      </c>
      <c r="D246" s="4"/>
      <c r="E246" s="5"/>
      <c r="F246" s="5"/>
      <c r="G246" s="5"/>
      <c r="H246" s="5"/>
      <c r="I246" s="6"/>
      <c r="J246" s="6">
        <v>1</v>
      </c>
      <c r="K246" s="5"/>
      <c r="L246" s="5">
        <v>3</v>
      </c>
      <c r="M246" s="6">
        <v>1</v>
      </c>
      <c r="N246" s="39">
        <f t="shared" si="9"/>
        <v>41</v>
      </c>
      <c r="O246" s="40">
        <v>0</v>
      </c>
      <c r="P246" s="59" t="s">
        <v>1819</v>
      </c>
      <c r="Q246" s="125">
        <v>21079.454301340957</v>
      </c>
      <c r="R246" s="128">
        <v>20025.481586273909</v>
      </c>
      <c r="S246" s="124">
        <v>20826.500849724864</v>
      </c>
      <c r="T246" s="124">
        <v>21627.520113175822</v>
      </c>
      <c r="U246" s="125"/>
      <c r="V246" s="123"/>
      <c r="W246" s="123"/>
    </row>
    <row r="247" spans="1:23">
      <c r="A247" s="64" t="s">
        <v>245</v>
      </c>
      <c r="B247" s="36" t="str">
        <f>IFERROR(HYPERLINK(VLOOKUP(A247,ÜRÜNLER!A:C,3,FALSE),VLOOKUP(A247,ÜRÜNLER!A:B,2,FALSE)),"")</f>
        <v>iQ500 Düz Davlumbaz, 60cm, 645m3, Beyaz Cam</v>
      </c>
      <c r="C247" s="4">
        <v>9</v>
      </c>
      <c r="D247" s="4"/>
      <c r="E247" s="5"/>
      <c r="F247" s="5"/>
      <c r="G247" s="5"/>
      <c r="H247" s="5"/>
      <c r="I247" s="6">
        <v>1</v>
      </c>
      <c r="J247" s="6"/>
      <c r="K247" s="5"/>
      <c r="L247" s="5"/>
      <c r="M247" s="6"/>
      <c r="N247" s="39">
        <f t="shared" si="9"/>
        <v>10</v>
      </c>
      <c r="O247" s="40">
        <v>0</v>
      </c>
      <c r="P247" s="29"/>
      <c r="Q247" s="125" t="s">
        <v>1773</v>
      </c>
      <c r="R247" s="129">
        <v>16000</v>
      </c>
      <c r="S247" s="124">
        <v>16640</v>
      </c>
      <c r="T247" s="124">
        <v>17280</v>
      </c>
      <c r="U247" s="125"/>
      <c r="V247" s="123"/>
      <c r="W247" s="138">
        <v>500</v>
      </c>
    </row>
    <row r="248" spans="1:23">
      <c r="A248" s="70" t="s">
        <v>246</v>
      </c>
      <c r="B248" s="36" t="str">
        <f>IFERROR(HYPERLINK(VLOOKUP(A248,ÜRÜNLER!A:C,3,FALSE),VLOOKUP(A248,ÜRÜNLER!A:B,2,FALSE)),"")</f>
        <v>iQ500 Düz Davlumbaz, 60cm, 645m3, Siyah Cam</v>
      </c>
      <c r="C248" s="4"/>
      <c r="D248" s="4"/>
      <c r="E248" s="5"/>
      <c r="F248" s="5"/>
      <c r="G248" s="5"/>
      <c r="H248" s="5"/>
      <c r="I248" s="6"/>
      <c r="J248" s="6"/>
      <c r="K248" s="5"/>
      <c r="L248" s="5"/>
      <c r="M248" s="6"/>
      <c r="N248" s="39">
        <f t="shared" si="9"/>
        <v>0</v>
      </c>
      <c r="O248" s="40">
        <v>0</v>
      </c>
      <c r="P248" s="29"/>
      <c r="Q248" s="125" t="s">
        <v>1773</v>
      </c>
      <c r="R248" s="129">
        <v>17000</v>
      </c>
      <c r="S248" s="124">
        <v>17680</v>
      </c>
      <c r="T248" s="124">
        <v>18360</v>
      </c>
      <c r="U248" s="125"/>
      <c r="V248" s="123"/>
      <c r="W248" s="138">
        <v>500</v>
      </c>
    </row>
    <row r="249" spans="1:23">
      <c r="A249" s="77" t="s">
        <v>250</v>
      </c>
      <c r="B249" s="36" t="str">
        <f>IFERROR(HYPERLINK(VLOOKUP(A249,ÜRÜNLER!A:C,3,FALSE),VLOOKUP(A249,ÜRÜNLER!A:B,2,FALSE)),"")</f>
        <v>iQ500 Eğimli Davlumbaz, 60cm, 510m3, Beyaz Cam</v>
      </c>
      <c r="C249" s="4">
        <v>4</v>
      </c>
      <c r="D249" s="4"/>
      <c r="E249" s="5"/>
      <c r="F249" s="5"/>
      <c r="G249" s="5"/>
      <c r="H249" s="5"/>
      <c r="I249" s="6"/>
      <c r="J249" s="6"/>
      <c r="K249" s="5">
        <v>1</v>
      </c>
      <c r="L249" s="5"/>
      <c r="M249" s="6"/>
      <c r="N249" s="39">
        <f t="shared" si="9"/>
        <v>5</v>
      </c>
      <c r="O249" s="40">
        <v>1</v>
      </c>
      <c r="P249" s="59" t="s">
        <v>1819</v>
      </c>
      <c r="Q249" s="125">
        <v>23225.183292422775</v>
      </c>
      <c r="R249" s="129">
        <v>24386.442457043915</v>
      </c>
      <c r="S249" s="124">
        <v>25361.900155325671</v>
      </c>
      <c r="T249" s="124">
        <v>26337.357853607427</v>
      </c>
      <c r="U249" s="125"/>
      <c r="V249" s="123"/>
      <c r="W249" s="123"/>
    </row>
    <row r="250" spans="1:23">
      <c r="A250" s="70" t="s">
        <v>251</v>
      </c>
      <c r="B250" s="36" t="str">
        <f>IFERROR(HYPERLINK(VLOOKUP(A250,ÜRÜNLER!A:C,3,FALSE),VLOOKUP(A250,ÜRÜNLER!A:B,2,FALSE)),"")</f>
        <v>iQ500 Eğimli Davlumbaz, 60cm, 700m3, Siyah Cam</v>
      </c>
      <c r="C250" s="4">
        <v>9</v>
      </c>
      <c r="D250" s="4"/>
      <c r="E250" s="5"/>
      <c r="F250" s="5"/>
      <c r="G250" s="5">
        <v>1</v>
      </c>
      <c r="H250" s="5"/>
      <c r="I250" s="6"/>
      <c r="J250" s="6"/>
      <c r="K250" s="5"/>
      <c r="L250" s="5">
        <v>1</v>
      </c>
      <c r="M250" s="6"/>
      <c r="N250" s="39">
        <f t="shared" si="9"/>
        <v>11</v>
      </c>
      <c r="O250" s="40">
        <v>0</v>
      </c>
      <c r="P250" s="59" t="s">
        <v>1819</v>
      </c>
      <c r="Q250" s="125">
        <v>23225.183292422775</v>
      </c>
      <c r="R250" s="129">
        <v>22225.055782222753</v>
      </c>
      <c r="S250" s="124">
        <v>23114.058013511662</v>
      </c>
      <c r="T250" s="124">
        <v>24003.060244800574</v>
      </c>
      <c r="U250" s="125"/>
      <c r="V250" s="123"/>
      <c r="W250" s="123"/>
    </row>
    <row r="251" spans="1:23">
      <c r="A251" s="70" t="s">
        <v>247</v>
      </c>
      <c r="B251" s="36" t="str">
        <f>IFERROR(HYPERLINK(VLOOKUP(A251,ÜRÜNLER!A:C,3,FALSE),VLOOKUP(A251,ÜRÜNLER!A:B,2,FALSE)),"")</f>
        <v>iQ500 Eğimli Davlumbaz, 60cm, 510m3, Siyah Cam</v>
      </c>
      <c r="C251" s="4">
        <v>17</v>
      </c>
      <c r="D251" s="4"/>
      <c r="E251" s="5"/>
      <c r="F251" s="5"/>
      <c r="G251" s="5"/>
      <c r="H251" s="5"/>
      <c r="I251" s="6"/>
      <c r="J251" s="6"/>
      <c r="K251" s="5"/>
      <c r="L251" s="5"/>
      <c r="M251" s="6">
        <v>1</v>
      </c>
      <c r="N251" s="39">
        <f t="shared" si="9"/>
        <v>18</v>
      </c>
      <c r="O251" s="40">
        <v>0</v>
      </c>
      <c r="P251" s="59" t="s">
        <v>1819</v>
      </c>
      <c r="Q251" s="125">
        <v>23225.183292422775</v>
      </c>
      <c r="R251" s="129">
        <v>22225.055782222753</v>
      </c>
      <c r="S251" s="124">
        <v>23114.058013511662</v>
      </c>
      <c r="T251" s="124">
        <v>24003.060244800574</v>
      </c>
      <c r="U251" s="125"/>
      <c r="V251" s="123"/>
      <c r="W251" s="123"/>
    </row>
    <row r="252" spans="1:23">
      <c r="A252" s="72" t="s">
        <v>248</v>
      </c>
      <c r="B252" s="36" t="str">
        <f>IFERROR(HYPERLINK(VLOOKUP(A252,ÜRÜNLER!A:C,3,FALSE),VLOOKUP(A252,ÜRÜNLER!A:B,2,FALSE)),"")</f>
        <v>iQ500 Eğimli Davlumbaz, 60cm, 510m3, Antrasit Gri Cam</v>
      </c>
      <c r="C252" s="4">
        <v>20</v>
      </c>
      <c r="D252" s="4"/>
      <c r="E252" s="5"/>
      <c r="F252" s="5"/>
      <c r="G252" s="5"/>
      <c r="H252" s="5"/>
      <c r="I252" s="6"/>
      <c r="J252" s="6">
        <v>1</v>
      </c>
      <c r="K252" s="5"/>
      <c r="L252" s="5"/>
      <c r="M252" s="6"/>
      <c r="N252" s="39">
        <f t="shared" si="9"/>
        <v>21</v>
      </c>
      <c r="O252" s="40">
        <v>1</v>
      </c>
      <c r="P252" s="59" t="s">
        <v>1819</v>
      </c>
      <c r="Q252" s="125">
        <v>23225.183292422775</v>
      </c>
      <c r="R252" s="129">
        <v>24386.442457043915</v>
      </c>
      <c r="S252" s="124">
        <v>25361.900155325671</v>
      </c>
      <c r="T252" s="124">
        <v>26337.357853607427</v>
      </c>
      <c r="U252" s="125"/>
      <c r="V252" s="123"/>
      <c r="W252" s="123"/>
    </row>
    <row r="253" spans="1:23">
      <c r="A253" s="64" t="s">
        <v>249</v>
      </c>
      <c r="B253" s="36" t="str">
        <f>IFERROR(HYPERLINK(VLOOKUP(A253,ÜRÜNLER!A:C,3,FALSE),VLOOKUP(A253,ÜRÜNLER!A:B,2,FALSE)),"")</f>
        <v>iQ500 Eğimli Davlumbaz, 60cm, 578m3, Siyah Cam</v>
      </c>
      <c r="C253" s="4"/>
      <c r="D253" s="4"/>
      <c r="E253" s="5"/>
      <c r="F253" s="5"/>
      <c r="G253" s="5"/>
      <c r="H253" s="5"/>
      <c r="I253" s="6"/>
      <c r="J253" s="6"/>
      <c r="K253" s="5"/>
      <c r="L253" s="5">
        <v>1</v>
      </c>
      <c r="M253" s="6">
        <v>1</v>
      </c>
      <c r="N253" s="39">
        <f t="shared" si="9"/>
        <v>2</v>
      </c>
      <c r="O253" s="40">
        <v>0</v>
      </c>
      <c r="P253" s="29"/>
      <c r="Q253" s="125" t="s">
        <v>1773</v>
      </c>
      <c r="R253" s="129">
        <v>25000</v>
      </c>
      <c r="S253" s="124">
        <v>26000</v>
      </c>
      <c r="T253" s="124">
        <v>27000</v>
      </c>
      <c r="U253" s="125"/>
      <c r="V253" s="123"/>
      <c r="W253" s="138">
        <v>500</v>
      </c>
    </row>
    <row r="254" spans="1:23">
      <c r="A254" s="70" t="s">
        <v>1495</v>
      </c>
      <c r="B254" s="36" t="str">
        <f>IFERROR(HYPERLINK(VLOOKUP(A254,ÜRÜNLER!A:C,3,FALSE),VLOOKUP(A254,ÜRÜNLER!A:B,2,FALSE)),"")</f>
        <v>iQ700 Eğimli Davlumbaz, 60cm, 616m3, Siyah Cam</v>
      </c>
      <c r="C254" s="4">
        <v>9</v>
      </c>
      <c r="D254" s="4"/>
      <c r="E254" s="5"/>
      <c r="F254" s="5"/>
      <c r="G254" s="5"/>
      <c r="H254" s="5"/>
      <c r="I254" s="6">
        <v>1</v>
      </c>
      <c r="J254" s="6">
        <v>1</v>
      </c>
      <c r="K254" s="5">
        <v>1</v>
      </c>
      <c r="L254" s="5"/>
      <c r="M254" s="6"/>
      <c r="N254" s="39">
        <f t="shared" si="9"/>
        <v>12</v>
      </c>
      <c r="O254" s="40">
        <v>0</v>
      </c>
      <c r="P254" s="59" t="s">
        <v>1819</v>
      </c>
      <c r="Q254" s="125">
        <v>38000.156426121088</v>
      </c>
      <c r="R254" s="129">
        <v>36363.786053704396</v>
      </c>
      <c r="S254" s="124">
        <v>37818.337495852575</v>
      </c>
      <c r="T254" s="124">
        <v>39272.888938000746</v>
      </c>
      <c r="U254" s="125"/>
      <c r="V254" s="123"/>
      <c r="W254" s="123"/>
    </row>
    <row r="255" spans="1:23">
      <c r="A255" s="64" t="s">
        <v>253</v>
      </c>
      <c r="B255" s="36" t="str">
        <f>IFERROR(HYPERLINK(VLOOKUP(A255,ÜRÜNLER!A:C,3,FALSE),VLOOKUP(A255,ÜRÜNLER!A:B,2,FALSE)),"")</f>
        <v>iQ700 Eğimli Davlumbaz, 90cm, 441m3, Siyah Cam</v>
      </c>
      <c r="C255" s="4">
        <v>1</v>
      </c>
      <c r="D255" s="4"/>
      <c r="E255" s="5"/>
      <c r="F255" s="5"/>
      <c r="G255" s="5"/>
      <c r="H255" s="5"/>
      <c r="I255" s="6"/>
      <c r="J255" s="6"/>
      <c r="K255" s="5"/>
      <c r="L255" s="5"/>
      <c r="M255" s="6"/>
      <c r="N255" s="39">
        <f t="shared" si="9"/>
        <v>1</v>
      </c>
      <c r="O255" s="40">
        <v>0</v>
      </c>
      <c r="P255" s="29"/>
      <c r="Q255" s="125">
        <v>69516.043455916923</v>
      </c>
      <c r="R255" s="129">
        <v>63354.790117035249</v>
      </c>
      <c r="S255" s="124">
        <v>65888.981721716656</v>
      </c>
      <c r="T255" s="124">
        <v>68423.173326398071</v>
      </c>
      <c r="U255" s="125"/>
      <c r="V255" s="123"/>
      <c r="W255" s="123"/>
    </row>
    <row r="256" spans="1:23">
      <c r="A256" s="64" t="s">
        <v>254</v>
      </c>
      <c r="B256" s="36" t="str">
        <f>IFERROR(HYPERLINK(VLOOKUP(A256,ÜRÜNLER!A:C,3,FALSE),VLOOKUP(A256,ÜRÜNLER!A:B,2,FALSE)),"")</f>
        <v>iQ700 studioLine Eğimli Davlumbaz, 90cm, 441m3, Siyah Cam</v>
      </c>
      <c r="C256" s="4"/>
      <c r="D256" s="4">
        <v>1</v>
      </c>
      <c r="E256" s="5"/>
      <c r="F256" s="5"/>
      <c r="G256" s="5"/>
      <c r="H256" s="5"/>
      <c r="I256" s="6"/>
      <c r="J256" s="6"/>
      <c r="K256" s="5"/>
      <c r="L256" s="5">
        <v>1</v>
      </c>
      <c r="M256" s="6"/>
      <c r="N256" s="39">
        <f t="shared" si="9"/>
        <v>2</v>
      </c>
      <c r="O256" s="40">
        <v>0</v>
      </c>
      <c r="P256" s="29"/>
      <c r="Q256" s="125">
        <v>104225.59039235969</v>
      </c>
      <c r="R256" s="136">
        <v>89763.666366625577</v>
      </c>
      <c r="S256" s="124">
        <v>93354.213021290605</v>
      </c>
      <c r="T256" s="124">
        <v>96944.759675955618</v>
      </c>
      <c r="U256" s="125"/>
      <c r="V256" s="123"/>
      <c r="W256" s="129">
        <v>250</v>
      </c>
    </row>
    <row r="257" spans="1:23">
      <c r="A257" s="64" t="s">
        <v>255</v>
      </c>
      <c r="B257" s="36" t="str">
        <f>IFERROR(HYPERLINK(VLOOKUP(A257,ÜRÜNLER!A:C,3,FALSE),VLOOKUP(A257,ÜRÜNLER!A:B,2,FALSE)),"")</f>
        <v>iQ100 Düz Davlumbaz, 90cm, 616m3, Inox</v>
      </c>
      <c r="C257" s="4">
        <v>1</v>
      </c>
      <c r="D257" s="4"/>
      <c r="E257" s="5"/>
      <c r="F257" s="5"/>
      <c r="G257" s="5"/>
      <c r="H257" s="5"/>
      <c r="I257" s="6"/>
      <c r="J257" s="6">
        <v>1</v>
      </c>
      <c r="K257" s="5"/>
      <c r="L257" s="5"/>
      <c r="M257" s="6"/>
      <c r="N257" s="39">
        <f t="shared" si="9"/>
        <v>2</v>
      </c>
      <c r="O257" s="40">
        <v>0</v>
      </c>
      <c r="P257" s="29"/>
      <c r="Q257" s="125">
        <v>28839.449538033114</v>
      </c>
      <c r="R257" s="128">
        <v>27397.47706113146</v>
      </c>
      <c r="S257" s="124">
        <v>28493.376143576719</v>
      </c>
      <c r="T257" s="124">
        <v>29589.275226021979</v>
      </c>
      <c r="U257" s="125"/>
      <c r="V257" s="123"/>
      <c r="W257" s="123"/>
    </row>
    <row r="258" spans="1:23">
      <c r="A258" s="78" t="s">
        <v>256</v>
      </c>
      <c r="B258" s="36" t="str">
        <f>IFERROR(HYPERLINK(VLOOKUP(A258,ÜRÜNLER!A:C,3,FALSE),VLOOKUP(A258,ÜRÜNLER!A:B,2,FALSE)),"")</f>
        <v>iQ300 Düz Davlumbaz, 90cm, 649m3, Antrasit Gri Cam</v>
      </c>
      <c r="C258" s="4">
        <v>2</v>
      </c>
      <c r="D258" s="4"/>
      <c r="E258" s="5"/>
      <c r="F258" s="5"/>
      <c r="G258" s="5"/>
      <c r="H258" s="5"/>
      <c r="I258" s="6"/>
      <c r="J258" s="6"/>
      <c r="K258" s="5"/>
      <c r="L258" s="5"/>
      <c r="M258" s="6"/>
      <c r="N258" s="39">
        <f t="shared" si="9"/>
        <v>2</v>
      </c>
      <c r="O258" s="40">
        <v>0</v>
      </c>
      <c r="P258" s="29"/>
      <c r="Q258" s="125">
        <v>30122.980835083101</v>
      </c>
      <c r="R258" s="128">
        <v>28616.831793328947</v>
      </c>
      <c r="S258" s="124">
        <v>29761.505065062105</v>
      </c>
      <c r="T258" s="124">
        <v>30906.178336795263</v>
      </c>
      <c r="U258" s="125"/>
      <c r="V258" s="123"/>
      <c r="W258" s="123"/>
    </row>
    <row r="259" spans="1:23">
      <c r="A259" s="60" t="s">
        <v>257</v>
      </c>
      <c r="B259" s="36" t="str">
        <f>IFERROR(HYPERLINK(VLOOKUP(A259,ÜRÜNLER!A:C,3,FALSE),VLOOKUP(A259,ÜRÜNLER!A:B,2,FALSE)),"")</f>
        <v>iQ300 Düz Davlumbaz, 90cm, 649m3, Beyaz Cam</v>
      </c>
      <c r="C259" s="4">
        <v>18</v>
      </c>
      <c r="D259" s="4"/>
      <c r="E259" s="5"/>
      <c r="F259" s="5"/>
      <c r="G259" s="5"/>
      <c r="H259" s="5"/>
      <c r="I259" s="6"/>
      <c r="J259" s="6"/>
      <c r="K259" s="5"/>
      <c r="L259" s="5"/>
      <c r="M259" s="6"/>
      <c r="N259" s="39">
        <f t="shared" si="9"/>
        <v>18</v>
      </c>
      <c r="O259" s="40">
        <v>0</v>
      </c>
      <c r="P259" s="29"/>
      <c r="Q259" s="125">
        <v>30122.980835083101</v>
      </c>
      <c r="R259" s="128">
        <v>28616.831793328947</v>
      </c>
      <c r="S259" s="124">
        <v>29761.505065062105</v>
      </c>
      <c r="T259" s="124">
        <v>30906.178336795263</v>
      </c>
      <c r="U259" s="125"/>
      <c r="V259" s="123"/>
      <c r="W259" s="123"/>
    </row>
    <row r="260" spans="1:23">
      <c r="A260" s="76" t="s">
        <v>1513</v>
      </c>
      <c r="B260" s="36" t="str">
        <f>IFERROR(HYPERLINK(VLOOKUP(A260,ÜRÜNLER!A:C,3,FALSE),VLOOKUP(A260,ÜRÜNLER!A:B,2,FALSE)),"")</f>
        <v>iQ300 Düz Davlumbaz, 90cm, 649m3, Beyaz Cam</v>
      </c>
      <c r="C260" s="4"/>
      <c r="D260" s="4"/>
      <c r="E260" s="5"/>
      <c r="F260" s="5"/>
      <c r="G260" s="5"/>
      <c r="H260" s="5"/>
      <c r="I260" s="6"/>
      <c r="J260" s="6"/>
      <c r="K260" s="5"/>
      <c r="L260" s="5"/>
      <c r="M260" s="6"/>
      <c r="N260" s="39">
        <f t="shared" si="9"/>
        <v>0</v>
      </c>
      <c r="O260" s="40">
        <v>2</v>
      </c>
      <c r="P260" s="29"/>
      <c r="Q260" s="125">
        <v>30122.980835083101</v>
      </c>
      <c r="R260" s="129">
        <v>28825.818980940763</v>
      </c>
      <c r="S260" s="124">
        <v>29978.851740178394</v>
      </c>
      <c r="T260" s="124">
        <v>31131.884499416024</v>
      </c>
      <c r="U260" s="125"/>
      <c r="V260" s="123"/>
      <c r="W260" s="129">
        <v>250</v>
      </c>
    </row>
    <row r="261" spans="1:23">
      <c r="A261" s="72" t="s">
        <v>258</v>
      </c>
      <c r="B261" s="36" t="str">
        <f>IFERROR(HYPERLINK(VLOOKUP(A261,ÜRÜNLER!A:C,3,FALSE),VLOOKUP(A261,ÜRÜNLER!A:B,2,FALSE)),"")</f>
        <v>iQ300 Düz Davlumbaz, 90cm, 649m3, Titanyum Gri Cam</v>
      </c>
      <c r="C261" s="4">
        <v>3</v>
      </c>
      <c r="D261" s="4"/>
      <c r="E261" s="5"/>
      <c r="F261" s="5"/>
      <c r="G261" s="5"/>
      <c r="H261" s="5"/>
      <c r="I261" s="6">
        <v>1</v>
      </c>
      <c r="J261" s="6"/>
      <c r="K261" s="5"/>
      <c r="L261" s="5"/>
      <c r="M261" s="6"/>
      <c r="N261" s="39">
        <f t="shared" si="9"/>
        <v>4</v>
      </c>
      <c r="O261" s="40">
        <v>0</v>
      </c>
      <c r="P261" s="29"/>
      <c r="Q261" s="125" t="s">
        <v>1773</v>
      </c>
      <c r="R261" s="129">
        <v>20000</v>
      </c>
      <c r="S261" s="124">
        <v>20800</v>
      </c>
      <c r="T261" s="124">
        <v>21600</v>
      </c>
      <c r="U261" s="125"/>
      <c r="V261" s="123"/>
      <c r="W261" s="123"/>
    </row>
    <row r="262" spans="1:23">
      <c r="A262" s="64" t="s">
        <v>259</v>
      </c>
      <c r="B262" s="36" t="str">
        <f>IFERROR(HYPERLINK(VLOOKUP(A262,ÜRÜNLER!A:C,3,FALSE),VLOOKUP(A262,ÜRÜNLER!A:B,2,FALSE)),"")</f>
        <v>iQ300 Eğimli Davlumbaz, 90cm, 629m3, Beyaz Cam</v>
      </c>
      <c r="C262" s="4">
        <v>19</v>
      </c>
      <c r="D262" s="4"/>
      <c r="E262" s="5"/>
      <c r="F262" s="5"/>
      <c r="G262" s="5"/>
      <c r="H262" s="5"/>
      <c r="I262" s="6">
        <v>1</v>
      </c>
      <c r="J262" s="6">
        <v>1</v>
      </c>
      <c r="K262" s="5">
        <v>1</v>
      </c>
      <c r="L262" s="5">
        <v>1</v>
      </c>
      <c r="M262" s="6"/>
      <c r="N262" s="39">
        <f t="shared" si="9"/>
        <v>23</v>
      </c>
      <c r="O262" s="40">
        <v>0</v>
      </c>
      <c r="P262" s="29"/>
      <c r="Q262" s="125" t="s">
        <v>1773</v>
      </c>
      <c r="R262" s="129">
        <v>20000</v>
      </c>
      <c r="S262" s="124">
        <v>20800</v>
      </c>
      <c r="T262" s="124">
        <v>21600</v>
      </c>
      <c r="U262" s="125"/>
      <c r="V262" s="123"/>
      <c r="W262" s="129">
        <v>250</v>
      </c>
    </row>
    <row r="263" spans="1:23">
      <c r="A263" s="76" t="s">
        <v>1400</v>
      </c>
      <c r="B263" s="36" t="str">
        <f>IFERROR(HYPERLINK(VLOOKUP(A263,ÜRÜNLER!A:C,3,FALSE),VLOOKUP(A263,ÜRÜNLER!A:B,2,FALSE)),"")</f>
        <v>iQ300 Eğimli Davlumbaz, 90cm, 629m3, Siyah Cam</v>
      </c>
      <c r="C263" s="4"/>
      <c r="D263" s="4"/>
      <c r="E263" s="5"/>
      <c r="F263" s="5"/>
      <c r="G263" s="5"/>
      <c r="H263" s="5"/>
      <c r="I263" s="6"/>
      <c r="J263" s="6"/>
      <c r="K263" s="5">
        <v>1</v>
      </c>
      <c r="L263" s="5"/>
      <c r="M263" s="6"/>
      <c r="N263" s="39">
        <f t="shared" si="9"/>
        <v>1</v>
      </c>
      <c r="O263" s="40">
        <v>0</v>
      </c>
      <c r="P263" s="29"/>
      <c r="Q263" s="125" t="s">
        <v>1773</v>
      </c>
      <c r="R263" s="129">
        <v>25000</v>
      </c>
      <c r="S263" s="124">
        <v>26000</v>
      </c>
      <c r="T263" s="124">
        <v>27000</v>
      </c>
      <c r="U263" s="125"/>
      <c r="V263" s="123"/>
      <c r="W263" s="126">
        <v>500</v>
      </c>
    </row>
    <row r="264" spans="1:23">
      <c r="A264" s="64" t="s">
        <v>260</v>
      </c>
      <c r="B264" s="36" t="str">
        <f>IFERROR(HYPERLINK(VLOOKUP(A264,ÜRÜNLER!A:C,3,FALSE),VLOOKUP(A264,ÜRÜNLER!A:B,2,FALSE)),"")</f>
        <v>iQ300 Düz Davlumbaz, 90cm, 468m3, Inox</v>
      </c>
      <c r="C264" s="4">
        <v>4</v>
      </c>
      <c r="D264" s="4"/>
      <c r="E264" s="5"/>
      <c r="F264" s="5"/>
      <c r="G264" s="5"/>
      <c r="H264" s="5"/>
      <c r="I264" s="6"/>
      <c r="J264" s="6"/>
      <c r="K264" s="5"/>
      <c r="L264" s="5"/>
      <c r="M264" s="6"/>
      <c r="N264" s="39">
        <f t="shared" si="9"/>
        <v>4</v>
      </c>
      <c r="O264" s="40">
        <v>0</v>
      </c>
      <c r="P264" s="29"/>
      <c r="Q264" s="125" t="s">
        <v>1773</v>
      </c>
      <c r="R264" s="129">
        <v>39195.714086911241</v>
      </c>
      <c r="S264" s="124">
        <v>40763.542650387688</v>
      </c>
      <c r="T264" s="124">
        <v>42331.371213864142</v>
      </c>
      <c r="U264" s="125"/>
      <c r="V264" s="123"/>
      <c r="W264" s="123"/>
    </row>
    <row r="265" spans="1:23">
      <c r="A265" s="64" t="s">
        <v>261</v>
      </c>
      <c r="B265" s="36" t="str">
        <f>IFERROR(HYPERLINK(VLOOKUP(A265,ÜRÜNLER!A:C,3,FALSE),VLOOKUP(A265,ÜRÜNLER!A:B,2,FALSE)),"")</f>
        <v>iQ500 Düz Davlumbaz, 90cm, 394m3, Siyah Cam</v>
      </c>
      <c r="C265" s="4">
        <v>1</v>
      </c>
      <c r="D265" s="4"/>
      <c r="E265" s="5"/>
      <c r="F265" s="5"/>
      <c r="G265" s="5"/>
      <c r="H265" s="5"/>
      <c r="I265" s="6"/>
      <c r="J265" s="6"/>
      <c r="K265" s="5"/>
      <c r="L265" s="5"/>
      <c r="M265" s="6"/>
      <c r="N265" s="39">
        <f t="shared" si="9"/>
        <v>1</v>
      </c>
      <c r="O265" s="40">
        <v>0</v>
      </c>
      <c r="P265" s="29"/>
      <c r="Q265" s="125" t="s">
        <v>1773</v>
      </c>
      <c r="R265" s="129">
        <v>51000</v>
      </c>
      <c r="S265" s="124">
        <v>53040</v>
      </c>
      <c r="T265" s="124">
        <v>55080</v>
      </c>
      <c r="U265" s="125"/>
      <c r="V265" s="123"/>
      <c r="W265" s="129">
        <v>250</v>
      </c>
    </row>
    <row r="266" spans="1:23">
      <c r="A266" s="64" t="s">
        <v>263</v>
      </c>
      <c r="B266" s="36" t="str">
        <f>IFERROR(HYPERLINK(VLOOKUP(A266,ÜRÜNLER!A:C,3,FALSE),VLOOKUP(A266,ÜRÜNLER!A:B,2,FALSE)),"")</f>
        <v>iQ700 Düz Davlumbaz, 90cm, 394m3, Siyah Cam</v>
      </c>
      <c r="C266" s="4"/>
      <c r="D266" s="4"/>
      <c r="E266" s="5"/>
      <c r="F266" s="5"/>
      <c r="G266" s="5"/>
      <c r="H266" s="5"/>
      <c r="I266" s="6"/>
      <c r="J266" s="6">
        <v>1</v>
      </c>
      <c r="K266" s="5"/>
      <c r="L266" s="5"/>
      <c r="M266" s="6"/>
      <c r="N266" s="39">
        <f t="shared" si="9"/>
        <v>1</v>
      </c>
      <c r="O266" s="40">
        <v>0</v>
      </c>
      <c r="P266" s="29"/>
      <c r="Q266" s="125" t="s">
        <v>1773</v>
      </c>
      <c r="R266" s="129">
        <v>56000</v>
      </c>
      <c r="S266" s="124">
        <v>58240</v>
      </c>
      <c r="T266" s="124">
        <v>60480</v>
      </c>
      <c r="U266" s="125"/>
      <c r="V266" s="123"/>
      <c r="W266" s="126">
        <v>1000</v>
      </c>
    </row>
    <row r="267" spans="1:23">
      <c r="A267" s="77" t="s">
        <v>264</v>
      </c>
      <c r="B267" s="36" t="str">
        <f>IFERROR(HYPERLINK(VLOOKUP(A267,ÜRÜNLER!A:C,3,FALSE),VLOOKUP(A267,ÜRÜNLER!A:B,2,FALSE)),"")</f>
        <v>iQ500 Eğimli Davlumbaz, 90cm, 510m3, Beyaz Cam</v>
      </c>
      <c r="C267" s="4">
        <v>3</v>
      </c>
      <c r="D267" s="4"/>
      <c r="E267" s="5"/>
      <c r="F267" s="5"/>
      <c r="G267" s="5"/>
      <c r="H267" s="5"/>
      <c r="I267" s="6"/>
      <c r="J267" s="6"/>
      <c r="K267" s="5"/>
      <c r="L267" s="5"/>
      <c r="M267" s="6"/>
      <c r="N267" s="39">
        <f t="shared" si="9"/>
        <v>3</v>
      </c>
      <c r="O267" s="40">
        <v>0</v>
      </c>
      <c r="P267" s="59" t="s">
        <v>1819</v>
      </c>
      <c r="Q267" s="125">
        <v>35017.978479669255</v>
      </c>
      <c r="R267" s="129">
        <v>36768.877403652717</v>
      </c>
      <c r="S267" s="124">
        <v>38239.632499798827</v>
      </c>
      <c r="T267" s="124">
        <v>39710.387595944936</v>
      </c>
      <c r="U267" s="125"/>
      <c r="V267" s="123"/>
      <c r="W267" s="123"/>
    </row>
    <row r="268" spans="1:23">
      <c r="A268" s="70" t="s">
        <v>265</v>
      </c>
      <c r="B268" s="36" t="str">
        <f>IFERROR(HYPERLINK(VLOOKUP(A268,ÜRÜNLER!A:C,3,FALSE),VLOOKUP(A268,ÜRÜNLER!A:B,2,FALSE)),"")</f>
        <v>iQ500 Eğimli Davlumbaz, 90cm, 510m3, Siyah Cam</v>
      </c>
      <c r="C268" s="4"/>
      <c r="D268" s="4"/>
      <c r="E268" s="5"/>
      <c r="F268" s="5"/>
      <c r="G268" s="5"/>
      <c r="H268" s="5"/>
      <c r="I268" s="6"/>
      <c r="J268" s="6"/>
      <c r="K268" s="5"/>
      <c r="L268" s="5"/>
      <c r="M268" s="6"/>
      <c r="N268" s="39">
        <f t="shared" si="9"/>
        <v>0</v>
      </c>
      <c r="O268" s="40">
        <v>2</v>
      </c>
      <c r="P268" s="29"/>
      <c r="Q268" s="125">
        <v>35017.978479669255</v>
      </c>
      <c r="R268" s="129">
        <v>33510.027253272019</v>
      </c>
      <c r="S268" s="124">
        <v>34850.428343402898</v>
      </c>
      <c r="T268" s="124">
        <v>36190.829433533778</v>
      </c>
      <c r="U268" s="125"/>
      <c r="V268" s="123"/>
      <c r="W268" s="123"/>
    </row>
    <row r="269" spans="1:23">
      <c r="A269" s="72" t="s">
        <v>266</v>
      </c>
      <c r="B269" s="36" t="str">
        <f>IFERROR(HYPERLINK(VLOOKUP(A269,ÜRÜNLER!A:C,3,FALSE),VLOOKUP(A269,ÜRÜNLER!A:B,2,FALSE)),"")</f>
        <v>iQ500 Eğimli Davlumbaz, 90cm, 510m3, Antrasit Gri Cam</v>
      </c>
      <c r="C269" s="4"/>
      <c r="D269" s="4"/>
      <c r="E269" s="5"/>
      <c r="F269" s="5"/>
      <c r="G269" s="5"/>
      <c r="H269" s="5"/>
      <c r="I269" s="6"/>
      <c r="J269" s="6"/>
      <c r="K269" s="5"/>
      <c r="L269" s="5"/>
      <c r="M269" s="6"/>
      <c r="N269" s="39">
        <f t="shared" si="9"/>
        <v>0</v>
      </c>
      <c r="O269" s="40">
        <v>2</v>
      </c>
      <c r="P269" s="59" t="s">
        <v>1819</v>
      </c>
      <c r="Q269" s="125">
        <v>35017.978479669255</v>
      </c>
      <c r="R269" s="129">
        <v>36768.877403652717</v>
      </c>
      <c r="S269" s="124">
        <v>38239.632499798827</v>
      </c>
      <c r="T269" s="124">
        <v>39710.387595944936</v>
      </c>
      <c r="U269" s="125"/>
      <c r="V269" s="123"/>
      <c r="W269" s="123"/>
    </row>
    <row r="270" spans="1:23">
      <c r="A270" s="64" t="s">
        <v>267</v>
      </c>
      <c r="B270" s="36" t="str">
        <f>IFERROR(HYPERLINK(VLOOKUP(A270,ÜRÜNLER!A:C,3,FALSE),VLOOKUP(A270,ÜRÜNLER!A:B,2,FALSE)),"")</f>
        <v>iQ500 Düz Davlumbaz, 90cm, 430m3, Inox</v>
      </c>
      <c r="C270" s="4">
        <v>2</v>
      </c>
      <c r="D270" s="4"/>
      <c r="E270" s="5"/>
      <c r="F270" s="5"/>
      <c r="G270" s="5"/>
      <c r="H270" s="5"/>
      <c r="I270" s="6"/>
      <c r="J270" s="6"/>
      <c r="K270" s="5"/>
      <c r="L270" s="5"/>
      <c r="M270" s="6"/>
      <c r="N270" s="39">
        <f t="shared" si="9"/>
        <v>2</v>
      </c>
      <c r="O270" s="40">
        <v>0</v>
      </c>
      <c r="P270" s="29"/>
      <c r="Q270" s="125" t="s">
        <v>1773</v>
      </c>
      <c r="R270" s="123">
        <v>26000</v>
      </c>
      <c r="S270" s="124">
        <v>27040</v>
      </c>
      <c r="T270" s="124">
        <v>28080</v>
      </c>
      <c r="U270" s="125"/>
      <c r="V270" s="123"/>
      <c r="W270" s="129">
        <v>250</v>
      </c>
    </row>
    <row r="271" spans="1:23">
      <c r="A271" s="64" t="s">
        <v>268</v>
      </c>
      <c r="B271" s="36" t="str">
        <f>IFERROR(HYPERLINK(VLOOKUP(A271,ÜRÜNLER!A:C,3,FALSE),VLOOKUP(A271,ÜRÜNLER!A:B,2,FALSE)),"")</f>
        <v>iQ500 Eğimli Davlumbaz, 90cm, 370m3, Cam Dekorlu Inox</v>
      </c>
      <c r="C271" s="4">
        <v>7</v>
      </c>
      <c r="D271" s="4"/>
      <c r="E271" s="5"/>
      <c r="F271" s="5"/>
      <c r="G271" s="5"/>
      <c r="H271" s="5"/>
      <c r="I271" s="6"/>
      <c r="J271" s="6"/>
      <c r="K271" s="5"/>
      <c r="L271" s="5"/>
      <c r="M271" s="6"/>
      <c r="N271" s="39">
        <f t="shared" si="9"/>
        <v>7</v>
      </c>
      <c r="O271" s="40">
        <v>0</v>
      </c>
      <c r="P271" s="29"/>
      <c r="Q271" s="125" t="s">
        <v>1773</v>
      </c>
      <c r="R271" s="123">
        <v>26000</v>
      </c>
      <c r="S271" s="124">
        <v>27040</v>
      </c>
      <c r="T271" s="124">
        <v>28080</v>
      </c>
      <c r="U271" s="125"/>
      <c r="V271" s="123"/>
      <c r="W271" s="129">
        <v>250</v>
      </c>
    </row>
    <row r="272" spans="1:23">
      <c r="A272" s="64" t="s">
        <v>269</v>
      </c>
      <c r="B272" s="36" t="str">
        <f>IFERROR(HYPERLINK(VLOOKUP(A272,ÜRÜNLER!A:C,3,FALSE),VLOOKUP(A272,ÜRÜNLER!A:B,2,FALSE)),"")</f>
        <v>iQ500 Eğimli Davlumbaz, 90cm, 468m3, Siyah Cam</v>
      </c>
      <c r="C272" s="4"/>
      <c r="D272" s="4"/>
      <c r="E272" s="5"/>
      <c r="F272" s="5"/>
      <c r="G272" s="5"/>
      <c r="H272" s="5">
        <v>1</v>
      </c>
      <c r="I272" s="6"/>
      <c r="J272" s="6"/>
      <c r="K272" s="5"/>
      <c r="L272" s="5"/>
      <c r="M272" s="6"/>
      <c r="N272" s="39">
        <f t="shared" si="9"/>
        <v>1</v>
      </c>
      <c r="O272" s="40">
        <v>0</v>
      </c>
      <c r="P272" s="29"/>
      <c r="Q272" s="125" t="s">
        <v>1773</v>
      </c>
      <c r="R272" s="136">
        <v>70000</v>
      </c>
      <c r="S272" s="124">
        <v>72800</v>
      </c>
      <c r="T272" s="124">
        <v>75600</v>
      </c>
      <c r="U272" s="125"/>
      <c r="V272" s="123"/>
      <c r="W272" s="126">
        <v>1000</v>
      </c>
    </row>
    <row r="273" spans="1:23">
      <c r="A273" s="109" t="s">
        <v>271</v>
      </c>
      <c r="B273" s="36" t="str">
        <f>IFERROR(HYPERLINK(VLOOKUP(A273,ÜRÜNLER!A:C,3,FALSE),VLOOKUP(A273,ÜRÜNLER!A:B,2,FALSE)),"")</f>
        <v>iQ700 studioLine Tezgaha Entegre Davlumbaz, 80cm, Siyah/Cam</v>
      </c>
      <c r="C273" s="4"/>
      <c r="D273" s="4">
        <v>2</v>
      </c>
      <c r="E273" s="5"/>
      <c r="F273" s="5"/>
      <c r="G273" s="5"/>
      <c r="H273" s="5">
        <v>1</v>
      </c>
      <c r="I273" s="6"/>
      <c r="J273" s="6"/>
      <c r="K273" s="5"/>
      <c r="L273" s="5"/>
      <c r="M273" s="6"/>
      <c r="N273" s="39">
        <f t="shared" si="9"/>
        <v>3</v>
      </c>
      <c r="O273" s="40">
        <v>0</v>
      </c>
      <c r="P273" s="29"/>
      <c r="Q273" s="125">
        <v>184711.31972102076</v>
      </c>
      <c r="R273" s="136">
        <v>159081.51937695569</v>
      </c>
      <c r="S273" s="124">
        <v>165444.78015203393</v>
      </c>
      <c r="T273" s="124">
        <v>171808.04092711216</v>
      </c>
      <c r="U273" s="125"/>
      <c r="V273" s="123"/>
      <c r="W273" s="129">
        <v>250</v>
      </c>
    </row>
    <row r="274" spans="1:23">
      <c r="A274" s="64" t="s">
        <v>272</v>
      </c>
      <c r="B274" s="36" t="str">
        <f>IFERROR(HYPERLINK(VLOOKUP(A274,ÜRÜNLER!A:C,3,FALSE),VLOOKUP(A274,ÜRÜNLER!A:B,2,FALSE)),"")</f>
        <v>iQ300 Ada Tipi Davlumbaz, 90cm, 438m3, Inox</v>
      </c>
      <c r="C274" s="4">
        <v>2</v>
      </c>
      <c r="D274" s="4"/>
      <c r="E274" s="5"/>
      <c r="F274" s="5"/>
      <c r="G274" s="5"/>
      <c r="H274" s="5"/>
      <c r="I274" s="6">
        <v>1</v>
      </c>
      <c r="J274" s="6"/>
      <c r="K274" s="5"/>
      <c r="L274" s="5">
        <v>2</v>
      </c>
      <c r="M274" s="6"/>
      <c r="N274" s="39">
        <f t="shared" si="9"/>
        <v>5</v>
      </c>
      <c r="O274" s="40">
        <v>0</v>
      </c>
      <c r="P274" s="29"/>
      <c r="Q274" s="125">
        <v>66373.590235676689</v>
      </c>
      <c r="R274" s="129">
        <v>63515.397354714543</v>
      </c>
      <c r="S274" s="124">
        <v>66056.013248903124</v>
      </c>
      <c r="T274" s="124">
        <v>68596.629143091704</v>
      </c>
      <c r="U274" s="125"/>
      <c r="V274" s="123"/>
      <c r="W274" s="123"/>
    </row>
    <row r="275" spans="1:23">
      <c r="A275" s="64" t="s">
        <v>273</v>
      </c>
      <c r="B275" s="36" t="str">
        <f>IFERROR(HYPERLINK(VLOOKUP(A275,ÜRÜNLER!A:C,3,FALSE),VLOOKUP(A275,ÜRÜNLER!A:B,2,FALSE)),"")</f>
        <v>iQ500 studioLine Ada Tipi Davlumbaz, 90cm, Inox</v>
      </c>
      <c r="C275" s="4"/>
      <c r="D275" s="4">
        <v>2</v>
      </c>
      <c r="E275" s="5"/>
      <c r="F275" s="5"/>
      <c r="G275" s="5"/>
      <c r="H275" s="5">
        <v>1</v>
      </c>
      <c r="I275" s="6"/>
      <c r="J275" s="6"/>
      <c r="K275" s="5"/>
      <c r="L275" s="5"/>
      <c r="M275" s="6"/>
      <c r="N275" s="39">
        <f t="shared" si="9"/>
        <v>3</v>
      </c>
      <c r="O275" s="40">
        <v>0</v>
      </c>
      <c r="P275" s="29"/>
      <c r="Q275" s="125" t="s">
        <v>1773</v>
      </c>
      <c r="R275" s="136">
        <v>96068.104542592642</v>
      </c>
      <c r="S275" s="124">
        <v>99910.828724296342</v>
      </c>
      <c r="T275" s="124">
        <v>103753.55290600006</v>
      </c>
      <c r="U275" s="125"/>
      <c r="V275" s="123"/>
      <c r="W275" s="129">
        <v>250</v>
      </c>
    </row>
    <row r="276" spans="1:23">
      <c r="A276" s="64" t="s">
        <v>270</v>
      </c>
      <c r="B276" s="36" t="str">
        <f>IFERROR(HYPERLINK(VLOOKUP(A276,ÜRÜNLER!A:C,3,FALSE),VLOOKUP(A276,ÜRÜNLER!A:B,2,FALSE)),"")</f>
        <v>iQ700 studioLine Tavan Tipi Davlumbaz, 105cm, Siyah</v>
      </c>
      <c r="C276" s="4"/>
      <c r="D276" s="4">
        <v>6</v>
      </c>
      <c r="E276" s="5"/>
      <c r="F276" s="5"/>
      <c r="G276" s="5"/>
      <c r="H276" s="5">
        <v>1</v>
      </c>
      <c r="I276" s="6"/>
      <c r="J276" s="6"/>
      <c r="K276" s="5"/>
      <c r="L276" s="5"/>
      <c r="M276" s="6"/>
      <c r="N276" s="39">
        <f t="shared" si="9"/>
        <v>7</v>
      </c>
      <c r="O276" s="40">
        <v>0</v>
      </c>
      <c r="P276" s="29"/>
      <c r="Q276" s="125">
        <v>326143.50701684493</v>
      </c>
      <c r="R276" s="136">
        <v>280889.14479919663</v>
      </c>
      <c r="S276" s="124">
        <v>292124.71059116448</v>
      </c>
      <c r="T276" s="124">
        <v>303360.27638313238</v>
      </c>
      <c r="U276" s="125"/>
      <c r="V276" s="123"/>
      <c r="W276" s="126">
        <v>1000</v>
      </c>
    </row>
    <row r="277" spans="1:23" ht="33.75" customHeight="1">
      <c r="A277" s="69" t="s">
        <v>1739</v>
      </c>
      <c r="B277" s="36" t="str">
        <f>IFERROR(HYPERLINK(VLOOKUP(A277,ÜRÜNLER!A:C,3,FALSE),VLOOKUP(A277,ÜRÜNLER!A:B,2,FALSE)),"")</f>
        <v/>
      </c>
      <c r="C277" s="4"/>
      <c r="D277" s="4"/>
      <c r="E277" s="5"/>
      <c r="F277" s="5"/>
      <c r="G277" s="5"/>
      <c r="H277" s="5"/>
      <c r="I277" s="6"/>
      <c r="J277" s="6"/>
      <c r="K277" s="5"/>
      <c r="L277" s="5"/>
      <c r="M277" s="6"/>
      <c r="N277" s="39">
        <f>SUM(N227:N276)</f>
        <v>358</v>
      </c>
      <c r="O277" s="40">
        <v>0</v>
      </c>
      <c r="P277" s="5"/>
      <c r="R277" s="123"/>
      <c r="S277" s="124"/>
      <c r="T277" s="124"/>
      <c r="U277" s="125"/>
      <c r="V277" s="123"/>
      <c r="W277" s="123"/>
    </row>
    <row r="278" spans="1:23">
      <c r="A278" s="61" t="s">
        <v>277</v>
      </c>
      <c r="B278" s="36" t="str">
        <f>IFERROR(HYPERLINK(VLOOKUP(A278,ÜRÜNLER!A:C,3,FALSE),VLOOKUP(A278,ÜRÜNLER!A:B,2,FALSE)),"")</f>
        <v>iQ100 Gömme Aspiratör, 53cm, 302m3, Gri</v>
      </c>
      <c r="C278" s="4">
        <v>8</v>
      </c>
      <c r="D278" s="4"/>
      <c r="E278" s="5"/>
      <c r="F278" s="5">
        <v>2</v>
      </c>
      <c r="G278" s="5"/>
      <c r="H278" s="5"/>
      <c r="I278" s="6"/>
      <c r="J278" s="6"/>
      <c r="K278" s="5"/>
      <c r="L278" s="5"/>
      <c r="M278" s="6"/>
      <c r="N278" s="39">
        <f t="shared" ref="N278:N288" si="10">M278+K278+L278+J278+I278+H278+G278+F278+E278+D278+C278</f>
        <v>10</v>
      </c>
      <c r="O278" s="40">
        <v>0</v>
      </c>
      <c r="P278" s="29"/>
      <c r="Q278" s="125">
        <v>12836.042919320691</v>
      </c>
      <c r="R278" s="129">
        <v>12283.294659637026</v>
      </c>
      <c r="S278" s="124">
        <v>12774.626446022507</v>
      </c>
      <c r="T278" s="124">
        <v>13265.958232407987</v>
      </c>
      <c r="U278" s="125"/>
      <c r="V278" s="123"/>
      <c r="W278" s="123"/>
    </row>
    <row r="279" spans="1:23">
      <c r="A279" s="57" t="s">
        <v>276</v>
      </c>
      <c r="B279" s="36" t="str">
        <f>IFERROR(HYPERLINK(VLOOKUP(A279,ÜRÜNLER!A:C,3,FALSE),VLOOKUP(A279,ÜRÜNLER!A:B,2,FALSE)),"")</f>
        <v>iQ500 Gömme Aspiratör, 52cm, 570m3, Inox</v>
      </c>
      <c r="C279" s="4">
        <v>2</v>
      </c>
      <c r="D279" s="4"/>
      <c r="E279" s="5"/>
      <c r="F279" s="5"/>
      <c r="G279" s="5"/>
      <c r="H279" s="5"/>
      <c r="I279" s="6"/>
      <c r="J279" s="6"/>
      <c r="K279" s="5"/>
      <c r="L279" s="5"/>
      <c r="M279" s="6"/>
      <c r="N279" s="39">
        <f t="shared" si="10"/>
        <v>2</v>
      </c>
      <c r="O279" s="40">
        <v>2</v>
      </c>
      <c r="P279" s="29"/>
      <c r="Q279" s="125">
        <v>32082.959599746169</v>
      </c>
      <c r="R279" s="129">
        <v>30701.396746168586</v>
      </c>
      <c r="S279" s="124">
        <v>31929.452616015329</v>
      </c>
      <c r="T279" s="124">
        <v>33157.508485862076</v>
      </c>
      <c r="U279" s="125"/>
      <c r="V279" s="123"/>
      <c r="W279" s="123"/>
    </row>
    <row r="280" spans="1:23">
      <c r="A280" s="61" t="s">
        <v>1627</v>
      </c>
      <c r="B280" s="36" t="str">
        <f>IFERROR(HYPERLINK(VLOOKUP(A280,ÜRÜNLER!A:C,3,FALSE),VLOOKUP(A280,ÜRÜNLER!A:B,2,FALSE)),"")</f>
        <v>iQ100 Gömme Aspiratör, 73cm, 302m3, Gri</v>
      </c>
      <c r="C280" s="4">
        <v>4</v>
      </c>
      <c r="D280" s="4"/>
      <c r="E280" s="5"/>
      <c r="F280" s="5"/>
      <c r="G280" s="5"/>
      <c r="H280" s="5"/>
      <c r="I280" s="6"/>
      <c r="J280" s="6"/>
      <c r="K280" s="5"/>
      <c r="L280" s="5"/>
      <c r="M280" s="6"/>
      <c r="N280" s="39">
        <f t="shared" si="10"/>
        <v>4</v>
      </c>
      <c r="O280" s="40">
        <v>0</v>
      </c>
      <c r="P280" s="29"/>
      <c r="Q280" s="125">
        <v>13997.744606236785</v>
      </c>
      <c r="R280" s="129">
        <v>13394.970915059126</v>
      </c>
      <c r="S280" s="124">
        <v>13930.769751661492</v>
      </c>
      <c r="T280" s="124">
        <v>14466.568588263857</v>
      </c>
      <c r="U280" s="125"/>
      <c r="V280" s="123"/>
      <c r="W280" s="123"/>
    </row>
    <row r="281" spans="1:23">
      <c r="A281" s="61" t="s">
        <v>1508</v>
      </c>
      <c r="B281" s="36" t="str">
        <f>IFERROR(HYPERLINK(VLOOKUP(A281,ÜRÜNLER!A:C,3,FALSE),VLOOKUP(A281,ÜRÜNLER!A:B,2,FALSE)),"")</f>
        <v>iQ300 Gömme Aspiratör, 75cm, 379m3, Metalik Gümüş</v>
      </c>
      <c r="C281" s="4"/>
      <c r="D281" s="4"/>
      <c r="E281" s="5"/>
      <c r="F281" s="5"/>
      <c r="G281" s="5"/>
      <c r="H281" s="5"/>
      <c r="I281" s="6">
        <v>1</v>
      </c>
      <c r="J281" s="6"/>
      <c r="K281" s="5"/>
      <c r="L281" s="5"/>
      <c r="M281" s="6"/>
      <c r="N281" s="39">
        <f t="shared" si="10"/>
        <v>1</v>
      </c>
      <c r="O281" s="40">
        <v>0</v>
      </c>
      <c r="P281" s="29"/>
      <c r="Q281" s="125" t="s">
        <v>1773</v>
      </c>
      <c r="R281" s="123">
        <v>35000</v>
      </c>
      <c r="S281" s="124">
        <v>36400</v>
      </c>
      <c r="T281" s="124">
        <v>37800</v>
      </c>
      <c r="U281" s="125"/>
      <c r="V281" s="123"/>
      <c r="W281" s="138">
        <v>1000</v>
      </c>
    </row>
    <row r="282" spans="1:23">
      <c r="A282" s="61" t="s">
        <v>279</v>
      </c>
      <c r="B282" s="36" t="str">
        <f>IFERROR(HYPERLINK(VLOOKUP(A282,ÜRÜNLER!A:C,3,FALSE),VLOOKUP(A282,ÜRÜNLER!A:B,2,FALSE)),"")</f>
        <v>iQ500 Gömme Aspiratör, 86cm, 600m3, Inox</v>
      </c>
      <c r="C282" s="4">
        <v>3</v>
      </c>
      <c r="D282" s="4"/>
      <c r="E282" s="5"/>
      <c r="F282" s="5">
        <v>1</v>
      </c>
      <c r="G282" s="5"/>
      <c r="H282" s="5"/>
      <c r="I282" s="6"/>
      <c r="J282" s="6"/>
      <c r="K282" s="5"/>
      <c r="L282" s="5"/>
      <c r="M282" s="6"/>
      <c r="N282" s="39">
        <f t="shared" si="10"/>
        <v>4</v>
      </c>
      <c r="O282" s="40">
        <v>2</v>
      </c>
      <c r="P282" s="29"/>
      <c r="Q282" s="125">
        <v>43632.825055654801</v>
      </c>
      <c r="R282" s="129">
        <v>41753.899574789284</v>
      </c>
      <c r="S282" s="124">
        <v>43424.055557780855</v>
      </c>
      <c r="T282" s="124">
        <v>45094.211540772427</v>
      </c>
      <c r="U282" s="125"/>
      <c r="V282" s="123"/>
      <c r="W282" s="123"/>
    </row>
    <row r="283" spans="1:23">
      <c r="A283" s="62" t="s">
        <v>278</v>
      </c>
      <c r="B283" s="36" t="str">
        <f>IFERROR(HYPERLINK(VLOOKUP(A283,ÜRÜNLER!A:C,3,FALSE),VLOOKUP(A283,ÜRÜNLER!A:B,2,FALSE)),"")</f>
        <v>iQ700 Gömme Aspiratör, 86cm, 595m3, Siyah</v>
      </c>
      <c r="C283" s="4">
        <v>1</v>
      </c>
      <c r="D283" s="4"/>
      <c r="E283" s="5"/>
      <c r="F283" s="5"/>
      <c r="G283" s="5"/>
      <c r="H283" s="5"/>
      <c r="I283" s="6"/>
      <c r="J283" s="6"/>
      <c r="K283" s="5"/>
      <c r="L283" s="5"/>
      <c r="M283" s="6"/>
      <c r="N283" s="39">
        <f t="shared" si="10"/>
        <v>1</v>
      </c>
      <c r="O283" s="40">
        <v>6</v>
      </c>
      <c r="P283" s="29"/>
      <c r="Q283" s="125">
        <v>48865.046037108717</v>
      </c>
      <c r="R283" s="129">
        <v>46760.809604888731</v>
      </c>
      <c r="S283" s="124">
        <v>48631.241989084279</v>
      </c>
      <c r="T283" s="124">
        <v>50501.674373279828</v>
      </c>
      <c r="U283" s="125"/>
      <c r="V283" s="123"/>
      <c r="W283" s="123"/>
    </row>
    <row r="284" spans="1:23">
      <c r="A284" s="61" t="s">
        <v>274</v>
      </c>
      <c r="B284" s="36" t="str">
        <f>IFERROR(HYPERLINK(VLOOKUP(A284,ÜRÜNLER!A:C,3,FALSE),VLOOKUP(A284,ÜRÜNLER!A:B,2,FALSE)),"")</f>
        <v>iQ100 Teleskopik Aspiratör, 60cm, 310m3, Gümüş</v>
      </c>
      <c r="C284" s="4"/>
      <c r="D284" s="4"/>
      <c r="E284" s="5"/>
      <c r="F284" s="5">
        <v>1</v>
      </c>
      <c r="G284" s="5">
        <v>1</v>
      </c>
      <c r="H284" s="5"/>
      <c r="I284" s="6"/>
      <c r="J284" s="6"/>
      <c r="K284" s="5"/>
      <c r="L284" s="5"/>
      <c r="M284" s="6"/>
      <c r="N284" s="39">
        <f t="shared" si="10"/>
        <v>2</v>
      </c>
      <c r="O284" s="40">
        <v>0</v>
      </c>
      <c r="P284" s="29"/>
      <c r="Q284" s="125">
        <v>8541.4853914892301</v>
      </c>
      <c r="R284" s="129">
        <v>8173.6702310901737</v>
      </c>
      <c r="S284" s="124">
        <v>8500.6170403337801</v>
      </c>
      <c r="T284" s="124">
        <v>8827.5638495773874</v>
      </c>
      <c r="U284" s="125"/>
      <c r="V284" s="123"/>
      <c r="W284" s="123"/>
    </row>
    <row r="285" spans="1:23">
      <c r="A285" s="61" t="s">
        <v>275</v>
      </c>
      <c r="B285" s="36" t="str">
        <f>IFERROR(HYPERLINK(VLOOKUP(A285,ÜRÜNLER!A:C,3,FALSE),VLOOKUP(A285,ÜRÜNLER!A:B,2,FALSE)),"")</f>
        <v>iQ100 Teleskopik Aspiratör, 60cm, 310m3, Beyaz</v>
      </c>
      <c r="C285" s="4">
        <v>7</v>
      </c>
      <c r="D285" s="4"/>
      <c r="E285" s="5"/>
      <c r="F285" s="5">
        <v>1</v>
      </c>
      <c r="G285" s="5"/>
      <c r="H285" s="5"/>
      <c r="I285" s="6"/>
      <c r="J285" s="6"/>
      <c r="K285" s="5"/>
      <c r="L285" s="5"/>
      <c r="M285" s="6"/>
      <c r="N285" s="39">
        <f t="shared" si="10"/>
        <v>8</v>
      </c>
      <c r="O285" s="40">
        <v>0</v>
      </c>
      <c r="P285" s="29"/>
      <c r="Q285" s="125">
        <v>8543.8880061000709</v>
      </c>
      <c r="R285" s="129">
        <v>8175.9693838278199</v>
      </c>
      <c r="S285" s="124">
        <v>8503.0081591809321</v>
      </c>
      <c r="T285" s="124">
        <v>8830.0469345340462</v>
      </c>
      <c r="U285" s="125"/>
      <c r="V285" s="123"/>
      <c r="W285" s="123"/>
    </row>
    <row r="286" spans="1:23">
      <c r="A286" s="61" t="s">
        <v>1730</v>
      </c>
      <c r="B286" s="36" t="str">
        <f>IFERROR(HYPERLINK(VLOOKUP(A286,ÜRÜNLER!A:C,3,FALSE),VLOOKUP(A286,ÜRÜNLER!A:B,2,FALSE)),"")</f>
        <v>iQ300 Tam Entegre Davlumbaz, 60cm, 582m3, Cam Dekor, Mat Siyah</v>
      </c>
      <c r="C286" s="4">
        <v>3</v>
      </c>
      <c r="D286" s="4"/>
      <c r="E286" s="5"/>
      <c r="F286" s="5"/>
      <c r="G286" s="5"/>
      <c r="H286" s="5"/>
      <c r="I286" s="6"/>
      <c r="J286" s="6"/>
      <c r="K286" s="5"/>
      <c r="L286" s="5"/>
      <c r="M286" s="6"/>
      <c r="N286" s="39">
        <f t="shared" si="10"/>
        <v>3</v>
      </c>
      <c r="O286" s="40">
        <v>0</v>
      </c>
      <c r="P286" s="29"/>
      <c r="Q286" s="125">
        <v>24445.36362196046</v>
      </c>
      <c r="R286" s="129">
        <v>23392.692461206181</v>
      </c>
      <c r="S286" s="124">
        <v>24328.400159654429</v>
      </c>
      <c r="T286" s="124">
        <v>25264.107858102674</v>
      </c>
      <c r="U286" s="125"/>
      <c r="V286" s="123"/>
      <c r="W286" s="123"/>
    </row>
    <row r="287" spans="1:23">
      <c r="A287" s="61" t="s">
        <v>1733</v>
      </c>
      <c r="B287" s="36" t="str">
        <f>IFERROR(HYPERLINK(VLOOKUP(A287,ÜRÜNLER!A:C,3,FALSE),VLOOKUP(A287,ÜRÜNLER!A:B,2,FALSE)),"")</f>
        <v>iQ500 Tam Entegre Davlumbaz, 60cm, 433m3, Cam Dekor, Mat Siyah</v>
      </c>
      <c r="C287" s="4"/>
      <c r="D287" s="4"/>
      <c r="E287" s="5"/>
      <c r="F287" s="5"/>
      <c r="G287" s="5"/>
      <c r="H287" s="5"/>
      <c r="I287" s="6"/>
      <c r="J287" s="6"/>
      <c r="K287" s="5"/>
      <c r="L287" s="5"/>
      <c r="M287" s="6"/>
      <c r="N287" s="39">
        <f t="shared" si="10"/>
        <v>0</v>
      </c>
      <c r="O287" s="40">
        <v>5</v>
      </c>
      <c r="P287" s="29"/>
      <c r="Q287" s="125">
        <v>36483.835310208007</v>
      </c>
      <c r="R287" s="129">
        <v>34912.761062400008</v>
      </c>
      <c r="S287" s="124">
        <v>36309.271504896009</v>
      </c>
      <c r="T287" s="124">
        <v>37705.78194739201</v>
      </c>
      <c r="U287" s="125"/>
      <c r="V287" s="123"/>
      <c r="W287" s="123"/>
    </row>
    <row r="288" spans="1:23">
      <c r="A288" s="61" t="s">
        <v>1736</v>
      </c>
      <c r="B288" s="36" t="str">
        <f>IFERROR(HYPERLINK(VLOOKUP(A288,ÜRÜNLER!A:C,3,FALSE),VLOOKUP(A288,ÜRÜNLER!A:B,2,FALSE)),"")</f>
        <v>iQ300 Tam Entegre Davlumbaz, 80cm, 582m3, Cam Dekor, Mat Siyah</v>
      </c>
      <c r="C288" s="4"/>
      <c r="D288" s="4"/>
      <c r="E288" s="5"/>
      <c r="F288" s="5"/>
      <c r="G288" s="5"/>
      <c r="H288" s="5"/>
      <c r="I288" s="6"/>
      <c r="J288" s="6"/>
      <c r="K288" s="5"/>
      <c r="L288" s="5"/>
      <c r="M288" s="6"/>
      <c r="N288" s="39">
        <f t="shared" si="10"/>
        <v>0</v>
      </c>
      <c r="O288" s="40">
        <v>5</v>
      </c>
      <c r="P288" s="29"/>
      <c r="Q288" s="125">
        <v>32762.359434244197</v>
      </c>
      <c r="R288" s="129">
        <v>31351.540128463344</v>
      </c>
      <c r="S288" s="124">
        <v>32605.601733601878</v>
      </c>
      <c r="T288" s="124">
        <v>33859.663338740414</v>
      </c>
      <c r="U288" s="125"/>
      <c r="V288" s="123"/>
      <c r="W288" s="123"/>
    </row>
    <row r="289" spans="1:23" ht="39.75" customHeight="1">
      <c r="A289" s="69" t="s">
        <v>280</v>
      </c>
      <c r="B289" s="36" t="str">
        <f>IFERROR(HYPERLINK(VLOOKUP(A289,ÜRÜNLER!A:C,3,FALSE),VLOOKUP(A289,ÜRÜNLER!A:B,2,FALSE)),"")</f>
        <v/>
      </c>
      <c r="C289" s="4"/>
      <c r="D289" s="4"/>
      <c r="E289" s="5"/>
      <c r="F289" s="5"/>
      <c r="G289" s="5"/>
      <c r="H289" s="5"/>
      <c r="I289" s="6"/>
      <c r="J289" s="6"/>
      <c r="K289" s="5"/>
      <c r="L289" s="5"/>
      <c r="M289" s="6"/>
      <c r="N289" s="39">
        <f>SUM(N278:N288)</f>
        <v>35</v>
      </c>
      <c r="O289" s="40">
        <v>0</v>
      </c>
      <c r="P289" s="5"/>
      <c r="R289" s="123"/>
      <c r="S289" s="124"/>
      <c r="T289" s="124"/>
      <c r="U289" s="125"/>
      <c r="V289" s="123"/>
      <c r="W289" s="123"/>
    </row>
    <row r="290" spans="1:23">
      <c r="A290" s="79" t="s">
        <v>1776</v>
      </c>
      <c r="B290" s="36" t="str">
        <f>IFERROR(HYPERLINK(VLOOKUP(A290,ÜRÜNLER!A:C,3,FALSE),VLOOKUP(A290,ÜRÜNLER!A:B,2,FALSE)),"")</f>
        <v>iQ700 Gazlı Ocak, 60cm, Sert Cam, Siyah, Döküm</v>
      </c>
      <c r="C290" s="4">
        <v>2</v>
      </c>
      <c r="D290" s="4"/>
      <c r="E290" s="5"/>
      <c r="F290" s="5"/>
      <c r="G290" s="5"/>
      <c r="H290" s="5"/>
      <c r="I290" s="6"/>
      <c r="J290" s="6"/>
      <c r="K290" s="5"/>
      <c r="L290" s="5"/>
      <c r="M290" s="6"/>
      <c r="N290" s="39">
        <f t="shared" ref="N290:N353" si="11">M290+K290+L290+J290+I290+H290+G290+F290+E290+D290+C290</f>
        <v>2</v>
      </c>
      <c r="O290" s="40">
        <v>0</v>
      </c>
      <c r="P290" s="5"/>
      <c r="Q290" s="125">
        <v>65219.199996011448</v>
      </c>
      <c r="R290" s="129">
        <v>62410.717699532492</v>
      </c>
      <c r="S290" s="124">
        <v>64907.146407513792</v>
      </c>
      <c r="T290" s="124">
        <v>67403.575115495085</v>
      </c>
      <c r="U290" s="125"/>
      <c r="V290" s="123"/>
      <c r="W290" s="123"/>
    </row>
    <row r="291" spans="1:23">
      <c r="A291" s="79" t="s">
        <v>1777</v>
      </c>
      <c r="B291" s="36" t="str">
        <f>IFERROR(HYPERLINK(VLOOKUP(A291,ÜRÜNLER!A:C,3,FALSE),VLOOKUP(A291,ÜRÜNLER!A:B,2,FALSE)),"")</f>
        <v>iQ700 Gazlı Domino Ocak, 30cm, Tek Gözlü, Seramik, Siyah, Wok</v>
      </c>
      <c r="C291" s="4">
        <v>2</v>
      </c>
      <c r="D291" s="4"/>
      <c r="E291" s="5"/>
      <c r="F291" s="5"/>
      <c r="G291" s="5"/>
      <c r="H291" s="5"/>
      <c r="I291" s="6"/>
      <c r="J291" s="6"/>
      <c r="K291" s="5"/>
      <c r="L291" s="5"/>
      <c r="M291" s="6"/>
      <c r="N291" s="39">
        <f t="shared" si="11"/>
        <v>2</v>
      </c>
      <c r="O291" s="40">
        <v>0</v>
      </c>
      <c r="P291" s="5"/>
      <c r="Q291" s="125">
        <v>45781.875981564386</v>
      </c>
      <c r="R291" s="129">
        <v>43810.407637860662</v>
      </c>
      <c r="S291" s="124">
        <v>45562.823943375086</v>
      </c>
      <c r="T291" s="124">
        <v>47315.240248889517</v>
      </c>
      <c r="U291" s="125"/>
      <c r="V291" s="123"/>
      <c r="W291" s="123"/>
    </row>
    <row r="292" spans="1:23">
      <c r="A292" s="79" t="s">
        <v>1778</v>
      </c>
      <c r="B292" s="36" t="str">
        <f>IFERROR(HYPERLINK(VLOOKUP(A292,ÜRÜNLER!A:C,3,FALSE),VLOOKUP(A292,ÜRÜNLER!A:B,2,FALSE)),"")</f>
        <v>iQ700 Gazlı Domino Ocak, 30cm, 2 Gözlü, Seramik, Siyah</v>
      </c>
      <c r="C292" s="4"/>
      <c r="D292" s="4"/>
      <c r="E292" s="5"/>
      <c r="F292" s="5"/>
      <c r="G292" s="5"/>
      <c r="H292" s="5"/>
      <c r="I292" s="6"/>
      <c r="J292" s="6"/>
      <c r="K292" s="5"/>
      <c r="L292" s="5"/>
      <c r="M292" s="6"/>
      <c r="N292" s="39">
        <f t="shared" si="11"/>
        <v>0</v>
      </c>
      <c r="O292" s="40">
        <v>2</v>
      </c>
      <c r="P292" s="5"/>
      <c r="Q292" s="125">
        <v>44196.020558411517</v>
      </c>
      <c r="R292" s="129">
        <v>42292.842639628252</v>
      </c>
      <c r="S292" s="124">
        <v>43984.556345213379</v>
      </c>
      <c r="T292" s="124">
        <v>45676.270050798514</v>
      </c>
      <c r="U292" s="125"/>
      <c r="V292" s="123"/>
      <c r="W292" s="123"/>
    </row>
    <row r="293" spans="1:23">
      <c r="A293" s="79" t="s">
        <v>1779</v>
      </c>
      <c r="B293" s="36" t="str">
        <f>IFERROR(HYPERLINK(VLOOKUP(A293,ÜRÜNLER!A:C,3,FALSE),VLOOKUP(A293,ÜRÜNLER!A:B,2,FALSE)),"")</f>
        <v>iQ500 Gazlı Ocak, 90cm, 5 Gözlü, Inox, Döküm, Wok</v>
      </c>
      <c r="C293" s="4">
        <v>2</v>
      </c>
      <c r="D293" s="4"/>
      <c r="E293" s="5"/>
      <c r="F293" s="5"/>
      <c r="G293" s="5"/>
      <c r="H293" s="5"/>
      <c r="I293" s="6"/>
      <c r="J293" s="6"/>
      <c r="K293" s="5"/>
      <c r="L293" s="5"/>
      <c r="M293" s="6"/>
      <c r="N293" s="39">
        <f t="shared" si="11"/>
        <v>2</v>
      </c>
      <c r="O293" s="40">
        <v>0</v>
      </c>
      <c r="P293" s="5"/>
      <c r="Q293" s="125">
        <v>62320.180570050805</v>
      </c>
      <c r="R293" s="129">
        <v>59636.536430670632</v>
      </c>
      <c r="S293" s="124">
        <v>62021.997887897458</v>
      </c>
      <c r="T293" s="124">
        <v>64407.459345124284</v>
      </c>
      <c r="U293" s="125"/>
      <c r="V293" s="123"/>
      <c r="W293" s="123"/>
    </row>
    <row r="294" spans="1:23">
      <c r="A294" s="79" t="s">
        <v>1780</v>
      </c>
      <c r="B294" s="36" t="str">
        <f>IFERROR(HYPERLINK(VLOOKUP(A294,ÜRÜNLER!A:C,3,FALSE),VLOOKUP(A294,ÜRÜNLER!A:B,2,FALSE)),"")</f>
        <v>iQ500 Gazlı Ocak, 60cm, Sert Cam, Beyaz, Döküm</v>
      </c>
      <c r="C294" s="4"/>
      <c r="D294" s="4"/>
      <c r="E294" s="5"/>
      <c r="F294" s="5"/>
      <c r="G294" s="5"/>
      <c r="H294" s="5"/>
      <c r="I294" s="6"/>
      <c r="J294" s="6"/>
      <c r="K294" s="5"/>
      <c r="L294" s="5"/>
      <c r="M294" s="6"/>
      <c r="N294" s="39">
        <f t="shared" si="11"/>
        <v>0</v>
      </c>
      <c r="O294" s="40">
        <v>0</v>
      </c>
      <c r="P294" s="5"/>
      <c r="Q294" s="125">
        <v>42302.270980344096</v>
      </c>
      <c r="R294" s="129">
        <v>40480.642086453685</v>
      </c>
      <c r="S294" s="124">
        <v>42099.867769911834</v>
      </c>
      <c r="T294" s="124">
        <v>43719.093453369976</v>
      </c>
      <c r="U294" s="125"/>
      <c r="V294" s="123"/>
      <c r="W294" s="123"/>
    </row>
    <row r="295" spans="1:23">
      <c r="A295" s="79" t="s">
        <v>1481</v>
      </c>
      <c r="B295" s="36" t="str">
        <f>IFERROR(HYPERLINK(VLOOKUP(A295,ÜRÜNLER!A:C,3,FALSE),VLOOKUP(A295,ÜRÜNLER!A:B,2,FALSE)),"")</f>
        <v>iQ300 Gazlı Ocak, 67cm, Sert Cam, Beyaz</v>
      </c>
      <c r="C295" s="4">
        <v>5</v>
      </c>
      <c r="D295" s="4"/>
      <c r="E295" s="5"/>
      <c r="F295" s="5">
        <v>1</v>
      </c>
      <c r="G295" s="5"/>
      <c r="H295" s="5"/>
      <c r="I295" s="6"/>
      <c r="J295" s="6"/>
      <c r="K295" s="5"/>
      <c r="L295" s="5"/>
      <c r="M295" s="6"/>
      <c r="N295" s="39">
        <f t="shared" si="11"/>
        <v>6</v>
      </c>
      <c r="O295" s="40">
        <v>0</v>
      </c>
      <c r="P295" s="5"/>
      <c r="Q295" s="125">
        <v>17392.820074899988</v>
      </c>
      <c r="R295" s="129">
        <v>16643.846961626783</v>
      </c>
      <c r="S295" s="124">
        <v>17309.600840091854</v>
      </c>
      <c r="T295" s="124">
        <v>17975.354718556926</v>
      </c>
      <c r="U295" s="125"/>
      <c r="V295" s="123"/>
      <c r="W295" s="123"/>
    </row>
    <row r="296" spans="1:23">
      <c r="A296" s="80" t="s">
        <v>1628</v>
      </c>
      <c r="B296" s="36" t="str">
        <f>IFERROR(HYPERLINK(VLOOKUP(A296,ÜRÜNLER!A:C,3,FALSE),VLOOKUP(A296,ÜRÜNLER!A:B,2,FALSE)),"")</f>
        <v>iQ100 Ankastre Gazlı Ocak, 60cm, Emaye, Beyaz</v>
      </c>
      <c r="C296" s="4"/>
      <c r="D296" s="4"/>
      <c r="E296" s="5"/>
      <c r="F296" s="5"/>
      <c r="G296" s="5"/>
      <c r="H296" s="5"/>
      <c r="I296" s="6"/>
      <c r="J296" s="6"/>
      <c r="K296" s="5">
        <v>1</v>
      </c>
      <c r="L296" s="5"/>
      <c r="M296" s="6"/>
      <c r="N296" s="39">
        <f t="shared" si="11"/>
        <v>1</v>
      </c>
      <c r="O296" s="40">
        <v>0</v>
      </c>
      <c r="P296" s="29"/>
      <c r="Q296" s="125" t="s">
        <v>1773</v>
      </c>
      <c r="R296" s="123">
        <v>7500</v>
      </c>
      <c r="S296" s="124">
        <v>7800</v>
      </c>
      <c r="T296" s="124">
        <v>8100</v>
      </c>
      <c r="U296" s="125"/>
      <c r="V296" s="123"/>
      <c r="W296" s="138">
        <v>500</v>
      </c>
    </row>
    <row r="297" spans="1:23">
      <c r="A297" s="80" t="s">
        <v>1498</v>
      </c>
      <c r="B297" s="36" t="str">
        <f>IFERROR(HYPERLINK(VLOOKUP(A297,ÜRÜNLER!A:C,3,FALSE),VLOOKUP(A297,ÜRÜNLER!A:B,2,FALSE)),"")</f>
        <v>iQ300 Gazlı Ocak, 60cm, Sert Cam, Siyah</v>
      </c>
      <c r="C297" s="4"/>
      <c r="D297" s="4"/>
      <c r="E297" s="5"/>
      <c r="F297" s="5"/>
      <c r="G297" s="5"/>
      <c r="H297" s="5"/>
      <c r="I297" s="6"/>
      <c r="J297" s="6"/>
      <c r="K297" s="5">
        <v>1</v>
      </c>
      <c r="L297" s="5"/>
      <c r="M297" s="6"/>
      <c r="N297" s="39">
        <f t="shared" si="11"/>
        <v>1</v>
      </c>
      <c r="O297" s="40">
        <v>0</v>
      </c>
      <c r="P297" s="29"/>
      <c r="Q297" s="125" t="s">
        <v>1773</v>
      </c>
      <c r="R297" s="123">
        <v>16000</v>
      </c>
      <c r="S297" s="124">
        <v>16640</v>
      </c>
      <c r="T297" s="124">
        <v>17280</v>
      </c>
      <c r="U297" s="125"/>
      <c r="V297" s="123"/>
      <c r="W297" s="138">
        <v>500</v>
      </c>
    </row>
    <row r="298" spans="1:23">
      <c r="A298" s="80" t="s">
        <v>1357</v>
      </c>
      <c r="B298" s="36" t="str">
        <f>IFERROR(HYPERLINK(VLOOKUP(A298,ÜRÜNLER!A:C,3,FALSE),VLOOKUP(A298,ÜRÜNLER!A:B,2,FALSE)),"")</f>
        <v>iQ100 Gazlı Ocak, 60cm, Sert Cam, Beyaz, Döküm</v>
      </c>
      <c r="C298" s="4">
        <v>5</v>
      </c>
      <c r="D298" s="4"/>
      <c r="E298" s="5"/>
      <c r="F298" s="5"/>
      <c r="G298" s="5"/>
      <c r="H298" s="5"/>
      <c r="I298" s="6">
        <v>1</v>
      </c>
      <c r="J298" s="6"/>
      <c r="K298" s="5"/>
      <c r="L298" s="5"/>
      <c r="M298" s="6"/>
      <c r="N298" s="39">
        <f t="shared" si="11"/>
        <v>6</v>
      </c>
      <c r="O298" s="40">
        <v>0</v>
      </c>
      <c r="P298" s="29"/>
      <c r="Q298" s="125" t="s">
        <v>1773</v>
      </c>
      <c r="R298" s="123">
        <v>13000</v>
      </c>
      <c r="S298" s="124">
        <v>13520</v>
      </c>
      <c r="T298" s="124">
        <v>14040</v>
      </c>
      <c r="U298" s="125"/>
      <c r="V298" s="123"/>
      <c r="W298" s="123"/>
    </row>
    <row r="299" spans="1:23">
      <c r="A299" s="80" t="s">
        <v>1630</v>
      </c>
      <c r="B299" s="36" t="str">
        <f>IFERROR(HYPERLINK(VLOOKUP(A299,ÜRÜNLER!A:C,3,FALSE),VLOOKUP(A299,ÜRÜNLER!A:B,2,FALSE)),"")</f>
        <v>iQ100 Gazlı Ocak, 60cm, Sert Cam, Siyah, Wok</v>
      </c>
      <c r="C299" s="4">
        <v>1</v>
      </c>
      <c r="D299" s="4"/>
      <c r="E299" s="5"/>
      <c r="F299" s="5">
        <v>1</v>
      </c>
      <c r="G299" s="5"/>
      <c r="H299" s="5"/>
      <c r="I299" s="6"/>
      <c r="J299" s="6"/>
      <c r="K299" s="5"/>
      <c r="L299" s="5"/>
      <c r="M299" s="6"/>
      <c r="N299" s="39">
        <f t="shared" si="11"/>
        <v>2</v>
      </c>
      <c r="O299" s="40">
        <v>0</v>
      </c>
      <c r="P299" s="29"/>
      <c r="Q299" s="125" t="s">
        <v>1773</v>
      </c>
      <c r="R299" s="123">
        <v>12500</v>
      </c>
      <c r="S299" s="124">
        <v>13000</v>
      </c>
      <c r="T299" s="124">
        <v>13500</v>
      </c>
      <c r="U299" s="125"/>
      <c r="V299" s="123"/>
      <c r="W299" s="123"/>
    </row>
    <row r="300" spans="1:23">
      <c r="A300" s="81" t="s">
        <v>283</v>
      </c>
      <c r="B300" s="36" t="str">
        <f>IFERROR(HYPERLINK(VLOOKUP(A300,ÜRÜNLER!A:C,3,FALSE),VLOOKUP(A300,ÜRÜNLER!A:B,2,FALSE)),"")</f>
        <v>iQ100 Gazlı Ocak, 60cm, Emaye, Beyaz</v>
      </c>
      <c r="C300" s="4"/>
      <c r="D300" s="4"/>
      <c r="E300" s="5"/>
      <c r="F300" s="5">
        <v>1</v>
      </c>
      <c r="G300" s="5"/>
      <c r="H300" s="5"/>
      <c r="I300" s="6">
        <v>1</v>
      </c>
      <c r="J300" s="6"/>
      <c r="K300" s="5"/>
      <c r="L300" s="5">
        <v>1</v>
      </c>
      <c r="M300" s="6"/>
      <c r="N300" s="39">
        <f t="shared" si="11"/>
        <v>3</v>
      </c>
      <c r="O300" s="40">
        <v>0</v>
      </c>
      <c r="P300" s="29"/>
      <c r="Q300" s="125" t="s">
        <v>1773</v>
      </c>
      <c r="R300" s="123">
        <v>7500</v>
      </c>
      <c r="S300" s="124">
        <v>7800</v>
      </c>
      <c r="T300" s="124">
        <v>8100</v>
      </c>
      <c r="U300" s="125"/>
      <c r="V300" s="123"/>
      <c r="W300" s="129">
        <v>250</v>
      </c>
    </row>
    <row r="301" spans="1:23">
      <c r="A301" s="81" t="s">
        <v>284</v>
      </c>
      <c r="B301" s="36" t="str">
        <f>IFERROR(HYPERLINK(VLOOKUP(A301,ÜRÜNLER!A:C,3,FALSE),VLOOKUP(A301,ÜRÜNLER!A:B,2,FALSE)),"")</f>
        <v>iQ100 Gazlı/Elektrikli Ocak, 60cm, Inox</v>
      </c>
      <c r="C301" s="4">
        <v>3</v>
      </c>
      <c r="D301" s="4"/>
      <c r="E301" s="5"/>
      <c r="F301" s="5"/>
      <c r="G301" s="5"/>
      <c r="H301" s="5"/>
      <c r="I301" s="6"/>
      <c r="J301" s="6"/>
      <c r="K301" s="5"/>
      <c r="L301" s="5"/>
      <c r="M301" s="6"/>
      <c r="N301" s="39">
        <f t="shared" si="11"/>
        <v>3</v>
      </c>
      <c r="O301" s="40">
        <v>0</v>
      </c>
      <c r="P301" s="29"/>
      <c r="Q301" s="125" t="s">
        <v>1773</v>
      </c>
      <c r="R301" s="123">
        <v>9000</v>
      </c>
      <c r="S301" s="124">
        <v>9360</v>
      </c>
      <c r="T301" s="124">
        <v>9720</v>
      </c>
      <c r="U301" s="125"/>
      <c r="V301" s="123"/>
      <c r="W301" s="129">
        <v>250</v>
      </c>
    </row>
    <row r="302" spans="1:23">
      <c r="A302" s="81" t="s">
        <v>285</v>
      </c>
      <c r="B302" s="36" t="str">
        <f>IFERROR(HYPERLINK(VLOOKUP(A302,ÜRÜNLER!A:C,3,FALSE),VLOOKUP(A302,ÜRÜNLER!A:B,2,FALSE)),"")</f>
        <v>iQ100 Gazlı Ocak, 60cm, Emaye, Siyah</v>
      </c>
      <c r="C302" s="4">
        <v>2</v>
      </c>
      <c r="D302" s="4"/>
      <c r="E302" s="5"/>
      <c r="F302" s="5"/>
      <c r="G302" s="5"/>
      <c r="H302" s="5"/>
      <c r="I302" s="6"/>
      <c r="J302" s="6"/>
      <c r="K302" s="5"/>
      <c r="L302" s="5">
        <v>1</v>
      </c>
      <c r="M302" s="6"/>
      <c r="N302" s="39">
        <f t="shared" si="11"/>
        <v>3</v>
      </c>
      <c r="O302" s="40">
        <v>0</v>
      </c>
      <c r="P302" s="29"/>
      <c r="Q302" s="125" t="s">
        <v>1773</v>
      </c>
      <c r="R302" s="123">
        <v>7500</v>
      </c>
      <c r="S302" s="124">
        <v>7800</v>
      </c>
      <c r="T302" s="124">
        <v>8100</v>
      </c>
      <c r="U302" s="125"/>
      <c r="V302" s="123"/>
      <c r="W302" s="129">
        <v>250</v>
      </c>
    </row>
    <row r="303" spans="1:23">
      <c r="A303" s="82" t="s">
        <v>286</v>
      </c>
      <c r="B303" s="36" t="str">
        <f>IFERROR(HYPERLINK(VLOOKUP(A303,ÜRÜNLER!A:C,3,FALSE),VLOOKUP(A303,ÜRÜNLER!A:B,2,FALSE)),"")</f>
        <v>iQ500 Gazlı Ocak, 60cm, Inox, Döküm</v>
      </c>
      <c r="C303" s="4"/>
      <c r="D303" s="4"/>
      <c r="E303" s="5"/>
      <c r="F303" s="5"/>
      <c r="G303" s="5"/>
      <c r="H303" s="5"/>
      <c r="I303" s="6"/>
      <c r="J303" s="6"/>
      <c r="K303" s="5"/>
      <c r="L303" s="5">
        <v>1</v>
      </c>
      <c r="M303" s="6"/>
      <c r="N303" s="39">
        <f t="shared" si="11"/>
        <v>1</v>
      </c>
      <c r="O303" s="40">
        <v>0</v>
      </c>
      <c r="P303" s="29"/>
      <c r="Q303" s="125" t="s">
        <v>1773</v>
      </c>
      <c r="R303" s="123">
        <v>30000</v>
      </c>
      <c r="S303" s="124">
        <v>31200</v>
      </c>
      <c r="T303" s="124">
        <v>32400</v>
      </c>
      <c r="U303" s="125"/>
      <c r="V303" s="123"/>
      <c r="W303" s="126">
        <v>1000</v>
      </c>
    </row>
    <row r="304" spans="1:23">
      <c r="A304" s="64" t="s">
        <v>288</v>
      </c>
      <c r="B304" s="36" t="str">
        <f>IFERROR(HYPERLINK(VLOOKUP(A304,ÜRÜNLER!A:C,3,FALSE),VLOOKUP(A304,ÜRÜNLER!A:B,2,FALSE)),"")</f>
        <v>iQ300 Gazlı Ocak, 60cm, Inox, Döküm</v>
      </c>
      <c r="C304" s="4"/>
      <c r="D304" s="4"/>
      <c r="E304" s="5"/>
      <c r="F304" s="5"/>
      <c r="G304" s="5"/>
      <c r="H304" s="5"/>
      <c r="I304" s="6">
        <v>1</v>
      </c>
      <c r="J304" s="6"/>
      <c r="K304" s="5"/>
      <c r="L304" s="5"/>
      <c r="M304" s="6"/>
      <c r="N304" s="39">
        <f t="shared" si="11"/>
        <v>1</v>
      </c>
      <c r="O304" s="40">
        <v>0</v>
      </c>
      <c r="P304" s="29"/>
      <c r="Q304" s="125" t="s">
        <v>1773</v>
      </c>
      <c r="R304" s="123">
        <v>20000</v>
      </c>
      <c r="S304" s="124">
        <v>20800</v>
      </c>
      <c r="T304" s="124">
        <v>21600</v>
      </c>
      <c r="U304" s="125"/>
      <c r="V304" s="123"/>
      <c r="W304" s="126">
        <v>1000</v>
      </c>
    </row>
    <row r="305" spans="1:23">
      <c r="A305" s="64" t="s">
        <v>289</v>
      </c>
      <c r="B305" s="36" t="str">
        <f>IFERROR(HYPERLINK(VLOOKUP(A305,ÜRÜNLER!A:C,3,FALSE),VLOOKUP(A305,ÜRÜNLER!A:B,2,FALSE)),"")</f>
        <v>iQ300 Gazlı Ocak, 60cm, Sert Cam, Beyaz, Döküm</v>
      </c>
      <c r="C305" s="4">
        <v>2</v>
      </c>
      <c r="D305" s="4"/>
      <c r="E305" s="5"/>
      <c r="F305" s="5">
        <v>1</v>
      </c>
      <c r="G305" s="5"/>
      <c r="H305" s="5"/>
      <c r="I305" s="6"/>
      <c r="J305" s="6"/>
      <c r="K305" s="5"/>
      <c r="L305" s="5"/>
      <c r="M305" s="6"/>
      <c r="N305" s="39">
        <f t="shared" si="11"/>
        <v>3</v>
      </c>
      <c r="O305" s="40">
        <v>0</v>
      </c>
      <c r="P305" s="29"/>
      <c r="Q305" s="125">
        <v>23700.85601656395</v>
      </c>
      <c r="R305" s="129">
        <v>22680.244991927226</v>
      </c>
      <c r="S305" s="124">
        <v>23587.454791604316</v>
      </c>
      <c r="T305" s="124">
        <v>24494.664591281406</v>
      </c>
      <c r="U305" s="125"/>
      <c r="V305" s="123"/>
      <c r="W305" s="123"/>
    </row>
    <row r="306" spans="1:23">
      <c r="A306" s="70" t="s">
        <v>291</v>
      </c>
      <c r="B306" s="36" t="str">
        <f>IFERROR(HYPERLINK(VLOOKUP(A306,ÜRÜNLER!A:C,3,FALSE),VLOOKUP(A306,ÜRÜNLER!A:B,2,FALSE)),"")</f>
        <v>iQ100 Gazlı Ocak, 60cm, Sert Cam, Siyah, Wok</v>
      </c>
      <c r="C306" s="4"/>
      <c r="D306" s="4"/>
      <c r="E306" s="5"/>
      <c r="F306" s="5"/>
      <c r="G306" s="5"/>
      <c r="H306" s="5"/>
      <c r="I306" s="6"/>
      <c r="J306" s="6">
        <v>1</v>
      </c>
      <c r="K306" s="5"/>
      <c r="L306" s="5"/>
      <c r="M306" s="6"/>
      <c r="N306" s="39">
        <f t="shared" si="11"/>
        <v>1</v>
      </c>
      <c r="O306" s="40">
        <v>0</v>
      </c>
      <c r="P306" s="29"/>
      <c r="Q306" s="125" t="s">
        <v>1773</v>
      </c>
      <c r="R306" s="123">
        <v>20000</v>
      </c>
      <c r="S306" s="124">
        <v>20800</v>
      </c>
      <c r="T306" s="124">
        <v>21600</v>
      </c>
      <c r="U306" s="125"/>
      <c r="V306" s="123"/>
      <c r="W306" s="126">
        <v>500</v>
      </c>
    </row>
    <row r="307" spans="1:23">
      <c r="A307" s="72" t="s">
        <v>292</v>
      </c>
      <c r="B307" s="36" t="str">
        <f>IFERROR(HYPERLINK(VLOOKUP(A307,ÜRÜNLER!A:C,3,FALSE),VLOOKUP(A307,ÜRÜNLER!A:B,2,FALSE)),"")</f>
        <v>iQ100 Gazlı Ocak, 60cm, Sert Cam, Titanyum Gri</v>
      </c>
      <c r="C307" s="4">
        <v>2</v>
      </c>
      <c r="D307" s="4"/>
      <c r="E307" s="5"/>
      <c r="F307" s="5"/>
      <c r="G307" s="5"/>
      <c r="H307" s="5"/>
      <c r="I307" s="6"/>
      <c r="J307" s="6">
        <v>1</v>
      </c>
      <c r="K307" s="5"/>
      <c r="L307" s="5"/>
      <c r="M307" s="6"/>
      <c r="N307" s="39">
        <f t="shared" si="11"/>
        <v>3</v>
      </c>
      <c r="O307" s="40">
        <v>0</v>
      </c>
      <c r="P307" s="29"/>
      <c r="Q307" s="125" t="s">
        <v>1773</v>
      </c>
      <c r="R307" s="123">
        <v>17000</v>
      </c>
      <c r="S307" s="124">
        <v>17680</v>
      </c>
      <c r="T307" s="124">
        <v>18360</v>
      </c>
      <c r="U307" s="125"/>
      <c r="V307" s="123"/>
      <c r="W307" s="126">
        <v>500</v>
      </c>
    </row>
    <row r="308" spans="1:23">
      <c r="A308" s="72" t="s">
        <v>293</v>
      </c>
      <c r="B308" s="36" t="str">
        <f>IFERROR(HYPERLINK(VLOOKUP(A308,ÜRÜNLER!A:C,3,FALSE),VLOOKUP(A308,ÜRÜNLER!A:B,2,FALSE)),"")</f>
        <v>iQ100 Gazlı Ocak, 60cm, Sert Cam, Antrasit Gri</v>
      </c>
      <c r="C308" s="4">
        <v>19</v>
      </c>
      <c r="D308" s="4"/>
      <c r="E308" s="5"/>
      <c r="F308" s="5"/>
      <c r="G308" s="5"/>
      <c r="H308" s="5"/>
      <c r="I308" s="6">
        <v>1</v>
      </c>
      <c r="J308" s="6">
        <v>1</v>
      </c>
      <c r="K308" s="5">
        <v>1</v>
      </c>
      <c r="L308" s="5">
        <v>1</v>
      </c>
      <c r="M308" s="6"/>
      <c r="N308" s="39">
        <f t="shared" si="11"/>
        <v>23</v>
      </c>
      <c r="O308" s="40">
        <v>0</v>
      </c>
      <c r="P308" s="29"/>
      <c r="Q308" s="125" t="s">
        <v>1773</v>
      </c>
      <c r="R308" s="123">
        <v>15633.936</v>
      </c>
      <c r="S308" s="124">
        <v>16259.293439999999</v>
      </c>
      <c r="T308" s="124">
        <v>16884.650880000001</v>
      </c>
      <c r="U308" s="125"/>
      <c r="V308" s="123"/>
      <c r="W308" s="126">
        <v>500</v>
      </c>
    </row>
    <row r="309" spans="1:23">
      <c r="A309" s="83" t="s">
        <v>294</v>
      </c>
      <c r="B309" s="36" t="str">
        <f>IFERROR(HYPERLINK(VLOOKUP(A309,ÜRÜNLER!A:C,3,FALSE),VLOOKUP(A309,ÜRÜNLER!A:B,2,FALSE)),"")</f>
        <v>iQ300 Gazlı Ocak, 60cm, Sert Cam, Beyaz</v>
      </c>
      <c r="C309" s="4">
        <v>3</v>
      </c>
      <c r="D309" s="4"/>
      <c r="E309" s="5"/>
      <c r="F309" s="5"/>
      <c r="G309" s="5"/>
      <c r="H309" s="5"/>
      <c r="I309" s="6"/>
      <c r="J309" s="6"/>
      <c r="K309" s="5"/>
      <c r="L309" s="5"/>
      <c r="M309" s="6">
        <v>1</v>
      </c>
      <c r="N309" s="39">
        <f t="shared" si="11"/>
        <v>4</v>
      </c>
      <c r="O309" s="40">
        <v>0</v>
      </c>
      <c r="P309" s="29"/>
      <c r="Q309" s="125" t="s">
        <v>1773</v>
      </c>
      <c r="R309" s="123">
        <v>14000</v>
      </c>
      <c r="S309" s="124">
        <v>14560</v>
      </c>
      <c r="T309" s="124">
        <v>15120</v>
      </c>
      <c r="U309" s="125"/>
      <c r="V309" s="123"/>
      <c r="W309" s="126">
        <v>500</v>
      </c>
    </row>
    <row r="310" spans="1:23">
      <c r="A310" s="64" t="s">
        <v>295</v>
      </c>
      <c r="B310" s="36" t="str">
        <f>IFERROR(HYPERLINK(VLOOKUP(A310,ÜRÜNLER!A:C,3,FALSE),VLOOKUP(A310,ÜRÜNLER!A:B,2,FALSE)),"")</f>
        <v>iQ300 Gazlı Ocak, 60cm, Sert Cam, Beyaz</v>
      </c>
      <c r="C310" s="4">
        <v>6</v>
      </c>
      <c r="D310" s="4"/>
      <c r="E310" s="5"/>
      <c r="F310" s="5"/>
      <c r="G310" s="5"/>
      <c r="H310" s="5"/>
      <c r="I310" s="6"/>
      <c r="J310" s="6"/>
      <c r="K310" s="5"/>
      <c r="L310" s="5"/>
      <c r="M310" s="6"/>
      <c r="N310" s="39">
        <f t="shared" si="11"/>
        <v>6</v>
      </c>
      <c r="O310" s="40">
        <v>5</v>
      </c>
      <c r="P310" s="29"/>
      <c r="Q310" s="125">
        <v>14675.103456329603</v>
      </c>
      <c r="R310" s="129">
        <v>14043.161202229287</v>
      </c>
      <c r="S310" s="124">
        <v>14604.887650318458</v>
      </c>
      <c r="T310" s="124">
        <v>15166.61409840763</v>
      </c>
      <c r="U310" s="125"/>
      <c r="V310" s="123"/>
      <c r="W310" s="123"/>
    </row>
    <row r="311" spans="1:23">
      <c r="A311" s="70" t="s">
        <v>299</v>
      </c>
      <c r="B311" s="36" t="str">
        <f>IFERROR(HYPERLINK(VLOOKUP(A311,ÜRÜNLER!A:C,3,FALSE),VLOOKUP(A311,ÜRÜNLER!A:B,2,FALSE)),"")</f>
        <v>iQ300 Gazlı Ocak, 60cm, Sert Cam, Siyah</v>
      </c>
      <c r="C311" s="4">
        <v>9</v>
      </c>
      <c r="D311" s="4"/>
      <c r="E311" s="5"/>
      <c r="F311" s="5"/>
      <c r="G311" s="5"/>
      <c r="H311" s="5"/>
      <c r="I311" s="6">
        <v>1</v>
      </c>
      <c r="J311" s="6"/>
      <c r="K311" s="5"/>
      <c r="L311" s="5"/>
      <c r="M311" s="6">
        <v>1</v>
      </c>
      <c r="N311" s="39">
        <f t="shared" si="11"/>
        <v>11</v>
      </c>
      <c r="O311" s="40">
        <v>5</v>
      </c>
      <c r="P311" s="29"/>
      <c r="Q311" s="125">
        <v>14675.103456329603</v>
      </c>
      <c r="R311" s="129">
        <v>14043.161202229287</v>
      </c>
      <c r="S311" s="124">
        <v>14604.887650318458</v>
      </c>
      <c r="T311" s="124">
        <v>15166.61409840763</v>
      </c>
      <c r="U311" s="125"/>
      <c r="V311" s="123"/>
      <c r="W311" s="123"/>
    </row>
    <row r="312" spans="1:23">
      <c r="A312" s="72" t="s">
        <v>300</v>
      </c>
      <c r="B312" s="36" t="str">
        <f>IFERROR(HYPERLINK(VLOOKUP(A312,ÜRÜNLER!A:C,3,FALSE),VLOOKUP(A312,ÜRÜNLER!A:B,2,FALSE)),"")</f>
        <v>iQ100 Gazlı Ocak, 60cm, Sert Cam, Titanyum Gri</v>
      </c>
      <c r="C312" s="4"/>
      <c r="D312" s="4"/>
      <c r="E312" s="5"/>
      <c r="F312" s="5"/>
      <c r="G312" s="5"/>
      <c r="H312" s="5"/>
      <c r="I312" s="6"/>
      <c r="J312" s="6"/>
      <c r="K312" s="5"/>
      <c r="L312" s="5">
        <v>1</v>
      </c>
      <c r="M312" s="6"/>
      <c r="N312" s="39">
        <f t="shared" si="11"/>
        <v>1</v>
      </c>
      <c r="O312" s="40">
        <v>0</v>
      </c>
      <c r="P312" s="29"/>
      <c r="Q312" s="125" t="s">
        <v>1773</v>
      </c>
      <c r="R312" s="123">
        <v>13000</v>
      </c>
      <c r="S312" s="124">
        <v>13520</v>
      </c>
      <c r="T312" s="124">
        <v>14040</v>
      </c>
      <c r="U312" s="125"/>
      <c r="V312" s="123"/>
      <c r="W312" s="138">
        <v>500</v>
      </c>
    </row>
    <row r="313" spans="1:23">
      <c r="A313" s="72" t="s">
        <v>301</v>
      </c>
      <c r="B313" s="36" t="str">
        <f>IFERROR(HYPERLINK(VLOOKUP(A313,ÜRÜNLER!A:C,3,FALSE),VLOOKUP(A313,ÜRÜNLER!A:B,2,FALSE)),"")</f>
        <v>iQ100 Gazlı Ocak, 60cm, Sert Cam, Titanyum Gri, Döküm</v>
      </c>
      <c r="C313" s="4">
        <v>4</v>
      </c>
      <c r="D313" s="4"/>
      <c r="E313" s="5"/>
      <c r="F313" s="5"/>
      <c r="G313" s="5"/>
      <c r="H313" s="5"/>
      <c r="I313" s="6"/>
      <c r="J313" s="6"/>
      <c r="K313" s="5"/>
      <c r="L313" s="5"/>
      <c r="M313" s="6"/>
      <c r="N313" s="39">
        <f t="shared" si="11"/>
        <v>4</v>
      </c>
      <c r="O313" s="40">
        <v>0</v>
      </c>
      <c r="P313" s="29"/>
      <c r="Q313" s="125" t="s">
        <v>1773</v>
      </c>
      <c r="R313" s="123">
        <v>17000</v>
      </c>
      <c r="S313" s="124">
        <v>17680</v>
      </c>
      <c r="T313" s="124">
        <v>18360</v>
      </c>
      <c r="U313" s="125"/>
      <c r="V313" s="123"/>
      <c r="W313" s="123">
        <v>250</v>
      </c>
    </row>
    <row r="314" spans="1:23">
      <c r="A314" s="72" t="s">
        <v>302</v>
      </c>
      <c r="B314" s="36" t="str">
        <f>IFERROR(HYPERLINK(VLOOKUP(A314,ÜRÜNLER!A:C,3,FALSE),VLOOKUP(A314,ÜRÜNLER!A:B,2,FALSE)),"")</f>
        <v>iQ300 Gazlı Ocak, 60cm, Sert Cam, Antrasit</v>
      </c>
      <c r="C314" s="4">
        <v>14</v>
      </c>
      <c r="D314" s="4"/>
      <c r="E314" s="5"/>
      <c r="F314" s="5"/>
      <c r="G314" s="5"/>
      <c r="H314" s="5"/>
      <c r="I314" s="6">
        <v>1</v>
      </c>
      <c r="J314" s="6">
        <v>1</v>
      </c>
      <c r="K314" s="5">
        <v>1</v>
      </c>
      <c r="L314" s="5"/>
      <c r="M314" s="6"/>
      <c r="N314" s="39">
        <f t="shared" si="11"/>
        <v>17</v>
      </c>
      <c r="O314" s="40">
        <v>0</v>
      </c>
      <c r="P314" s="29"/>
      <c r="Q314" s="125">
        <v>14675.103456329603</v>
      </c>
      <c r="R314" s="128">
        <v>13941.348283513124</v>
      </c>
      <c r="S314" s="124">
        <v>14499.002214853648</v>
      </c>
      <c r="T314" s="124">
        <v>15056.656146194173</v>
      </c>
      <c r="U314" s="125"/>
      <c r="V314" s="123"/>
      <c r="W314" s="123"/>
    </row>
    <row r="315" spans="1:23">
      <c r="A315" s="72" t="s">
        <v>303</v>
      </c>
      <c r="B315" s="36" t="str">
        <f>IFERROR(HYPERLINK(VLOOKUP(A315,ÜRÜNLER!A:C,3,FALSE),VLOOKUP(A315,ÜRÜNLER!A:B,2,FALSE)),"")</f>
        <v>iQ300 Gazlı Ocak, 60cm, Sert Cam, Antrasit Gri</v>
      </c>
      <c r="C315" s="4">
        <v>4</v>
      </c>
      <c r="D315" s="4"/>
      <c r="E315" s="5"/>
      <c r="F315" s="5">
        <v>1</v>
      </c>
      <c r="G315" s="5"/>
      <c r="H315" s="5"/>
      <c r="I315" s="6">
        <v>1</v>
      </c>
      <c r="J315" s="6"/>
      <c r="K315" s="5"/>
      <c r="L315" s="5"/>
      <c r="M315" s="6">
        <v>1</v>
      </c>
      <c r="N315" s="39">
        <f t="shared" si="11"/>
        <v>7</v>
      </c>
      <c r="O315" s="40">
        <v>0</v>
      </c>
      <c r="P315" s="29"/>
      <c r="Q315" s="125" t="s">
        <v>1773</v>
      </c>
      <c r="R315" s="123">
        <v>10000</v>
      </c>
      <c r="S315" s="124">
        <v>10400</v>
      </c>
      <c r="T315" s="124">
        <v>10800</v>
      </c>
      <c r="U315" s="125"/>
      <c r="V315" s="123"/>
      <c r="W315" s="129">
        <v>250</v>
      </c>
    </row>
    <row r="316" spans="1:23">
      <c r="A316" s="61" t="s">
        <v>304</v>
      </c>
      <c r="B316" s="36" t="str">
        <f>IFERROR(HYPERLINK(VLOOKUP(A316,ÜRÜNLER!A:C,3,FALSE),VLOOKUP(A316,ÜRÜNLER!A:B,2,FALSE)),"")</f>
        <v>iQ300 Gazlı Ocak, 67cm, Sert Cam, Beyaz, Wok</v>
      </c>
      <c r="C316" s="4">
        <v>10</v>
      </c>
      <c r="D316" s="4"/>
      <c r="E316" s="5"/>
      <c r="F316" s="5"/>
      <c r="G316" s="5"/>
      <c r="H316" s="5"/>
      <c r="I316" s="6">
        <v>1</v>
      </c>
      <c r="J316" s="6">
        <v>1</v>
      </c>
      <c r="K316" s="5"/>
      <c r="L316" s="5"/>
      <c r="M316" s="6"/>
      <c r="N316" s="39">
        <f t="shared" si="11"/>
        <v>12</v>
      </c>
      <c r="O316" s="40">
        <v>0</v>
      </c>
      <c r="P316" s="29"/>
      <c r="Q316" s="125">
        <v>21752.663400300611</v>
      </c>
      <c r="R316" s="128">
        <v>20665.030230285582</v>
      </c>
      <c r="S316" s="124">
        <v>21491.631439497003</v>
      </c>
      <c r="T316" s="124">
        <v>22318.232648708428</v>
      </c>
      <c r="U316" s="125"/>
      <c r="V316" s="123"/>
      <c r="W316" s="123"/>
    </row>
    <row r="317" spans="1:23">
      <c r="A317" s="61" t="s">
        <v>305</v>
      </c>
      <c r="B317" s="36" t="str">
        <f>IFERROR(HYPERLINK(VLOOKUP(A317,ÜRÜNLER!A:C,3,FALSE),VLOOKUP(A317,ÜRÜNLER!A:B,2,FALSE)),"")</f>
        <v>iQ300 Gazlı Ocak, 67cm, Sert Cam, Beyaz</v>
      </c>
      <c r="C317" s="4">
        <v>24</v>
      </c>
      <c r="D317" s="4"/>
      <c r="E317" s="5"/>
      <c r="F317" s="5"/>
      <c r="G317" s="5"/>
      <c r="H317" s="5"/>
      <c r="I317" s="6"/>
      <c r="J317" s="6"/>
      <c r="K317" s="5"/>
      <c r="L317" s="5"/>
      <c r="M317" s="6"/>
      <c r="N317" s="39">
        <f t="shared" si="11"/>
        <v>24</v>
      </c>
      <c r="O317" s="40">
        <v>0</v>
      </c>
      <c r="P317" s="29"/>
      <c r="Q317" s="125">
        <v>17392.820074899988</v>
      </c>
      <c r="R317" s="128">
        <v>16523.179071154987</v>
      </c>
      <c r="S317" s="124">
        <v>17184.106234001189</v>
      </c>
      <c r="T317" s="124">
        <v>17845.033396847386</v>
      </c>
      <c r="U317" s="125"/>
      <c r="V317" s="123"/>
      <c r="W317" s="123"/>
    </row>
    <row r="318" spans="1:23">
      <c r="A318" s="61" t="s">
        <v>306</v>
      </c>
      <c r="B318" s="36" t="str">
        <f>IFERROR(HYPERLINK(VLOOKUP(A318,ÜRÜNLER!A:C,3,FALSE),VLOOKUP(A318,ÜRÜNLER!A:B,2,FALSE)),"")</f>
        <v>iQ100 Gazlı Ocak, 67cm, Sert Cam, Beyaz</v>
      </c>
      <c r="C318" s="4"/>
      <c r="D318" s="4"/>
      <c r="E318" s="5"/>
      <c r="F318" s="5"/>
      <c r="G318" s="5"/>
      <c r="H318" s="5"/>
      <c r="I318" s="6"/>
      <c r="J318" s="6"/>
      <c r="K318" s="5"/>
      <c r="L318" s="5">
        <v>1</v>
      </c>
      <c r="M318" s="6"/>
      <c r="N318" s="39">
        <f t="shared" si="11"/>
        <v>1</v>
      </c>
      <c r="O318" s="40">
        <v>0</v>
      </c>
      <c r="P318" s="29"/>
      <c r="Q318" s="125" t="s">
        <v>1773</v>
      </c>
      <c r="R318" s="123">
        <v>12000</v>
      </c>
      <c r="S318" s="124">
        <v>12480</v>
      </c>
      <c r="T318" s="124">
        <v>12960</v>
      </c>
      <c r="U318" s="125"/>
      <c r="V318" s="123"/>
      <c r="W318" s="138">
        <v>500</v>
      </c>
    </row>
    <row r="319" spans="1:23">
      <c r="A319" s="84" t="s">
        <v>307</v>
      </c>
      <c r="B319" s="36" t="str">
        <f>IFERROR(HYPERLINK(VLOOKUP(A319,ÜRÜNLER!A:C,3,FALSE),VLOOKUP(A319,ÜRÜNLER!A:B,2,FALSE)),"")</f>
        <v>iQ300 Gazlı Ocak, 67cm, Sert Cam, Beyaz</v>
      </c>
      <c r="C319" s="4"/>
      <c r="D319" s="4"/>
      <c r="E319" s="5"/>
      <c r="F319" s="5"/>
      <c r="G319" s="5"/>
      <c r="H319" s="5"/>
      <c r="I319" s="6"/>
      <c r="J319" s="6"/>
      <c r="K319" s="5">
        <v>1</v>
      </c>
      <c r="L319" s="5">
        <v>4</v>
      </c>
      <c r="M319" s="6"/>
      <c r="N319" s="39">
        <f t="shared" si="11"/>
        <v>5</v>
      </c>
      <c r="O319" s="40">
        <v>0</v>
      </c>
      <c r="P319" s="29"/>
      <c r="Q319" s="125" t="s">
        <v>1773</v>
      </c>
      <c r="R319" s="123">
        <v>12000</v>
      </c>
      <c r="S319" s="124">
        <v>12480</v>
      </c>
      <c r="T319" s="124">
        <v>12960</v>
      </c>
      <c r="U319" s="125"/>
      <c r="V319" s="123"/>
      <c r="W319" s="138">
        <v>500</v>
      </c>
    </row>
    <row r="320" spans="1:23">
      <c r="A320" s="61" t="s">
        <v>308</v>
      </c>
      <c r="B320" s="36" t="str">
        <f>IFERROR(HYPERLINK(VLOOKUP(A320,ÜRÜNLER!A:C,3,FALSE),VLOOKUP(A320,ÜRÜNLER!A:B,2,FALSE)),"")</f>
        <v>iQ300 Gazlı Ocak, 67cm, Sert Cam, Siyah, Wok</v>
      </c>
      <c r="C320" s="4"/>
      <c r="D320" s="4"/>
      <c r="E320" s="5"/>
      <c r="F320" s="5"/>
      <c r="G320" s="5"/>
      <c r="H320" s="5"/>
      <c r="I320" s="6"/>
      <c r="J320" s="6"/>
      <c r="K320" s="5"/>
      <c r="L320" s="5"/>
      <c r="M320" s="6"/>
      <c r="N320" s="39">
        <f t="shared" si="11"/>
        <v>0</v>
      </c>
      <c r="O320" s="40">
        <v>0</v>
      </c>
      <c r="P320" s="29"/>
      <c r="Q320" s="125" t="s">
        <v>1773</v>
      </c>
      <c r="R320" s="123">
        <v>15000</v>
      </c>
      <c r="S320" s="124">
        <v>15600</v>
      </c>
      <c r="T320" s="124">
        <v>16200</v>
      </c>
      <c r="U320" s="125"/>
      <c r="V320" s="123"/>
      <c r="W320" s="138">
        <v>500</v>
      </c>
    </row>
    <row r="321" spans="1:23">
      <c r="A321" s="61" t="s">
        <v>309</v>
      </c>
      <c r="B321" s="36" t="str">
        <f>IFERROR(HYPERLINK(VLOOKUP(A321,ÜRÜNLER!A:C,3,FALSE),VLOOKUP(A321,ÜRÜNLER!A:B,2,FALSE)),"")</f>
        <v>iQ300 Gazlı Ocak, 67cm, Sert Cam, Siyah, Wok</v>
      </c>
      <c r="C321" s="4">
        <v>10</v>
      </c>
      <c r="D321" s="4"/>
      <c r="E321" s="5"/>
      <c r="F321" s="5"/>
      <c r="G321" s="5"/>
      <c r="H321" s="5"/>
      <c r="I321" s="6"/>
      <c r="J321" s="6"/>
      <c r="K321" s="5"/>
      <c r="L321" s="5"/>
      <c r="M321" s="6"/>
      <c r="N321" s="39">
        <f t="shared" si="11"/>
        <v>10</v>
      </c>
      <c r="O321" s="40">
        <v>0</v>
      </c>
      <c r="P321" s="29"/>
      <c r="Q321" s="125">
        <v>21752.663400300611</v>
      </c>
      <c r="R321" s="128">
        <v>20665.030230285582</v>
      </c>
      <c r="S321" s="124">
        <v>21491.631439497003</v>
      </c>
      <c r="T321" s="124">
        <v>22318.232648708428</v>
      </c>
      <c r="U321" s="125"/>
      <c r="V321" s="123"/>
      <c r="W321" s="123"/>
    </row>
    <row r="322" spans="1:23">
      <c r="A322" s="61" t="s">
        <v>310</v>
      </c>
      <c r="B322" s="36" t="str">
        <f>IFERROR(HYPERLINK(VLOOKUP(A322,ÜRÜNLER!A:C,3,FALSE),VLOOKUP(A322,ÜRÜNLER!A:B,2,FALSE)),"")</f>
        <v>iQ300 Gazlı Ocak, 67cm, Sert Cam, Siyah</v>
      </c>
      <c r="C322" s="4"/>
      <c r="D322" s="4"/>
      <c r="E322" s="5"/>
      <c r="F322" s="5"/>
      <c r="G322" s="5"/>
      <c r="H322" s="5"/>
      <c r="I322" s="6"/>
      <c r="J322" s="6">
        <v>2</v>
      </c>
      <c r="K322" s="5"/>
      <c r="L322" s="5">
        <v>3</v>
      </c>
      <c r="M322" s="6"/>
      <c r="N322" s="39">
        <f t="shared" si="11"/>
        <v>5</v>
      </c>
      <c r="O322" s="40">
        <v>0</v>
      </c>
      <c r="P322" s="29"/>
      <c r="Q322" s="125" t="s">
        <v>1773</v>
      </c>
      <c r="R322" s="123">
        <v>13000</v>
      </c>
      <c r="S322" s="124">
        <v>13520</v>
      </c>
      <c r="T322" s="124">
        <v>14040</v>
      </c>
      <c r="U322" s="125"/>
      <c r="V322" s="123"/>
      <c r="W322" s="138">
        <v>500</v>
      </c>
    </row>
    <row r="323" spans="1:23">
      <c r="A323" s="61" t="s">
        <v>311</v>
      </c>
      <c r="B323" s="36" t="str">
        <f>IFERROR(HYPERLINK(VLOOKUP(A323,ÜRÜNLER!A:C,3,FALSE),VLOOKUP(A323,ÜRÜNLER!A:B,2,FALSE)),"")</f>
        <v>iQ300 Gazlı Ocak, 67cm, Sert Cam, Siyah</v>
      </c>
      <c r="C323" s="4">
        <v>13</v>
      </c>
      <c r="D323" s="4"/>
      <c r="E323" s="5"/>
      <c r="F323" s="5"/>
      <c r="G323" s="5"/>
      <c r="H323" s="5"/>
      <c r="I323" s="6">
        <v>1</v>
      </c>
      <c r="J323" s="6"/>
      <c r="K323" s="5"/>
      <c r="L323" s="5">
        <v>1</v>
      </c>
      <c r="M323" s="6">
        <v>1</v>
      </c>
      <c r="N323" s="39">
        <f t="shared" si="11"/>
        <v>16</v>
      </c>
      <c r="O323" s="40">
        <v>0</v>
      </c>
      <c r="P323" s="29"/>
      <c r="Q323" s="125">
        <v>17392.820074899988</v>
      </c>
      <c r="R323" s="128">
        <v>16523.179071154987</v>
      </c>
      <c r="S323" s="124">
        <v>17184.106234001189</v>
      </c>
      <c r="T323" s="124">
        <v>17845.033396847386</v>
      </c>
      <c r="U323" s="125"/>
      <c r="V323" s="123"/>
      <c r="W323" s="123"/>
    </row>
    <row r="324" spans="1:23">
      <c r="A324" s="72" t="s">
        <v>312</v>
      </c>
      <c r="B324" s="36" t="str">
        <f>IFERROR(HYPERLINK(VLOOKUP(A324,ÜRÜNLER!A:C,3,FALSE),VLOOKUP(A324,ÜRÜNLER!A:B,2,FALSE)),"")</f>
        <v>iQ300 Gazlı Ocak, 67cm, Sert Cam, Antrasit Gri, Wok</v>
      </c>
      <c r="C324" s="4">
        <v>17</v>
      </c>
      <c r="D324" s="4"/>
      <c r="E324" s="5"/>
      <c r="F324" s="5"/>
      <c r="G324" s="5"/>
      <c r="H324" s="5"/>
      <c r="I324" s="6"/>
      <c r="J324" s="6"/>
      <c r="K324" s="5"/>
      <c r="L324" s="5"/>
      <c r="M324" s="6"/>
      <c r="N324" s="39">
        <f t="shared" si="11"/>
        <v>17</v>
      </c>
      <c r="O324" s="40">
        <v>0</v>
      </c>
      <c r="P324" s="29"/>
      <c r="Q324" s="125">
        <v>21752.663400300611</v>
      </c>
      <c r="R324" s="128">
        <v>20665.030230285582</v>
      </c>
      <c r="S324" s="124">
        <v>21491.631439497003</v>
      </c>
      <c r="T324" s="124">
        <v>22318.232648708428</v>
      </c>
      <c r="U324" s="125"/>
      <c r="V324" s="123"/>
      <c r="W324" s="123"/>
    </row>
    <row r="325" spans="1:23">
      <c r="A325" s="72" t="s">
        <v>313</v>
      </c>
      <c r="B325" s="36" t="str">
        <f>IFERROR(HYPERLINK(VLOOKUP(A325,ÜRÜNLER!A:C,3,FALSE),VLOOKUP(A325,ÜRÜNLER!A:B,2,FALSE)),"")</f>
        <v>iQ100 Gazlı Ocak, 67cm, Sert Cam, Titanyum Gri</v>
      </c>
      <c r="C325" s="4">
        <v>3</v>
      </c>
      <c r="D325" s="4"/>
      <c r="E325" s="5"/>
      <c r="F325" s="5">
        <v>1</v>
      </c>
      <c r="G325" s="5"/>
      <c r="H325" s="5"/>
      <c r="I325" s="6"/>
      <c r="J325" s="6"/>
      <c r="K325" s="5"/>
      <c r="L325" s="5">
        <v>2</v>
      </c>
      <c r="M325" s="6">
        <v>1</v>
      </c>
      <c r="N325" s="39">
        <f t="shared" si="11"/>
        <v>7</v>
      </c>
      <c r="O325" s="40">
        <v>0</v>
      </c>
      <c r="P325" s="29"/>
      <c r="Q325" s="125" t="s">
        <v>1773</v>
      </c>
      <c r="R325" s="123">
        <v>14000</v>
      </c>
      <c r="S325" s="124">
        <v>14560</v>
      </c>
      <c r="T325" s="124">
        <v>15120</v>
      </c>
      <c r="U325" s="125"/>
      <c r="V325" s="123"/>
      <c r="W325" s="129"/>
    </row>
    <row r="326" spans="1:23">
      <c r="A326" s="72" t="s">
        <v>314</v>
      </c>
      <c r="B326" s="36" t="str">
        <f>IFERROR(HYPERLINK(VLOOKUP(A326,ÜRÜNLER!A:C,3,FALSE),VLOOKUP(A326,ÜRÜNLER!A:B,2,FALSE)),"")</f>
        <v>iQ300 Gazlı Ocak, 67cm, Sert Cam, Antrasit Gri</v>
      </c>
      <c r="C326" s="4">
        <v>8</v>
      </c>
      <c r="D326" s="4"/>
      <c r="E326" s="5"/>
      <c r="F326" s="5">
        <v>1</v>
      </c>
      <c r="G326" s="5"/>
      <c r="H326" s="5"/>
      <c r="I326" s="6">
        <v>1</v>
      </c>
      <c r="J326" s="6"/>
      <c r="K326" s="5"/>
      <c r="L326" s="5"/>
      <c r="M326" s="6"/>
      <c r="N326" s="39">
        <f t="shared" si="11"/>
        <v>10</v>
      </c>
      <c r="O326" s="40">
        <v>10</v>
      </c>
      <c r="P326" s="29"/>
      <c r="Q326" s="125">
        <v>17392.820074899988</v>
      </c>
      <c r="R326" s="129">
        <v>16643.846961626783</v>
      </c>
      <c r="S326" s="124">
        <v>17309.600840091854</v>
      </c>
      <c r="T326" s="124">
        <v>17975.354718556926</v>
      </c>
      <c r="U326" s="125"/>
      <c r="V326" s="123"/>
      <c r="W326" s="123"/>
    </row>
    <row r="327" spans="1:23">
      <c r="A327" s="72" t="s">
        <v>315</v>
      </c>
      <c r="B327" s="36" t="str">
        <f>IFERROR(HYPERLINK(VLOOKUP(A327,ÜRÜNLER!A:C,3,FALSE),VLOOKUP(A327,ÜRÜNLER!A:B,2,FALSE)),"")</f>
        <v>iQ300 Gazlı Ocak, 67cm, Sert Cam, Dark Silver</v>
      </c>
      <c r="C327" s="4"/>
      <c r="D327" s="4"/>
      <c r="E327" s="5"/>
      <c r="F327" s="5"/>
      <c r="G327" s="5"/>
      <c r="H327" s="5"/>
      <c r="I327" s="6"/>
      <c r="J327" s="6"/>
      <c r="K327" s="5"/>
      <c r="L327" s="5">
        <v>1</v>
      </c>
      <c r="M327" s="6"/>
      <c r="N327" s="39">
        <f t="shared" si="11"/>
        <v>1</v>
      </c>
      <c r="O327" s="40">
        <v>0</v>
      </c>
      <c r="P327" s="29"/>
      <c r="Q327" s="125" t="s">
        <v>1773</v>
      </c>
      <c r="R327" s="123">
        <v>15000</v>
      </c>
      <c r="S327" s="124">
        <v>15600</v>
      </c>
      <c r="T327" s="124">
        <v>16200</v>
      </c>
      <c r="U327" s="125"/>
      <c r="V327" s="123"/>
      <c r="W327" s="123"/>
    </row>
    <row r="328" spans="1:23">
      <c r="A328" s="62" t="s">
        <v>316</v>
      </c>
      <c r="B328" s="36" t="str">
        <f>IFERROR(HYPERLINK(VLOOKUP(A328,ÜRÜNLER!A:C,3,FALSE),VLOOKUP(A328,ÜRÜNLER!A:B,2,FALSE)),"")</f>
        <v>iQ500 Gazlı Ocak, 60cm, Sert Cam, Siyah, Döküm, Wok</v>
      </c>
      <c r="C328" s="4">
        <v>3</v>
      </c>
      <c r="D328" s="4"/>
      <c r="E328" s="5"/>
      <c r="F328" s="5"/>
      <c r="G328" s="5"/>
      <c r="H328" s="5"/>
      <c r="I328" s="6"/>
      <c r="J328" s="6"/>
      <c r="K328" s="5"/>
      <c r="L328" s="5"/>
      <c r="M328" s="6"/>
      <c r="N328" s="39">
        <f t="shared" si="11"/>
        <v>3</v>
      </c>
      <c r="O328" s="40">
        <v>0</v>
      </c>
      <c r="P328" s="29"/>
      <c r="Q328" s="125">
        <v>44323.976610983649</v>
      </c>
      <c r="R328" s="128">
        <v>42107.777780434466</v>
      </c>
      <c r="S328" s="124">
        <v>43792.088891651845</v>
      </c>
      <c r="T328" s="124">
        <v>45476.400002869224</v>
      </c>
      <c r="U328" s="125"/>
      <c r="V328" s="123"/>
      <c r="W328" s="123"/>
    </row>
    <row r="329" spans="1:23">
      <c r="A329" s="62" t="s">
        <v>317</v>
      </c>
      <c r="B329" s="36" t="str">
        <f>IFERROR(HYPERLINK(VLOOKUP(A329,ÜRÜNLER!A:C,3,FALSE),VLOOKUP(A329,ÜRÜNLER!A:B,2,FALSE)),"")</f>
        <v>iQ500 Gazlı Ocak, 60cm, Sert Cam, Siyah, Döküm</v>
      </c>
      <c r="C329" s="4">
        <v>3</v>
      </c>
      <c r="D329" s="4"/>
      <c r="E329" s="5"/>
      <c r="F329" s="5"/>
      <c r="G329" s="5"/>
      <c r="H329" s="5"/>
      <c r="I329" s="6">
        <v>1</v>
      </c>
      <c r="J329" s="6"/>
      <c r="K329" s="5"/>
      <c r="L329" s="5"/>
      <c r="M329" s="6">
        <v>1</v>
      </c>
      <c r="N329" s="39">
        <f t="shared" si="11"/>
        <v>5</v>
      </c>
      <c r="O329" s="40">
        <v>0</v>
      </c>
      <c r="P329" s="29"/>
      <c r="Q329" s="125">
        <v>42302.270980344096</v>
      </c>
      <c r="R329" s="128">
        <v>40187.157431326894</v>
      </c>
      <c r="S329" s="124">
        <v>41794.643728579969</v>
      </c>
      <c r="T329" s="124">
        <v>43402.130025833045</v>
      </c>
      <c r="U329" s="125"/>
      <c r="V329" s="123"/>
      <c r="W329" s="123"/>
    </row>
    <row r="330" spans="1:23">
      <c r="A330" s="64" t="s">
        <v>318</v>
      </c>
      <c r="B330" s="36" t="str">
        <f>IFERROR(HYPERLINK(VLOOKUP(A330,ÜRÜNLER!A:C,3,FALSE),VLOOKUP(A330,ÜRÜNLER!A:B,2,FALSE)),"")</f>
        <v>iQ500 Gazlı Ocak, 60cm, Sert Cam, Beyaz, Döküm</v>
      </c>
      <c r="C330" s="4">
        <v>2</v>
      </c>
      <c r="D330" s="4"/>
      <c r="E330" s="5"/>
      <c r="F330" s="5"/>
      <c r="G330" s="5"/>
      <c r="H330" s="5"/>
      <c r="I330" s="6"/>
      <c r="J330" s="6">
        <v>1</v>
      </c>
      <c r="K330" s="5">
        <v>1</v>
      </c>
      <c r="L330" s="5">
        <v>2</v>
      </c>
      <c r="M330" s="6"/>
      <c r="N330" s="39">
        <f t="shared" si="11"/>
        <v>6</v>
      </c>
      <c r="O330" s="40">
        <v>0</v>
      </c>
      <c r="P330" s="29"/>
      <c r="Q330" s="125" t="s">
        <v>1773</v>
      </c>
      <c r="R330" s="123">
        <v>26000</v>
      </c>
      <c r="S330" s="124">
        <v>27040</v>
      </c>
      <c r="T330" s="124">
        <v>28080</v>
      </c>
      <c r="U330" s="125"/>
      <c r="V330" s="123"/>
      <c r="W330" s="129">
        <v>250</v>
      </c>
    </row>
    <row r="331" spans="1:23">
      <c r="A331" s="64" t="s">
        <v>319</v>
      </c>
      <c r="B331" s="36" t="str">
        <f>IFERROR(HYPERLINK(VLOOKUP(A331,ÜRÜNLER!A:C,3,FALSE),VLOOKUP(A331,ÜRÜNLER!A:B,2,FALSE)),"")</f>
        <v>iQ500 Gazlı Ocak, 60cm, Sert Cam, Siyah, Döküm, Wok</v>
      </c>
      <c r="C331" s="4"/>
      <c r="D331" s="4"/>
      <c r="E331" s="5"/>
      <c r="F331" s="5">
        <v>2</v>
      </c>
      <c r="G331" s="5"/>
      <c r="H331" s="5"/>
      <c r="I331" s="6"/>
      <c r="J331" s="6"/>
      <c r="K331" s="5"/>
      <c r="L331" s="5">
        <v>2</v>
      </c>
      <c r="M331" s="6"/>
      <c r="N331" s="39">
        <f t="shared" si="11"/>
        <v>4</v>
      </c>
      <c r="O331" s="40">
        <v>0</v>
      </c>
      <c r="P331" s="29"/>
      <c r="Q331" s="125" t="s">
        <v>1773</v>
      </c>
      <c r="R331" s="123">
        <v>26000</v>
      </c>
      <c r="S331" s="124">
        <v>27040</v>
      </c>
      <c r="T331" s="124">
        <v>28080</v>
      </c>
      <c r="U331" s="125"/>
      <c r="V331" s="123"/>
      <c r="W331" s="126">
        <v>1000</v>
      </c>
    </row>
    <row r="332" spans="1:23">
      <c r="A332" s="64" t="s">
        <v>320</v>
      </c>
      <c r="B332" s="36" t="str">
        <f>IFERROR(HYPERLINK(VLOOKUP(A332,ÜRÜNLER!A:C,3,FALSE),VLOOKUP(A332,ÜRÜNLER!A:B,2,FALSE)),"")</f>
        <v>iQ500 Gazlı Ocak, 60cm, Sert Cam, Siyah, Döküm</v>
      </c>
      <c r="C332" s="4">
        <v>1</v>
      </c>
      <c r="D332" s="4"/>
      <c r="E332" s="5"/>
      <c r="F332" s="5">
        <v>1</v>
      </c>
      <c r="G332" s="5"/>
      <c r="H332" s="5"/>
      <c r="I332" s="6"/>
      <c r="J332" s="6"/>
      <c r="K332" s="5"/>
      <c r="L332" s="5">
        <v>1</v>
      </c>
      <c r="M332" s="6"/>
      <c r="N332" s="39">
        <f t="shared" si="11"/>
        <v>3</v>
      </c>
      <c r="O332" s="40">
        <v>0</v>
      </c>
      <c r="P332" s="29"/>
      <c r="Q332" s="125" t="s">
        <v>1773</v>
      </c>
      <c r="R332" s="123">
        <v>26000</v>
      </c>
      <c r="S332" s="124">
        <v>27040</v>
      </c>
      <c r="T332" s="124">
        <v>28080</v>
      </c>
      <c r="U332" s="125"/>
      <c r="V332" s="123"/>
      <c r="W332" s="129">
        <v>250</v>
      </c>
    </row>
    <row r="333" spans="1:23">
      <c r="A333" s="72" t="s">
        <v>322</v>
      </c>
      <c r="B333" s="36" t="str">
        <f>IFERROR(HYPERLINK(VLOOKUP(A333,ÜRÜNLER!A:C,3,FALSE),VLOOKUP(A333,ÜRÜNLER!A:B,2,FALSE)),"")</f>
        <v>iQ500 Gazlı Ocak, 60cm, Sert Cam, Titanyum Gri, Döküm, Wok</v>
      </c>
      <c r="C333" s="4"/>
      <c r="D333" s="4"/>
      <c r="E333" s="5"/>
      <c r="F333" s="5"/>
      <c r="G333" s="5"/>
      <c r="H333" s="5"/>
      <c r="I333" s="6">
        <v>1</v>
      </c>
      <c r="J333" s="6"/>
      <c r="K333" s="5"/>
      <c r="L333" s="5">
        <v>1</v>
      </c>
      <c r="M333" s="6"/>
      <c r="N333" s="39">
        <f t="shared" si="11"/>
        <v>2</v>
      </c>
      <c r="O333" s="40">
        <v>0</v>
      </c>
      <c r="P333" s="29"/>
      <c r="Q333" s="125" t="s">
        <v>1773</v>
      </c>
      <c r="R333" s="123">
        <v>28000</v>
      </c>
      <c r="S333" s="124">
        <v>29120</v>
      </c>
      <c r="T333" s="124">
        <v>30240</v>
      </c>
      <c r="U333" s="125"/>
      <c r="V333" s="123"/>
      <c r="W333" s="126">
        <v>1000</v>
      </c>
    </row>
    <row r="334" spans="1:23">
      <c r="A334" s="64" t="s">
        <v>323</v>
      </c>
      <c r="B334" s="36" t="str">
        <f>IFERROR(HYPERLINK(VLOOKUP(A334,ÜRÜNLER!A:C,3,FALSE),VLOOKUP(A334,ÜRÜNLER!A:B,2,FALSE)),"")</f>
        <v>iQ300 Gazlı Ocak, 60cm, Sert Cam, Siyah, Döküm</v>
      </c>
      <c r="C334" s="4">
        <v>4</v>
      </c>
      <c r="D334" s="4"/>
      <c r="E334" s="5"/>
      <c r="F334" s="5"/>
      <c r="G334" s="5"/>
      <c r="H334" s="5"/>
      <c r="I334" s="6"/>
      <c r="J334" s="6"/>
      <c r="K334" s="5"/>
      <c r="L334" s="5"/>
      <c r="M334" s="6"/>
      <c r="N334" s="39">
        <f t="shared" si="11"/>
        <v>4</v>
      </c>
      <c r="O334" s="40">
        <v>0</v>
      </c>
      <c r="P334" s="29"/>
      <c r="Q334" s="125">
        <v>23700.85601656395</v>
      </c>
      <c r="R334" s="129">
        <v>22680.244991927226</v>
      </c>
      <c r="S334" s="124">
        <v>23587.454791604316</v>
      </c>
      <c r="T334" s="124">
        <v>24494.664591281406</v>
      </c>
      <c r="U334" s="125"/>
      <c r="V334" s="123"/>
      <c r="W334" s="123"/>
    </row>
    <row r="335" spans="1:23">
      <c r="A335" s="64" t="s">
        <v>324</v>
      </c>
      <c r="B335" s="36" t="str">
        <f>IFERROR(HYPERLINK(VLOOKUP(A335,ÜRÜNLER!A:C,3,FALSE),VLOOKUP(A335,ÜRÜNLER!A:B,2,FALSE)),"")</f>
        <v>iQ300 Gazlı Ocak, 75cm, 4 Gözlü, Sert Cam, Beyaz</v>
      </c>
      <c r="C335" s="4"/>
      <c r="D335" s="4"/>
      <c r="E335" s="5"/>
      <c r="F335" s="5"/>
      <c r="G335" s="5"/>
      <c r="H335" s="5"/>
      <c r="I335" s="6">
        <v>1</v>
      </c>
      <c r="J335" s="6"/>
      <c r="K335" s="5"/>
      <c r="L335" s="5"/>
      <c r="M335" s="6"/>
      <c r="N335" s="39">
        <f t="shared" si="11"/>
        <v>1</v>
      </c>
      <c r="O335" s="40">
        <v>0</v>
      </c>
      <c r="P335" s="29"/>
      <c r="Q335" s="125" t="s">
        <v>1773</v>
      </c>
      <c r="R335" s="123">
        <v>15000</v>
      </c>
      <c r="S335" s="124">
        <v>15600</v>
      </c>
      <c r="T335" s="124">
        <v>16200</v>
      </c>
      <c r="U335" s="125"/>
      <c r="V335" s="123"/>
      <c r="W335" s="138">
        <v>500</v>
      </c>
    </row>
    <row r="336" spans="1:23">
      <c r="A336" s="64" t="s">
        <v>325</v>
      </c>
      <c r="B336" s="36" t="str">
        <f>IFERROR(HYPERLINK(VLOOKUP(A336,ÜRÜNLER!A:C,3,FALSE),VLOOKUP(A336,ÜRÜNLER!A:B,2,FALSE)),"")</f>
        <v>iQ300 Gazlı Ocak, 75cm, 5 Gözlü, Sert Cam, Beyaz, Wok</v>
      </c>
      <c r="C336" s="4"/>
      <c r="D336" s="4"/>
      <c r="E336" s="5"/>
      <c r="F336" s="5"/>
      <c r="G336" s="5"/>
      <c r="H336" s="5"/>
      <c r="I336" s="6"/>
      <c r="J336" s="6">
        <v>1</v>
      </c>
      <c r="K336" s="5"/>
      <c r="L336" s="5"/>
      <c r="M336" s="6"/>
      <c r="N336" s="39">
        <f t="shared" si="11"/>
        <v>1</v>
      </c>
      <c r="O336" s="40">
        <v>0</v>
      </c>
      <c r="P336" s="29"/>
      <c r="Q336" s="125" t="s">
        <v>1773</v>
      </c>
      <c r="R336" s="123">
        <v>25000</v>
      </c>
      <c r="S336" s="124">
        <v>26000</v>
      </c>
      <c r="T336" s="124">
        <v>27000</v>
      </c>
      <c r="U336" s="125"/>
      <c r="V336" s="123"/>
      <c r="W336" s="138">
        <v>500</v>
      </c>
    </row>
    <row r="337" spans="1:23">
      <c r="A337" s="61" t="s">
        <v>326</v>
      </c>
      <c r="B337" s="36" t="str">
        <f>IFERROR(HYPERLINK(VLOOKUP(A337,ÜRÜNLER!A:C,3,FALSE),VLOOKUP(A337,ÜRÜNLER!A:B,2,FALSE)),"")</f>
        <v>iQ300 Gazlı Ocak, 75cm, 5 Gözlü, Sert Cam, Beyaz, Wok</v>
      </c>
      <c r="C337" s="4">
        <v>8</v>
      </c>
      <c r="D337" s="4"/>
      <c r="E337" s="5"/>
      <c r="F337" s="5"/>
      <c r="G337" s="5"/>
      <c r="H337" s="5"/>
      <c r="I337" s="6"/>
      <c r="J337" s="6"/>
      <c r="K337" s="5">
        <v>1</v>
      </c>
      <c r="L337" s="5"/>
      <c r="M337" s="6">
        <v>1</v>
      </c>
      <c r="N337" s="39">
        <f t="shared" si="11"/>
        <v>10</v>
      </c>
      <c r="O337" s="40">
        <v>0</v>
      </c>
      <c r="P337" s="29"/>
      <c r="Q337" s="125">
        <v>28886.796732696181</v>
      </c>
      <c r="R337" s="128">
        <v>27442.456896061372</v>
      </c>
      <c r="S337" s="124">
        <v>28540.155171903829</v>
      </c>
      <c r="T337" s="124">
        <v>29637.853447746282</v>
      </c>
      <c r="U337" s="125"/>
      <c r="V337" s="123"/>
      <c r="W337" s="123"/>
    </row>
    <row r="338" spans="1:23">
      <c r="A338" s="64" t="s">
        <v>327</v>
      </c>
      <c r="B338" s="36" t="str">
        <f>IFERROR(HYPERLINK(VLOOKUP(A338,ÜRÜNLER!A:C,3,FALSE),VLOOKUP(A338,ÜRÜNLER!A:B,2,FALSE)),"")</f>
        <v>iQ300 Gazlı Ocak, 75cm, 5 Gözlü, Sert Cam, Siyah, Wok</v>
      </c>
      <c r="C338" s="4"/>
      <c r="D338" s="4"/>
      <c r="E338" s="5"/>
      <c r="F338" s="5"/>
      <c r="G338" s="5"/>
      <c r="H338" s="5"/>
      <c r="I338" s="6"/>
      <c r="J338" s="6"/>
      <c r="K338" s="5"/>
      <c r="L338" s="5">
        <v>1</v>
      </c>
      <c r="M338" s="6"/>
      <c r="N338" s="39">
        <f t="shared" si="11"/>
        <v>1</v>
      </c>
      <c r="O338" s="40">
        <v>0</v>
      </c>
      <c r="P338" s="29"/>
      <c r="Q338" s="125" t="s">
        <v>1773</v>
      </c>
      <c r="R338" s="123">
        <v>25000</v>
      </c>
      <c r="S338" s="124">
        <v>26000</v>
      </c>
      <c r="T338" s="124">
        <v>27000</v>
      </c>
      <c r="U338" s="125"/>
      <c r="V338" s="123"/>
      <c r="W338" s="138">
        <v>500</v>
      </c>
    </row>
    <row r="339" spans="1:23">
      <c r="A339" s="62" t="s">
        <v>328</v>
      </c>
      <c r="B339" s="36" t="str">
        <f>IFERROR(HYPERLINK(VLOOKUP(A339,ÜRÜNLER!A:C,3,FALSE),VLOOKUP(A339,ÜRÜNLER!A:B,2,FALSE)),"")</f>
        <v>iQ300 Gazlı Ocak, 75cm, 5 Gözlü, Sert Cam, Siyah, Wok</v>
      </c>
      <c r="C339" s="4">
        <v>7</v>
      </c>
      <c r="D339" s="4"/>
      <c r="E339" s="5"/>
      <c r="F339" s="5"/>
      <c r="G339" s="5"/>
      <c r="H339" s="5"/>
      <c r="I339" s="6"/>
      <c r="J339" s="6"/>
      <c r="K339" s="5"/>
      <c r="L339" s="5"/>
      <c r="M339" s="6"/>
      <c r="N339" s="39">
        <f t="shared" si="11"/>
        <v>7</v>
      </c>
      <c r="O339" s="40">
        <v>0</v>
      </c>
      <c r="P339" s="29"/>
      <c r="Q339" s="125">
        <v>28886.796732696181</v>
      </c>
      <c r="R339" s="128">
        <v>27442.456896061372</v>
      </c>
      <c r="S339" s="124">
        <v>28540.155171903829</v>
      </c>
      <c r="T339" s="124">
        <v>29637.853447746282</v>
      </c>
      <c r="U339" s="125"/>
      <c r="V339" s="123"/>
      <c r="W339" s="123"/>
    </row>
    <row r="340" spans="1:23">
      <c r="A340" s="72" t="s">
        <v>329</v>
      </c>
      <c r="B340" s="36" t="str">
        <f>IFERROR(HYPERLINK(VLOOKUP(A340,ÜRÜNLER!A:C,3,FALSE),VLOOKUP(A340,ÜRÜNLER!A:B,2,FALSE)),"")</f>
        <v>iQ300 Gazlı Ocak, 75cm, 5 Gözlü, Sert Cam, Titanyum Gri, Wok</v>
      </c>
      <c r="C340" s="4">
        <v>1</v>
      </c>
      <c r="D340" s="4"/>
      <c r="E340" s="5"/>
      <c r="F340" s="5">
        <v>1</v>
      </c>
      <c r="G340" s="5"/>
      <c r="H340" s="5"/>
      <c r="I340" s="6">
        <v>2</v>
      </c>
      <c r="J340" s="6"/>
      <c r="K340" s="5"/>
      <c r="L340" s="5">
        <v>1</v>
      </c>
      <c r="M340" s="6"/>
      <c r="N340" s="39">
        <f t="shared" si="11"/>
        <v>5</v>
      </c>
      <c r="O340" s="40">
        <v>0</v>
      </c>
      <c r="P340" s="29"/>
      <c r="Q340" s="125" t="s">
        <v>1773</v>
      </c>
      <c r="R340" s="123">
        <v>20000</v>
      </c>
      <c r="S340" s="124">
        <v>20800</v>
      </c>
      <c r="T340" s="124">
        <v>21600</v>
      </c>
      <c r="U340" s="125"/>
      <c r="V340" s="123"/>
      <c r="W340" s="129">
        <v>250</v>
      </c>
    </row>
    <row r="341" spans="1:23">
      <c r="A341" s="72" t="s">
        <v>460</v>
      </c>
      <c r="B341" s="36" t="str">
        <f>IFERROR(HYPERLINK(VLOOKUP(A341,ÜRÜNLER!A:C,3,FALSE),VLOOKUP(A341,ÜRÜNLER!A:B,2,FALSE)),"")</f>
        <v>iQ300 Gazlı Ocak, 75cm, Sert Cam, Antrasit, Wok</v>
      </c>
      <c r="C341" s="4">
        <v>4</v>
      </c>
      <c r="D341" s="4"/>
      <c r="E341" s="5"/>
      <c r="F341" s="5"/>
      <c r="G341" s="5"/>
      <c r="H341" s="5"/>
      <c r="I341" s="6"/>
      <c r="J341" s="6"/>
      <c r="K341" s="5"/>
      <c r="L341" s="5"/>
      <c r="M341" s="6"/>
      <c r="N341" s="39">
        <f t="shared" si="11"/>
        <v>4</v>
      </c>
      <c r="O341" s="40">
        <v>0</v>
      </c>
      <c r="P341" s="29"/>
      <c r="Q341" s="125">
        <v>28886.796732696181</v>
      </c>
      <c r="R341" s="128">
        <v>27442.456896061372</v>
      </c>
      <c r="S341" s="124">
        <v>28540.155171903829</v>
      </c>
      <c r="T341" s="124">
        <v>29637.853447746282</v>
      </c>
      <c r="U341" s="125"/>
      <c r="V341" s="123"/>
      <c r="W341" s="123"/>
    </row>
    <row r="342" spans="1:23">
      <c r="A342" s="64" t="s">
        <v>1317</v>
      </c>
      <c r="B342" s="36" t="str">
        <f>IFERROR(HYPERLINK(VLOOKUP(A342,ÜRÜNLER!A:C,3,FALSE),VLOOKUP(A342,ÜRÜNLER!A:B,2,FALSE)),"")</f>
        <v>iQ500 Gazlı Ocak, 75cm, 5 Gözlü, Sert Cam, Beyaz, Wok</v>
      </c>
      <c r="C342" s="4">
        <v>7</v>
      </c>
      <c r="D342" s="4"/>
      <c r="E342" s="5"/>
      <c r="F342" s="5"/>
      <c r="G342" s="5"/>
      <c r="H342" s="5"/>
      <c r="I342" s="6"/>
      <c r="J342" s="6"/>
      <c r="K342" s="5"/>
      <c r="L342" s="5"/>
      <c r="M342" s="6"/>
      <c r="N342" s="39">
        <f t="shared" si="11"/>
        <v>7</v>
      </c>
      <c r="O342" s="40">
        <v>0</v>
      </c>
      <c r="P342" s="29"/>
      <c r="Q342" s="125">
        <v>57081.195052424366</v>
      </c>
      <c r="R342" s="128">
        <v>54227.135299803151</v>
      </c>
      <c r="S342" s="124">
        <v>56396.220711795278</v>
      </c>
      <c r="T342" s="124">
        <v>58565.306123787406</v>
      </c>
      <c r="U342" s="125"/>
      <c r="V342" s="123"/>
      <c r="W342" s="129">
        <v>250</v>
      </c>
    </row>
    <row r="343" spans="1:23">
      <c r="A343" s="64" t="s">
        <v>330</v>
      </c>
      <c r="B343" s="36" t="str">
        <f>IFERROR(HYPERLINK(VLOOKUP(A343,ÜRÜNLER!A:C,3,FALSE),VLOOKUP(A343,ÜRÜNLER!A:B,2,FALSE)),"")</f>
        <v>iQ500 Gazlı Ocak, 75cm, 5 Gözlü, Sert Cam, Beyaz, Döküm, Wok</v>
      </c>
      <c r="C343" s="4"/>
      <c r="D343" s="4"/>
      <c r="E343" s="5"/>
      <c r="F343" s="5">
        <v>1</v>
      </c>
      <c r="G343" s="5"/>
      <c r="H343" s="5"/>
      <c r="I343" s="6">
        <v>2</v>
      </c>
      <c r="J343" s="6">
        <v>1</v>
      </c>
      <c r="K343" s="5"/>
      <c r="L343" s="5">
        <v>2</v>
      </c>
      <c r="M343" s="6">
        <v>1</v>
      </c>
      <c r="N343" s="39">
        <f t="shared" si="11"/>
        <v>7</v>
      </c>
      <c r="O343" s="40">
        <v>0</v>
      </c>
      <c r="P343" s="29"/>
      <c r="Q343" s="125" t="s">
        <v>1773</v>
      </c>
      <c r="R343" s="123">
        <v>42000</v>
      </c>
      <c r="S343" s="124">
        <v>43680</v>
      </c>
      <c r="T343" s="124">
        <v>45360</v>
      </c>
      <c r="U343" s="125"/>
      <c r="V343" s="123"/>
      <c r="W343" s="126">
        <v>1000</v>
      </c>
    </row>
    <row r="344" spans="1:23">
      <c r="A344" s="64" t="s">
        <v>331</v>
      </c>
      <c r="B344" s="36" t="str">
        <f>IFERROR(HYPERLINK(VLOOKUP(A344,ÜRÜNLER!A:C,3,FALSE),VLOOKUP(A344,ÜRÜNLER!A:B,2,FALSE)),"")</f>
        <v>iQ500 Gazlı Ocak, 75cm, 5 Gözlü, Sert Cam, Siyah, Wok</v>
      </c>
      <c r="C344" s="4"/>
      <c r="D344" s="4"/>
      <c r="E344" s="5"/>
      <c r="F344" s="5"/>
      <c r="G344" s="5"/>
      <c r="H344" s="5"/>
      <c r="I344" s="6">
        <v>1</v>
      </c>
      <c r="J344" s="6">
        <v>1</v>
      </c>
      <c r="K344" s="5"/>
      <c r="L344" s="5">
        <v>2</v>
      </c>
      <c r="M344" s="6"/>
      <c r="N344" s="39">
        <f t="shared" si="11"/>
        <v>4</v>
      </c>
      <c r="O344" s="40">
        <v>0</v>
      </c>
      <c r="P344" s="29"/>
      <c r="Q344" s="125" t="s">
        <v>1773</v>
      </c>
      <c r="R344" s="123">
        <v>42000</v>
      </c>
      <c r="S344" s="124">
        <v>43680</v>
      </c>
      <c r="T344" s="124">
        <v>45360</v>
      </c>
      <c r="U344" s="125"/>
      <c r="V344" s="123"/>
      <c r="W344" s="126">
        <v>1000</v>
      </c>
    </row>
    <row r="345" spans="1:23">
      <c r="A345" s="61" t="s">
        <v>332</v>
      </c>
      <c r="B345" s="36" t="str">
        <f>IFERROR(HYPERLINK(VLOOKUP(A345,ÜRÜNLER!A:C,3,FALSE),VLOOKUP(A345,ÜRÜNLER!A:B,2,FALSE)),"")</f>
        <v>iQ500 Gazlı Ocak, 75cm, 5 Gözlü, Sert Cam, Siyah, Döküm, Wok</v>
      </c>
      <c r="C345" s="4"/>
      <c r="D345" s="4"/>
      <c r="E345" s="5"/>
      <c r="F345" s="5"/>
      <c r="G345" s="5"/>
      <c r="H345" s="5"/>
      <c r="I345" s="6">
        <v>1</v>
      </c>
      <c r="J345" s="6"/>
      <c r="K345" s="5"/>
      <c r="L345" s="5"/>
      <c r="M345" s="6"/>
      <c r="N345" s="39">
        <f t="shared" si="11"/>
        <v>1</v>
      </c>
      <c r="O345" s="40">
        <v>0</v>
      </c>
      <c r="P345" s="29"/>
      <c r="Q345" s="125" t="s">
        <v>1773</v>
      </c>
      <c r="R345" s="123">
        <v>42000</v>
      </c>
      <c r="S345" s="124">
        <v>43680</v>
      </c>
      <c r="T345" s="124">
        <v>45360</v>
      </c>
      <c r="U345" s="125"/>
      <c r="V345" s="123"/>
      <c r="W345" s="126">
        <v>1000</v>
      </c>
    </row>
    <row r="346" spans="1:23">
      <c r="A346" s="61" t="s">
        <v>333</v>
      </c>
      <c r="B346" s="36" t="str">
        <f>IFERROR(HYPERLINK(VLOOKUP(A346,ÜRÜNLER!A:C,3,FALSE),VLOOKUP(A346,ÜRÜNLER!A:B,2,FALSE)),"")</f>
        <v>iQ500 Gazlı Ocak, 75cm, 5 Gözlü, Inox, Döküm, Wok</v>
      </c>
      <c r="C346" s="4">
        <v>1</v>
      </c>
      <c r="D346" s="4"/>
      <c r="E346" s="5"/>
      <c r="F346" s="5"/>
      <c r="G346" s="5"/>
      <c r="H346" s="5"/>
      <c r="I346" s="6"/>
      <c r="J346" s="6"/>
      <c r="K346" s="5"/>
      <c r="L346" s="5"/>
      <c r="M346" s="6"/>
      <c r="N346" s="39">
        <f t="shared" si="11"/>
        <v>1</v>
      </c>
      <c r="O346" s="40">
        <v>0</v>
      </c>
      <c r="P346" s="29"/>
      <c r="Q346" s="125">
        <v>51886.301180903363</v>
      </c>
      <c r="R346" s="129">
        <v>49651.962852539102</v>
      </c>
      <c r="S346" s="124">
        <v>51638.041366640668</v>
      </c>
      <c r="T346" s="124">
        <v>53624.119880742233</v>
      </c>
      <c r="U346" s="125"/>
      <c r="V346" s="123"/>
      <c r="W346" s="123"/>
    </row>
    <row r="347" spans="1:23">
      <c r="A347" s="64" t="s">
        <v>334</v>
      </c>
      <c r="B347" s="36" t="str">
        <f>IFERROR(HYPERLINK(VLOOKUP(A347,ÜRÜNLER!A:C,3,FALSE),VLOOKUP(A347,ÜRÜNLER!A:B,2,FALSE)),"")</f>
        <v>iQ500 Gazlı Ocak, 75cm, 5 Gözlü, Inox, Döküm, Wok</v>
      </c>
      <c r="C347" s="4"/>
      <c r="D347" s="4"/>
      <c r="E347" s="5"/>
      <c r="F347" s="5"/>
      <c r="G347" s="5"/>
      <c r="H347" s="5"/>
      <c r="I347" s="6">
        <v>1</v>
      </c>
      <c r="J347" s="6"/>
      <c r="K347" s="5"/>
      <c r="L347" s="5"/>
      <c r="M347" s="6"/>
      <c r="N347" s="39">
        <f t="shared" si="11"/>
        <v>1</v>
      </c>
      <c r="O347" s="40">
        <v>0</v>
      </c>
      <c r="P347" s="29"/>
      <c r="Q347" s="125" t="s">
        <v>1773</v>
      </c>
      <c r="R347" s="123">
        <v>40000</v>
      </c>
      <c r="S347" s="124">
        <v>41600</v>
      </c>
      <c r="T347" s="124">
        <v>43200</v>
      </c>
      <c r="U347" s="125"/>
      <c r="V347" s="123"/>
      <c r="W347" s="126">
        <v>1000</v>
      </c>
    </row>
    <row r="348" spans="1:23">
      <c r="A348" s="85" t="s">
        <v>335</v>
      </c>
      <c r="B348" s="36" t="str">
        <f>IFERROR(HYPERLINK(VLOOKUP(A348,ÜRÜNLER!A:C,3,FALSE),VLOOKUP(A348,ÜRÜNLER!A:B,2,FALSE)),"")</f>
        <v>iQ500 Gazlı Ocak, 90cm, 5 Gözlü, Sert Cam, Siyah, Döküm, Wok</v>
      </c>
      <c r="C348" s="4"/>
      <c r="D348" s="4"/>
      <c r="E348" s="5"/>
      <c r="F348" s="5"/>
      <c r="G348" s="5"/>
      <c r="H348" s="5"/>
      <c r="I348" s="6"/>
      <c r="J348" s="6"/>
      <c r="K348" s="5"/>
      <c r="L348" s="5">
        <v>1</v>
      </c>
      <c r="M348" s="6"/>
      <c r="N348" s="39">
        <f t="shared" si="11"/>
        <v>1</v>
      </c>
      <c r="O348" s="40">
        <v>0</v>
      </c>
      <c r="P348" s="29"/>
      <c r="Q348" s="125" t="s">
        <v>1773</v>
      </c>
      <c r="R348" s="123">
        <v>45000</v>
      </c>
      <c r="S348" s="124">
        <v>46800</v>
      </c>
      <c r="T348" s="124">
        <v>48600</v>
      </c>
      <c r="U348" s="125"/>
      <c r="V348" s="123"/>
      <c r="W348" s="126">
        <v>1000</v>
      </c>
    </row>
    <row r="349" spans="1:23">
      <c r="A349" s="86" t="s">
        <v>336</v>
      </c>
      <c r="B349" s="36" t="str">
        <f>IFERROR(HYPERLINK(VLOOKUP(A349,ÜRÜNLER!A:C,3,FALSE),VLOOKUP(A349,ÜRÜNLER!A:B,2,FALSE)),"")</f>
        <v>iQ500 Gazlı Ocak, 90cm, 5 Gözlü, Sert Cam, Siyah, Döküm, Wok</v>
      </c>
      <c r="C349" s="4">
        <v>1</v>
      </c>
      <c r="D349" s="4"/>
      <c r="E349" s="5"/>
      <c r="F349" s="5">
        <v>2</v>
      </c>
      <c r="G349" s="5"/>
      <c r="H349" s="5"/>
      <c r="I349" s="6"/>
      <c r="J349" s="6">
        <v>1</v>
      </c>
      <c r="K349" s="5"/>
      <c r="L349" s="5"/>
      <c r="M349" s="6"/>
      <c r="N349" s="39">
        <f t="shared" si="11"/>
        <v>4</v>
      </c>
      <c r="O349" s="40">
        <v>0</v>
      </c>
      <c r="P349" s="29"/>
      <c r="Q349" s="125">
        <v>71207.543256386838</v>
      </c>
      <c r="R349" s="129">
        <v>68141.189719030473</v>
      </c>
      <c r="S349" s="124">
        <v>70866.837307791691</v>
      </c>
      <c r="T349" s="124">
        <v>73592.484896552909</v>
      </c>
      <c r="U349" s="125"/>
      <c r="V349" s="123"/>
      <c r="W349" s="129">
        <v>250</v>
      </c>
    </row>
    <row r="350" spans="1:23">
      <c r="A350" s="61" t="s">
        <v>338</v>
      </c>
      <c r="B350" s="36" t="str">
        <f>IFERROR(HYPERLINK(VLOOKUP(A350,ÜRÜNLER!A:C,3,FALSE),VLOOKUP(A350,ÜRÜNLER!A:B,2,FALSE)),"")</f>
        <v>iQ500 Gazlı Ocak, 67cm, Sert Cam, Siyah, Wok, Döküm</v>
      </c>
      <c r="C350" s="4"/>
      <c r="D350" s="4"/>
      <c r="E350" s="5"/>
      <c r="F350" s="5"/>
      <c r="G350" s="5"/>
      <c r="H350" s="5"/>
      <c r="I350" s="6"/>
      <c r="J350" s="6"/>
      <c r="K350" s="5">
        <v>1</v>
      </c>
      <c r="L350" s="5"/>
      <c r="M350" s="6"/>
      <c r="N350" s="39">
        <f t="shared" si="11"/>
        <v>1</v>
      </c>
      <c r="O350" s="40">
        <v>0</v>
      </c>
      <c r="P350" s="29"/>
      <c r="Q350" s="125">
        <v>57081.195052424366</v>
      </c>
      <c r="R350" s="129">
        <v>54623.153160214708</v>
      </c>
      <c r="S350" s="124">
        <v>56808.079286623295</v>
      </c>
      <c r="T350" s="124">
        <v>58993.005413031882</v>
      </c>
      <c r="U350" s="125"/>
      <c r="V350" s="123"/>
      <c r="W350" s="123"/>
    </row>
    <row r="351" spans="1:23">
      <c r="A351" s="85" t="s">
        <v>1313</v>
      </c>
      <c r="B351" s="36" t="str">
        <f>IFERROR(HYPERLINK(VLOOKUP(A351,ÜRÜNLER!A:C,3,FALSE),VLOOKUP(A351,ÜRÜNLER!A:B,2,FALSE)),"")</f>
        <v>iQ700 studioLine Gazlı Ocak, 90cm, 5 Gözlü, Sert Cam, Siyah, Döküm, Wok</v>
      </c>
      <c r="C351" s="4">
        <v>1</v>
      </c>
      <c r="D351" s="4"/>
      <c r="E351" s="5"/>
      <c r="F351" s="5"/>
      <c r="G351" s="5"/>
      <c r="H351" s="5"/>
      <c r="I351" s="6"/>
      <c r="J351" s="6"/>
      <c r="K351" s="5"/>
      <c r="L351" s="5"/>
      <c r="M351" s="6"/>
      <c r="N351" s="39">
        <f t="shared" si="11"/>
        <v>1</v>
      </c>
      <c r="O351" s="40">
        <v>0</v>
      </c>
      <c r="P351" s="29"/>
      <c r="Q351" s="125">
        <v>100923.04846243623</v>
      </c>
      <c r="R351" s="140">
        <v>95876.896039314423</v>
      </c>
      <c r="S351" s="124">
        <v>99711.971880886995</v>
      </c>
      <c r="T351" s="124">
        <v>103547.04772245958</v>
      </c>
      <c r="U351" s="125"/>
      <c r="V351" s="123"/>
      <c r="W351" s="123"/>
    </row>
    <row r="352" spans="1:23">
      <c r="A352" s="85" t="s">
        <v>340</v>
      </c>
      <c r="B352" s="36" t="str">
        <f>IFERROR(HYPERLINK(VLOOKUP(A352,ÜRÜNLER!A:C,3,FALSE),VLOOKUP(A352,ÜRÜNLER!A:B,2,FALSE)),"")</f>
        <v>iQ700 Gazlı Ocak, 60cm, Seramik, Siyah, Döküm</v>
      </c>
      <c r="C352" s="4"/>
      <c r="D352" s="4"/>
      <c r="E352" s="5"/>
      <c r="F352" s="5"/>
      <c r="G352" s="5"/>
      <c r="H352" s="5"/>
      <c r="I352" s="6">
        <v>1</v>
      </c>
      <c r="J352" s="6"/>
      <c r="K352" s="5"/>
      <c r="L352" s="5">
        <v>3</v>
      </c>
      <c r="M352" s="6"/>
      <c r="N352" s="39">
        <f t="shared" si="11"/>
        <v>4</v>
      </c>
      <c r="O352" s="40">
        <v>0</v>
      </c>
      <c r="P352" s="29"/>
      <c r="Q352" s="125" t="s">
        <v>1773</v>
      </c>
      <c r="R352" s="123">
        <v>40000</v>
      </c>
      <c r="S352" s="124">
        <v>41600</v>
      </c>
      <c r="T352" s="124">
        <v>43200</v>
      </c>
      <c r="U352" s="125"/>
      <c r="V352" s="123"/>
      <c r="W352" s="126">
        <v>1000</v>
      </c>
    </row>
    <row r="353" spans="1:23">
      <c r="A353" s="61" t="s">
        <v>341</v>
      </c>
      <c r="B353" s="36" t="str">
        <f>IFERROR(HYPERLINK(VLOOKUP(A353,ÜRÜNLER!A:C,3,FALSE),VLOOKUP(A353,ÜRÜNLER!A:B,2,FALSE)),"")</f>
        <v>iQ500 Moduler Teppanyaki, 40cm, Inox</v>
      </c>
      <c r="C353" s="4">
        <v>2</v>
      </c>
      <c r="D353" s="4"/>
      <c r="E353" s="5"/>
      <c r="F353" s="5"/>
      <c r="G353" s="5"/>
      <c r="H353" s="5"/>
      <c r="I353" s="6"/>
      <c r="J353" s="6"/>
      <c r="K353" s="5"/>
      <c r="L353" s="5"/>
      <c r="M353" s="6"/>
      <c r="N353" s="39">
        <f t="shared" si="11"/>
        <v>2</v>
      </c>
      <c r="O353" s="40">
        <v>0</v>
      </c>
      <c r="P353" s="29"/>
      <c r="Q353" s="125" t="s">
        <v>1773</v>
      </c>
      <c r="R353" s="123">
        <v>100000</v>
      </c>
      <c r="S353" s="124">
        <v>104000</v>
      </c>
      <c r="T353" s="124">
        <v>108000</v>
      </c>
      <c r="U353" s="125"/>
      <c r="V353" s="123"/>
      <c r="W353" s="126">
        <v>1000</v>
      </c>
    </row>
    <row r="354" spans="1:23">
      <c r="A354" s="61" t="s">
        <v>339</v>
      </c>
      <c r="B354" s="36" t="str">
        <f>IFERROR(HYPERLINK(VLOOKUP(A354,ÜRÜNLER!A:C,3,FALSE),VLOOKUP(A354,ÜRÜNLER!A:B,2,FALSE)),"")</f>
        <v>iQ700 Gazlı Domino Ocak, 30cm, 2 Gözlü, Seramik, Siyah</v>
      </c>
      <c r="C354" s="4"/>
      <c r="D354" s="4"/>
      <c r="E354" s="5"/>
      <c r="F354" s="5">
        <v>1</v>
      </c>
      <c r="G354" s="5"/>
      <c r="H354" s="5"/>
      <c r="I354" s="6"/>
      <c r="J354" s="6"/>
      <c r="K354" s="5"/>
      <c r="L354" s="5"/>
      <c r="M354" s="6"/>
      <c r="N354" s="39">
        <f t="shared" ref="N354:N355" si="12">M354+K354+L354+J354+I354+H354+G354+F354+E354+D354+C354</f>
        <v>1</v>
      </c>
      <c r="O354" s="40">
        <v>0</v>
      </c>
      <c r="P354" s="29"/>
      <c r="Q354" s="125" t="s">
        <v>1773</v>
      </c>
      <c r="R354" s="123">
        <v>35000</v>
      </c>
      <c r="S354" s="124">
        <v>36400</v>
      </c>
      <c r="T354" s="124">
        <v>37800</v>
      </c>
      <c r="U354" s="125"/>
      <c r="V354" s="123"/>
      <c r="W354" s="126">
        <v>1000</v>
      </c>
    </row>
    <row r="355" spans="1:23">
      <c r="A355" s="61" t="s">
        <v>337</v>
      </c>
      <c r="B355" s="36" t="str">
        <f>IFERROR(HYPERLINK(VLOOKUP(A355,ÜRÜNLER!A:C,3,FALSE),VLOOKUP(A355,ÜRÜNLER!A:B,2,FALSE)),"")</f>
        <v>iQ700 Gazlı Domino Ocak, 30cm, Tek Gözlü, Seramik, Siyah, Wok</v>
      </c>
      <c r="C355" s="4">
        <v>1</v>
      </c>
      <c r="D355" s="4"/>
      <c r="E355" s="5"/>
      <c r="F355" s="5"/>
      <c r="G355" s="5"/>
      <c r="H355" s="5"/>
      <c r="I355" s="6"/>
      <c r="J355" s="6"/>
      <c r="K355" s="5"/>
      <c r="L355" s="5"/>
      <c r="M355" s="6"/>
      <c r="N355" s="39">
        <f t="shared" si="12"/>
        <v>1</v>
      </c>
      <c r="O355" s="40">
        <v>0</v>
      </c>
      <c r="P355" s="29"/>
      <c r="Q355" s="125" t="s">
        <v>1773</v>
      </c>
      <c r="R355" s="123">
        <v>30000</v>
      </c>
      <c r="S355" s="124">
        <v>31200</v>
      </c>
      <c r="T355" s="124">
        <v>32400</v>
      </c>
      <c r="U355" s="125"/>
      <c r="V355" s="123"/>
      <c r="W355" s="126">
        <v>1000</v>
      </c>
    </row>
    <row r="356" spans="1:23" ht="34.5" customHeight="1">
      <c r="A356" s="107" t="s">
        <v>342</v>
      </c>
      <c r="B356" s="36" t="str">
        <f>IFERROR(HYPERLINK(VLOOKUP(A356,ÜRÜNLER!A:C,3,FALSE),VLOOKUP(A356,ÜRÜNLER!A:B,2,FALSE)),"")</f>
        <v/>
      </c>
      <c r="C356" s="4"/>
      <c r="D356" s="4"/>
      <c r="E356" s="5"/>
      <c r="F356" s="5"/>
      <c r="G356" s="5"/>
      <c r="H356" s="5"/>
      <c r="I356" s="6"/>
      <c r="J356" s="6"/>
      <c r="K356" s="5"/>
      <c r="L356" s="5"/>
      <c r="M356" s="6"/>
      <c r="N356" s="39">
        <f>SUM(N290:N355)</f>
        <v>313</v>
      </c>
      <c r="O356" s="40">
        <v>0</v>
      </c>
      <c r="P356" s="5"/>
      <c r="R356" s="123"/>
      <c r="S356" s="124"/>
      <c r="T356" s="124"/>
      <c r="U356" s="125"/>
      <c r="V356" s="123"/>
      <c r="W356" s="123"/>
    </row>
    <row r="357" spans="1:23">
      <c r="A357" s="64" t="s">
        <v>343</v>
      </c>
      <c r="B357" s="36" t="str">
        <f>IFERROR(HYPERLINK(VLOOKUP(A357,ÜRÜNLER!A:C,3,FALSE),VLOOKUP(A357,ÜRÜNLER!A:B,2,FALSE)),"")</f>
        <v>iQ100 Elektrikli Ocak, 60cm, Çerçevesiz, Siyah</v>
      </c>
      <c r="C357" s="4">
        <v>8</v>
      </c>
      <c r="D357" s="4"/>
      <c r="E357" s="5"/>
      <c r="F357" s="5"/>
      <c r="G357" s="5"/>
      <c r="H357" s="5"/>
      <c r="I357" s="6">
        <v>1</v>
      </c>
      <c r="J357" s="6">
        <v>1</v>
      </c>
      <c r="K357" s="5">
        <v>1</v>
      </c>
      <c r="L357" s="5">
        <v>1</v>
      </c>
      <c r="M357" s="6">
        <v>1</v>
      </c>
      <c r="N357" s="39">
        <f t="shared" ref="N357:N362" si="13">M357+K357+L357+J357+I357+H357+G357+F357+E357+D357+C357</f>
        <v>13</v>
      </c>
      <c r="O357" s="40">
        <v>10</v>
      </c>
      <c r="P357" s="29"/>
      <c r="Q357" s="125">
        <v>28138.610097121495</v>
      </c>
      <c r="R357" s="140">
        <v>26731.67959226542</v>
      </c>
      <c r="S357" s="124">
        <v>27800.946775956036</v>
      </c>
      <c r="T357" s="124">
        <v>28870.213959646655</v>
      </c>
      <c r="U357" s="125"/>
      <c r="V357" s="123"/>
      <c r="W357" s="123"/>
    </row>
    <row r="358" spans="1:23">
      <c r="A358" s="64" t="s">
        <v>344</v>
      </c>
      <c r="B358" s="36" t="str">
        <f>IFERROR(HYPERLINK(VLOOKUP(A358,ÜRÜNLER!A:C,3,FALSE),VLOOKUP(A358,ÜRÜNLER!A:B,2,FALSE)),"")</f>
        <v>iQ100 Elektrikli Ocak, 60cm, Çerçevesiz, Beyaz</v>
      </c>
      <c r="C358" s="4">
        <v>9</v>
      </c>
      <c r="D358" s="4"/>
      <c r="E358" s="5"/>
      <c r="F358" s="5">
        <v>2</v>
      </c>
      <c r="G358" s="5"/>
      <c r="H358" s="5"/>
      <c r="I358" s="6">
        <v>2</v>
      </c>
      <c r="J358" s="6"/>
      <c r="K358" s="5"/>
      <c r="L358" s="5"/>
      <c r="M358" s="6"/>
      <c r="N358" s="39">
        <f t="shared" si="13"/>
        <v>13</v>
      </c>
      <c r="O358" s="40">
        <v>5</v>
      </c>
      <c r="P358" s="29"/>
      <c r="Q358" s="125">
        <v>35059.11930633599</v>
      </c>
      <c r="R358" s="140">
        <v>33306.163341019193</v>
      </c>
      <c r="S358" s="124">
        <v>34638.409874659963</v>
      </c>
      <c r="T358" s="124">
        <v>35970.656408300725</v>
      </c>
      <c r="U358" s="125"/>
      <c r="V358" s="123"/>
      <c r="W358" s="123"/>
    </row>
    <row r="359" spans="1:23">
      <c r="A359" s="64" t="s">
        <v>345</v>
      </c>
      <c r="B359" s="36" t="str">
        <f>IFERROR(HYPERLINK(VLOOKUP(A359,ÜRÜNLER!A:C,3,FALSE),VLOOKUP(A359,ÜRÜNLER!A:B,2,FALSE)),"")</f>
        <v>iQ300 Elektrikli Ocak, 60cm, Çerçevesiz, Siyah</v>
      </c>
      <c r="C359" s="4">
        <v>3</v>
      </c>
      <c r="D359" s="4"/>
      <c r="E359" s="5"/>
      <c r="F359" s="5">
        <v>1</v>
      </c>
      <c r="G359" s="5"/>
      <c r="H359" s="5"/>
      <c r="I359" s="6"/>
      <c r="J359" s="6"/>
      <c r="K359" s="5"/>
      <c r="L359" s="5"/>
      <c r="M359" s="6"/>
      <c r="N359" s="39">
        <f t="shared" si="13"/>
        <v>4</v>
      </c>
      <c r="O359" s="40">
        <v>5</v>
      </c>
      <c r="P359" s="29"/>
      <c r="Q359" s="125">
        <v>35107.006277500412</v>
      </c>
      <c r="R359" s="140">
        <v>33351.655963625388</v>
      </c>
      <c r="S359" s="124">
        <v>34685.7222021704</v>
      </c>
      <c r="T359" s="124">
        <v>36019.78844071542</v>
      </c>
      <c r="U359" s="125"/>
      <c r="V359" s="123"/>
      <c r="W359" s="123"/>
    </row>
    <row r="360" spans="1:23">
      <c r="A360" s="64" t="s">
        <v>346</v>
      </c>
      <c r="B360" s="36" t="str">
        <f>IFERROR(HYPERLINK(VLOOKUP(A360,ÜRÜNLER!A:C,3,FALSE),VLOOKUP(A360,ÜRÜNLER!A:B,2,FALSE)),"")</f>
        <v>iQ300 Elektrikli Ocak, 70cm, Çerçeveli, Siyah</v>
      </c>
      <c r="C360" s="4"/>
      <c r="D360" s="4"/>
      <c r="E360" s="5"/>
      <c r="F360" s="5">
        <v>2</v>
      </c>
      <c r="G360" s="5"/>
      <c r="H360" s="5"/>
      <c r="I360" s="6">
        <v>1</v>
      </c>
      <c r="J360" s="6"/>
      <c r="K360" s="5"/>
      <c r="L360" s="5"/>
      <c r="M360" s="6"/>
      <c r="N360" s="39">
        <f t="shared" si="13"/>
        <v>3</v>
      </c>
      <c r="O360" s="40">
        <v>0</v>
      </c>
      <c r="P360" s="29"/>
      <c r="Q360" s="125" t="s">
        <v>1773</v>
      </c>
      <c r="R360" s="129">
        <v>50000</v>
      </c>
      <c r="S360" s="124">
        <v>52000</v>
      </c>
      <c r="T360" s="124">
        <v>54000</v>
      </c>
      <c r="U360" s="125"/>
      <c r="V360" s="123"/>
      <c r="W360" s="126">
        <v>1000</v>
      </c>
    </row>
    <row r="361" spans="1:23">
      <c r="A361" s="64" t="s">
        <v>347</v>
      </c>
      <c r="B361" s="36" t="str">
        <f>IFERROR(HYPERLINK(VLOOKUP(A361,ÜRÜNLER!A:C,3,FALSE),VLOOKUP(A361,ÜRÜNLER!A:B,2,FALSE)),"")</f>
        <v>iQ500 Elektrikli Ocak, 80cm, Çerçeveli, Siyah</v>
      </c>
      <c r="C361" s="4">
        <v>2</v>
      </c>
      <c r="D361" s="4"/>
      <c r="E361" s="5"/>
      <c r="F361" s="5">
        <v>1</v>
      </c>
      <c r="G361" s="5"/>
      <c r="H361" s="5"/>
      <c r="I361" s="6"/>
      <c r="J361" s="6"/>
      <c r="K361" s="5"/>
      <c r="L361" s="5"/>
      <c r="M361" s="6"/>
      <c r="N361" s="39">
        <f t="shared" si="13"/>
        <v>3</v>
      </c>
      <c r="O361" s="40">
        <v>2</v>
      </c>
      <c r="P361" s="29"/>
      <c r="Q361" s="125">
        <v>67503.399574603187</v>
      </c>
      <c r="R361" s="140">
        <v>64128.229595873025</v>
      </c>
      <c r="S361" s="124">
        <v>66693.358779707953</v>
      </c>
      <c r="T361" s="124">
        <v>69258.487963542866</v>
      </c>
      <c r="U361" s="125"/>
      <c r="V361" s="123"/>
      <c r="W361" s="123"/>
    </row>
    <row r="362" spans="1:23">
      <c r="A362" s="64" t="s">
        <v>1680</v>
      </c>
      <c r="B362" s="36" t="str">
        <f>IFERROR(HYPERLINK(VLOOKUP(A362,ÜRÜNLER!A:C,3,FALSE),VLOOKUP(A362,ÜRÜNLER!A:B,2,FALSE)),"")</f>
        <v>iQ300 Elektrikli Domino Ocak, 30cm, 2 Gözlü, Siyah</v>
      </c>
      <c r="C362" s="4">
        <v>1</v>
      </c>
      <c r="D362" s="4"/>
      <c r="E362" s="5"/>
      <c r="F362" s="5"/>
      <c r="G362" s="5"/>
      <c r="H362" s="5"/>
      <c r="I362" s="6"/>
      <c r="J362" s="6"/>
      <c r="K362" s="5"/>
      <c r="L362" s="5"/>
      <c r="M362" s="6"/>
      <c r="N362" s="39">
        <f t="shared" si="13"/>
        <v>1</v>
      </c>
      <c r="O362" s="40">
        <v>0</v>
      </c>
      <c r="P362" s="29"/>
      <c r="Q362" s="125">
        <v>36323.771485010177</v>
      </c>
      <c r="R362" s="140">
        <v>34507.582910759666</v>
      </c>
      <c r="S362" s="124">
        <v>35887.886227190051</v>
      </c>
      <c r="T362" s="124">
        <v>37268.189543620436</v>
      </c>
      <c r="U362" s="125"/>
      <c r="V362" s="123"/>
      <c r="W362" s="123"/>
    </row>
    <row r="363" spans="1:23" ht="30">
      <c r="A363" s="107" t="s">
        <v>348</v>
      </c>
      <c r="B363" s="36" t="str">
        <f>IFERROR(HYPERLINK(VLOOKUP(A363,ÜRÜNLER!A:C,3,FALSE),VLOOKUP(A363,ÜRÜNLER!A:B,2,FALSE)),"")</f>
        <v/>
      </c>
      <c r="C363" s="4"/>
      <c r="D363" s="4"/>
      <c r="E363" s="5"/>
      <c r="F363" s="5"/>
      <c r="G363" s="5"/>
      <c r="H363" s="5"/>
      <c r="I363" s="6"/>
      <c r="J363" s="6"/>
      <c r="K363" s="5"/>
      <c r="L363" s="5"/>
      <c r="M363" s="6"/>
      <c r="N363" s="39">
        <f>SUM(N357:N362)</f>
        <v>37</v>
      </c>
      <c r="O363" s="40">
        <v>0</v>
      </c>
      <c r="P363" s="5"/>
      <c r="R363" s="123"/>
      <c r="S363" s="124"/>
      <c r="T363" s="124"/>
      <c r="U363" s="125"/>
      <c r="V363" s="123"/>
      <c r="W363" s="123"/>
    </row>
    <row r="364" spans="1:23">
      <c r="A364" s="64" t="s">
        <v>349</v>
      </c>
      <c r="B364" s="36" t="str">
        <f>IFERROR(HYPERLINK(VLOOKUP(A364,ÜRÜNLER!A:C,3,FALSE),VLOOKUP(A364,ÜRÜNLER!A:B,2,FALSE)),"")</f>
        <v>iQ100 İndüksiyonlu Ocak, 60cm, Çerçevesiz, Siyah</v>
      </c>
      <c r="C364" s="4">
        <v>2</v>
      </c>
      <c r="D364" s="4"/>
      <c r="E364" s="5">
        <v>1</v>
      </c>
      <c r="F364" s="5"/>
      <c r="G364" s="5"/>
      <c r="H364" s="5"/>
      <c r="I364" s="6">
        <v>1</v>
      </c>
      <c r="J364" s="6">
        <v>1</v>
      </c>
      <c r="K364" s="5"/>
      <c r="L364" s="5"/>
      <c r="M364" s="6">
        <v>1</v>
      </c>
      <c r="N364" s="39">
        <f t="shared" ref="N364:N373" si="14">M364+K364+L364+J364+I364+H364+G364+F364+E364+D364+C364</f>
        <v>6</v>
      </c>
      <c r="O364" s="40">
        <v>1</v>
      </c>
      <c r="P364" s="29"/>
      <c r="Q364" s="125">
        <v>28161.745369391989</v>
      </c>
      <c r="R364" s="129">
        <v>26949.038630997122</v>
      </c>
      <c r="S364" s="124">
        <v>28027.000176237008</v>
      </c>
      <c r="T364" s="124">
        <v>29104.961721476891</v>
      </c>
      <c r="U364" s="125"/>
      <c r="V364" s="123"/>
      <c r="W364" s="123"/>
    </row>
    <row r="365" spans="1:23">
      <c r="A365" s="57" t="s">
        <v>350</v>
      </c>
      <c r="B365" s="36" t="str">
        <f>IFERROR(HYPERLINK(VLOOKUP(A365,ÜRÜNLER!A:C,3,FALSE),VLOOKUP(A365,ÜRÜNLER!A:B,2,FALSE)),"")</f>
        <v>iQ700 İndüksiyonlu Ocak, 60cm, Çerçeveli, Siyah</v>
      </c>
      <c r="C365" s="4"/>
      <c r="D365" s="4"/>
      <c r="E365" s="5"/>
      <c r="F365" s="5"/>
      <c r="G365" s="5"/>
      <c r="H365" s="5"/>
      <c r="I365" s="6"/>
      <c r="J365" s="6"/>
      <c r="K365" s="5"/>
      <c r="L365" s="5"/>
      <c r="M365" s="6"/>
      <c r="N365" s="39">
        <f t="shared" si="14"/>
        <v>0</v>
      </c>
      <c r="O365" s="40">
        <v>1</v>
      </c>
      <c r="P365" s="29"/>
      <c r="Q365" s="125">
        <v>90259.377809730591</v>
      </c>
      <c r="R365" s="129">
        <v>86372.610344239802</v>
      </c>
      <c r="S365" s="124">
        <v>89827.514758009391</v>
      </c>
      <c r="T365" s="124">
        <v>93282.41917177898</v>
      </c>
      <c r="U365" s="125"/>
      <c r="V365" s="123"/>
      <c r="W365" s="126">
        <v>500</v>
      </c>
    </row>
    <row r="366" spans="1:23">
      <c r="A366" s="57" t="s">
        <v>351</v>
      </c>
      <c r="B366" s="36" t="str">
        <f>IFERROR(HYPERLINK(VLOOKUP(A366,ÜRÜNLER!A:C,3,FALSE),VLOOKUP(A366,ÜRÜNLER!A:B,2,FALSE)),"")</f>
        <v>iQ700 studioLine İndüksiyonlu Ocak, 80cm, FlushMount, Siyah</v>
      </c>
      <c r="C366" s="4"/>
      <c r="D366" s="4">
        <v>1</v>
      </c>
      <c r="E366" s="5"/>
      <c r="F366" s="5"/>
      <c r="G366" s="5"/>
      <c r="H366" s="5"/>
      <c r="I366" s="6"/>
      <c r="J366" s="6"/>
      <c r="K366" s="5"/>
      <c r="L366" s="5"/>
      <c r="M366" s="6"/>
      <c r="N366" s="39">
        <f t="shared" si="14"/>
        <v>1</v>
      </c>
      <c r="O366" s="40">
        <v>0</v>
      </c>
      <c r="P366" s="29"/>
      <c r="Q366" s="125">
        <v>103256.58672406121</v>
      </c>
      <c r="R366" s="136">
        <v>88929.117752780003</v>
      </c>
      <c r="S366" s="124">
        <v>92486.282462891206</v>
      </c>
      <c r="T366" s="124">
        <v>96043.447173002409</v>
      </c>
      <c r="U366" s="125"/>
      <c r="V366" s="123"/>
      <c r="W366" s="126">
        <v>500</v>
      </c>
    </row>
    <row r="367" spans="1:23">
      <c r="A367" s="57" t="s">
        <v>352</v>
      </c>
      <c r="B367" s="36" t="str">
        <f>IFERROR(HYPERLINK(VLOOKUP(A367,ÜRÜNLER!A:C,3,FALSE),VLOOKUP(A367,ÜRÜNLER!A:B,2,FALSE)),"")</f>
        <v>iQ700 studioLine İndüksiyonlu Ocak, 80cm, FlushMount, Siyah</v>
      </c>
      <c r="C367" s="4"/>
      <c r="D367" s="4">
        <v>1</v>
      </c>
      <c r="E367" s="5"/>
      <c r="F367" s="5"/>
      <c r="G367" s="5"/>
      <c r="H367" s="5">
        <v>1</v>
      </c>
      <c r="I367" s="6"/>
      <c r="J367" s="6"/>
      <c r="K367" s="5"/>
      <c r="L367" s="5"/>
      <c r="M367" s="6"/>
      <c r="N367" s="39">
        <f t="shared" si="14"/>
        <v>2</v>
      </c>
      <c r="O367" s="40">
        <v>0</v>
      </c>
      <c r="P367" s="29"/>
      <c r="Q367" s="125" t="s">
        <v>1773</v>
      </c>
      <c r="R367" s="134">
        <v>105000</v>
      </c>
      <c r="S367" s="124">
        <v>109200</v>
      </c>
      <c r="T367" s="124">
        <v>113400</v>
      </c>
      <c r="U367" s="125"/>
      <c r="V367" s="123"/>
      <c r="W367" s="126">
        <v>500</v>
      </c>
    </row>
    <row r="368" spans="1:23">
      <c r="A368" s="57" t="s">
        <v>1781</v>
      </c>
      <c r="B368" s="36" t="str">
        <f>IFERROR(HYPERLINK(VLOOKUP(A368,ÜRÜNLER!A:C,3,FALSE),VLOOKUP(A368,ÜRÜNLER!A:B,2,FALSE)),"")</f>
        <v>iQ700 Davlumbaz Entegreli İndüksiyonlu Ocak, 80cm, Çerçeveli, Siyah</v>
      </c>
      <c r="C368" s="4">
        <v>1</v>
      </c>
      <c r="D368" s="4"/>
      <c r="E368" s="5"/>
      <c r="F368" s="5"/>
      <c r="G368" s="5"/>
      <c r="H368" s="5"/>
      <c r="I368" s="6"/>
      <c r="J368" s="6"/>
      <c r="K368" s="5"/>
      <c r="L368" s="5"/>
      <c r="M368" s="6"/>
      <c r="N368" s="39">
        <f t="shared" si="14"/>
        <v>1</v>
      </c>
      <c r="O368" s="40">
        <v>0</v>
      </c>
      <c r="P368" s="29"/>
      <c r="Q368" s="125">
        <v>114243.29641631573</v>
      </c>
      <c r="R368" s="129">
        <v>109323.72862805334</v>
      </c>
      <c r="S368" s="124">
        <v>113696.67777317548</v>
      </c>
      <c r="T368" s="124">
        <v>118069.62691829761</v>
      </c>
      <c r="U368" s="125"/>
      <c r="V368" s="123"/>
      <c r="W368" s="129"/>
    </row>
    <row r="369" spans="1:24">
      <c r="A369" s="57" t="s">
        <v>1741</v>
      </c>
      <c r="B369" s="36" t="str">
        <f>IFERROR(HYPERLINK(VLOOKUP(A369,ÜRÜNLER!A:C,3,FALSE),VLOOKUP(A369,ÜRÜNLER!A:B,2,FALSE)),"")</f>
        <v>iQ700 studioLine Davlumbaz Entegreli İndüksiyonlu Ocak, 80cm, Çerçeveli, Siyah</v>
      </c>
      <c r="C369" s="4"/>
      <c r="D369" s="4">
        <v>12</v>
      </c>
      <c r="E369" s="5"/>
      <c r="F369" s="5"/>
      <c r="G369" s="5"/>
      <c r="H369" s="5"/>
      <c r="I369" s="6"/>
      <c r="J369" s="6"/>
      <c r="K369" s="5"/>
      <c r="L369" s="5"/>
      <c r="M369" s="6"/>
      <c r="N369" s="39">
        <f t="shared" si="14"/>
        <v>12</v>
      </c>
      <c r="O369" s="40">
        <v>0</v>
      </c>
      <c r="P369" s="29"/>
      <c r="Q369" s="125">
        <v>91918.944809464607</v>
      </c>
      <c r="R369" s="130">
        <v>76525.820080606907</v>
      </c>
      <c r="S369" s="124">
        <v>79586.85288383119</v>
      </c>
      <c r="T369" s="124">
        <v>82647.885687055459</v>
      </c>
      <c r="U369" s="125"/>
      <c r="V369" s="123"/>
      <c r="W369" s="129"/>
    </row>
    <row r="370" spans="1:24">
      <c r="A370" s="64" t="s">
        <v>356</v>
      </c>
      <c r="B370" s="36" t="str">
        <f>IFERROR(HYPERLINK(VLOOKUP(A370,ÜRÜNLER!A:C,3,FALSE),VLOOKUP(A370,ÜRÜNLER!A:B,2,FALSE)),"")</f>
        <v>iQ300 İndüksiyonlu Ocak, 90cm, Çerçeveli, Siyah</v>
      </c>
      <c r="C370" s="4"/>
      <c r="D370" s="4"/>
      <c r="E370" s="5"/>
      <c r="F370" s="5">
        <v>1</v>
      </c>
      <c r="G370" s="5"/>
      <c r="H370" s="5"/>
      <c r="I370" s="6"/>
      <c r="J370" s="6">
        <v>1</v>
      </c>
      <c r="K370" s="5"/>
      <c r="L370" s="5">
        <v>1</v>
      </c>
      <c r="M370" s="6"/>
      <c r="N370" s="39">
        <f t="shared" si="14"/>
        <v>3</v>
      </c>
      <c r="O370" s="40">
        <v>1</v>
      </c>
      <c r="P370" s="29"/>
      <c r="Q370" s="125">
        <v>119911.83047099356</v>
      </c>
      <c r="R370" s="128">
        <v>107920.6474238942</v>
      </c>
      <c r="S370" s="124">
        <v>112237.47332084997</v>
      </c>
      <c r="T370" s="124">
        <v>116554.29921780573</v>
      </c>
      <c r="U370" s="125"/>
      <c r="V370" s="123"/>
      <c r="W370" s="126">
        <v>500</v>
      </c>
    </row>
    <row r="371" spans="1:24">
      <c r="A371" s="64" t="s">
        <v>1496</v>
      </c>
      <c r="B371" s="36" t="str">
        <f>IFERROR(HYPERLINK(VLOOKUP(A371,ÜRÜNLER!A:C,3,FALSE),VLOOKUP(A371,ÜRÜNLER!A:B,2,FALSE)),"")</f>
        <v>iQ700 studioLine İndüksiyonlu Ocak, 90cm, FlushMount, Siyah</v>
      </c>
      <c r="C371" s="4"/>
      <c r="D371" s="4">
        <v>3</v>
      </c>
      <c r="E371" s="5"/>
      <c r="F371" s="5"/>
      <c r="G371" s="5"/>
      <c r="H371" s="5"/>
      <c r="I371" s="6"/>
      <c r="J371" s="6">
        <v>1</v>
      </c>
      <c r="K371" s="5"/>
      <c r="L371" s="5"/>
      <c r="M371" s="6"/>
      <c r="N371" s="39">
        <f t="shared" si="14"/>
        <v>4</v>
      </c>
      <c r="O371" s="40">
        <v>0</v>
      </c>
      <c r="P371" s="29"/>
      <c r="Q371" s="125">
        <v>153237.95939216475</v>
      </c>
      <c r="R371" s="136">
        <v>131975.27603152947</v>
      </c>
      <c r="S371" s="124">
        <v>137254.28707279064</v>
      </c>
      <c r="T371" s="124">
        <v>142533.29811405184</v>
      </c>
      <c r="U371" s="125"/>
      <c r="V371" s="123"/>
      <c r="W371" s="126">
        <v>500</v>
      </c>
    </row>
    <row r="372" spans="1:24">
      <c r="A372" s="57" t="s">
        <v>357</v>
      </c>
      <c r="B372" s="36" t="str">
        <f>IFERROR(HYPERLINK(VLOOKUP(A372,ÜRÜNLER!A:C,3,FALSE),VLOOKUP(A372,ÜRÜNLER!A:B,2,FALSE)),"")</f>
        <v>iQ700 İndüksiyonlu Ocak, 90cm, Çerçeveli, Siyah</v>
      </c>
      <c r="C372" s="4">
        <v>2</v>
      </c>
      <c r="D372" s="4"/>
      <c r="E372" s="5"/>
      <c r="F372" s="5"/>
      <c r="G372" s="5"/>
      <c r="H372" s="5"/>
      <c r="I372" s="6"/>
      <c r="J372" s="6"/>
      <c r="K372" s="5"/>
      <c r="L372" s="5"/>
      <c r="M372" s="6"/>
      <c r="N372" s="39">
        <f t="shared" si="14"/>
        <v>2</v>
      </c>
      <c r="O372" s="40">
        <v>0</v>
      </c>
      <c r="P372" s="29"/>
      <c r="Q372" s="125">
        <v>128701.01644926865</v>
      </c>
      <c r="R372" s="129">
        <v>123158.86741556809</v>
      </c>
      <c r="S372" s="124">
        <v>128085.22211219082</v>
      </c>
      <c r="T372" s="124">
        <v>133011.57680881355</v>
      </c>
      <c r="U372" s="125"/>
      <c r="V372" s="123"/>
      <c r="W372" s="126">
        <v>500</v>
      </c>
    </row>
    <row r="373" spans="1:24">
      <c r="A373" s="64" t="s">
        <v>1545</v>
      </c>
      <c r="B373" s="36" t="str">
        <f>IFERROR(HYPERLINK(VLOOKUP(A373,ÜRÜNLER!A:C,3,FALSE),VLOOKUP(A373,ÜRÜNLER!A:B,2,FALSE)),"")</f>
        <v>iQ500 İndüksiyonlu Ocak, 60cm, Çerçevesiz, Siyah</v>
      </c>
      <c r="C373" s="4"/>
      <c r="D373" s="4"/>
      <c r="E373" s="5"/>
      <c r="F373" s="5"/>
      <c r="G373" s="5"/>
      <c r="H373" s="5"/>
      <c r="I373" s="6"/>
      <c r="J373" s="6"/>
      <c r="K373" s="5"/>
      <c r="L373" s="5"/>
      <c r="M373" s="6"/>
      <c r="N373" s="39">
        <f t="shared" si="14"/>
        <v>0</v>
      </c>
      <c r="O373" s="40">
        <v>2</v>
      </c>
      <c r="P373" s="29"/>
      <c r="Q373" s="125">
        <v>66329.843333033306</v>
      </c>
      <c r="R373" s="129">
        <v>63473.534289984025</v>
      </c>
      <c r="S373" s="124">
        <v>66012.47566158339</v>
      </c>
      <c r="T373" s="124">
        <v>68551.417033182748</v>
      </c>
      <c r="U373" s="125"/>
      <c r="V373" s="123"/>
      <c r="W373" s="123"/>
    </row>
    <row r="374" spans="1:24" ht="48">
      <c r="A374" s="87" t="s">
        <v>466</v>
      </c>
      <c r="B374" s="36" t="str">
        <f>IFERROR(HYPERLINK(VLOOKUP(A374,ÜRÜNLER!A:C,3,FALSE),VLOOKUP(A374,ÜRÜNLER!A:B,2,FALSE)),"")</f>
        <v/>
      </c>
      <c r="C374" s="4"/>
      <c r="D374" s="4"/>
      <c r="E374" s="5"/>
      <c r="F374" s="5"/>
      <c r="G374" s="5"/>
      <c r="H374" s="5"/>
      <c r="I374" s="6"/>
      <c r="J374" s="6"/>
      <c r="K374" s="5"/>
      <c r="L374" s="5"/>
      <c r="M374" s="6"/>
      <c r="N374" s="39">
        <f>SUM(N364:N373)</f>
        <v>31</v>
      </c>
      <c r="O374" s="40">
        <v>0</v>
      </c>
      <c r="P374" s="5"/>
      <c r="R374" s="123"/>
      <c r="S374" s="124"/>
      <c r="T374" s="124"/>
      <c r="U374" s="125"/>
      <c r="V374" s="123"/>
      <c r="W374" s="123"/>
    </row>
    <row r="375" spans="1:24">
      <c r="A375" s="64" t="s">
        <v>458</v>
      </c>
      <c r="B375" s="36" t="str">
        <f>IFERROR(HYPERLINK(VLOOKUP(A375,ÜRÜNLER!A:C,3,FALSE),VLOOKUP(A375,ÜRÜNLER!A:B,2,FALSE)),"")</f>
        <v>iQ300 Davlumbaz Entegreli İndüksiyonlu Ocak, 80cm, Çerçevesiz, Siyah</v>
      </c>
      <c r="C375" s="4">
        <v>1</v>
      </c>
      <c r="D375" s="4"/>
      <c r="E375" s="5"/>
      <c r="F375" s="5"/>
      <c r="G375" s="5"/>
      <c r="H375" s="5"/>
      <c r="I375" s="6"/>
      <c r="J375" s="6"/>
      <c r="K375" s="5"/>
      <c r="L375" s="5"/>
      <c r="M375" s="6"/>
      <c r="N375" s="39">
        <f>M375+K375+L375+J375+I375+H375+G375+F375+E375+D375+C375</f>
        <v>1</v>
      </c>
      <c r="O375" s="40">
        <v>0</v>
      </c>
      <c r="P375" s="29"/>
      <c r="Q375" s="125">
        <v>102908.28357598481</v>
      </c>
      <c r="R375" s="129">
        <v>98476.826388502217</v>
      </c>
      <c r="S375" s="124">
        <v>102415.89944404231</v>
      </c>
      <c r="T375" s="124">
        <v>106354.97249958239</v>
      </c>
      <c r="U375" s="125"/>
      <c r="V375" s="123"/>
      <c r="W375" s="129">
        <v>250</v>
      </c>
    </row>
    <row r="376" spans="1:24">
      <c r="A376" s="64" t="s">
        <v>355</v>
      </c>
      <c r="B376" s="36" t="str">
        <f>IFERROR(HYPERLINK(VLOOKUP(A376,ÜRÜNLER!A:C,3,FALSE),VLOOKUP(A376,ÜRÜNLER!A:B,2,FALSE)),"")</f>
        <v>iQ300 Davlumbaz Entegreli İndüksiyonlu Ocak, 80cm, Çerçevesiz, Siyah</v>
      </c>
      <c r="C376" s="4"/>
      <c r="D376" s="4"/>
      <c r="E376" s="5"/>
      <c r="F376" s="5"/>
      <c r="G376" s="5">
        <v>1</v>
      </c>
      <c r="H376" s="5"/>
      <c r="I376" s="6"/>
      <c r="J376" s="6"/>
      <c r="K376" s="5"/>
      <c r="L376" s="5"/>
      <c r="M376" s="6"/>
      <c r="N376" s="39">
        <f>M376+K376+L376+J376+I376+H376+G376+F376+E376+D376+C376</f>
        <v>1</v>
      </c>
      <c r="O376" s="40">
        <v>0</v>
      </c>
      <c r="P376" s="29"/>
      <c r="Q376" s="125" t="s">
        <v>1773</v>
      </c>
      <c r="R376" s="123">
        <v>80000</v>
      </c>
      <c r="S376" s="124">
        <v>83200</v>
      </c>
      <c r="T376" s="124">
        <v>86400</v>
      </c>
      <c r="U376" s="125"/>
      <c r="V376" s="123"/>
      <c r="W376" s="126">
        <v>1000</v>
      </c>
    </row>
    <row r="377" spans="1:24">
      <c r="A377" s="64" t="s">
        <v>457</v>
      </c>
      <c r="B377" s="36" t="str">
        <f>IFERROR(HYPERLINK(VLOOKUP(A377,ÜRÜNLER!A:C,3,FALSE),VLOOKUP(A377,ÜRÜNLER!A:B,2,FALSE)),"")</f>
        <v>iQ700 Davlumbaz Entegreli İndüksiyonlu Ocak, 80cm, Çerçeveli, Siyah</v>
      </c>
      <c r="C377" s="4"/>
      <c r="D377" s="4"/>
      <c r="E377" s="5"/>
      <c r="F377" s="5"/>
      <c r="G377" s="5"/>
      <c r="H377" s="5"/>
      <c r="I377" s="6"/>
      <c r="J377" s="6"/>
      <c r="K377" s="5"/>
      <c r="L377" s="5"/>
      <c r="M377" s="6"/>
      <c r="N377" s="39">
        <f>M377+K377+L377+J377+I377+H377+G377+F377+E377+D377+C377</f>
        <v>0</v>
      </c>
      <c r="O377" s="40">
        <v>2</v>
      </c>
      <c r="P377" s="29"/>
      <c r="Q377" s="125">
        <v>124175.74283642248</v>
      </c>
      <c r="R377" s="129">
        <v>118828.46204442343</v>
      </c>
      <c r="S377" s="124">
        <v>123581.60052620037</v>
      </c>
      <c r="T377" s="124">
        <v>128334.7390079773</v>
      </c>
      <c r="U377" s="125"/>
      <c r="V377" s="123"/>
      <c r="W377" s="129">
        <v>250</v>
      </c>
    </row>
    <row r="378" spans="1:24">
      <c r="A378" s="64" t="s">
        <v>354</v>
      </c>
      <c r="B378" s="36" t="str">
        <f>IFERROR(HYPERLINK(VLOOKUP(A378,ÜRÜNLER!A:C,3,FALSE),VLOOKUP(A378,ÜRÜNLER!A:B,2,FALSE)),"")</f>
        <v>iQ700 studioLine Davlumbaz Entegreli İndüksiyonlu Ocak, 80cm, Çerçeveli, Siyah</v>
      </c>
      <c r="C378" s="4"/>
      <c r="D378" s="4">
        <v>3</v>
      </c>
      <c r="E378" s="5"/>
      <c r="F378" s="5"/>
      <c r="G378" s="5"/>
      <c r="H378" s="5">
        <v>1</v>
      </c>
      <c r="I378" s="6"/>
      <c r="J378" s="6"/>
      <c r="K378" s="5"/>
      <c r="L378" s="5"/>
      <c r="M378" s="6"/>
      <c r="N378" s="39">
        <f>M378+K378+L378+J378+I378+H378+G378+F378+E378+D378+C378</f>
        <v>4</v>
      </c>
      <c r="O378" s="40">
        <v>0</v>
      </c>
      <c r="P378" s="29"/>
      <c r="Q378" s="125">
        <v>157997.84189718965</v>
      </c>
      <c r="R378" s="136">
        <v>136074.69637078536</v>
      </c>
      <c r="S378" s="124">
        <v>141517.68422561677</v>
      </c>
      <c r="T378" s="124">
        <v>146960.67208044819</v>
      </c>
      <c r="U378" s="125"/>
      <c r="V378" s="123"/>
      <c r="W378" s="129">
        <v>500</v>
      </c>
    </row>
    <row r="379" spans="1:24" s="11" customFormat="1" ht="31.5">
      <c r="A379" s="74" t="s">
        <v>358</v>
      </c>
      <c r="B379" s="36" t="str">
        <f>IFERROR(HYPERLINK(VLOOKUP(A379,ÜRÜNLER!A:C,3,FALSE),VLOOKUP(A379,ÜRÜNLER!A:B,2,FALSE)),"")</f>
        <v/>
      </c>
      <c r="C379" s="4"/>
      <c r="D379" s="4"/>
      <c r="E379" s="5"/>
      <c r="F379" s="5"/>
      <c r="G379" s="5"/>
      <c r="H379" s="5"/>
      <c r="I379" s="6"/>
      <c r="J379" s="6"/>
      <c r="K379" s="5"/>
      <c r="L379" s="5"/>
      <c r="M379" s="6"/>
      <c r="N379" s="39">
        <f>SUM(N375:N378)</f>
        <v>6</v>
      </c>
      <c r="O379" s="40">
        <v>0</v>
      </c>
      <c r="P379" s="5"/>
      <c r="Q379" s="125"/>
      <c r="R379" s="123"/>
      <c r="S379" s="124"/>
      <c r="T379" s="124"/>
      <c r="U379" s="125"/>
      <c r="V379" s="123"/>
      <c r="W379" s="123"/>
      <c r="X379" s="127"/>
    </row>
    <row r="380" spans="1:24">
      <c r="A380" s="88" t="s">
        <v>1820</v>
      </c>
      <c r="B380" s="36" t="str">
        <f>IFERROR(HYPERLINK(VLOOKUP(A380,ÜRÜNLER!A:C,3,FALSE),VLOOKUP(A380,ÜRÜNLER!A:B,2,FALSE)),"")</f>
        <v>EQ500 iAroma Tam Otomatik Kahve Makinesi, Piano Black</v>
      </c>
      <c r="C380" s="4"/>
      <c r="D380" s="4"/>
      <c r="E380" s="5"/>
      <c r="F380" s="5"/>
      <c r="G380" s="5"/>
      <c r="H380" s="5"/>
      <c r="I380" s="6"/>
      <c r="J380" s="6"/>
      <c r="K380" s="5"/>
      <c r="L380" s="5"/>
      <c r="M380" s="6"/>
      <c r="N380" s="39">
        <f t="shared" ref="N380:N414" si="15">M380+K380+L380+J380+I380+H380+G380+F380+E380+D380+C380</f>
        <v>0</v>
      </c>
      <c r="O380" s="40">
        <v>5</v>
      </c>
      <c r="P380" s="59" t="s">
        <v>1823</v>
      </c>
      <c r="Q380" s="125">
        <v>30453.698863636353</v>
      </c>
      <c r="R380" s="123">
        <v>30453.698863636353</v>
      </c>
      <c r="S380" s="124">
        <v>31671.846818181806</v>
      </c>
      <c r="T380" s="124">
        <v>32889.994772727259</v>
      </c>
      <c r="U380" s="125"/>
      <c r="V380" s="123"/>
      <c r="W380" s="126"/>
    </row>
    <row r="381" spans="1:24">
      <c r="A381" s="88" t="s">
        <v>1821</v>
      </c>
      <c r="B381" s="36" t="str">
        <f>IFERROR(HYPERLINK(VLOOKUP(A381,ÜRÜNLER!A:C,3,FALSE),VLOOKUP(A381,ÜRÜNLER!A:B,2,FALSE)),"")</f>
        <v>EQ500 iAroma Tam Otomatik Kahve Makinesi, Piano Black</v>
      </c>
      <c r="C381" s="4"/>
      <c r="D381" s="4"/>
      <c r="E381" s="5"/>
      <c r="F381" s="5"/>
      <c r="G381" s="5"/>
      <c r="H381" s="5"/>
      <c r="I381" s="6"/>
      <c r="J381" s="6"/>
      <c r="K381" s="5"/>
      <c r="L381" s="5"/>
      <c r="M381" s="6"/>
      <c r="N381" s="39">
        <f t="shared" si="15"/>
        <v>0</v>
      </c>
      <c r="O381" s="40">
        <v>5</v>
      </c>
      <c r="P381" s="59" t="s">
        <v>1823</v>
      </c>
      <c r="Q381" s="125">
        <v>32923.585227272721</v>
      </c>
      <c r="R381" s="123">
        <v>32923.585227272721</v>
      </c>
      <c r="S381" s="124">
        <v>34240.528636363626</v>
      </c>
      <c r="T381" s="124">
        <v>35557.472045454539</v>
      </c>
      <c r="U381" s="125"/>
      <c r="V381" s="123"/>
      <c r="W381" s="126"/>
    </row>
    <row r="382" spans="1:24">
      <c r="A382" s="57" t="s">
        <v>359</v>
      </c>
      <c r="B382" s="36" t="str">
        <f>IFERROR(HYPERLINK(VLOOKUP(A382,ÜRÜNLER!A:C,3,FALSE),VLOOKUP(A382,ÜRÜNLER!A:B,2,FALSE)),"")</f>
        <v>iQ700 Ankastre Tam Otomatik Kahve Makinesi, Siyah/Inox</v>
      </c>
      <c r="C382" s="4"/>
      <c r="D382" s="4"/>
      <c r="E382" s="5"/>
      <c r="F382" s="5"/>
      <c r="G382" s="5"/>
      <c r="H382" s="5"/>
      <c r="I382" s="6"/>
      <c r="J382" s="6"/>
      <c r="K382" s="5"/>
      <c r="L382" s="5">
        <v>1</v>
      </c>
      <c r="M382" s="6"/>
      <c r="N382" s="39">
        <f t="shared" si="15"/>
        <v>1</v>
      </c>
      <c r="O382" s="40">
        <v>0</v>
      </c>
      <c r="P382" s="29"/>
      <c r="Q382" s="125" t="s">
        <v>1773</v>
      </c>
      <c r="R382" s="123">
        <v>120000</v>
      </c>
      <c r="S382" s="124">
        <v>124800</v>
      </c>
      <c r="T382" s="124">
        <v>129600</v>
      </c>
      <c r="U382" s="125"/>
      <c r="V382" s="123"/>
      <c r="W382" s="126">
        <v>1000</v>
      </c>
    </row>
    <row r="383" spans="1:24">
      <c r="A383" s="57" t="s">
        <v>360</v>
      </c>
      <c r="B383" s="36" t="str">
        <f>IFERROR(HYPERLINK(VLOOKUP(A383,ÜRÜNLER!A:C,3,FALSE),VLOOKUP(A383,ÜRÜNLER!A:B,2,FALSE)),"")</f>
        <v>iQ700 Ankastre Tam Otomatik Kahve Makinesi, Siyah</v>
      </c>
      <c r="C383" s="4"/>
      <c r="D383" s="4"/>
      <c r="E383" s="5"/>
      <c r="F383" s="5">
        <v>1</v>
      </c>
      <c r="G383" s="5"/>
      <c r="H383" s="5"/>
      <c r="I383" s="6"/>
      <c r="J383" s="6"/>
      <c r="K383" s="5"/>
      <c r="L383" s="5"/>
      <c r="M383" s="6"/>
      <c r="N383" s="39">
        <f t="shared" si="15"/>
        <v>1</v>
      </c>
      <c r="O383" s="40">
        <v>0</v>
      </c>
      <c r="P383" s="29"/>
      <c r="Q383" s="125">
        <v>171392.54283705476</v>
      </c>
      <c r="R383" s="129">
        <v>165596.65974594664</v>
      </c>
      <c r="S383" s="124">
        <v>172220.52613578452</v>
      </c>
      <c r="T383" s="124">
        <v>178844.39252562239</v>
      </c>
      <c r="U383" s="125"/>
      <c r="V383" s="123"/>
      <c r="W383" s="126">
        <v>1000</v>
      </c>
    </row>
    <row r="384" spans="1:24">
      <c r="A384" s="57" t="s">
        <v>361</v>
      </c>
      <c r="B384" s="36" t="str">
        <f>IFERROR(HYPERLINK(VLOOKUP(A384,ÜRÜNLER!A:C,3,FALSE),VLOOKUP(A384,ÜRÜNLER!A:B,2,FALSE)),"")</f>
        <v>iQ700 studioLine Ankastre Tam Otomatik Kahve Makinesi, Siyah</v>
      </c>
      <c r="C384" s="4"/>
      <c r="D384" s="4">
        <v>5</v>
      </c>
      <c r="E384" s="5"/>
      <c r="F384" s="5"/>
      <c r="G384" s="5"/>
      <c r="H384" s="5">
        <v>1</v>
      </c>
      <c r="I384" s="6"/>
      <c r="J384" s="6"/>
      <c r="K384" s="5"/>
      <c r="L384" s="5"/>
      <c r="M384" s="6"/>
      <c r="N384" s="39">
        <f t="shared" si="15"/>
        <v>6</v>
      </c>
      <c r="O384" s="40">
        <v>0</v>
      </c>
      <c r="P384" s="29"/>
      <c r="Q384" s="125">
        <v>192727.9363833192</v>
      </c>
      <c r="R384" s="136">
        <v>167589.50989853847</v>
      </c>
      <c r="S384" s="124">
        <v>174293.09029448</v>
      </c>
      <c r="T384" s="124">
        <v>180996.67069042154</v>
      </c>
      <c r="U384" s="125"/>
      <c r="V384" s="123"/>
      <c r="W384" s="129">
        <v>500</v>
      </c>
    </row>
    <row r="385" spans="1:25">
      <c r="A385" s="61" t="s">
        <v>362</v>
      </c>
      <c r="B385" s="36" t="str">
        <f>IFERROR(HYPERLINK(VLOOKUP(A385,ÜRÜNLER!A:C,3,FALSE),VLOOKUP(A385,ÜRÜNLER!A:B,2,FALSE)),"")</f>
        <v>EQ6 plus s100 Tam Otomatik Kahve Makinesi, Metalik Elmas Titanyum</v>
      </c>
      <c r="C385" s="4"/>
      <c r="D385" s="4"/>
      <c r="E385" s="5"/>
      <c r="F385" s="5"/>
      <c r="G385" s="5"/>
      <c r="H385" s="5"/>
      <c r="I385" s="6">
        <v>5</v>
      </c>
      <c r="J385" s="6">
        <v>2</v>
      </c>
      <c r="K385" s="5"/>
      <c r="L385" s="5">
        <v>2</v>
      </c>
      <c r="M385" s="6">
        <v>1</v>
      </c>
      <c r="N385" s="39">
        <f t="shared" si="15"/>
        <v>10</v>
      </c>
      <c r="O385" s="40">
        <v>1</v>
      </c>
      <c r="P385" s="29"/>
      <c r="Q385" s="125">
        <v>31899.649935365742</v>
      </c>
      <c r="R385" s="140">
        <v>30304.667438597455</v>
      </c>
      <c r="S385" s="124">
        <v>31516.854136141352</v>
      </c>
      <c r="T385" s="124">
        <v>32729.040833685252</v>
      </c>
      <c r="U385" s="125"/>
      <c r="V385" s="123"/>
      <c r="W385" s="129">
        <v>500</v>
      </c>
      <c r="Y385" s="41" t="s">
        <v>1843</v>
      </c>
    </row>
    <row r="386" spans="1:25">
      <c r="A386" s="61" t="s">
        <v>363</v>
      </c>
      <c r="B386" s="36" t="str">
        <f>IFERROR(HYPERLINK(VLOOKUP(A386,ÜRÜNLER!A:C,3,FALSE),VLOOKUP(A386,ÜRÜNLER!A:B,2,FALSE)),"")</f>
        <v>EQ6 plus s100 Tam Otomatik Kahve Makinesi, Metalik Safir Siyahı</v>
      </c>
      <c r="C386" s="4"/>
      <c r="D386" s="4"/>
      <c r="E386" s="5"/>
      <c r="F386" s="5"/>
      <c r="G386" s="5"/>
      <c r="H386" s="5"/>
      <c r="I386" s="6"/>
      <c r="J386" s="6"/>
      <c r="K386" s="5">
        <v>1</v>
      </c>
      <c r="L386" s="5"/>
      <c r="M386" s="6"/>
      <c r="N386" s="39">
        <f t="shared" si="15"/>
        <v>1</v>
      </c>
      <c r="O386" s="40">
        <v>0</v>
      </c>
      <c r="P386" s="29"/>
      <c r="Q386" s="125" t="s">
        <v>1773</v>
      </c>
      <c r="R386" s="123">
        <v>40000</v>
      </c>
      <c r="S386" s="124">
        <v>41600</v>
      </c>
      <c r="T386" s="124">
        <v>43200</v>
      </c>
      <c r="U386" s="125"/>
      <c r="V386" s="123"/>
      <c r="W386" s="129">
        <v>500</v>
      </c>
    </row>
    <row r="387" spans="1:25">
      <c r="A387" s="61" t="s">
        <v>364</v>
      </c>
      <c r="B387" s="36" t="str">
        <f>IFERROR(HYPERLINK(VLOOKUP(A387,ÜRÜNLER!A:C,3,FALSE),VLOOKUP(A387,ÜRÜNLER!A:B,2,FALSE)),"")</f>
        <v>EQ6 plus s300 Tam Otomatik Kahve Makinesi, Gümüş</v>
      </c>
      <c r="C387" s="4"/>
      <c r="D387" s="4"/>
      <c r="E387" s="5"/>
      <c r="F387" s="5">
        <v>1</v>
      </c>
      <c r="G387" s="5"/>
      <c r="H387" s="5"/>
      <c r="I387" s="6"/>
      <c r="J387" s="6">
        <v>1</v>
      </c>
      <c r="K387" s="5"/>
      <c r="L387" s="5"/>
      <c r="M387" s="6">
        <v>1</v>
      </c>
      <c r="N387" s="39">
        <f t="shared" si="15"/>
        <v>3</v>
      </c>
      <c r="O387" s="40">
        <v>0</v>
      </c>
      <c r="P387" s="29"/>
      <c r="Q387" s="125" t="s">
        <v>1773</v>
      </c>
      <c r="R387" s="123">
        <v>40000</v>
      </c>
      <c r="S387" s="124">
        <v>41600</v>
      </c>
      <c r="T387" s="124">
        <v>43200</v>
      </c>
      <c r="U387" s="125"/>
      <c r="V387" s="123"/>
      <c r="W387" s="129">
        <v>500</v>
      </c>
    </row>
    <row r="388" spans="1:25">
      <c r="A388" s="61" t="s">
        <v>365</v>
      </c>
      <c r="B388" s="36" t="str">
        <f>IFERROR(HYPERLINK(VLOOKUP(A388,ÜRÜNLER!A:C,3,FALSE),VLOOKUP(A388,ÜRÜNLER!A:B,2,FALSE)),"")</f>
        <v>EQ6 plus s500 Tam Otomatik Kahve Makinesi, Sabah Sisi Grisi</v>
      </c>
      <c r="C388" s="4">
        <v>51</v>
      </c>
      <c r="D388" s="4"/>
      <c r="E388" s="5"/>
      <c r="F388" s="5">
        <v>8</v>
      </c>
      <c r="G388" s="5"/>
      <c r="H388" s="5"/>
      <c r="I388" s="6">
        <v>5</v>
      </c>
      <c r="J388" s="6"/>
      <c r="K388" s="5"/>
      <c r="L388" s="5">
        <v>2</v>
      </c>
      <c r="M388" s="6">
        <v>2</v>
      </c>
      <c r="N388" s="39">
        <f t="shared" si="15"/>
        <v>68</v>
      </c>
      <c r="O388" s="40">
        <v>1</v>
      </c>
      <c r="P388" s="29"/>
      <c r="Q388" s="125">
        <v>47765.802434165656</v>
      </c>
      <c r="R388" s="140">
        <v>45377.512312457373</v>
      </c>
      <c r="S388" s="124">
        <v>47192.612804955665</v>
      </c>
      <c r="T388" s="124">
        <v>49007.713297453964</v>
      </c>
      <c r="U388" s="125"/>
      <c r="V388" s="123"/>
      <c r="W388" s="129">
        <v>500</v>
      </c>
    </row>
    <row r="389" spans="1:25">
      <c r="A389" s="61" t="s">
        <v>366</v>
      </c>
      <c r="B389" s="36" t="str">
        <f>IFERROR(HYPERLINK(VLOOKUP(A389,ÜRÜNLER!A:C,3,FALSE),VLOOKUP(A389,ÜRÜNLER!A:B,2,FALSE)),"")</f>
        <v>EQ6 plus s700 Tam Otomatik Kahve Makinesi, DarkInox/Siyah</v>
      </c>
      <c r="C389" s="4">
        <v>31</v>
      </c>
      <c r="D389" s="4"/>
      <c r="E389" s="5"/>
      <c r="F389" s="5">
        <v>27</v>
      </c>
      <c r="G389" s="5"/>
      <c r="H389" s="5"/>
      <c r="I389" s="6"/>
      <c r="J389" s="6">
        <v>1</v>
      </c>
      <c r="K389" s="5">
        <v>1</v>
      </c>
      <c r="L389" s="5">
        <v>1</v>
      </c>
      <c r="M389" s="6">
        <v>3</v>
      </c>
      <c r="N389" s="39">
        <f t="shared" si="15"/>
        <v>64</v>
      </c>
      <c r="O389" s="40">
        <v>0</v>
      </c>
      <c r="P389" s="29"/>
      <c r="Q389" s="125">
        <v>51712.873859836036</v>
      </c>
      <c r="R389" s="140">
        <v>49127.230166844238</v>
      </c>
      <c r="S389" s="124">
        <v>51092.31937351801</v>
      </c>
      <c r="T389" s="124">
        <v>53057.408580191775</v>
      </c>
      <c r="U389" s="125"/>
      <c r="V389" s="123"/>
      <c r="W389" s="129">
        <v>500</v>
      </c>
    </row>
    <row r="390" spans="1:25">
      <c r="A390" s="64" t="s">
        <v>367</v>
      </c>
      <c r="B390" s="36" t="str">
        <f>IFERROR(HYPERLINK(VLOOKUP(A390,ÜRÜNLER!A:C,3,FALSE),VLOOKUP(A390,ÜRÜNLER!A:B,2,FALSE)),"")</f>
        <v>EQ300 Tam Otomatik Kahve Makinesi, Siyah</v>
      </c>
      <c r="C390" s="4"/>
      <c r="D390" s="4"/>
      <c r="E390" s="5"/>
      <c r="F390" s="5"/>
      <c r="G390" s="5"/>
      <c r="H390" s="5"/>
      <c r="I390" s="6">
        <v>1</v>
      </c>
      <c r="J390" s="6"/>
      <c r="K390" s="5"/>
      <c r="L390" s="5">
        <v>2</v>
      </c>
      <c r="M390" s="6"/>
      <c r="N390" s="39">
        <f t="shared" si="15"/>
        <v>3</v>
      </c>
      <c r="O390" s="40">
        <v>0</v>
      </c>
      <c r="P390" s="29"/>
      <c r="Q390" s="125" t="s">
        <v>1773</v>
      </c>
      <c r="R390" s="123">
        <v>40000</v>
      </c>
      <c r="S390" s="124">
        <v>41600</v>
      </c>
      <c r="T390" s="124">
        <v>43200</v>
      </c>
      <c r="U390" s="125"/>
      <c r="V390" s="123"/>
      <c r="W390" s="129">
        <v>500</v>
      </c>
    </row>
    <row r="391" spans="1:25">
      <c r="A391" s="64" t="s">
        <v>368</v>
      </c>
      <c r="B391" s="36" t="str">
        <f>IFERROR(HYPERLINK(VLOOKUP(A391,ÜRÜNLER!A:C,3,FALSE),VLOOKUP(A391,ÜRÜNLER!A:B,2,FALSE)),"")</f>
        <v>EQ300 Tam Otomatik Kahve Makinesi, Şampanya/Siyah</v>
      </c>
      <c r="C391" s="4"/>
      <c r="D391" s="4"/>
      <c r="E391" s="5"/>
      <c r="F391" s="5"/>
      <c r="G391" s="5"/>
      <c r="H391" s="5"/>
      <c r="I391" s="6"/>
      <c r="J391" s="6">
        <v>1</v>
      </c>
      <c r="K391" s="5"/>
      <c r="L391" s="5">
        <v>2</v>
      </c>
      <c r="M391" s="6">
        <v>1</v>
      </c>
      <c r="N391" s="39">
        <f t="shared" si="15"/>
        <v>4</v>
      </c>
      <c r="O391" s="40">
        <v>0</v>
      </c>
      <c r="P391" s="29"/>
      <c r="Q391" s="125" t="s">
        <v>1773</v>
      </c>
      <c r="R391" s="123">
        <v>40000</v>
      </c>
      <c r="S391" s="124">
        <v>41600</v>
      </c>
      <c r="T391" s="124">
        <v>43200</v>
      </c>
      <c r="U391" s="125"/>
      <c r="V391" s="123"/>
      <c r="W391" s="123">
        <v>500</v>
      </c>
    </row>
    <row r="392" spans="1:25">
      <c r="A392" s="64" t="s">
        <v>369</v>
      </c>
      <c r="B392" s="36" t="str">
        <f>IFERROR(HYPERLINK(VLOOKUP(A392,ÜRÜNLER!A:C,3,FALSE),VLOOKUP(A392,ÜRÜNLER!A:B,2,FALSE)),"")</f>
        <v>EQ9 s300 Tam Otomatik Kahve Makinesi, Siyah</v>
      </c>
      <c r="C392" s="4"/>
      <c r="D392" s="4"/>
      <c r="E392" s="5"/>
      <c r="F392" s="5">
        <v>7</v>
      </c>
      <c r="G392" s="5"/>
      <c r="H392" s="5"/>
      <c r="I392" s="6">
        <v>1</v>
      </c>
      <c r="J392" s="6"/>
      <c r="K392" s="5"/>
      <c r="L392" s="5">
        <v>5</v>
      </c>
      <c r="M392" s="6">
        <v>1</v>
      </c>
      <c r="N392" s="39">
        <f t="shared" si="15"/>
        <v>14</v>
      </c>
      <c r="O392" s="40">
        <v>0</v>
      </c>
      <c r="P392" s="29"/>
      <c r="Q392" s="125" t="s">
        <v>1773</v>
      </c>
      <c r="R392" s="123">
        <v>65000</v>
      </c>
      <c r="S392" s="124">
        <v>67600</v>
      </c>
      <c r="T392" s="124">
        <v>70200</v>
      </c>
      <c r="U392" s="125"/>
      <c r="V392" s="123"/>
      <c r="W392" s="123">
        <v>500</v>
      </c>
    </row>
    <row r="393" spans="1:25">
      <c r="A393" s="64" t="s">
        <v>370</v>
      </c>
      <c r="B393" s="36" t="str">
        <f>IFERROR(HYPERLINK(VLOOKUP(A393,ÜRÜNLER!A:C,3,FALSE),VLOOKUP(A393,ÜRÜNLER!A:B,2,FALSE)),"")</f>
        <v>EQ9 plus connect s500 Tam Otomatik Kahve Makinesi, Siyah</v>
      </c>
      <c r="C393" s="4"/>
      <c r="D393" s="4"/>
      <c r="E393" s="5"/>
      <c r="F393" s="5">
        <v>2</v>
      </c>
      <c r="G393" s="5"/>
      <c r="H393" s="5"/>
      <c r="I393" s="6">
        <v>1</v>
      </c>
      <c r="J393" s="6">
        <v>1</v>
      </c>
      <c r="K393" s="5"/>
      <c r="L393" s="5">
        <v>2</v>
      </c>
      <c r="M393" s="6">
        <v>1</v>
      </c>
      <c r="N393" s="39">
        <f t="shared" si="15"/>
        <v>7</v>
      </c>
      <c r="O393" s="40">
        <v>0</v>
      </c>
      <c r="P393" s="29"/>
      <c r="Q393" s="125" t="s">
        <v>1773</v>
      </c>
      <c r="R393" s="123">
        <v>65000</v>
      </c>
      <c r="S393" s="124">
        <v>67600</v>
      </c>
      <c r="T393" s="124">
        <v>70200</v>
      </c>
      <c r="U393" s="125"/>
      <c r="V393" s="123"/>
      <c r="W393" s="123">
        <v>500</v>
      </c>
    </row>
    <row r="394" spans="1:25">
      <c r="A394" s="88" t="s">
        <v>371</v>
      </c>
      <c r="B394" s="36" t="str">
        <f>IFERROR(HYPERLINK(VLOOKUP(A394,ÜRÜNLER!A:C,3,FALSE),VLOOKUP(A394,ÜRÜNLER!A:B,2,FALSE)),"")</f>
        <v>EQ500 classic Tam Otomatik Kahve Makinesi, Piyano Siyahı</v>
      </c>
      <c r="C394" s="4"/>
      <c r="D394" s="4"/>
      <c r="E394" s="5"/>
      <c r="F394" s="5">
        <v>2</v>
      </c>
      <c r="G394" s="5"/>
      <c r="H394" s="5"/>
      <c r="I394" s="6">
        <v>2</v>
      </c>
      <c r="J394" s="6">
        <v>1</v>
      </c>
      <c r="K394" s="5"/>
      <c r="L394" s="5">
        <v>1</v>
      </c>
      <c r="M394" s="6"/>
      <c r="N394" s="39">
        <f t="shared" si="15"/>
        <v>6</v>
      </c>
      <c r="O394" s="40">
        <v>0</v>
      </c>
      <c r="P394" s="29"/>
      <c r="Q394" s="125" t="s">
        <v>1773</v>
      </c>
      <c r="R394" s="135">
        <v>25000</v>
      </c>
      <c r="S394" s="124">
        <v>26000</v>
      </c>
      <c r="T394" s="124">
        <v>27000</v>
      </c>
      <c r="U394" s="125"/>
      <c r="V394" s="123"/>
      <c r="W394" s="123">
        <v>500</v>
      </c>
    </row>
    <row r="395" spans="1:25">
      <c r="A395" s="88" t="s">
        <v>372</v>
      </c>
      <c r="B395" s="36" t="str">
        <f>IFERROR(HYPERLINK(VLOOKUP(A395,ÜRÜNLER!A:C,3,FALSE),VLOOKUP(A395,ÜRÜNLER!A:B,2,FALSE)),"")</f>
        <v>EQ500 classic Tam Otomatik Kahve Makinesi, Piyano Siyahı</v>
      </c>
      <c r="C395" s="4"/>
      <c r="D395" s="4"/>
      <c r="E395" s="5"/>
      <c r="F395" s="5">
        <v>4</v>
      </c>
      <c r="G395" s="5"/>
      <c r="H395" s="5"/>
      <c r="I395" s="6"/>
      <c r="J395" s="6">
        <v>1</v>
      </c>
      <c r="K395" s="5"/>
      <c r="L395" s="5"/>
      <c r="M395" s="6">
        <v>1</v>
      </c>
      <c r="N395" s="39">
        <f t="shared" si="15"/>
        <v>6</v>
      </c>
      <c r="O395" s="40">
        <v>0</v>
      </c>
      <c r="P395" s="29"/>
      <c r="Q395" s="125" t="s">
        <v>1773</v>
      </c>
      <c r="R395" s="123">
        <v>28000</v>
      </c>
      <c r="S395" s="124">
        <v>29120</v>
      </c>
      <c r="T395" s="124">
        <v>30240</v>
      </c>
      <c r="U395" s="125"/>
      <c r="V395" s="123"/>
      <c r="W395" s="123">
        <v>500</v>
      </c>
    </row>
    <row r="396" spans="1:25">
      <c r="A396" s="89" t="s">
        <v>373</v>
      </c>
      <c r="B396" s="36" t="str">
        <f>IFERROR(HYPERLINK(VLOOKUP(A396,ÜRÜNLER!A:C,3,FALSE),VLOOKUP(A396,ÜRÜNLER!A:B,2,FALSE)),"")</f>
        <v>EQ500 classic Tam Otomatik Kahve Makinesi, Metalik Inox/Gümüş</v>
      </c>
      <c r="C396" s="4"/>
      <c r="D396" s="4"/>
      <c r="E396" s="5"/>
      <c r="F396" s="5">
        <v>1</v>
      </c>
      <c r="G396" s="5"/>
      <c r="H396" s="5"/>
      <c r="I396" s="6">
        <v>1</v>
      </c>
      <c r="J396" s="6"/>
      <c r="K396" s="5"/>
      <c r="L396" s="5">
        <v>1</v>
      </c>
      <c r="M396" s="6">
        <v>1</v>
      </c>
      <c r="N396" s="39">
        <f t="shared" si="15"/>
        <v>4</v>
      </c>
      <c r="O396" s="40">
        <v>0</v>
      </c>
      <c r="P396" s="29"/>
      <c r="Q396" s="125" t="s">
        <v>1773</v>
      </c>
      <c r="R396" s="123">
        <v>25000</v>
      </c>
      <c r="S396" s="124">
        <v>26000</v>
      </c>
      <c r="T396" s="124">
        <v>27000</v>
      </c>
      <c r="U396" s="125"/>
      <c r="V396" s="123"/>
      <c r="W396" s="123">
        <v>500</v>
      </c>
    </row>
    <row r="397" spans="1:25">
      <c r="A397" s="89" t="s">
        <v>374</v>
      </c>
      <c r="B397" s="36" t="str">
        <f>IFERROR(HYPERLINK(VLOOKUP(A397,ÜRÜNLER!A:C,3,FALSE),VLOOKUP(A397,ÜRÜNLER!A:B,2,FALSE)),"")</f>
        <v>EQ500 classic Tam Otomatik Kahve Makinesi, Sabah Sisi Grisi</v>
      </c>
      <c r="C397" s="4"/>
      <c r="D397" s="4"/>
      <c r="E397" s="5"/>
      <c r="F397" s="5">
        <v>1</v>
      </c>
      <c r="G397" s="5"/>
      <c r="H397" s="5"/>
      <c r="I397" s="6"/>
      <c r="J397" s="6"/>
      <c r="K397" s="5"/>
      <c r="L397" s="5"/>
      <c r="M397" s="6">
        <v>1</v>
      </c>
      <c r="N397" s="39">
        <f t="shared" si="15"/>
        <v>2</v>
      </c>
      <c r="O397" s="40">
        <v>0</v>
      </c>
      <c r="P397" s="29"/>
      <c r="Q397" s="125" t="s">
        <v>1773</v>
      </c>
      <c r="R397" s="123">
        <v>30000</v>
      </c>
      <c r="S397" s="124">
        <v>31200</v>
      </c>
      <c r="T397" s="124">
        <v>32400</v>
      </c>
      <c r="U397" s="125"/>
      <c r="V397" s="123"/>
      <c r="W397" s="123">
        <v>500</v>
      </c>
    </row>
    <row r="398" spans="1:25">
      <c r="A398" s="90" t="s">
        <v>375</v>
      </c>
      <c r="B398" s="36" t="str">
        <f>IFERROR(HYPERLINK(VLOOKUP(A398,ÜRÜNLER!A:C,3,FALSE),VLOOKUP(A398,ÜRÜNLER!A:B,2,FALSE)),"")</f>
        <v>EQ500 classic connect Tam Otomatik Kahve Makinesi, Inox/Siyah</v>
      </c>
      <c r="C398" s="4">
        <v>14</v>
      </c>
      <c r="D398" s="4"/>
      <c r="E398" s="5"/>
      <c r="F398" s="5">
        <v>16</v>
      </c>
      <c r="G398" s="5"/>
      <c r="H398" s="5"/>
      <c r="I398" s="6">
        <v>2</v>
      </c>
      <c r="J398" s="6"/>
      <c r="K398" s="5"/>
      <c r="L398" s="5">
        <v>1</v>
      </c>
      <c r="M398" s="6">
        <v>1</v>
      </c>
      <c r="N398" s="39">
        <f t="shared" si="15"/>
        <v>34</v>
      </c>
      <c r="O398" s="40">
        <v>0</v>
      </c>
      <c r="P398" s="29"/>
      <c r="Q398" s="125">
        <v>42221.072861584435</v>
      </c>
      <c r="R398" s="140">
        <v>40110.019218505215</v>
      </c>
      <c r="S398" s="124">
        <v>41714.419987245426</v>
      </c>
      <c r="T398" s="124">
        <v>43318.820755985631</v>
      </c>
      <c r="U398" s="125"/>
      <c r="V398" s="123"/>
      <c r="W398" s="123">
        <v>500</v>
      </c>
    </row>
    <row r="399" spans="1:25">
      <c r="A399" s="90" t="s">
        <v>376</v>
      </c>
      <c r="B399" s="36" t="str">
        <f>IFERROR(HYPERLINK(VLOOKUP(A399,ÜRÜNLER!A:C,3,FALSE),VLOOKUP(A399,ÜRÜNLER!A:B,2,FALSE)),"")</f>
        <v>EQ500 classic Tam Otomatik Kahve Makinesi, Inox/Siyah</v>
      </c>
      <c r="C399" s="4">
        <v>145</v>
      </c>
      <c r="D399" s="4"/>
      <c r="E399" s="5"/>
      <c r="F399" s="5">
        <v>29</v>
      </c>
      <c r="G399" s="5"/>
      <c r="H399" s="5"/>
      <c r="I399" s="6">
        <v>7</v>
      </c>
      <c r="J399" s="6">
        <v>4</v>
      </c>
      <c r="K399" s="5">
        <v>1</v>
      </c>
      <c r="L399" s="5">
        <v>1</v>
      </c>
      <c r="M399" s="6">
        <v>6</v>
      </c>
      <c r="N399" s="39">
        <f t="shared" si="15"/>
        <v>193</v>
      </c>
      <c r="O399" s="40">
        <v>14</v>
      </c>
      <c r="P399" s="29"/>
      <c r="Q399" s="125">
        <v>33223.139300918905</v>
      </c>
      <c r="R399" s="140">
        <v>31561.982335872959</v>
      </c>
      <c r="S399" s="124">
        <v>32824.46162930788</v>
      </c>
      <c r="T399" s="124">
        <v>34086.940922742797</v>
      </c>
      <c r="U399" s="125"/>
      <c r="V399" s="123"/>
      <c r="W399" s="123">
        <v>500</v>
      </c>
    </row>
    <row r="400" spans="1:25">
      <c r="A400" s="57" t="s">
        <v>1801</v>
      </c>
      <c r="B400" s="36" t="str">
        <f>IFERROR(HYPERLINK(VLOOKUP(A400,ÜRÜNLER!A:C,3,FALSE),VLOOKUP(A400,ÜRÜNLER!A:B,2,FALSE)),"")</f>
        <v>EQ600 iAroma Tam Otomatik Kahve Makinesi, Sabah Sisi Grisi</v>
      </c>
      <c r="C400" s="4"/>
      <c r="D400" s="4"/>
      <c r="E400" s="5"/>
      <c r="F400" s="5"/>
      <c r="G400" s="5"/>
      <c r="H400" s="5"/>
      <c r="I400" s="6"/>
      <c r="J400" s="6"/>
      <c r="K400" s="5"/>
      <c r="L400" s="5"/>
      <c r="M400" s="6"/>
      <c r="N400" s="39">
        <f t="shared" si="15"/>
        <v>0</v>
      </c>
      <c r="O400" s="40">
        <v>5</v>
      </c>
      <c r="P400" s="29"/>
      <c r="Q400" s="125">
        <v>41155.504772727261</v>
      </c>
      <c r="R400" s="140">
        <v>39097.729534090897</v>
      </c>
      <c r="S400" s="124">
        <v>40661.63871545453</v>
      </c>
      <c r="T400" s="124">
        <v>42225.547896818171</v>
      </c>
      <c r="U400" s="125"/>
      <c r="V400" s="123"/>
      <c r="W400" s="123">
        <v>500</v>
      </c>
    </row>
    <row r="401" spans="1:23">
      <c r="A401" s="57" t="s">
        <v>1799</v>
      </c>
      <c r="B401" s="36" t="str">
        <f>IFERROR(HYPERLINK(VLOOKUP(A401,ÜRÜNLER!A:C,3,FALSE),VLOOKUP(A401,ÜRÜNLER!A:B,2,FALSE)),"")</f>
        <v>EQ600 iAroma Tam Otomatik Kahve Makinesi, Siyah/Inox</v>
      </c>
      <c r="C401" s="4"/>
      <c r="D401" s="4"/>
      <c r="E401" s="5"/>
      <c r="F401" s="5"/>
      <c r="G401" s="5"/>
      <c r="H401" s="5"/>
      <c r="I401" s="6"/>
      <c r="J401" s="6"/>
      <c r="K401" s="5"/>
      <c r="L401" s="5"/>
      <c r="M401" s="6"/>
      <c r="N401" s="39">
        <f t="shared" si="15"/>
        <v>0</v>
      </c>
      <c r="O401" s="40">
        <v>5</v>
      </c>
      <c r="P401" s="29"/>
      <c r="Q401" s="125">
        <v>43625.391136363629</v>
      </c>
      <c r="R401" s="140">
        <v>41444.121579545448</v>
      </c>
      <c r="S401" s="124">
        <v>43101.886442727264</v>
      </c>
      <c r="T401" s="124">
        <v>44759.651305909087</v>
      </c>
      <c r="U401" s="125"/>
      <c r="V401" s="123"/>
      <c r="W401" s="123">
        <v>500</v>
      </c>
    </row>
    <row r="402" spans="1:23">
      <c r="A402" s="70" t="s">
        <v>1800</v>
      </c>
      <c r="B402" s="36" t="str">
        <f>IFERROR(HYPERLINK(VLOOKUP(A402,ÜRÜNLER!A:C,3,FALSE),VLOOKUP(A402,ÜRÜNLER!A:B,2,FALSE)),"")</f>
        <v>EQ600 iAroma Tam Otomatik Kahve Makinesi, Siyah/Dark Inox</v>
      </c>
      <c r="C402" s="4"/>
      <c r="D402" s="4"/>
      <c r="E402" s="5"/>
      <c r="F402" s="5"/>
      <c r="G402" s="5"/>
      <c r="H402" s="5"/>
      <c r="I402" s="6"/>
      <c r="J402" s="6"/>
      <c r="K402" s="5"/>
      <c r="L402" s="5"/>
      <c r="M402" s="6"/>
      <c r="N402" s="39">
        <f t="shared" si="15"/>
        <v>0</v>
      </c>
      <c r="O402" s="40">
        <v>5</v>
      </c>
      <c r="P402" s="29"/>
      <c r="Q402" s="125">
        <v>46918.57295454546</v>
      </c>
      <c r="R402" s="140">
        <v>44572.644306818183</v>
      </c>
      <c r="S402" s="124">
        <v>46355.550079090914</v>
      </c>
      <c r="T402" s="124">
        <v>48138.455851363637</v>
      </c>
      <c r="U402" s="125"/>
      <c r="V402" s="123"/>
      <c r="W402" s="123">
        <v>500</v>
      </c>
    </row>
    <row r="403" spans="1:23">
      <c r="A403" s="88" t="s">
        <v>377</v>
      </c>
      <c r="B403" s="36" t="str">
        <f>IFERROR(HYPERLINK(VLOOKUP(A403,ÜRÜNLER!A:C,3,FALSE),VLOOKUP(A403,ÜRÜNLER!A:B,2,FALSE)),"")</f>
        <v>EQ700 classic Tam Otomatik Kahve Makinesi, Piyano Siyahı</v>
      </c>
      <c r="C403" s="4"/>
      <c r="D403" s="4"/>
      <c r="E403" s="5"/>
      <c r="F403" s="5">
        <v>1</v>
      </c>
      <c r="G403" s="5"/>
      <c r="H403" s="5"/>
      <c r="I403" s="6"/>
      <c r="J403" s="6"/>
      <c r="K403" s="5"/>
      <c r="L403" s="5"/>
      <c r="M403" s="6"/>
      <c r="N403" s="39">
        <f t="shared" si="15"/>
        <v>1</v>
      </c>
      <c r="O403" s="40">
        <v>0</v>
      </c>
      <c r="P403" s="29"/>
      <c r="Q403" s="125" t="s">
        <v>1773</v>
      </c>
      <c r="R403" s="123">
        <v>45000</v>
      </c>
      <c r="S403" s="124">
        <v>46800</v>
      </c>
      <c r="T403" s="124">
        <v>48600</v>
      </c>
      <c r="U403" s="125"/>
      <c r="V403" s="123"/>
      <c r="W403" s="123">
        <v>500</v>
      </c>
    </row>
    <row r="404" spans="1:23">
      <c r="A404" s="89" t="s">
        <v>379</v>
      </c>
      <c r="B404" s="36" t="str">
        <f>IFERROR(HYPERLINK(VLOOKUP(A404,ÜRÜNLER!A:C,3,FALSE),VLOOKUP(A404,ÜRÜNLER!A:B,2,FALSE)),"")</f>
        <v>EQ700 classic Tam Otomatik Kahve Makinesi, Piyano Siyahı</v>
      </c>
      <c r="C404" s="4">
        <v>8</v>
      </c>
      <c r="D404" s="4"/>
      <c r="E404" s="5"/>
      <c r="F404" s="5">
        <v>6</v>
      </c>
      <c r="G404" s="5"/>
      <c r="H404" s="5"/>
      <c r="I404" s="6"/>
      <c r="J404" s="6">
        <v>1</v>
      </c>
      <c r="K404" s="5">
        <v>1</v>
      </c>
      <c r="L404" s="5"/>
      <c r="M404" s="6">
        <v>3</v>
      </c>
      <c r="N404" s="39">
        <f t="shared" si="15"/>
        <v>19</v>
      </c>
      <c r="O404" s="40">
        <v>0</v>
      </c>
      <c r="P404" s="29"/>
      <c r="Q404" s="125" t="s">
        <v>1773</v>
      </c>
      <c r="R404" s="140">
        <v>49869.468091778741</v>
      </c>
      <c r="S404" s="124">
        <v>51864.246815449893</v>
      </c>
      <c r="T404" s="124">
        <v>53859.025539121038</v>
      </c>
      <c r="U404" s="125"/>
      <c r="V404" s="123"/>
      <c r="W404" s="123">
        <v>500</v>
      </c>
    </row>
    <row r="405" spans="1:23">
      <c r="A405" s="64" t="s">
        <v>380</v>
      </c>
      <c r="B405" s="36" t="str">
        <f>IFERROR(HYPERLINK(VLOOKUP(A405,ÜRÜNLER!A:C,3,FALSE),VLOOKUP(A405,ÜRÜNLER!A:B,2,FALSE)),"")</f>
        <v>EQ500 integral Tam Otomatik Kahve Makinesi, Metalik Safir Siyahı</v>
      </c>
      <c r="C405" s="4"/>
      <c r="D405" s="4"/>
      <c r="E405" s="5"/>
      <c r="F405" s="5"/>
      <c r="G405" s="5"/>
      <c r="H405" s="5"/>
      <c r="I405" s="6">
        <v>1</v>
      </c>
      <c r="J405" s="6"/>
      <c r="K405" s="5">
        <v>1</v>
      </c>
      <c r="L405" s="5">
        <v>1</v>
      </c>
      <c r="M405" s="6">
        <v>1</v>
      </c>
      <c r="N405" s="39">
        <f t="shared" si="15"/>
        <v>4</v>
      </c>
      <c r="O405" s="40">
        <v>0</v>
      </c>
      <c r="P405" s="29"/>
      <c r="Q405" s="125" t="s">
        <v>1773</v>
      </c>
      <c r="R405" s="123">
        <v>40000</v>
      </c>
      <c r="S405" s="124">
        <v>41600</v>
      </c>
      <c r="T405" s="124">
        <v>43200</v>
      </c>
      <c r="U405" s="125"/>
      <c r="V405" s="123"/>
      <c r="W405" s="123">
        <v>500</v>
      </c>
    </row>
    <row r="406" spans="1:23">
      <c r="A406" s="70" t="s">
        <v>381</v>
      </c>
      <c r="B406" s="36" t="str">
        <f>IFERROR(HYPERLINK(VLOOKUP(A406,ÜRÜNLER!A:C,3,FALSE),VLOOKUP(A406,ÜRÜNLER!A:B,2,FALSE)),"")</f>
        <v>EQ500 integral Tam Otomatik Kahve Makinesi, Inox</v>
      </c>
      <c r="C406" s="4"/>
      <c r="D406" s="4"/>
      <c r="E406" s="5"/>
      <c r="F406" s="5">
        <v>1</v>
      </c>
      <c r="G406" s="5"/>
      <c r="H406" s="5"/>
      <c r="I406" s="6">
        <v>1</v>
      </c>
      <c r="J406" s="6">
        <v>1</v>
      </c>
      <c r="K406" s="5"/>
      <c r="L406" s="5">
        <v>1</v>
      </c>
      <c r="M406" s="6">
        <v>1</v>
      </c>
      <c r="N406" s="39">
        <f t="shared" si="15"/>
        <v>5</v>
      </c>
      <c r="O406" s="40">
        <v>0</v>
      </c>
      <c r="P406" s="29"/>
      <c r="Q406" s="125" t="s">
        <v>1773</v>
      </c>
      <c r="R406" s="123">
        <v>40000</v>
      </c>
      <c r="S406" s="124">
        <v>41600</v>
      </c>
      <c r="T406" s="124">
        <v>43200</v>
      </c>
      <c r="U406" s="125"/>
      <c r="V406" s="123"/>
      <c r="W406" s="123">
        <v>500</v>
      </c>
    </row>
    <row r="407" spans="1:23">
      <c r="A407" s="91" t="s">
        <v>382</v>
      </c>
      <c r="B407" s="36" t="str">
        <f>IFERROR(HYPERLINK(VLOOKUP(A407,ÜRÜNLER!A:C,3,FALSE),VLOOKUP(A407,ÜRÜNLER!A:B,2,FALSE)),"")</f>
        <v>EQ700 integral Tam Otomatik Kahve Makinesi, Metalik Inox/Gümüş</v>
      </c>
      <c r="C407" s="4"/>
      <c r="D407" s="4"/>
      <c r="E407" s="5"/>
      <c r="F407" s="5"/>
      <c r="G407" s="5">
        <v>1</v>
      </c>
      <c r="H407" s="5"/>
      <c r="I407" s="6"/>
      <c r="J407" s="6">
        <v>1</v>
      </c>
      <c r="K407" s="5"/>
      <c r="L407" s="5"/>
      <c r="M407" s="6"/>
      <c r="N407" s="39">
        <f t="shared" si="15"/>
        <v>2</v>
      </c>
      <c r="O407" s="40">
        <v>0</v>
      </c>
      <c r="P407" s="29"/>
      <c r="Q407" s="125" t="s">
        <v>1773</v>
      </c>
      <c r="R407" s="123">
        <v>50000</v>
      </c>
      <c r="S407" s="124">
        <v>52000</v>
      </c>
      <c r="T407" s="124">
        <v>54000</v>
      </c>
      <c r="U407" s="125"/>
      <c r="V407" s="123"/>
      <c r="W407" s="123">
        <v>500</v>
      </c>
    </row>
    <row r="408" spans="1:23">
      <c r="A408" s="91" t="s">
        <v>383</v>
      </c>
      <c r="B408" s="36" t="str">
        <f>IFERROR(HYPERLINK(VLOOKUP(A408,ÜRÜNLER!A:C,3,FALSE),VLOOKUP(A408,ÜRÜNLER!A:B,2,FALSE)),"")</f>
        <v>EQ700 Tam Otomatik Kahve Makinesi, Paslanmaz Çelik</v>
      </c>
      <c r="C408" s="4"/>
      <c r="D408" s="4"/>
      <c r="E408" s="5"/>
      <c r="F408" s="5"/>
      <c r="G408" s="5"/>
      <c r="H408" s="5"/>
      <c r="I408" s="6"/>
      <c r="J408" s="6"/>
      <c r="K408" s="5"/>
      <c r="L408" s="5"/>
      <c r="M408" s="6">
        <v>1</v>
      </c>
      <c r="N408" s="39">
        <f t="shared" si="15"/>
        <v>1</v>
      </c>
      <c r="O408" s="40">
        <v>0</v>
      </c>
      <c r="P408" s="29"/>
      <c r="Q408" s="125" t="s">
        <v>1773</v>
      </c>
      <c r="R408" s="140">
        <v>54139.857957402746</v>
      </c>
      <c r="S408" s="124">
        <v>56305.452275698859</v>
      </c>
      <c r="T408" s="124">
        <v>58471.046593994964</v>
      </c>
      <c r="U408" s="125"/>
      <c r="V408" s="123"/>
      <c r="W408" s="123">
        <v>500</v>
      </c>
    </row>
    <row r="409" spans="1:23">
      <c r="A409" s="64" t="s">
        <v>384</v>
      </c>
      <c r="B409" s="36" t="str">
        <f>IFERROR(HYPERLINK(VLOOKUP(A409,ÜRÜNLER!A:C,3,FALSE),VLOOKUP(A409,ÜRÜNLER!A:B,2,FALSE)),"")</f>
        <v>EQ900 Tam Otomatik Kahve Makinesi, Paslanmaz Çelik</v>
      </c>
      <c r="C409" s="4">
        <v>17</v>
      </c>
      <c r="D409" s="4"/>
      <c r="E409" s="5"/>
      <c r="F409" s="5"/>
      <c r="G409" s="5"/>
      <c r="H409" s="5"/>
      <c r="I409" s="6">
        <v>1</v>
      </c>
      <c r="J409" s="6"/>
      <c r="K409" s="5"/>
      <c r="L409" s="5">
        <v>1</v>
      </c>
      <c r="M409" s="6">
        <v>1</v>
      </c>
      <c r="N409" s="39">
        <f t="shared" si="15"/>
        <v>20</v>
      </c>
      <c r="O409" s="40">
        <v>0</v>
      </c>
      <c r="P409" s="29"/>
      <c r="Q409" s="125" t="s">
        <v>1773</v>
      </c>
      <c r="R409" s="140">
        <v>76842.14777207539</v>
      </c>
      <c r="S409" s="124">
        <v>79915.8336829584</v>
      </c>
      <c r="T409" s="124">
        <v>82989.519593841425</v>
      </c>
      <c r="U409" s="125"/>
      <c r="V409" s="123"/>
      <c r="W409" s="123">
        <v>500</v>
      </c>
    </row>
    <row r="410" spans="1:23">
      <c r="A410" s="64" t="s">
        <v>385</v>
      </c>
      <c r="B410" s="36" t="str">
        <f>IFERROR(HYPERLINK(VLOOKUP(A410,ÜRÜNLER!A:C,3,FALSE),VLOOKUP(A410,ÜRÜNLER!A:B,2,FALSE)),"")</f>
        <v>EQ900 plus Tam Otomatik Kahve Makinesi, Inox</v>
      </c>
      <c r="C410" s="4">
        <v>10</v>
      </c>
      <c r="D410" s="4"/>
      <c r="E410" s="5"/>
      <c r="F410" s="5"/>
      <c r="G410" s="5"/>
      <c r="H410" s="5"/>
      <c r="I410" s="6"/>
      <c r="J410" s="6"/>
      <c r="K410" s="5"/>
      <c r="L410" s="5"/>
      <c r="M410" s="6">
        <v>1</v>
      </c>
      <c r="N410" s="39">
        <f t="shared" si="15"/>
        <v>11</v>
      </c>
      <c r="O410" s="40">
        <v>0</v>
      </c>
      <c r="P410" s="29"/>
      <c r="Q410" s="125" t="s">
        <v>1773</v>
      </c>
      <c r="R410" s="140">
        <v>96687.558543713807</v>
      </c>
      <c r="S410" s="124">
        <v>100555.06088546236</v>
      </c>
      <c r="T410" s="124">
        <v>104422.56322721091</v>
      </c>
      <c r="U410" s="125"/>
      <c r="V410" s="123"/>
      <c r="W410" s="123">
        <v>500</v>
      </c>
    </row>
    <row r="411" spans="1:23">
      <c r="A411" s="70" t="s">
        <v>386</v>
      </c>
      <c r="B411" s="36" t="str">
        <f>IFERROR(HYPERLINK(VLOOKUP(A411,ÜRÜNLER!A:C,3,FALSE),VLOOKUP(A411,ÜRÜNLER!A:B,2,FALSE)),"")</f>
        <v>iQ700 Sıcak Tutma Çekmecesi, 60x14cm, Siyah</v>
      </c>
      <c r="C411" s="4">
        <v>1</v>
      </c>
      <c r="D411" s="4"/>
      <c r="E411" s="5"/>
      <c r="F411" s="5"/>
      <c r="G411" s="5">
        <v>1</v>
      </c>
      <c r="H411" s="5"/>
      <c r="I411" s="6">
        <v>1</v>
      </c>
      <c r="J411" s="6">
        <v>1</v>
      </c>
      <c r="K411" s="5"/>
      <c r="L411" s="5">
        <v>1</v>
      </c>
      <c r="M411" s="6"/>
      <c r="N411" s="39">
        <f t="shared" si="15"/>
        <v>5</v>
      </c>
      <c r="O411" s="40">
        <v>0</v>
      </c>
      <c r="P411" s="29"/>
      <c r="Q411" s="125" t="s">
        <v>1773</v>
      </c>
      <c r="R411" s="123">
        <v>30000</v>
      </c>
      <c r="S411" s="124">
        <v>31200</v>
      </c>
      <c r="T411" s="124">
        <v>32400</v>
      </c>
      <c r="U411" s="125"/>
      <c r="V411" s="123"/>
      <c r="W411" s="123">
        <v>500</v>
      </c>
    </row>
    <row r="412" spans="1:23">
      <c r="A412" s="70" t="s">
        <v>1489</v>
      </c>
      <c r="B412" s="36" t="str">
        <f>IFERROR(HYPERLINK(VLOOKUP(A412,ÜRÜNLER!A:C,3,FALSE),VLOOKUP(A412,ÜRÜNLER!A:B,2,FALSE)),"")</f>
        <v>iQ700 Sıcak Tutma Çekmecesi, 60x14cm, Siyah</v>
      </c>
      <c r="C412" s="4"/>
      <c r="D412" s="4"/>
      <c r="E412" s="5"/>
      <c r="F412" s="5"/>
      <c r="G412" s="5"/>
      <c r="H412" s="5"/>
      <c r="I412" s="6"/>
      <c r="J412" s="6"/>
      <c r="K412" s="5"/>
      <c r="L412" s="5"/>
      <c r="M412" s="6"/>
      <c r="N412" s="39">
        <f t="shared" si="15"/>
        <v>0</v>
      </c>
      <c r="O412" s="40">
        <v>0</v>
      </c>
      <c r="P412" s="29"/>
      <c r="Q412" s="125">
        <v>57450.221542658583</v>
      </c>
      <c r="R412" s="136">
        <v>52227.474129689632</v>
      </c>
      <c r="S412" s="124">
        <v>54316.573094877218</v>
      </c>
      <c r="T412" s="124">
        <v>56405.672060064804</v>
      </c>
      <c r="U412" s="125"/>
      <c r="V412" s="123"/>
      <c r="W412" s="123">
        <v>500</v>
      </c>
    </row>
    <row r="413" spans="1:23">
      <c r="A413" s="81" t="s">
        <v>387</v>
      </c>
      <c r="B413" s="36" t="str">
        <f>IFERROR(HYPERLINK(VLOOKUP(A413,ÜRÜNLER!A:C,3,FALSE),VLOOKUP(A413,ÜRÜNLER!A:B,2,FALSE)),"")</f>
        <v>iQ700 Sıcak Tutma Çekmecesi, 60x14cm, Beyaz</v>
      </c>
      <c r="C413" s="4">
        <v>1</v>
      </c>
      <c r="D413" s="4"/>
      <c r="E413" s="5"/>
      <c r="F413" s="5"/>
      <c r="G413" s="5"/>
      <c r="H413" s="5"/>
      <c r="I413" s="6"/>
      <c r="J413" s="6"/>
      <c r="K413" s="5"/>
      <c r="L413" s="5"/>
      <c r="M413" s="6"/>
      <c r="N413" s="39">
        <f t="shared" si="15"/>
        <v>1</v>
      </c>
      <c r="O413" s="40">
        <v>0</v>
      </c>
      <c r="P413" s="29"/>
      <c r="Q413" s="125" t="s">
        <v>1773</v>
      </c>
      <c r="R413" s="123">
        <v>30000</v>
      </c>
      <c r="S413" s="124">
        <v>31200</v>
      </c>
      <c r="T413" s="124">
        <v>32400</v>
      </c>
      <c r="U413" s="125"/>
      <c r="V413" s="123"/>
      <c r="W413" s="123">
        <v>500</v>
      </c>
    </row>
    <row r="414" spans="1:23">
      <c r="A414" s="81" t="s">
        <v>388</v>
      </c>
      <c r="B414" s="36" t="str">
        <f>IFERROR(HYPERLINK(VLOOKUP(A414,ÜRÜNLER!A:C,3,FALSE),VLOOKUP(A414,ÜRÜNLER!A:B,2,FALSE)),"")</f>
        <v>iQ700 studioLine Sıcak Tutma Çekmecesi, 60x14cm, Siyah</v>
      </c>
      <c r="C414" s="4"/>
      <c r="D414" s="4">
        <v>1</v>
      </c>
      <c r="E414" s="5"/>
      <c r="F414" s="5"/>
      <c r="G414" s="5"/>
      <c r="H414" s="5">
        <v>1</v>
      </c>
      <c r="I414" s="6"/>
      <c r="J414" s="6"/>
      <c r="K414" s="5"/>
      <c r="L414" s="5"/>
      <c r="M414" s="6"/>
      <c r="N414" s="39">
        <f t="shared" si="15"/>
        <v>2</v>
      </c>
      <c r="O414" s="40">
        <v>0</v>
      </c>
      <c r="P414" s="29"/>
      <c r="Q414" s="125" t="s">
        <v>1773</v>
      </c>
      <c r="R414" s="123">
        <v>30000</v>
      </c>
      <c r="S414" s="124">
        <v>31200</v>
      </c>
      <c r="T414" s="124">
        <v>32400</v>
      </c>
      <c r="U414" s="125"/>
      <c r="V414" s="123"/>
      <c r="W414" s="123">
        <v>500</v>
      </c>
    </row>
    <row r="415" spans="1:23" ht="40.5" customHeight="1">
      <c r="A415" s="92" t="s">
        <v>391</v>
      </c>
      <c r="B415" s="36" t="str">
        <f>IFERROR(HYPERLINK(VLOOKUP(A415,ÜRÜNLER!A:C,3,FALSE),VLOOKUP(A415,ÜRÜNLER!A:B,2,FALSE)),"")</f>
        <v/>
      </c>
      <c r="C415" s="4"/>
      <c r="D415" s="4"/>
      <c r="E415" s="5"/>
      <c r="F415" s="5"/>
      <c r="G415" s="5"/>
      <c r="H415" s="5"/>
      <c r="I415" s="6"/>
      <c r="J415" s="6"/>
      <c r="K415" s="5"/>
      <c r="L415" s="5"/>
      <c r="M415" s="6"/>
      <c r="N415" s="39">
        <f>SUM(N382:N414)</f>
        <v>498</v>
      </c>
      <c r="O415" s="40">
        <v>0</v>
      </c>
      <c r="P415" s="29"/>
      <c r="R415" s="123"/>
      <c r="S415" s="124"/>
      <c r="T415" s="124"/>
      <c r="U415" s="125"/>
      <c r="V415" s="123"/>
      <c r="W415" s="141"/>
    </row>
    <row r="416" spans="1:23">
      <c r="A416" s="61" t="s">
        <v>392</v>
      </c>
      <c r="B416" s="36" t="str">
        <f>IFERROR(HYPERLINK(VLOOKUP(A416,ÜRÜNLER!A:C,3,FALSE),VLOOKUP(A416,ÜRÜNLER!A:B,2,FALSE)),"")</f>
        <v>iQ500 Dik Şarjlı Elektrik Süpürgesi</v>
      </c>
      <c r="C416" s="4">
        <v>43</v>
      </c>
      <c r="D416" s="4"/>
      <c r="E416" s="5"/>
      <c r="F416" s="5">
        <v>179</v>
      </c>
      <c r="G416" s="5"/>
      <c r="H416" s="5"/>
      <c r="I416" s="6">
        <v>17</v>
      </c>
      <c r="J416" s="6">
        <v>3</v>
      </c>
      <c r="K416" s="5">
        <v>3</v>
      </c>
      <c r="L416" s="5">
        <v>22</v>
      </c>
      <c r="M416" s="6">
        <v>4</v>
      </c>
      <c r="N416" s="39">
        <f t="shared" ref="N416:N432" si="16">M416+K416+L416+J416+I416+H416+G416+F416+E416+D416+C416</f>
        <v>271</v>
      </c>
      <c r="O416" s="40">
        <v>0</v>
      </c>
      <c r="P416" s="29"/>
      <c r="Q416" s="125">
        <v>16596.842696742173</v>
      </c>
      <c r="R416" s="140">
        <v>15767.000561905064</v>
      </c>
      <c r="S416" s="124">
        <v>16397.680584381265</v>
      </c>
      <c r="T416" s="124">
        <v>17028.36060685747</v>
      </c>
      <c r="U416" s="125"/>
      <c r="V416" s="123"/>
      <c r="W416" s="138">
        <v>500</v>
      </c>
    </row>
    <row r="417" spans="1:23">
      <c r="A417" s="61" t="s">
        <v>393</v>
      </c>
      <c r="B417" s="36" t="str">
        <f>IFERROR(HYPERLINK(VLOOKUP(A417,ÜRÜNLER!A:C,3,FALSE),VLOOKUP(A417,ÜRÜNLER!A:B,2,FALSE)),"")</f>
        <v>iQ500 Dik Şarjlı Elektrik Süpürgesi, Çift Bataryalı</v>
      </c>
      <c r="C417" s="4">
        <v>37</v>
      </c>
      <c r="D417" s="4"/>
      <c r="E417" s="5"/>
      <c r="F417" s="5">
        <v>64</v>
      </c>
      <c r="G417" s="5"/>
      <c r="H417" s="5"/>
      <c r="I417" s="6">
        <v>13</v>
      </c>
      <c r="J417" s="6">
        <v>5</v>
      </c>
      <c r="K417" s="5">
        <v>2</v>
      </c>
      <c r="L417" s="5">
        <v>2</v>
      </c>
      <c r="M417" s="6">
        <v>4</v>
      </c>
      <c r="N417" s="39">
        <f t="shared" si="16"/>
        <v>127</v>
      </c>
      <c r="O417" s="40">
        <v>0</v>
      </c>
      <c r="P417" s="29"/>
      <c r="Q417" s="125">
        <v>22684.311033798334</v>
      </c>
      <c r="R417" s="140">
        <v>21550.095482108416</v>
      </c>
      <c r="S417" s="124">
        <v>22412.099301392751</v>
      </c>
      <c r="T417" s="124">
        <v>23274.103120677089</v>
      </c>
      <c r="U417" s="125"/>
      <c r="V417" s="123"/>
      <c r="W417" s="138">
        <v>500</v>
      </c>
    </row>
    <row r="418" spans="1:23">
      <c r="A418" s="61" t="s">
        <v>394</v>
      </c>
      <c r="B418" s="36" t="str">
        <f>IFERROR(HYPERLINK(VLOOKUP(A418,ÜRÜNLER!A:C,3,FALSE),VLOOKUP(A418,ÜRÜNLER!A:B,2,FALSE)),"")</f>
        <v>iQ500 Dik Şarjlı 2'li Süpürme&amp;Silme Elektrik Süpürgesi</v>
      </c>
      <c r="C418" s="4">
        <v>68</v>
      </c>
      <c r="D418" s="4"/>
      <c r="E418" s="5"/>
      <c r="F418" s="5">
        <v>129</v>
      </c>
      <c r="G418" s="5"/>
      <c r="H418" s="5"/>
      <c r="I418" s="6">
        <v>5</v>
      </c>
      <c r="J418" s="6">
        <v>4</v>
      </c>
      <c r="K418" s="5">
        <v>1</v>
      </c>
      <c r="L418" s="5">
        <v>1</v>
      </c>
      <c r="M418" s="6">
        <v>2</v>
      </c>
      <c r="N418" s="39">
        <f t="shared" si="16"/>
        <v>210</v>
      </c>
      <c r="O418" s="40">
        <v>0</v>
      </c>
      <c r="P418" s="29"/>
      <c r="Q418" s="125">
        <v>23690.643171127183</v>
      </c>
      <c r="R418" s="140">
        <v>22506.111012570826</v>
      </c>
      <c r="S418" s="124">
        <v>23406.355453073658</v>
      </c>
      <c r="T418" s="124">
        <v>24306.599893576491</v>
      </c>
      <c r="U418" s="125"/>
      <c r="V418" s="123"/>
      <c r="W418" s="138">
        <v>500</v>
      </c>
    </row>
    <row r="419" spans="1:23">
      <c r="A419" s="61" t="s">
        <v>395</v>
      </c>
      <c r="B419" s="36" t="str">
        <f>IFERROR(HYPERLINK(VLOOKUP(A419,ÜRÜNLER!A:C,3,FALSE),VLOOKUP(A419,ÜRÜNLER!A:B,2,FALSE)),"")</f>
        <v>Toz torbalı Süpürge synchropower, 600w, Mavi</v>
      </c>
      <c r="C419" s="4"/>
      <c r="D419" s="4"/>
      <c r="E419" s="5"/>
      <c r="F419" s="5"/>
      <c r="G419" s="5">
        <v>1</v>
      </c>
      <c r="H419" s="5"/>
      <c r="I419" s="6">
        <v>3</v>
      </c>
      <c r="J419" s="6"/>
      <c r="K419" s="5"/>
      <c r="L419" s="5"/>
      <c r="M419" s="6"/>
      <c r="N419" s="39">
        <f t="shared" si="16"/>
        <v>4</v>
      </c>
      <c r="O419" s="40">
        <v>0</v>
      </c>
      <c r="P419" s="29"/>
      <c r="Q419" s="125">
        <v>7451.9182651450965</v>
      </c>
      <c r="R419" s="140">
        <v>7079.3223518878422</v>
      </c>
      <c r="S419" s="124">
        <v>7362.495245963356</v>
      </c>
      <c r="T419" s="124">
        <v>7645.6681400388698</v>
      </c>
      <c r="U419" s="125"/>
      <c r="V419" s="123"/>
      <c r="W419" s="138">
        <v>500</v>
      </c>
    </row>
    <row r="420" spans="1:23">
      <c r="A420" s="61" t="s">
        <v>396</v>
      </c>
      <c r="B420" s="36" t="str">
        <f>IFERROR(HYPERLINK(VLOOKUP(A420,ÜRÜNLER!A:C,3,FALSE),VLOOKUP(A420,ÜRÜNLER!A:B,2,FALSE)),"")</f>
        <v>iQ300 Toz Torbalı Süpürge, 600w, Kırmızı</v>
      </c>
      <c r="C420" s="4"/>
      <c r="D420" s="4"/>
      <c r="E420" s="5"/>
      <c r="F420" s="5">
        <v>21</v>
      </c>
      <c r="G420" s="5"/>
      <c r="H420" s="5"/>
      <c r="I420" s="6">
        <v>1</v>
      </c>
      <c r="J420" s="6"/>
      <c r="K420" s="5"/>
      <c r="L420" s="5"/>
      <c r="M420" s="6">
        <v>3</v>
      </c>
      <c r="N420" s="39">
        <f t="shared" si="16"/>
        <v>25</v>
      </c>
      <c r="O420" s="40">
        <v>0</v>
      </c>
      <c r="P420" s="29"/>
      <c r="Q420" s="125">
        <v>8166.1896306137169</v>
      </c>
      <c r="R420" s="140">
        <v>7757.880149083031</v>
      </c>
      <c r="S420" s="124">
        <v>8068.1953550463522</v>
      </c>
      <c r="T420" s="124">
        <v>8378.5105610096743</v>
      </c>
      <c r="U420" s="125"/>
      <c r="V420" s="123"/>
      <c r="W420" s="138">
        <v>500</v>
      </c>
    </row>
    <row r="421" spans="1:23">
      <c r="A421" s="60" t="s">
        <v>397</v>
      </c>
      <c r="B421" s="36" t="str">
        <f>IFERROR(HYPERLINK(VLOOKUP(A421,ÜRÜNLER!A:C,3,FALSE),VLOOKUP(A421,ÜRÜNLER!A:B,2,FALSE)),"")</f>
        <v>iQ300 Toz Torbalı Süpürge, 600w, Mavi</v>
      </c>
      <c r="C421" s="4"/>
      <c r="D421" s="4"/>
      <c r="E421" s="5"/>
      <c r="F421" s="5">
        <v>2</v>
      </c>
      <c r="G421" s="5"/>
      <c r="H421" s="5"/>
      <c r="I421" s="6">
        <v>1</v>
      </c>
      <c r="J421" s="6">
        <v>3</v>
      </c>
      <c r="K421" s="5"/>
      <c r="L421" s="5">
        <v>2</v>
      </c>
      <c r="M421" s="6">
        <v>1</v>
      </c>
      <c r="N421" s="39">
        <f t="shared" si="16"/>
        <v>9</v>
      </c>
      <c r="O421" s="40">
        <v>0</v>
      </c>
      <c r="P421" s="29"/>
      <c r="Q421" s="125" t="s">
        <v>1773</v>
      </c>
      <c r="R421" s="131">
        <v>6599</v>
      </c>
      <c r="S421" s="124">
        <v>6862.96</v>
      </c>
      <c r="T421" s="124">
        <v>7126.92</v>
      </c>
      <c r="U421" s="125"/>
      <c r="V421" s="123"/>
      <c r="W421" s="138">
        <v>500</v>
      </c>
    </row>
    <row r="422" spans="1:23">
      <c r="A422" s="60" t="s">
        <v>398</v>
      </c>
      <c r="B422" s="36" t="str">
        <f>IFERROR(HYPERLINK(VLOOKUP(A422,ÜRÜNLER!A:C,3,FALSE),VLOOKUP(A422,ÜRÜNLER!A:B,2,FALSE)),"")</f>
        <v>iQ300 Toz Torbalı Süpürge, 600w, Açık Mavi</v>
      </c>
      <c r="C422" s="4"/>
      <c r="D422" s="4"/>
      <c r="E422" s="5"/>
      <c r="F422" s="5"/>
      <c r="G422" s="5"/>
      <c r="H422" s="5"/>
      <c r="I422" s="6"/>
      <c r="J422" s="6"/>
      <c r="K422" s="5"/>
      <c r="L422" s="5"/>
      <c r="M422" s="6">
        <v>1</v>
      </c>
      <c r="N422" s="39">
        <f t="shared" si="16"/>
        <v>1</v>
      </c>
      <c r="O422" s="40">
        <v>0</v>
      </c>
      <c r="P422" s="29"/>
      <c r="Q422" s="125" t="s">
        <v>1773</v>
      </c>
      <c r="R422" s="123">
        <v>5999</v>
      </c>
      <c r="S422" s="124">
        <v>6238.96</v>
      </c>
      <c r="T422" s="124">
        <v>6478.92</v>
      </c>
      <c r="U422" s="125"/>
      <c r="V422" s="123"/>
      <c r="W422" s="138">
        <v>500</v>
      </c>
    </row>
    <row r="423" spans="1:23">
      <c r="A423" s="61" t="s">
        <v>399</v>
      </c>
      <c r="B423" s="36" t="str">
        <f>IFERROR(HYPERLINK(VLOOKUP(A423,ÜRÜNLER!A:C,3,FALSE),VLOOKUP(A423,ÜRÜNLER!A:B,2,FALSE)),"")</f>
        <v>iQ700 Toz Torbalı Süpürge, 650w, Beyaz</v>
      </c>
      <c r="C423" s="4"/>
      <c r="D423" s="4"/>
      <c r="E423" s="5"/>
      <c r="F423" s="5">
        <v>2</v>
      </c>
      <c r="G423" s="5">
        <v>5</v>
      </c>
      <c r="H423" s="5"/>
      <c r="I423" s="6">
        <v>2</v>
      </c>
      <c r="J423" s="6">
        <v>3</v>
      </c>
      <c r="K423" s="5">
        <v>2</v>
      </c>
      <c r="L423" s="5">
        <v>2</v>
      </c>
      <c r="M423" s="6">
        <v>2</v>
      </c>
      <c r="N423" s="39">
        <f t="shared" si="16"/>
        <v>18</v>
      </c>
      <c r="O423" s="40">
        <v>0</v>
      </c>
      <c r="P423" s="29"/>
      <c r="Q423" s="125" t="s">
        <v>1773</v>
      </c>
      <c r="R423" s="140">
        <v>16516.32588779935</v>
      </c>
      <c r="S423" s="124">
        <v>17176.978923311326</v>
      </c>
      <c r="T423" s="124">
        <v>17837.631958823298</v>
      </c>
      <c r="U423" s="125"/>
      <c r="V423" s="123"/>
      <c r="W423" s="138">
        <v>500</v>
      </c>
    </row>
    <row r="424" spans="1:23">
      <c r="A424" s="61" t="s">
        <v>400</v>
      </c>
      <c r="B424" s="36" t="str">
        <f>IFERROR(HYPERLINK(VLOOKUP(A424,ÜRÜNLER!A:C,3,FALSE),VLOOKUP(A424,ÜRÜNLER!A:B,2,FALSE)),"")</f>
        <v>iQ700 Toz Torbalı Süpürge, 650w, Kırmızı</v>
      </c>
      <c r="C424" s="4"/>
      <c r="D424" s="4"/>
      <c r="E424" s="5"/>
      <c r="F424" s="5"/>
      <c r="G424" s="5"/>
      <c r="H424" s="5"/>
      <c r="I424" s="6">
        <v>1</v>
      </c>
      <c r="J424" s="6"/>
      <c r="K424" s="5"/>
      <c r="L424" s="5"/>
      <c r="M424" s="6">
        <v>1</v>
      </c>
      <c r="N424" s="39">
        <f t="shared" si="16"/>
        <v>2</v>
      </c>
      <c r="O424" s="40">
        <v>0</v>
      </c>
      <c r="P424" s="29"/>
      <c r="Q424" s="125" t="s">
        <v>1773</v>
      </c>
      <c r="R424" s="123">
        <v>10999</v>
      </c>
      <c r="S424" s="124">
        <v>11438.96</v>
      </c>
      <c r="T424" s="124">
        <v>11878.92</v>
      </c>
      <c r="U424" s="125"/>
      <c r="V424" s="123"/>
      <c r="W424" s="138">
        <v>500</v>
      </c>
    </row>
    <row r="425" spans="1:23">
      <c r="A425" s="61" t="s">
        <v>401</v>
      </c>
      <c r="B425" s="36" t="str">
        <f>IFERROR(HYPERLINK(VLOOKUP(A425,ÜRÜNLER!A:C,3,FALSE),VLOOKUP(A425,ÜRÜNLER!A:B,2,FALSE)),"")</f>
        <v>iQ300 Plus Limited Edition Toz Torbalı Elektrik Süpürgesi, 750w, Kırmızı</v>
      </c>
      <c r="C425" s="4">
        <v>4</v>
      </c>
      <c r="D425" s="4"/>
      <c r="E425" s="5"/>
      <c r="F425" s="5">
        <v>8</v>
      </c>
      <c r="G425" s="5"/>
      <c r="H425" s="5"/>
      <c r="I425" s="6">
        <v>2</v>
      </c>
      <c r="J425" s="6">
        <v>3</v>
      </c>
      <c r="K425" s="5">
        <v>2</v>
      </c>
      <c r="L425" s="5"/>
      <c r="M425" s="6">
        <v>3</v>
      </c>
      <c r="N425" s="39">
        <f t="shared" si="16"/>
        <v>22</v>
      </c>
      <c r="O425" s="40">
        <v>0</v>
      </c>
      <c r="P425" s="29"/>
      <c r="Q425" s="125">
        <v>12910.150023285087</v>
      </c>
      <c r="R425" s="140">
        <v>12264.642522120832</v>
      </c>
      <c r="S425" s="124">
        <v>12755.228223005664</v>
      </c>
      <c r="T425" s="124">
        <v>13245.813923890499</v>
      </c>
      <c r="U425" s="125"/>
      <c r="V425" s="123"/>
      <c r="W425" s="138">
        <v>500</v>
      </c>
    </row>
    <row r="426" spans="1:23">
      <c r="A426" s="64" t="s">
        <v>402</v>
      </c>
      <c r="B426" s="36" t="str">
        <f>IFERROR(HYPERLINK(VLOOKUP(A426,ÜRÜNLER!A:C,3,FALSE),VLOOKUP(A426,ÜRÜNLER!A:B,2,FALSE)),"")</f>
        <v>iQ300 Toz Torbasız Süpürge, 550w, Kırmızı</v>
      </c>
      <c r="C426" s="4">
        <v>1</v>
      </c>
      <c r="D426" s="4"/>
      <c r="E426" s="5"/>
      <c r="F426" s="5">
        <v>32</v>
      </c>
      <c r="G426" s="5"/>
      <c r="H426" s="5"/>
      <c r="I426" s="6">
        <v>4</v>
      </c>
      <c r="J426" s="6">
        <v>3</v>
      </c>
      <c r="K426" s="5">
        <v>2</v>
      </c>
      <c r="L426" s="5">
        <v>19</v>
      </c>
      <c r="M426" s="6">
        <v>2</v>
      </c>
      <c r="N426" s="39">
        <f t="shared" si="16"/>
        <v>63</v>
      </c>
      <c r="O426" s="40">
        <v>0</v>
      </c>
      <c r="P426" s="29"/>
      <c r="Q426" s="125">
        <v>9329.5892054167198</v>
      </c>
      <c r="R426" s="140">
        <v>8863.1097451458845</v>
      </c>
      <c r="S426" s="124">
        <v>9217.6341349517206</v>
      </c>
      <c r="T426" s="124">
        <v>9572.1585247575549</v>
      </c>
      <c r="U426" s="125"/>
      <c r="V426" s="123"/>
      <c r="W426" s="138">
        <v>500</v>
      </c>
    </row>
    <row r="427" spans="1:23">
      <c r="A427" s="64" t="s">
        <v>403</v>
      </c>
      <c r="B427" s="36" t="str">
        <f>IFERROR(HYPERLINK(VLOOKUP(A427,ÜRÜNLER!A:C,3,FALSE),VLOOKUP(A427,ÜRÜNLER!A:B,2,FALSE)),"")</f>
        <v>iQ300 Toz Torbasız Süpürge, 750w, Mavi</v>
      </c>
      <c r="C427" s="4">
        <v>9</v>
      </c>
      <c r="D427" s="4"/>
      <c r="E427" s="5"/>
      <c r="F427" s="5">
        <v>23</v>
      </c>
      <c r="G427" s="5"/>
      <c r="H427" s="5"/>
      <c r="I427" s="6">
        <v>1</v>
      </c>
      <c r="J427" s="6">
        <v>2</v>
      </c>
      <c r="K427" s="5">
        <v>2</v>
      </c>
      <c r="L427" s="5">
        <v>3</v>
      </c>
      <c r="M427" s="6">
        <v>1</v>
      </c>
      <c r="N427" s="39">
        <f t="shared" si="16"/>
        <v>41</v>
      </c>
      <c r="O427" s="40">
        <v>0</v>
      </c>
      <c r="P427" s="29"/>
      <c r="Q427" s="125">
        <v>11737.75698688963</v>
      </c>
      <c r="R427" s="140">
        <v>11150.869137545149</v>
      </c>
      <c r="S427" s="124">
        <v>11596.903903046956</v>
      </c>
      <c r="T427" s="124">
        <v>12042.938668548761</v>
      </c>
      <c r="U427" s="125"/>
      <c r="V427" s="123"/>
      <c r="W427" s="138">
        <v>500</v>
      </c>
    </row>
    <row r="428" spans="1:23">
      <c r="A428" s="64" t="s">
        <v>404</v>
      </c>
      <c r="B428" s="36" t="str">
        <f>IFERROR(HYPERLINK(VLOOKUP(A428,ÜRÜNLER!A:C,3,FALSE),VLOOKUP(A428,ÜRÜNLER!A:B,2,FALSE)),"")</f>
        <v>iQ500 Toz Torbasız Süpürge, 550w, Kırmızı</v>
      </c>
      <c r="C428" s="4">
        <v>35</v>
      </c>
      <c r="D428" s="4"/>
      <c r="E428" s="5"/>
      <c r="F428" s="5">
        <v>9</v>
      </c>
      <c r="G428" s="5"/>
      <c r="H428" s="5"/>
      <c r="I428" s="6">
        <v>1</v>
      </c>
      <c r="J428" s="6">
        <v>3</v>
      </c>
      <c r="K428" s="5">
        <v>1</v>
      </c>
      <c r="L428" s="5">
        <v>4</v>
      </c>
      <c r="M428" s="6">
        <v>3</v>
      </c>
      <c r="N428" s="39">
        <f t="shared" si="16"/>
        <v>56</v>
      </c>
      <c r="O428" s="40">
        <v>0</v>
      </c>
      <c r="P428" s="29"/>
      <c r="Q428" s="125">
        <v>9871.5791363894023</v>
      </c>
      <c r="R428" s="140">
        <v>9378.0001795699318</v>
      </c>
      <c r="S428" s="124">
        <v>9753.1201867527288</v>
      </c>
      <c r="T428" s="124">
        <v>10128.240193935526</v>
      </c>
      <c r="U428" s="125"/>
      <c r="V428" s="123"/>
      <c r="W428" s="138">
        <v>500</v>
      </c>
    </row>
    <row r="429" spans="1:23">
      <c r="A429" s="64" t="s">
        <v>405</v>
      </c>
      <c r="B429" s="36" t="str">
        <f>IFERROR(HYPERLINK(VLOOKUP(A429,ÜRÜNLER!A:C,3,FALSE),VLOOKUP(A429,ÜRÜNLER!A:B,2,FALSE)),"")</f>
        <v>iQ500 Toz Torbasız Süpürge, 550w, Mavi</v>
      </c>
      <c r="C429" s="4"/>
      <c r="D429" s="4"/>
      <c r="E429" s="5"/>
      <c r="F429" s="5">
        <v>1</v>
      </c>
      <c r="G429" s="5"/>
      <c r="H429" s="5"/>
      <c r="I429" s="6">
        <v>1</v>
      </c>
      <c r="J429" s="6"/>
      <c r="K429" s="5"/>
      <c r="L429" s="5">
        <v>2</v>
      </c>
      <c r="M429" s="6"/>
      <c r="N429" s="39">
        <f t="shared" si="16"/>
        <v>4</v>
      </c>
      <c r="O429" s="40">
        <v>0</v>
      </c>
      <c r="P429" s="29"/>
      <c r="Q429" s="125" t="s">
        <v>1773</v>
      </c>
      <c r="R429" s="131">
        <v>6500</v>
      </c>
      <c r="S429" s="124">
        <v>6760</v>
      </c>
      <c r="T429" s="124">
        <v>7020</v>
      </c>
      <c r="U429" s="125"/>
      <c r="V429" s="123"/>
      <c r="W429" s="138">
        <v>500</v>
      </c>
    </row>
    <row r="430" spans="1:23">
      <c r="A430" s="64" t="s">
        <v>406</v>
      </c>
      <c r="B430" s="36" t="str">
        <f>IFERROR(HYPERLINK(VLOOKUP(A430,ÜRÜNLER!A:C,3,FALSE),VLOOKUP(A430,ÜRÜNLER!A:B,2,FALSE)),"")</f>
        <v>iQ500 Toz Torbasız Elektrik Süpürgesi, 750w, Siyah</v>
      </c>
      <c r="C430" s="4">
        <v>64</v>
      </c>
      <c r="D430" s="4"/>
      <c r="E430" s="5"/>
      <c r="F430" s="5">
        <v>30</v>
      </c>
      <c r="G430" s="5"/>
      <c r="H430" s="5"/>
      <c r="I430" s="6">
        <v>6</v>
      </c>
      <c r="J430" s="6">
        <v>4</v>
      </c>
      <c r="K430" s="5">
        <v>3</v>
      </c>
      <c r="L430" s="5">
        <v>2</v>
      </c>
      <c r="M430" s="6">
        <v>4</v>
      </c>
      <c r="N430" s="39">
        <f t="shared" si="16"/>
        <v>113</v>
      </c>
      <c r="O430" s="40">
        <v>0</v>
      </c>
      <c r="P430" s="29"/>
      <c r="Q430" s="125">
        <v>12831.173588233061</v>
      </c>
      <c r="R430" s="140">
        <v>12189.614908821408</v>
      </c>
      <c r="S430" s="124">
        <v>12677.199505174263</v>
      </c>
      <c r="T430" s="124">
        <v>13164.784101527121</v>
      </c>
      <c r="U430" s="125"/>
      <c r="V430" s="123"/>
      <c r="W430" s="138">
        <v>500</v>
      </c>
    </row>
    <row r="431" spans="1:23">
      <c r="A431" s="64" t="s">
        <v>407</v>
      </c>
      <c r="B431" s="36" t="str">
        <f>IFERROR(HYPERLINK(VLOOKUP(A431,ÜRÜNLER!A:C,3,FALSE),VLOOKUP(A431,ÜRÜNLER!A:B,2,FALSE)),"")</f>
        <v>Siemens Toz Torbasız Süpürge, 600w, Kırmızı</v>
      </c>
      <c r="C431" s="4"/>
      <c r="D431" s="4"/>
      <c r="E431" s="5"/>
      <c r="F431" s="5"/>
      <c r="G431" s="5"/>
      <c r="H431" s="5"/>
      <c r="I431" s="6">
        <v>1</v>
      </c>
      <c r="J431" s="6"/>
      <c r="K431" s="5"/>
      <c r="L431" s="5"/>
      <c r="M431" s="6"/>
      <c r="N431" s="39">
        <f t="shared" si="16"/>
        <v>1</v>
      </c>
      <c r="O431" s="40">
        <v>0</v>
      </c>
      <c r="P431" s="29"/>
      <c r="Q431" s="125" t="s">
        <v>1773</v>
      </c>
      <c r="R431" s="123">
        <v>4999</v>
      </c>
      <c r="S431" s="124">
        <v>5198.96</v>
      </c>
      <c r="T431" s="124">
        <v>5398.92</v>
      </c>
      <c r="U431" s="125"/>
      <c r="V431" s="123"/>
      <c r="W431" s="138">
        <v>500</v>
      </c>
    </row>
    <row r="432" spans="1:23">
      <c r="A432" s="64" t="s">
        <v>408</v>
      </c>
      <c r="B432" s="36" t="str">
        <f>IFERROR(HYPERLINK(VLOOKUP(A432,ÜRÜNLER!A:C,3,FALSE),VLOOKUP(A432,ÜRÜNLER!A:B,2,FALSE)),"")</f>
        <v>iQ700 Toz Torbasız Elektrik Süpürgesi, 850w, Siyah</v>
      </c>
      <c r="C432" s="4"/>
      <c r="D432" s="4"/>
      <c r="E432" s="5"/>
      <c r="F432" s="5">
        <v>33</v>
      </c>
      <c r="G432" s="5"/>
      <c r="H432" s="5"/>
      <c r="I432" s="6">
        <v>6</v>
      </c>
      <c r="J432" s="6">
        <v>12</v>
      </c>
      <c r="K432" s="5">
        <v>3</v>
      </c>
      <c r="L432" s="5">
        <v>8</v>
      </c>
      <c r="M432" s="6">
        <v>4</v>
      </c>
      <c r="N432" s="39">
        <f t="shared" si="16"/>
        <v>66</v>
      </c>
      <c r="O432" s="40">
        <v>0</v>
      </c>
      <c r="P432" s="29"/>
      <c r="Q432" s="125">
        <v>22495.690475656058</v>
      </c>
      <c r="R432" s="140">
        <v>21370.905951873254</v>
      </c>
      <c r="S432" s="124">
        <v>22225.742189948185</v>
      </c>
      <c r="T432" s="124">
        <v>23080.578428023113</v>
      </c>
      <c r="U432" s="125"/>
      <c r="V432" s="123"/>
      <c r="W432" s="138">
        <v>500</v>
      </c>
    </row>
    <row r="433" spans="1:23" ht="36.75" customHeight="1">
      <c r="A433" s="92" t="s">
        <v>411</v>
      </c>
      <c r="B433" s="36" t="str">
        <f>IFERROR(HYPERLINK(VLOOKUP(A433,ÜRÜNLER!A:C,3,FALSE),VLOOKUP(A433,ÜRÜNLER!A:B,2,FALSE)),"")</f>
        <v/>
      </c>
      <c r="C433" s="4"/>
      <c r="D433" s="4"/>
      <c r="E433" s="5"/>
      <c r="F433" s="5"/>
      <c r="G433" s="5"/>
      <c r="H433" s="5"/>
      <c r="I433" s="6"/>
      <c r="J433" s="6"/>
      <c r="K433" s="5"/>
      <c r="L433" s="5"/>
      <c r="M433" s="6"/>
      <c r="N433" s="39">
        <f>SUM(N416:N432)</f>
        <v>1033</v>
      </c>
      <c r="O433" s="40">
        <v>0</v>
      </c>
      <c r="P433" s="5"/>
      <c r="R433" s="123"/>
      <c r="S433" s="124"/>
      <c r="T433" s="124"/>
      <c r="U433" s="125"/>
      <c r="V433" s="123"/>
      <c r="W433" s="123"/>
    </row>
    <row r="434" spans="1:23">
      <c r="A434" s="61" t="s">
        <v>414</v>
      </c>
      <c r="B434" s="36" t="str">
        <f>IFERROR(HYPERLINK(VLOOKUP(A434,ÜRÜNLER!A:C,3,FALSE),VLOOKUP(A434,ÜRÜNLER!A:B,2,FALSE)),"")</f>
        <v>Soğuk Su Sebili, Gri</v>
      </c>
      <c r="C434" s="4"/>
      <c r="D434" s="4"/>
      <c r="E434" s="5"/>
      <c r="F434" s="5">
        <v>1</v>
      </c>
      <c r="G434" s="5"/>
      <c r="H434" s="5"/>
      <c r="I434" s="6">
        <v>2</v>
      </c>
      <c r="J434" s="6">
        <v>3</v>
      </c>
      <c r="K434" s="5">
        <v>1</v>
      </c>
      <c r="L434" s="5">
        <v>7</v>
      </c>
      <c r="M434" s="6">
        <v>2</v>
      </c>
      <c r="N434" s="39">
        <f t="shared" ref="N434:N466" si="17">M434+K434+L434+J434+I434+H434+G434+F434+E434+D434+C434</f>
        <v>16</v>
      </c>
      <c r="O434" s="40">
        <v>1</v>
      </c>
      <c r="P434" s="29"/>
      <c r="Q434" s="125">
        <v>12742.288591412163</v>
      </c>
      <c r="R434" s="129">
        <v>14016.51745055338</v>
      </c>
      <c r="S434" s="124">
        <v>14577.178148575515</v>
      </c>
      <c r="T434" s="124">
        <v>15137.83884659765</v>
      </c>
      <c r="U434" s="125"/>
      <c r="V434" s="123"/>
      <c r="W434" s="138">
        <v>500</v>
      </c>
    </row>
    <row r="435" spans="1:23">
      <c r="A435" s="61" t="s">
        <v>415</v>
      </c>
      <c r="B435" s="36" t="str">
        <f>IFERROR(HYPERLINK(VLOOKUP(A435,ÜRÜNLER!A:C,3,FALSE),VLOOKUP(A435,ÜRÜNLER!A:B,2,FALSE)),"")</f>
        <v>Soğuk Su Sebili, Siyah/Gri, Dokunmatik</v>
      </c>
      <c r="C435" s="4">
        <v>3</v>
      </c>
      <c r="D435" s="4"/>
      <c r="E435" s="5"/>
      <c r="F435" s="5"/>
      <c r="G435" s="5"/>
      <c r="H435" s="5"/>
      <c r="I435" s="6"/>
      <c r="J435" s="6">
        <v>1</v>
      </c>
      <c r="K435" s="5"/>
      <c r="L435" s="5">
        <v>4</v>
      </c>
      <c r="M435" s="6">
        <v>1</v>
      </c>
      <c r="N435" s="39">
        <f t="shared" si="17"/>
        <v>9</v>
      </c>
      <c r="O435" s="40">
        <v>1</v>
      </c>
      <c r="P435" s="29"/>
      <c r="Q435" s="125">
        <v>18551.443860048468</v>
      </c>
      <c r="R435" s="140">
        <v>17623.871667046045</v>
      </c>
      <c r="S435" s="124">
        <v>18328.826533727886</v>
      </c>
      <c r="T435" s="124">
        <v>19033.781400409731</v>
      </c>
      <c r="U435" s="125"/>
      <c r="V435" s="123"/>
      <c r="W435" s="138">
        <v>500</v>
      </c>
    </row>
    <row r="436" spans="1:23">
      <c r="A436" s="61" t="s">
        <v>416</v>
      </c>
      <c r="B436" s="36" t="str">
        <f>IFERROR(HYPERLINK(VLOOKUP(A436,ÜRÜNLER!A:C,3,FALSE),VLOOKUP(A436,ÜRÜNLER!A:B,2,FALSE)),"")</f>
        <v>Soğuk Su Sebili, Siyah/Gri</v>
      </c>
      <c r="C436" s="4">
        <v>13</v>
      </c>
      <c r="D436" s="4"/>
      <c r="E436" s="5"/>
      <c r="F436" s="5">
        <v>7</v>
      </c>
      <c r="G436" s="5"/>
      <c r="H436" s="5"/>
      <c r="I436" s="6">
        <v>1</v>
      </c>
      <c r="J436" s="6"/>
      <c r="K436" s="5">
        <v>1</v>
      </c>
      <c r="L436" s="5"/>
      <c r="M436" s="6">
        <v>1</v>
      </c>
      <c r="N436" s="39">
        <f t="shared" si="17"/>
        <v>23</v>
      </c>
      <c r="O436" s="40">
        <v>1</v>
      </c>
      <c r="P436" s="29"/>
      <c r="Q436" s="125">
        <v>18330.864713595052</v>
      </c>
      <c r="R436" s="140">
        <v>17414.321477915299</v>
      </c>
      <c r="S436" s="124">
        <v>18110.89433703191</v>
      </c>
      <c r="T436" s="124">
        <v>18807.467196148522</v>
      </c>
      <c r="U436" s="125"/>
      <c r="V436" s="123"/>
      <c r="W436" s="138">
        <v>500</v>
      </c>
    </row>
    <row r="437" spans="1:23">
      <c r="A437" s="61" t="s">
        <v>417</v>
      </c>
      <c r="B437" s="36" t="str">
        <f>IFERROR(HYPERLINK(VLOOKUP(A437,ÜRÜNLER!A:C,3,FALSE),VLOOKUP(A437,ÜRÜNLER!A:B,2,FALSE)),"")</f>
        <v>Sıcak/Soğuk Su Sebili, Beyaz</v>
      </c>
      <c r="C437" s="4">
        <v>13</v>
      </c>
      <c r="D437" s="4"/>
      <c r="E437" s="5"/>
      <c r="F437" s="5"/>
      <c r="G437" s="5"/>
      <c r="H437" s="5"/>
      <c r="I437" s="6">
        <v>2</v>
      </c>
      <c r="J437" s="6">
        <v>3</v>
      </c>
      <c r="K437" s="5">
        <v>1</v>
      </c>
      <c r="L437" s="5">
        <v>3</v>
      </c>
      <c r="M437" s="6">
        <v>1</v>
      </c>
      <c r="N437" s="39">
        <f t="shared" si="17"/>
        <v>23</v>
      </c>
      <c r="O437" s="40">
        <v>1</v>
      </c>
      <c r="P437" s="29"/>
      <c r="Q437" s="125">
        <v>16970.174539831067</v>
      </c>
      <c r="R437" s="140">
        <v>16121.665812839514</v>
      </c>
      <c r="S437" s="124">
        <v>16766.532445353096</v>
      </c>
      <c r="T437" s="124">
        <v>17411.399077866674</v>
      </c>
      <c r="U437" s="125"/>
      <c r="V437" s="123"/>
      <c r="W437" s="138">
        <v>500</v>
      </c>
    </row>
    <row r="438" spans="1:23">
      <c r="A438" s="61" t="s">
        <v>418</v>
      </c>
      <c r="B438" s="36" t="str">
        <f>IFERROR(HYPERLINK(VLOOKUP(A438,ÜRÜNLER!A:C,3,FALSE),VLOOKUP(A438,ÜRÜNLER!A:B,2,FALSE)),"")</f>
        <v>Soğuk Su Sebili, Siyah/Gri, Sensörlü</v>
      </c>
      <c r="C438" s="4">
        <v>4</v>
      </c>
      <c r="D438" s="4"/>
      <c r="E438" s="5"/>
      <c r="F438" s="5">
        <v>1</v>
      </c>
      <c r="G438" s="5"/>
      <c r="H438" s="5"/>
      <c r="I438" s="6"/>
      <c r="J438" s="6">
        <v>1</v>
      </c>
      <c r="K438" s="5"/>
      <c r="L438" s="5">
        <v>1</v>
      </c>
      <c r="M438" s="6"/>
      <c r="N438" s="39">
        <f t="shared" si="17"/>
        <v>7</v>
      </c>
      <c r="O438" s="40">
        <v>0</v>
      </c>
      <c r="P438" s="29"/>
      <c r="Q438" s="125">
        <v>19431.285771511419</v>
      </c>
      <c r="R438" s="140">
        <v>18459.721482935849</v>
      </c>
      <c r="S438" s="124">
        <v>19198.110342253283</v>
      </c>
      <c r="T438" s="124">
        <v>19936.499201570718</v>
      </c>
      <c r="U438" s="125"/>
      <c r="V438" s="123"/>
      <c r="W438" s="138">
        <v>500</v>
      </c>
    </row>
    <row r="439" spans="1:23">
      <c r="A439" s="81" t="s">
        <v>389</v>
      </c>
      <c r="B439" s="36" t="str">
        <f>IFERROR(HYPERLINK(VLOOKUP(A439,ÜRÜNLER!A:C,3,FALSE),VLOOKUP(A439,ÜRÜNLER!A:B,2,FALSE)),"")</f>
        <v>Temizleme Tableti</v>
      </c>
      <c r="C439" s="4"/>
      <c r="D439" s="4"/>
      <c r="E439" s="5"/>
      <c r="F439" s="5">
        <v>46</v>
      </c>
      <c r="G439" s="5"/>
      <c r="H439" s="5"/>
      <c r="I439" s="6">
        <v>35</v>
      </c>
      <c r="J439" s="6">
        <v>25</v>
      </c>
      <c r="K439" s="5">
        <v>23</v>
      </c>
      <c r="L439" s="5">
        <v>6</v>
      </c>
      <c r="M439" s="6">
        <v>12</v>
      </c>
      <c r="N439" s="39">
        <f t="shared" si="17"/>
        <v>147</v>
      </c>
      <c r="O439" s="40">
        <v>0</v>
      </c>
      <c r="P439" s="29"/>
      <c r="Q439" s="125">
        <v>496.55142206306078</v>
      </c>
      <c r="R439" s="123">
        <v>650</v>
      </c>
      <c r="S439" s="124">
        <v>700</v>
      </c>
      <c r="T439" s="124">
        <v>800</v>
      </c>
      <c r="U439" s="125"/>
      <c r="V439" s="123"/>
      <c r="W439" s="123">
        <v>50</v>
      </c>
    </row>
    <row r="440" spans="1:23">
      <c r="A440" s="81" t="s">
        <v>390</v>
      </c>
      <c r="B440" s="36" t="str">
        <f>IFERROR(HYPERLINK(VLOOKUP(A440,ÜRÜNLER!A:C,3,FALSE),VLOOKUP(A440,ÜRÜNLER!A:B,2,FALSE)),"")</f>
        <v>Kireç Temizleme Tableti</v>
      </c>
      <c r="C440" s="4"/>
      <c r="D440" s="4"/>
      <c r="E440" s="5"/>
      <c r="F440" s="5"/>
      <c r="G440" s="5"/>
      <c r="H440" s="5"/>
      <c r="I440" s="6">
        <v>39</v>
      </c>
      <c r="J440" s="6"/>
      <c r="K440" s="5">
        <v>1</v>
      </c>
      <c r="L440" s="5"/>
      <c r="M440" s="6">
        <v>12</v>
      </c>
      <c r="N440" s="39">
        <f t="shared" si="17"/>
        <v>52</v>
      </c>
      <c r="O440" s="40">
        <v>0</v>
      </c>
      <c r="P440" s="29"/>
      <c r="Q440" s="125">
        <v>496.55142206306078</v>
      </c>
      <c r="R440" s="123">
        <v>650</v>
      </c>
      <c r="S440" s="124">
        <v>700</v>
      </c>
      <c r="T440" s="124">
        <v>800</v>
      </c>
      <c r="U440" s="125"/>
      <c r="V440" s="123"/>
      <c r="W440" s="123">
        <v>50</v>
      </c>
    </row>
    <row r="441" spans="1:23">
      <c r="A441" s="64" t="s">
        <v>200</v>
      </c>
      <c r="B441" s="36" t="str">
        <f>IFERROR(HYPERLINK(VLOOKUP(A441,ÜRÜNLER!A:C,3,FALSE),VLOOKUP(A441,ÜRÜNLER!A:B,2,FALSE)),"")</f>
        <v>3D Fry Tepsi</v>
      </c>
      <c r="C441" s="4">
        <v>21</v>
      </c>
      <c r="D441" s="4"/>
      <c r="E441" s="5"/>
      <c r="F441" s="5"/>
      <c r="G441" s="5">
        <v>12</v>
      </c>
      <c r="H441" s="5"/>
      <c r="I441" s="6">
        <v>2</v>
      </c>
      <c r="J441" s="6">
        <v>6</v>
      </c>
      <c r="K441" s="5">
        <v>2</v>
      </c>
      <c r="L441" s="5">
        <v>9</v>
      </c>
      <c r="M441" s="6">
        <v>3</v>
      </c>
      <c r="N441" s="39">
        <f t="shared" si="17"/>
        <v>55</v>
      </c>
      <c r="O441" s="40">
        <v>29</v>
      </c>
      <c r="P441" s="29"/>
      <c r="Q441" s="125">
        <v>344.31830133379674</v>
      </c>
      <c r="R441" s="123">
        <v>700</v>
      </c>
      <c r="S441" s="124">
        <v>700</v>
      </c>
      <c r="T441" s="124">
        <v>800</v>
      </c>
      <c r="U441" s="125"/>
      <c r="V441" s="123"/>
      <c r="W441" s="138">
        <v>100</v>
      </c>
    </row>
    <row r="442" spans="1:23">
      <c r="A442" s="64" t="s">
        <v>201</v>
      </c>
      <c r="B442" s="36" t="str">
        <f>IFERROR(HYPERLINK(VLOOKUP(A442,ÜRÜNLER!A:C,3,FALSE),VLOOKUP(A442,ÜRÜNLER!A:B,2,FALSE)),"")</f>
        <v>Siemens starter kit unducted recirculation</v>
      </c>
      <c r="C442" s="4">
        <v>2</v>
      </c>
      <c r="D442" s="4"/>
      <c r="E442" s="5"/>
      <c r="F442" s="5"/>
      <c r="G442" s="5"/>
      <c r="H442" s="5"/>
      <c r="I442" s="6"/>
      <c r="J442" s="6"/>
      <c r="K442" s="5"/>
      <c r="L442" s="5"/>
      <c r="M442" s="6"/>
      <c r="N442" s="39">
        <f t="shared" si="17"/>
        <v>2</v>
      </c>
      <c r="O442" s="40">
        <v>0</v>
      </c>
      <c r="P442" s="29"/>
      <c r="Q442" s="125" t="s">
        <v>1773</v>
      </c>
      <c r="R442" s="123">
        <v>750</v>
      </c>
      <c r="S442" s="124">
        <v>850</v>
      </c>
      <c r="T442" s="124">
        <v>900</v>
      </c>
      <c r="U442" s="125"/>
      <c r="V442" s="123"/>
      <c r="W442" s="138">
        <v>100</v>
      </c>
    </row>
    <row r="443" spans="1:23">
      <c r="A443" s="64" t="s">
        <v>409</v>
      </c>
      <c r="B443" s="36" t="str">
        <f>IFERROR(HYPERLINK(VLOOKUP(A443,ÜRÜNLER!A:C,3,FALSE),VLOOKUP(A443,ÜRÜNLER!A:B,2,FALSE)),"")</f>
        <v>Siemens Elektrikli Süpürgeler için Toz Torbası (P Tip) 4'lü Paket</v>
      </c>
      <c r="C443" s="4"/>
      <c r="D443" s="4"/>
      <c r="E443" s="5"/>
      <c r="F443" s="5"/>
      <c r="G443" s="5"/>
      <c r="H443" s="5"/>
      <c r="I443" s="6">
        <v>6</v>
      </c>
      <c r="J443" s="6"/>
      <c r="K443" s="5"/>
      <c r="L443" s="5"/>
      <c r="M443" s="6"/>
      <c r="N443" s="39">
        <f t="shared" si="17"/>
        <v>6</v>
      </c>
      <c r="O443" s="40">
        <v>0</v>
      </c>
      <c r="P443" s="29"/>
      <c r="Q443" s="125" t="s">
        <v>1773</v>
      </c>
      <c r="R443" s="123">
        <v>550</v>
      </c>
      <c r="S443" s="124">
        <v>600</v>
      </c>
      <c r="T443" s="124">
        <v>650</v>
      </c>
      <c r="U443" s="125"/>
      <c r="V443" s="123"/>
      <c r="W443" s="138">
        <v>100</v>
      </c>
    </row>
    <row r="444" spans="1:23">
      <c r="A444" s="64" t="s">
        <v>410</v>
      </c>
      <c r="B444" s="36" t="str">
        <f>IFERROR(HYPERLINK(VLOOKUP(A444,ÜRÜNLER!A:C,3,FALSE),VLOOKUP(A444,ÜRÜNLER!A:B,2,FALSE)),"")</f>
        <v>Elektrik Süpürgesi Toz Torbası 4'lü</v>
      </c>
      <c r="C444" s="4">
        <v>2</v>
      </c>
      <c r="D444" s="4"/>
      <c r="E444" s="5"/>
      <c r="F444" s="5"/>
      <c r="G444" s="5"/>
      <c r="H444" s="5"/>
      <c r="I444" s="6">
        <v>58</v>
      </c>
      <c r="J444" s="6">
        <v>48</v>
      </c>
      <c r="K444" s="5">
        <v>52</v>
      </c>
      <c r="L444" s="5">
        <v>4</v>
      </c>
      <c r="M444" s="6">
        <v>42</v>
      </c>
      <c r="N444" s="39">
        <f t="shared" si="17"/>
        <v>206</v>
      </c>
      <c r="O444" s="40">
        <v>0</v>
      </c>
      <c r="P444" s="29"/>
      <c r="Q444" s="125">
        <v>339.60533291604213</v>
      </c>
      <c r="R444" s="123">
        <v>550</v>
      </c>
      <c r="S444" s="124">
        <v>600</v>
      </c>
      <c r="T444" s="124">
        <v>650</v>
      </c>
      <c r="U444" s="125"/>
      <c r="V444" s="123"/>
      <c r="W444" s="138">
        <v>100</v>
      </c>
    </row>
    <row r="445" spans="1:23">
      <c r="A445" s="64" t="s">
        <v>412</v>
      </c>
      <c r="B445" s="36" t="str">
        <f>IFERROR(HYPERLINK(VLOOKUP(A445,ÜRÜNLER!A:C,3,FALSE),VLOOKUP(A445,ÜRÜNLER!A:B,2,FALSE)),"")</f>
        <v>Siemens Trifaze Ani Su Isıtıcı</v>
      </c>
      <c r="C445" s="4"/>
      <c r="D445" s="4"/>
      <c r="E445" s="5"/>
      <c r="F445" s="5"/>
      <c r="G445" s="5"/>
      <c r="H445" s="5"/>
      <c r="I445" s="6"/>
      <c r="J445" s="6"/>
      <c r="K445" s="5"/>
      <c r="L445" s="5">
        <v>1</v>
      </c>
      <c r="M445" s="6"/>
      <c r="N445" s="39">
        <f t="shared" si="17"/>
        <v>1</v>
      </c>
      <c r="O445" s="40">
        <v>0</v>
      </c>
      <c r="P445" s="29"/>
      <c r="Q445" s="125" t="s">
        <v>1773</v>
      </c>
      <c r="R445" s="123">
        <v>39999</v>
      </c>
      <c r="S445" s="124">
        <v>41598.959999999999</v>
      </c>
      <c r="T445" s="124">
        <v>43198.92</v>
      </c>
      <c r="U445" s="125"/>
      <c r="V445" s="123"/>
      <c r="W445" s="129">
        <v>250</v>
      </c>
    </row>
    <row r="446" spans="1:23">
      <c r="A446" s="64" t="s">
        <v>413</v>
      </c>
      <c r="B446" s="36" t="str">
        <f>IFERROR(HYPERLINK(VLOOKUP(A446,ÜRÜNLER!A:C,3,FALSE),VLOOKUP(A446,ÜRÜNLER!A:B,2,FALSE)),"")</f>
        <v>Siemens Trifaze Ani Su Isıtıcı</v>
      </c>
      <c r="C446" s="4"/>
      <c r="D446" s="4"/>
      <c r="E446" s="5"/>
      <c r="F446" s="5"/>
      <c r="G446" s="5"/>
      <c r="H446" s="5"/>
      <c r="I446" s="6">
        <v>1</v>
      </c>
      <c r="J446" s="6"/>
      <c r="K446" s="5"/>
      <c r="L446" s="5"/>
      <c r="M446" s="6"/>
      <c r="N446" s="39">
        <f t="shared" si="17"/>
        <v>1</v>
      </c>
      <c r="O446" s="40">
        <v>0</v>
      </c>
      <c r="P446" s="29"/>
      <c r="Q446" s="125" t="s">
        <v>1773</v>
      </c>
      <c r="R446" s="123">
        <v>49999</v>
      </c>
      <c r="S446" s="124">
        <v>51998.96</v>
      </c>
      <c r="T446" s="124">
        <v>53998.92</v>
      </c>
      <c r="U446" s="125"/>
      <c r="V446" s="123"/>
      <c r="W446" s="129">
        <v>250</v>
      </c>
    </row>
    <row r="447" spans="1:23">
      <c r="A447" s="64" t="s">
        <v>419</v>
      </c>
      <c r="B447" s="36" t="str">
        <f>IFERROR(HYPERLINK(VLOOKUP(A447,ÜRÜNLER!A:C,3,FALSE),VLOOKUP(A447,ÜRÜNLER!A:B,2,FALSE)),"")</f>
        <v>Siemens Çay Makinesi</v>
      </c>
      <c r="C447" s="4"/>
      <c r="D447" s="4"/>
      <c r="E447" s="5"/>
      <c r="F447" s="5"/>
      <c r="G447" s="5"/>
      <c r="H447" s="5"/>
      <c r="I447" s="6">
        <v>3</v>
      </c>
      <c r="J447" s="6">
        <v>1</v>
      </c>
      <c r="K447" s="5"/>
      <c r="L447" s="5">
        <v>1</v>
      </c>
      <c r="M447" s="6">
        <v>1</v>
      </c>
      <c r="N447" s="39">
        <f t="shared" si="17"/>
        <v>6</v>
      </c>
      <c r="O447" s="40">
        <v>0</v>
      </c>
      <c r="P447" s="29"/>
      <c r="Q447" s="125" t="s">
        <v>1773</v>
      </c>
      <c r="R447" s="123">
        <v>3999</v>
      </c>
      <c r="S447" s="124">
        <v>4158.96</v>
      </c>
      <c r="T447" s="124">
        <v>4318.92</v>
      </c>
      <c r="U447" s="125"/>
      <c r="V447" s="123"/>
      <c r="W447" s="129">
        <v>50</v>
      </c>
    </row>
    <row r="448" spans="1:23">
      <c r="A448" s="64" t="s">
        <v>420</v>
      </c>
      <c r="B448" s="36" t="str">
        <f>IFERROR(HYPERLINK(VLOOKUP(A448,ÜRÜNLER!A:C,3,FALSE),VLOOKUP(A448,ÜRÜNLER!A:B,2,FALSE)),"")</f>
        <v>Siemens Filtre Kahve Makinesi</v>
      </c>
      <c r="C448" s="4"/>
      <c r="D448" s="4"/>
      <c r="E448" s="5"/>
      <c r="F448" s="5"/>
      <c r="G448" s="5"/>
      <c r="H448" s="5"/>
      <c r="I448" s="6">
        <v>1</v>
      </c>
      <c r="J448" s="6"/>
      <c r="K448" s="5"/>
      <c r="L448" s="5"/>
      <c r="M448" s="6"/>
      <c r="N448" s="39">
        <f t="shared" si="17"/>
        <v>1</v>
      </c>
      <c r="O448" s="40">
        <v>0</v>
      </c>
      <c r="P448" s="29"/>
      <c r="Q448" s="125" t="s">
        <v>1773</v>
      </c>
      <c r="R448" s="123">
        <v>4999</v>
      </c>
      <c r="S448" s="124">
        <v>5198.96</v>
      </c>
      <c r="T448" s="124">
        <v>5398.92</v>
      </c>
      <c r="U448" s="125"/>
      <c r="V448" s="123"/>
      <c r="W448" s="129">
        <v>50</v>
      </c>
    </row>
    <row r="449" spans="1:23">
      <c r="A449" s="64" t="s">
        <v>421</v>
      </c>
      <c r="B449" s="36" t="str">
        <f>IFERROR(HYPERLINK(VLOOKUP(A449,ÜRÜNLER!A:C,3,FALSE),VLOOKUP(A449,ÜRÜNLER!A:B,2,FALSE)),"")</f>
        <v>Siemens El Blenderı ergonomicEdition, 600w, Beyaz/Mavi</v>
      </c>
      <c r="C449" s="4"/>
      <c r="D449" s="4"/>
      <c r="E449" s="5"/>
      <c r="F449" s="5"/>
      <c r="G449" s="5"/>
      <c r="H449" s="5"/>
      <c r="I449" s="6">
        <v>2</v>
      </c>
      <c r="J449" s="6"/>
      <c r="K449" s="5"/>
      <c r="L449" s="5"/>
      <c r="M449" s="6"/>
      <c r="N449" s="39">
        <f t="shared" si="17"/>
        <v>2</v>
      </c>
      <c r="O449" s="40">
        <v>0</v>
      </c>
      <c r="P449" s="29"/>
      <c r="Q449" s="125" t="s">
        <v>1773</v>
      </c>
      <c r="R449" s="123">
        <v>1999</v>
      </c>
      <c r="S449" s="124">
        <v>2078.96</v>
      </c>
      <c r="T449" s="124">
        <v>2158.92</v>
      </c>
      <c r="U449" s="125"/>
      <c r="V449" s="123"/>
      <c r="W449" s="129">
        <v>50</v>
      </c>
    </row>
    <row r="450" spans="1:23">
      <c r="A450" s="64" t="s">
        <v>422</v>
      </c>
      <c r="B450" s="36" t="str">
        <f>IFERROR(HYPERLINK(VLOOKUP(A450,ÜRÜNLER!A:C,3,FALSE),VLOOKUP(A450,ÜRÜNLER!A:B,2,FALSE)),"")</f>
        <v>Siemens El Blenderı, 600w, Beyaz/Mavi</v>
      </c>
      <c r="C450" s="4"/>
      <c r="D450" s="4"/>
      <c r="E450" s="5"/>
      <c r="F450" s="5"/>
      <c r="G450" s="5"/>
      <c r="H450" s="5"/>
      <c r="I450" s="6">
        <v>1</v>
      </c>
      <c r="J450" s="6"/>
      <c r="K450" s="5"/>
      <c r="L450" s="5"/>
      <c r="M450" s="6"/>
      <c r="N450" s="39">
        <f t="shared" si="17"/>
        <v>1</v>
      </c>
      <c r="O450" s="40">
        <v>0</v>
      </c>
      <c r="P450" s="29"/>
      <c r="Q450" s="125" t="s">
        <v>1773</v>
      </c>
      <c r="R450" s="123">
        <v>2499</v>
      </c>
      <c r="S450" s="124">
        <v>2598.96</v>
      </c>
      <c r="T450" s="124">
        <v>2698.92</v>
      </c>
      <c r="U450" s="125"/>
      <c r="V450" s="123"/>
      <c r="W450" s="129">
        <v>50</v>
      </c>
    </row>
    <row r="451" spans="1:23">
      <c r="A451" s="64" t="s">
        <v>423</v>
      </c>
      <c r="B451" s="36" t="str">
        <f>IFERROR(HYPERLINK(VLOOKUP(A451,ÜRÜNLER!A:C,3,FALSE),VLOOKUP(A451,ÜRÜNLER!A:B,2,FALSE)),"")</f>
        <v>Siemens El Blenderı FQ.1, 750w, Siyah/Gri</v>
      </c>
      <c r="C451" s="4"/>
      <c r="D451" s="4"/>
      <c r="E451" s="5"/>
      <c r="F451" s="5"/>
      <c r="G451" s="5"/>
      <c r="H451" s="5"/>
      <c r="I451" s="6">
        <v>2</v>
      </c>
      <c r="J451" s="6"/>
      <c r="K451" s="5"/>
      <c r="L451" s="5"/>
      <c r="M451" s="6"/>
      <c r="N451" s="39">
        <f t="shared" si="17"/>
        <v>2</v>
      </c>
      <c r="O451" s="40">
        <v>0</v>
      </c>
      <c r="P451" s="29"/>
      <c r="Q451" s="125" t="s">
        <v>1773</v>
      </c>
      <c r="R451" s="123">
        <v>1999</v>
      </c>
      <c r="S451" s="124">
        <v>2078.96</v>
      </c>
      <c r="T451" s="124">
        <v>2158.92</v>
      </c>
      <c r="U451" s="125"/>
      <c r="V451" s="123"/>
      <c r="W451" s="129">
        <v>50</v>
      </c>
    </row>
    <row r="452" spans="1:23">
      <c r="A452" s="64" t="s">
        <v>425</v>
      </c>
      <c r="B452" s="36" t="str">
        <f>IFERROR(HYPERLINK(VLOOKUP(A452,ÜRÜNLER!A:C,3,FALSE),VLOOKUP(A452,ÜRÜNLER!A:B,2,FALSE)),"")</f>
        <v>Siemens El Mikseri, 450w, Beyaz/Antrasit</v>
      </c>
      <c r="C452" s="4"/>
      <c r="D452" s="4"/>
      <c r="E452" s="5"/>
      <c r="F452" s="5"/>
      <c r="G452" s="5"/>
      <c r="H452" s="5"/>
      <c r="I452" s="6">
        <v>1</v>
      </c>
      <c r="J452" s="6"/>
      <c r="K452" s="5"/>
      <c r="L452" s="5"/>
      <c r="M452" s="6"/>
      <c r="N452" s="39">
        <f t="shared" si="17"/>
        <v>1</v>
      </c>
      <c r="O452" s="40">
        <v>0</v>
      </c>
      <c r="P452" s="29"/>
      <c r="Q452" s="125" t="s">
        <v>1773</v>
      </c>
      <c r="R452" s="123">
        <v>999</v>
      </c>
      <c r="S452" s="124">
        <v>1038.96</v>
      </c>
      <c r="T452" s="124">
        <v>1078.92</v>
      </c>
      <c r="U452" s="125"/>
      <c r="V452" s="123"/>
      <c r="W452" s="129">
        <v>50</v>
      </c>
    </row>
    <row r="453" spans="1:23">
      <c r="A453" s="64" t="s">
        <v>426</v>
      </c>
      <c r="B453" s="36" t="str">
        <f>IFERROR(HYPERLINK(VLOOKUP(A453,ÜRÜNLER!A:C,3,FALSE),VLOOKUP(A453,ÜRÜNLER!A:B,2,FALSE)),"")</f>
        <v>Siemens El Mikseri, 450w, Beyaz/Mavi</v>
      </c>
      <c r="C453" s="4"/>
      <c r="D453" s="4"/>
      <c r="E453" s="5"/>
      <c r="F453" s="5"/>
      <c r="G453" s="5"/>
      <c r="H453" s="5"/>
      <c r="I453" s="6">
        <v>1</v>
      </c>
      <c r="J453" s="6"/>
      <c r="K453" s="5"/>
      <c r="L453" s="5"/>
      <c r="M453" s="6"/>
      <c r="N453" s="39">
        <f t="shared" si="17"/>
        <v>1</v>
      </c>
      <c r="O453" s="40">
        <v>0</v>
      </c>
      <c r="P453" s="29"/>
      <c r="Q453" s="125" t="s">
        <v>1773</v>
      </c>
      <c r="R453" s="123">
        <v>1499</v>
      </c>
      <c r="S453" s="124">
        <v>1558.96</v>
      </c>
      <c r="T453" s="124">
        <v>1618.92</v>
      </c>
      <c r="U453" s="125"/>
      <c r="V453" s="123"/>
      <c r="W453" s="129">
        <v>50</v>
      </c>
    </row>
    <row r="454" spans="1:23">
      <c r="A454" s="64" t="s">
        <v>427</v>
      </c>
      <c r="B454" s="36" t="str">
        <f>IFERROR(HYPERLINK(VLOOKUP(A454,ÜRÜNLER!A:C,3,FALSE),VLOOKUP(A454,ÜRÜNLER!A:B,2,FALSE)),"")</f>
        <v>El Mikser Seti, 500w, Siyah</v>
      </c>
      <c r="C454" s="4"/>
      <c r="D454" s="4"/>
      <c r="E454" s="5"/>
      <c r="F454" s="5"/>
      <c r="G454" s="5"/>
      <c r="H454" s="5"/>
      <c r="I454" s="6">
        <v>3</v>
      </c>
      <c r="J454" s="6"/>
      <c r="K454" s="5"/>
      <c r="L454" s="5"/>
      <c r="M454" s="6"/>
      <c r="N454" s="39">
        <f t="shared" si="17"/>
        <v>3</v>
      </c>
      <c r="O454" s="40">
        <v>0</v>
      </c>
      <c r="P454" s="29"/>
      <c r="Q454" s="125" t="s">
        <v>1773</v>
      </c>
      <c r="R454" s="123">
        <v>2999</v>
      </c>
      <c r="S454" s="124">
        <v>3118.96</v>
      </c>
      <c r="T454" s="124">
        <v>3238.92</v>
      </c>
      <c r="U454" s="125"/>
      <c r="V454" s="123"/>
      <c r="W454" s="129">
        <v>50</v>
      </c>
    </row>
    <row r="455" spans="1:23">
      <c r="A455" s="64" t="s">
        <v>431</v>
      </c>
      <c r="B455" s="36" t="str">
        <f>IFERROR(HYPERLINK(VLOOKUP(A455,ÜRÜNLER!A:C,3,FALSE),VLOOKUP(A455,ÜRÜNLER!A:B,2,FALSE)),"")</f>
        <v>Siemens Buzdolabı Kulpu 79cm, Inox</v>
      </c>
      <c r="C455" s="4">
        <v>1</v>
      </c>
      <c r="D455" s="4"/>
      <c r="E455" s="5"/>
      <c r="F455" s="5"/>
      <c r="G455" s="5"/>
      <c r="H455" s="5"/>
      <c r="I455" s="6"/>
      <c r="J455" s="6"/>
      <c r="K455" s="5"/>
      <c r="L455" s="5">
        <v>4</v>
      </c>
      <c r="M455" s="6"/>
      <c r="N455" s="39">
        <f t="shared" si="17"/>
        <v>5</v>
      </c>
      <c r="O455" s="40">
        <v>0</v>
      </c>
      <c r="P455" s="29"/>
      <c r="Q455" s="125" t="s">
        <v>1773</v>
      </c>
      <c r="R455" s="123">
        <v>24999</v>
      </c>
      <c r="S455" s="124">
        <v>25998.959999999999</v>
      </c>
      <c r="T455" s="124">
        <v>26998.92</v>
      </c>
      <c r="U455" s="125"/>
      <c r="V455" s="123"/>
      <c r="W455" s="129">
        <v>250</v>
      </c>
    </row>
    <row r="456" spans="1:23">
      <c r="A456" s="64" t="s">
        <v>432</v>
      </c>
      <c r="B456" s="36" t="str">
        <f>IFERROR(HYPERLINK(VLOOKUP(A456,ÜRÜNLER!A:C,3,FALSE),VLOOKUP(A456,ÜRÜNLER!A:B,2,FALSE)),"")</f>
        <v>Siemens Buzdolabı Kulpu</v>
      </c>
      <c r="C456" s="4"/>
      <c r="D456" s="4"/>
      <c r="E456" s="5"/>
      <c r="F456" s="5"/>
      <c r="G456" s="5"/>
      <c r="H456" s="5"/>
      <c r="I456" s="6"/>
      <c r="J456" s="6">
        <v>1</v>
      </c>
      <c r="K456" s="5"/>
      <c r="L456" s="5">
        <v>1</v>
      </c>
      <c r="M456" s="6"/>
      <c r="N456" s="39">
        <f t="shared" si="17"/>
        <v>2</v>
      </c>
      <c r="O456" s="40">
        <v>0</v>
      </c>
      <c r="P456" s="29"/>
      <c r="Q456" s="125" t="s">
        <v>1773</v>
      </c>
      <c r="R456" s="123">
        <v>6148.9750000000004</v>
      </c>
      <c r="S456" s="124">
        <v>6394.9340000000002</v>
      </c>
      <c r="T456" s="124">
        <v>6640.893</v>
      </c>
      <c r="U456" s="125"/>
      <c r="V456" s="123"/>
      <c r="W456" s="129">
        <v>250</v>
      </c>
    </row>
    <row r="457" spans="1:23">
      <c r="A457" s="64" t="s">
        <v>433</v>
      </c>
      <c r="B457" s="36" t="str">
        <f>IFERROR(HYPERLINK(VLOOKUP(A457,ÜRÜNLER!A:C,3,FALSE),VLOOKUP(A457,ÜRÜNLER!A:B,2,FALSE)),"")</f>
        <v>Siemens Buzdolabı Kulpu</v>
      </c>
      <c r="C457" s="4">
        <v>5</v>
      </c>
      <c r="D457" s="4">
        <v>4</v>
      </c>
      <c r="E457" s="5"/>
      <c r="F457" s="5"/>
      <c r="G457" s="5"/>
      <c r="H457" s="5"/>
      <c r="I457" s="6"/>
      <c r="J457" s="6"/>
      <c r="K457" s="5"/>
      <c r="L457" s="5"/>
      <c r="M457" s="6"/>
      <c r="N457" s="39">
        <f t="shared" si="17"/>
        <v>9</v>
      </c>
      <c r="O457" s="40">
        <v>0</v>
      </c>
      <c r="P457" s="59" t="s">
        <v>1536</v>
      </c>
      <c r="Q457" s="125">
        <v>9266.4106256785399</v>
      </c>
      <c r="R457" s="134">
        <v>8339.7695631106853</v>
      </c>
      <c r="S457" s="124">
        <v>8673.360345635112</v>
      </c>
      <c r="T457" s="124">
        <v>9006.9511281595405</v>
      </c>
      <c r="U457" s="125"/>
      <c r="V457" s="123"/>
      <c r="W457" s="129">
        <v>500</v>
      </c>
    </row>
    <row r="458" spans="1:23">
      <c r="A458" s="64" t="s">
        <v>434</v>
      </c>
      <c r="B458" s="36" t="str">
        <f>IFERROR(HYPERLINK(VLOOKUP(A458,ÜRÜNLER!A:C,3,FALSE),VLOOKUP(A458,ÜRÜNLER!A:B,2,FALSE)),"")</f>
        <v>Siemens studioLine Buzdolabı Kulpu</v>
      </c>
      <c r="C458" s="4"/>
      <c r="D458" s="4">
        <v>4</v>
      </c>
      <c r="E458" s="5"/>
      <c r="F458" s="5"/>
      <c r="G458" s="5"/>
      <c r="H458" s="5"/>
      <c r="I458" s="6"/>
      <c r="J458" s="6"/>
      <c r="K458" s="5"/>
      <c r="L458" s="5"/>
      <c r="M458" s="6"/>
      <c r="N458" s="39">
        <f t="shared" si="17"/>
        <v>4</v>
      </c>
      <c r="O458" s="40">
        <v>0</v>
      </c>
      <c r="P458" s="59" t="s">
        <v>1536</v>
      </c>
      <c r="Q458" s="125">
        <v>3679.6535760838915</v>
      </c>
      <c r="R458" s="134">
        <v>3169.0796349047869</v>
      </c>
      <c r="S458" s="124">
        <v>3295.8428203009785</v>
      </c>
      <c r="T458" s="124">
        <v>3422.6060056971696</v>
      </c>
      <c r="U458" s="125"/>
      <c r="V458" s="123"/>
      <c r="W458" s="129">
        <v>500</v>
      </c>
    </row>
    <row r="459" spans="1:23">
      <c r="A459" s="64" t="s">
        <v>435</v>
      </c>
      <c r="B459" s="36" t="str">
        <f>IFERROR(HYPERLINK(VLOOKUP(A459,ÜRÜNLER!A:C,3,FALSE),VLOOKUP(A459,ÜRÜNLER!A:B,2,FALSE)),"")</f>
        <v>Siemens Buzdolabı Kulpu 79cm, Inox</v>
      </c>
      <c r="C459" s="4">
        <v>1</v>
      </c>
      <c r="D459" s="4"/>
      <c r="E459" s="5"/>
      <c r="F459" s="5"/>
      <c r="G459" s="5"/>
      <c r="H459" s="5"/>
      <c r="I459" s="6"/>
      <c r="J459" s="6"/>
      <c r="K459" s="5"/>
      <c r="L459" s="5"/>
      <c r="M459" s="6"/>
      <c r="N459" s="39">
        <f t="shared" si="17"/>
        <v>1</v>
      </c>
      <c r="O459" s="40">
        <v>0</v>
      </c>
      <c r="P459" s="59" t="s">
        <v>1536</v>
      </c>
      <c r="Q459" s="125">
        <v>2623.3627386171179</v>
      </c>
      <c r="R459" s="129">
        <v>2510.3949651838452</v>
      </c>
      <c r="S459" s="124">
        <v>2610.810763791199</v>
      </c>
      <c r="T459" s="124">
        <v>2711.2265623985527</v>
      </c>
      <c r="U459" s="125"/>
      <c r="V459" s="123"/>
      <c r="W459" s="129">
        <v>250</v>
      </c>
    </row>
    <row r="460" spans="1:23">
      <c r="A460" s="61" t="s">
        <v>436</v>
      </c>
      <c r="B460" s="36" t="str">
        <f>IFERROR(HYPERLINK(VLOOKUP(A460,ÜRÜNLER!A:C,3,FALSE),VLOOKUP(A460,ÜRÜNLER!A:B,2,FALSE)),"")</f>
        <v>Siemens studioLine Buzdolabı Kapı Paneli, 202.9x60.3cm</v>
      </c>
      <c r="C460" s="4"/>
      <c r="D460" s="4">
        <v>2</v>
      </c>
      <c r="E460" s="5"/>
      <c r="F460" s="5"/>
      <c r="G460" s="5"/>
      <c r="H460" s="5"/>
      <c r="I460" s="6"/>
      <c r="J460" s="6"/>
      <c r="K460" s="5"/>
      <c r="L460" s="5">
        <v>1</v>
      </c>
      <c r="M460" s="6"/>
      <c r="N460" s="39">
        <f t="shared" si="17"/>
        <v>3</v>
      </c>
      <c r="O460" s="40">
        <v>0</v>
      </c>
      <c r="P460" s="59" t="s">
        <v>1536</v>
      </c>
      <c r="Q460" s="125">
        <v>6809.007914256993</v>
      </c>
      <c r="R460" s="134">
        <v>6128.107122831294</v>
      </c>
      <c r="S460" s="124">
        <v>6373.2314077445453</v>
      </c>
      <c r="T460" s="124">
        <v>6618.3556926577976</v>
      </c>
      <c r="U460" s="125"/>
      <c r="V460" s="123"/>
      <c r="W460" s="129">
        <v>500</v>
      </c>
    </row>
    <row r="461" spans="1:23">
      <c r="A461" s="61" t="s">
        <v>437</v>
      </c>
      <c r="B461" s="36" t="str">
        <f>IFERROR(HYPERLINK(VLOOKUP(A461,ÜRÜNLER!A:C,3,FALSE),VLOOKUP(A461,ÜRÜNLER!A:B,2,FALSE)),"")</f>
        <v>Siemens Buzdolabı Kapı Paneli, 202.9x75.6cm</v>
      </c>
      <c r="C461" s="4">
        <v>4</v>
      </c>
      <c r="D461" s="4">
        <v>2</v>
      </c>
      <c r="E461" s="5"/>
      <c r="F461" s="5"/>
      <c r="G461" s="5"/>
      <c r="H461" s="5"/>
      <c r="I461" s="6"/>
      <c r="J461" s="6"/>
      <c r="K461" s="5"/>
      <c r="L461" s="5">
        <v>1</v>
      </c>
      <c r="M461" s="6"/>
      <c r="N461" s="39">
        <f t="shared" si="17"/>
        <v>7</v>
      </c>
      <c r="O461" s="40">
        <v>0</v>
      </c>
      <c r="P461" s="59" t="s">
        <v>1536</v>
      </c>
      <c r="Q461" s="125">
        <v>13443.597811476078</v>
      </c>
      <c r="R461" s="134">
        <v>12099.23803032847</v>
      </c>
      <c r="S461" s="124">
        <v>12583.207551541609</v>
      </c>
      <c r="T461" s="124">
        <v>13067.177072754748</v>
      </c>
      <c r="U461" s="125"/>
      <c r="V461" s="123"/>
      <c r="W461" s="129">
        <v>500</v>
      </c>
    </row>
    <row r="462" spans="1:23">
      <c r="A462" s="64" t="s">
        <v>438</v>
      </c>
      <c r="B462" s="36" t="str">
        <f>IFERROR(HYPERLINK(VLOOKUP(A462,ÜRÜNLER!A:C,3,FALSE),VLOOKUP(A462,ÜRÜNLER!A:B,2,FALSE)),"")</f>
        <v>Siemens Buzdolabı Kapı Paneli, 202.9x90.8cm</v>
      </c>
      <c r="C462" s="4">
        <v>5</v>
      </c>
      <c r="D462" s="4">
        <v>2</v>
      </c>
      <c r="E462" s="5"/>
      <c r="F462" s="5"/>
      <c r="G462" s="5"/>
      <c r="H462" s="5"/>
      <c r="I462" s="6"/>
      <c r="J462" s="6">
        <v>1</v>
      </c>
      <c r="K462" s="5"/>
      <c r="L462" s="5">
        <v>1</v>
      </c>
      <c r="M462" s="6"/>
      <c r="N462" s="39">
        <f t="shared" si="17"/>
        <v>9</v>
      </c>
      <c r="O462" s="40">
        <v>0</v>
      </c>
      <c r="P462" s="59" t="s">
        <v>1536</v>
      </c>
      <c r="Q462" s="125">
        <v>19717.530869538496</v>
      </c>
      <c r="R462" s="134">
        <v>17745.777782584646</v>
      </c>
      <c r="S462" s="124">
        <v>18455.608893888031</v>
      </c>
      <c r="T462" s="124">
        <v>19165.440005191416</v>
      </c>
      <c r="U462" s="125"/>
      <c r="V462" s="123"/>
      <c r="W462" s="129">
        <v>500</v>
      </c>
    </row>
    <row r="463" spans="1:23">
      <c r="A463" s="64" t="s">
        <v>439</v>
      </c>
      <c r="B463" s="36" t="str">
        <f>IFERROR(HYPERLINK(VLOOKUP(A463,ÜRÜNLER!A:C,3,FALSE),VLOOKUP(A463,ÜRÜNLER!A:B,2,FALSE)),"")</f>
        <v>Siemens Buzdolabı Bağlantı Seti</v>
      </c>
      <c r="C463" s="4">
        <v>4</v>
      </c>
      <c r="D463" s="4"/>
      <c r="E463" s="5"/>
      <c r="F463" s="5"/>
      <c r="G463" s="5"/>
      <c r="H463" s="5"/>
      <c r="I463" s="6"/>
      <c r="J463" s="6"/>
      <c r="K463" s="5"/>
      <c r="L463" s="5"/>
      <c r="M463" s="6"/>
      <c r="N463" s="39">
        <f t="shared" si="17"/>
        <v>4</v>
      </c>
      <c r="O463" s="40">
        <v>0</v>
      </c>
      <c r="P463" s="59" t="s">
        <v>1536</v>
      </c>
      <c r="Q463" s="125" t="s">
        <v>1773</v>
      </c>
      <c r="R463" s="123"/>
      <c r="S463" s="124">
        <v>0</v>
      </c>
      <c r="T463" s="124"/>
      <c r="U463" s="125"/>
      <c r="V463" s="123"/>
      <c r="W463" s="129"/>
    </row>
    <row r="464" spans="1:23">
      <c r="A464" s="64" t="s">
        <v>440</v>
      </c>
      <c r="B464" s="36" t="str">
        <f>IFERROR(HYPERLINK(VLOOKUP(A464,ÜRÜNLER!A:C,3,FALSE),VLOOKUP(A464,ÜRÜNLER!A:B,2,FALSE)),"")</f>
        <v>Siemens Buzdolabı Bağlantı Seti</v>
      </c>
      <c r="C464" s="4">
        <v>2</v>
      </c>
      <c r="D464" s="4">
        <v>1</v>
      </c>
      <c r="E464" s="5"/>
      <c r="F464" s="5"/>
      <c r="G464" s="5"/>
      <c r="H464" s="5">
        <v>2</v>
      </c>
      <c r="I464" s="6"/>
      <c r="J464" s="6"/>
      <c r="K464" s="5"/>
      <c r="L464" s="5"/>
      <c r="M464" s="6"/>
      <c r="N464" s="39">
        <f t="shared" si="17"/>
        <v>5</v>
      </c>
      <c r="O464" s="40">
        <v>0</v>
      </c>
      <c r="P464" s="59" t="s">
        <v>1536</v>
      </c>
      <c r="Q464" s="125" t="s">
        <v>1886</v>
      </c>
      <c r="R464" s="142">
        <v>5000</v>
      </c>
      <c r="S464" s="124">
        <v>5200</v>
      </c>
      <c r="T464" s="124">
        <v>5400</v>
      </c>
      <c r="U464" s="125"/>
      <c r="V464" s="123"/>
      <c r="W464" s="129">
        <v>500</v>
      </c>
    </row>
    <row r="465" spans="1:24">
      <c r="A465" s="64" t="s">
        <v>441</v>
      </c>
      <c r="B465" s="36" t="str">
        <f>IFERROR(HYPERLINK(VLOOKUP(A465,ÜRÜNLER!A:C,3,FALSE),VLOOKUP(A465,ÜRÜNLER!A:B,2,FALSE)),"")</f>
        <v>Siemens studioLine Buzdolabı Çekmecesi</v>
      </c>
      <c r="C465" s="4"/>
      <c r="D465" s="4">
        <v>1</v>
      </c>
      <c r="E465" s="5"/>
      <c r="F465" s="5"/>
      <c r="G465" s="5"/>
      <c r="H465" s="5"/>
      <c r="I465" s="6"/>
      <c r="J465" s="6"/>
      <c r="K465" s="5"/>
      <c r="L465" s="5"/>
      <c r="M465" s="6"/>
      <c r="N465" s="39">
        <f t="shared" si="17"/>
        <v>1</v>
      </c>
      <c r="O465" s="40">
        <v>0</v>
      </c>
      <c r="P465" s="59" t="s">
        <v>1536</v>
      </c>
      <c r="Q465" s="125">
        <v>2353.1146776305964</v>
      </c>
      <c r="R465" s="134">
        <v>2117.8032098675367</v>
      </c>
      <c r="S465" s="124">
        <v>2202.5153382622379</v>
      </c>
      <c r="T465" s="124">
        <v>2287.2274666569397</v>
      </c>
      <c r="U465" s="125"/>
      <c r="V465" s="123"/>
      <c r="W465" s="129">
        <v>500</v>
      </c>
    </row>
    <row r="466" spans="1:24">
      <c r="A466" s="64" t="s">
        <v>442</v>
      </c>
      <c r="B466" s="36" t="str">
        <f>IFERROR(HYPERLINK(VLOOKUP(A466,ÜRÜNLER!A:C,3,FALSE),VLOOKUP(A466,ÜRÜNLER!A:B,2,FALSE)),"")</f>
        <v>Siemens studioLine 36'' Buzdolabı Kapı Paneli, Paslanmaz Çelik, 3 Kapı</v>
      </c>
      <c r="C466" s="4"/>
      <c r="D466" s="4">
        <v>1</v>
      </c>
      <c r="E466" s="5"/>
      <c r="F466" s="5"/>
      <c r="G466" s="5"/>
      <c r="H466" s="5"/>
      <c r="I466" s="6"/>
      <c r="J466" s="6"/>
      <c r="K466" s="5"/>
      <c r="L466" s="5"/>
      <c r="M466" s="6"/>
      <c r="N466" s="39">
        <f t="shared" si="17"/>
        <v>1</v>
      </c>
      <c r="O466" s="40">
        <v>0</v>
      </c>
      <c r="P466" s="59" t="s">
        <v>1536</v>
      </c>
      <c r="Q466" s="125">
        <v>11077.419106161291</v>
      </c>
      <c r="R466" s="134">
        <v>9540.3609526747969</v>
      </c>
      <c r="S466" s="124">
        <v>9921.9753907817885</v>
      </c>
      <c r="T466" s="124">
        <v>10303.58982888878</v>
      </c>
      <c r="U466" s="125"/>
      <c r="V466" s="123"/>
      <c r="W466" s="129">
        <v>500</v>
      </c>
    </row>
    <row r="467" spans="1:24">
      <c r="A467" s="69" t="s">
        <v>1548</v>
      </c>
      <c r="B467" s="36" t="str">
        <f>IFERROR(HYPERLINK(VLOOKUP(A467,ÜRÜNLER!A:C,3,FALSE),VLOOKUP(A467,ÜRÜNLER!A:B,2,FALSE)),"")</f>
        <v/>
      </c>
      <c r="C467" s="4"/>
      <c r="D467" s="4"/>
      <c r="E467" s="5"/>
      <c r="F467" s="5"/>
      <c r="G467" s="5"/>
      <c r="H467" s="5"/>
      <c r="I467" s="6"/>
      <c r="J467" s="6"/>
      <c r="K467" s="5"/>
      <c r="L467" s="5"/>
      <c r="M467" s="6"/>
      <c r="N467" s="39"/>
      <c r="O467" s="40">
        <v>0</v>
      </c>
      <c r="P467" s="29"/>
      <c r="R467" s="143"/>
      <c r="S467" s="124"/>
      <c r="T467" s="124"/>
      <c r="U467" s="125"/>
      <c r="V467" s="123"/>
      <c r="W467" s="129"/>
    </row>
    <row r="468" spans="1:24">
      <c r="A468" s="63" t="s">
        <v>443</v>
      </c>
      <c r="B468" s="36" t="str">
        <f>IFERROR(HYPERLINK(VLOOKUP(A468,ÜRÜNLER!A:C,3,FALSE),VLOOKUP(A468,ÜRÜNLER!A:B,2,FALSE)),"")</f>
        <v>Siemens Ev Tipi Klima İç Ünite, 9.000BTU, Beyaz</v>
      </c>
      <c r="C468" s="4">
        <v>5</v>
      </c>
      <c r="D468" s="4"/>
      <c r="E468" s="5"/>
      <c r="F468" s="5"/>
      <c r="G468" s="5"/>
      <c r="H468" s="5"/>
      <c r="I468" s="6">
        <v>1</v>
      </c>
      <c r="J468" s="6"/>
      <c r="K468" s="5"/>
      <c r="L468" s="5"/>
      <c r="M468" s="6"/>
      <c r="N468" s="39">
        <f t="shared" ref="N468:N483" si="18">M468+K468+L468+J468+I468+H468+G468+F468+E468+D468+C468</f>
        <v>6</v>
      </c>
      <c r="O468" s="40">
        <v>0</v>
      </c>
      <c r="P468" s="59" t="s">
        <v>1536</v>
      </c>
      <c r="Q468" s="125">
        <v>16020.74074189603</v>
      </c>
      <c r="R468" s="144">
        <v>18000</v>
      </c>
      <c r="S468" s="124">
        <v>18720</v>
      </c>
      <c r="T468" s="124">
        <v>19440</v>
      </c>
      <c r="U468" s="125"/>
      <c r="V468" s="123"/>
      <c r="W468" s="129">
        <v>250</v>
      </c>
    </row>
    <row r="469" spans="1:24">
      <c r="A469" s="63" t="s">
        <v>444</v>
      </c>
      <c r="B469" s="36" t="str">
        <f>IFERROR(HYPERLINK(VLOOKUP(A469,ÜRÜNLER!A:C,3,FALSE),VLOOKUP(A469,ÜRÜNLER!A:B,2,FALSE)),"")</f>
        <v>Siemens Ev Tipi Klima Dış Ünite, 9.000BTU, Beyaz</v>
      </c>
      <c r="C469" s="4">
        <v>6</v>
      </c>
      <c r="D469" s="4"/>
      <c r="E469" s="5"/>
      <c r="F469" s="5"/>
      <c r="G469" s="5"/>
      <c r="H469" s="5"/>
      <c r="I469" s="6"/>
      <c r="J469" s="6"/>
      <c r="K469" s="5"/>
      <c r="L469" s="5"/>
      <c r="M469" s="6"/>
      <c r="N469" s="39">
        <f t="shared" si="18"/>
        <v>6</v>
      </c>
      <c r="O469" s="40">
        <v>0</v>
      </c>
      <c r="P469" s="59" t="s">
        <v>1536</v>
      </c>
      <c r="Q469" s="125">
        <v>24031.111112844046</v>
      </c>
      <c r="R469" s="144">
        <v>26000</v>
      </c>
      <c r="S469" s="124">
        <v>27040</v>
      </c>
      <c r="T469" s="124">
        <v>28080</v>
      </c>
      <c r="U469" s="125"/>
      <c r="V469" s="123"/>
      <c r="W469" s="129"/>
    </row>
    <row r="470" spans="1:24">
      <c r="A470" s="93" t="s">
        <v>445</v>
      </c>
      <c r="B470" s="36" t="str">
        <f>IFERROR(HYPERLINK(VLOOKUP(A470,ÜRÜNLER!A:C,3,FALSE),VLOOKUP(A470,ÜRÜNLER!A:B,2,FALSE)),"")</f>
        <v>Siemens Ev Tipi Klima İç Ünite, 12.000BTU, Beyaz</v>
      </c>
      <c r="C470" s="4"/>
      <c r="D470" s="4"/>
      <c r="E470" s="5"/>
      <c r="F470" s="5"/>
      <c r="G470" s="5"/>
      <c r="H470" s="5"/>
      <c r="I470" s="6"/>
      <c r="J470" s="6"/>
      <c r="K470" s="5"/>
      <c r="L470" s="5">
        <v>1</v>
      </c>
      <c r="M470" s="6"/>
      <c r="N470" s="39">
        <f t="shared" si="18"/>
        <v>1</v>
      </c>
      <c r="O470" s="40">
        <v>0</v>
      </c>
      <c r="P470" s="94" t="s">
        <v>1536</v>
      </c>
      <c r="Q470" s="125" t="s">
        <v>1773</v>
      </c>
      <c r="R470" s="145">
        <v>15000</v>
      </c>
      <c r="S470" s="124">
        <v>15600</v>
      </c>
      <c r="T470" s="124">
        <v>16200</v>
      </c>
      <c r="U470" s="125"/>
      <c r="V470" s="123"/>
      <c r="W470" s="129">
        <v>250</v>
      </c>
    </row>
    <row r="471" spans="1:24">
      <c r="A471" s="93" t="s">
        <v>446</v>
      </c>
      <c r="B471" s="36" t="str">
        <f>IFERROR(HYPERLINK(VLOOKUP(A471,ÜRÜNLER!A:C,3,FALSE),VLOOKUP(A471,ÜRÜNLER!A:B,2,FALSE)),"")</f>
        <v>Siemens Ev Tipi Klima Dış Ünite, 12.000BTU, Beyaz</v>
      </c>
      <c r="C471" s="4">
        <v>1</v>
      </c>
      <c r="D471" s="4"/>
      <c r="E471" s="5"/>
      <c r="F471" s="5"/>
      <c r="G471" s="5"/>
      <c r="H471" s="5"/>
      <c r="I471" s="6"/>
      <c r="J471" s="6"/>
      <c r="K471" s="5"/>
      <c r="L471" s="5"/>
      <c r="M471" s="6"/>
      <c r="N471" s="39">
        <f t="shared" si="18"/>
        <v>1</v>
      </c>
      <c r="O471" s="40">
        <v>0</v>
      </c>
      <c r="P471" s="94" t="s">
        <v>1536</v>
      </c>
      <c r="Q471" s="125" t="s">
        <v>1773</v>
      </c>
      <c r="R471" s="145">
        <v>20000</v>
      </c>
      <c r="S471" s="124">
        <v>20800</v>
      </c>
      <c r="T471" s="124">
        <v>21600</v>
      </c>
      <c r="U471" s="125"/>
      <c r="V471" s="123"/>
      <c r="W471" s="129"/>
    </row>
    <row r="472" spans="1:24">
      <c r="A472" s="95" t="s">
        <v>447</v>
      </c>
      <c r="B472" s="36" t="str">
        <f>IFERROR(HYPERLINK(VLOOKUP(A472,ÜRÜNLER!A:C,3,FALSE),VLOOKUP(A472,ÜRÜNLER!A:B,2,FALSE)),"")</f>
        <v>Siemens Ev Tipi Klima İç Ünite, 12.000BTU, Beyaz</v>
      </c>
      <c r="C472" s="4"/>
      <c r="D472" s="4"/>
      <c r="E472" s="5"/>
      <c r="F472" s="5">
        <v>1</v>
      </c>
      <c r="G472" s="5"/>
      <c r="H472" s="5"/>
      <c r="I472" s="6">
        <v>1</v>
      </c>
      <c r="J472" s="6"/>
      <c r="K472" s="5"/>
      <c r="L472" s="5"/>
      <c r="M472" s="6"/>
      <c r="N472" s="39">
        <f t="shared" si="18"/>
        <v>2</v>
      </c>
      <c r="O472" s="40">
        <v>0</v>
      </c>
      <c r="P472" s="59" t="s">
        <v>1536</v>
      </c>
      <c r="Q472" s="125">
        <v>17599.318782707702</v>
      </c>
      <c r="R472" s="144">
        <v>19000</v>
      </c>
      <c r="S472" s="124">
        <v>19760</v>
      </c>
      <c r="T472" s="124">
        <v>20520</v>
      </c>
      <c r="U472" s="125"/>
      <c r="V472" s="123"/>
      <c r="W472" s="129">
        <v>250</v>
      </c>
    </row>
    <row r="473" spans="1:24">
      <c r="A473" s="95" t="s">
        <v>448</v>
      </c>
      <c r="B473" s="36" t="str">
        <f>IFERROR(HYPERLINK(VLOOKUP(A473,ÜRÜNLER!A:C,3,FALSE),VLOOKUP(A473,ÜRÜNLER!A:B,2,FALSE)),"")</f>
        <v>Siemens Ev Tipi Klima Dış Ünite, 12.000BTU, Beyaz</v>
      </c>
      <c r="C473" s="4"/>
      <c r="D473" s="4"/>
      <c r="E473" s="5"/>
      <c r="F473" s="5">
        <v>1</v>
      </c>
      <c r="G473" s="5"/>
      <c r="H473" s="5"/>
      <c r="I473" s="6"/>
      <c r="J473" s="6"/>
      <c r="K473" s="5"/>
      <c r="L473" s="5">
        <v>1</v>
      </c>
      <c r="M473" s="6"/>
      <c r="N473" s="39">
        <f t="shared" si="18"/>
        <v>2</v>
      </c>
      <c r="O473" s="40">
        <v>0</v>
      </c>
      <c r="P473" s="59" t="s">
        <v>1536</v>
      </c>
      <c r="Q473" s="125">
        <v>26398.978174061547</v>
      </c>
      <c r="R473" s="144">
        <v>28000</v>
      </c>
      <c r="S473" s="124">
        <v>29120</v>
      </c>
      <c r="T473" s="124">
        <v>30240</v>
      </c>
      <c r="U473" s="125"/>
      <c r="V473" s="123"/>
      <c r="W473" s="129"/>
    </row>
    <row r="474" spans="1:24">
      <c r="A474" s="96" t="s">
        <v>449</v>
      </c>
      <c r="B474" s="36" t="str">
        <f>IFERROR(HYPERLINK(VLOOKUP(A474,ÜRÜNLER!A:C,3,FALSE),VLOOKUP(A474,ÜRÜNLER!A:B,2,FALSE)),"")</f>
        <v>Siemens Ev Tipi Klima İç Ünite, 12.000BTU, Siyah</v>
      </c>
      <c r="C474" s="4">
        <v>2</v>
      </c>
      <c r="D474" s="4"/>
      <c r="E474" s="5"/>
      <c r="F474" s="5"/>
      <c r="G474" s="5"/>
      <c r="H474" s="5"/>
      <c r="I474" s="6"/>
      <c r="J474" s="6"/>
      <c r="K474" s="5"/>
      <c r="L474" s="5"/>
      <c r="M474" s="6"/>
      <c r="N474" s="39">
        <f t="shared" si="18"/>
        <v>2</v>
      </c>
      <c r="O474" s="40">
        <v>0</v>
      </c>
      <c r="P474" s="94" t="s">
        <v>1536</v>
      </c>
      <c r="Q474" s="125">
        <v>19638.932436439351</v>
      </c>
      <c r="R474" s="144">
        <v>22000</v>
      </c>
      <c r="S474" s="124">
        <v>22880</v>
      </c>
      <c r="T474" s="124">
        <v>23760</v>
      </c>
      <c r="U474" s="125"/>
      <c r="V474" s="123"/>
      <c r="W474" s="129">
        <v>250</v>
      </c>
    </row>
    <row r="475" spans="1:24">
      <c r="A475" s="96" t="s">
        <v>450</v>
      </c>
      <c r="B475" s="36" t="str">
        <f>IFERROR(HYPERLINK(VLOOKUP(A475,ÜRÜNLER!A:C,3,FALSE),VLOOKUP(A475,ÜRÜNLER!A:B,2,FALSE)),"")</f>
        <v>Siemens Ev Tipi Klima Dış Ünite, 12.000BTU, Beyaz</v>
      </c>
      <c r="C475" s="4">
        <v>2</v>
      </c>
      <c r="D475" s="4"/>
      <c r="E475" s="5"/>
      <c r="F475" s="5"/>
      <c r="G475" s="5"/>
      <c r="H475" s="5"/>
      <c r="I475" s="6"/>
      <c r="J475" s="6"/>
      <c r="K475" s="5"/>
      <c r="L475" s="5"/>
      <c r="M475" s="6"/>
      <c r="N475" s="39">
        <f t="shared" si="18"/>
        <v>2</v>
      </c>
      <c r="O475" s="40">
        <v>0</v>
      </c>
      <c r="P475" s="94" t="s">
        <v>1536</v>
      </c>
      <c r="Q475" s="125">
        <v>29458.398654659028</v>
      </c>
      <c r="R475" s="144">
        <v>32000</v>
      </c>
      <c r="S475" s="124">
        <v>33280</v>
      </c>
      <c r="T475" s="124">
        <v>34560</v>
      </c>
      <c r="U475" s="125"/>
      <c r="V475" s="123"/>
      <c r="W475" s="129"/>
    </row>
    <row r="476" spans="1:24" s="7" customFormat="1">
      <c r="A476" s="95" t="s">
        <v>451</v>
      </c>
      <c r="B476" s="36" t="str">
        <f>IFERROR(HYPERLINK(VLOOKUP(A476,ÜRÜNLER!A:C,3,FALSE),VLOOKUP(A476,ÜRÜNLER!A:B,2,FALSE)),"")</f>
        <v>Siemens Ev Tipi Klima İç Ünite, 18.000BTU, Beyaz</v>
      </c>
      <c r="C476" s="4">
        <v>5</v>
      </c>
      <c r="D476" s="4"/>
      <c r="E476" s="5"/>
      <c r="F476" s="5"/>
      <c r="G476" s="5"/>
      <c r="H476" s="5"/>
      <c r="I476" s="6">
        <v>1</v>
      </c>
      <c r="J476" s="6"/>
      <c r="K476" s="5"/>
      <c r="L476" s="5">
        <v>2</v>
      </c>
      <c r="M476" s="6"/>
      <c r="N476" s="39">
        <f t="shared" si="18"/>
        <v>8</v>
      </c>
      <c r="O476" s="40">
        <v>0</v>
      </c>
      <c r="P476" s="59" t="s">
        <v>1536</v>
      </c>
      <c r="Q476" s="125" t="s">
        <v>1773</v>
      </c>
      <c r="R476" s="123">
        <v>22000</v>
      </c>
      <c r="S476" s="124">
        <v>22880</v>
      </c>
      <c r="T476" s="124">
        <v>23760</v>
      </c>
      <c r="U476" s="125"/>
      <c r="V476" s="123"/>
      <c r="W476" s="129">
        <v>250</v>
      </c>
      <c r="X476" s="127"/>
    </row>
    <row r="477" spans="1:24" s="7" customFormat="1">
      <c r="A477" s="95" t="s">
        <v>452</v>
      </c>
      <c r="B477" s="36" t="str">
        <f>IFERROR(HYPERLINK(VLOOKUP(A477,ÜRÜNLER!A:C,3,FALSE),VLOOKUP(A477,ÜRÜNLER!A:B,2,FALSE)),"")</f>
        <v>Siemens Ev Tipi Klima Dış Ünite, 18.000BTU, Beyaz</v>
      </c>
      <c r="C477" s="4">
        <v>7</v>
      </c>
      <c r="D477" s="4"/>
      <c r="E477" s="5"/>
      <c r="F477" s="5"/>
      <c r="G477" s="5"/>
      <c r="H477" s="5"/>
      <c r="I477" s="6"/>
      <c r="J477" s="6"/>
      <c r="K477" s="5"/>
      <c r="L477" s="5">
        <v>1</v>
      </c>
      <c r="M477" s="6"/>
      <c r="N477" s="39">
        <f t="shared" si="18"/>
        <v>8</v>
      </c>
      <c r="O477" s="40">
        <v>0</v>
      </c>
      <c r="P477" s="59" t="s">
        <v>1536</v>
      </c>
      <c r="Q477" s="125" t="s">
        <v>1773</v>
      </c>
      <c r="R477" s="123">
        <v>35000</v>
      </c>
      <c r="S477" s="124">
        <v>36400</v>
      </c>
      <c r="T477" s="124">
        <v>37800</v>
      </c>
      <c r="U477" s="125"/>
      <c r="V477" s="123"/>
      <c r="W477" s="129"/>
      <c r="X477" s="127"/>
    </row>
    <row r="478" spans="1:24">
      <c r="A478" s="96" t="s">
        <v>453</v>
      </c>
      <c r="B478" s="36" t="str">
        <f>IFERROR(HYPERLINK(VLOOKUP(A478,ÜRÜNLER!A:C,3,FALSE),VLOOKUP(A478,ÜRÜNLER!A:B,2,FALSE)),"")</f>
        <v>Siemens Ev Tipi Klima İç Ünite, 18.000BTU, Siyah</v>
      </c>
      <c r="C478" s="4">
        <v>1</v>
      </c>
      <c r="D478" s="4"/>
      <c r="E478" s="5"/>
      <c r="F478" s="5"/>
      <c r="G478" s="5"/>
      <c r="H478" s="5"/>
      <c r="I478" s="6"/>
      <c r="J478" s="6"/>
      <c r="K478" s="5"/>
      <c r="L478" s="5"/>
      <c r="M478" s="6"/>
      <c r="N478" s="39">
        <f t="shared" si="18"/>
        <v>1</v>
      </c>
      <c r="O478" s="40">
        <v>0</v>
      </c>
      <c r="P478" s="94" t="s">
        <v>1536</v>
      </c>
      <c r="Q478" s="125">
        <v>27721.370472790273</v>
      </c>
      <c r="R478" s="144">
        <v>30000</v>
      </c>
      <c r="S478" s="124">
        <v>31200</v>
      </c>
      <c r="T478" s="124">
        <v>32400</v>
      </c>
      <c r="U478" s="125"/>
      <c r="V478" s="123"/>
      <c r="W478" s="129">
        <v>250</v>
      </c>
    </row>
    <row r="479" spans="1:24">
      <c r="A479" s="96" t="s">
        <v>454</v>
      </c>
      <c r="B479" s="36" t="str">
        <f>IFERROR(HYPERLINK(VLOOKUP(A479,ÜRÜNLER!A:C,3,FALSE),VLOOKUP(A479,ÜRÜNLER!A:B,2,FALSE)),"")</f>
        <v>Siemens Ev Tipi Klima Dış Ünite, 18.000BTU, Beyaz</v>
      </c>
      <c r="C479" s="4">
        <v>1</v>
      </c>
      <c r="D479" s="4"/>
      <c r="E479" s="5"/>
      <c r="F479" s="5"/>
      <c r="G479" s="5"/>
      <c r="H479" s="5"/>
      <c r="I479" s="6"/>
      <c r="J479" s="6"/>
      <c r="K479" s="5"/>
      <c r="L479" s="5"/>
      <c r="M479" s="6"/>
      <c r="N479" s="39">
        <f t="shared" si="18"/>
        <v>1</v>
      </c>
      <c r="O479" s="40">
        <v>0</v>
      </c>
      <c r="P479" s="94" t="s">
        <v>1536</v>
      </c>
      <c r="Q479" s="125">
        <v>41582.055709185406</v>
      </c>
      <c r="R479" s="144">
        <v>44000</v>
      </c>
      <c r="S479" s="124">
        <v>45760</v>
      </c>
      <c r="T479" s="124">
        <v>47520</v>
      </c>
      <c r="U479" s="125"/>
      <c r="V479" s="123"/>
      <c r="W479" s="129"/>
    </row>
    <row r="480" spans="1:24" s="7" customFormat="1">
      <c r="A480" s="64" t="s">
        <v>455</v>
      </c>
      <c r="B480" s="36" t="str">
        <f>IFERROR(HYPERLINK(VLOOKUP(A480,ÜRÜNLER!A:C,3,FALSE),VLOOKUP(A480,ÜRÜNLER!A:B,2,FALSE)),"")</f>
        <v>Siemens Ev Tipi Klima İç Ünite, 24.000BTU, Beyaz</v>
      </c>
      <c r="C480" s="4"/>
      <c r="D480" s="4"/>
      <c r="E480" s="5"/>
      <c r="F480" s="5"/>
      <c r="G480" s="5"/>
      <c r="H480" s="5"/>
      <c r="I480" s="6"/>
      <c r="J480" s="6"/>
      <c r="K480" s="5"/>
      <c r="L480" s="5">
        <v>1</v>
      </c>
      <c r="M480" s="6"/>
      <c r="N480" s="39">
        <f t="shared" si="18"/>
        <v>1</v>
      </c>
      <c r="O480" s="40">
        <v>0</v>
      </c>
      <c r="P480" s="29"/>
      <c r="Q480" s="125" t="s">
        <v>1773</v>
      </c>
      <c r="R480" s="123">
        <v>25000</v>
      </c>
      <c r="S480" s="124">
        <v>26000</v>
      </c>
      <c r="T480" s="124">
        <v>27000</v>
      </c>
      <c r="U480" s="125"/>
      <c r="V480" s="123"/>
      <c r="W480" s="129">
        <v>250</v>
      </c>
      <c r="X480" s="127"/>
    </row>
    <row r="481" spans="1:24" s="7" customFormat="1">
      <c r="A481" s="64" t="s">
        <v>456</v>
      </c>
      <c r="B481" s="36" t="str">
        <f>IFERROR(HYPERLINK(VLOOKUP(A481,ÜRÜNLER!A:C,3,FALSE),VLOOKUP(A481,ÜRÜNLER!A:B,2,FALSE)),"")</f>
        <v>Siemens Ev Tipi Klima Dış Ünite, 24.000BTU, Beyaz</v>
      </c>
      <c r="C481" s="4"/>
      <c r="D481" s="4"/>
      <c r="E481" s="5"/>
      <c r="F481" s="5"/>
      <c r="G481" s="5"/>
      <c r="H481" s="5"/>
      <c r="I481" s="6"/>
      <c r="J481" s="6"/>
      <c r="K481" s="5"/>
      <c r="L481" s="5">
        <v>1</v>
      </c>
      <c r="M481" s="6"/>
      <c r="N481" s="39">
        <f t="shared" si="18"/>
        <v>1</v>
      </c>
      <c r="O481" s="40">
        <v>0</v>
      </c>
      <c r="P481" s="29"/>
      <c r="Q481" s="125" t="s">
        <v>1773</v>
      </c>
      <c r="R481" s="123">
        <v>36000</v>
      </c>
      <c r="S481" s="124">
        <v>37440</v>
      </c>
      <c r="T481" s="124">
        <v>38880</v>
      </c>
      <c r="U481" s="125"/>
      <c r="V481" s="123"/>
      <c r="W481" s="129"/>
      <c r="X481" s="127"/>
    </row>
    <row r="482" spans="1:24" s="7" customFormat="1">
      <c r="A482" s="97" t="s">
        <v>1468</v>
      </c>
      <c r="B482" s="36" t="str">
        <f>IFERROR(HYPERLINK(VLOOKUP(A482,ÜRÜNLER!A:C,3,FALSE),VLOOKUP(A482,ÜRÜNLER!A:B,2,FALSE)),"")</f>
        <v>Siemens Ev Tipi Klima İç Ünite, 24.000BTU, Beyaz</v>
      </c>
      <c r="C482" s="4">
        <v>3</v>
      </c>
      <c r="D482" s="4"/>
      <c r="E482" s="5"/>
      <c r="F482" s="5"/>
      <c r="G482" s="5"/>
      <c r="H482" s="5"/>
      <c r="I482" s="6"/>
      <c r="J482" s="6"/>
      <c r="K482" s="5"/>
      <c r="L482" s="5"/>
      <c r="M482" s="6"/>
      <c r="N482" s="39">
        <f t="shared" si="18"/>
        <v>3</v>
      </c>
      <c r="O482" s="40">
        <v>0</v>
      </c>
      <c r="P482" s="29"/>
      <c r="Q482" s="125">
        <v>30075.909952049711</v>
      </c>
      <c r="R482" s="144">
        <v>35000</v>
      </c>
      <c r="S482" s="124">
        <v>36400</v>
      </c>
      <c r="T482" s="124">
        <v>37800</v>
      </c>
      <c r="U482" s="125"/>
      <c r="V482" s="123"/>
      <c r="W482" s="129">
        <v>250</v>
      </c>
      <c r="X482" s="127"/>
    </row>
    <row r="483" spans="1:24" s="7" customFormat="1">
      <c r="A483" s="97" t="s">
        <v>1469</v>
      </c>
      <c r="B483" s="36" t="str">
        <f>IFERROR(HYPERLINK(VLOOKUP(A483,ÜRÜNLER!A:C,3,FALSE),VLOOKUP(A483,ÜRÜNLER!A:B,2,FALSE)),"")</f>
        <v>Siemens Ev Tipi Klima Dış Ünite, 24.000BTU, Beyaz</v>
      </c>
      <c r="C483" s="4">
        <v>3</v>
      </c>
      <c r="D483" s="4"/>
      <c r="E483" s="5"/>
      <c r="F483" s="5"/>
      <c r="G483" s="5"/>
      <c r="H483" s="5"/>
      <c r="I483" s="6"/>
      <c r="J483" s="6"/>
      <c r="K483" s="5"/>
      <c r="L483" s="5"/>
      <c r="M483" s="6"/>
      <c r="N483" s="39">
        <f t="shared" si="18"/>
        <v>3</v>
      </c>
      <c r="O483" s="40">
        <v>0</v>
      </c>
      <c r="P483" s="29"/>
      <c r="Q483" s="125">
        <v>45113.864928074559</v>
      </c>
      <c r="R483" s="144">
        <v>50000</v>
      </c>
      <c r="S483" s="124">
        <v>52000</v>
      </c>
      <c r="T483" s="124">
        <v>54000</v>
      </c>
      <c r="U483" s="125"/>
      <c r="V483" s="123"/>
      <c r="W483" s="129"/>
      <c r="X483" s="127"/>
    </row>
    <row r="484" spans="1:24">
      <c r="A484" s="69" t="s">
        <v>1844</v>
      </c>
      <c r="B484" s="36" t="str">
        <f>IFERROR(HYPERLINK(VLOOKUP(A484,ÜRÜNLER!A:C,3,FALSE),VLOOKUP(A484,ÜRÜNLER!A:B,2,FALSE)),"")</f>
        <v/>
      </c>
      <c r="C484" s="4"/>
      <c r="D484" s="4"/>
      <c r="E484" s="5"/>
      <c r="F484" s="5"/>
      <c r="G484" s="5"/>
      <c r="H484" s="5"/>
      <c r="I484" s="6"/>
      <c r="J484" s="6"/>
      <c r="K484" s="5"/>
      <c r="L484" s="5"/>
      <c r="M484" s="6"/>
      <c r="N484" s="39"/>
      <c r="O484" s="40">
        <v>0</v>
      </c>
      <c r="P484" s="29"/>
      <c r="R484" s="143"/>
      <c r="S484" s="124"/>
      <c r="T484" s="124"/>
      <c r="U484" s="125"/>
      <c r="V484" s="123"/>
      <c r="W484" s="129"/>
    </row>
    <row r="485" spans="1:24">
      <c r="A485" s="64" t="s">
        <v>1307</v>
      </c>
      <c r="B485" s="36" t="str">
        <f>IFERROR(HYPERLINK(VLOOKUP(A485,ÜRÜNLER!A:C,3,FALSE),VLOOKUP(A485,ÜRÜNLER!A:B,2,FALSE)),"")</f>
        <v>SHAZA Akım Korumalı Akıllı Priz (Beyaz)</v>
      </c>
      <c r="C485" s="4"/>
      <c r="D485" s="4"/>
      <c r="E485" s="5"/>
      <c r="F485" s="5"/>
      <c r="G485" s="5"/>
      <c r="H485" s="5"/>
      <c r="I485" s="6">
        <v>1</v>
      </c>
      <c r="J485" s="6">
        <v>3</v>
      </c>
      <c r="K485" s="5"/>
      <c r="L485" s="5"/>
      <c r="M485" s="6"/>
      <c r="N485" s="39">
        <f t="shared" ref="N485:N493" si="19">M485+K485+L485+J485+I485+H485+G485+F485+E485+D485+C485</f>
        <v>4</v>
      </c>
      <c r="O485" s="40">
        <v>0</v>
      </c>
      <c r="P485" s="94" t="s">
        <v>1536</v>
      </c>
      <c r="Q485" s="125">
        <v>520</v>
      </c>
      <c r="R485" s="131">
        <v>1100</v>
      </c>
      <c r="S485" s="124">
        <v>1144</v>
      </c>
      <c r="T485" s="124">
        <v>1188</v>
      </c>
      <c r="U485" s="125"/>
      <c r="V485" s="123"/>
      <c r="W485" s="140">
        <v>100</v>
      </c>
    </row>
    <row r="486" spans="1:24">
      <c r="A486" s="64" t="s">
        <v>1308</v>
      </c>
      <c r="B486" s="36" t="str">
        <f>IFERROR(HYPERLINK(VLOOKUP(A486,ÜRÜNLER!A:C,3,FALSE),VLOOKUP(A486,ÜRÜNLER!A:B,2,FALSE)),"")</f>
        <v>SHAZA Akım Korumalı Üçlü Priz (Beyaz)</v>
      </c>
      <c r="C486" s="4"/>
      <c r="D486" s="4"/>
      <c r="E486" s="5"/>
      <c r="F486" s="5"/>
      <c r="G486" s="5"/>
      <c r="H486" s="5"/>
      <c r="I486" s="6">
        <v>5</v>
      </c>
      <c r="J486" s="6">
        <v>10</v>
      </c>
      <c r="K486" s="5">
        <v>29</v>
      </c>
      <c r="L486" s="5"/>
      <c r="M486" s="6">
        <v>18</v>
      </c>
      <c r="N486" s="39">
        <f t="shared" si="19"/>
        <v>62</v>
      </c>
      <c r="O486" s="40">
        <v>0</v>
      </c>
      <c r="P486" s="94" t="s">
        <v>1536</v>
      </c>
      <c r="Q486" s="125">
        <v>520</v>
      </c>
      <c r="R486" s="146">
        <v>1100</v>
      </c>
      <c r="S486" s="124">
        <v>1144</v>
      </c>
      <c r="T486" s="124">
        <v>1188</v>
      </c>
      <c r="U486" s="125"/>
      <c r="V486" s="123"/>
      <c r="W486" s="140">
        <v>100</v>
      </c>
    </row>
    <row r="487" spans="1:24">
      <c r="A487" s="64" t="s">
        <v>1476</v>
      </c>
      <c r="B487" s="36" t="str">
        <f>IFERROR(HYPERLINK(VLOOKUP(A487,ÜRÜNLER!A:C,3,FALSE),VLOOKUP(A487,ÜRÜNLER!A:B,2,FALSE)),"")</f>
        <v>Philips 50" 4K Ambilight LED TV (Titan OS) (50PUS8009/62)</v>
      </c>
      <c r="E487" s="5"/>
      <c r="F487" s="5"/>
      <c r="G487" s="5">
        <v>1</v>
      </c>
      <c r="H487" s="5"/>
      <c r="I487" s="6">
        <v>1</v>
      </c>
      <c r="J487" s="6"/>
      <c r="K487" s="5"/>
      <c r="L487" s="5"/>
      <c r="M487" s="6"/>
      <c r="N487" s="39">
        <f t="shared" si="19"/>
        <v>2</v>
      </c>
      <c r="O487" s="40">
        <v>0</v>
      </c>
      <c r="P487" s="94" t="s">
        <v>1536</v>
      </c>
      <c r="R487" s="131">
        <v>28000</v>
      </c>
      <c r="S487" s="124">
        <v>29120</v>
      </c>
      <c r="T487" s="124">
        <v>30240</v>
      </c>
      <c r="U487" s="125"/>
      <c r="V487" s="123"/>
      <c r="W487" s="129">
        <v>250</v>
      </c>
    </row>
    <row r="488" spans="1:24">
      <c r="A488" s="64" t="s">
        <v>1845</v>
      </c>
      <c r="B488" s="36" t="str">
        <f>IFERROR(HYPERLINK(VLOOKUP(A488,ÜRÜNLER!A:C,3,FALSE),VLOOKUP(A488,ÜRÜNLER!A:B,2,FALSE)),"")</f>
        <v/>
      </c>
      <c r="E488" s="5"/>
      <c r="F488" s="5"/>
      <c r="G488" s="5">
        <v>2</v>
      </c>
      <c r="H488" s="5"/>
      <c r="I488" s="6"/>
      <c r="J488" s="6"/>
      <c r="K488" s="5"/>
      <c r="L488" s="5"/>
      <c r="M488" s="6"/>
      <c r="N488" s="39">
        <f t="shared" si="19"/>
        <v>2</v>
      </c>
      <c r="O488" s="40">
        <v>0</v>
      </c>
      <c r="P488" s="94" t="s">
        <v>1536</v>
      </c>
      <c r="R488" s="131">
        <v>30000</v>
      </c>
      <c r="S488" s="124">
        <v>31200</v>
      </c>
      <c r="T488" s="124">
        <v>32400</v>
      </c>
      <c r="U488" s="125"/>
      <c r="V488" s="123"/>
      <c r="W488" s="129">
        <v>250</v>
      </c>
    </row>
    <row r="489" spans="1:24">
      <c r="A489" s="64" t="s">
        <v>1471</v>
      </c>
      <c r="B489" s="36" t="str">
        <f>IFERROR(HYPERLINK(VLOOKUP(A489,ÜRÜNLER!A:C,3,FALSE),VLOOKUP(A489,ÜRÜNLER!A:B,2,FALSE)),"")</f>
        <v>Philips 50" 4K Ambilight LED TV (Android) (50PUS8057/62)</v>
      </c>
      <c r="E489" s="5"/>
      <c r="F489" s="5"/>
      <c r="G489" s="5">
        <v>1</v>
      </c>
      <c r="H489" s="5"/>
      <c r="I489" s="6"/>
      <c r="J489" s="6"/>
      <c r="K489" s="5"/>
      <c r="L489" s="5"/>
      <c r="M489" s="6"/>
      <c r="N489" s="39">
        <f t="shared" si="19"/>
        <v>1</v>
      </c>
      <c r="O489" s="40">
        <v>0</v>
      </c>
      <c r="P489" s="94" t="s">
        <v>1536</v>
      </c>
      <c r="R489" s="131">
        <v>28000</v>
      </c>
      <c r="S489" s="124">
        <v>29120</v>
      </c>
      <c r="T489" s="124">
        <v>30240</v>
      </c>
      <c r="U489" s="125"/>
      <c r="V489" s="123"/>
      <c r="W489" s="129">
        <v>250</v>
      </c>
    </row>
    <row r="490" spans="1:24">
      <c r="A490" s="64" t="s">
        <v>1653</v>
      </c>
      <c r="B490" s="36" t="str">
        <f>IFERROR(HYPERLINK(VLOOKUP(A490,ÜRÜNLER!A:C,3,FALSE),VLOOKUP(A490,ÜRÜNLER!A:B,2,FALSE)),"")</f>
        <v>Philips 55" 4K Ambilight LED TV (Titan OS) (55PUS8349/62)</v>
      </c>
      <c r="E490" s="5"/>
      <c r="F490" s="5"/>
      <c r="G490" s="5"/>
      <c r="H490" s="5"/>
      <c r="I490" s="6"/>
      <c r="J490" s="6"/>
      <c r="K490" s="5"/>
      <c r="L490" s="5"/>
      <c r="M490" s="6"/>
      <c r="N490" s="39">
        <f t="shared" si="19"/>
        <v>0</v>
      </c>
      <c r="O490" s="40">
        <v>0</v>
      </c>
      <c r="P490" s="94" t="s">
        <v>1536</v>
      </c>
      <c r="R490" s="131">
        <v>34000</v>
      </c>
      <c r="S490" s="124">
        <v>35360</v>
      </c>
      <c r="T490" s="124">
        <v>36720</v>
      </c>
      <c r="U490" s="125"/>
      <c r="V490" s="123"/>
      <c r="W490" s="129">
        <v>250</v>
      </c>
    </row>
    <row r="491" spans="1:24">
      <c r="A491" s="64" t="s">
        <v>1472</v>
      </c>
      <c r="B491" s="36" t="str">
        <f>IFERROR(HYPERLINK(VLOOKUP(A491,ÜRÜNLER!A:C,3,FALSE),VLOOKUP(A491,ÜRÜNLER!A:B,2,FALSE)),"")</f>
        <v>Philips 55" 4K Ambilight LED TV (Smart) (55PUS8118/62)</v>
      </c>
      <c r="E491" s="5"/>
      <c r="F491" s="5"/>
      <c r="G491" s="5">
        <v>1</v>
      </c>
      <c r="H491" s="5"/>
      <c r="I491" s="6"/>
      <c r="J491" s="6"/>
      <c r="K491" s="5"/>
      <c r="L491" s="5"/>
      <c r="M491" s="6"/>
      <c r="N491" s="39">
        <f t="shared" si="19"/>
        <v>1</v>
      </c>
      <c r="O491" s="40">
        <v>0</v>
      </c>
      <c r="P491" s="94" t="s">
        <v>1536</v>
      </c>
      <c r="R491" s="131">
        <v>34000</v>
      </c>
      <c r="S491" s="124">
        <v>35360</v>
      </c>
      <c r="T491" s="124">
        <v>36720</v>
      </c>
      <c r="U491" s="125"/>
      <c r="V491" s="123"/>
      <c r="W491" s="129">
        <v>250</v>
      </c>
    </row>
    <row r="492" spans="1:24">
      <c r="A492" s="64" t="s">
        <v>1846</v>
      </c>
      <c r="B492" s="36" t="str">
        <f>IFERROR(HYPERLINK(VLOOKUP(A492,ÜRÜNLER!A:C,3,FALSE),VLOOKUP(A492,ÜRÜNLER!A:B,2,FALSE)),"")</f>
        <v/>
      </c>
      <c r="E492" s="5"/>
      <c r="F492" s="5"/>
      <c r="G492" s="5">
        <v>1</v>
      </c>
      <c r="H492" s="5"/>
      <c r="I492" s="6"/>
      <c r="J492" s="6"/>
      <c r="K492" s="5"/>
      <c r="L492" s="5"/>
      <c r="M492" s="6"/>
      <c r="N492" s="39">
        <f t="shared" si="19"/>
        <v>1</v>
      </c>
      <c r="O492" s="40">
        <v>0</v>
      </c>
      <c r="P492" s="94" t="s">
        <v>1536</v>
      </c>
      <c r="R492" s="131">
        <v>55000</v>
      </c>
      <c r="S492" s="124">
        <v>57200</v>
      </c>
      <c r="T492" s="124">
        <v>59400</v>
      </c>
      <c r="U492" s="125"/>
      <c r="V492" s="123"/>
      <c r="W492" s="129">
        <v>250</v>
      </c>
    </row>
    <row r="493" spans="1:24">
      <c r="A493" s="64" t="s">
        <v>1474</v>
      </c>
      <c r="B493" s="36" t="str">
        <f>IFERROR(HYPERLINK(VLOOKUP(A493,ÜRÜNLER!A:C,3,FALSE),VLOOKUP(A493,ÜRÜNLER!A:B,2,FALSE)),"")</f>
        <v>Philips 65" 4K Ambilight LED TV (65PUS8548/62) (Android)</v>
      </c>
      <c r="E493" s="5"/>
      <c r="F493" s="5"/>
      <c r="G493" s="5">
        <v>1</v>
      </c>
      <c r="H493" s="5"/>
      <c r="I493" s="6"/>
      <c r="J493" s="6"/>
      <c r="K493" s="5"/>
      <c r="L493" s="5">
        <v>1</v>
      </c>
      <c r="M493" s="6"/>
      <c r="N493" s="39">
        <f t="shared" si="19"/>
        <v>2</v>
      </c>
      <c r="O493" s="40">
        <v>0</v>
      </c>
      <c r="P493" s="94" t="s">
        <v>1536</v>
      </c>
      <c r="R493" s="131">
        <v>50000</v>
      </c>
      <c r="S493" s="124">
        <v>52000</v>
      </c>
      <c r="T493" s="124">
        <v>54000</v>
      </c>
      <c r="U493" s="125"/>
      <c r="V493" s="123"/>
      <c r="W493" s="129">
        <v>250</v>
      </c>
    </row>
  </sheetData>
  <autoFilter ref="A1:Y493" xr:uid="{B1627104-0579-4620-9E9B-E63FA435C55F}"/>
  <conditionalFormatting sqref="A1">
    <cfRule type="duplicateValues" dxfId="17" priority="2"/>
  </conditionalFormatting>
  <conditionalFormatting sqref="A2:A1048576">
    <cfRule type="duplicateValues" dxfId="16" priority="3"/>
  </conditionalFormatting>
  <conditionalFormatting sqref="B1">
    <cfRule type="duplicateValues" dxfId="1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3EB6-1FEA-445F-B8BA-5E19BD63F083}">
  <dimension ref="A2:AE32"/>
  <sheetViews>
    <sheetView showGridLines="0" zoomScale="30" zoomScaleNormal="30" workbookViewId="0">
      <selection activeCell="A31" sqref="A31"/>
    </sheetView>
  </sheetViews>
  <sheetFormatPr defaultColWidth="9.140625" defaultRowHeight="34.5"/>
  <cols>
    <col min="1" max="1" width="5.140625" style="113" customWidth="1"/>
    <col min="2" max="2" width="2.28515625" style="112" customWidth="1"/>
    <col min="3" max="3" width="79.5703125" style="112" customWidth="1"/>
    <col min="4" max="4" width="79.140625" style="112" customWidth="1"/>
    <col min="5" max="5" width="125.140625" style="112" customWidth="1"/>
    <col min="6" max="6" width="5.42578125" style="112" bestFit="1" customWidth="1"/>
    <col min="7" max="7" width="9.140625" style="112" hidden="1" customWidth="1"/>
    <col min="8" max="8" width="9.140625" style="112"/>
    <col min="9" max="9" width="60.5703125" style="112" customWidth="1"/>
    <col min="10" max="10" width="97.28515625" style="112" customWidth="1"/>
    <col min="11" max="11" width="92.42578125" style="112" customWidth="1"/>
    <col min="12" max="16384" width="9.140625" style="112"/>
  </cols>
  <sheetData>
    <row r="2" spans="3:11" ht="35.25" thickBot="1"/>
    <row r="3" spans="3:11">
      <c r="C3" s="156" t="s">
        <v>1829</v>
      </c>
      <c r="D3" s="171" t="s">
        <v>1830</v>
      </c>
      <c r="E3" s="172"/>
      <c r="I3" s="156" t="s">
        <v>1831</v>
      </c>
      <c r="J3" s="177" t="s">
        <v>461</v>
      </c>
      <c r="K3" s="178"/>
    </row>
    <row r="4" spans="3:11" ht="35.25" thickBot="1">
      <c r="C4" s="157"/>
      <c r="D4" s="173"/>
      <c r="E4" s="174"/>
      <c r="I4" s="157"/>
      <c r="J4" s="179"/>
      <c r="K4" s="180"/>
    </row>
    <row r="5" spans="3:11">
      <c r="C5" s="157"/>
      <c r="D5" s="173"/>
      <c r="E5" s="174"/>
      <c r="I5" s="157"/>
      <c r="J5" s="181" t="s">
        <v>1774</v>
      </c>
      <c r="K5" s="182"/>
    </row>
    <row r="6" spans="3:11">
      <c r="C6" s="157"/>
      <c r="D6" s="173"/>
      <c r="E6" s="174"/>
      <c r="I6" s="157"/>
      <c r="J6" s="183"/>
      <c r="K6" s="184"/>
    </row>
    <row r="7" spans="3:11">
      <c r="C7" s="157"/>
      <c r="D7" s="173"/>
      <c r="E7" s="174"/>
      <c r="I7" s="157"/>
      <c r="J7" s="183"/>
      <c r="K7" s="184"/>
    </row>
    <row r="8" spans="3:11" ht="35.25" thickBot="1">
      <c r="C8" s="157"/>
      <c r="D8" s="173"/>
      <c r="E8" s="174"/>
      <c r="I8" s="157"/>
      <c r="J8" s="185"/>
      <c r="K8" s="186"/>
    </row>
    <row r="9" spans="3:11">
      <c r="C9" s="157"/>
      <c r="D9" s="173"/>
      <c r="E9" s="174"/>
      <c r="I9" s="157"/>
      <c r="J9" s="187" t="s">
        <v>1832</v>
      </c>
      <c r="K9" s="188"/>
    </row>
    <row r="10" spans="3:11" ht="35.25" thickBot="1">
      <c r="C10" s="158"/>
      <c r="D10" s="175"/>
      <c r="E10" s="176"/>
      <c r="I10" s="157"/>
      <c r="J10" s="189"/>
      <c r="K10" s="190"/>
    </row>
    <row r="11" spans="3:11">
      <c r="I11" s="157"/>
      <c r="J11" s="189"/>
      <c r="K11" s="190"/>
    </row>
    <row r="12" spans="3:11" ht="35.25" thickBot="1">
      <c r="I12" s="157"/>
      <c r="J12" s="189"/>
      <c r="K12" s="190"/>
    </row>
    <row r="13" spans="3:11">
      <c r="C13" s="156" t="s">
        <v>1833</v>
      </c>
      <c r="D13" s="171" t="s">
        <v>1834</v>
      </c>
      <c r="E13" s="172"/>
      <c r="I13" s="157"/>
      <c r="J13" s="189"/>
      <c r="K13" s="190"/>
    </row>
    <row r="14" spans="3:11" ht="35.25" thickBot="1">
      <c r="C14" s="157"/>
      <c r="D14" s="173"/>
      <c r="E14" s="174"/>
      <c r="I14" s="158"/>
      <c r="J14" s="191"/>
      <c r="K14" s="192"/>
    </row>
    <row r="15" spans="3:11">
      <c r="C15" s="157"/>
      <c r="D15" s="173"/>
      <c r="E15" s="174"/>
    </row>
    <row r="16" spans="3:11" ht="35.25" thickBot="1">
      <c r="C16" s="157"/>
      <c r="D16" s="173"/>
      <c r="E16" s="174"/>
    </row>
    <row r="17" spans="3:31">
      <c r="C17" s="157"/>
      <c r="D17" s="173"/>
      <c r="E17" s="174"/>
      <c r="I17" s="156" t="s">
        <v>1835</v>
      </c>
      <c r="J17" s="177" t="s">
        <v>462</v>
      </c>
      <c r="K17" s="178"/>
    </row>
    <row r="18" spans="3:31" ht="35.25" thickBot="1">
      <c r="C18" s="157"/>
      <c r="D18" s="173"/>
      <c r="E18" s="174"/>
      <c r="I18" s="157"/>
      <c r="J18" s="179"/>
      <c r="K18" s="180"/>
    </row>
    <row r="19" spans="3:31">
      <c r="C19" s="157"/>
      <c r="D19" s="173"/>
      <c r="E19" s="174"/>
      <c r="I19" s="157"/>
      <c r="J19" s="150" t="s">
        <v>1775</v>
      </c>
      <c r="K19" s="151"/>
    </row>
    <row r="20" spans="3:31" ht="35.25" thickBot="1">
      <c r="C20" s="158"/>
      <c r="D20" s="175"/>
      <c r="E20" s="176"/>
      <c r="I20" s="157"/>
      <c r="J20" s="152"/>
      <c r="K20" s="153"/>
    </row>
    <row r="21" spans="3:31">
      <c r="I21" s="157"/>
      <c r="J21" s="152"/>
      <c r="K21" s="153"/>
    </row>
    <row r="22" spans="3:31" ht="35.25" thickBot="1">
      <c r="I22" s="157"/>
      <c r="J22" s="154"/>
      <c r="K22" s="155"/>
    </row>
    <row r="23" spans="3:31">
      <c r="C23" s="156" t="s">
        <v>1836</v>
      </c>
      <c r="D23" s="159" t="s">
        <v>1837</v>
      </c>
      <c r="E23" s="160"/>
      <c r="I23" s="157"/>
      <c r="J23" s="165" t="s">
        <v>1838</v>
      </c>
      <c r="K23" s="166"/>
    </row>
    <row r="24" spans="3:31">
      <c r="C24" s="157"/>
      <c r="D24" s="161"/>
      <c r="E24" s="162"/>
      <c r="I24" s="157"/>
      <c r="J24" s="167"/>
      <c r="K24" s="168"/>
    </row>
    <row r="25" spans="3:31">
      <c r="C25" s="157"/>
      <c r="D25" s="161"/>
      <c r="E25" s="162"/>
      <c r="I25" s="157"/>
      <c r="J25" s="167"/>
      <c r="K25" s="168"/>
      <c r="AE25" s="30"/>
    </row>
    <row r="26" spans="3:31">
      <c r="C26" s="157"/>
      <c r="D26" s="161"/>
      <c r="E26" s="162"/>
      <c r="I26" s="157"/>
      <c r="J26" s="167"/>
      <c r="K26" s="168"/>
      <c r="AE26" s="30"/>
    </row>
    <row r="27" spans="3:31">
      <c r="C27" s="157"/>
      <c r="D27" s="161"/>
      <c r="E27" s="162"/>
      <c r="I27" s="157"/>
      <c r="J27" s="167"/>
      <c r="K27" s="168"/>
      <c r="AE27" s="30"/>
    </row>
    <row r="28" spans="3:31" ht="35.25" thickBot="1">
      <c r="C28" s="157"/>
      <c r="D28" s="161"/>
      <c r="E28" s="162"/>
      <c r="I28" s="158"/>
      <c r="J28" s="169"/>
      <c r="K28" s="170"/>
      <c r="AE28" s="30"/>
    </row>
    <row r="29" spans="3:31">
      <c r="C29" s="157"/>
      <c r="D29" s="161"/>
      <c r="E29" s="162"/>
      <c r="AE29" s="30"/>
    </row>
    <row r="30" spans="3:31" ht="35.25" thickBot="1">
      <c r="C30" s="158"/>
      <c r="D30" s="163"/>
      <c r="E30" s="164"/>
      <c r="AE30" s="30"/>
    </row>
    <row r="31" spans="3:31">
      <c r="AB31" s="30"/>
    </row>
    <row r="32" spans="3:31">
      <c r="AB32" s="30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54"/>
  <sheetViews>
    <sheetView topLeftCell="A624" workbookViewId="0">
      <selection activeCell="A655" sqref="A655"/>
    </sheetView>
  </sheetViews>
  <sheetFormatPr defaultColWidth="9.140625" defaultRowHeight="15"/>
  <cols>
    <col min="1" max="1" width="13.7109375" style="25" customWidth="1"/>
    <col min="2" max="2" width="72.5703125" style="25" customWidth="1"/>
    <col min="3" max="3" width="139.7109375" style="26" customWidth="1"/>
    <col min="4" max="4" width="24.7109375" style="25" customWidth="1"/>
    <col min="5" max="16384" width="9.140625" style="25"/>
  </cols>
  <sheetData>
    <row r="1" spans="1:5">
      <c r="A1" s="31" t="s">
        <v>839</v>
      </c>
      <c r="B1" s="31" t="s">
        <v>840</v>
      </c>
      <c r="C1" s="32" t="s">
        <v>841</v>
      </c>
      <c r="D1" s="32" t="s">
        <v>1562</v>
      </c>
      <c r="E1" s="32" t="s">
        <v>1743</v>
      </c>
    </row>
    <row r="2" spans="1:5">
      <c r="A2" s="25" t="s">
        <v>1476</v>
      </c>
      <c r="B2" s="19" t="s">
        <v>1549</v>
      </c>
      <c r="C2" s="22" t="s">
        <v>1497</v>
      </c>
      <c r="D2" s="25" t="s">
        <v>1563</v>
      </c>
      <c r="E2" s="25" t="s">
        <v>1744</v>
      </c>
    </row>
    <row r="3" spans="1:5">
      <c r="A3" s="26" t="s">
        <v>1653</v>
      </c>
      <c r="B3" s="19" t="s">
        <v>1654</v>
      </c>
      <c r="C3" s="22" t="s">
        <v>1655</v>
      </c>
      <c r="D3" s="25" t="s">
        <v>1563</v>
      </c>
      <c r="E3" s="25" t="s">
        <v>1744</v>
      </c>
    </row>
    <row r="4" spans="1:5">
      <c r="A4" s="18" t="s">
        <v>443</v>
      </c>
      <c r="B4" s="19" t="s">
        <v>829</v>
      </c>
      <c r="C4" s="20" t="s">
        <v>1293</v>
      </c>
      <c r="D4" s="25" t="s">
        <v>1564</v>
      </c>
      <c r="E4" s="25" t="s">
        <v>1745</v>
      </c>
    </row>
    <row r="5" spans="1:5">
      <c r="A5" s="18" t="s">
        <v>444</v>
      </c>
      <c r="B5" s="19" t="s">
        <v>830</v>
      </c>
      <c r="C5" s="20" t="s">
        <v>1293</v>
      </c>
      <c r="D5" s="25" t="s">
        <v>1564</v>
      </c>
      <c r="E5" s="25" t="s">
        <v>1745</v>
      </c>
    </row>
    <row r="6" spans="1:5">
      <c r="A6" s="18" t="s">
        <v>445</v>
      </c>
      <c r="B6" s="19" t="s">
        <v>831</v>
      </c>
      <c r="C6" s="20" t="s">
        <v>1294</v>
      </c>
      <c r="D6" s="25" t="s">
        <v>1564</v>
      </c>
      <c r="E6" s="25" t="s">
        <v>1745</v>
      </c>
    </row>
    <row r="7" spans="1:5">
      <c r="A7" s="18" t="s">
        <v>447</v>
      </c>
      <c r="B7" s="19" t="s">
        <v>831</v>
      </c>
      <c r="C7" s="20" t="s">
        <v>1294</v>
      </c>
      <c r="D7" s="25" t="s">
        <v>1564</v>
      </c>
      <c r="E7" s="25" t="s">
        <v>1745</v>
      </c>
    </row>
    <row r="8" spans="1:5">
      <c r="A8" s="18" t="s">
        <v>449</v>
      </c>
      <c r="B8" s="19" t="s">
        <v>833</v>
      </c>
      <c r="C8" s="20" t="s">
        <v>1295</v>
      </c>
      <c r="D8" s="25" t="s">
        <v>1564</v>
      </c>
      <c r="E8" s="25" t="s">
        <v>1745</v>
      </c>
    </row>
    <row r="9" spans="1:5">
      <c r="A9" s="18" t="s">
        <v>446</v>
      </c>
      <c r="B9" s="19" t="s">
        <v>832</v>
      </c>
      <c r="C9" s="20" t="s">
        <v>1294</v>
      </c>
      <c r="D9" s="25" t="s">
        <v>1564</v>
      </c>
      <c r="E9" s="25" t="s">
        <v>1745</v>
      </c>
    </row>
    <row r="10" spans="1:5">
      <c r="A10" s="18" t="s">
        <v>448</v>
      </c>
      <c r="B10" s="19" t="s">
        <v>832</v>
      </c>
      <c r="C10" s="20" t="s">
        <v>1294</v>
      </c>
      <c r="D10" s="25" t="s">
        <v>1564</v>
      </c>
      <c r="E10" s="25" t="s">
        <v>1745</v>
      </c>
    </row>
    <row r="11" spans="1:5">
      <c r="A11" s="18" t="s">
        <v>450</v>
      </c>
      <c r="B11" s="19" t="s">
        <v>832</v>
      </c>
      <c r="C11" s="20" t="s">
        <v>1295</v>
      </c>
      <c r="D11" s="25" t="s">
        <v>1564</v>
      </c>
      <c r="E11" s="25" t="s">
        <v>1745</v>
      </c>
    </row>
    <row r="12" spans="1:5">
      <c r="A12" s="18" t="s">
        <v>451</v>
      </c>
      <c r="B12" s="19" t="s">
        <v>834</v>
      </c>
      <c r="C12" s="20" t="s">
        <v>1296</v>
      </c>
      <c r="D12" s="25" t="s">
        <v>1564</v>
      </c>
      <c r="E12" s="25" t="s">
        <v>1745</v>
      </c>
    </row>
    <row r="13" spans="1:5">
      <c r="A13" s="16" t="s">
        <v>1746</v>
      </c>
      <c r="B13" s="19" t="s">
        <v>834</v>
      </c>
      <c r="C13" s="26" t="s">
        <v>1747</v>
      </c>
      <c r="D13" s="25" t="s">
        <v>1564</v>
      </c>
      <c r="E13" s="25" t="s">
        <v>1745</v>
      </c>
    </row>
    <row r="14" spans="1:5">
      <c r="A14" s="18" t="s">
        <v>453</v>
      </c>
      <c r="B14" s="19" t="s">
        <v>836</v>
      </c>
      <c r="C14" s="20" t="s">
        <v>1297</v>
      </c>
      <c r="D14" s="25" t="s">
        <v>1564</v>
      </c>
      <c r="E14" s="25" t="s">
        <v>1745</v>
      </c>
    </row>
    <row r="15" spans="1:5">
      <c r="A15" s="18" t="s">
        <v>452</v>
      </c>
      <c r="B15" s="19" t="s">
        <v>835</v>
      </c>
      <c r="C15" s="20" t="s">
        <v>1296</v>
      </c>
      <c r="D15" s="25" t="s">
        <v>1564</v>
      </c>
      <c r="E15" s="25" t="s">
        <v>1745</v>
      </c>
    </row>
    <row r="16" spans="1:5">
      <c r="A16" s="16" t="s">
        <v>1748</v>
      </c>
      <c r="B16" s="19" t="s">
        <v>835</v>
      </c>
      <c r="C16" s="26" t="s">
        <v>1749</v>
      </c>
      <c r="D16" s="25" t="s">
        <v>1564</v>
      </c>
      <c r="E16" s="25" t="s">
        <v>1745</v>
      </c>
    </row>
    <row r="17" spans="1:5">
      <c r="A17" s="18" t="s">
        <v>454</v>
      </c>
      <c r="B17" s="19" t="s">
        <v>835</v>
      </c>
      <c r="C17" s="20" t="s">
        <v>1297</v>
      </c>
      <c r="D17" s="25" t="s">
        <v>1564</v>
      </c>
      <c r="E17" s="25" t="s">
        <v>1745</v>
      </c>
    </row>
    <row r="18" spans="1:5">
      <c r="A18" s="18" t="s">
        <v>455</v>
      </c>
      <c r="B18" s="19" t="s">
        <v>837</v>
      </c>
      <c r="C18" s="20" t="s">
        <v>1298</v>
      </c>
      <c r="D18" s="25" t="s">
        <v>1564</v>
      </c>
      <c r="E18" s="25" t="s">
        <v>1745</v>
      </c>
    </row>
    <row r="19" spans="1:5">
      <c r="A19" s="18" t="s">
        <v>1468</v>
      </c>
      <c r="B19" s="19" t="s">
        <v>837</v>
      </c>
      <c r="C19" s="20" t="s">
        <v>1485</v>
      </c>
      <c r="D19" s="25" t="s">
        <v>1564</v>
      </c>
      <c r="E19" s="25" t="s">
        <v>1745</v>
      </c>
    </row>
    <row r="20" spans="1:5">
      <c r="A20" s="18" t="s">
        <v>456</v>
      </c>
      <c r="B20" s="19" t="s">
        <v>838</v>
      </c>
      <c r="C20" s="20" t="s">
        <v>1298</v>
      </c>
      <c r="D20" s="25" t="s">
        <v>1564</v>
      </c>
      <c r="E20" s="25" t="s">
        <v>1745</v>
      </c>
    </row>
    <row r="21" spans="1:5">
      <c r="A21" s="18" t="s">
        <v>1469</v>
      </c>
      <c r="B21" s="19" t="s">
        <v>838</v>
      </c>
      <c r="C21" s="20" t="s">
        <v>1486</v>
      </c>
      <c r="D21" s="25" t="s">
        <v>1564</v>
      </c>
      <c r="E21" s="25" t="s">
        <v>1745</v>
      </c>
    </row>
    <row r="22" spans="1:5">
      <c r="A22" s="21" t="s">
        <v>203</v>
      </c>
      <c r="B22" s="17" t="s">
        <v>614</v>
      </c>
      <c r="C22" s="20" t="s">
        <v>842</v>
      </c>
      <c r="D22" s="25" t="s">
        <v>1565</v>
      </c>
      <c r="E22" s="25" t="s">
        <v>1745</v>
      </c>
    </row>
    <row r="23" spans="1:5">
      <c r="A23" s="21" t="s">
        <v>205</v>
      </c>
      <c r="B23" s="17" t="s">
        <v>616</v>
      </c>
      <c r="C23" s="20" t="s">
        <v>843</v>
      </c>
      <c r="D23" s="25" t="s">
        <v>1565</v>
      </c>
      <c r="E23" s="25" t="s">
        <v>1745</v>
      </c>
    </row>
    <row r="24" spans="1:5">
      <c r="A24" s="18" t="s">
        <v>204</v>
      </c>
      <c r="B24" s="19" t="s">
        <v>615</v>
      </c>
      <c r="C24" s="20" t="s">
        <v>1066</v>
      </c>
      <c r="D24" s="25" t="s">
        <v>1565</v>
      </c>
      <c r="E24" s="25" t="s">
        <v>1745</v>
      </c>
    </row>
    <row r="25" spans="1:5">
      <c r="A25" s="18" t="s">
        <v>207</v>
      </c>
      <c r="B25" s="19" t="s">
        <v>618</v>
      </c>
      <c r="C25" s="20" t="s">
        <v>1068</v>
      </c>
      <c r="D25" s="25" t="s">
        <v>1565</v>
      </c>
      <c r="E25" s="25" t="s">
        <v>1745</v>
      </c>
    </row>
    <row r="26" spans="1:5">
      <c r="A26" s="18" t="s">
        <v>206</v>
      </c>
      <c r="B26" s="19" t="s">
        <v>617</v>
      </c>
      <c r="C26" s="20" t="s">
        <v>1067</v>
      </c>
      <c r="D26" s="25" t="s">
        <v>1565</v>
      </c>
      <c r="E26" s="25" t="s">
        <v>1745</v>
      </c>
    </row>
    <row r="27" spans="1:5">
      <c r="A27" s="21" t="s">
        <v>209</v>
      </c>
      <c r="B27" s="17" t="s">
        <v>614</v>
      </c>
      <c r="C27" s="20" t="s">
        <v>844</v>
      </c>
      <c r="D27" s="25" t="s">
        <v>1565</v>
      </c>
      <c r="E27" s="25" t="s">
        <v>1745</v>
      </c>
    </row>
    <row r="28" spans="1:5">
      <c r="A28" s="18" t="s">
        <v>208</v>
      </c>
      <c r="B28" s="19" t="s">
        <v>619</v>
      </c>
      <c r="C28" s="20" t="s">
        <v>1069</v>
      </c>
      <c r="D28" s="25" t="s">
        <v>1565</v>
      </c>
      <c r="E28" s="25" t="s">
        <v>1745</v>
      </c>
    </row>
    <row r="29" spans="1:5">
      <c r="A29" s="18" t="s">
        <v>210</v>
      </c>
      <c r="B29" s="19" t="s">
        <v>620</v>
      </c>
      <c r="C29" s="20" t="s">
        <v>1070</v>
      </c>
      <c r="D29" s="25" t="s">
        <v>1565</v>
      </c>
      <c r="E29" s="25" t="s">
        <v>1745</v>
      </c>
    </row>
    <row r="30" spans="1:5">
      <c r="A30" s="18" t="s">
        <v>211</v>
      </c>
      <c r="B30" s="19" t="s">
        <v>621</v>
      </c>
      <c r="C30" s="20" t="s">
        <v>1071</v>
      </c>
      <c r="D30" s="25" t="s">
        <v>1565</v>
      </c>
      <c r="E30" s="25" t="s">
        <v>1745</v>
      </c>
    </row>
    <row r="31" spans="1:5">
      <c r="A31" s="18" t="s">
        <v>212</v>
      </c>
      <c r="B31" s="19" t="s">
        <v>622</v>
      </c>
      <c r="C31" s="20" t="s">
        <v>1072</v>
      </c>
      <c r="D31" s="25" t="s">
        <v>1565</v>
      </c>
      <c r="E31" s="25" t="s">
        <v>1745</v>
      </c>
    </row>
    <row r="32" spans="1:5">
      <c r="A32" s="21" t="s">
        <v>213</v>
      </c>
      <c r="B32" s="17" t="s">
        <v>845</v>
      </c>
      <c r="C32" s="20" t="s">
        <v>846</v>
      </c>
      <c r="D32" s="25" t="s">
        <v>1565</v>
      </c>
      <c r="E32" s="25" t="s">
        <v>1745</v>
      </c>
    </row>
    <row r="33" spans="1:5">
      <c r="A33" s="18" t="s">
        <v>214</v>
      </c>
      <c r="B33" s="19" t="s">
        <v>623</v>
      </c>
      <c r="C33" s="20" t="s">
        <v>1073</v>
      </c>
      <c r="D33" s="25" t="s">
        <v>1565</v>
      </c>
      <c r="E33" s="25" t="s">
        <v>1745</v>
      </c>
    </row>
    <row r="34" spans="1:5">
      <c r="A34" s="18" t="s">
        <v>215</v>
      </c>
      <c r="B34" s="19" t="s">
        <v>624</v>
      </c>
      <c r="C34" s="20" t="s">
        <v>1074</v>
      </c>
      <c r="D34" s="25" t="s">
        <v>1565</v>
      </c>
      <c r="E34" s="25" t="s">
        <v>1745</v>
      </c>
    </row>
    <row r="35" spans="1:5">
      <c r="A35" s="21" t="s">
        <v>216</v>
      </c>
      <c r="B35" s="17" t="s">
        <v>625</v>
      </c>
      <c r="C35" s="20" t="s">
        <v>847</v>
      </c>
      <c r="D35" s="25" t="s">
        <v>1565</v>
      </c>
      <c r="E35" s="25" t="s">
        <v>1745</v>
      </c>
    </row>
    <row r="36" spans="1:5">
      <c r="A36" s="18" t="s">
        <v>217</v>
      </c>
      <c r="B36" s="19" t="s">
        <v>626</v>
      </c>
      <c r="C36" s="20" t="s">
        <v>1075</v>
      </c>
      <c r="D36" s="25" t="s">
        <v>1565</v>
      </c>
      <c r="E36" s="25" t="s">
        <v>1745</v>
      </c>
    </row>
    <row r="37" spans="1:5">
      <c r="A37" s="18" t="s">
        <v>218</v>
      </c>
      <c r="B37" s="19" t="s">
        <v>627</v>
      </c>
      <c r="C37" s="20" t="s">
        <v>1076</v>
      </c>
      <c r="D37" s="25" t="s">
        <v>1566</v>
      </c>
      <c r="E37" s="25" t="s">
        <v>1745</v>
      </c>
    </row>
    <row r="38" spans="1:5">
      <c r="A38" s="18" t="s">
        <v>219</v>
      </c>
      <c r="B38" s="19" t="s">
        <v>627</v>
      </c>
      <c r="C38" s="20" t="s">
        <v>1077</v>
      </c>
      <c r="D38" s="25" t="s">
        <v>1566</v>
      </c>
      <c r="E38" s="25" t="s">
        <v>1745</v>
      </c>
    </row>
    <row r="39" spans="1:5">
      <c r="A39" s="18" t="s">
        <v>386</v>
      </c>
      <c r="B39" s="19" t="s">
        <v>776</v>
      </c>
      <c r="C39" s="20" t="s">
        <v>1246</v>
      </c>
      <c r="D39" s="25" t="s">
        <v>1566</v>
      </c>
      <c r="E39" s="25" t="s">
        <v>1745</v>
      </c>
    </row>
    <row r="40" spans="1:5">
      <c r="A40" s="18" t="s">
        <v>387</v>
      </c>
      <c r="B40" s="19" t="s">
        <v>777</v>
      </c>
      <c r="C40" s="20" t="s">
        <v>1247</v>
      </c>
      <c r="D40" s="25" t="s">
        <v>1566</v>
      </c>
      <c r="E40" s="25" t="s">
        <v>1745</v>
      </c>
    </row>
    <row r="41" spans="1:5">
      <c r="A41" s="18" t="s">
        <v>388</v>
      </c>
      <c r="B41" s="19" t="s">
        <v>778</v>
      </c>
      <c r="C41" s="20" t="s">
        <v>1248</v>
      </c>
      <c r="D41" s="25" t="s">
        <v>1566</v>
      </c>
      <c r="E41" s="25" t="s">
        <v>1745</v>
      </c>
    </row>
    <row r="42" spans="1:5">
      <c r="A42" s="26" t="s">
        <v>1489</v>
      </c>
      <c r="B42" s="19" t="s">
        <v>776</v>
      </c>
      <c r="C42" s="26" t="s">
        <v>1490</v>
      </c>
      <c r="D42" s="25" t="s">
        <v>1566</v>
      </c>
      <c r="E42" s="25" t="s">
        <v>1745</v>
      </c>
    </row>
    <row r="43" spans="1:5">
      <c r="A43" s="18" t="s">
        <v>197</v>
      </c>
      <c r="B43" s="19" t="s">
        <v>611</v>
      </c>
      <c r="C43" s="20" t="s">
        <v>1063</v>
      </c>
      <c r="D43" s="25" t="s">
        <v>1567</v>
      </c>
      <c r="E43" s="25" t="s">
        <v>1745</v>
      </c>
    </row>
    <row r="44" spans="1:5">
      <c r="A44" s="18" t="s">
        <v>198</v>
      </c>
      <c r="B44" s="19" t="s">
        <v>612</v>
      </c>
      <c r="C44" s="20" t="s">
        <v>1064</v>
      </c>
      <c r="D44" s="25" t="s">
        <v>1567</v>
      </c>
      <c r="E44" s="25" t="s">
        <v>1745</v>
      </c>
    </row>
    <row r="45" spans="1:5">
      <c r="A45" s="25" t="s">
        <v>1568</v>
      </c>
      <c r="B45" s="19" t="s">
        <v>1569</v>
      </c>
      <c r="C45" s="26" t="s">
        <v>1570</v>
      </c>
      <c r="D45" s="25" t="s">
        <v>1571</v>
      </c>
      <c r="E45" s="25" t="s">
        <v>1571</v>
      </c>
    </row>
    <row r="46" spans="1:5">
      <c r="A46" s="25" t="s">
        <v>1572</v>
      </c>
      <c r="B46" s="19" t="s">
        <v>1573</v>
      </c>
      <c r="C46" s="26" t="s">
        <v>1574</v>
      </c>
      <c r="D46" s="25" t="s">
        <v>1571</v>
      </c>
      <c r="E46" s="25" t="s">
        <v>1571</v>
      </c>
    </row>
    <row r="47" spans="1:5">
      <c r="A47" s="25" t="s">
        <v>1575</v>
      </c>
      <c r="B47" s="19" t="s">
        <v>1576</v>
      </c>
      <c r="C47" s="26" t="s">
        <v>1577</v>
      </c>
      <c r="D47" s="25" t="s">
        <v>1571</v>
      </c>
      <c r="E47" s="25" t="s">
        <v>1571</v>
      </c>
    </row>
    <row r="48" spans="1:5">
      <c r="A48" s="25" t="s">
        <v>1578</v>
      </c>
      <c r="B48" s="19" t="s">
        <v>1579</v>
      </c>
      <c r="C48" s="26" t="s">
        <v>1580</v>
      </c>
      <c r="D48" s="25" t="s">
        <v>1571</v>
      </c>
      <c r="E48" s="25" t="s">
        <v>1571</v>
      </c>
    </row>
    <row r="49" spans="1:5">
      <c r="A49" s="25" t="s">
        <v>1581</v>
      </c>
      <c r="B49" s="19" t="s">
        <v>1582</v>
      </c>
      <c r="C49" s="26" t="s">
        <v>1583</v>
      </c>
      <c r="D49" s="25" t="s">
        <v>1571</v>
      </c>
      <c r="E49" s="25" t="s">
        <v>1571</v>
      </c>
    </row>
    <row r="50" spans="1:5">
      <c r="A50" s="25" t="s">
        <v>1584</v>
      </c>
      <c r="B50" s="19" t="s">
        <v>1585</v>
      </c>
      <c r="C50" s="26" t="s">
        <v>1586</v>
      </c>
      <c r="D50" s="25" t="s">
        <v>1571</v>
      </c>
      <c r="E50" s="25" t="s">
        <v>1571</v>
      </c>
    </row>
    <row r="51" spans="1:5">
      <c r="A51" s="25" t="s">
        <v>1587</v>
      </c>
      <c r="B51" s="19" t="s">
        <v>1588</v>
      </c>
      <c r="C51" s="26" t="s">
        <v>1589</v>
      </c>
      <c r="D51" s="25" t="s">
        <v>1571</v>
      </c>
      <c r="E51" s="25" t="s">
        <v>1571</v>
      </c>
    </row>
    <row r="52" spans="1:5">
      <c r="A52" s="25" t="s">
        <v>1590</v>
      </c>
      <c r="B52" s="19" t="s">
        <v>1591</v>
      </c>
      <c r="C52" s="26" t="s">
        <v>1592</v>
      </c>
      <c r="D52" s="25" t="s">
        <v>1571</v>
      </c>
      <c r="E52" s="25" t="s">
        <v>1571</v>
      </c>
    </row>
    <row r="53" spans="1:5">
      <c r="A53" s="25" t="s">
        <v>1593</v>
      </c>
      <c r="B53" s="19" t="s">
        <v>1594</v>
      </c>
      <c r="C53" s="26" t="s">
        <v>1595</v>
      </c>
      <c r="D53" s="25" t="s">
        <v>1571</v>
      </c>
      <c r="E53" s="25" t="s">
        <v>1571</v>
      </c>
    </row>
    <row r="54" spans="1:5">
      <c r="A54" s="25" t="s">
        <v>1596</v>
      </c>
      <c r="B54" s="19" t="s">
        <v>1597</v>
      </c>
      <c r="C54" s="26" t="s">
        <v>1598</v>
      </c>
      <c r="D54" s="25" t="s">
        <v>1571</v>
      </c>
      <c r="E54" s="25" t="s">
        <v>1571</v>
      </c>
    </row>
    <row r="55" spans="1:5">
      <c r="A55" s="25" t="s">
        <v>1599</v>
      </c>
      <c r="B55" s="19" t="s">
        <v>1600</v>
      </c>
      <c r="C55" s="26" t="s">
        <v>1601</v>
      </c>
      <c r="D55" s="25" t="s">
        <v>1571</v>
      </c>
      <c r="E55" s="25" t="s">
        <v>1571</v>
      </c>
    </row>
    <row r="56" spans="1:5">
      <c r="A56" s="25" t="s">
        <v>1602</v>
      </c>
      <c r="B56" s="19" t="s">
        <v>1603</v>
      </c>
      <c r="C56" s="26" t="s">
        <v>1604</v>
      </c>
      <c r="D56" s="25" t="s">
        <v>1571</v>
      </c>
      <c r="E56" s="25" t="s">
        <v>1571</v>
      </c>
    </row>
    <row r="57" spans="1:5">
      <c r="A57" s="18" t="s">
        <v>431</v>
      </c>
      <c r="B57" s="17" t="s">
        <v>820</v>
      </c>
      <c r="C57" s="20" t="s">
        <v>1281</v>
      </c>
      <c r="D57" s="25" t="s">
        <v>1605</v>
      </c>
      <c r="E57" s="25" t="s">
        <v>1745</v>
      </c>
    </row>
    <row r="58" spans="1:5">
      <c r="A58" s="18" t="s">
        <v>432</v>
      </c>
      <c r="B58" s="17" t="s">
        <v>821</v>
      </c>
      <c r="C58" s="20" t="s">
        <v>1282</v>
      </c>
      <c r="D58" s="25" t="s">
        <v>1605</v>
      </c>
      <c r="E58" s="25" t="s">
        <v>1745</v>
      </c>
    </row>
    <row r="59" spans="1:5">
      <c r="A59" s="18" t="s">
        <v>433</v>
      </c>
      <c r="B59" s="17" t="s">
        <v>821</v>
      </c>
      <c r="C59" s="20" t="s">
        <v>1283</v>
      </c>
      <c r="D59" s="25" t="s">
        <v>1605</v>
      </c>
      <c r="E59" s="25" t="s">
        <v>1745</v>
      </c>
    </row>
    <row r="60" spans="1:5">
      <c r="A60" s="18" t="s">
        <v>434</v>
      </c>
      <c r="B60" s="17" t="s">
        <v>822</v>
      </c>
      <c r="C60" s="20" t="s">
        <v>1284</v>
      </c>
      <c r="D60" s="25" t="s">
        <v>1566</v>
      </c>
      <c r="E60" s="25" t="s">
        <v>1745</v>
      </c>
    </row>
    <row r="61" spans="1:5">
      <c r="A61" s="18" t="s">
        <v>435</v>
      </c>
      <c r="B61" s="19" t="s">
        <v>820</v>
      </c>
      <c r="C61" s="20" t="s">
        <v>1285</v>
      </c>
      <c r="D61" s="25" t="s">
        <v>1605</v>
      </c>
      <c r="E61" s="25" t="s">
        <v>1745</v>
      </c>
    </row>
    <row r="62" spans="1:5">
      <c r="A62" s="18" t="s">
        <v>59</v>
      </c>
      <c r="B62" s="19" t="s">
        <v>505</v>
      </c>
      <c r="C62" s="20" t="s">
        <v>950</v>
      </c>
      <c r="D62" s="25" t="s">
        <v>1566</v>
      </c>
      <c r="E62" s="25" t="s">
        <v>1745</v>
      </c>
    </row>
    <row r="63" spans="1:5">
      <c r="A63" s="18" t="s">
        <v>60</v>
      </c>
      <c r="B63" s="19" t="s">
        <v>506</v>
      </c>
      <c r="C63" s="20" t="s">
        <v>951</v>
      </c>
      <c r="D63" s="25" t="s">
        <v>1566</v>
      </c>
      <c r="E63" s="25" t="s">
        <v>1745</v>
      </c>
    </row>
    <row r="64" spans="1:5">
      <c r="A64" s="18" t="s">
        <v>61</v>
      </c>
      <c r="B64" s="19" t="s">
        <v>507</v>
      </c>
      <c r="C64" s="20" t="s">
        <v>952</v>
      </c>
      <c r="D64" s="25" t="s">
        <v>1566</v>
      </c>
      <c r="E64" s="25" t="s">
        <v>1745</v>
      </c>
    </row>
    <row r="65" spans="1:5">
      <c r="A65" s="18" t="s">
        <v>442</v>
      </c>
      <c r="B65" s="19" t="s">
        <v>828</v>
      </c>
      <c r="C65" s="20" t="s">
        <v>1292</v>
      </c>
      <c r="D65" s="25" t="s">
        <v>1566</v>
      </c>
      <c r="E65" s="25" t="s">
        <v>1745</v>
      </c>
    </row>
    <row r="66" spans="1:5">
      <c r="A66" s="18" t="s">
        <v>62</v>
      </c>
      <c r="B66" s="19" t="s">
        <v>508</v>
      </c>
      <c r="C66" s="20" t="s">
        <v>953</v>
      </c>
      <c r="D66" s="25" t="s">
        <v>1606</v>
      </c>
      <c r="E66" s="25" t="s">
        <v>1745</v>
      </c>
    </row>
    <row r="67" spans="1:5">
      <c r="A67" s="18" t="s">
        <v>438</v>
      </c>
      <c r="B67" s="19" t="s">
        <v>825</v>
      </c>
      <c r="C67" s="20" t="s">
        <v>1288</v>
      </c>
      <c r="D67" s="25" t="s">
        <v>1566</v>
      </c>
      <c r="E67" s="25" t="s">
        <v>1745</v>
      </c>
    </row>
    <row r="68" spans="1:5">
      <c r="A68" s="18" t="s">
        <v>439</v>
      </c>
      <c r="B68" s="19" t="s">
        <v>826</v>
      </c>
      <c r="C68" s="20" t="s">
        <v>1289</v>
      </c>
      <c r="D68" s="25" t="s">
        <v>1566</v>
      </c>
      <c r="E68" s="25" t="s">
        <v>1745</v>
      </c>
    </row>
    <row r="69" spans="1:5">
      <c r="A69" s="18" t="s">
        <v>440</v>
      </c>
      <c r="B69" s="19" t="s">
        <v>826</v>
      </c>
      <c r="C69" s="20" t="s">
        <v>1290</v>
      </c>
      <c r="D69" s="25" t="s">
        <v>1566</v>
      </c>
      <c r="E69" s="25" t="s">
        <v>1745</v>
      </c>
    </row>
    <row r="70" spans="1:5">
      <c r="A70" s="18" t="s">
        <v>441</v>
      </c>
      <c r="B70" s="19" t="s">
        <v>827</v>
      </c>
      <c r="C70" s="20" t="s">
        <v>1291</v>
      </c>
      <c r="D70" s="25" t="s">
        <v>1566</v>
      </c>
      <c r="E70" s="25" t="s">
        <v>1745</v>
      </c>
    </row>
    <row r="71" spans="1:5">
      <c r="A71" s="35" t="s">
        <v>1717</v>
      </c>
      <c r="B71" s="19" t="s">
        <v>1718</v>
      </c>
      <c r="C71" s="26" t="s">
        <v>1719</v>
      </c>
      <c r="D71" s="25" t="s">
        <v>1566</v>
      </c>
      <c r="E71" s="25" t="s">
        <v>1745</v>
      </c>
    </row>
    <row r="72" spans="1:5">
      <c r="A72" s="18" t="s">
        <v>196</v>
      </c>
      <c r="B72" s="19" t="s">
        <v>610</v>
      </c>
      <c r="C72" s="20" t="s">
        <v>1062</v>
      </c>
      <c r="D72" s="25" t="s">
        <v>1566</v>
      </c>
      <c r="E72" s="25" t="s">
        <v>1745</v>
      </c>
    </row>
    <row r="73" spans="1:5">
      <c r="A73" s="18" t="s">
        <v>199</v>
      </c>
      <c r="B73" s="19" t="s">
        <v>613</v>
      </c>
      <c r="C73" s="20" t="s">
        <v>1065</v>
      </c>
      <c r="D73" s="25" t="s">
        <v>1566</v>
      </c>
      <c r="E73" s="25" t="s">
        <v>1745</v>
      </c>
    </row>
    <row r="74" spans="1:5">
      <c r="A74" s="18" t="s">
        <v>359</v>
      </c>
      <c r="B74" s="17" t="s">
        <v>752</v>
      </c>
      <c r="C74" s="20" t="s">
        <v>1224</v>
      </c>
      <c r="D74" s="25" t="s">
        <v>1607</v>
      </c>
      <c r="E74" s="25" t="s">
        <v>1745</v>
      </c>
    </row>
    <row r="75" spans="1:5">
      <c r="A75" s="18" t="s">
        <v>360</v>
      </c>
      <c r="B75" s="17" t="s">
        <v>753</v>
      </c>
      <c r="C75" s="20" t="s">
        <v>1225</v>
      </c>
      <c r="D75" s="25" t="s">
        <v>1607</v>
      </c>
      <c r="E75" s="25" t="s">
        <v>1745</v>
      </c>
    </row>
    <row r="76" spans="1:5">
      <c r="A76" s="18" t="s">
        <v>361</v>
      </c>
      <c r="B76" s="17" t="s">
        <v>754</v>
      </c>
      <c r="C76" s="20" t="s">
        <v>1226</v>
      </c>
      <c r="D76" s="25" t="s">
        <v>1566</v>
      </c>
      <c r="E76" s="25" t="s">
        <v>1745</v>
      </c>
    </row>
    <row r="77" spans="1:5">
      <c r="A77" s="18" t="s">
        <v>412</v>
      </c>
      <c r="B77" s="17" t="s">
        <v>802</v>
      </c>
      <c r="C77" s="20" t="s">
        <v>1269</v>
      </c>
      <c r="D77" s="25" t="s">
        <v>1608</v>
      </c>
      <c r="E77" s="25" t="s">
        <v>1745</v>
      </c>
    </row>
    <row r="78" spans="1:5">
      <c r="A78" s="18" t="s">
        <v>413</v>
      </c>
      <c r="B78" s="17" t="s">
        <v>802</v>
      </c>
      <c r="C78" s="20" t="s">
        <v>1270</v>
      </c>
      <c r="D78" s="25" t="s">
        <v>1608</v>
      </c>
      <c r="E78" s="25" t="s">
        <v>1745</v>
      </c>
    </row>
    <row r="79" spans="1:5">
      <c r="A79" s="35" t="s">
        <v>1683</v>
      </c>
      <c r="B79" s="19" t="s">
        <v>1684</v>
      </c>
      <c r="C79" s="26" t="s">
        <v>1685</v>
      </c>
      <c r="D79" s="25" t="s">
        <v>1608</v>
      </c>
      <c r="E79" s="25" t="s">
        <v>1745</v>
      </c>
    </row>
    <row r="80" spans="1:5">
      <c r="A80" s="35" t="s">
        <v>1720</v>
      </c>
      <c r="B80" s="19" t="s">
        <v>1721</v>
      </c>
      <c r="C80" s="26" t="s">
        <v>1722</v>
      </c>
      <c r="D80" s="25" t="s">
        <v>1608</v>
      </c>
      <c r="E80" s="25" t="s">
        <v>1745</v>
      </c>
    </row>
    <row r="81" spans="1:5">
      <c r="A81" s="21" t="s">
        <v>414</v>
      </c>
      <c r="B81" s="17" t="s">
        <v>803</v>
      </c>
      <c r="C81" s="20" t="s">
        <v>848</v>
      </c>
      <c r="D81" s="25" t="s">
        <v>1609</v>
      </c>
      <c r="E81" s="25" t="s">
        <v>1745</v>
      </c>
    </row>
    <row r="82" spans="1:5">
      <c r="A82" s="21" t="s">
        <v>415</v>
      </c>
      <c r="B82" s="17" t="s">
        <v>804</v>
      </c>
      <c r="C82" s="20" t="s">
        <v>849</v>
      </c>
      <c r="D82" s="25" t="s">
        <v>1609</v>
      </c>
      <c r="E82" s="25" t="s">
        <v>1745</v>
      </c>
    </row>
    <row r="83" spans="1:5">
      <c r="A83" s="21" t="s">
        <v>416</v>
      </c>
      <c r="B83" s="17" t="s">
        <v>805</v>
      </c>
      <c r="C83" s="20" t="s">
        <v>850</v>
      </c>
      <c r="D83" s="25" t="s">
        <v>1609</v>
      </c>
      <c r="E83" s="25" t="s">
        <v>1745</v>
      </c>
    </row>
    <row r="84" spans="1:5">
      <c r="A84" s="21" t="s">
        <v>417</v>
      </c>
      <c r="B84" s="17" t="s">
        <v>806</v>
      </c>
      <c r="C84" s="20" t="s">
        <v>851</v>
      </c>
      <c r="D84" s="25" t="s">
        <v>1609</v>
      </c>
      <c r="E84" s="25" t="s">
        <v>1745</v>
      </c>
    </row>
    <row r="85" spans="1:5">
      <c r="A85" s="18" t="s">
        <v>281</v>
      </c>
      <c r="B85" s="17" t="s">
        <v>685</v>
      </c>
      <c r="C85" s="20" t="s">
        <v>1153</v>
      </c>
      <c r="D85" s="25" t="s">
        <v>1610</v>
      </c>
      <c r="E85" s="25" t="s">
        <v>1745</v>
      </c>
    </row>
    <row r="86" spans="1:5">
      <c r="A86" s="25" t="s">
        <v>1345</v>
      </c>
      <c r="B86" s="19" t="s">
        <v>1346</v>
      </c>
      <c r="C86" s="22" t="s">
        <v>1347</v>
      </c>
      <c r="D86" s="25" t="s">
        <v>1610</v>
      </c>
      <c r="E86" s="25" t="s">
        <v>1745</v>
      </c>
    </row>
    <row r="87" spans="1:5">
      <c r="A87" s="18" t="s">
        <v>282</v>
      </c>
      <c r="B87" s="17" t="s">
        <v>686</v>
      </c>
      <c r="C87" s="20" t="s">
        <v>1154</v>
      </c>
      <c r="D87" s="25" t="s">
        <v>1610</v>
      </c>
      <c r="E87" s="25" t="s">
        <v>1745</v>
      </c>
    </row>
    <row r="88" spans="1:5">
      <c r="A88" s="25" t="s">
        <v>1628</v>
      </c>
      <c r="B88" s="19" t="s">
        <v>1632</v>
      </c>
      <c r="C88" s="26" t="s">
        <v>1631</v>
      </c>
      <c r="D88" s="25" t="s">
        <v>1610</v>
      </c>
      <c r="E88" s="25" t="s">
        <v>1745</v>
      </c>
    </row>
    <row r="89" spans="1:5">
      <c r="A89" s="18" t="s">
        <v>283</v>
      </c>
      <c r="B89" s="17" t="s">
        <v>687</v>
      </c>
      <c r="C89" s="20" t="s">
        <v>1155</v>
      </c>
      <c r="D89" s="25" t="s">
        <v>1610</v>
      </c>
      <c r="E89" s="25" t="s">
        <v>1745</v>
      </c>
    </row>
    <row r="90" spans="1:5">
      <c r="A90" s="35" t="s">
        <v>1670</v>
      </c>
      <c r="B90" s="19" t="s">
        <v>1671</v>
      </c>
      <c r="C90" s="26" t="s">
        <v>1672</v>
      </c>
      <c r="D90" s="25" t="s">
        <v>1610</v>
      </c>
      <c r="E90" s="25" t="s">
        <v>1745</v>
      </c>
    </row>
    <row r="91" spans="1:5">
      <c r="A91" s="18" t="s">
        <v>284</v>
      </c>
      <c r="B91" s="17" t="s">
        <v>688</v>
      </c>
      <c r="C91" s="20" t="s">
        <v>1156</v>
      </c>
      <c r="D91" s="25" t="s">
        <v>1610</v>
      </c>
      <c r="E91" s="25" t="s">
        <v>1745</v>
      </c>
    </row>
    <row r="92" spans="1:5">
      <c r="A92" s="35" t="s">
        <v>1686</v>
      </c>
      <c r="B92" s="19" t="s">
        <v>1687</v>
      </c>
      <c r="C92" s="26" t="s">
        <v>1685</v>
      </c>
      <c r="D92" s="25" t="s">
        <v>1610</v>
      </c>
      <c r="E92" s="25" t="s">
        <v>1745</v>
      </c>
    </row>
    <row r="93" spans="1:5">
      <c r="A93" s="18" t="s">
        <v>285</v>
      </c>
      <c r="B93" s="19" t="s">
        <v>689</v>
      </c>
      <c r="C93" s="20" t="s">
        <v>1157</v>
      </c>
      <c r="D93" s="25" t="s">
        <v>1610</v>
      </c>
      <c r="E93" s="25" t="s">
        <v>1745</v>
      </c>
    </row>
    <row r="94" spans="1:5">
      <c r="A94" s="18" t="s">
        <v>286</v>
      </c>
      <c r="B94" s="19" t="s">
        <v>690</v>
      </c>
      <c r="C94" s="20" t="s">
        <v>1158</v>
      </c>
      <c r="D94" s="25" t="s">
        <v>1610</v>
      </c>
      <c r="E94" s="25" t="s">
        <v>1745</v>
      </c>
    </row>
    <row r="95" spans="1:5">
      <c r="A95" s="18" t="s">
        <v>334</v>
      </c>
      <c r="B95" s="19" t="s">
        <v>732</v>
      </c>
      <c r="C95" s="20" t="s">
        <v>1198</v>
      </c>
      <c r="D95" s="25" t="s">
        <v>1610</v>
      </c>
      <c r="E95" s="25" t="s">
        <v>1745</v>
      </c>
    </row>
    <row r="96" spans="1:5">
      <c r="A96" s="21" t="s">
        <v>333</v>
      </c>
      <c r="B96" s="17" t="s">
        <v>1137</v>
      </c>
      <c r="C96" s="20" t="s">
        <v>1138</v>
      </c>
      <c r="D96" s="25" t="s">
        <v>1610</v>
      </c>
      <c r="E96" s="25" t="s">
        <v>1745</v>
      </c>
    </row>
    <row r="97" spans="1:5">
      <c r="A97" s="25" t="s">
        <v>1348</v>
      </c>
      <c r="B97" s="19" t="s">
        <v>1349</v>
      </c>
      <c r="C97" s="22" t="s">
        <v>1350</v>
      </c>
      <c r="D97" s="25" t="s">
        <v>1610</v>
      </c>
      <c r="E97" s="25" t="s">
        <v>1745</v>
      </c>
    </row>
    <row r="98" spans="1:5">
      <c r="A98" s="25" t="s">
        <v>1545</v>
      </c>
      <c r="B98" s="17" t="s">
        <v>1547</v>
      </c>
      <c r="C98" s="26" t="s">
        <v>1546</v>
      </c>
      <c r="D98" s="25" t="s">
        <v>1610</v>
      </c>
      <c r="E98" s="25" t="s">
        <v>1745</v>
      </c>
    </row>
    <row r="99" spans="1:5">
      <c r="A99" s="18" t="s">
        <v>458</v>
      </c>
      <c r="B99" s="19" t="s">
        <v>749</v>
      </c>
      <c r="C99" s="20" t="s">
        <v>1213</v>
      </c>
      <c r="D99" s="25" t="s">
        <v>1610</v>
      </c>
      <c r="E99" s="25" t="s">
        <v>1745</v>
      </c>
    </row>
    <row r="100" spans="1:5">
      <c r="A100" s="18" t="s">
        <v>287</v>
      </c>
      <c r="B100" s="17" t="s">
        <v>691</v>
      </c>
      <c r="C100" s="20" t="s">
        <v>1159</v>
      </c>
      <c r="D100" s="25" t="s">
        <v>1610</v>
      </c>
      <c r="E100" s="25" t="s">
        <v>1745</v>
      </c>
    </row>
    <row r="101" spans="1:5">
      <c r="A101" s="18" t="s">
        <v>288</v>
      </c>
      <c r="B101" s="17" t="s">
        <v>692</v>
      </c>
      <c r="C101" s="20" t="s">
        <v>1160</v>
      </c>
      <c r="D101" s="25" t="s">
        <v>1610</v>
      </c>
      <c r="E101" s="25" t="s">
        <v>1745</v>
      </c>
    </row>
    <row r="102" spans="1:5">
      <c r="A102" s="18" t="s">
        <v>355</v>
      </c>
      <c r="B102" s="19" t="s">
        <v>749</v>
      </c>
      <c r="C102" s="20" t="s">
        <v>1214</v>
      </c>
      <c r="D102" s="25" t="s">
        <v>1610</v>
      </c>
      <c r="E102" s="25" t="s">
        <v>1745</v>
      </c>
    </row>
    <row r="103" spans="1:5">
      <c r="A103" s="21" t="s">
        <v>356</v>
      </c>
      <c r="B103" s="17" t="s">
        <v>1139</v>
      </c>
      <c r="C103" s="20" t="s">
        <v>1140</v>
      </c>
      <c r="D103" s="25" t="s">
        <v>1610</v>
      </c>
      <c r="E103" s="25" t="s">
        <v>1745</v>
      </c>
    </row>
    <row r="104" spans="1:5">
      <c r="A104" s="18" t="s">
        <v>289</v>
      </c>
      <c r="B104" s="17" t="s">
        <v>693</v>
      </c>
      <c r="C104" s="20" t="s">
        <v>1161</v>
      </c>
      <c r="D104" s="25" t="s">
        <v>1610</v>
      </c>
      <c r="E104" s="25" t="s">
        <v>1745</v>
      </c>
    </row>
    <row r="105" spans="1:5">
      <c r="A105" s="21" t="s">
        <v>323</v>
      </c>
      <c r="B105" s="17" t="s">
        <v>723</v>
      </c>
      <c r="C105" s="20" t="s">
        <v>1141</v>
      </c>
      <c r="D105" s="25" t="s">
        <v>1610</v>
      </c>
      <c r="E105" s="25" t="s">
        <v>1745</v>
      </c>
    </row>
    <row r="106" spans="1:5">
      <c r="A106" s="25" t="s">
        <v>1498</v>
      </c>
      <c r="B106" s="19" t="s">
        <v>702</v>
      </c>
      <c r="C106" s="26" t="s">
        <v>1499</v>
      </c>
      <c r="D106" s="25" t="s">
        <v>1610</v>
      </c>
      <c r="E106" s="25" t="s">
        <v>1745</v>
      </c>
    </row>
    <row r="107" spans="1:5">
      <c r="A107" s="18" t="s">
        <v>290</v>
      </c>
      <c r="B107" s="17" t="s">
        <v>694</v>
      </c>
      <c r="C107" s="20" t="s">
        <v>1162</v>
      </c>
      <c r="D107" s="25" t="s">
        <v>1610</v>
      </c>
      <c r="E107" s="25" t="s">
        <v>1745</v>
      </c>
    </row>
    <row r="108" spans="1:5">
      <c r="A108" s="25" t="s">
        <v>1629</v>
      </c>
      <c r="B108" s="19" t="s">
        <v>1633</v>
      </c>
      <c r="C108" s="26" t="s">
        <v>1634</v>
      </c>
      <c r="D108" s="25" t="s">
        <v>1610</v>
      </c>
      <c r="E108" s="25" t="s">
        <v>1745</v>
      </c>
    </row>
    <row r="109" spans="1:5">
      <c r="A109" s="25" t="s">
        <v>1351</v>
      </c>
      <c r="B109" s="19" t="s">
        <v>1352</v>
      </c>
      <c r="C109" s="22" t="s">
        <v>1353</v>
      </c>
      <c r="D109" s="25" t="s">
        <v>1610</v>
      </c>
      <c r="E109" s="25" t="s">
        <v>1745</v>
      </c>
    </row>
    <row r="110" spans="1:5">
      <c r="A110" s="18" t="s">
        <v>291</v>
      </c>
      <c r="B110" s="17" t="s">
        <v>695</v>
      </c>
      <c r="C110" s="20" t="s">
        <v>1163</v>
      </c>
      <c r="D110" s="25" t="s">
        <v>1610</v>
      </c>
      <c r="E110" s="25" t="s">
        <v>1745</v>
      </c>
    </row>
    <row r="111" spans="1:5">
      <c r="A111" s="18" t="s">
        <v>292</v>
      </c>
      <c r="B111" s="17" t="s">
        <v>696</v>
      </c>
      <c r="C111" s="20" t="s">
        <v>1164</v>
      </c>
      <c r="D111" s="25" t="s">
        <v>1610</v>
      </c>
      <c r="E111" s="25" t="s">
        <v>1745</v>
      </c>
    </row>
    <row r="112" spans="1:5">
      <c r="A112" s="25" t="s">
        <v>1354</v>
      </c>
      <c r="B112" s="19" t="s">
        <v>1355</v>
      </c>
      <c r="C112" s="20" t="s">
        <v>1356</v>
      </c>
      <c r="D112" s="25" t="s">
        <v>1610</v>
      </c>
      <c r="E112" s="25" t="s">
        <v>1745</v>
      </c>
    </row>
    <row r="113" spans="1:5">
      <c r="A113" s="18" t="s">
        <v>293</v>
      </c>
      <c r="B113" s="17" t="s">
        <v>697</v>
      </c>
      <c r="C113" s="20" t="s">
        <v>1165</v>
      </c>
      <c r="D113" s="25" t="s">
        <v>1610</v>
      </c>
      <c r="E113" s="25" t="s">
        <v>1745</v>
      </c>
    </row>
    <row r="114" spans="1:5">
      <c r="A114" s="18" t="s">
        <v>324</v>
      </c>
      <c r="B114" s="19" t="s">
        <v>724</v>
      </c>
      <c r="C114" s="20" t="s">
        <v>1189</v>
      </c>
      <c r="D114" s="25" t="s">
        <v>1610</v>
      </c>
      <c r="E114" s="25" t="s">
        <v>1745</v>
      </c>
    </row>
    <row r="115" spans="1:5">
      <c r="A115" s="18" t="s">
        <v>325</v>
      </c>
      <c r="B115" s="19" t="s">
        <v>725</v>
      </c>
      <c r="C115" s="20" t="s">
        <v>1190</v>
      </c>
      <c r="D115" s="25" t="s">
        <v>1610</v>
      </c>
      <c r="E115" s="25" t="s">
        <v>1745</v>
      </c>
    </row>
    <row r="116" spans="1:5">
      <c r="A116" s="18" t="s">
        <v>326</v>
      </c>
      <c r="B116" s="19" t="s">
        <v>725</v>
      </c>
      <c r="C116" s="20" t="s">
        <v>1191</v>
      </c>
      <c r="D116" s="25" t="s">
        <v>1610</v>
      </c>
      <c r="E116" s="25" t="s">
        <v>1745</v>
      </c>
    </row>
    <row r="117" spans="1:5">
      <c r="A117" s="18" t="s">
        <v>327</v>
      </c>
      <c r="B117" s="19" t="s">
        <v>726</v>
      </c>
      <c r="C117" s="20" t="s">
        <v>1192</v>
      </c>
      <c r="D117" s="25" t="s">
        <v>1610</v>
      </c>
      <c r="E117" s="25" t="s">
        <v>1745</v>
      </c>
    </row>
    <row r="118" spans="1:5">
      <c r="A118" s="18" t="s">
        <v>328</v>
      </c>
      <c r="B118" s="19" t="s">
        <v>726</v>
      </c>
      <c r="C118" s="20" t="s">
        <v>1193</v>
      </c>
      <c r="D118" s="25" t="s">
        <v>1610</v>
      </c>
      <c r="E118" s="25" t="s">
        <v>1745</v>
      </c>
    </row>
    <row r="119" spans="1:5">
      <c r="A119" s="18" t="s">
        <v>329</v>
      </c>
      <c r="B119" s="19" t="s">
        <v>727</v>
      </c>
      <c r="C119" s="20" t="s">
        <v>1194</v>
      </c>
      <c r="D119" s="25" t="s">
        <v>1610</v>
      </c>
      <c r="E119" s="25" t="s">
        <v>1745</v>
      </c>
    </row>
    <row r="120" spans="1:5">
      <c r="A120" s="21" t="s">
        <v>460</v>
      </c>
      <c r="B120" s="17" t="s">
        <v>728</v>
      </c>
      <c r="C120" s="20" t="s">
        <v>1142</v>
      </c>
      <c r="D120" s="25" t="s">
        <v>1610</v>
      </c>
      <c r="E120" s="25" t="s">
        <v>1745</v>
      </c>
    </row>
    <row r="121" spans="1:5">
      <c r="A121" s="16" t="s">
        <v>1750</v>
      </c>
      <c r="B121" s="17" t="s">
        <v>728</v>
      </c>
      <c r="C121" s="26" t="s">
        <v>1751</v>
      </c>
      <c r="D121" s="25" t="s">
        <v>1610</v>
      </c>
      <c r="E121" s="25" t="s">
        <v>1745</v>
      </c>
    </row>
    <row r="122" spans="1:5">
      <c r="A122" s="18" t="s">
        <v>294</v>
      </c>
      <c r="B122" s="19" t="s">
        <v>698</v>
      </c>
      <c r="C122" s="20" t="s">
        <v>1166</v>
      </c>
      <c r="D122" s="25" t="s">
        <v>1610</v>
      </c>
      <c r="E122" s="25" t="s">
        <v>1745</v>
      </c>
    </row>
    <row r="123" spans="1:5">
      <c r="A123" s="25" t="s">
        <v>1357</v>
      </c>
      <c r="B123" s="19" t="s">
        <v>1358</v>
      </c>
      <c r="C123" s="20" t="s">
        <v>1359</v>
      </c>
      <c r="D123" s="25" t="s">
        <v>1610</v>
      </c>
      <c r="E123" s="25" t="s">
        <v>1745</v>
      </c>
    </row>
    <row r="124" spans="1:5">
      <c r="A124" s="21" t="s">
        <v>295</v>
      </c>
      <c r="B124" s="17" t="s">
        <v>699</v>
      </c>
      <c r="C124" s="20" t="s">
        <v>1143</v>
      </c>
      <c r="D124" s="25" t="s">
        <v>1610</v>
      </c>
      <c r="E124" s="25" t="s">
        <v>1745</v>
      </c>
    </row>
    <row r="125" spans="1:5">
      <c r="A125" s="25" t="s">
        <v>1630</v>
      </c>
      <c r="B125" s="17" t="s">
        <v>695</v>
      </c>
      <c r="C125" s="26" t="s">
        <v>1635</v>
      </c>
      <c r="D125" s="25" t="s">
        <v>1610</v>
      </c>
      <c r="E125" s="25" t="s">
        <v>1745</v>
      </c>
    </row>
    <row r="126" spans="1:5">
      <c r="A126" s="18" t="s">
        <v>296</v>
      </c>
      <c r="B126" s="19" t="s">
        <v>700</v>
      </c>
      <c r="C126" s="20" t="s">
        <v>1167</v>
      </c>
      <c r="D126" s="25" t="s">
        <v>1610</v>
      </c>
      <c r="E126" s="25" t="s">
        <v>1745</v>
      </c>
    </row>
    <row r="127" spans="1:5">
      <c r="A127" s="18" t="s">
        <v>297</v>
      </c>
      <c r="B127" s="19" t="s">
        <v>701</v>
      </c>
      <c r="C127" s="20" t="s">
        <v>1168</v>
      </c>
      <c r="D127" s="25" t="s">
        <v>1610</v>
      </c>
      <c r="E127" s="25" t="s">
        <v>1745</v>
      </c>
    </row>
    <row r="128" spans="1:5">
      <c r="A128" s="18" t="s">
        <v>298</v>
      </c>
      <c r="B128" s="19" t="s">
        <v>701</v>
      </c>
      <c r="C128" s="20" t="s">
        <v>1169</v>
      </c>
      <c r="D128" s="25" t="s">
        <v>1610</v>
      </c>
      <c r="E128" s="25" t="s">
        <v>1745</v>
      </c>
    </row>
    <row r="129" spans="1:5">
      <c r="A129" s="21" t="s">
        <v>299</v>
      </c>
      <c r="B129" s="17" t="s">
        <v>702</v>
      </c>
      <c r="C129" s="20" t="s">
        <v>1144</v>
      </c>
      <c r="D129" s="25" t="s">
        <v>1610</v>
      </c>
      <c r="E129" s="25" t="s">
        <v>1745</v>
      </c>
    </row>
    <row r="130" spans="1:5">
      <c r="A130" s="18" t="s">
        <v>300</v>
      </c>
      <c r="B130" s="19" t="s">
        <v>696</v>
      </c>
      <c r="C130" s="20" t="s">
        <v>1170</v>
      </c>
      <c r="D130" s="25" t="s">
        <v>1610</v>
      </c>
      <c r="E130" s="25" t="s">
        <v>1745</v>
      </c>
    </row>
    <row r="131" spans="1:5">
      <c r="A131" s="18" t="s">
        <v>301</v>
      </c>
      <c r="B131" s="19" t="s">
        <v>703</v>
      </c>
      <c r="C131" s="20" t="s">
        <v>1171</v>
      </c>
      <c r="D131" s="25" t="s">
        <v>1610</v>
      </c>
      <c r="E131" s="25" t="s">
        <v>1745</v>
      </c>
    </row>
    <row r="132" spans="1:5">
      <c r="A132" s="21" t="s">
        <v>302</v>
      </c>
      <c r="B132" s="17" t="s">
        <v>704</v>
      </c>
      <c r="C132" s="20" t="s">
        <v>1145</v>
      </c>
      <c r="D132" s="25" t="s">
        <v>1610</v>
      </c>
      <c r="E132" s="25" t="s">
        <v>1745</v>
      </c>
    </row>
    <row r="133" spans="1:5">
      <c r="A133" s="18" t="s">
        <v>303</v>
      </c>
      <c r="B133" s="19" t="s">
        <v>705</v>
      </c>
      <c r="C133" s="20" t="s">
        <v>1172</v>
      </c>
      <c r="D133" s="25" t="s">
        <v>1610</v>
      </c>
      <c r="E133" s="25" t="s">
        <v>1745</v>
      </c>
    </row>
    <row r="134" spans="1:5">
      <c r="A134" s="18" t="s">
        <v>304</v>
      </c>
      <c r="B134" s="19" t="s">
        <v>706</v>
      </c>
      <c r="C134" s="20" t="s">
        <v>1173</v>
      </c>
      <c r="D134" s="25" t="s">
        <v>1610</v>
      </c>
      <c r="E134" s="25" t="s">
        <v>1745</v>
      </c>
    </row>
    <row r="135" spans="1:5">
      <c r="A135" s="18" t="s">
        <v>306</v>
      </c>
      <c r="B135" s="19" t="s">
        <v>708</v>
      </c>
      <c r="C135" s="20" t="s">
        <v>1174</v>
      </c>
      <c r="D135" s="25" t="s">
        <v>1610</v>
      </c>
      <c r="E135" s="25" t="s">
        <v>1745</v>
      </c>
    </row>
    <row r="136" spans="1:5">
      <c r="A136" s="18" t="s">
        <v>307</v>
      </c>
      <c r="B136" s="19" t="s">
        <v>709</v>
      </c>
      <c r="C136" s="20" t="s">
        <v>1175</v>
      </c>
      <c r="D136" s="25" t="s">
        <v>1610</v>
      </c>
      <c r="E136" s="25" t="s">
        <v>1745</v>
      </c>
    </row>
    <row r="137" spans="1:5">
      <c r="A137" s="25" t="s">
        <v>1481</v>
      </c>
      <c r="B137" s="17" t="s">
        <v>709</v>
      </c>
      <c r="C137" s="26" t="s">
        <v>1484</v>
      </c>
      <c r="D137" s="25" t="s">
        <v>1610</v>
      </c>
      <c r="E137" s="25" t="s">
        <v>1745</v>
      </c>
    </row>
    <row r="138" spans="1:5">
      <c r="A138" s="21" t="s">
        <v>305</v>
      </c>
      <c r="B138" s="17" t="s">
        <v>707</v>
      </c>
      <c r="C138" s="20" t="s">
        <v>1146</v>
      </c>
      <c r="D138" s="25" t="s">
        <v>1610</v>
      </c>
      <c r="E138" s="25" t="s">
        <v>1745</v>
      </c>
    </row>
    <row r="139" spans="1:5">
      <c r="A139" s="18" t="s">
        <v>308</v>
      </c>
      <c r="B139" s="19" t="s">
        <v>710</v>
      </c>
      <c r="C139" s="20" t="s">
        <v>1176</v>
      </c>
      <c r="D139" s="25" t="s">
        <v>1610</v>
      </c>
      <c r="E139" s="25" t="s">
        <v>1745</v>
      </c>
    </row>
    <row r="140" spans="1:5">
      <c r="A140" s="21" t="s">
        <v>309</v>
      </c>
      <c r="B140" s="17" t="s">
        <v>711</v>
      </c>
      <c r="C140" s="20" t="s">
        <v>1147</v>
      </c>
      <c r="D140" s="25" t="s">
        <v>1610</v>
      </c>
      <c r="E140" s="25" t="s">
        <v>1745</v>
      </c>
    </row>
    <row r="141" spans="1:5">
      <c r="A141" s="16" t="s">
        <v>1752</v>
      </c>
      <c r="B141" s="19" t="s">
        <v>712</v>
      </c>
      <c r="C141" s="26" t="s">
        <v>1753</v>
      </c>
      <c r="D141" s="25" t="s">
        <v>1610</v>
      </c>
      <c r="E141" s="25" t="s">
        <v>1745</v>
      </c>
    </row>
    <row r="142" spans="1:5">
      <c r="A142" s="18" t="s">
        <v>310</v>
      </c>
      <c r="B142" s="19" t="s">
        <v>712</v>
      </c>
      <c r="C142" s="20" t="s">
        <v>1177</v>
      </c>
      <c r="D142" s="25" t="s">
        <v>1610</v>
      </c>
      <c r="E142" s="25" t="s">
        <v>1745</v>
      </c>
    </row>
    <row r="143" spans="1:5">
      <c r="A143" s="21" t="s">
        <v>311</v>
      </c>
      <c r="B143" s="17" t="s">
        <v>713</v>
      </c>
      <c r="C143" s="20" t="s">
        <v>1148</v>
      </c>
      <c r="D143" s="25" t="s">
        <v>1610</v>
      </c>
      <c r="E143" s="25" t="s">
        <v>1745</v>
      </c>
    </row>
    <row r="144" spans="1:5">
      <c r="A144" s="18" t="s">
        <v>312</v>
      </c>
      <c r="B144" s="19" t="s">
        <v>714</v>
      </c>
      <c r="C144" s="20" t="s">
        <v>1178</v>
      </c>
      <c r="D144" s="25" t="s">
        <v>1610</v>
      </c>
      <c r="E144" s="25" t="s">
        <v>1745</v>
      </c>
    </row>
    <row r="145" spans="1:5">
      <c r="A145" s="16" t="s">
        <v>1754</v>
      </c>
      <c r="B145" s="19" t="s">
        <v>715</v>
      </c>
      <c r="C145" s="26" t="s">
        <v>1755</v>
      </c>
      <c r="D145" s="25" t="s">
        <v>1610</v>
      </c>
      <c r="E145" s="25" t="s">
        <v>1745</v>
      </c>
    </row>
    <row r="146" spans="1:5">
      <c r="A146" s="18" t="s">
        <v>313</v>
      </c>
      <c r="B146" s="19" t="s">
        <v>715</v>
      </c>
      <c r="C146" s="20" t="s">
        <v>1179</v>
      </c>
      <c r="D146" s="25" t="s">
        <v>1610</v>
      </c>
      <c r="E146" s="25" t="s">
        <v>1745</v>
      </c>
    </row>
    <row r="147" spans="1:5">
      <c r="A147" s="18" t="s">
        <v>314</v>
      </c>
      <c r="B147" s="19" t="s">
        <v>716</v>
      </c>
      <c r="C147" s="20" t="s">
        <v>1180</v>
      </c>
      <c r="D147" s="25" t="s">
        <v>1610</v>
      </c>
      <c r="E147" s="25" t="s">
        <v>1745</v>
      </c>
    </row>
    <row r="148" spans="1:5">
      <c r="A148" s="25" t="s">
        <v>1360</v>
      </c>
      <c r="B148" s="19" t="s">
        <v>1361</v>
      </c>
      <c r="C148" s="20" t="s">
        <v>1362</v>
      </c>
      <c r="D148" s="25" t="s">
        <v>1610</v>
      </c>
      <c r="E148" s="25" t="s">
        <v>1745</v>
      </c>
    </row>
    <row r="149" spans="1:5">
      <c r="A149" s="18" t="s">
        <v>315</v>
      </c>
      <c r="B149" s="19" t="s">
        <v>717</v>
      </c>
      <c r="C149" s="20" t="s">
        <v>1181</v>
      </c>
      <c r="D149" s="25" t="s">
        <v>1610</v>
      </c>
      <c r="E149" s="25" t="s">
        <v>1745</v>
      </c>
    </row>
    <row r="150" spans="1:5">
      <c r="A150" s="18" t="s">
        <v>318</v>
      </c>
      <c r="B150" s="19" t="s">
        <v>720</v>
      </c>
      <c r="C150" s="20" t="s">
        <v>1184</v>
      </c>
      <c r="D150" s="25" t="s">
        <v>1610</v>
      </c>
      <c r="E150" s="25" t="s">
        <v>1745</v>
      </c>
    </row>
    <row r="151" spans="1:5">
      <c r="A151" s="18" t="s">
        <v>319</v>
      </c>
      <c r="B151" s="19" t="s">
        <v>718</v>
      </c>
      <c r="C151" s="20" t="s">
        <v>1185</v>
      </c>
      <c r="D151" s="25" t="s">
        <v>1610</v>
      </c>
      <c r="E151" s="25" t="s">
        <v>1745</v>
      </c>
    </row>
    <row r="152" spans="1:5">
      <c r="A152" s="18" t="s">
        <v>316</v>
      </c>
      <c r="B152" s="19" t="s">
        <v>718</v>
      </c>
      <c r="C152" s="20" t="s">
        <v>1182</v>
      </c>
      <c r="D152" s="25" t="s">
        <v>1610</v>
      </c>
      <c r="E152" s="25" t="s">
        <v>1745</v>
      </c>
    </row>
    <row r="153" spans="1:5">
      <c r="A153" s="18" t="s">
        <v>320</v>
      </c>
      <c r="B153" s="19" t="s">
        <v>719</v>
      </c>
      <c r="C153" s="20" t="s">
        <v>1186</v>
      </c>
      <c r="D153" s="25" t="s">
        <v>1610</v>
      </c>
      <c r="E153" s="25" t="s">
        <v>1745</v>
      </c>
    </row>
    <row r="154" spans="1:5">
      <c r="A154" s="18" t="s">
        <v>317</v>
      </c>
      <c r="B154" s="19" t="s">
        <v>719</v>
      </c>
      <c r="C154" s="20" t="s">
        <v>1183</v>
      </c>
      <c r="D154" s="25" t="s">
        <v>1610</v>
      </c>
      <c r="E154" s="25" t="s">
        <v>1745</v>
      </c>
    </row>
    <row r="155" spans="1:5">
      <c r="A155" s="18" t="s">
        <v>322</v>
      </c>
      <c r="B155" s="19" t="s">
        <v>722</v>
      </c>
      <c r="C155" s="20" t="s">
        <v>1188</v>
      </c>
      <c r="D155" s="25" t="s">
        <v>1610</v>
      </c>
      <c r="E155" s="25" t="s">
        <v>1745</v>
      </c>
    </row>
    <row r="156" spans="1:5">
      <c r="A156" s="18" t="s">
        <v>321</v>
      </c>
      <c r="B156" s="19" t="s">
        <v>721</v>
      </c>
      <c r="C156" s="20" t="s">
        <v>1187</v>
      </c>
      <c r="D156" s="25" t="s">
        <v>1610</v>
      </c>
      <c r="E156" s="25" t="s">
        <v>1745</v>
      </c>
    </row>
    <row r="157" spans="1:5">
      <c r="A157" s="18" t="s">
        <v>330</v>
      </c>
      <c r="B157" s="19" t="s">
        <v>729</v>
      </c>
      <c r="C157" s="20" t="s">
        <v>1195</v>
      </c>
      <c r="D157" s="25" t="s">
        <v>1610</v>
      </c>
      <c r="E157" s="25" t="s">
        <v>1745</v>
      </c>
    </row>
    <row r="158" spans="1:5">
      <c r="A158" s="18" t="s">
        <v>1317</v>
      </c>
      <c r="B158" s="19" t="s">
        <v>1318</v>
      </c>
      <c r="C158" s="20" t="s">
        <v>1319</v>
      </c>
      <c r="D158" s="25" t="s">
        <v>1610</v>
      </c>
      <c r="E158" s="25" t="s">
        <v>1745</v>
      </c>
    </row>
    <row r="159" spans="1:5">
      <c r="A159" s="18" t="s">
        <v>331</v>
      </c>
      <c r="B159" s="19" t="s">
        <v>730</v>
      </c>
      <c r="C159" s="20" t="s">
        <v>1196</v>
      </c>
      <c r="D159" s="25" t="s">
        <v>1610</v>
      </c>
      <c r="E159" s="25" t="s">
        <v>1745</v>
      </c>
    </row>
    <row r="160" spans="1:5">
      <c r="A160" s="18" t="s">
        <v>332</v>
      </c>
      <c r="B160" s="19" t="s">
        <v>731</v>
      </c>
      <c r="C160" s="20" t="s">
        <v>1197</v>
      </c>
      <c r="D160" s="25" t="s">
        <v>1610</v>
      </c>
      <c r="E160" s="25" t="s">
        <v>1745</v>
      </c>
    </row>
    <row r="161" spans="1:5">
      <c r="A161" s="21" t="s">
        <v>338</v>
      </c>
      <c r="B161" s="17" t="s">
        <v>735</v>
      </c>
      <c r="C161" s="20" t="s">
        <v>1149</v>
      </c>
      <c r="D161" s="25" t="s">
        <v>1610</v>
      </c>
      <c r="E161" s="25" t="s">
        <v>1745</v>
      </c>
    </row>
    <row r="162" spans="1:5">
      <c r="A162" s="18" t="s">
        <v>335</v>
      </c>
      <c r="B162" s="19" t="s">
        <v>733</v>
      </c>
      <c r="C162" s="20" t="s">
        <v>1199</v>
      </c>
      <c r="D162" s="25" t="s">
        <v>1610</v>
      </c>
      <c r="E162" s="25" t="s">
        <v>1745</v>
      </c>
    </row>
    <row r="163" spans="1:5">
      <c r="A163" s="18" t="s">
        <v>336</v>
      </c>
      <c r="B163" s="19" t="s">
        <v>733</v>
      </c>
      <c r="C163" s="20" t="s">
        <v>1200</v>
      </c>
      <c r="D163" s="25" t="s">
        <v>1610</v>
      </c>
      <c r="E163" s="25" t="s">
        <v>1745</v>
      </c>
    </row>
    <row r="164" spans="1:5">
      <c r="A164" s="18" t="s">
        <v>337</v>
      </c>
      <c r="B164" s="19" t="s">
        <v>734</v>
      </c>
      <c r="C164" s="20" t="s">
        <v>1201</v>
      </c>
      <c r="D164" s="25" t="s">
        <v>1610</v>
      </c>
      <c r="E164" s="25" t="s">
        <v>1745</v>
      </c>
    </row>
    <row r="165" spans="1:5">
      <c r="A165" s="18" t="s">
        <v>339</v>
      </c>
      <c r="B165" s="19" t="s">
        <v>736</v>
      </c>
      <c r="C165" s="20" t="s">
        <v>1202</v>
      </c>
      <c r="D165" s="25" t="s">
        <v>1610</v>
      </c>
      <c r="E165" s="25" t="s">
        <v>1745</v>
      </c>
    </row>
    <row r="166" spans="1:5">
      <c r="A166" s="18" t="s">
        <v>340</v>
      </c>
      <c r="B166" s="19" t="s">
        <v>737</v>
      </c>
      <c r="C166" s="20" t="s">
        <v>1203</v>
      </c>
      <c r="D166" s="25" t="s">
        <v>1610</v>
      </c>
      <c r="E166" s="25" t="s">
        <v>1745</v>
      </c>
    </row>
    <row r="167" spans="1:5">
      <c r="A167" s="21" t="s">
        <v>1313</v>
      </c>
      <c r="B167" s="17" t="s">
        <v>1740</v>
      </c>
      <c r="C167" s="22" t="s">
        <v>1314</v>
      </c>
      <c r="D167" s="25" t="s">
        <v>1566</v>
      </c>
      <c r="E167" s="25" t="s">
        <v>1745</v>
      </c>
    </row>
    <row r="168" spans="1:5">
      <c r="A168" s="35" t="s">
        <v>1680</v>
      </c>
      <c r="B168" s="19" t="s">
        <v>1681</v>
      </c>
      <c r="C168" s="26" t="s">
        <v>1682</v>
      </c>
      <c r="D168" s="25" t="s">
        <v>1610</v>
      </c>
      <c r="E168" s="25" t="s">
        <v>1745</v>
      </c>
    </row>
    <row r="169" spans="1:5">
      <c r="A169" s="18" t="s">
        <v>341</v>
      </c>
      <c r="B169" s="19" t="s">
        <v>738</v>
      </c>
      <c r="C169" s="20" t="s">
        <v>1204</v>
      </c>
      <c r="D169" s="25" t="s">
        <v>1610</v>
      </c>
      <c r="E169" s="25" t="s">
        <v>1745</v>
      </c>
    </row>
    <row r="170" spans="1:5">
      <c r="A170" s="21" t="s">
        <v>343</v>
      </c>
      <c r="B170" s="17" t="s">
        <v>739</v>
      </c>
      <c r="C170" s="20" t="s">
        <v>1150</v>
      </c>
      <c r="D170" s="25" t="s">
        <v>1610</v>
      </c>
      <c r="E170" s="25" t="s">
        <v>1745</v>
      </c>
    </row>
    <row r="171" spans="1:5">
      <c r="A171" s="18" t="s">
        <v>344</v>
      </c>
      <c r="B171" s="19" t="s">
        <v>740</v>
      </c>
      <c r="C171" s="20" t="s">
        <v>1205</v>
      </c>
      <c r="D171" s="25" t="s">
        <v>1610</v>
      </c>
      <c r="E171" s="25" t="s">
        <v>1745</v>
      </c>
    </row>
    <row r="172" spans="1:5">
      <c r="A172" s="18" t="s">
        <v>345</v>
      </c>
      <c r="B172" s="19" t="s">
        <v>741</v>
      </c>
      <c r="C172" s="20" t="s">
        <v>1206</v>
      </c>
      <c r="D172" s="25" t="s">
        <v>1610</v>
      </c>
      <c r="E172" s="25" t="s">
        <v>1745</v>
      </c>
    </row>
    <row r="173" spans="1:5">
      <c r="A173" s="18" t="s">
        <v>346</v>
      </c>
      <c r="B173" s="19" t="s">
        <v>742</v>
      </c>
      <c r="C173" s="20" t="s">
        <v>1207</v>
      </c>
      <c r="D173" s="25" t="s">
        <v>1610</v>
      </c>
      <c r="E173" s="25" t="s">
        <v>1745</v>
      </c>
    </row>
    <row r="174" spans="1:5">
      <c r="A174" s="18" t="s">
        <v>347</v>
      </c>
      <c r="B174" s="19" t="s">
        <v>743</v>
      </c>
      <c r="C174" s="20" t="s">
        <v>1208</v>
      </c>
      <c r="D174" s="25" t="s">
        <v>1610</v>
      </c>
      <c r="E174" s="25" t="s">
        <v>1745</v>
      </c>
    </row>
    <row r="175" spans="1:5">
      <c r="A175" s="25" t="s">
        <v>1363</v>
      </c>
      <c r="B175" s="19" t="s">
        <v>1364</v>
      </c>
      <c r="C175" s="22" t="s">
        <v>1365</v>
      </c>
      <c r="D175" s="25" t="s">
        <v>1610</v>
      </c>
      <c r="E175" s="25" t="s">
        <v>1745</v>
      </c>
    </row>
    <row r="176" spans="1:5">
      <c r="A176" s="21" t="s">
        <v>349</v>
      </c>
      <c r="B176" s="17" t="s">
        <v>744</v>
      </c>
      <c r="C176" s="20" t="s">
        <v>1151</v>
      </c>
      <c r="D176" s="25" t="s">
        <v>1610</v>
      </c>
      <c r="E176" s="25" t="s">
        <v>1745</v>
      </c>
    </row>
    <row r="177" spans="1:5">
      <c r="A177" s="25" t="s">
        <v>1366</v>
      </c>
      <c r="B177" s="17" t="s">
        <v>744</v>
      </c>
      <c r="C177" s="20" t="s">
        <v>1367</v>
      </c>
      <c r="D177" s="25" t="s">
        <v>1610</v>
      </c>
      <c r="E177" s="25" t="s">
        <v>1745</v>
      </c>
    </row>
    <row r="178" spans="1:5">
      <c r="A178" s="25" t="s">
        <v>1368</v>
      </c>
      <c r="B178" s="17" t="s">
        <v>745</v>
      </c>
      <c r="C178" s="20" t="s">
        <v>1369</v>
      </c>
      <c r="D178" s="25" t="s">
        <v>1610</v>
      </c>
      <c r="E178" s="25" t="s">
        <v>1745</v>
      </c>
    </row>
    <row r="179" spans="1:5">
      <c r="A179" s="21" t="s">
        <v>350</v>
      </c>
      <c r="B179" s="17" t="s">
        <v>745</v>
      </c>
      <c r="C179" s="20" t="s">
        <v>1152</v>
      </c>
      <c r="D179" s="25" t="s">
        <v>1610</v>
      </c>
      <c r="E179" s="25" t="s">
        <v>1745</v>
      </c>
    </row>
    <row r="180" spans="1:5">
      <c r="A180" s="25" t="s">
        <v>1370</v>
      </c>
      <c r="B180" s="17" t="s">
        <v>1371</v>
      </c>
      <c r="C180" s="20" t="s">
        <v>1372</v>
      </c>
      <c r="D180" s="25" t="s">
        <v>1610</v>
      </c>
      <c r="E180" s="25" t="s">
        <v>1745</v>
      </c>
    </row>
    <row r="181" spans="1:5">
      <c r="A181" s="18" t="s">
        <v>351</v>
      </c>
      <c r="B181" s="19" t="s">
        <v>746</v>
      </c>
      <c r="C181" s="20" t="s">
        <v>1209</v>
      </c>
      <c r="D181" s="25" t="s">
        <v>1566</v>
      </c>
      <c r="E181" s="25" t="s">
        <v>1745</v>
      </c>
    </row>
    <row r="182" spans="1:5">
      <c r="A182" s="18" t="s">
        <v>352</v>
      </c>
      <c r="B182" s="19" t="s">
        <v>746</v>
      </c>
      <c r="C182" s="20" t="s">
        <v>1210</v>
      </c>
      <c r="D182" s="25" t="s">
        <v>1566</v>
      </c>
      <c r="E182" s="25" t="s">
        <v>1745</v>
      </c>
    </row>
    <row r="183" spans="1:5">
      <c r="A183" s="18" t="s">
        <v>457</v>
      </c>
      <c r="B183" s="19" t="s">
        <v>750</v>
      </c>
      <c r="C183" s="20" t="s">
        <v>1215</v>
      </c>
      <c r="D183" s="25" t="s">
        <v>1610</v>
      </c>
      <c r="E183" s="25" t="s">
        <v>1745</v>
      </c>
    </row>
    <row r="184" spans="1:5">
      <c r="A184" s="18" t="s">
        <v>1741</v>
      </c>
      <c r="B184" s="19" t="s">
        <v>751</v>
      </c>
      <c r="C184" s="22" t="s">
        <v>1742</v>
      </c>
      <c r="D184" s="25" t="s">
        <v>1566</v>
      </c>
      <c r="E184" s="25" t="s">
        <v>1745</v>
      </c>
    </row>
    <row r="185" spans="1:5">
      <c r="A185" s="18" t="s">
        <v>354</v>
      </c>
      <c r="B185" s="19" t="s">
        <v>751</v>
      </c>
      <c r="C185" s="20" t="s">
        <v>1216</v>
      </c>
      <c r="D185" s="25" t="s">
        <v>1566</v>
      </c>
      <c r="E185" s="25" t="s">
        <v>1745</v>
      </c>
    </row>
    <row r="186" spans="1:5">
      <c r="A186" s="18" t="s">
        <v>1496</v>
      </c>
      <c r="B186" s="19" t="s">
        <v>1500</v>
      </c>
      <c r="C186" s="20" t="s">
        <v>1501</v>
      </c>
      <c r="D186" s="25" t="s">
        <v>1566</v>
      </c>
      <c r="E186" s="25" t="s">
        <v>1745</v>
      </c>
    </row>
    <row r="187" spans="1:5">
      <c r="A187" s="26" t="s">
        <v>1502</v>
      </c>
      <c r="B187" s="19" t="s">
        <v>748</v>
      </c>
      <c r="C187" s="26" t="s">
        <v>1503</v>
      </c>
      <c r="D187" s="25" t="s">
        <v>1610</v>
      </c>
      <c r="E187" s="25" t="s">
        <v>1745</v>
      </c>
    </row>
    <row r="188" spans="1:5">
      <c r="A188" s="18" t="s">
        <v>357</v>
      </c>
      <c r="B188" s="19" t="s">
        <v>748</v>
      </c>
      <c r="C188" s="20" t="s">
        <v>1212</v>
      </c>
      <c r="D188" s="25" t="s">
        <v>1610</v>
      </c>
      <c r="E188" s="25" t="s">
        <v>1745</v>
      </c>
    </row>
    <row r="189" spans="1:5">
      <c r="A189" s="18" t="s">
        <v>353</v>
      </c>
      <c r="B189" s="19" t="s">
        <v>747</v>
      </c>
      <c r="C189" s="20" t="s">
        <v>1211</v>
      </c>
      <c r="D189" s="25" t="s">
        <v>1566</v>
      </c>
      <c r="E189" s="25" t="s">
        <v>1745</v>
      </c>
    </row>
    <row r="190" spans="1:5">
      <c r="A190" s="18" t="s">
        <v>220</v>
      </c>
      <c r="B190" s="19" t="s">
        <v>628</v>
      </c>
      <c r="C190" s="20" t="s">
        <v>1078</v>
      </c>
      <c r="D190" s="25" t="s">
        <v>1611</v>
      </c>
      <c r="E190" s="25" t="s">
        <v>1745</v>
      </c>
    </row>
    <row r="191" spans="1:5">
      <c r="A191" s="18" t="s">
        <v>221</v>
      </c>
      <c r="B191" s="19" t="s">
        <v>629</v>
      </c>
      <c r="C191" s="20" t="s">
        <v>1079</v>
      </c>
      <c r="D191" s="25" t="s">
        <v>1611</v>
      </c>
      <c r="E191" s="25" t="s">
        <v>1745</v>
      </c>
    </row>
    <row r="192" spans="1:5">
      <c r="A192" s="18" t="s">
        <v>222</v>
      </c>
      <c r="B192" s="19" t="s">
        <v>630</v>
      </c>
      <c r="C192" s="20" t="s">
        <v>1080</v>
      </c>
      <c r="D192" s="25" t="s">
        <v>1611</v>
      </c>
      <c r="E192" s="25" t="s">
        <v>1745</v>
      </c>
    </row>
    <row r="193" spans="1:5">
      <c r="A193" s="18" t="s">
        <v>63</v>
      </c>
      <c r="B193" s="19" t="s">
        <v>509</v>
      </c>
      <c r="C193" s="20" t="s">
        <v>954</v>
      </c>
      <c r="D193" s="25" t="s">
        <v>1612</v>
      </c>
      <c r="E193" s="25" t="s">
        <v>1745</v>
      </c>
    </row>
    <row r="194" spans="1:5">
      <c r="A194" s="18" t="s">
        <v>64</v>
      </c>
      <c r="B194" s="19" t="s">
        <v>509</v>
      </c>
      <c r="C194" s="20" t="s">
        <v>955</v>
      </c>
      <c r="D194" s="25" t="s">
        <v>1612</v>
      </c>
      <c r="E194" s="25" t="s">
        <v>1745</v>
      </c>
    </row>
    <row r="195" spans="1:5">
      <c r="A195" s="18" t="s">
        <v>436</v>
      </c>
      <c r="B195" s="19" t="s">
        <v>823</v>
      </c>
      <c r="C195" s="20" t="s">
        <v>1286</v>
      </c>
      <c r="D195" s="25" t="s">
        <v>1566</v>
      </c>
      <c r="E195" s="25" t="s">
        <v>1745</v>
      </c>
    </row>
    <row r="196" spans="1:5">
      <c r="A196" s="18" t="s">
        <v>437</v>
      </c>
      <c r="B196" s="19" t="s">
        <v>824</v>
      </c>
      <c r="C196" s="20" t="s">
        <v>1287</v>
      </c>
      <c r="D196" s="25" t="s">
        <v>1605</v>
      </c>
      <c r="E196" s="25" t="s">
        <v>1745</v>
      </c>
    </row>
    <row r="197" spans="1:5">
      <c r="A197" s="18" t="s">
        <v>50</v>
      </c>
      <c r="B197" s="19" t="s">
        <v>498</v>
      </c>
      <c r="C197" s="20" t="s">
        <v>942</v>
      </c>
      <c r="D197" s="25" t="s">
        <v>1613</v>
      </c>
      <c r="E197" s="25" t="s">
        <v>1745</v>
      </c>
    </row>
    <row r="198" spans="1:5">
      <c r="A198" s="18" t="s">
        <v>51</v>
      </c>
      <c r="B198" s="19" t="s">
        <v>498</v>
      </c>
      <c r="C198" s="20" t="s">
        <v>943</v>
      </c>
      <c r="D198" s="25" t="s">
        <v>1613</v>
      </c>
      <c r="E198" s="25" t="s">
        <v>1745</v>
      </c>
    </row>
    <row r="199" spans="1:5">
      <c r="A199" s="18" t="s">
        <v>52</v>
      </c>
      <c r="B199" s="19" t="s">
        <v>499</v>
      </c>
      <c r="C199" s="20" t="s">
        <v>944</v>
      </c>
      <c r="D199" s="25" t="s">
        <v>1613</v>
      </c>
      <c r="E199" s="25" t="s">
        <v>1745</v>
      </c>
    </row>
    <row r="200" spans="1:5">
      <c r="A200" s="18" t="s">
        <v>53</v>
      </c>
      <c r="B200" s="19" t="s">
        <v>500</v>
      </c>
      <c r="C200" s="20" t="s">
        <v>945</v>
      </c>
      <c r="D200" s="25" t="s">
        <v>1613</v>
      </c>
      <c r="E200" s="25" t="s">
        <v>1745</v>
      </c>
    </row>
    <row r="201" spans="1:5">
      <c r="A201" s="18" t="s">
        <v>54</v>
      </c>
      <c r="B201" s="19" t="s">
        <v>501</v>
      </c>
      <c r="C201" s="20" t="s">
        <v>946</v>
      </c>
      <c r="D201" s="25" t="s">
        <v>1613</v>
      </c>
      <c r="E201" s="25" t="s">
        <v>1745</v>
      </c>
    </row>
    <row r="202" spans="1:5">
      <c r="A202" s="18" t="s">
        <v>55</v>
      </c>
      <c r="B202" s="19" t="s">
        <v>502</v>
      </c>
      <c r="C202" s="20" t="s">
        <v>947</v>
      </c>
      <c r="D202" s="25" t="s">
        <v>1613</v>
      </c>
      <c r="E202" s="25" t="s">
        <v>1745</v>
      </c>
    </row>
    <row r="203" spans="1:5">
      <c r="A203" s="21" t="s">
        <v>56</v>
      </c>
      <c r="B203" s="17" t="s">
        <v>855</v>
      </c>
      <c r="C203" s="20" t="s">
        <v>856</v>
      </c>
      <c r="D203" s="25" t="s">
        <v>1613</v>
      </c>
      <c r="E203" s="25" t="s">
        <v>1745</v>
      </c>
    </row>
    <row r="204" spans="1:5">
      <c r="A204" s="18" t="s">
        <v>1325</v>
      </c>
      <c r="B204" s="19" t="s">
        <v>1327</v>
      </c>
      <c r="C204" s="20" t="s">
        <v>1326</v>
      </c>
      <c r="D204" s="25" t="s">
        <v>1613</v>
      </c>
      <c r="E204" s="25" t="s">
        <v>1745</v>
      </c>
    </row>
    <row r="205" spans="1:5">
      <c r="A205" s="18" t="s">
        <v>57</v>
      </c>
      <c r="B205" s="19" t="s">
        <v>503</v>
      </c>
      <c r="C205" s="20" t="s">
        <v>948</v>
      </c>
      <c r="D205" s="25" t="s">
        <v>1613</v>
      </c>
      <c r="E205" s="25" t="s">
        <v>1745</v>
      </c>
    </row>
    <row r="206" spans="1:5">
      <c r="A206" s="18" t="s">
        <v>58</v>
      </c>
      <c r="B206" s="19" t="s">
        <v>504</v>
      </c>
      <c r="C206" s="20" t="s">
        <v>949</v>
      </c>
      <c r="D206" s="25" t="s">
        <v>1613</v>
      </c>
      <c r="E206" s="25" t="s">
        <v>1745</v>
      </c>
    </row>
    <row r="207" spans="1:5">
      <c r="A207" s="25" t="s">
        <v>1373</v>
      </c>
      <c r="B207" s="19" t="s">
        <v>1374</v>
      </c>
      <c r="C207" s="20" t="s">
        <v>1375</v>
      </c>
      <c r="D207" s="25" t="s">
        <v>1567</v>
      </c>
      <c r="E207" s="25" t="s">
        <v>1745</v>
      </c>
    </row>
    <row r="208" spans="1:5">
      <c r="A208" s="25" t="s">
        <v>1624</v>
      </c>
      <c r="B208" s="19" t="s">
        <v>584</v>
      </c>
      <c r="C208" s="26" t="s">
        <v>1649</v>
      </c>
      <c r="D208" s="25" t="s">
        <v>1567</v>
      </c>
      <c r="E208" s="25" t="s">
        <v>1745</v>
      </c>
    </row>
    <row r="209" spans="1:5">
      <c r="A209" s="18" t="s">
        <v>163</v>
      </c>
      <c r="B209" s="19" t="s">
        <v>584</v>
      </c>
      <c r="C209" s="20" t="s">
        <v>1034</v>
      </c>
      <c r="D209" s="25" t="s">
        <v>1567</v>
      </c>
      <c r="E209" s="25" t="s">
        <v>1745</v>
      </c>
    </row>
    <row r="210" spans="1:5">
      <c r="A210" s="18" t="s">
        <v>164</v>
      </c>
      <c r="B210" s="19" t="s">
        <v>585</v>
      </c>
      <c r="C210" s="20" t="s">
        <v>1035</v>
      </c>
      <c r="D210" s="25" t="s">
        <v>1567</v>
      </c>
      <c r="E210" s="25" t="s">
        <v>1745</v>
      </c>
    </row>
    <row r="211" spans="1:5">
      <c r="A211" s="21" t="s">
        <v>165</v>
      </c>
      <c r="B211" s="17" t="s">
        <v>586</v>
      </c>
      <c r="C211" s="20" t="s">
        <v>1009</v>
      </c>
      <c r="D211" s="25" t="s">
        <v>1567</v>
      </c>
      <c r="E211" s="25" t="s">
        <v>1745</v>
      </c>
    </row>
    <row r="212" spans="1:5">
      <c r="A212" s="27" t="s">
        <v>1333</v>
      </c>
      <c r="B212" s="17" t="s">
        <v>584</v>
      </c>
      <c r="C212" s="26" t="s">
        <v>1340</v>
      </c>
      <c r="D212" s="25" t="s">
        <v>1567</v>
      </c>
      <c r="E212" s="25" t="s">
        <v>1745</v>
      </c>
    </row>
    <row r="213" spans="1:5">
      <c r="A213" s="25" t="s">
        <v>1376</v>
      </c>
      <c r="B213" s="17" t="s">
        <v>586</v>
      </c>
      <c r="C213" s="20" t="s">
        <v>1377</v>
      </c>
      <c r="D213" s="25" t="s">
        <v>1567</v>
      </c>
      <c r="E213" s="25" t="s">
        <v>1745</v>
      </c>
    </row>
    <row r="214" spans="1:5">
      <c r="A214" s="18" t="s">
        <v>166</v>
      </c>
      <c r="B214" s="19" t="s">
        <v>587</v>
      </c>
      <c r="C214" s="20" t="s">
        <v>1036</v>
      </c>
      <c r="D214" s="25" t="s">
        <v>1567</v>
      </c>
      <c r="E214" s="25" t="s">
        <v>1745</v>
      </c>
    </row>
    <row r="215" spans="1:5">
      <c r="A215" s="25" t="s">
        <v>1625</v>
      </c>
      <c r="B215" s="19" t="s">
        <v>1311</v>
      </c>
      <c r="C215" s="26" t="s">
        <v>1650</v>
      </c>
      <c r="D215" s="25" t="s">
        <v>1567</v>
      </c>
      <c r="E215" s="25" t="s">
        <v>1745</v>
      </c>
    </row>
    <row r="216" spans="1:5">
      <c r="A216" s="18" t="s">
        <v>167</v>
      </c>
      <c r="B216" s="19" t="s">
        <v>587</v>
      </c>
      <c r="C216" s="20" t="s">
        <v>1037</v>
      </c>
      <c r="D216" s="25" t="s">
        <v>1567</v>
      </c>
      <c r="E216" s="25" t="s">
        <v>1745</v>
      </c>
    </row>
    <row r="217" spans="1:5">
      <c r="A217" s="25" t="s">
        <v>1334</v>
      </c>
      <c r="B217" s="19" t="s">
        <v>587</v>
      </c>
      <c r="C217" s="20" t="s">
        <v>1339</v>
      </c>
      <c r="D217" s="25" t="s">
        <v>1567</v>
      </c>
      <c r="E217" s="25" t="s">
        <v>1745</v>
      </c>
    </row>
    <row r="218" spans="1:5">
      <c r="A218" s="18" t="s">
        <v>168</v>
      </c>
      <c r="B218" s="19" t="s">
        <v>588</v>
      </c>
      <c r="C218" s="20" t="s">
        <v>1038</v>
      </c>
      <c r="D218" s="25" t="s">
        <v>1567</v>
      </c>
      <c r="E218" s="25" t="s">
        <v>1745</v>
      </c>
    </row>
    <row r="219" spans="1:5">
      <c r="A219" s="21" t="s">
        <v>1316</v>
      </c>
      <c r="B219" s="17" t="s">
        <v>1323</v>
      </c>
      <c r="C219" s="20" t="s">
        <v>1322</v>
      </c>
      <c r="D219" s="25" t="s">
        <v>1567</v>
      </c>
      <c r="E219" s="25" t="s">
        <v>1745</v>
      </c>
    </row>
    <row r="220" spans="1:5">
      <c r="A220" s="18" t="s">
        <v>169</v>
      </c>
      <c r="B220" s="19" t="s">
        <v>582</v>
      </c>
      <c r="C220" s="20" t="s">
        <v>1039</v>
      </c>
      <c r="D220" s="25" t="s">
        <v>1567</v>
      </c>
      <c r="E220" s="25" t="s">
        <v>1745</v>
      </c>
    </row>
    <row r="221" spans="1:5">
      <c r="A221" s="18" t="s">
        <v>170</v>
      </c>
      <c r="B221" s="19" t="s">
        <v>589</v>
      </c>
      <c r="C221" s="20" t="s">
        <v>1040</v>
      </c>
      <c r="D221" s="25" t="s">
        <v>1567</v>
      </c>
      <c r="E221" s="25" t="s">
        <v>1745</v>
      </c>
    </row>
    <row r="222" spans="1:5">
      <c r="A222" s="26" t="s">
        <v>1504</v>
      </c>
      <c r="B222" s="19" t="s">
        <v>1311</v>
      </c>
      <c r="C222" s="22" t="s">
        <v>1505</v>
      </c>
      <c r="D222" s="25" t="s">
        <v>1567</v>
      </c>
      <c r="E222" s="25" t="s">
        <v>1745</v>
      </c>
    </row>
    <row r="223" spans="1:5">
      <c r="A223" s="25" t="s">
        <v>1506</v>
      </c>
      <c r="B223" s="19" t="s">
        <v>1311</v>
      </c>
      <c r="C223" s="22" t="s">
        <v>1507</v>
      </c>
      <c r="D223" s="25" t="s">
        <v>1567</v>
      </c>
      <c r="E223" s="25" t="s">
        <v>1745</v>
      </c>
    </row>
    <row r="224" spans="1:5">
      <c r="A224" s="18" t="s">
        <v>171</v>
      </c>
      <c r="B224" s="19" t="s">
        <v>590</v>
      </c>
      <c r="C224" s="20" t="s">
        <v>1041</v>
      </c>
      <c r="D224" s="25" t="s">
        <v>1567</v>
      </c>
      <c r="E224" s="25" t="s">
        <v>1745</v>
      </c>
    </row>
    <row r="225" spans="1:5">
      <c r="A225" s="21" t="s">
        <v>1010</v>
      </c>
      <c r="B225" s="17" t="s">
        <v>1011</v>
      </c>
      <c r="C225" s="20" t="s">
        <v>1012</v>
      </c>
      <c r="D225" s="25" t="s">
        <v>1567</v>
      </c>
      <c r="E225" s="25" t="s">
        <v>1745</v>
      </c>
    </row>
    <row r="226" spans="1:5">
      <c r="A226" s="25" t="s">
        <v>1378</v>
      </c>
      <c r="B226" s="19" t="s">
        <v>592</v>
      </c>
      <c r="C226" s="20" t="s">
        <v>1379</v>
      </c>
      <c r="D226" s="25" t="s">
        <v>1567</v>
      </c>
      <c r="E226" s="25" t="s">
        <v>1745</v>
      </c>
    </row>
    <row r="227" spans="1:5">
      <c r="A227" s="18" t="s">
        <v>173</v>
      </c>
      <c r="B227" s="19" t="s">
        <v>592</v>
      </c>
      <c r="C227" s="20" t="s">
        <v>1043</v>
      </c>
      <c r="D227" s="25" t="s">
        <v>1567</v>
      </c>
      <c r="E227" s="25" t="s">
        <v>1745</v>
      </c>
    </row>
    <row r="228" spans="1:5">
      <c r="A228" s="18" t="s">
        <v>172</v>
      </c>
      <c r="B228" s="19" t="s">
        <v>591</v>
      </c>
      <c r="C228" s="20" t="s">
        <v>1042</v>
      </c>
      <c r="D228" s="25" t="s">
        <v>1566</v>
      </c>
      <c r="E228" s="25" t="s">
        <v>1745</v>
      </c>
    </row>
    <row r="229" spans="1:5">
      <c r="A229" s="21" t="s">
        <v>1013</v>
      </c>
      <c r="B229" s="17" t="s">
        <v>1014</v>
      </c>
      <c r="C229" s="20" t="s">
        <v>1015</v>
      </c>
      <c r="D229" s="25" t="s">
        <v>1567</v>
      </c>
      <c r="E229" s="25" t="s">
        <v>1745</v>
      </c>
    </row>
    <row r="230" spans="1:5">
      <c r="A230" s="25" t="s">
        <v>1380</v>
      </c>
      <c r="B230" s="17" t="s">
        <v>1014</v>
      </c>
      <c r="C230" s="20" t="s">
        <v>1381</v>
      </c>
      <c r="D230" s="25" t="s">
        <v>1567</v>
      </c>
      <c r="E230" s="25" t="s">
        <v>1745</v>
      </c>
    </row>
    <row r="231" spans="1:5">
      <c r="A231" s="35" t="s">
        <v>1728</v>
      </c>
      <c r="B231" s="19" t="s">
        <v>587</v>
      </c>
      <c r="C231" s="26" t="s">
        <v>1729</v>
      </c>
      <c r="D231" s="25" t="s">
        <v>1567</v>
      </c>
      <c r="E231" s="25" t="s">
        <v>1745</v>
      </c>
    </row>
    <row r="232" spans="1:5">
      <c r="A232" s="18" t="s">
        <v>174</v>
      </c>
      <c r="B232" s="19" t="s">
        <v>587</v>
      </c>
      <c r="C232" s="20" t="s">
        <v>1044</v>
      </c>
      <c r="D232" s="25" t="s">
        <v>1567</v>
      </c>
      <c r="E232" s="25" t="s">
        <v>1745</v>
      </c>
    </row>
    <row r="233" spans="1:5">
      <c r="A233" s="18" t="s">
        <v>175</v>
      </c>
      <c r="B233" s="19" t="s">
        <v>593</v>
      </c>
      <c r="C233" s="20" t="s">
        <v>1045</v>
      </c>
      <c r="D233" s="25" t="s">
        <v>1567</v>
      </c>
      <c r="E233" s="25" t="s">
        <v>1745</v>
      </c>
    </row>
    <row r="234" spans="1:5">
      <c r="A234" s="21" t="s">
        <v>1016</v>
      </c>
      <c r="B234" s="17" t="s">
        <v>593</v>
      </c>
      <c r="C234" s="20" t="s">
        <v>1017</v>
      </c>
      <c r="D234" s="25" t="s">
        <v>1567</v>
      </c>
      <c r="E234" s="25" t="s">
        <v>1745</v>
      </c>
    </row>
    <row r="235" spans="1:5">
      <c r="A235" s="18" t="s">
        <v>176</v>
      </c>
      <c r="B235" s="19" t="s">
        <v>594</v>
      </c>
      <c r="C235" s="20" t="s">
        <v>1046</v>
      </c>
      <c r="D235" s="25" t="s">
        <v>1567</v>
      </c>
      <c r="E235" s="25" t="s">
        <v>1745</v>
      </c>
    </row>
    <row r="236" spans="1:5">
      <c r="A236" s="18" t="s">
        <v>177</v>
      </c>
      <c r="B236" s="19" t="s">
        <v>595</v>
      </c>
      <c r="C236" s="20" t="s">
        <v>1047</v>
      </c>
      <c r="D236" s="25" t="s">
        <v>1567</v>
      </c>
      <c r="E236" s="25" t="s">
        <v>1745</v>
      </c>
    </row>
    <row r="237" spans="1:5">
      <c r="A237" s="25" t="s">
        <v>1382</v>
      </c>
      <c r="B237" s="19" t="s">
        <v>595</v>
      </c>
      <c r="C237" s="20" t="s">
        <v>1383</v>
      </c>
      <c r="D237" s="25" t="s">
        <v>1567</v>
      </c>
      <c r="E237" s="25" t="s">
        <v>1745</v>
      </c>
    </row>
    <row r="238" spans="1:5">
      <c r="A238" s="18" t="s">
        <v>178</v>
      </c>
      <c r="B238" s="19" t="s">
        <v>574</v>
      </c>
      <c r="C238" s="20" t="s">
        <v>1048</v>
      </c>
      <c r="D238" s="25" t="s">
        <v>1567</v>
      </c>
      <c r="E238" s="25" t="s">
        <v>1745</v>
      </c>
    </row>
    <row r="239" spans="1:5">
      <c r="A239" s="21" t="s">
        <v>179</v>
      </c>
      <c r="B239" s="17" t="s">
        <v>1330</v>
      </c>
      <c r="C239" s="20" t="s">
        <v>1018</v>
      </c>
      <c r="D239" s="25" t="s">
        <v>1567</v>
      </c>
      <c r="E239" s="25" t="s">
        <v>1745</v>
      </c>
    </row>
    <row r="240" spans="1:5">
      <c r="A240" s="35" t="s">
        <v>1725</v>
      </c>
      <c r="B240" s="19" t="s">
        <v>1726</v>
      </c>
      <c r="C240" s="26" t="s">
        <v>1727</v>
      </c>
      <c r="D240" s="25" t="s">
        <v>1567</v>
      </c>
      <c r="E240" s="25" t="s">
        <v>1745</v>
      </c>
    </row>
    <row r="241" spans="1:5">
      <c r="A241" s="18" t="s">
        <v>180</v>
      </c>
      <c r="B241" s="19" t="s">
        <v>575</v>
      </c>
      <c r="C241" s="20" t="s">
        <v>1049</v>
      </c>
      <c r="D241" s="25" t="s">
        <v>1567</v>
      </c>
      <c r="E241" s="25" t="s">
        <v>1745</v>
      </c>
    </row>
    <row r="242" spans="1:5">
      <c r="A242" s="27" t="s">
        <v>1335</v>
      </c>
      <c r="B242" s="17" t="s">
        <v>600</v>
      </c>
      <c r="C242" s="22" t="s">
        <v>1337</v>
      </c>
      <c r="D242" s="25" t="s">
        <v>1567</v>
      </c>
      <c r="E242" s="25" t="s">
        <v>1745</v>
      </c>
    </row>
    <row r="243" spans="1:5">
      <c r="A243" s="18" t="s">
        <v>181</v>
      </c>
      <c r="B243" s="19" t="s">
        <v>596</v>
      </c>
      <c r="C243" s="20" t="s">
        <v>1050</v>
      </c>
      <c r="D243" s="25" t="s">
        <v>1567</v>
      </c>
      <c r="E243" s="25" t="s">
        <v>1745</v>
      </c>
    </row>
    <row r="244" spans="1:5">
      <c r="A244" s="25" t="s">
        <v>1336</v>
      </c>
      <c r="B244" s="19" t="s">
        <v>596</v>
      </c>
      <c r="C244" s="20" t="s">
        <v>1338</v>
      </c>
      <c r="D244" s="25" t="s">
        <v>1567</v>
      </c>
      <c r="E244" s="25" t="s">
        <v>1745</v>
      </c>
    </row>
    <row r="245" spans="1:5">
      <c r="A245" s="18" t="s">
        <v>182</v>
      </c>
      <c r="B245" s="19" t="s">
        <v>597</v>
      </c>
      <c r="C245" s="20" t="s">
        <v>1051</v>
      </c>
      <c r="D245" s="25" t="s">
        <v>1567</v>
      </c>
      <c r="E245" s="25" t="s">
        <v>1745</v>
      </c>
    </row>
    <row r="246" spans="1:5">
      <c r="A246" s="18" t="s">
        <v>183</v>
      </c>
      <c r="B246" s="19" t="s">
        <v>598</v>
      </c>
      <c r="C246" s="20" t="s">
        <v>1052</v>
      </c>
      <c r="D246" s="25" t="s">
        <v>1567</v>
      </c>
      <c r="E246" s="25" t="s">
        <v>1745</v>
      </c>
    </row>
    <row r="247" spans="1:5">
      <c r="A247" s="18" t="s">
        <v>184</v>
      </c>
      <c r="B247" s="19" t="s">
        <v>599</v>
      </c>
      <c r="C247" s="20" t="s">
        <v>1053</v>
      </c>
      <c r="D247" s="25" t="s">
        <v>1567</v>
      </c>
      <c r="E247" s="25" t="s">
        <v>1745</v>
      </c>
    </row>
    <row r="248" spans="1:5">
      <c r="A248" s="21" t="s">
        <v>185</v>
      </c>
      <c r="B248" s="17" t="s">
        <v>600</v>
      </c>
      <c r="C248" s="20" t="s">
        <v>1019</v>
      </c>
      <c r="D248" s="25" t="s">
        <v>1567</v>
      </c>
      <c r="E248" s="25" t="s">
        <v>1745</v>
      </c>
    </row>
    <row r="249" spans="1:5">
      <c r="A249" s="18" t="s">
        <v>186</v>
      </c>
      <c r="B249" s="19" t="s">
        <v>601</v>
      </c>
      <c r="C249" s="20" t="s">
        <v>1054</v>
      </c>
      <c r="D249" s="25" t="s">
        <v>1567</v>
      </c>
      <c r="E249" s="25" t="s">
        <v>1745</v>
      </c>
    </row>
    <row r="250" spans="1:5">
      <c r="A250" s="18" t="s">
        <v>187</v>
      </c>
      <c r="B250" s="19" t="s">
        <v>602</v>
      </c>
      <c r="C250" s="20" t="s">
        <v>1055</v>
      </c>
      <c r="D250" s="25" t="s">
        <v>1566</v>
      </c>
      <c r="E250" s="25" t="s">
        <v>1745</v>
      </c>
    </row>
    <row r="251" spans="1:5">
      <c r="A251" s="18" t="s">
        <v>194</v>
      </c>
      <c r="B251" s="19" t="s">
        <v>608</v>
      </c>
      <c r="C251" s="20" t="s">
        <v>1060</v>
      </c>
      <c r="D251" s="25" t="s">
        <v>1566</v>
      </c>
      <c r="E251" s="25" t="s">
        <v>1745</v>
      </c>
    </row>
    <row r="252" spans="1:5">
      <c r="A252" s="18" t="s">
        <v>188</v>
      </c>
      <c r="B252" s="19" t="s">
        <v>603</v>
      </c>
      <c r="C252" s="20" t="s">
        <v>1056</v>
      </c>
      <c r="D252" s="25" t="s">
        <v>1567</v>
      </c>
      <c r="E252" s="25" t="s">
        <v>1745</v>
      </c>
    </row>
    <row r="253" spans="1:5">
      <c r="A253" s="25" t="s">
        <v>1614</v>
      </c>
      <c r="B253" s="19" t="s">
        <v>587</v>
      </c>
      <c r="C253" s="26" t="s">
        <v>1615</v>
      </c>
      <c r="D253" s="25" t="s">
        <v>1567</v>
      </c>
      <c r="E253" s="25" t="s">
        <v>1745</v>
      </c>
    </row>
    <row r="254" spans="1:5">
      <c r="A254" s="18" t="s">
        <v>1306</v>
      </c>
      <c r="B254" s="19" t="s">
        <v>1311</v>
      </c>
      <c r="C254" s="22" t="s">
        <v>1312</v>
      </c>
      <c r="D254" s="25" t="s">
        <v>1567</v>
      </c>
      <c r="E254" s="25" t="s">
        <v>1745</v>
      </c>
    </row>
    <row r="255" spans="1:5">
      <c r="A255" s="25" t="s">
        <v>1384</v>
      </c>
      <c r="B255" s="19" t="s">
        <v>1311</v>
      </c>
      <c r="C255" s="20" t="s">
        <v>1385</v>
      </c>
      <c r="D255" s="25" t="s">
        <v>1567</v>
      </c>
      <c r="E255" s="25" t="s">
        <v>1745</v>
      </c>
    </row>
    <row r="256" spans="1:5">
      <c r="A256" s="21" t="s">
        <v>153</v>
      </c>
      <c r="B256" s="17" t="s">
        <v>574</v>
      </c>
      <c r="C256" s="20" t="s">
        <v>1020</v>
      </c>
      <c r="D256" s="25" t="s">
        <v>1567</v>
      </c>
      <c r="E256" s="25" t="s">
        <v>1745</v>
      </c>
    </row>
    <row r="257" spans="1:5">
      <c r="A257" s="21" t="s">
        <v>155</v>
      </c>
      <c r="B257" s="17" t="s">
        <v>576</v>
      </c>
      <c r="C257" s="20" t="s">
        <v>1021</v>
      </c>
      <c r="D257" s="25" t="s">
        <v>1567</v>
      </c>
      <c r="E257" s="25" t="s">
        <v>1745</v>
      </c>
    </row>
    <row r="258" spans="1:5">
      <c r="A258" s="21" t="s">
        <v>154</v>
      </c>
      <c r="B258" s="17" t="s">
        <v>575</v>
      </c>
      <c r="C258" s="20" t="s">
        <v>1022</v>
      </c>
      <c r="D258" s="25" t="s">
        <v>1567</v>
      </c>
      <c r="E258" s="25" t="s">
        <v>1745</v>
      </c>
    </row>
    <row r="259" spans="1:5">
      <c r="A259" s="18" t="s">
        <v>189</v>
      </c>
      <c r="B259" s="19" t="s">
        <v>604</v>
      </c>
      <c r="C259" s="20" t="s">
        <v>1057</v>
      </c>
      <c r="D259" s="25" t="s">
        <v>1567</v>
      </c>
      <c r="E259" s="25" t="s">
        <v>1745</v>
      </c>
    </row>
    <row r="260" spans="1:5">
      <c r="A260" s="18" t="s">
        <v>195</v>
      </c>
      <c r="B260" s="19" t="s">
        <v>609</v>
      </c>
      <c r="C260" s="20" t="s">
        <v>1061</v>
      </c>
      <c r="D260" s="25" t="s">
        <v>1566</v>
      </c>
      <c r="E260" s="25" t="s">
        <v>1745</v>
      </c>
    </row>
    <row r="261" spans="1:5">
      <c r="A261" s="18" t="s">
        <v>152</v>
      </c>
      <c r="B261" s="19" t="s">
        <v>573</v>
      </c>
      <c r="C261" s="20" t="s">
        <v>1030</v>
      </c>
      <c r="D261" s="25" t="s">
        <v>1567</v>
      </c>
      <c r="E261" s="25" t="s">
        <v>1745</v>
      </c>
    </row>
    <row r="262" spans="1:5">
      <c r="A262" s="21" t="s">
        <v>190</v>
      </c>
      <c r="B262" s="17" t="s">
        <v>605</v>
      </c>
      <c r="C262" s="20" t="s">
        <v>1023</v>
      </c>
      <c r="D262" s="25" t="s">
        <v>1567</v>
      </c>
      <c r="E262" s="25" t="s">
        <v>1745</v>
      </c>
    </row>
    <row r="263" spans="1:5">
      <c r="A263" s="21" t="s">
        <v>191</v>
      </c>
      <c r="B263" s="17" t="s">
        <v>600</v>
      </c>
      <c r="C263" s="20" t="s">
        <v>1024</v>
      </c>
      <c r="D263" s="25" t="s">
        <v>1567</v>
      </c>
      <c r="E263" s="25" t="s">
        <v>1745</v>
      </c>
    </row>
    <row r="264" spans="1:5">
      <c r="A264" s="18" t="s">
        <v>192</v>
      </c>
      <c r="B264" s="19" t="s">
        <v>606</v>
      </c>
      <c r="C264" s="20" t="s">
        <v>1058</v>
      </c>
      <c r="D264" s="25" t="s">
        <v>1567</v>
      </c>
      <c r="E264" s="25" t="s">
        <v>1745</v>
      </c>
    </row>
    <row r="265" spans="1:5">
      <c r="A265" s="26" t="s">
        <v>1660</v>
      </c>
      <c r="B265" s="19" t="s">
        <v>1661</v>
      </c>
      <c r="C265" s="26" t="s">
        <v>1662</v>
      </c>
      <c r="D265" s="25" t="s">
        <v>1567</v>
      </c>
      <c r="E265" s="25" t="s">
        <v>1745</v>
      </c>
    </row>
    <row r="266" spans="1:5">
      <c r="A266" s="18" t="s">
        <v>193</v>
      </c>
      <c r="B266" s="19" t="s">
        <v>607</v>
      </c>
      <c r="C266" s="20" t="s">
        <v>1059</v>
      </c>
      <c r="D266" s="25" t="s">
        <v>1566</v>
      </c>
      <c r="E266" s="25" t="s">
        <v>1745</v>
      </c>
    </row>
    <row r="267" spans="1:5">
      <c r="A267" s="21" t="s">
        <v>157</v>
      </c>
      <c r="B267" s="17" t="s">
        <v>578</v>
      </c>
      <c r="C267" s="20" t="s">
        <v>1025</v>
      </c>
      <c r="D267" s="25" t="s">
        <v>1567</v>
      </c>
      <c r="E267" s="25" t="s">
        <v>1745</v>
      </c>
    </row>
    <row r="268" spans="1:5">
      <c r="A268" s="18" t="s">
        <v>158</v>
      </c>
      <c r="B268" s="19" t="s">
        <v>579</v>
      </c>
      <c r="C268" s="20" t="s">
        <v>1031</v>
      </c>
      <c r="D268" s="25" t="s">
        <v>1567</v>
      </c>
      <c r="E268" s="25" t="s">
        <v>1745</v>
      </c>
    </row>
    <row r="269" spans="1:5">
      <c r="A269" s="21" t="s">
        <v>156</v>
      </c>
      <c r="B269" s="17" t="s">
        <v>577</v>
      </c>
      <c r="C269" s="20" t="s">
        <v>1026</v>
      </c>
      <c r="D269" s="25" t="s">
        <v>1567</v>
      </c>
      <c r="E269" s="25" t="s">
        <v>1745</v>
      </c>
    </row>
    <row r="270" spans="1:5">
      <c r="A270" s="21" t="s">
        <v>159</v>
      </c>
      <c r="B270" s="17" t="s">
        <v>580</v>
      </c>
      <c r="C270" s="20" t="s">
        <v>1027</v>
      </c>
      <c r="D270" s="25" t="s">
        <v>1567</v>
      </c>
      <c r="E270" s="25" t="s">
        <v>1745</v>
      </c>
    </row>
    <row r="271" spans="1:5">
      <c r="A271" s="18" t="s">
        <v>160</v>
      </c>
      <c r="B271" s="19" t="s">
        <v>581</v>
      </c>
      <c r="C271" s="20" t="s">
        <v>1032</v>
      </c>
      <c r="D271" s="25" t="s">
        <v>1567</v>
      </c>
      <c r="E271" s="25" t="s">
        <v>1745</v>
      </c>
    </row>
    <row r="272" spans="1:5">
      <c r="A272" s="21" t="s">
        <v>161</v>
      </c>
      <c r="B272" s="17" t="s">
        <v>582</v>
      </c>
      <c r="C272" s="20" t="s">
        <v>1028</v>
      </c>
      <c r="D272" s="25" t="s">
        <v>1567</v>
      </c>
      <c r="E272" s="25" t="s">
        <v>1745</v>
      </c>
    </row>
    <row r="273" spans="1:5">
      <c r="A273" s="18" t="s">
        <v>162</v>
      </c>
      <c r="B273" s="19" t="s">
        <v>583</v>
      </c>
      <c r="C273" s="20" t="s">
        <v>1033</v>
      </c>
      <c r="D273" s="25" t="s">
        <v>1567</v>
      </c>
      <c r="E273" s="25" t="s">
        <v>1745</v>
      </c>
    </row>
    <row r="274" spans="1:5">
      <c r="A274" s="21" t="s">
        <v>200</v>
      </c>
      <c r="B274" s="17" t="s">
        <v>798</v>
      </c>
      <c r="C274" s="20" t="s">
        <v>1029</v>
      </c>
      <c r="D274" s="25" t="s">
        <v>1605</v>
      </c>
      <c r="E274" s="25" t="s">
        <v>1745</v>
      </c>
    </row>
    <row r="275" spans="1:5">
      <c r="A275" s="35" t="s">
        <v>1723</v>
      </c>
      <c r="B275" s="19" t="s">
        <v>798</v>
      </c>
      <c r="C275" s="26" t="s">
        <v>1724</v>
      </c>
      <c r="D275" s="25" t="s">
        <v>1605</v>
      </c>
      <c r="E275" s="25" t="s">
        <v>1745</v>
      </c>
    </row>
    <row r="276" spans="1:5">
      <c r="A276" s="18" t="s">
        <v>201</v>
      </c>
      <c r="B276" s="17" t="s">
        <v>799</v>
      </c>
      <c r="C276" s="20" t="s">
        <v>1267</v>
      </c>
      <c r="D276" s="25" t="s">
        <v>1605</v>
      </c>
      <c r="E276" s="25" t="s">
        <v>1745</v>
      </c>
    </row>
    <row r="277" spans="1:5">
      <c r="A277" s="18" t="s">
        <v>8</v>
      </c>
      <c r="B277" s="17" t="s">
        <v>469</v>
      </c>
      <c r="C277" s="20" t="s">
        <v>918</v>
      </c>
      <c r="D277" s="25" t="s">
        <v>1616</v>
      </c>
      <c r="E277" s="25" t="s">
        <v>1745</v>
      </c>
    </row>
    <row r="278" spans="1:5">
      <c r="A278" s="18" t="s">
        <v>70</v>
      </c>
      <c r="B278" s="19" t="s">
        <v>515</v>
      </c>
      <c r="C278" s="20" t="s">
        <v>960</v>
      </c>
      <c r="D278" s="25" t="s">
        <v>1616</v>
      </c>
      <c r="E278" s="25" t="s">
        <v>1745</v>
      </c>
    </row>
    <row r="279" spans="1:5">
      <c r="A279" s="25" t="s">
        <v>1477</v>
      </c>
      <c r="B279" s="19" t="s">
        <v>1483</v>
      </c>
      <c r="C279" s="26" t="s">
        <v>1482</v>
      </c>
      <c r="D279" s="25" t="s">
        <v>1566</v>
      </c>
      <c r="E279" s="25" t="s">
        <v>1745</v>
      </c>
    </row>
    <row r="280" spans="1:5">
      <c r="A280" s="18" t="s">
        <v>12</v>
      </c>
      <c r="B280" s="19" t="s">
        <v>473</v>
      </c>
      <c r="C280" s="20" t="s">
        <v>920</v>
      </c>
      <c r="D280" s="25" t="s">
        <v>1616</v>
      </c>
      <c r="E280" s="25" t="s">
        <v>1745</v>
      </c>
    </row>
    <row r="281" spans="1:5">
      <c r="A281" s="18" t="s">
        <v>1324</v>
      </c>
      <c r="B281" s="19" t="s">
        <v>1328</v>
      </c>
      <c r="C281" s="20" t="s">
        <v>1329</v>
      </c>
      <c r="D281" s="25" t="s">
        <v>1616</v>
      </c>
      <c r="E281" s="25" t="s">
        <v>1745</v>
      </c>
    </row>
    <row r="282" spans="1:5">
      <c r="A282" s="35" t="s">
        <v>1704</v>
      </c>
      <c r="B282" s="19" t="s">
        <v>1328</v>
      </c>
      <c r="C282" s="26" t="s">
        <v>1705</v>
      </c>
      <c r="D282" s="25" t="s">
        <v>1616</v>
      </c>
      <c r="E282" s="25" t="s">
        <v>1745</v>
      </c>
    </row>
    <row r="283" spans="1:5">
      <c r="A283" s="18" t="s">
        <v>13</v>
      </c>
      <c r="B283" s="19" t="s">
        <v>474</v>
      </c>
      <c r="C283" s="20" t="s">
        <v>921</v>
      </c>
      <c r="D283" s="25" t="s">
        <v>1616</v>
      </c>
      <c r="E283" s="25" t="s">
        <v>1745</v>
      </c>
    </row>
    <row r="284" spans="1:5">
      <c r="A284" s="18" t="s">
        <v>14</v>
      </c>
      <c r="B284" s="19" t="s">
        <v>474</v>
      </c>
      <c r="C284" s="20" t="s">
        <v>922</v>
      </c>
      <c r="D284" s="25" t="s">
        <v>1616</v>
      </c>
      <c r="E284" s="25" t="s">
        <v>1745</v>
      </c>
    </row>
    <row r="285" spans="1:5">
      <c r="A285" s="18" t="s">
        <v>15</v>
      </c>
      <c r="B285" s="19" t="s">
        <v>475</v>
      </c>
      <c r="C285" s="20" t="s">
        <v>923</v>
      </c>
      <c r="D285" s="25" t="s">
        <v>1616</v>
      </c>
      <c r="E285" s="25" t="s">
        <v>1745</v>
      </c>
    </row>
    <row r="286" spans="1:5">
      <c r="A286" s="18" t="s">
        <v>16</v>
      </c>
      <c r="B286" s="19" t="s">
        <v>475</v>
      </c>
      <c r="C286" s="20" t="s">
        <v>924</v>
      </c>
      <c r="D286" s="25" t="s">
        <v>1616</v>
      </c>
      <c r="E286" s="25" t="s">
        <v>1745</v>
      </c>
    </row>
    <row r="287" spans="1:5">
      <c r="A287" s="25" t="s">
        <v>1386</v>
      </c>
      <c r="B287" s="19" t="s">
        <v>1387</v>
      </c>
      <c r="C287" s="20" t="s">
        <v>1388</v>
      </c>
      <c r="D287" s="25" t="s">
        <v>1616</v>
      </c>
      <c r="E287" s="25" t="s">
        <v>1745</v>
      </c>
    </row>
    <row r="288" spans="1:5">
      <c r="A288" s="33" t="s">
        <v>1538</v>
      </c>
      <c r="B288" s="19" t="s">
        <v>1387</v>
      </c>
      <c r="C288" s="26" t="s">
        <v>1540</v>
      </c>
      <c r="D288" s="25" t="s">
        <v>1616</v>
      </c>
      <c r="E288" s="25" t="s">
        <v>1745</v>
      </c>
    </row>
    <row r="289" spans="1:5">
      <c r="A289" s="18" t="s">
        <v>17</v>
      </c>
      <c r="B289" s="19" t="s">
        <v>475</v>
      </c>
      <c r="C289" s="20" t="s">
        <v>925</v>
      </c>
      <c r="D289" s="25" t="s">
        <v>1616</v>
      </c>
      <c r="E289" s="25" t="s">
        <v>1745</v>
      </c>
    </row>
    <row r="290" spans="1:5">
      <c r="A290" s="18" t="s">
        <v>18</v>
      </c>
      <c r="B290" s="19" t="s">
        <v>476</v>
      </c>
      <c r="C290" s="20" t="s">
        <v>926</v>
      </c>
      <c r="D290" s="25" t="s">
        <v>1616</v>
      </c>
      <c r="E290" s="25" t="s">
        <v>1745</v>
      </c>
    </row>
    <row r="291" spans="1:5">
      <c r="A291" s="18" t="s">
        <v>1315</v>
      </c>
      <c r="B291" s="19" t="s">
        <v>1320</v>
      </c>
      <c r="C291" s="20" t="s">
        <v>1321</v>
      </c>
      <c r="D291" s="25" t="s">
        <v>1616</v>
      </c>
      <c r="E291" s="25" t="s">
        <v>1745</v>
      </c>
    </row>
    <row r="292" spans="1:5">
      <c r="A292" s="21" t="s">
        <v>19</v>
      </c>
      <c r="B292" s="17" t="s">
        <v>477</v>
      </c>
      <c r="C292" s="20" t="s">
        <v>857</v>
      </c>
      <c r="D292" s="25" t="s">
        <v>1616</v>
      </c>
      <c r="E292" s="25" t="s">
        <v>1745</v>
      </c>
    </row>
    <row r="293" spans="1:5">
      <c r="A293" s="18" t="s">
        <v>20</v>
      </c>
      <c r="B293" s="19" t="s">
        <v>478</v>
      </c>
      <c r="C293" s="20" t="s">
        <v>927</v>
      </c>
      <c r="D293" s="25" t="s">
        <v>1616</v>
      </c>
      <c r="E293" s="25" t="s">
        <v>1745</v>
      </c>
    </row>
    <row r="294" spans="1:5">
      <c r="A294" s="18" t="s">
        <v>21</v>
      </c>
      <c r="B294" s="19" t="s">
        <v>478</v>
      </c>
      <c r="C294" s="20" t="s">
        <v>928</v>
      </c>
      <c r="D294" s="25" t="s">
        <v>1616</v>
      </c>
      <c r="E294" s="25" t="s">
        <v>1745</v>
      </c>
    </row>
    <row r="295" spans="1:5">
      <c r="A295" s="18" t="s">
        <v>22</v>
      </c>
      <c r="B295" s="19" t="s">
        <v>479</v>
      </c>
      <c r="C295" s="20" t="s">
        <v>929</v>
      </c>
      <c r="D295" s="25" t="s">
        <v>1616</v>
      </c>
      <c r="E295" s="25" t="s">
        <v>1745</v>
      </c>
    </row>
    <row r="296" spans="1:5">
      <c r="A296" s="18" t="s">
        <v>23</v>
      </c>
      <c r="B296" s="19" t="s">
        <v>479</v>
      </c>
      <c r="C296" s="20" t="s">
        <v>930</v>
      </c>
      <c r="D296" s="25" t="s">
        <v>1616</v>
      </c>
      <c r="E296" s="25" t="s">
        <v>1745</v>
      </c>
    </row>
    <row r="297" spans="1:5">
      <c r="A297" s="35" t="s">
        <v>1691</v>
      </c>
      <c r="B297" s="19" t="s">
        <v>479</v>
      </c>
      <c r="C297" s="26" t="s">
        <v>1692</v>
      </c>
      <c r="D297" s="25" t="s">
        <v>1616</v>
      </c>
      <c r="E297" s="25" t="s">
        <v>1745</v>
      </c>
    </row>
    <row r="298" spans="1:5">
      <c r="A298" s="18" t="s">
        <v>24</v>
      </c>
      <c r="B298" s="19" t="s">
        <v>478</v>
      </c>
      <c r="C298" s="20" t="s">
        <v>931</v>
      </c>
      <c r="D298" s="25" t="s">
        <v>1616</v>
      </c>
      <c r="E298" s="25" t="s">
        <v>1745</v>
      </c>
    </row>
    <row r="299" spans="1:5">
      <c r="A299" s="21" t="s">
        <v>10</v>
      </c>
      <c r="B299" s="17" t="s">
        <v>471</v>
      </c>
      <c r="C299" s="20" t="s">
        <v>858</v>
      </c>
      <c r="D299" s="25" t="s">
        <v>1616</v>
      </c>
      <c r="E299" s="25" t="s">
        <v>1745</v>
      </c>
    </row>
    <row r="300" spans="1:5">
      <c r="A300" s="21" t="s">
        <v>11</v>
      </c>
      <c r="B300" s="17" t="s">
        <v>472</v>
      </c>
      <c r="C300" s="20" t="s">
        <v>859</v>
      </c>
      <c r="D300" s="25" t="s">
        <v>1616</v>
      </c>
      <c r="E300" s="25" t="s">
        <v>1745</v>
      </c>
    </row>
    <row r="301" spans="1:5">
      <c r="A301" s="18" t="s">
        <v>9</v>
      </c>
      <c r="B301" s="17" t="s">
        <v>470</v>
      </c>
      <c r="C301" s="20" t="s">
        <v>919</v>
      </c>
      <c r="D301" s="25" t="s">
        <v>1616</v>
      </c>
      <c r="E301" s="25" t="s">
        <v>1745</v>
      </c>
    </row>
    <row r="302" spans="1:5">
      <c r="A302" s="21" t="s">
        <v>25</v>
      </c>
      <c r="B302" s="17" t="s">
        <v>480</v>
      </c>
      <c r="C302" s="20" t="s">
        <v>860</v>
      </c>
      <c r="D302" s="25" t="s">
        <v>1616</v>
      </c>
      <c r="E302" s="25" t="s">
        <v>1745</v>
      </c>
    </row>
    <row r="303" spans="1:5">
      <c r="A303" s="21" t="s">
        <v>26</v>
      </c>
      <c r="B303" s="17" t="s">
        <v>481</v>
      </c>
      <c r="C303" s="20" t="s">
        <v>861</v>
      </c>
      <c r="D303" s="25" t="s">
        <v>1616</v>
      </c>
      <c r="E303" s="25" t="s">
        <v>1745</v>
      </c>
    </row>
    <row r="304" spans="1:5">
      <c r="A304" s="21" t="s">
        <v>27</v>
      </c>
      <c r="B304" s="17" t="s">
        <v>482</v>
      </c>
      <c r="C304" s="20" t="s">
        <v>862</v>
      </c>
      <c r="D304" s="25" t="s">
        <v>1616</v>
      </c>
      <c r="E304" s="25" t="s">
        <v>1745</v>
      </c>
    </row>
    <row r="305" spans="1:5">
      <c r="A305" s="21" t="s">
        <v>28</v>
      </c>
      <c r="B305" s="17" t="s">
        <v>481</v>
      </c>
      <c r="C305" s="20" t="s">
        <v>863</v>
      </c>
      <c r="D305" s="25" t="s">
        <v>1616</v>
      </c>
      <c r="E305" s="25" t="s">
        <v>1745</v>
      </c>
    </row>
    <row r="306" spans="1:5">
      <c r="A306" s="21" t="s">
        <v>29</v>
      </c>
      <c r="B306" s="17" t="s">
        <v>482</v>
      </c>
      <c r="C306" s="20" t="s">
        <v>864</v>
      </c>
      <c r="D306" s="25" t="s">
        <v>1616</v>
      </c>
      <c r="E306" s="25" t="s">
        <v>1745</v>
      </c>
    </row>
    <row r="307" spans="1:5">
      <c r="A307" s="16" t="s">
        <v>1756</v>
      </c>
      <c r="B307" s="17" t="s">
        <v>482</v>
      </c>
      <c r="C307" s="26" t="s">
        <v>1757</v>
      </c>
      <c r="D307" s="25" t="s">
        <v>1616</v>
      </c>
      <c r="E307" s="25" t="s">
        <v>1745</v>
      </c>
    </row>
    <row r="308" spans="1:5">
      <c r="A308" s="18" t="s">
        <v>30</v>
      </c>
      <c r="B308" s="19" t="s">
        <v>483</v>
      </c>
      <c r="C308" s="20" t="s">
        <v>932</v>
      </c>
      <c r="D308" s="25" t="s">
        <v>1616</v>
      </c>
      <c r="E308" s="25" t="s">
        <v>1745</v>
      </c>
    </row>
    <row r="309" spans="1:5">
      <c r="A309" s="18" t="s">
        <v>1636</v>
      </c>
      <c r="B309" s="19" t="s">
        <v>1637</v>
      </c>
      <c r="C309" s="22" t="s">
        <v>1638</v>
      </c>
      <c r="D309" s="25" t="s">
        <v>1616</v>
      </c>
      <c r="E309" s="25" t="s">
        <v>1745</v>
      </c>
    </row>
    <row r="310" spans="1:5">
      <c r="A310" s="18" t="s">
        <v>31</v>
      </c>
      <c r="B310" s="19" t="s">
        <v>484</v>
      </c>
      <c r="C310" s="20" t="s">
        <v>933</v>
      </c>
      <c r="D310" s="25" t="s">
        <v>1616</v>
      </c>
      <c r="E310" s="25" t="s">
        <v>1745</v>
      </c>
    </row>
    <row r="311" spans="1:5">
      <c r="A311" s="18" t="s">
        <v>32</v>
      </c>
      <c r="B311" s="19" t="s">
        <v>485</v>
      </c>
      <c r="C311" s="20" t="s">
        <v>934</v>
      </c>
      <c r="D311" s="25" t="s">
        <v>1616</v>
      </c>
      <c r="E311" s="25" t="s">
        <v>1745</v>
      </c>
    </row>
    <row r="312" spans="1:5">
      <c r="A312" s="18" t="s">
        <v>33</v>
      </c>
      <c r="B312" s="19" t="s">
        <v>484</v>
      </c>
      <c r="C312" s="20" t="s">
        <v>935</v>
      </c>
      <c r="D312" s="25" t="s">
        <v>1616</v>
      </c>
      <c r="E312" s="25" t="s">
        <v>1745</v>
      </c>
    </row>
    <row r="313" spans="1:5">
      <c r="A313" s="18" t="s">
        <v>1642</v>
      </c>
      <c r="B313" s="19" t="s">
        <v>1643</v>
      </c>
      <c r="C313" s="22" t="s">
        <v>1644</v>
      </c>
      <c r="D313" s="25" t="s">
        <v>1616</v>
      </c>
      <c r="E313" s="25" t="s">
        <v>1745</v>
      </c>
    </row>
    <row r="314" spans="1:5">
      <c r="A314" s="18" t="s">
        <v>1639</v>
      </c>
      <c r="B314" s="19" t="s">
        <v>1640</v>
      </c>
      <c r="C314" s="22" t="s">
        <v>1641</v>
      </c>
      <c r="D314" s="25" t="s">
        <v>1616</v>
      </c>
      <c r="E314" s="25" t="s">
        <v>1745</v>
      </c>
    </row>
    <row r="315" spans="1:5">
      <c r="A315" s="18" t="s">
        <v>34</v>
      </c>
      <c r="B315" s="19" t="s">
        <v>482</v>
      </c>
      <c r="C315" s="20" t="s">
        <v>936</v>
      </c>
      <c r="D315" s="25" t="s">
        <v>1616</v>
      </c>
      <c r="E315" s="25" t="s">
        <v>1745</v>
      </c>
    </row>
    <row r="316" spans="1:5">
      <c r="A316" s="18" t="s">
        <v>35</v>
      </c>
      <c r="B316" s="19" t="s">
        <v>486</v>
      </c>
      <c r="C316" s="20" t="s">
        <v>937</v>
      </c>
      <c r="D316" s="25" t="s">
        <v>1616</v>
      </c>
      <c r="E316" s="25" t="s">
        <v>1745</v>
      </c>
    </row>
    <row r="317" spans="1:5">
      <c r="A317" s="21" t="s">
        <v>36</v>
      </c>
      <c r="B317" s="17" t="s">
        <v>487</v>
      </c>
      <c r="C317" s="20" t="s">
        <v>865</v>
      </c>
      <c r="D317" s="25" t="s">
        <v>1616</v>
      </c>
      <c r="E317" s="25" t="s">
        <v>1745</v>
      </c>
    </row>
    <row r="318" spans="1:5">
      <c r="A318" s="21" t="s">
        <v>37</v>
      </c>
      <c r="B318" s="17" t="s">
        <v>488</v>
      </c>
      <c r="C318" s="20" t="s">
        <v>866</v>
      </c>
      <c r="D318" s="25" t="s">
        <v>1616</v>
      </c>
      <c r="E318" s="25" t="s">
        <v>1745</v>
      </c>
    </row>
    <row r="319" spans="1:5">
      <c r="A319" s="21" t="s">
        <v>38</v>
      </c>
      <c r="B319" s="17" t="s">
        <v>489</v>
      </c>
      <c r="C319" s="20" t="s">
        <v>867</v>
      </c>
      <c r="D319" s="25" t="s">
        <v>1616</v>
      </c>
      <c r="E319" s="25" t="s">
        <v>1745</v>
      </c>
    </row>
    <row r="320" spans="1:5">
      <c r="A320" s="21" t="s">
        <v>39</v>
      </c>
      <c r="B320" s="17" t="s">
        <v>490</v>
      </c>
      <c r="C320" s="20" t="s">
        <v>868</v>
      </c>
      <c r="D320" s="25" t="s">
        <v>1616</v>
      </c>
      <c r="E320" s="25" t="s">
        <v>1745</v>
      </c>
    </row>
    <row r="321" spans="1:5">
      <c r="A321" s="18" t="s">
        <v>40</v>
      </c>
      <c r="B321" s="19" t="s">
        <v>491</v>
      </c>
      <c r="C321" s="20" t="s">
        <v>938</v>
      </c>
      <c r="D321" s="25" t="s">
        <v>1616</v>
      </c>
      <c r="E321" s="25" t="s">
        <v>1745</v>
      </c>
    </row>
    <row r="322" spans="1:5">
      <c r="A322" s="21" t="s">
        <v>41</v>
      </c>
      <c r="B322" s="17" t="s">
        <v>486</v>
      </c>
      <c r="C322" s="20" t="s">
        <v>869</v>
      </c>
      <c r="D322" s="25" t="s">
        <v>1616</v>
      </c>
      <c r="E322" s="25" t="s">
        <v>1745</v>
      </c>
    </row>
    <row r="323" spans="1:5">
      <c r="A323" s="21" t="s">
        <v>42</v>
      </c>
      <c r="B323" s="17" t="s">
        <v>492</v>
      </c>
      <c r="C323" s="20" t="s">
        <v>870</v>
      </c>
      <c r="D323" s="25" t="s">
        <v>1616</v>
      </c>
      <c r="E323" s="25" t="s">
        <v>1745</v>
      </c>
    </row>
    <row r="324" spans="1:5">
      <c r="A324" s="21" t="s">
        <v>43</v>
      </c>
      <c r="B324" s="17" t="s">
        <v>493</v>
      </c>
      <c r="C324" s="20" t="s">
        <v>871</v>
      </c>
      <c r="D324" s="25" t="s">
        <v>1616</v>
      </c>
      <c r="E324" s="25" t="s">
        <v>1745</v>
      </c>
    </row>
    <row r="325" spans="1:5">
      <c r="A325" s="26" t="s">
        <v>1666</v>
      </c>
      <c r="B325" s="19" t="s">
        <v>494</v>
      </c>
      <c r="C325" s="26" t="s">
        <v>1667</v>
      </c>
      <c r="D325" s="25" t="s">
        <v>1616</v>
      </c>
      <c r="E325" s="25" t="s">
        <v>1745</v>
      </c>
    </row>
    <row r="326" spans="1:5">
      <c r="A326" s="18" t="s">
        <v>44</v>
      </c>
      <c r="B326" s="19" t="s">
        <v>494</v>
      </c>
      <c r="C326" s="20" t="s">
        <v>939</v>
      </c>
      <c r="D326" s="25" t="s">
        <v>1616</v>
      </c>
      <c r="E326" s="25" t="s">
        <v>1745</v>
      </c>
    </row>
    <row r="327" spans="1:5">
      <c r="A327" s="18" t="s">
        <v>45</v>
      </c>
      <c r="B327" s="19" t="s">
        <v>495</v>
      </c>
      <c r="C327" s="20" t="s">
        <v>940</v>
      </c>
      <c r="D327" s="25" t="s">
        <v>1616</v>
      </c>
      <c r="E327" s="25" t="s">
        <v>1745</v>
      </c>
    </row>
    <row r="328" spans="1:5">
      <c r="A328" s="18" t="s">
        <v>47</v>
      </c>
      <c r="B328" s="19" t="s">
        <v>497</v>
      </c>
      <c r="C328" s="20" t="s">
        <v>941</v>
      </c>
      <c r="D328" s="25" t="s">
        <v>1616</v>
      </c>
      <c r="E328" s="25" t="s">
        <v>1745</v>
      </c>
    </row>
    <row r="329" spans="1:5">
      <c r="A329" s="25" t="s">
        <v>1389</v>
      </c>
      <c r="B329" s="19" t="s">
        <v>874</v>
      </c>
      <c r="C329" s="20" t="s">
        <v>1390</v>
      </c>
      <c r="D329" s="25" t="s">
        <v>1616</v>
      </c>
      <c r="E329" s="25" t="s">
        <v>1745</v>
      </c>
    </row>
    <row r="330" spans="1:5">
      <c r="A330" s="21" t="s">
        <v>46</v>
      </c>
      <c r="B330" s="17" t="s">
        <v>496</v>
      </c>
      <c r="C330" s="20" t="s">
        <v>872</v>
      </c>
      <c r="D330" s="25" t="s">
        <v>1616</v>
      </c>
      <c r="E330" s="25" t="s">
        <v>1745</v>
      </c>
    </row>
    <row r="331" spans="1:5">
      <c r="A331" s="21" t="s">
        <v>48</v>
      </c>
      <c r="B331" s="17" t="s">
        <v>497</v>
      </c>
      <c r="C331" s="20" t="s">
        <v>873</v>
      </c>
      <c r="D331" s="25" t="s">
        <v>1616</v>
      </c>
      <c r="E331" s="25" t="s">
        <v>1745</v>
      </c>
    </row>
    <row r="332" spans="1:5">
      <c r="A332" s="21" t="s">
        <v>49</v>
      </c>
      <c r="B332" s="17" t="s">
        <v>874</v>
      </c>
      <c r="C332" s="20" t="s">
        <v>875</v>
      </c>
      <c r="D332" s="25" t="s">
        <v>1616</v>
      </c>
      <c r="E332" s="25" t="s">
        <v>1745</v>
      </c>
    </row>
    <row r="333" spans="1:5">
      <c r="A333" s="18" t="s">
        <v>67</v>
      </c>
      <c r="B333" s="19" t="s">
        <v>512</v>
      </c>
      <c r="C333" s="20" t="s">
        <v>1544</v>
      </c>
      <c r="D333" s="25" t="s">
        <v>1606</v>
      </c>
      <c r="E333" s="25" t="s">
        <v>1745</v>
      </c>
    </row>
    <row r="334" spans="1:5">
      <c r="A334" s="35" t="s">
        <v>1678</v>
      </c>
      <c r="B334" s="19" t="s">
        <v>512</v>
      </c>
      <c r="C334" s="26" t="s">
        <v>1679</v>
      </c>
      <c r="D334" s="25" t="s">
        <v>1606</v>
      </c>
      <c r="E334" s="25" t="s">
        <v>1745</v>
      </c>
    </row>
    <row r="335" spans="1:5">
      <c r="A335" s="18" t="s">
        <v>68</v>
      </c>
      <c r="B335" s="19" t="s">
        <v>513</v>
      </c>
      <c r="C335" s="20" t="s">
        <v>958</v>
      </c>
      <c r="D335" s="25" t="s">
        <v>1606</v>
      </c>
      <c r="E335" s="25" t="s">
        <v>1745</v>
      </c>
    </row>
    <row r="336" spans="1:5">
      <c r="A336" s="18" t="s">
        <v>69</v>
      </c>
      <c r="B336" s="19" t="s">
        <v>514</v>
      </c>
      <c r="C336" s="20" t="s">
        <v>959</v>
      </c>
      <c r="D336" s="25" t="s">
        <v>1606</v>
      </c>
      <c r="E336" s="25" t="s">
        <v>1745</v>
      </c>
    </row>
    <row r="337" spans="1:5">
      <c r="A337" s="18" t="s">
        <v>65</v>
      </c>
      <c r="B337" s="19" t="s">
        <v>510</v>
      </c>
      <c r="C337" s="20" t="s">
        <v>956</v>
      </c>
      <c r="D337" s="25" t="s">
        <v>1606</v>
      </c>
      <c r="E337" s="25" t="s">
        <v>1745</v>
      </c>
    </row>
    <row r="338" spans="1:5">
      <c r="A338" s="18" t="s">
        <v>66</v>
      </c>
      <c r="B338" s="19" t="s">
        <v>511</v>
      </c>
      <c r="C338" s="20" t="s">
        <v>957</v>
      </c>
      <c r="D338" s="25" t="s">
        <v>1606</v>
      </c>
      <c r="E338" s="25" t="s">
        <v>1745</v>
      </c>
    </row>
    <row r="339" spans="1:5">
      <c r="A339" s="18" t="s">
        <v>277</v>
      </c>
      <c r="B339" s="19" t="s">
        <v>682</v>
      </c>
      <c r="C339" s="20" t="s">
        <v>1134</v>
      </c>
      <c r="D339" s="25" t="s">
        <v>1617</v>
      </c>
      <c r="E339" s="25" t="s">
        <v>1745</v>
      </c>
    </row>
    <row r="340" spans="1:5">
      <c r="A340" s="26" t="s">
        <v>1663</v>
      </c>
      <c r="B340" s="19" t="s">
        <v>1664</v>
      </c>
      <c r="C340" s="26" t="s">
        <v>1665</v>
      </c>
      <c r="D340" s="25" t="s">
        <v>1617</v>
      </c>
      <c r="E340" s="25" t="s">
        <v>1745</v>
      </c>
    </row>
    <row r="341" spans="1:5">
      <c r="A341" s="18" t="s">
        <v>276</v>
      </c>
      <c r="B341" s="19" t="s">
        <v>681</v>
      </c>
      <c r="C341" s="20" t="s">
        <v>1133</v>
      </c>
      <c r="D341" s="25" t="s">
        <v>1617</v>
      </c>
      <c r="E341" s="25" t="s">
        <v>1745</v>
      </c>
    </row>
    <row r="342" spans="1:5">
      <c r="A342" s="35" t="s">
        <v>1714</v>
      </c>
      <c r="B342" s="19" t="s">
        <v>1715</v>
      </c>
      <c r="C342" s="26" t="s">
        <v>1716</v>
      </c>
      <c r="D342" s="25" t="s">
        <v>1617</v>
      </c>
      <c r="E342" s="25" t="s">
        <v>1745</v>
      </c>
    </row>
    <row r="343" spans="1:5">
      <c r="A343" s="25" t="s">
        <v>1627</v>
      </c>
      <c r="B343" s="19" t="s">
        <v>1645</v>
      </c>
      <c r="C343" s="26" t="s">
        <v>1646</v>
      </c>
      <c r="D343" s="25" t="s">
        <v>1617</v>
      </c>
      <c r="E343" s="25" t="s">
        <v>1745</v>
      </c>
    </row>
    <row r="344" spans="1:5">
      <c r="A344" s="25" t="s">
        <v>1508</v>
      </c>
      <c r="B344" s="19" t="s">
        <v>1509</v>
      </c>
      <c r="C344" s="22" t="s">
        <v>1510</v>
      </c>
      <c r="D344" s="25" t="s">
        <v>1617</v>
      </c>
      <c r="E344" s="25" t="s">
        <v>1745</v>
      </c>
    </row>
    <row r="345" spans="1:5">
      <c r="A345" s="18" t="s">
        <v>279</v>
      </c>
      <c r="B345" s="19" t="s">
        <v>684</v>
      </c>
      <c r="C345" s="20" t="s">
        <v>1136</v>
      </c>
      <c r="D345" s="25" t="s">
        <v>1617</v>
      </c>
      <c r="E345" s="25" t="s">
        <v>1745</v>
      </c>
    </row>
    <row r="346" spans="1:5">
      <c r="A346" s="35" t="s">
        <v>1708</v>
      </c>
      <c r="B346" s="19" t="s">
        <v>1709</v>
      </c>
      <c r="C346" s="26" t="s">
        <v>1710</v>
      </c>
      <c r="D346" s="25" t="s">
        <v>1617</v>
      </c>
      <c r="E346" s="25" t="s">
        <v>1745</v>
      </c>
    </row>
    <row r="347" spans="1:5">
      <c r="A347" s="18" t="s">
        <v>278</v>
      </c>
      <c r="B347" s="19" t="s">
        <v>683</v>
      </c>
      <c r="C347" s="20" t="s">
        <v>1135</v>
      </c>
      <c r="D347" s="25" t="s">
        <v>1617</v>
      </c>
      <c r="E347" s="25" t="s">
        <v>1745</v>
      </c>
    </row>
    <row r="348" spans="1:5">
      <c r="A348" s="18" t="s">
        <v>227</v>
      </c>
      <c r="B348" s="19" t="s">
        <v>634</v>
      </c>
      <c r="C348" s="20" t="s">
        <v>1091</v>
      </c>
      <c r="D348" s="25" t="s">
        <v>1617</v>
      </c>
      <c r="E348" s="25" t="s">
        <v>1745</v>
      </c>
    </row>
    <row r="349" spans="1:5">
      <c r="A349" s="18" t="s">
        <v>228</v>
      </c>
      <c r="B349" s="19" t="s">
        <v>635</v>
      </c>
      <c r="C349" s="20" t="s">
        <v>1092</v>
      </c>
      <c r="D349" s="25" t="s">
        <v>1617</v>
      </c>
      <c r="E349" s="25" t="s">
        <v>1745</v>
      </c>
    </row>
    <row r="350" spans="1:5">
      <c r="A350" s="18" t="s">
        <v>229</v>
      </c>
      <c r="B350" s="19" t="s">
        <v>635</v>
      </c>
      <c r="C350" s="20" t="s">
        <v>1093</v>
      </c>
      <c r="D350" s="25" t="s">
        <v>1617</v>
      </c>
      <c r="E350" s="25" t="s">
        <v>1745</v>
      </c>
    </row>
    <row r="351" spans="1:5">
      <c r="A351" s="18" t="s">
        <v>236</v>
      </c>
      <c r="B351" s="19" t="s">
        <v>642</v>
      </c>
      <c r="C351" s="20" t="s">
        <v>1098</v>
      </c>
      <c r="D351" s="25" t="s">
        <v>1617</v>
      </c>
      <c r="E351" s="25" t="s">
        <v>1745</v>
      </c>
    </row>
    <row r="352" spans="1:5">
      <c r="A352" s="18" t="s">
        <v>237</v>
      </c>
      <c r="B352" s="19" t="s">
        <v>643</v>
      </c>
      <c r="C352" s="20" t="s">
        <v>1099</v>
      </c>
      <c r="D352" s="25" t="s">
        <v>1617</v>
      </c>
      <c r="E352" s="25" t="s">
        <v>1745</v>
      </c>
    </row>
    <row r="353" spans="1:5">
      <c r="A353" s="18" t="s">
        <v>238</v>
      </c>
      <c r="B353" s="19" t="s">
        <v>644</v>
      </c>
      <c r="C353" s="20" t="s">
        <v>1100</v>
      </c>
      <c r="D353" s="25" t="s">
        <v>1617</v>
      </c>
      <c r="E353" s="25" t="s">
        <v>1745</v>
      </c>
    </row>
    <row r="354" spans="1:5">
      <c r="A354" s="18" t="s">
        <v>224</v>
      </c>
      <c r="B354" s="17" t="s">
        <v>631</v>
      </c>
      <c r="C354" s="20" t="s">
        <v>1088</v>
      </c>
      <c r="D354" s="25" t="s">
        <v>1617</v>
      </c>
      <c r="E354" s="25" t="s">
        <v>1745</v>
      </c>
    </row>
    <row r="355" spans="1:5">
      <c r="A355" s="18" t="s">
        <v>225</v>
      </c>
      <c r="B355" s="17" t="s">
        <v>632</v>
      </c>
      <c r="C355" s="20" t="s">
        <v>1089</v>
      </c>
      <c r="D355" s="25" t="s">
        <v>1617</v>
      </c>
      <c r="E355" s="25" t="s">
        <v>1745</v>
      </c>
    </row>
    <row r="356" spans="1:5">
      <c r="A356" s="18" t="s">
        <v>226</v>
      </c>
      <c r="B356" s="17" t="s">
        <v>633</v>
      </c>
      <c r="C356" s="20" t="s">
        <v>1090</v>
      </c>
      <c r="D356" s="25" t="s">
        <v>1617</v>
      </c>
      <c r="E356" s="25" t="s">
        <v>1745</v>
      </c>
    </row>
    <row r="357" spans="1:5">
      <c r="A357" s="21" t="s">
        <v>230</v>
      </c>
      <c r="B357" s="17" t="s">
        <v>636</v>
      </c>
      <c r="C357" s="20" t="s">
        <v>1081</v>
      </c>
      <c r="D357" s="25" t="s">
        <v>1617</v>
      </c>
      <c r="E357" s="25" t="s">
        <v>1745</v>
      </c>
    </row>
    <row r="358" spans="1:5">
      <c r="A358" s="18" t="s">
        <v>244</v>
      </c>
      <c r="B358" s="19" t="s">
        <v>650</v>
      </c>
      <c r="C358" s="20" t="s">
        <v>1102</v>
      </c>
      <c r="D358" s="25" t="s">
        <v>1617</v>
      </c>
      <c r="E358" s="25" t="s">
        <v>1745</v>
      </c>
    </row>
    <row r="359" spans="1:5">
      <c r="A359" s="18" t="s">
        <v>232</v>
      </c>
      <c r="B359" s="19" t="s">
        <v>638</v>
      </c>
      <c r="C359" s="20" t="s">
        <v>1095</v>
      </c>
      <c r="D359" s="25" t="s">
        <v>1617</v>
      </c>
      <c r="E359" s="25" t="s">
        <v>1745</v>
      </c>
    </row>
    <row r="360" spans="1:5">
      <c r="A360" s="18" t="s">
        <v>233</v>
      </c>
      <c r="B360" s="19" t="s">
        <v>639</v>
      </c>
      <c r="C360" s="20" t="s">
        <v>1096</v>
      </c>
      <c r="D360" s="25" t="s">
        <v>1617</v>
      </c>
      <c r="E360" s="25" t="s">
        <v>1745</v>
      </c>
    </row>
    <row r="361" spans="1:5">
      <c r="A361" s="35" t="s">
        <v>1693</v>
      </c>
      <c r="B361" s="19" t="s">
        <v>1694</v>
      </c>
      <c r="C361" s="26" t="s">
        <v>1695</v>
      </c>
      <c r="D361" s="25" t="s">
        <v>1617</v>
      </c>
      <c r="E361" s="25" t="s">
        <v>1745</v>
      </c>
    </row>
    <row r="362" spans="1:5">
      <c r="A362" s="21" t="s">
        <v>234</v>
      </c>
      <c r="B362" s="17" t="s">
        <v>640</v>
      </c>
      <c r="C362" s="20" t="s">
        <v>1082</v>
      </c>
      <c r="D362" s="25" t="s">
        <v>1617</v>
      </c>
      <c r="E362" s="25" t="s">
        <v>1745</v>
      </c>
    </row>
    <row r="363" spans="1:5">
      <c r="A363" s="35" t="s">
        <v>1696</v>
      </c>
      <c r="B363" s="19" t="s">
        <v>1697</v>
      </c>
      <c r="C363" s="26" t="s">
        <v>1698</v>
      </c>
      <c r="D363" s="25" t="s">
        <v>1617</v>
      </c>
      <c r="E363" s="25" t="s">
        <v>1745</v>
      </c>
    </row>
    <row r="364" spans="1:5">
      <c r="A364" s="35" t="s">
        <v>1688</v>
      </c>
      <c r="B364" s="19" t="s">
        <v>1689</v>
      </c>
      <c r="C364" s="26" t="s">
        <v>1690</v>
      </c>
      <c r="D364" s="25" t="s">
        <v>1617</v>
      </c>
      <c r="E364" s="25" t="s">
        <v>1745</v>
      </c>
    </row>
    <row r="365" spans="1:5">
      <c r="A365" s="25" t="s">
        <v>1391</v>
      </c>
      <c r="B365" s="17" t="s">
        <v>1392</v>
      </c>
      <c r="C365" s="20" t="s">
        <v>1393</v>
      </c>
      <c r="D365" s="25" t="s">
        <v>1617</v>
      </c>
      <c r="E365" s="25" t="s">
        <v>1745</v>
      </c>
    </row>
    <row r="366" spans="1:5">
      <c r="A366" s="18" t="s">
        <v>235</v>
      </c>
      <c r="B366" s="19" t="s">
        <v>641</v>
      </c>
      <c r="C366" s="20" t="s">
        <v>1097</v>
      </c>
      <c r="D366" s="25" t="s">
        <v>1617</v>
      </c>
      <c r="E366" s="25" t="s">
        <v>1745</v>
      </c>
    </row>
    <row r="367" spans="1:5">
      <c r="A367" s="18" t="s">
        <v>231</v>
      </c>
      <c r="B367" s="19" t="s">
        <v>637</v>
      </c>
      <c r="C367" s="20" t="s">
        <v>1094</v>
      </c>
      <c r="D367" s="25" t="s">
        <v>1617</v>
      </c>
      <c r="E367" s="25" t="s">
        <v>1745</v>
      </c>
    </row>
    <row r="368" spans="1:5">
      <c r="A368" s="16" t="s">
        <v>1758</v>
      </c>
      <c r="B368" s="19" t="s">
        <v>1759</v>
      </c>
      <c r="C368" s="26" t="s">
        <v>1760</v>
      </c>
      <c r="D368" s="25" t="s">
        <v>1617</v>
      </c>
      <c r="E368" s="25" t="s">
        <v>1745</v>
      </c>
    </row>
    <row r="369" spans="1:5">
      <c r="A369" s="21" t="s">
        <v>239</v>
      </c>
      <c r="B369" s="17" t="s">
        <v>645</v>
      </c>
      <c r="C369" s="20" t="s">
        <v>1083</v>
      </c>
      <c r="D369" s="25" t="s">
        <v>1617</v>
      </c>
      <c r="E369" s="25" t="s">
        <v>1745</v>
      </c>
    </row>
    <row r="370" spans="1:5">
      <c r="A370" s="21" t="s">
        <v>240</v>
      </c>
      <c r="B370" s="17" t="s">
        <v>646</v>
      </c>
      <c r="C370" s="20" t="s">
        <v>1084</v>
      </c>
      <c r="D370" s="25" t="s">
        <v>1617</v>
      </c>
      <c r="E370" s="25" t="s">
        <v>1745</v>
      </c>
    </row>
    <row r="371" spans="1:5">
      <c r="A371" s="21" t="s">
        <v>241</v>
      </c>
      <c r="B371" s="17" t="s">
        <v>647</v>
      </c>
      <c r="C371" s="20" t="s">
        <v>1085</v>
      </c>
      <c r="D371" s="25" t="s">
        <v>1617</v>
      </c>
      <c r="E371" s="25" t="s">
        <v>1745</v>
      </c>
    </row>
    <row r="372" spans="1:5">
      <c r="A372" s="25" t="s">
        <v>1626</v>
      </c>
      <c r="B372" s="17" t="s">
        <v>1648</v>
      </c>
      <c r="C372" s="26" t="s">
        <v>1647</v>
      </c>
      <c r="D372" s="25" t="s">
        <v>1617</v>
      </c>
      <c r="E372" s="25" t="s">
        <v>1745</v>
      </c>
    </row>
    <row r="373" spans="1:5">
      <c r="A373" s="18" t="s">
        <v>242</v>
      </c>
      <c r="B373" s="19" t="s">
        <v>648</v>
      </c>
      <c r="C373" s="20" t="s">
        <v>1101</v>
      </c>
      <c r="D373" s="25" t="s">
        <v>1617</v>
      </c>
      <c r="E373" s="25" t="s">
        <v>1745</v>
      </c>
    </row>
    <row r="374" spans="1:5">
      <c r="A374" s="21" t="s">
        <v>243</v>
      </c>
      <c r="B374" s="17" t="s">
        <v>649</v>
      </c>
      <c r="C374" s="20" t="s">
        <v>1086</v>
      </c>
      <c r="D374" s="25" t="s">
        <v>1617</v>
      </c>
      <c r="E374" s="25" t="s">
        <v>1745</v>
      </c>
    </row>
    <row r="375" spans="1:5">
      <c r="A375" s="25" t="s">
        <v>1394</v>
      </c>
      <c r="B375" s="17" t="s">
        <v>1395</v>
      </c>
      <c r="C375" s="20" t="s">
        <v>1396</v>
      </c>
      <c r="D375" s="25" t="s">
        <v>1617</v>
      </c>
      <c r="E375" s="25" t="s">
        <v>1745</v>
      </c>
    </row>
    <row r="376" spans="1:5">
      <c r="A376" s="35" t="s">
        <v>1675</v>
      </c>
      <c r="B376" s="19" t="s">
        <v>1676</v>
      </c>
      <c r="C376" s="26" t="s">
        <v>1677</v>
      </c>
      <c r="D376" s="25" t="s">
        <v>1617</v>
      </c>
      <c r="E376" s="25" t="s">
        <v>1745</v>
      </c>
    </row>
    <row r="377" spans="1:5">
      <c r="A377" s="18" t="s">
        <v>245</v>
      </c>
      <c r="B377" s="19" t="s">
        <v>651</v>
      </c>
      <c r="C377" s="20" t="s">
        <v>1103</v>
      </c>
      <c r="D377" s="25" t="s">
        <v>1617</v>
      </c>
      <c r="E377" s="25" t="s">
        <v>1745</v>
      </c>
    </row>
    <row r="378" spans="1:5">
      <c r="A378" s="18" t="s">
        <v>246</v>
      </c>
      <c r="B378" s="19" t="s">
        <v>652</v>
      </c>
      <c r="C378" s="20" t="s">
        <v>1104</v>
      </c>
      <c r="D378" s="25" t="s">
        <v>1617</v>
      </c>
      <c r="E378" s="25" t="s">
        <v>1745</v>
      </c>
    </row>
    <row r="379" spans="1:5">
      <c r="A379" s="18" t="s">
        <v>250</v>
      </c>
      <c r="B379" s="19" t="s">
        <v>656</v>
      </c>
      <c r="C379" s="20" t="s">
        <v>1108</v>
      </c>
      <c r="D379" s="25" t="s">
        <v>1617</v>
      </c>
      <c r="E379" s="25" t="s">
        <v>1745</v>
      </c>
    </row>
    <row r="380" spans="1:5">
      <c r="A380" s="18" t="s">
        <v>251</v>
      </c>
      <c r="B380" s="19" t="s">
        <v>657</v>
      </c>
      <c r="C380" s="20" t="s">
        <v>1109</v>
      </c>
      <c r="D380" s="25" t="s">
        <v>1617</v>
      </c>
      <c r="E380" s="25" t="s">
        <v>1745</v>
      </c>
    </row>
    <row r="381" spans="1:5">
      <c r="A381" s="18" t="s">
        <v>247</v>
      </c>
      <c r="B381" s="19" t="s">
        <v>653</v>
      </c>
      <c r="C381" s="20" t="s">
        <v>1105</v>
      </c>
      <c r="D381" s="25" t="s">
        <v>1617</v>
      </c>
      <c r="E381" s="25" t="s">
        <v>1745</v>
      </c>
    </row>
    <row r="382" spans="1:5">
      <c r="A382" s="18" t="s">
        <v>248</v>
      </c>
      <c r="B382" s="19" t="s">
        <v>654</v>
      </c>
      <c r="C382" s="20" t="s">
        <v>1106</v>
      </c>
      <c r="D382" s="25" t="s">
        <v>1617</v>
      </c>
      <c r="E382" s="25" t="s">
        <v>1745</v>
      </c>
    </row>
    <row r="383" spans="1:5">
      <c r="A383" s="25" t="s">
        <v>1397</v>
      </c>
      <c r="B383" s="19" t="s">
        <v>1398</v>
      </c>
      <c r="C383" s="20" t="s">
        <v>1399</v>
      </c>
      <c r="D383" s="25" t="s">
        <v>1617</v>
      </c>
      <c r="E383" s="25" t="s">
        <v>1745</v>
      </c>
    </row>
    <row r="384" spans="1:5">
      <c r="A384" s="18" t="s">
        <v>249</v>
      </c>
      <c r="B384" s="19" t="s">
        <v>655</v>
      </c>
      <c r="C384" s="20" t="s">
        <v>1107</v>
      </c>
      <c r="D384" s="25" t="s">
        <v>1617</v>
      </c>
      <c r="E384" s="25" t="s">
        <v>1745</v>
      </c>
    </row>
    <row r="385" spans="1:5">
      <c r="A385" s="18" t="s">
        <v>1495</v>
      </c>
      <c r="B385" s="19" t="s">
        <v>1511</v>
      </c>
      <c r="C385" s="20" t="s">
        <v>1512</v>
      </c>
      <c r="D385" s="25" t="s">
        <v>1617</v>
      </c>
      <c r="E385" s="25" t="s">
        <v>1745</v>
      </c>
    </row>
    <row r="386" spans="1:5">
      <c r="A386" s="21" t="s">
        <v>252</v>
      </c>
      <c r="B386" s="17" t="s">
        <v>658</v>
      </c>
      <c r="C386" s="20" t="s">
        <v>1087</v>
      </c>
      <c r="D386" s="25" t="s">
        <v>1617</v>
      </c>
      <c r="E386" s="25" t="s">
        <v>1745</v>
      </c>
    </row>
    <row r="387" spans="1:5">
      <c r="A387" s="18" t="s">
        <v>253</v>
      </c>
      <c r="B387" s="19" t="s">
        <v>659</v>
      </c>
      <c r="C387" s="20" t="s">
        <v>1110</v>
      </c>
      <c r="D387" s="25" t="s">
        <v>1617</v>
      </c>
      <c r="E387" s="25" t="s">
        <v>1745</v>
      </c>
    </row>
    <row r="388" spans="1:5">
      <c r="A388" s="18" t="s">
        <v>254</v>
      </c>
      <c r="B388" s="19" t="s">
        <v>660</v>
      </c>
      <c r="C388" s="20" t="s">
        <v>1111</v>
      </c>
      <c r="D388" s="25" t="s">
        <v>1566</v>
      </c>
      <c r="E388" s="25" t="s">
        <v>1745</v>
      </c>
    </row>
    <row r="389" spans="1:5">
      <c r="A389" s="18" t="s">
        <v>255</v>
      </c>
      <c r="B389" s="19" t="s">
        <v>661</v>
      </c>
      <c r="C389" s="20" t="s">
        <v>1112</v>
      </c>
      <c r="D389" s="25" t="s">
        <v>1617</v>
      </c>
      <c r="E389" s="25" t="s">
        <v>1745</v>
      </c>
    </row>
    <row r="390" spans="1:5">
      <c r="A390" s="18" t="s">
        <v>256</v>
      </c>
      <c r="B390" s="19" t="s">
        <v>662</v>
      </c>
      <c r="C390" s="20" t="s">
        <v>1113</v>
      </c>
      <c r="D390" s="25" t="s">
        <v>1617</v>
      </c>
      <c r="E390" s="25" t="s">
        <v>1745</v>
      </c>
    </row>
    <row r="391" spans="1:5">
      <c r="A391" s="18" t="s">
        <v>257</v>
      </c>
      <c r="B391" s="19" t="s">
        <v>663</v>
      </c>
      <c r="C391" s="20" t="s">
        <v>1114</v>
      </c>
      <c r="D391" s="25" t="s">
        <v>1617</v>
      </c>
      <c r="E391" s="25" t="s">
        <v>1745</v>
      </c>
    </row>
    <row r="392" spans="1:5">
      <c r="A392" s="25" t="s">
        <v>1513</v>
      </c>
      <c r="B392" s="19" t="s">
        <v>663</v>
      </c>
      <c r="C392" s="26" t="s">
        <v>1514</v>
      </c>
      <c r="D392" s="25" t="s">
        <v>1617</v>
      </c>
      <c r="E392" s="25" t="s">
        <v>1745</v>
      </c>
    </row>
    <row r="393" spans="1:5">
      <c r="A393" s="18" t="s">
        <v>258</v>
      </c>
      <c r="B393" s="19" t="s">
        <v>664</v>
      </c>
      <c r="C393" s="20" t="s">
        <v>1115</v>
      </c>
      <c r="D393" s="25" t="s">
        <v>1617</v>
      </c>
      <c r="E393" s="25" t="s">
        <v>1745</v>
      </c>
    </row>
    <row r="394" spans="1:5">
      <c r="A394" s="18" t="s">
        <v>259</v>
      </c>
      <c r="B394" s="19" t="s">
        <v>665</v>
      </c>
      <c r="C394" s="20" t="s">
        <v>1116</v>
      </c>
      <c r="D394" s="25" t="s">
        <v>1617</v>
      </c>
      <c r="E394" s="25" t="s">
        <v>1745</v>
      </c>
    </row>
    <row r="395" spans="1:5">
      <c r="A395" s="25" t="s">
        <v>1400</v>
      </c>
      <c r="B395" s="19" t="s">
        <v>1401</v>
      </c>
      <c r="C395" s="20" t="s">
        <v>1402</v>
      </c>
      <c r="D395" s="25" t="s">
        <v>1617</v>
      </c>
      <c r="E395" s="25" t="s">
        <v>1745</v>
      </c>
    </row>
    <row r="396" spans="1:5">
      <c r="A396" s="18" t="s">
        <v>260</v>
      </c>
      <c r="B396" s="19" t="s">
        <v>666</v>
      </c>
      <c r="C396" s="20" t="s">
        <v>1117</v>
      </c>
      <c r="D396" s="25" t="s">
        <v>1617</v>
      </c>
      <c r="E396" s="25" t="s">
        <v>1745</v>
      </c>
    </row>
    <row r="397" spans="1:5">
      <c r="A397" s="18" t="s">
        <v>261</v>
      </c>
      <c r="B397" s="19" t="s">
        <v>667</v>
      </c>
      <c r="C397" s="20" t="s">
        <v>1118</v>
      </c>
      <c r="D397" s="25" t="s">
        <v>1617</v>
      </c>
      <c r="E397" s="25" t="s">
        <v>1745</v>
      </c>
    </row>
    <row r="398" spans="1:5">
      <c r="A398" s="18" t="s">
        <v>262</v>
      </c>
      <c r="B398" s="19" t="s">
        <v>668</v>
      </c>
      <c r="C398" s="20" t="s">
        <v>1119</v>
      </c>
      <c r="D398" s="25" t="s">
        <v>1617</v>
      </c>
      <c r="E398" s="25" t="s">
        <v>1745</v>
      </c>
    </row>
    <row r="399" spans="1:5">
      <c r="A399" s="18" t="s">
        <v>263</v>
      </c>
      <c r="B399" s="19" t="s">
        <v>668</v>
      </c>
      <c r="C399" s="20" t="s">
        <v>1120</v>
      </c>
      <c r="D399" s="25" t="s">
        <v>1617</v>
      </c>
      <c r="E399" s="25" t="s">
        <v>1745</v>
      </c>
    </row>
    <row r="400" spans="1:5">
      <c r="A400" s="18" t="s">
        <v>264</v>
      </c>
      <c r="B400" s="19" t="s">
        <v>669</v>
      </c>
      <c r="C400" s="20" t="s">
        <v>1121</v>
      </c>
      <c r="D400" s="25" t="s">
        <v>1617</v>
      </c>
      <c r="E400" s="25" t="s">
        <v>1745</v>
      </c>
    </row>
    <row r="401" spans="1:5">
      <c r="A401" s="18" t="s">
        <v>265</v>
      </c>
      <c r="B401" s="19" t="s">
        <v>670</v>
      </c>
      <c r="C401" s="20" t="s">
        <v>1122</v>
      </c>
      <c r="D401" s="25" t="s">
        <v>1617</v>
      </c>
      <c r="E401" s="25" t="s">
        <v>1745</v>
      </c>
    </row>
    <row r="402" spans="1:5">
      <c r="A402" s="18" t="s">
        <v>266</v>
      </c>
      <c r="B402" s="19" t="s">
        <v>671</v>
      </c>
      <c r="C402" s="20" t="s">
        <v>1123</v>
      </c>
      <c r="D402" s="25" t="s">
        <v>1617</v>
      </c>
      <c r="E402" s="25" t="s">
        <v>1745</v>
      </c>
    </row>
    <row r="403" spans="1:5">
      <c r="A403" s="18" t="s">
        <v>267</v>
      </c>
      <c r="B403" s="19" t="s">
        <v>672</v>
      </c>
      <c r="C403" s="20" t="s">
        <v>1124</v>
      </c>
      <c r="D403" s="25" t="s">
        <v>1617</v>
      </c>
      <c r="E403" s="25" t="s">
        <v>1745</v>
      </c>
    </row>
    <row r="404" spans="1:5">
      <c r="A404" s="18" t="s">
        <v>268</v>
      </c>
      <c r="B404" s="19" t="s">
        <v>673</v>
      </c>
      <c r="C404" s="20" t="s">
        <v>1125</v>
      </c>
      <c r="D404" s="25" t="s">
        <v>1617</v>
      </c>
      <c r="E404" s="25" t="s">
        <v>1745</v>
      </c>
    </row>
    <row r="405" spans="1:5">
      <c r="A405" s="18" t="s">
        <v>269</v>
      </c>
      <c r="B405" s="19" t="s">
        <v>674</v>
      </c>
      <c r="C405" s="20" t="s">
        <v>1126</v>
      </c>
      <c r="D405" s="25" t="s">
        <v>1617</v>
      </c>
      <c r="E405" s="25" t="s">
        <v>1745</v>
      </c>
    </row>
    <row r="406" spans="1:5">
      <c r="A406" s="18" t="s">
        <v>271</v>
      </c>
      <c r="B406" s="19" t="s">
        <v>676</v>
      </c>
      <c r="C406" s="20" t="s">
        <v>1128</v>
      </c>
      <c r="D406" s="25" t="s">
        <v>1566</v>
      </c>
      <c r="E406" s="25" t="s">
        <v>1745</v>
      </c>
    </row>
    <row r="407" spans="1:5">
      <c r="A407" s="18" t="s">
        <v>272</v>
      </c>
      <c r="B407" s="19" t="s">
        <v>677</v>
      </c>
      <c r="C407" s="20" t="s">
        <v>1129</v>
      </c>
      <c r="D407" s="25" t="s">
        <v>1617</v>
      </c>
      <c r="E407" s="25" t="s">
        <v>1745</v>
      </c>
    </row>
    <row r="408" spans="1:5">
      <c r="A408" s="18" t="s">
        <v>273</v>
      </c>
      <c r="B408" s="19" t="s">
        <v>678</v>
      </c>
      <c r="C408" s="20" t="s">
        <v>1130</v>
      </c>
      <c r="D408" s="25" t="s">
        <v>1566</v>
      </c>
      <c r="E408" s="25" t="s">
        <v>1745</v>
      </c>
    </row>
    <row r="409" spans="1:5">
      <c r="A409" s="18" t="s">
        <v>274</v>
      </c>
      <c r="B409" s="19" t="s">
        <v>679</v>
      </c>
      <c r="C409" s="20" t="s">
        <v>1131</v>
      </c>
      <c r="D409" s="25" t="s">
        <v>1617</v>
      </c>
      <c r="E409" s="25" t="s">
        <v>1745</v>
      </c>
    </row>
    <row r="410" spans="1:5">
      <c r="A410" s="18" t="s">
        <v>275</v>
      </c>
      <c r="B410" s="19" t="s">
        <v>680</v>
      </c>
      <c r="C410" s="20" t="s">
        <v>1132</v>
      </c>
      <c r="D410" s="25" t="s">
        <v>1617</v>
      </c>
      <c r="E410" s="25" t="s">
        <v>1745</v>
      </c>
    </row>
    <row r="411" spans="1:5">
      <c r="A411" s="25" t="s">
        <v>1730</v>
      </c>
      <c r="B411" s="19" t="s">
        <v>1731</v>
      </c>
      <c r="C411" s="26" t="s">
        <v>1732</v>
      </c>
      <c r="D411" s="25" t="s">
        <v>1617</v>
      </c>
      <c r="E411" s="25" t="s">
        <v>1745</v>
      </c>
    </row>
    <row r="412" spans="1:5">
      <c r="A412" s="25" t="s">
        <v>1733</v>
      </c>
      <c r="B412" s="19" t="s">
        <v>1734</v>
      </c>
      <c r="C412" s="26" t="s">
        <v>1735</v>
      </c>
      <c r="D412" s="25" t="s">
        <v>1617</v>
      </c>
      <c r="E412" s="25" t="s">
        <v>1745</v>
      </c>
    </row>
    <row r="413" spans="1:5">
      <c r="A413" s="25" t="s">
        <v>1736</v>
      </c>
      <c r="B413" s="19" t="s">
        <v>1737</v>
      </c>
      <c r="C413" s="26" t="s">
        <v>1738</v>
      </c>
      <c r="D413" s="25" t="s">
        <v>1617</v>
      </c>
      <c r="E413" s="25" t="s">
        <v>1745</v>
      </c>
    </row>
    <row r="414" spans="1:5">
      <c r="A414" s="18" t="s">
        <v>270</v>
      </c>
      <c r="B414" s="19" t="s">
        <v>675</v>
      </c>
      <c r="C414" s="20" t="s">
        <v>1127</v>
      </c>
      <c r="D414" s="25" t="s">
        <v>1566</v>
      </c>
      <c r="E414" s="25" t="s">
        <v>1745</v>
      </c>
    </row>
    <row r="415" spans="1:5">
      <c r="A415" s="18" t="s">
        <v>421</v>
      </c>
      <c r="B415" s="17" t="s">
        <v>810</v>
      </c>
      <c r="C415" s="20" t="s">
        <v>1273</v>
      </c>
      <c r="D415" s="25" t="s">
        <v>1608</v>
      </c>
      <c r="E415" s="25" t="s">
        <v>1745</v>
      </c>
    </row>
    <row r="416" spans="1:5">
      <c r="A416" s="18" t="s">
        <v>422</v>
      </c>
      <c r="B416" s="17" t="s">
        <v>811</v>
      </c>
      <c r="C416" s="20" t="s">
        <v>1274</v>
      </c>
      <c r="D416" s="25" t="s">
        <v>1608</v>
      </c>
      <c r="E416" s="25" t="s">
        <v>1745</v>
      </c>
    </row>
    <row r="417" spans="1:5">
      <c r="A417" s="18" t="s">
        <v>423</v>
      </c>
      <c r="B417" s="17" t="s">
        <v>812</v>
      </c>
      <c r="C417" s="20" t="s">
        <v>1275</v>
      </c>
      <c r="D417" s="25" t="s">
        <v>1608</v>
      </c>
      <c r="E417" s="25" t="s">
        <v>1745</v>
      </c>
    </row>
    <row r="418" spans="1:5">
      <c r="A418" s="21" t="s">
        <v>424</v>
      </c>
      <c r="B418" s="17" t="s">
        <v>813</v>
      </c>
      <c r="C418" s="20" t="s">
        <v>853</v>
      </c>
      <c r="D418" s="25" t="s">
        <v>1608</v>
      </c>
      <c r="E418" s="25" t="s">
        <v>1745</v>
      </c>
    </row>
    <row r="419" spans="1:5">
      <c r="A419" s="18" t="s">
        <v>425</v>
      </c>
      <c r="B419" s="17" t="s">
        <v>814</v>
      </c>
      <c r="C419" s="20" t="s">
        <v>1276</v>
      </c>
      <c r="D419" s="25" t="s">
        <v>1608</v>
      </c>
      <c r="E419" s="25" t="s">
        <v>1745</v>
      </c>
    </row>
    <row r="420" spans="1:5">
      <c r="A420" s="18" t="s">
        <v>426</v>
      </c>
      <c r="B420" s="17" t="s">
        <v>815</v>
      </c>
      <c r="C420" s="20" t="s">
        <v>1277</v>
      </c>
      <c r="D420" s="25" t="s">
        <v>1608</v>
      </c>
      <c r="E420" s="25" t="s">
        <v>1745</v>
      </c>
    </row>
    <row r="421" spans="1:5">
      <c r="A421" s="21" t="s">
        <v>427</v>
      </c>
      <c r="B421" s="17" t="s">
        <v>816</v>
      </c>
      <c r="C421" s="20" t="s">
        <v>854</v>
      </c>
      <c r="D421" s="25" t="s">
        <v>1608</v>
      </c>
      <c r="E421" s="25" t="s">
        <v>1745</v>
      </c>
    </row>
    <row r="422" spans="1:5">
      <c r="A422" s="18" t="s">
        <v>428</v>
      </c>
      <c r="B422" s="17" t="s">
        <v>817</v>
      </c>
      <c r="C422" s="20" t="s">
        <v>1278</v>
      </c>
      <c r="D422" s="25" t="s">
        <v>1608</v>
      </c>
      <c r="E422" s="25" t="s">
        <v>1745</v>
      </c>
    </row>
    <row r="423" spans="1:5">
      <c r="A423" s="25" t="s">
        <v>1470</v>
      </c>
      <c r="B423" s="19" t="s">
        <v>1550</v>
      </c>
      <c r="C423" s="22" t="s">
        <v>1551</v>
      </c>
      <c r="D423" s="25" t="s">
        <v>1563</v>
      </c>
      <c r="E423" s="25" t="s">
        <v>1744</v>
      </c>
    </row>
    <row r="424" spans="1:5">
      <c r="A424" s="25" t="s">
        <v>1471</v>
      </c>
      <c r="B424" s="19" t="s">
        <v>1552</v>
      </c>
      <c r="C424" s="26" t="s">
        <v>1553</v>
      </c>
      <c r="D424" s="25" t="s">
        <v>1563</v>
      </c>
      <c r="E424" s="25" t="s">
        <v>1744</v>
      </c>
    </row>
    <row r="425" spans="1:5">
      <c r="A425" s="25" t="s">
        <v>1472</v>
      </c>
      <c r="B425" s="19" t="s">
        <v>1554</v>
      </c>
      <c r="C425" s="22" t="s">
        <v>1555</v>
      </c>
      <c r="D425" s="25" t="s">
        <v>1563</v>
      </c>
      <c r="E425" s="25" t="s">
        <v>1744</v>
      </c>
    </row>
    <row r="426" spans="1:5">
      <c r="A426" s="25" t="s">
        <v>1473</v>
      </c>
      <c r="B426" s="19" t="s">
        <v>1556</v>
      </c>
      <c r="C426" s="22" t="s">
        <v>1557</v>
      </c>
      <c r="D426" s="25" t="s">
        <v>1563</v>
      </c>
      <c r="E426" s="25" t="s">
        <v>1744</v>
      </c>
    </row>
    <row r="427" spans="1:5">
      <c r="A427" s="25" t="s">
        <v>1474</v>
      </c>
      <c r="B427" s="19" t="s">
        <v>1558</v>
      </c>
      <c r="C427" s="22" t="s">
        <v>1515</v>
      </c>
      <c r="D427" s="25" t="s">
        <v>1563</v>
      </c>
      <c r="E427" s="25" t="s">
        <v>1744</v>
      </c>
    </row>
    <row r="428" spans="1:5">
      <c r="A428" s="25" t="s">
        <v>1475</v>
      </c>
      <c r="B428" s="19" t="s">
        <v>1559</v>
      </c>
      <c r="C428" s="26" t="s">
        <v>1560</v>
      </c>
      <c r="D428" s="25" t="s">
        <v>1563</v>
      </c>
      <c r="E428" s="25" t="s">
        <v>1744</v>
      </c>
    </row>
    <row r="429" spans="1:5">
      <c r="A429" s="18" t="s">
        <v>1307</v>
      </c>
      <c r="B429" s="19" t="s">
        <v>467</v>
      </c>
      <c r="C429" s="20" t="s">
        <v>1299</v>
      </c>
      <c r="D429" s="25" t="s">
        <v>1605</v>
      </c>
      <c r="E429" s="25" t="s">
        <v>1761</v>
      </c>
    </row>
    <row r="430" spans="1:5">
      <c r="A430" s="18" t="s">
        <v>1308</v>
      </c>
      <c r="B430" s="19" t="s">
        <v>468</v>
      </c>
      <c r="C430" s="20" t="s">
        <v>1300</v>
      </c>
      <c r="D430" s="25" t="s">
        <v>1605</v>
      </c>
      <c r="E430" s="25" t="s">
        <v>1761</v>
      </c>
    </row>
    <row r="431" spans="1:5">
      <c r="A431" s="25" t="s">
        <v>1516</v>
      </c>
      <c r="B431" s="17" t="s">
        <v>556</v>
      </c>
      <c r="C431" s="22" t="s">
        <v>1517</v>
      </c>
      <c r="D431" s="25" t="s">
        <v>1618</v>
      </c>
      <c r="E431" s="25" t="s">
        <v>1745</v>
      </c>
    </row>
    <row r="432" spans="1:5">
      <c r="A432" s="21" t="s">
        <v>112</v>
      </c>
      <c r="B432" s="17" t="s">
        <v>876</v>
      </c>
      <c r="C432" s="20" t="s">
        <v>877</v>
      </c>
      <c r="D432" s="25" t="s">
        <v>1618</v>
      </c>
      <c r="E432" s="25" t="s">
        <v>1745</v>
      </c>
    </row>
    <row r="433" spans="1:5">
      <c r="A433" s="21" t="s">
        <v>111</v>
      </c>
      <c r="B433" s="17" t="s">
        <v>878</v>
      </c>
      <c r="C433" s="20" t="s">
        <v>879</v>
      </c>
      <c r="D433" s="25" t="s">
        <v>1618</v>
      </c>
      <c r="E433" s="25" t="s">
        <v>1745</v>
      </c>
    </row>
    <row r="434" spans="1:5">
      <c r="A434" s="21" t="s">
        <v>110</v>
      </c>
      <c r="B434" s="17" t="s">
        <v>880</v>
      </c>
      <c r="C434" s="20" t="s">
        <v>881</v>
      </c>
      <c r="D434" s="25" t="s">
        <v>1618</v>
      </c>
      <c r="E434" s="25" t="s">
        <v>1745</v>
      </c>
    </row>
    <row r="435" spans="1:5">
      <c r="A435" s="21" t="s">
        <v>113</v>
      </c>
      <c r="B435" s="17" t="s">
        <v>546</v>
      </c>
      <c r="C435" s="20" t="s">
        <v>882</v>
      </c>
      <c r="D435" s="25" t="s">
        <v>1618</v>
      </c>
      <c r="E435" s="25" t="s">
        <v>1745</v>
      </c>
    </row>
    <row r="436" spans="1:5">
      <c r="A436" s="18" t="s">
        <v>114</v>
      </c>
      <c r="B436" s="19" t="s">
        <v>547</v>
      </c>
      <c r="C436" s="20" t="s">
        <v>978</v>
      </c>
      <c r="D436" s="25" t="s">
        <v>1618</v>
      </c>
      <c r="E436" s="25" t="s">
        <v>1745</v>
      </c>
    </row>
    <row r="437" spans="1:5">
      <c r="A437" s="25" t="s">
        <v>1403</v>
      </c>
      <c r="B437" s="17" t="s">
        <v>553</v>
      </c>
      <c r="C437" s="20" t="s">
        <v>1404</v>
      </c>
      <c r="D437" s="25" t="s">
        <v>1618</v>
      </c>
      <c r="E437" s="25" t="s">
        <v>1745</v>
      </c>
    </row>
    <row r="438" spans="1:5">
      <c r="A438" s="18" t="s">
        <v>124</v>
      </c>
      <c r="B438" s="19" t="s">
        <v>545</v>
      </c>
      <c r="C438" s="20" t="s">
        <v>982</v>
      </c>
      <c r="D438" s="25" t="s">
        <v>1618</v>
      </c>
      <c r="E438" s="25" t="s">
        <v>1745</v>
      </c>
    </row>
    <row r="439" spans="1:5">
      <c r="A439" s="21" t="s">
        <v>125</v>
      </c>
      <c r="B439" s="17" t="s">
        <v>544</v>
      </c>
      <c r="C439" s="20" t="s">
        <v>883</v>
      </c>
      <c r="D439" s="25" t="s">
        <v>1618</v>
      </c>
      <c r="E439" s="25" t="s">
        <v>1745</v>
      </c>
    </row>
    <row r="440" spans="1:5">
      <c r="A440" s="21" t="s">
        <v>115</v>
      </c>
      <c r="B440" s="17" t="s">
        <v>548</v>
      </c>
      <c r="C440" s="20" t="s">
        <v>884</v>
      </c>
      <c r="D440" s="25" t="s">
        <v>1618</v>
      </c>
      <c r="E440" s="25" t="s">
        <v>1745</v>
      </c>
    </row>
    <row r="441" spans="1:5">
      <c r="A441" s="18" t="s">
        <v>116</v>
      </c>
      <c r="B441" s="19" t="s">
        <v>549</v>
      </c>
      <c r="C441" s="20" t="s">
        <v>979</v>
      </c>
      <c r="D441" s="25" t="s">
        <v>1618</v>
      </c>
      <c r="E441" s="25" t="s">
        <v>1745</v>
      </c>
    </row>
    <row r="442" spans="1:5">
      <c r="A442" s="25" t="s">
        <v>1405</v>
      </c>
      <c r="B442" s="19" t="s">
        <v>550</v>
      </c>
      <c r="C442" s="20" t="s">
        <v>1406</v>
      </c>
      <c r="D442" s="25" t="s">
        <v>1618</v>
      </c>
      <c r="E442" s="25" t="s">
        <v>1745</v>
      </c>
    </row>
    <row r="443" spans="1:5">
      <c r="A443" s="18" t="s">
        <v>117</v>
      </c>
      <c r="B443" s="19" t="s">
        <v>550</v>
      </c>
      <c r="C443" s="20" t="s">
        <v>980</v>
      </c>
      <c r="D443" s="25" t="s">
        <v>1618</v>
      </c>
      <c r="E443" s="25" t="s">
        <v>1745</v>
      </c>
    </row>
    <row r="444" spans="1:5">
      <c r="A444" s="18" t="s">
        <v>118</v>
      </c>
      <c r="B444" s="19" t="s">
        <v>551</v>
      </c>
      <c r="C444" s="20" t="s">
        <v>981</v>
      </c>
      <c r="D444" s="25" t="s">
        <v>1618</v>
      </c>
      <c r="E444" s="25" t="s">
        <v>1745</v>
      </c>
    </row>
    <row r="445" spans="1:5">
      <c r="A445" s="21" t="s">
        <v>119</v>
      </c>
      <c r="B445" s="17" t="s">
        <v>552</v>
      </c>
      <c r="C445" s="20" t="s">
        <v>885</v>
      </c>
      <c r="D445" s="25" t="s">
        <v>1618</v>
      </c>
      <c r="E445" s="25" t="s">
        <v>1745</v>
      </c>
    </row>
    <row r="446" spans="1:5">
      <c r="A446" s="25" t="s">
        <v>1407</v>
      </c>
      <c r="B446" s="17" t="s">
        <v>553</v>
      </c>
      <c r="C446" s="20" t="s">
        <v>1408</v>
      </c>
      <c r="D446" s="25" t="s">
        <v>1618</v>
      </c>
      <c r="E446" s="25" t="s">
        <v>1745</v>
      </c>
    </row>
    <row r="447" spans="1:5">
      <c r="A447" s="25" t="s">
        <v>1518</v>
      </c>
      <c r="B447" s="17" t="s">
        <v>553</v>
      </c>
      <c r="C447" s="26" t="s">
        <v>1519</v>
      </c>
      <c r="D447" s="25" t="s">
        <v>1618</v>
      </c>
      <c r="E447" s="25" t="s">
        <v>1745</v>
      </c>
    </row>
    <row r="448" spans="1:5">
      <c r="A448" s="21" t="s">
        <v>120</v>
      </c>
      <c r="B448" s="17" t="s">
        <v>553</v>
      </c>
      <c r="C448" s="20" t="s">
        <v>886</v>
      </c>
      <c r="D448" s="25" t="s">
        <v>1618</v>
      </c>
      <c r="E448" s="25" t="s">
        <v>1745</v>
      </c>
    </row>
    <row r="449" spans="1:5">
      <c r="A449" s="21" t="s">
        <v>121</v>
      </c>
      <c r="B449" s="17" t="s">
        <v>554</v>
      </c>
      <c r="C449" s="20" t="s">
        <v>887</v>
      </c>
      <c r="D449" s="25" t="s">
        <v>1618</v>
      </c>
      <c r="E449" s="25" t="s">
        <v>1745</v>
      </c>
    </row>
    <row r="450" spans="1:5">
      <c r="A450" s="35" t="s">
        <v>1702</v>
      </c>
      <c r="B450" s="19" t="s">
        <v>555</v>
      </c>
      <c r="C450" s="26" t="s">
        <v>1703</v>
      </c>
      <c r="D450" s="25" t="s">
        <v>1618</v>
      </c>
      <c r="E450" s="25" t="s">
        <v>1745</v>
      </c>
    </row>
    <row r="451" spans="1:5">
      <c r="A451" s="21" t="s">
        <v>122</v>
      </c>
      <c r="B451" s="17" t="s">
        <v>555</v>
      </c>
      <c r="C451" s="20" t="s">
        <v>888</v>
      </c>
      <c r="D451" s="25" t="s">
        <v>1618</v>
      </c>
      <c r="E451" s="25" t="s">
        <v>1745</v>
      </c>
    </row>
    <row r="452" spans="1:5">
      <c r="A452" s="21" t="s">
        <v>123</v>
      </c>
      <c r="B452" s="17" t="s">
        <v>556</v>
      </c>
      <c r="C452" s="20" t="s">
        <v>889</v>
      </c>
      <c r="D452" s="25" t="s">
        <v>1618</v>
      </c>
      <c r="E452" s="25" t="s">
        <v>1745</v>
      </c>
    </row>
    <row r="453" spans="1:5">
      <c r="A453" s="21" t="s">
        <v>126</v>
      </c>
      <c r="B453" s="17" t="s">
        <v>545</v>
      </c>
      <c r="C453" s="20" t="s">
        <v>890</v>
      </c>
      <c r="D453" s="25" t="s">
        <v>1618</v>
      </c>
      <c r="E453" s="25" t="s">
        <v>1745</v>
      </c>
    </row>
    <row r="454" spans="1:5">
      <c r="A454" s="18" t="s">
        <v>109</v>
      </c>
      <c r="B454" s="19" t="s">
        <v>543</v>
      </c>
      <c r="C454" s="20" t="s">
        <v>977</v>
      </c>
      <c r="D454" s="25" t="s">
        <v>1618</v>
      </c>
      <c r="E454" s="25" t="s">
        <v>1745</v>
      </c>
    </row>
    <row r="455" spans="1:5">
      <c r="A455" s="18" t="s">
        <v>128</v>
      </c>
      <c r="B455" s="19" t="s">
        <v>543</v>
      </c>
      <c r="C455" s="20" t="s">
        <v>984</v>
      </c>
      <c r="D455" s="25" t="s">
        <v>1618</v>
      </c>
      <c r="E455" s="25" t="s">
        <v>1745</v>
      </c>
    </row>
    <row r="456" spans="1:5">
      <c r="A456" s="26" t="s">
        <v>1668</v>
      </c>
      <c r="B456" s="19" t="s">
        <v>545</v>
      </c>
      <c r="C456" s="26" t="s">
        <v>1669</v>
      </c>
      <c r="D456" s="25" t="s">
        <v>1618</v>
      </c>
      <c r="E456" s="25" t="s">
        <v>1745</v>
      </c>
    </row>
    <row r="457" spans="1:5">
      <c r="A457" s="18" t="s">
        <v>129</v>
      </c>
      <c r="B457" s="19" t="s">
        <v>878</v>
      </c>
      <c r="C457" s="20" t="s">
        <v>985</v>
      </c>
      <c r="D457" s="25" t="s">
        <v>1618</v>
      </c>
      <c r="E457" s="25" t="s">
        <v>1745</v>
      </c>
    </row>
    <row r="458" spans="1:5">
      <c r="A458" s="18" t="s">
        <v>132</v>
      </c>
      <c r="B458" s="19" t="s">
        <v>988</v>
      </c>
      <c r="C458" s="20" t="s">
        <v>989</v>
      </c>
      <c r="D458" s="25" t="s">
        <v>1618</v>
      </c>
      <c r="E458" s="25" t="s">
        <v>1745</v>
      </c>
    </row>
    <row r="459" spans="1:5">
      <c r="A459" s="18" t="s">
        <v>127</v>
      </c>
      <c r="B459" s="19" t="s">
        <v>544</v>
      </c>
      <c r="C459" s="20" t="s">
        <v>983</v>
      </c>
      <c r="D459" s="25" t="s">
        <v>1618</v>
      </c>
      <c r="E459" s="25" t="s">
        <v>1745</v>
      </c>
    </row>
    <row r="460" spans="1:5">
      <c r="A460" s="18" t="s">
        <v>130</v>
      </c>
      <c r="B460" s="19" t="s">
        <v>557</v>
      </c>
      <c r="C460" s="20" t="s">
        <v>986</v>
      </c>
      <c r="D460" s="25" t="s">
        <v>1618</v>
      </c>
      <c r="E460" s="25" t="s">
        <v>1745</v>
      </c>
    </row>
    <row r="461" spans="1:5">
      <c r="A461" s="20" t="s">
        <v>1711</v>
      </c>
      <c r="B461" s="19" t="s">
        <v>1712</v>
      </c>
      <c r="C461" s="26" t="s">
        <v>1713</v>
      </c>
      <c r="D461" s="25" t="s">
        <v>1618</v>
      </c>
      <c r="E461" s="25" t="s">
        <v>1745</v>
      </c>
    </row>
    <row r="462" spans="1:5">
      <c r="A462" s="18" t="s">
        <v>131</v>
      </c>
      <c r="B462" s="19" t="s">
        <v>558</v>
      </c>
      <c r="C462" s="20" t="s">
        <v>987</v>
      </c>
      <c r="D462" s="25" t="s">
        <v>1618</v>
      </c>
      <c r="E462" s="25" t="s">
        <v>1745</v>
      </c>
    </row>
    <row r="463" spans="1:5">
      <c r="A463" s="21" t="s">
        <v>133</v>
      </c>
      <c r="B463" s="17" t="s">
        <v>559</v>
      </c>
      <c r="C463" s="20" t="s">
        <v>891</v>
      </c>
      <c r="D463" s="25" t="s">
        <v>1618</v>
      </c>
      <c r="E463" s="25" t="s">
        <v>1745</v>
      </c>
    </row>
    <row r="464" spans="1:5">
      <c r="A464" s="18" t="s">
        <v>464</v>
      </c>
      <c r="B464" s="19" t="s">
        <v>1005</v>
      </c>
      <c r="C464" s="20" t="s">
        <v>1006</v>
      </c>
      <c r="D464" s="25" t="s">
        <v>1619</v>
      </c>
      <c r="E464" s="25" t="s">
        <v>1745</v>
      </c>
    </row>
    <row r="465" spans="1:5">
      <c r="A465" s="18" t="s">
        <v>465</v>
      </c>
      <c r="B465" s="19" t="s">
        <v>1007</v>
      </c>
      <c r="C465" s="20" t="s">
        <v>1008</v>
      </c>
      <c r="D465" s="25" t="s">
        <v>1619</v>
      </c>
      <c r="E465" s="25" t="s">
        <v>1745</v>
      </c>
    </row>
    <row r="466" spans="1:5">
      <c r="A466" s="35" t="s">
        <v>1706</v>
      </c>
      <c r="B466" s="19" t="s">
        <v>560</v>
      </c>
      <c r="C466" s="26" t="s">
        <v>1707</v>
      </c>
      <c r="D466" s="25" t="s">
        <v>1619</v>
      </c>
      <c r="E466" s="25" t="s">
        <v>1745</v>
      </c>
    </row>
    <row r="467" spans="1:5">
      <c r="A467" s="18" t="s">
        <v>134</v>
      </c>
      <c r="B467" s="19" t="s">
        <v>560</v>
      </c>
      <c r="C467" s="20" t="s">
        <v>990</v>
      </c>
      <c r="D467" s="25" t="s">
        <v>1619</v>
      </c>
      <c r="E467" s="25" t="s">
        <v>1745</v>
      </c>
    </row>
    <row r="468" spans="1:5">
      <c r="A468" s="25" t="s">
        <v>1332</v>
      </c>
      <c r="B468" s="19" t="s">
        <v>1341</v>
      </c>
      <c r="C468" s="20" t="s">
        <v>1342</v>
      </c>
      <c r="D468" s="25" t="s">
        <v>1619</v>
      </c>
      <c r="E468" s="25" t="s">
        <v>1745</v>
      </c>
    </row>
    <row r="469" spans="1:5">
      <c r="A469" s="18" t="s">
        <v>136</v>
      </c>
      <c r="B469" s="19" t="s">
        <v>561</v>
      </c>
      <c r="C469" s="20" t="s">
        <v>992</v>
      </c>
      <c r="D469" s="25" t="s">
        <v>1619</v>
      </c>
      <c r="E469" s="25" t="s">
        <v>1745</v>
      </c>
    </row>
    <row r="470" spans="1:5">
      <c r="A470" s="18" t="s">
        <v>135</v>
      </c>
      <c r="B470" s="19" t="s">
        <v>561</v>
      </c>
      <c r="C470" s="20" t="s">
        <v>991</v>
      </c>
      <c r="D470" s="25" t="s">
        <v>1619</v>
      </c>
      <c r="E470" s="25" t="s">
        <v>1745</v>
      </c>
    </row>
    <row r="471" spans="1:5">
      <c r="A471" s="25" t="s">
        <v>1767</v>
      </c>
      <c r="B471" s="19" t="s">
        <v>564</v>
      </c>
      <c r="C471" s="26" t="s">
        <v>1769</v>
      </c>
      <c r="D471" s="25" t="s">
        <v>1619</v>
      </c>
      <c r="E471" s="25" t="s">
        <v>1745</v>
      </c>
    </row>
    <row r="472" spans="1:5">
      <c r="A472" s="18" t="s">
        <v>139</v>
      </c>
      <c r="B472" s="19" t="s">
        <v>564</v>
      </c>
      <c r="C472" s="20" t="s">
        <v>994</v>
      </c>
      <c r="D472" s="25" t="s">
        <v>1619</v>
      </c>
      <c r="E472" s="25" t="s">
        <v>1745</v>
      </c>
    </row>
    <row r="473" spans="1:5">
      <c r="A473" s="35" t="s">
        <v>1673</v>
      </c>
      <c r="B473" s="19" t="s">
        <v>562</v>
      </c>
      <c r="C473" s="26" t="s">
        <v>1674</v>
      </c>
      <c r="D473" s="25" t="s">
        <v>1619</v>
      </c>
      <c r="E473" s="25" t="s">
        <v>1745</v>
      </c>
    </row>
    <row r="474" spans="1:5">
      <c r="A474" s="21" t="s">
        <v>137</v>
      </c>
      <c r="B474" s="17" t="s">
        <v>562</v>
      </c>
      <c r="C474" s="20" t="s">
        <v>892</v>
      </c>
      <c r="D474" s="25" t="s">
        <v>1619</v>
      </c>
      <c r="E474" s="25" t="s">
        <v>1745</v>
      </c>
    </row>
    <row r="475" spans="1:5">
      <c r="A475" s="18" t="s">
        <v>138</v>
      </c>
      <c r="B475" s="19" t="s">
        <v>563</v>
      </c>
      <c r="C475" s="20" t="s">
        <v>993</v>
      </c>
      <c r="D475" s="25" t="s">
        <v>1619</v>
      </c>
      <c r="E475" s="25" t="s">
        <v>1745</v>
      </c>
    </row>
    <row r="476" spans="1:5">
      <c r="A476" s="18" t="s">
        <v>140</v>
      </c>
      <c r="B476" s="19" t="s">
        <v>565</v>
      </c>
      <c r="C476" s="20" t="s">
        <v>995</v>
      </c>
      <c r="D476" s="25" t="s">
        <v>1619</v>
      </c>
      <c r="E476" s="25" t="s">
        <v>1745</v>
      </c>
    </row>
    <row r="477" spans="1:5">
      <c r="A477" s="18" t="s">
        <v>141</v>
      </c>
      <c r="B477" s="19" t="s">
        <v>565</v>
      </c>
      <c r="C477" s="20" t="s">
        <v>996</v>
      </c>
      <c r="D477" s="25" t="s">
        <v>1619</v>
      </c>
      <c r="E477" s="25" t="s">
        <v>1745</v>
      </c>
    </row>
    <row r="478" spans="1:5">
      <c r="A478" s="18" t="s">
        <v>142</v>
      </c>
      <c r="B478" s="19" t="s">
        <v>566</v>
      </c>
      <c r="C478" s="20" t="s">
        <v>997</v>
      </c>
      <c r="D478" s="25" t="s">
        <v>1619</v>
      </c>
      <c r="E478" s="25" t="s">
        <v>1745</v>
      </c>
    </row>
    <row r="479" spans="1:5">
      <c r="A479" s="18" t="s">
        <v>143</v>
      </c>
      <c r="B479" s="19" t="s">
        <v>566</v>
      </c>
      <c r="C479" s="20" t="s">
        <v>998</v>
      </c>
      <c r="D479" s="25" t="s">
        <v>1619</v>
      </c>
      <c r="E479" s="25" t="s">
        <v>1745</v>
      </c>
    </row>
    <row r="480" spans="1:5">
      <c r="A480" s="25" t="s">
        <v>1409</v>
      </c>
      <c r="B480" s="17" t="s">
        <v>567</v>
      </c>
      <c r="C480" s="20" t="s">
        <v>1410</v>
      </c>
      <c r="D480" s="25" t="s">
        <v>1619</v>
      </c>
      <c r="E480" s="25" t="s">
        <v>1745</v>
      </c>
    </row>
    <row r="481" spans="1:5">
      <c r="A481" s="21" t="s">
        <v>144</v>
      </c>
      <c r="B481" s="17" t="s">
        <v>567</v>
      </c>
      <c r="C481" s="20" t="s">
        <v>893</v>
      </c>
      <c r="D481" s="25" t="s">
        <v>1619</v>
      </c>
      <c r="E481" s="25" t="s">
        <v>1745</v>
      </c>
    </row>
    <row r="482" spans="1:5">
      <c r="A482" s="25" t="s">
        <v>1411</v>
      </c>
      <c r="B482" s="17" t="s">
        <v>567</v>
      </c>
      <c r="C482" s="20" t="s">
        <v>1412</v>
      </c>
      <c r="D482" s="25" t="s">
        <v>1619</v>
      </c>
      <c r="E482" s="25" t="s">
        <v>1745</v>
      </c>
    </row>
    <row r="483" spans="1:5">
      <c r="A483" s="18" t="s">
        <v>145</v>
      </c>
      <c r="B483" s="19" t="s">
        <v>568</v>
      </c>
      <c r="C483" s="20" t="s">
        <v>999</v>
      </c>
      <c r="D483" s="25" t="s">
        <v>1619</v>
      </c>
      <c r="E483" s="25" t="s">
        <v>1745</v>
      </c>
    </row>
    <row r="484" spans="1:5">
      <c r="A484" s="18" t="s">
        <v>146</v>
      </c>
      <c r="B484" s="19" t="s">
        <v>569</v>
      </c>
      <c r="C484" s="20" t="s">
        <v>1000</v>
      </c>
      <c r="D484" s="25" t="s">
        <v>1619</v>
      </c>
      <c r="E484" s="25" t="s">
        <v>1745</v>
      </c>
    </row>
    <row r="485" spans="1:5">
      <c r="A485" s="25" t="s">
        <v>1413</v>
      </c>
      <c r="B485" s="19" t="s">
        <v>569</v>
      </c>
      <c r="C485" s="20" t="s">
        <v>1414</v>
      </c>
      <c r="D485" s="25" t="s">
        <v>1619</v>
      </c>
      <c r="E485" s="25" t="s">
        <v>1745</v>
      </c>
    </row>
    <row r="486" spans="1:5">
      <c r="A486" s="25" t="s">
        <v>1768</v>
      </c>
      <c r="B486" s="19" t="s">
        <v>569</v>
      </c>
      <c r="C486" s="26" t="s">
        <v>1770</v>
      </c>
      <c r="D486" s="25" t="s">
        <v>1619</v>
      </c>
      <c r="E486" s="25" t="s">
        <v>1745</v>
      </c>
    </row>
    <row r="487" spans="1:5">
      <c r="A487" s="18" t="s">
        <v>147</v>
      </c>
      <c r="B487" s="19" t="s">
        <v>570</v>
      </c>
      <c r="C487" s="20" t="s">
        <v>1001</v>
      </c>
      <c r="D487" s="25" t="s">
        <v>1619</v>
      </c>
      <c r="E487" s="25" t="s">
        <v>1745</v>
      </c>
    </row>
    <row r="488" spans="1:5">
      <c r="A488" s="25" t="s">
        <v>1543</v>
      </c>
      <c r="B488" s="19" t="s">
        <v>570</v>
      </c>
      <c r="C488" s="22" t="s">
        <v>1561</v>
      </c>
      <c r="D488" s="25" t="s">
        <v>1619</v>
      </c>
      <c r="E488" s="25" t="s">
        <v>1745</v>
      </c>
    </row>
    <row r="489" spans="1:5">
      <c r="A489" s="25" t="s">
        <v>1520</v>
      </c>
      <c r="B489" s="19" t="s">
        <v>571</v>
      </c>
      <c r="C489" s="22" t="s">
        <v>1521</v>
      </c>
      <c r="D489" s="25" t="s">
        <v>1566</v>
      </c>
      <c r="E489" s="25" t="s">
        <v>1745</v>
      </c>
    </row>
    <row r="490" spans="1:5">
      <c r="A490" s="18" t="s">
        <v>149</v>
      </c>
      <c r="B490" s="19" t="s">
        <v>571</v>
      </c>
      <c r="C490" s="20" t="s">
        <v>1002</v>
      </c>
      <c r="D490" s="25" t="s">
        <v>1566</v>
      </c>
      <c r="E490" s="25" t="s">
        <v>1745</v>
      </c>
    </row>
    <row r="491" spans="1:5">
      <c r="A491" s="20" t="s">
        <v>1494</v>
      </c>
      <c r="B491" s="19" t="s">
        <v>571</v>
      </c>
      <c r="C491" s="20" t="s">
        <v>1522</v>
      </c>
      <c r="D491" s="25" t="s">
        <v>1566</v>
      </c>
      <c r="E491" s="25" t="s">
        <v>1745</v>
      </c>
    </row>
    <row r="492" spans="1:5">
      <c r="A492" s="25" t="s">
        <v>1415</v>
      </c>
      <c r="B492" s="19" t="s">
        <v>1416</v>
      </c>
      <c r="C492" s="20" t="s">
        <v>1417</v>
      </c>
      <c r="D492" s="25" t="s">
        <v>1619</v>
      </c>
      <c r="E492" s="25" t="s">
        <v>1745</v>
      </c>
    </row>
    <row r="493" spans="1:5">
      <c r="A493" s="18" t="s">
        <v>148</v>
      </c>
      <c r="B493" s="19" t="s">
        <v>572</v>
      </c>
      <c r="C493" s="20" t="s">
        <v>1003</v>
      </c>
      <c r="D493" s="25" t="s">
        <v>1566</v>
      </c>
      <c r="E493" s="25" t="s">
        <v>1745</v>
      </c>
    </row>
    <row r="494" spans="1:5">
      <c r="A494" s="18" t="s">
        <v>150</v>
      </c>
      <c r="B494" s="19" t="s">
        <v>1493</v>
      </c>
      <c r="C494" s="20" t="s">
        <v>1004</v>
      </c>
      <c r="D494" s="25" t="s">
        <v>1619</v>
      </c>
      <c r="E494" s="25" t="s">
        <v>1745</v>
      </c>
    </row>
    <row r="495" spans="1:5">
      <c r="A495" s="18" t="s">
        <v>1523</v>
      </c>
      <c r="B495" s="19" t="s">
        <v>1493</v>
      </c>
      <c r="C495" s="20" t="s">
        <v>1524</v>
      </c>
      <c r="D495" s="25" t="s">
        <v>1619</v>
      </c>
      <c r="E495" s="25" t="s">
        <v>1745</v>
      </c>
    </row>
    <row r="496" spans="1:5">
      <c r="A496" s="25" t="s">
        <v>1478</v>
      </c>
      <c r="B496" s="19" t="s">
        <v>1480</v>
      </c>
      <c r="C496" s="19" t="s">
        <v>1479</v>
      </c>
      <c r="D496" s="25" t="s">
        <v>1566</v>
      </c>
      <c r="E496" s="25" t="s">
        <v>1745</v>
      </c>
    </row>
    <row r="497" spans="1:5">
      <c r="A497" s="18" t="s">
        <v>419</v>
      </c>
      <c r="B497" s="17" t="s">
        <v>808</v>
      </c>
      <c r="C497" s="20" t="s">
        <v>1271</v>
      </c>
      <c r="D497" s="25" t="s">
        <v>1608</v>
      </c>
      <c r="E497" s="25" t="s">
        <v>1745</v>
      </c>
    </row>
    <row r="498" spans="1:5">
      <c r="A498" s="18" t="s">
        <v>420</v>
      </c>
      <c r="B498" s="17" t="s">
        <v>809</v>
      </c>
      <c r="C498" s="20" t="s">
        <v>1272</v>
      </c>
      <c r="D498" s="25" t="s">
        <v>1607</v>
      </c>
      <c r="E498" s="25" t="s">
        <v>1745</v>
      </c>
    </row>
    <row r="499" spans="1:5">
      <c r="A499" s="21" t="s">
        <v>362</v>
      </c>
      <c r="B499" s="17" t="s">
        <v>755</v>
      </c>
      <c r="C499" s="20" t="s">
        <v>1217</v>
      </c>
      <c r="D499" s="25" t="s">
        <v>1607</v>
      </c>
      <c r="E499" s="25" t="s">
        <v>1745</v>
      </c>
    </row>
    <row r="500" spans="1:5">
      <c r="A500" s="21" t="s">
        <v>363</v>
      </c>
      <c r="B500" s="17" t="s">
        <v>756</v>
      </c>
      <c r="C500" s="20" t="s">
        <v>1218</v>
      </c>
      <c r="D500" s="25" t="s">
        <v>1607</v>
      </c>
      <c r="E500" s="25" t="s">
        <v>1745</v>
      </c>
    </row>
    <row r="501" spans="1:5">
      <c r="A501" s="18" t="s">
        <v>364</v>
      </c>
      <c r="B501" s="19" t="s">
        <v>757</v>
      </c>
      <c r="C501" s="20" t="s">
        <v>1227</v>
      </c>
      <c r="D501" s="25" t="s">
        <v>1607</v>
      </c>
      <c r="E501" s="25" t="s">
        <v>1745</v>
      </c>
    </row>
    <row r="502" spans="1:5">
      <c r="A502" s="18" t="s">
        <v>365</v>
      </c>
      <c r="B502" s="19" t="s">
        <v>758</v>
      </c>
      <c r="C502" s="20" t="s">
        <v>1228</v>
      </c>
      <c r="D502" s="25" t="s">
        <v>1607</v>
      </c>
      <c r="E502" s="25" t="s">
        <v>1745</v>
      </c>
    </row>
    <row r="503" spans="1:5">
      <c r="A503" s="18" t="s">
        <v>366</v>
      </c>
      <c r="B503" s="19" t="s">
        <v>759</v>
      </c>
      <c r="C503" s="20" t="s">
        <v>1229</v>
      </c>
      <c r="D503" s="25" t="s">
        <v>1607</v>
      </c>
      <c r="E503" s="25" t="s">
        <v>1745</v>
      </c>
    </row>
    <row r="504" spans="1:5">
      <c r="A504" s="21" t="s">
        <v>367</v>
      </c>
      <c r="B504" s="17" t="s">
        <v>760</v>
      </c>
      <c r="C504" s="20" t="s">
        <v>1219</v>
      </c>
      <c r="D504" s="25" t="s">
        <v>1607</v>
      </c>
      <c r="E504" s="25" t="s">
        <v>1745</v>
      </c>
    </row>
    <row r="505" spans="1:5">
      <c r="A505" s="18" t="s">
        <v>368</v>
      </c>
      <c r="B505" s="19" t="s">
        <v>761</v>
      </c>
      <c r="C505" s="20" t="s">
        <v>1230</v>
      </c>
      <c r="D505" s="25" t="s">
        <v>1607</v>
      </c>
      <c r="E505" s="25" t="s">
        <v>1745</v>
      </c>
    </row>
    <row r="506" spans="1:5">
      <c r="A506" s="18" t="s">
        <v>369</v>
      </c>
      <c r="B506" s="19" t="s">
        <v>762</v>
      </c>
      <c r="C506" s="20" t="s">
        <v>1231</v>
      </c>
      <c r="D506" s="25" t="s">
        <v>1607</v>
      </c>
      <c r="E506" s="25" t="s">
        <v>1745</v>
      </c>
    </row>
    <row r="507" spans="1:5">
      <c r="A507" s="18" t="s">
        <v>370</v>
      </c>
      <c r="B507" s="19" t="s">
        <v>763</v>
      </c>
      <c r="C507" s="20" t="s">
        <v>1232</v>
      </c>
      <c r="D507" s="25" t="s">
        <v>1607</v>
      </c>
      <c r="E507" s="25" t="s">
        <v>1745</v>
      </c>
    </row>
    <row r="508" spans="1:5">
      <c r="A508" s="18" t="s">
        <v>371</v>
      </c>
      <c r="B508" s="19" t="s">
        <v>764</v>
      </c>
      <c r="C508" s="20" t="s">
        <v>1233</v>
      </c>
      <c r="D508" s="25" t="s">
        <v>1607</v>
      </c>
      <c r="E508" s="25" t="s">
        <v>1745</v>
      </c>
    </row>
    <row r="509" spans="1:5">
      <c r="A509" s="18" t="s">
        <v>372</v>
      </c>
      <c r="B509" s="19" t="s">
        <v>764</v>
      </c>
      <c r="C509" s="20" t="s">
        <v>1234</v>
      </c>
      <c r="D509" s="25" t="s">
        <v>1607</v>
      </c>
      <c r="E509" s="25" t="s">
        <v>1745</v>
      </c>
    </row>
    <row r="510" spans="1:5">
      <c r="A510" s="18" t="s">
        <v>373</v>
      </c>
      <c r="B510" s="19" t="s">
        <v>765</v>
      </c>
      <c r="C510" s="20" t="s">
        <v>1235</v>
      </c>
      <c r="D510" s="25" t="s">
        <v>1607</v>
      </c>
      <c r="E510" s="25" t="s">
        <v>1745</v>
      </c>
    </row>
    <row r="511" spans="1:5">
      <c r="A511" s="18" t="s">
        <v>374</v>
      </c>
      <c r="B511" s="19" t="s">
        <v>766</v>
      </c>
      <c r="C511" s="20" t="s">
        <v>1236</v>
      </c>
      <c r="D511" s="25" t="s">
        <v>1607</v>
      </c>
      <c r="E511" s="25" t="s">
        <v>1745</v>
      </c>
    </row>
    <row r="512" spans="1:5">
      <c r="A512" s="18" t="s">
        <v>375</v>
      </c>
      <c r="B512" s="19" t="s">
        <v>767</v>
      </c>
      <c r="C512" s="20" t="s">
        <v>1237</v>
      </c>
      <c r="D512" s="25" t="s">
        <v>1607</v>
      </c>
      <c r="E512" s="25" t="s">
        <v>1745</v>
      </c>
    </row>
    <row r="513" spans="1:5">
      <c r="A513" s="18" t="s">
        <v>376</v>
      </c>
      <c r="B513" s="19" t="s">
        <v>768</v>
      </c>
      <c r="C513" s="20" t="s">
        <v>1238</v>
      </c>
      <c r="D513" s="25" t="s">
        <v>1607</v>
      </c>
      <c r="E513" s="25" t="s">
        <v>1745</v>
      </c>
    </row>
    <row r="514" spans="1:5">
      <c r="A514" s="18" t="s">
        <v>377</v>
      </c>
      <c r="B514" s="19" t="s">
        <v>769</v>
      </c>
      <c r="C514" s="20" t="s">
        <v>1239</v>
      </c>
      <c r="D514" s="25" t="s">
        <v>1607</v>
      </c>
      <c r="E514" s="25" t="s">
        <v>1745</v>
      </c>
    </row>
    <row r="515" spans="1:5">
      <c r="A515" s="18" t="s">
        <v>378</v>
      </c>
      <c r="B515" s="19" t="s">
        <v>769</v>
      </c>
      <c r="C515" s="20" t="s">
        <v>1240</v>
      </c>
      <c r="D515" s="25" t="s">
        <v>1607</v>
      </c>
      <c r="E515" s="25" t="s">
        <v>1745</v>
      </c>
    </row>
    <row r="516" spans="1:5">
      <c r="A516" s="18" t="s">
        <v>379</v>
      </c>
      <c r="B516" s="19" t="s">
        <v>769</v>
      </c>
      <c r="C516" s="20" t="s">
        <v>1241</v>
      </c>
      <c r="D516" s="25" t="s">
        <v>1607</v>
      </c>
      <c r="E516" s="25" t="s">
        <v>1745</v>
      </c>
    </row>
    <row r="517" spans="1:5">
      <c r="A517" s="18" t="s">
        <v>380</v>
      </c>
      <c r="B517" s="19" t="s">
        <v>770</v>
      </c>
      <c r="C517" s="20" t="s">
        <v>1242</v>
      </c>
      <c r="D517" s="25" t="s">
        <v>1607</v>
      </c>
      <c r="E517" s="25" t="s">
        <v>1745</v>
      </c>
    </row>
    <row r="518" spans="1:5">
      <c r="A518" s="18" t="s">
        <v>381</v>
      </c>
      <c r="B518" s="19" t="s">
        <v>771</v>
      </c>
      <c r="C518" s="20" t="s">
        <v>1243</v>
      </c>
      <c r="D518" s="25" t="s">
        <v>1607</v>
      </c>
      <c r="E518" s="25" t="s">
        <v>1745</v>
      </c>
    </row>
    <row r="519" spans="1:5">
      <c r="A519" s="18" t="s">
        <v>382</v>
      </c>
      <c r="B519" s="19" t="s">
        <v>772</v>
      </c>
      <c r="C519" s="20" t="s">
        <v>1244</v>
      </c>
      <c r="D519" s="25" t="s">
        <v>1607</v>
      </c>
      <c r="E519" s="25" t="s">
        <v>1745</v>
      </c>
    </row>
    <row r="520" spans="1:5">
      <c r="A520" s="21" t="s">
        <v>383</v>
      </c>
      <c r="B520" s="17" t="s">
        <v>773</v>
      </c>
      <c r="C520" s="20" t="s">
        <v>1220</v>
      </c>
      <c r="D520" s="25" t="s">
        <v>1607</v>
      </c>
      <c r="E520" s="25" t="s">
        <v>1745</v>
      </c>
    </row>
    <row r="521" spans="1:5">
      <c r="A521" s="21" t="s">
        <v>384</v>
      </c>
      <c r="B521" s="17" t="s">
        <v>774</v>
      </c>
      <c r="C521" s="20" t="s">
        <v>1221</v>
      </c>
      <c r="D521" s="25" t="s">
        <v>1607</v>
      </c>
      <c r="E521" s="25" t="s">
        <v>1745</v>
      </c>
    </row>
    <row r="522" spans="1:5">
      <c r="A522" s="18" t="s">
        <v>385</v>
      </c>
      <c r="B522" s="19" t="s">
        <v>775</v>
      </c>
      <c r="C522" s="20" t="s">
        <v>1245</v>
      </c>
      <c r="D522" s="25" t="s">
        <v>1607</v>
      </c>
      <c r="E522" s="25" t="s">
        <v>1745</v>
      </c>
    </row>
    <row r="523" spans="1:5">
      <c r="A523" s="18" t="s">
        <v>429</v>
      </c>
      <c r="B523" s="17" t="s">
        <v>818</v>
      </c>
      <c r="C523" s="20" t="s">
        <v>1279</v>
      </c>
      <c r="D523" s="25" t="s">
        <v>1608</v>
      </c>
      <c r="E523" s="25" t="s">
        <v>1745</v>
      </c>
    </row>
    <row r="524" spans="1:5">
      <c r="A524" s="18" t="s">
        <v>430</v>
      </c>
      <c r="B524" s="17" t="s">
        <v>819</v>
      </c>
      <c r="C524" s="20" t="s">
        <v>1280</v>
      </c>
      <c r="D524" s="25" t="s">
        <v>1608</v>
      </c>
      <c r="E524" s="25" t="s">
        <v>1745</v>
      </c>
    </row>
    <row r="525" spans="1:5">
      <c r="A525" s="21" t="s">
        <v>389</v>
      </c>
      <c r="B525" s="17" t="s">
        <v>796</v>
      </c>
      <c r="C525" s="20" t="s">
        <v>1222</v>
      </c>
      <c r="D525" s="25" t="s">
        <v>1605</v>
      </c>
      <c r="E525" s="25" t="s">
        <v>1745</v>
      </c>
    </row>
    <row r="526" spans="1:5">
      <c r="A526" s="21" t="s">
        <v>390</v>
      </c>
      <c r="B526" s="17" t="s">
        <v>797</v>
      </c>
      <c r="C526" s="20" t="s">
        <v>1223</v>
      </c>
      <c r="D526" s="25" t="s">
        <v>1605</v>
      </c>
      <c r="E526" s="25" t="s">
        <v>1745</v>
      </c>
    </row>
    <row r="527" spans="1:5">
      <c r="A527" s="25" t="s">
        <v>1418</v>
      </c>
      <c r="B527" s="19" t="s">
        <v>1419</v>
      </c>
      <c r="C527" s="20" t="s">
        <v>1420</v>
      </c>
      <c r="D527" s="25" t="s">
        <v>1620</v>
      </c>
      <c r="E527" s="25" t="s">
        <v>1745</v>
      </c>
    </row>
    <row r="528" spans="1:5">
      <c r="A528" s="18" t="s">
        <v>395</v>
      </c>
      <c r="B528" s="17" t="s">
        <v>782</v>
      </c>
      <c r="C528" s="20" t="s">
        <v>1258</v>
      </c>
      <c r="D528" s="25" t="s">
        <v>1620</v>
      </c>
      <c r="E528" s="25" t="s">
        <v>1745</v>
      </c>
    </row>
    <row r="529" spans="1:5">
      <c r="A529" s="18" t="s">
        <v>396</v>
      </c>
      <c r="B529" s="19" t="s">
        <v>783</v>
      </c>
      <c r="C529" s="20" t="s">
        <v>1259</v>
      </c>
      <c r="D529" s="25" t="s">
        <v>1620</v>
      </c>
      <c r="E529" s="25" t="s">
        <v>1745</v>
      </c>
    </row>
    <row r="530" spans="1:5">
      <c r="A530" s="21" t="s">
        <v>397</v>
      </c>
      <c r="B530" s="17" t="s">
        <v>784</v>
      </c>
      <c r="C530" s="20" t="s">
        <v>1249</v>
      </c>
      <c r="D530" s="25" t="s">
        <v>1620</v>
      </c>
      <c r="E530" s="25" t="s">
        <v>1745</v>
      </c>
    </row>
    <row r="531" spans="1:5">
      <c r="A531" s="18" t="s">
        <v>398</v>
      </c>
      <c r="B531" s="19" t="s">
        <v>785</v>
      </c>
      <c r="C531" s="20" t="s">
        <v>1260</v>
      </c>
      <c r="D531" s="25" t="s">
        <v>1620</v>
      </c>
      <c r="E531" s="25" t="s">
        <v>1745</v>
      </c>
    </row>
    <row r="532" spans="1:5">
      <c r="A532" s="21" t="s">
        <v>399</v>
      </c>
      <c r="B532" s="17" t="s">
        <v>786</v>
      </c>
      <c r="C532" s="20" t="s">
        <v>1250</v>
      </c>
      <c r="D532" s="25" t="s">
        <v>1620</v>
      </c>
      <c r="E532" s="25" t="s">
        <v>1745</v>
      </c>
    </row>
    <row r="533" spans="1:5">
      <c r="A533" s="18" t="s">
        <v>400</v>
      </c>
      <c r="B533" s="17" t="s">
        <v>787</v>
      </c>
      <c r="C533" s="20" t="s">
        <v>1261</v>
      </c>
      <c r="D533" s="25" t="s">
        <v>1620</v>
      </c>
      <c r="E533" s="25" t="s">
        <v>1745</v>
      </c>
    </row>
    <row r="534" spans="1:5">
      <c r="A534" s="21" t="s">
        <v>392</v>
      </c>
      <c r="B534" s="17" t="s">
        <v>779</v>
      </c>
      <c r="C534" s="20" t="s">
        <v>1251</v>
      </c>
      <c r="D534" s="25" t="s">
        <v>1620</v>
      </c>
      <c r="E534" s="25" t="s">
        <v>1745</v>
      </c>
    </row>
    <row r="535" spans="1:5">
      <c r="A535" s="21" t="s">
        <v>394</v>
      </c>
      <c r="B535" s="17" t="s">
        <v>781</v>
      </c>
      <c r="C535" s="20" t="s">
        <v>1252</v>
      </c>
      <c r="D535" s="25" t="s">
        <v>1620</v>
      </c>
      <c r="E535" s="25" t="s">
        <v>1745</v>
      </c>
    </row>
    <row r="536" spans="1:5">
      <c r="A536" s="21" t="s">
        <v>393</v>
      </c>
      <c r="B536" s="17" t="s">
        <v>780</v>
      </c>
      <c r="C536" s="20" t="s">
        <v>1253</v>
      </c>
      <c r="D536" s="25" t="s">
        <v>1620</v>
      </c>
      <c r="E536" s="25" t="s">
        <v>1745</v>
      </c>
    </row>
    <row r="537" spans="1:5">
      <c r="A537" s="21" t="s">
        <v>401</v>
      </c>
      <c r="B537" s="17" t="s">
        <v>788</v>
      </c>
      <c r="C537" s="20" t="s">
        <v>1254</v>
      </c>
      <c r="D537" s="25" t="s">
        <v>1620</v>
      </c>
      <c r="E537" s="25" t="s">
        <v>1745</v>
      </c>
    </row>
    <row r="538" spans="1:5">
      <c r="A538" s="18" t="s">
        <v>402</v>
      </c>
      <c r="B538" s="17" t="s">
        <v>789</v>
      </c>
      <c r="C538" s="20" t="s">
        <v>1262</v>
      </c>
      <c r="D538" s="25" t="s">
        <v>1620</v>
      </c>
      <c r="E538" s="25" t="s">
        <v>1745</v>
      </c>
    </row>
    <row r="539" spans="1:5">
      <c r="A539" s="18" t="s">
        <v>403</v>
      </c>
      <c r="B539" s="17" t="s">
        <v>790</v>
      </c>
      <c r="C539" s="20" t="s">
        <v>1263</v>
      </c>
      <c r="D539" s="25" t="s">
        <v>1620</v>
      </c>
      <c r="E539" s="25" t="s">
        <v>1745</v>
      </c>
    </row>
    <row r="540" spans="1:5">
      <c r="A540" s="18" t="s">
        <v>404</v>
      </c>
      <c r="B540" s="17" t="s">
        <v>791</v>
      </c>
      <c r="C540" s="20" t="s">
        <v>1264</v>
      </c>
      <c r="D540" s="25" t="s">
        <v>1620</v>
      </c>
      <c r="E540" s="25" t="s">
        <v>1745</v>
      </c>
    </row>
    <row r="541" spans="1:5">
      <c r="A541" s="18" t="s">
        <v>405</v>
      </c>
      <c r="B541" s="17" t="s">
        <v>792</v>
      </c>
      <c r="C541" s="20" t="s">
        <v>1265</v>
      </c>
      <c r="D541" s="25" t="s">
        <v>1620</v>
      </c>
      <c r="E541" s="25" t="s">
        <v>1745</v>
      </c>
    </row>
    <row r="542" spans="1:5">
      <c r="A542" s="21" t="s">
        <v>406</v>
      </c>
      <c r="B542" s="17" t="s">
        <v>793</v>
      </c>
      <c r="C542" s="20" t="s">
        <v>1255</v>
      </c>
      <c r="D542" s="25" t="s">
        <v>1620</v>
      </c>
      <c r="E542" s="25" t="s">
        <v>1745</v>
      </c>
    </row>
    <row r="543" spans="1:5">
      <c r="A543" s="18" t="s">
        <v>407</v>
      </c>
      <c r="B543" s="17" t="s">
        <v>794</v>
      </c>
      <c r="C543" s="22" t="s">
        <v>1266</v>
      </c>
      <c r="D543" s="25" t="s">
        <v>1620</v>
      </c>
      <c r="E543" s="25" t="s">
        <v>1745</v>
      </c>
    </row>
    <row r="544" spans="1:5">
      <c r="A544" s="21" t="s">
        <v>408</v>
      </c>
      <c r="B544" s="17" t="s">
        <v>795</v>
      </c>
      <c r="C544" s="20" t="s">
        <v>1256</v>
      </c>
      <c r="D544" s="25" t="s">
        <v>1620</v>
      </c>
      <c r="E544" s="25" t="s">
        <v>1745</v>
      </c>
    </row>
    <row r="545" spans="1:5">
      <c r="A545" s="25" t="s">
        <v>1525</v>
      </c>
      <c r="B545" s="17" t="s">
        <v>1526</v>
      </c>
      <c r="C545" s="22" t="s">
        <v>1527</v>
      </c>
      <c r="D545" s="25" t="s">
        <v>1620</v>
      </c>
      <c r="E545" s="25" t="s">
        <v>1745</v>
      </c>
    </row>
    <row r="546" spans="1:5">
      <c r="A546" s="18" t="s">
        <v>409</v>
      </c>
      <c r="B546" s="17" t="s">
        <v>800</v>
      </c>
      <c r="C546" s="20" t="s">
        <v>1268</v>
      </c>
      <c r="D546" s="25" t="s">
        <v>1605</v>
      </c>
      <c r="E546" s="25" t="s">
        <v>1745</v>
      </c>
    </row>
    <row r="547" spans="1:5">
      <c r="A547" s="21" t="s">
        <v>410</v>
      </c>
      <c r="B547" s="17" t="s">
        <v>801</v>
      </c>
      <c r="C547" s="20" t="s">
        <v>1257</v>
      </c>
      <c r="D547" s="25" t="s">
        <v>1605</v>
      </c>
      <c r="E547" s="25" t="s">
        <v>1745</v>
      </c>
    </row>
    <row r="548" spans="1:5">
      <c r="A548" s="18" t="s">
        <v>72</v>
      </c>
      <c r="B548" s="19" t="s">
        <v>516</v>
      </c>
      <c r="C548" s="20" t="s">
        <v>961</v>
      </c>
      <c r="D548" s="25" t="s">
        <v>1621</v>
      </c>
      <c r="E548" s="25" t="s">
        <v>1745</v>
      </c>
    </row>
    <row r="549" spans="1:5">
      <c r="A549" s="21" t="s">
        <v>418</v>
      </c>
      <c r="B549" s="17" t="s">
        <v>807</v>
      </c>
      <c r="C549" s="20" t="s">
        <v>852</v>
      </c>
      <c r="D549" s="25" t="s">
        <v>1609</v>
      </c>
      <c r="E549" s="25" t="s">
        <v>1745</v>
      </c>
    </row>
    <row r="550" spans="1:5">
      <c r="A550" s="35" t="s">
        <v>1699</v>
      </c>
      <c r="B550" s="19" t="s">
        <v>1700</v>
      </c>
      <c r="C550" s="26" t="s">
        <v>1701</v>
      </c>
      <c r="D550" s="25" t="s">
        <v>1621</v>
      </c>
      <c r="E550" s="25" t="s">
        <v>1745</v>
      </c>
    </row>
    <row r="551" spans="1:5">
      <c r="A551" s="18" t="s">
        <v>73</v>
      </c>
      <c r="B551" s="19" t="s">
        <v>517</v>
      </c>
      <c r="C551" s="20" t="s">
        <v>962</v>
      </c>
      <c r="D551" s="25" t="s">
        <v>1621</v>
      </c>
      <c r="E551" s="25" t="s">
        <v>1745</v>
      </c>
    </row>
    <row r="552" spans="1:5">
      <c r="A552" s="16" t="s">
        <v>1762</v>
      </c>
      <c r="B552" s="19" t="s">
        <v>1422</v>
      </c>
      <c r="C552" s="26" t="s">
        <v>1763</v>
      </c>
      <c r="D552" s="25" t="s">
        <v>1621</v>
      </c>
      <c r="E552" s="25" t="s">
        <v>1745</v>
      </c>
    </row>
    <row r="553" spans="1:5">
      <c r="A553" s="25" t="s">
        <v>1421</v>
      </c>
      <c r="B553" s="19" t="s">
        <v>1422</v>
      </c>
      <c r="C553" s="20" t="s">
        <v>1423</v>
      </c>
      <c r="D553" s="25" t="s">
        <v>1621</v>
      </c>
      <c r="E553" s="25" t="s">
        <v>1745</v>
      </c>
    </row>
    <row r="554" spans="1:5">
      <c r="A554" s="21" t="s">
        <v>74</v>
      </c>
      <c r="B554" s="17" t="s">
        <v>517</v>
      </c>
      <c r="C554" s="20" t="s">
        <v>894</v>
      </c>
      <c r="D554" s="25" t="s">
        <v>1621</v>
      </c>
      <c r="E554" s="25" t="s">
        <v>1745</v>
      </c>
    </row>
    <row r="555" spans="1:5">
      <c r="A555" s="25" t="s">
        <v>1424</v>
      </c>
      <c r="B555" s="17" t="s">
        <v>517</v>
      </c>
      <c r="C555" s="20" t="s">
        <v>1425</v>
      </c>
      <c r="D555" s="25" t="s">
        <v>1621</v>
      </c>
      <c r="E555" s="25" t="s">
        <v>1745</v>
      </c>
    </row>
    <row r="556" spans="1:5">
      <c r="A556" s="25" t="s">
        <v>1426</v>
      </c>
      <c r="B556" s="19" t="s">
        <v>1422</v>
      </c>
      <c r="C556" s="20" t="s">
        <v>1427</v>
      </c>
      <c r="D556" s="25" t="s">
        <v>1621</v>
      </c>
      <c r="E556" s="25" t="s">
        <v>1745</v>
      </c>
    </row>
    <row r="557" spans="1:5">
      <c r="A557" s="21" t="s">
        <v>75</v>
      </c>
      <c r="B557" s="17" t="s">
        <v>518</v>
      </c>
      <c r="C557" s="20" t="s">
        <v>895</v>
      </c>
      <c r="D557" s="25" t="s">
        <v>1621</v>
      </c>
      <c r="E557" s="25" t="s">
        <v>1745</v>
      </c>
    </row>
    <row r="558" spans="1:5">
      <c r="A558" s="21" t="s">
        <v>76</v>
      </c>
      <c r="B558" s="17" t="s">
        <v>519</v>
      </c>
      <c r="C558" s="20" t="s">
        <v>896</v>
      </c>
      <c r="D558" s="25" t="s">
        <v>1621</v>
      </c>
      <c r="E558" s="25" t="s">
        <v>1745</v>
      </c>
    </row>
    <row r="559" spans="1:5">
      <c r="A559" s="35" t="s">
        <v>1658</v>
      </c>
      <c r="B559" s="19" t="s">
        <v>523</v>
      </c>
      <c r="C559" s="26" t="s">
        <v>1659</v>
      </c>
      <c r="D559" s="25" t="s">
        <v>1621</v>
      </c>
      <c r="E559" s="25" t="s">
        <v>1745</v>
      </c>
    </row>
    <row r="560" spans="1:5">
      <c r="A560" s="20" t="s">
        <v>1541</v>
      </c>
      <c r="B560" s="19" t="s">
        <v>520</v>
      </c>
      <c r="C560" s="22" t="s">
        <v>1542</v>
      </c>
      <c r="D560" s="25" t="s">
        <v>1621</v>
      </c>
      <c r="E560" s="25" t="s">
        <v>1745</v>
      </c>
    </row>
    <row r="561" spans="1:5">
      <c r="A561" s="25" t="s">
        <v>1623</v>
      </c>
      <c r="B561" s="19" t="s">
        <v>1531</v>
      </c>
      <c r="C561" s="26" t="s">
        <v>1651</v>
      </c>
      <c r="D561" s="25" t="s">
        <v>1621</v>
      </c>
      <c r="E561" s="25" t="s">
        <v>1745</v>
      </c>
    </row>
    <row r="562" spans="1:5">
      <c r="A562" s="25" t="s">
        <v>1528</v>
      </c>
      <c r="B562" s="19" t="s">
        <v>520</v>
      </c>
      <c r="C562" s="26" t="s">
        <v>1529</v>
      </c>
      <c r="D562" s="25" t="s">
        <v>1621</v>
      </c>
      <c r="E562" s="25" t="s">
        <v>1745</v>
      </c>
    </row>
    <row r="563" spans="1:5">
      <c r="A563" s="18" t="s">
        <v>77</v>
      </c>
      <c r="B563" s="19" t="s">
        <v>520</v>
      </c>
      <c r="C563" s="20" t="s">
        <v>963</v>
      </c>
      <c r="D563" s="25" t="s">
        <v>1621</v>
      </c>
      <c r="E563" s="25" t="s">
        <v>1745</v>
      </c>
    </row>
    <row r="564" spans="1:5">
      <c r="A564" s="18" t="s">
        <v>78</v>
      </c>
      <c r="B564" s="19" t="s">
        <v>521</v>
      </c>
      <c r="C564" s="20" t="s">
        <v>964</v>
      </c>
      <c r="D564" s="25" t="s">
        <v>1621</v>
      </c>
      <c r="E564" s="25" t="s">
        <v>1745</v>
      </c>
    </row>
    <row r="565" spans="1:5">
      <c r="A565" s="25" t="s">
        <v>1530</v>
      </c>
      <c r="B565" s="17" t="s">
        <v>1531</v>
      </c>
      <c r="C565" s="26" t="s">
        <v>1532</v>
      </c>
      <c r="D565" s="25" t="s">
        <v>1621</v>
      </c>
      <c r="E565" s="25" t="s">
        <v>1745</v>
      </c>
    </row>
    <row r="566" spans="1:5">
      <c r="A566" s="34" t="s">
        <v>1463</v>
      </c>
      <c r="B566" s="19" t="s">
        <v>1465</v>
      </c>
      <c r="C566" s="20" t="s">
        <v>1464</v>
      </c>
      <c r="D566" s="25" t="s">
        <v>1621</v>
      </c>
      <c r="E566" s="25" t="s">
        <v>1745</v>
      </c>
    </row>
    <row r="567" spans="1:5">
      <c r="A567" s="18" t="s">
        <v>79</v>
      </c>
      <c r="B567" s="19" t="s">
        <v>522</v>
      </c>
      <c r="C567" s="20" t="s">
        <v>965</v>
      </c>
      <c r="D567" s="25" t="s">
        <v>1621</v>
      </c>
      <c r="E567" s="25" t="s">
        <v>1745</v>
      </c>
    </row>
    <row r="568" spans="1:5">
      <c r="A568" s="18" t="s">
        <v>80</v>
      </c>
      <c r="B568" s="19" t="s">
        <v>523</v>
      </c>
      <c r="C568" s="20" t="s">
        <v>966</v>
      </c>
      <c r="D568" s="25" t="s">
        <v>1621</v>
      </c>
      <c r="E568" s="25" t="s">
        <v>1745</v>
      </c>
    </row>
    <row r="569" spans="1:5">
      <c r="A569" s="21" t="s">
        <v>81</v>
      </c>
      <c r="B569" s="17" t="s">
        <v>524</v>
      </c>
      <c r="C569" s="20" t="s">
        <v>897</v>
      </c>
      <c r="D569" s="25" t="s">
        <v>1621</v>
      </c>
      <c r="E569" s="25" t="s">
        <v>1745</v>
      </c>
    </row>
    <row r="570" spans="1:5">
      <c r="A570" s="21" t="s">
        <v>1428</v>
      </c>
      <c r="B570" s="19" t="s">
        <v>524</v>
      </c>
      <c r="C570" s="20" t="s">
        <v>1491</v>
      </c>
      <c r="D570" s="25" t="s">
        <v>1621</v>
      </c>
      <c r="E570" s="25" t="s">
        <v>1745</v>
      </c>
    </row>
    <row r="571" spans="1:5">
      <c r="A571" s="18" t="s">
        <v>82</v>
      </c>
      <c r="B571" s="19" t="s">
        <v>516</v>
      </c>
      <c r="C571" s="20" t="s">
        <v>967</v>
      </c>
      <c r="D571" s="25" t="s">
        <v>1621</v>
      </c>
      <c r="E571" s="25" t="s">
        <v>1745</v>
      </c>
    </row>
    <row r="572" spans="1:5">
      <c r="A572" s="18" t="s">
        <v>83</v>
      </c>
      <c r="B572" s="19" t="s">
        <v>516</v>
      </c>
      <c r="C572" s="20" t="s">
        <v>968</v>
      </c>
      <c r="D572" s="25" t="s">
        <v>1621</v>
      </c>
      <c r="E572" s="25" t="s">
        <v>1745</v>
      </c>
    </row>
    <row r="573" spans="1:5">
      <c r="A573" s="25" t="s">
        <v>1429</v>
      </c>
      <c r="B573" s="19" t="s">
        <v>525</v>
      </c>
      <c r="C573" s="20" t="s">
        <v>1430</v>
      </c>
      <c r="D573" s="25" t="s">
        <v>1621</v>
      </c>
      <c r="E573" s="25" t="s">
        <v>1745</v>
      </c>
    </row>
    <row r="574" spans="1:5">
      <c r="A574" s="25" t="s">
        <v>1431</v>
      </c>
      <c r="B574" s="17" t="s">
        <v>526</v>
      </c>
      <c r="C574" s="20" t="s">
        <v>1432</v>
      </c>
      <c r="D574" s="25" t="s">
        <v>1621</v>
      </c>
      <c r="E574" s="25" t="s">
        <v>1745</v>
      </c>
    </row>
    <row r="575" spans="1:5">
      <c r="A575" s="18" t="s">
        <v>84</v>
      </c>
      <c r="B575" s="19" t="s">
        <v>525</v>
      </c>
      <c r="C575" s="20" t="s">
        <v>969</v>
      </c>
      <c r="D575" s="25" t="s">
        <v>1621</v>
      </c>
      <c r="E575" s="25" t="s">
        <v>1745</v>
      </c>
    </row>
    <row r="576" spans="1:5">
      <c r="A576" s="21" t="s">
        <v>85</v>
      </c>
      <c r="B576" s="17" t="s">
        <v>526</v>
      </c>
      <c r="C576" s="20" t="s">
        <v>898</v>
      </c>
      <c r="D576" s="25" t="s">
        <v>1621</v>
      </c>
      <c r="E576" s="25" t="s">
        <v>1745</v>
      </c>
    </row>
    <row r="577" spans="1:5">
      <c r="A577" s="21" t="s">
        <v>1433</v>
      </c>
      <c r="B577" s="19" t="s">
        <v>526</v>
      </c>
      <c r="C577" s="20" t="s">
        <v>1492</v>
      </c>
      <c r="D577" s="25" t="s">
        <v>1621</v>
      </c>
      <c r="E577" s="25" t="s">
        <v>1745</v>
      </c>
    </row>
    <row r="578" spans="1:5">
      <c r="A578" s="21" t="s">
        <v>1533</v>
      </c>
      <c r="B578" s="17" t="s">
        <v>527</v>
      </c>
      <c r="C578" s="20" t="s">
        <v>1534</v>
      </c>
      <c r="D578" s="25" t="s">
        <v>1621</v>
      </c>
      <c r="E578" s="25" t="s">
        <v>1745</v>
      </c>
    </row>
    <row r="579" spans="1:5">
      <c r="A579" s="21" t="s">
        <v>86</v>
      </c>
      <c r="B579" s="17" t="s">
        <v>527</v>
      </c>
      <c r="C579" s="20" t="s">
        <v>899</v>
      </c>
      <c r="D579" s="25" t="s">
        <v>1621</v>
      </c>
      <c r="E579" s="25" t="s">
        <v>1745</v>
      </c>
    </row>
    <row r="580" spans="1:5">
      <c r="A580" s="25" t="s">
        <v>1434</v>
      </c>
      <c r="B580" s="19" t="s">
        <v>528</v>
      </c>
      <c r="C580" s="20" t="s">
        <v>1435</v>
      </c>
      <c r="D580" s="25" t="s">
        <v>1621</v>
      </c>
      <c r="E580" s="25" t="s">
        <v>1745</v>
      </c>
    </row>
    <row r="581" spans="1:5">
      <c r="A581" s="18" t="s">
        <v>87</v>
      </c>
      <c r="B581" s="19" t="s">
        <v>528</v>
      </c>
      <c r="C581" s="20" t="s">
        <v>970</v>
      </c>
      <c r="D581" s="25" t="s">
        <v>1621</v>
      </c>
      <c r="E581" s="25" t="s">
        <v>1745</v>
      </c>
    </row>
    <row r="582" spans="1:5">
      <c r="A582" s="25" t="s">
        <v>1436</v>
      </c>
      <c r="B582" s="17" t="s">
        <v>529</v>
      </c>
      <c r="C582" s="20" t="s">
        <v>1437</v>
      </c>
      <c r="D582" s="25" t="s">
        <v>1621</v>
      </c>
      <c r="E582" s="25" t="s">
        <v>1745</v>
      </c>
    </row>
    <row r="583" spans="1:5">
      <c r="A583" s="21" t="s">
        <v>88</v>
      </c>
      <c r="B583" s="17" t="s">
        <v>529</v>
      </c>
      <c r="C583" s="20" t="s">
        <v>900</v>
      </c>
      <c r="D583" s="25" t="s">
        <v>1621</v>
      </c>
      <c r="E583" s="25" t="s">
        <v>1745</v>
      </c>
    </row>
    <row r="584" spans="1:5">
      <c r="A584" s="21" t="s">
        <v>89</v>
      </c>
      <c r="B584" s="17" t="s">
        <v>530</v>
      </c>
      <c r="C584" s="20" t="s">
        <v>901</v>
      </c>
      <c r="D584" s="25" t="s">
        <v>1621</v>
      </c>
      <c r="E584" s="25" t="s">
        <v>1745</v>
      </c>
    </row>
    <row r="585" spans="1:5">
      <c r="A585" s="25" t="s">
        <v>1438</v>
      </c>
      <c r="B585" s="17" t="s">
        <v>530</v>
      </c>
      <c r="C585" s="20" t="s">
        <v>1439</v>
      </c>
      <c r="D585" s="25" t="s">
        <v>1621</v>
      </c>
      <c r="E585" s="25" t="s">
        <v>1745</v>
      </c>
    </row>
    <row r="586" spans="1:5">
      <c r="A586" s="25" t="s">
        <v>1440</v>
      </c>
      <c r="B586" s="19" t="s">
        <v>1441</v>
      </c>
      <c r="C586" s="20" t="s">
        <v>1466</v>
      </c>
      <c r="D586" s="25" t="s">
        <v>1621</v>
      </c>
      <c r="E586" s="25" t="s">
        <v>1745</v>
      </c>
    </row>
    <row r="587" spans="1:5">
      <c r="A587" s="21" t="s">
        <v>90</v>
      </c>
      <c r="B587" s="17" t="s">
        <v>531</v>
      </c>
      <c r="C587" s="20" t="s">
        <v>902</v>
      </c>
      <c r="D587" s="25" t="s">
        <v>1621</v>
      </c>
      <c r="E587" s="25" t="s">
        <v>1745</v>
      </c>
    </row>
    <row r="588" spans="1:5">
      <c r="A588" s="25" t="s">
        <v>1442</v>
      </c>
      <c r="B588" s="19" t="s">
        <v>531</v>
      </c>
      <c r="C588" s="20" t="s">
        <v>1467</v>
      </c>
      <c r="D588" s="25" t="s">
        <v>1621</v>
      </c>
      <c r="E588" s="25" t="s">
        <v>1745</v>
      </c>
    </row>
    <row r="589" spans="1:5">
      <c r="A589" s="21" t="s">
        <v>91</v>
      </c>
      <c r="B589" s="17" t="s">
        <v>532</v>
      </c>
      <c r="C589" s="20" t="s">
        <v>903</v>
      </c>
      <c r="D589" s="25" t="s">
        <v>1621</v>
      </c>
      <c r="E589" s="25" t="s">
        <v>1745</v>
      </c>
    </row>
    <row r="590" spans="1:5">
      <c r="A590" s="21" t="s">
        <v>92</v>
      </c>
      <c r="B590" s="17" t="s">
        <v>904</v>
      </c>
      <c r="C590" s="20" t="s">
        <v>905</v>
      </c>
      <c r="D590" s="25" t="s">
        <v>1621</v>
      </c>
      <c r="E590" s="25" t="s">
        <v>1745</v>
      </c>
    </row>
    <row r="591" spans="1:5">
      <c r="A591" s="25" t="s">
        <v>1443</v>
      </c>
      <c r="B591" s="19" t="s">
        <v>1444</v>
      </c>
      <c r="C591" s="20" t="s">
        <v>1445</v>
      </c>
      <c r="D591" s="25" t="s">
        <v>1621</v>
      </c>
      <c r="E591" s="25" t="s">
        <v>1745</v>
      </c>
    </row>
    <row r="592" spans="1:5">
      <c r="A592" s="18" t="s">
        <v>93</v>
      </c>
      <c r="B592" s="19" t="s">
        <v>517</v>
      </c>
      <c r="C592" s="20" t="s">
        <v>971</v>
      </c>
      <c r="D592" s="25" t="s">
        <v>1621</v>
      </c>
      <c r="E592" s="25" t="s">
        <v>1745</v>
      </c>
    </row>
    <row r="593" spans="1:5">
      <c r="A593" s="18" t="s">
        <v>94</v>
      </c>
      <c r="B593" s="19" t="s">
        <v>533</v>
      </c>
      <c r="C593" s="20" t="s">
        <v>972</v>
      </c>
      <c r="D593" s="25" t="s">
        <v>1621</v>
      </c>
      <c r="E593" s="25" t="s">
        <v>1745</v>
      </c>
    </row>
    <row r="594" spans="1:5">
      <c r="A594" s="25" t="s">
        <v>1446</v>
      </c>
      <c r="B594" s="19" t="s">
        <v>522</v>
      </c>
      <c r="C594" s="20" t="s">
        <v>1447</v>
      </c>
      <c r="D594" s="25" t="s">
        <v>1621</v>
      </c>
      <c r="E594" s="25" t="s">
        <v>1745</v>
      </c>
    </row>
    <row r="595" spans="1:5">
      <c r="A595" s="18" t="s">
        <v>95</v>
      </c>
      <c r="B595" s="19" t="s">
        <v>529</v>
      </c>
      <c r="C595" s="20" t="s">
        <v>973</v>
      </c>
      <c r="D595" s="25" t="s">
        <v>1621</v>
      </c>
      <c r="E595" s="25" t="s">
        <v>1745</v>
      </c>
    </row>
    <row r="596" spans="1:5">
      <c r="A596" s="25" t="s">
        <v>1448</v>
      </c>
      <c r="B596" s="19" t="s">
        <v>1449</v>
      </c>
      <c r="C596" s="22" t="s">
        <v>1450</v>
      </c>
      <c r="D596" s="25" t="s">
        <v>1621</v>
      </c>
      <c r="E596" s="25" t="s">
        <v>1745</v>
      </c>
    </row>
    <row r="597" spans="1:5">
      <c r="A597" s="18" t="s">
        <v>96</v>
      </c>
      <c r="B597" s="19" t="s">
        <v>534</v>
      </c>
      <c r="C597" s="20" t="s">
        <v>974</v>
      </c>
      <c r="D597" s="25" t="s">
        <v>1621</v>
      </c>
      <c r="E597" s="25" t="s">
        <v>1745</v>
      </c>
    </row>
    <row r="598" spans="1:5">
      <c r="A598" s="25" t="s">
        <v>1451</v>
      </c>
      <c r="B598" s="17" t="s">
        <v>537</v>
      </c>
      <c r="C598" s="20" t="s">
        <v>1452</v>
      </c>
      <c r="D598" s="25" t="s">
        <v>1622</v>
      </c>
      <c r="E598" s="25" t="s">
        <v>1745</v>
      </c>
    </row>
    <row r="599" spans="1:5">
      <c r="A599" s="21" t="s">
        <v>1305</v>
      </c>
      <c r="B599" s="17" t="s">
        <v>1310</v>
      </c>
      <c r="C599" s="22" t="s">
        <v>1309</v>
      </c>
      <c r="D599" s="25" t="s">
        <v>1622</v>
      </c>
      <c r="E599" s="25" t="s">
        <v>1745</v>
      </c>
    </row>
    <row r="600" spans="1:5">
      <c r="A600" s="18" t="s">
        <v>101</v>
      </c>
      <c r="B600" s="19" t="s">
        <v>535</v>
      </c>
      <c r="C600" s="20" t="s">
        <v>975</v>
      </c>
      <c r="D600" s="25" t="s">
        <v>1622</v>
      </c>
      <c r="E600" s="25" t="s">
        <v>1745</v>
      </c>
    </row>
    <row r="601" spans="1:5">
      <c r="A601" s="21" t="s">
        <v>102</v>
      </c>
      <c r="B601" s="17" t="s">
        <v>537</v>
      </c>
      <c r="C601" s="20" t="s">
        <v>906</v>
      </c>
      <c r="D601" s="25" t="s">
        <v>1622</v>
      </c>
      <c r="E601" s="25" t="s">
        <v>1745</v>
      </c>
    </row>
    <row r="602" spans="1:5">
      <c r="A602" s="25" t="s">
        <v>1453</v>
      </c>
      <c r="B602" s="17" t="s">
        <v>1454</v>
      </c>
      <c r="C602" s="20" t="s">
        <v>1455</v>
      </c>
      <c r="D602" s="25" t="s">
        <v>1622</v>
      </c>
      <c r="E602" s="25" t="s">
        <v>1745</v>
      </c>
    </row>
    <row r="603" spans="1:5">
      <c r="A603" s="21" t="s">
        <v>98</v>
      </c>
      <c r="B603" s="17" t="s">
        <v>535</v>
      </c>
      <c r="C603" s="20" t="s">
        <v>907</v>
      </c>
      <c r="D603" s="25" t="s">
        <v>1622</v>
      </c>
      <c r="E603" s="25" t="s">
        <v>1745</v>
      </c>
    </row>
    <row r="604" spans="1:5">
      <c r="A604" s="27" t="s">
        <v>1331</v>
      </c>
      <c r="B604" s="17" t="s">
        <v>1343</v>
      </c>
      <c r="C604" s="26" t="s">
        <v>1344</v>
      </c>
      <c r="D604" s="25" t="s">
        <v>1622</v>
      </c>
      <c r="E604" s="25" t="s">
        <v>1745</v>
      </c>
    </row>
    <row r="605" spans="1:5">
      <c r="A605" s="21" t="s">
        <v>99</v>
      </c>
      <c r="B605" s="17" t="s">
        <v>535</v>
      </c>
      <c r="C605" s="20" t="s">
        <v>908</v>
      </c>
      <c r="D605" s="25" t="s">
        <v>1622</v>
      </c>
      <c r="E605" s="25" t="s">
        <v>1745</v>
      </c>
    </row>
    <row r="606" spans="1:5">
      <c r="A606" s="21" t="s">
        <v>103</v>
      </c>
      <c r="B606" s="17" t="s">
        <v>538</v>
      </c>
      <c r="C606" s="20" t="s">
        <v>909</v>
      </c>
      <c r="D606" s="25" t="s">
        <v>1622</v>
      </c>
      <c r="E606" s="25" t="s">
        <v>1745</v>
      </c>
    </row>
    <row r="607" spans="1:5">
      <c r="A607" s="21" t="s">
        <v>910</v>
      </c>
      <c r="B607" s="17" t="s">
        <v>911</v>
      </c>
      <c r="C607" s="20" t="s">
        <v>912</v>
      </c>
      <c r="D607" s="25" t="s">
        <v>1622</v>
      </c>
      <c r="E607" s="25" t="s">
        <v>1745</v>
      </c>
    </row>
    <row r="608" spans="1:5">
      <c r="A608" s="21" t="s">
        <v>104</v>
      </c>
      <c r="B608" s="17" t="s">
        <v>539</v>
      </c>
      <c r="C608" s="20" t="s">
        <v>913</v>
      </c>
      <c r="D608" s="25" t="s">
        <v>1622</v>
      </c>
      <c r="E608" s="25" t="s">
        <v>1745</v>
      </c>
    </row>
    <row r="609" spans="1:5">
      <c r="A609" s="21" t="s">
        <v>105</v>
      </c>
      <c r="B609" s="17" t="s">
        <v>540</v>
      </c>
      <c r="C609" s="20" t="s">
        <v>914</v>
      </c>
      <c r="D609" s="25" t="s">
        <v>1622</v>
      </c>
      <c r="E609" s="25" t="s">
        <v>1745</v>
      </c>
    </row>
    <row r="610" spans="1:5">
      <c r="A610" s="21" t="s">
        <v>106</v>
      </c>
      <c r="B610" s="17" t="s">
        <v>541</v>
      </c>
      <c r="C610" s="20" t="s">
        <v>915</v>
      </c>
      <c r="D610" s="25" t="s">
        <v>1622</v>
      </c>
      <c r="E610" s="25" t="s">
        <v>1745</v>
      </c>
    </row>
    <row r="611" spans="1:5">
      <c r="A611" s="18" t="s">
        <v>463</v>
      </c>
      <c r="B611" s="19" t="s">
        <v>541</v>
      </c>
      <c r="C611" s="20" t="s">
        <v>976</v>
      </c>
      <c r="D611" s="25" t="s">
        <v>1622</v>
      </c>
      <c r="E611" s="25" t="s">
        <v>1745</v>
      </c>
    </row>
    <row r="612" spans="1:5">
      <c r="A612" s="21" t="s">
        <v>1302</v>
      </c>
      <c r="B612" s="17" t="s">
        <v>1303</v>
      </c>
      <c r="C612" s="20" t="s">
        <v>1304</v>
      </c>
      <c r="D612" s="25" t="s">
        <v>1622</v>
      </c>
      <c r="E612" s="25" t="s">
        <v>1745</v>
      </c>
    </row>
    <row r="613" spans="1:5">
      <c r="A613" s="21" t="s">
        <v>107</v>
      </c>
      <c r="B613" s="17" t="s">
        <v>542</v>
      </c>
      <c r="C613" s="20" t="s">
        <v>916</v>
      </c>
      <c r="D613" s="25" t="s">
        <v>1622</v>
      </c>
      <c r="E613" s="25" t="s">
        <v>1745</v>
      </c>
    </row>
    <row r="614" spans="1:5">
      <c r="A614" s="25" t="s">
        <v>1456</v>
      </c>
      <c r="B614" s="17" t="s">
        <v>536</v>
      </c>
      <c r="C614" s="20" t="s">
        <v>1457</v>
      </c>
      <c r="D614" s="25" t="s">
        <v>1622</v>
      </c>
      <c r="E614" s="25" t="s">
        <v>1745</v>
      </c>
    </row>
    <row r="615" spans="1:5">
      <c r="A615" s="21" t="s">
        <v>100</v>
      </c>
      <c r="B615" s="17" t="s">
        <v>536</v>
      </c>
      <c r="C615" s="20" t="s">
        <v>917</v>
      </c>
      <c r="D615" s="25" t="s">
        <v>1622</v>
      </c>
      <c r="E615" s="25" t="s">
        <v>1745</v>
      </c>
    </row>
    <row r="616" spans="1:5">
      <c r="A616" s="25" t="s">
        <v>1458</v>
      </c>
      <c r="B616" s="17" t="s">
        <v>1459</v>
      </c>
      <c r="C616" s="20" t="s">
        <v>1460</v>
      </c>
      <c r="D616" s="25" t="s">
        <v>1622</v>
      </c>
      <c r="E616" s="25" t="s">
        <v>1745</v>
      </c>
    </row>
    <row r="617" spans="1:5">
      <c r="A617" s="26" t="s">
        <v>1656</v>
      </c>
      <c r="B617" s="19" t="s">
        <v>538</v>
      </c>
      <c r="C617" s="19" t="s">
        <v>1657</v>
      </c>
      <c r="D617" s="25" t="s">
        <v>1622</v>
      </c>
      <c r="E617" s="25" t="s">
        <v>1745</v>
      </c>
    </row>
    <row r="618" spans="1:5">
      <c r="A618" s="25" t="s">
        <v>1461</v>
      </c>
      <c r="B618" s="17" t="s">
        <v>539</v>
      </c>
      <c r="C618" s="20" t="s">
        <v>1462</v>
      </c>
      <c r="D618" s="25" t="s">
        <v>1622</v>
      </c>
      <c r="E618" s="25" t="s">
        <v>1745</v>
      </c>
    </row>
    <row r="619" spans="1:5">
      <c r="A619" s="16" t="s">
        <v>1764</v>
      </c>
      <c r="B619" s="17" t="s">
        <v>539</v>
      </c>
      <c r="C619" s="22" t="s">
        <v>1765</v>
      </c>
      <c r="D619" s="25" t="s">
        <v>1622</v>
      </c>
      <c r="E619" s="25" t="s">
        <v>1745</v>
      </c>
    </row>
    <row r="620" spans="1:5">
      <c r="A620" s="25" t="s">
        <v>1787</v>
      </c>
      <c r="B620" s="38" t="s">
        <v>1788</v>
      </c>
      <c r="C620" s="26" t="s">
        <v>1789</v>
      </c>
      <c r="D620" s="25" t="s">
        <v>1621</v>
      </c>
      <c r="E620" s="25" t="s">
        <v>1745</v>
      </c>
    </row>
    <row r="621" spans="1:5">
      <c r="A621" s="25" t="s">
        <v>1790</v>
      </c>
      <c r="B621" s="38" t="s">
        <v>1791</v>
      </c>
      <c r="C621" s="26" t="s">
        <v>1792</v>
      </c>
      <c r="D621" s="25" t="s">
        <v>1621</v>
      </c>
      <c r="E621" s="25" t="s">
        <v>1745</v>
      </c>
    </row>
    <row r="622" spans="1:5">
      <c r="A622" s="25" t="s">
        <v>1784</v>
      </c>
      <c r="B622" s="36" t="s">
        <v>1643</v>
      </c>
      <c r="C622" s="26" t="s">
        <v>1802</v>
      </c>
      <c r="D622" s="25" t="s">
        <v>1616</v>
      </c>
      <c r="E622" s="25" t="s">
        <v>1745</v>
      </c>
    </row>
    <row r="623" spans="1:5">
      <c r="A623" s="25" t="s">
        <v>1786</v>
      </c>
      <c r="B623" s="36" t="s">
        <v>1793</v>
      </c>
      <c r="C623" s="26" t="s">
        <v>1803</v>
      </c>
      <c r="D623" s="25" t="s">
        <v>1616</v>
      </c>
      <c r="E623" s="25" t="s">
        <v>1745</v>
      </c>
    </row>
    <row r="624" spans="1:5">
      <c r="A624" s="25" t="s">
        <v>1785</v>
      </c>
      <c r="B624" s="36" t="s">
        <v>1640</v>
      </c>
      <c r="C624" s="26" t="s">
        <v>1804</v>
      </c>
      <c r="D624" s="25" t="s">
        <v>1616</v>
      </c>
      <c r="E624" s="25" t="s">
        <v>1745</v>
      </c>
    </row>
    <row r="625" spans="1:5">
      <c r="A625" s="25" t="s">
        <v>1794</v>
      </c>
      <c r="B625" s="38" t="s">
        <v>1795</v>
      </c>
      <c r="C625" s="26" t="s">
        <v>1796</v>
      </c>
      <c r="D625" s="25" t="s">
        <v>1621</v>
      </c>
      <c r="E625" s="25" t="s">
        <v>1745</v>
      </c>
    </row>
    <row r="626" spans="1:5">
      <c r="A626" s="25" t="s">
        <v>1783</v>
      </c>
      <c r="B626" s="36" t="s">
        <v>1320</v>
      </c>
      <c r="C626" s="26" t="s">
        <v>1797</v>
      </c>
      <c r="D626" s="25" t="s">
        <v>1616</v>
      </c>
      <c r="E626" s="25" t="s">
        <v>1745</v>
      </c>
    </row>
    <row r="627" spans="1:5">
      <c r="A627" s="25" t="s">
        <v>1781</v>
      </c>
      <c r="B627" s="36" t="s">
        <v>750</v>
      </c>
      <c r="C627" s="37" t="s">
        <v>1798</v>
      </c>
      <c r="D627" s="25" t="s">
        <v>1610</v>
      </c>
      <c r="E627" s="25" t="s">
        <v>1745</v>
      </c>
    </row>
    <row r="628" spans="1:5">
      <c r="A628" s="25" t="s">
        <v>1782</v>
      </c>
      <c r="B628" s="36" t="s">
        <v>515</v>
      </c>
      <c r="C628" s="26" t="s">
        <v>1805</v>
      </c>
      <c r="D628" s="25" t="s">
        <v>1606</v>
      </c>
      <c r="E628" s="25" t="s">
        <v>1745</v>
      </c>
    </row>
    <row r="629" spans="1:5">
      <c r="A629" s="25" t="s">
        <v>1776</v>
      </c>
      <c r="B629" s="36" t="s">
        <v>1806</v>
      </c>
      <c r="C629" s="26" t="s">
        <v>1807</v>
      </c>
      <c r="D629" s="25" t="s">
        <v>1610</v>
      </c>
      <c r="E629" s="25" t="s">
        <v>1745</v>
      </c>
    </row>
    <row r="630" spans="1:5">
      <c r="A630" s="25" t="s">
        <v>1777</v>
      </c>
      <c r="B630" s="36" t="s">
        <v>734</v>
      </c>
      <c r="C630" s="26" t="s">
        <v>1808</v>
      </c>
      <c r="D630" s="25" t="s">
        <v>1610</v>
      </c>
      <c r="E630" s="25" t="s">
        <v>1745</v>
      </c>
    </row>
    <row r="631" spans="1:5">
      <c r="A631" s="25" t="s">
        <v>1778</v>
      </c>
      <c r="B631" s="36" t="s">
        <v>736</v>
      </c>
      <c r="C631" s="26" t="s">
        <v>1809</v>
      </c>
      <c r="D631" s="25" t="s">
        <v>1610</v>
      </c>
      <c r="E631" s="25" t="s">
        <v>1745</v>
      </c>
    </row>
    <row r="632" spans="1:5">
      <c r="A632" s="25" t="s">
        <v>1779</v>
      </c>
      <c r="B632" s="36" t="s">
        <v>1810</v>
      </c>
      <c r="C632" s="26" t="s">
        <v>1811</v>
      </c>
      <c r="D632" s="25" t="s">
        <v>1610</v>
      </c>
      <c r="E632" s="25" t="s">
        <v>1745</v>
      </c>
    </row>
    <row r="633" spans="1:5">
      <c r="A633" s="25" t="s">
        <v>1780</v>
      </c>
      <c r="B633" s="36" t="s">
        <v>720</v>
      </c>
      <c r="C633" s="26" t="s">
        <v>1812</v>
      </c>
      <c r="D633" s="25" t="s">
        <v>1610</v>
      </c>
      <c r="E633" s="25" t="s">
        <v>1745</v>
      </c>
    </row>
    <row r="634" spans="1:5">
      <c r="A634" s="25" t="s">
        <v>1799</v>
      </c>
      <c r="B634" t="s">
        <v>1813</v>
      </c>
      <c r="D634" s="25" t="s">
        <v>1607</v>
      </c>
      <c r="E634" s="25" t="s">
        <v>1745</v>
      </c>
    </row>
    <row r="635" spans="1:5">
      <c r="A635" s="25" t="s">
        <v>1800</v>
      </c>
      <c r="B635" s="36" t="s">
        <v>1814</v>
      </c>
      <c r="C635" s="26" t="s">
        <v>1815</v>
      </c>
      <c r="D635" s="25" t="s">
        <v>1607</v>
      </c>
      <c r="E635" s="25" t="s">
        <v>1745</v>
      </c>
    </row>
    <row r="636" spans="1:5">
      <c r="A636" s="25" t="s">
        <v>1801</v>
      </c>
      <c r="B636" s="36" t="s">
        <v>1816</v>
      </c>
      <c r="C636" s="26" t="s">
        <v>1817</v>
      </c>
      <c r="D636" s="25" t="s">
        <v>1607</v>
      </c>
      <c r="E636" s="25" t="s">
        <v>1745</v>
      </c>
    </row>
    <row r="637" spans="1:5">
      <c r="A637" s="25" t="s">
        <v>1820</v>
      </c>
      <c r="B637" t="s">
        <v>1822</v>
      </c>
      <c r="D637" s="25" t="s">
        <v>1607</v>
      </c>
      <c r="E637" s="25" t="s">
        <v>1745</v>
      </c>
    </row>
    <row r="638" spans="1:5">
      <c r="A638" s="25" t="s">
        <v>1821</v>
      </c>
      <c r="B638" t="s">
        <v>1822</v>
      </c>
      <c r="D638" s="25" t="s">
        <v>1607</v>
      </c>
      <c r="E638" s="25" t="s">
        <v>1745</v>
      </c>
    </row>
    <row r="639" spans="1:5">
      <c r="A639" s="25" t="s">
        <v>1868</v>
      </c>
      <c r="B639" s="36" t="s">
        <v>1869</v>
      </c>
      <c r="C639" s="26" t="s">
        <v>1870</v>
      </c>
      <c r="D639" s="25" t="s">
        <v>1616</v>
      </c>
      <c r="E639" s="25" t="s">
        <v>1745</v>
      </c>
    </row>
    <row r="640" spans="1:5">
      <c r="A640" s="25" t="s">
        <v>1871</v>
      </c>
      <c r="B640" s="36" t="s">
        <v>1872</v>
      </c>
      <c r="C640" s="26" t="s">
        <v>1873</v>
      </c>
      <c r="D640" s="25" t="s">
        <v>1616</v>
      </c>
      <c r="E640" s="25" t="s">
        <v>1745</v>
      </c>
    </row>
    <row r="641" spans="1:5">
      <c r="A641" s="114" t="s">
        <v>1847</v>
      </c>
      <c r="B641" s="36" t="s">
        <v>721</v>
      </c>
      <c r="C641" s="26" t="s">
        <v>1848</v>
      </c>
      <c r="D641" s="25" t="s">
        <v>1610</v>
      </c>
      <c r="E641" s="25" t="s">
        <v>1745</v>
      </c>
    </row>
    <row r="642" spans="1:5">
      <c r="A642" s="114" t="s">
        <v>1849</v>
      </c>
      <c r="B642" s="36" t="s">
        <v>1850</v>
      </c>
      <c r="C642" s="26" t="s">
        <v>1851</v>
      </c>
      <c r="D642" s="25" t="s">
        <v>1617</v>
      </c>
      <c r="E642" s="25" t="s">
        <v>1745</v>
      </c>
    </row>
    <row r="643" spans="1:5">
      <c r="A643" s="114" t="s">
        <v>1852</v>
      </c>
      <c r="B643" s="36" t="s">
        <v>535</v>
      </c>
      <c r="C643" s="26" t="s">
        <v>1853</v>
      </c>
      <c r="D643" s="25" t="s">
        <v>1622</v>
      </c>
      <c r="E643" s="25" t="s">
        <v>1745</v>
      </c>
    </row>
    <row r="644" spans="1:5">
      <c r="A644" s="114" t="s">
        <v>1854</v>
      </c>
      <c r="B644" s="36" t="s">
        <v>482</v>
      </c>
      <c r="C644" s="26" t="s">
        <v>1855</v>
      </c>
      <c r="D644" s="25" t="s">
        <v>1616</v>
      </c>
      <c r="E644" s="25" t="s">
        <v>1745</v>
      </c>
    </row>
    <row r="645" spans="1:5">
      <c r="A645" s="114" t="s">
        <v>1856</v>
      </c>
      <c r="B645" s="36" t="s">
        <v>1857</v>
      </c>
      <c r="C645" s="26" t="s">
        <v>1858</v>
      </c>
      <c r="D645" s="25" t="s">
        <v>1611</v>
      </c>
      <c r="E645" s="25" t="s">
        <v>1745</v>
      </c>
    </row>
    <row r="646" spans="1:5">
      <c r="A646" s="114" t="s">
        <v>1859</v>
      </c>
      <c r="B646" s="36" t="s">
        <v>706</v>
      </c>
      <c r="C646" s="26" t="s">
        <v>1860</v>
      </c>
      <c r="D646" s="25" t="s">
        <v>1610</v>
      </c>
      <c r="E646" s="25" t="s">
        <v>1745</v>
      </c>
    </row>
    <row r="647" spans="1:5">
      <c r="A647" s="114" t="s">
        <v>1861</v>
      </c>
      <c r="B647" s="36" t="s">
        <v>481</v>
      </c>
      <c r="C647" s="26" t="s">
        <v>1862</v>
      </c>
      <c r="D647" s="25" t="s">
        <v>1616</v>
      </c>
      <c r="E647" s="25" t="s">
        <v>1745</v>
      </c>
    </row>
    <row r="648" spans="1:5">
      <c r="A648" s="115" t="s">
        <v>1863</v>
      </c>
      <c r="B648" s="36" t="s">
        <v>712</v>
      </c>
      <c r="C648" s="26" t="s">
        <v>1864</v>
      </c>
      <c r="D648" s="25" t="s">
        <v>1610</v>
      </c>
      <c r="E648" s="25" t="s">
        <v>1745</v>
      </c>
    </row>
    <row r="649" spans="1:5">
      <c r="A649" s="115" t="s">
        <v>1865</v>
      </c>
      <c r="B649" s="36" t="s">
        <v>709</v>
      </c>
      <c r="C649" s="26" t="s">
        <v>1866</v>
      </c>
      <c r="D649" s="25" t="s">
        <v>1610</v>
      </c>
      <c r="E649" s="25" t="s">
        <v>1745</v>
      </c>
    </row>
    <row r="650" spans="1:5">
      <c r="A650" s="25" t="s">
        <v>1874</v>
      </c>
      <c r="B650" s="38" t="s">
        <v>1875</v>
      </c>
      <c r="C650" s="26" t="s">
        <v>1876</v>
      </c>
      <c r="D650" s="25" t="s">
        <v>1618</v>
      </c>
      <c r="E650" s="25" t="s">
        <v>1745</v>
      </c>
    </row>
    <row r="651" spans="1:5">
      <c r="A651" s="25" t="s">
        <v>1877</v>
      </c>
      <c r="B651" s="38" t="s">
        <v>1878</v>
      </c>
      <c r="C651" s="26" t="s">
        <v>1879</v>
      </c>
      <c r="D651" s="25" t="s">
        <v>1618</v>
      </c>
      <c r="E651" s="25" t="s">
        <v>1745</v>
      </c>
    </row>
    <row r="652" spans="1:5">
      <c r="A652" s="25" t="s">
        <v>1880</v>
      </c>
      <c r="B652" s="38" t="s">
        <v>1878</v>
      </c>
      <c r="C652" s="26" t="s">
        <v>1881</v>
      </c>
      <c r="D652" s="25" t="s">
        <v>1618</v>
      </c>
      <c r="E652" s="25" t="s">
        <v>1745</v>
      </c>
    </row>
    <row r="653" spans="1:5">
      <c r="A653" s="25" t="s">
        <v>1882</v>
      </c>
      <c r="B653" s="38" t="s">
        <v>553</v>
      </c>
      <c r="C653" s="26" t="s">
        <v>1883</v>
      </c>
      <c r="D653" s="25" t="s">
        <v>1618</v>
      </c>
      <c r="E653" s="25" t="s">
        <v>1745</v>
      </c>
    </row>
    <row r="654" spans="1:5">
      <c r="A654" s="25" t="s">
        <v>1884</v>
      </c>
      <c r="B654" s="38" t="s">
        <v>555</v>
      </c>
      <c r="C654" s="26" t="s">
        <v>1885</v>
      </c>
      <c r="D654" s="25" t="s">
        <v>1618</v>
      </c>
      <c r="E654" s="25" t="s">
        <v>1745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4" priority="10"/>
  </conditionalFormatting>
  <conditionalFormatting sqref="A1:A568 A572:A598 A600:A608">
    <cfRule type="duplicateValues" dxfId="13" priority="8"/>
  </conditionalFormatting>
  <conditionalFormatting sqref="A1:A598 A600:A608">
    <cfRule type="duplicateValues" dxfId="12" priority="5"/>
  </conditionalFormatting>
  <conditionalFormatting sqref="A1:A1048576">
    <cfRule type="duplicateValues" dxfId="11" priority="1"/>
  </conditionalFormatting>
  <conditionalFormatting sqref="A475">
    <cfRule type="duplicateValues" dxfId="10" priority="12"/>
  </conditionalFormatting>
  <conditionalFormatting sqref="A526">
    <cfRule type="duplicateValues" dxfId="9" priority="11"/>
  </conditionalFormatting>
  <conditionalFormatting sqref="A548">
    <cfRule type="duplicateValues" dxfId="8" priority="9"/>
  </conditionalFormatting>
  <conditionalFormatting sqref="A569:A571">
    <cfRule type="duplicateValues" dxfId="7" priority="6"/>
    <cfRule type="duplicateValues" dxfId="6" priority="7"/>
  </conditionalFormatting>
  <conditionalFormatting sqref="A611">
    <cfRule type="duplicateValues" dxfId="5" priority="4"/>
  </conditionalFormatting>
  <conditionalFormatting sqref="A612">
    <cfRule type="duplicateValues" dxfId="4" priority="3"/>
  </conditionalFormatting>
  <conditionalFormatting sqref="A613:A617">
    <cfRule type="duplicateValues" dxfId="3" priority="2"/>
  </conditionalFormatting>
  <conditionalFormatting sqref="A650:A1048576 A609:A610 A629:A640 A618:A627">
    <cfRule type="duplicateValues" dxfId="2" priority="13"/>
    <cfRule type="duplicateValues" dxfId="1" priority="14"/>
    <cfRule type="duplicateValues" dxfId="0" priority="15"/>
  </conditionalFormatting>
  <hyperlinks>
    <hyperlink ref="B2" r:id="rId1" xr:uid="{C7D436C6-5E25-4FE0-8564-4036268A06FD}"/>
    <hyperlink ref="C2" r:id="rId2" xr:uid="{0516FBA2-94C4-4DAE-B71A-6E5B7027B92F}"/>
    <hyperlink ref="B3" r:id="rId3" xr:uid="{3A5A203E-9A13-4FE5-AC7D-B3A7C1CF338F}"/>
    <hyperlink ref="B4" r:id="rId4" xr:uid="{B8FC91DA-D0E5-44DE-A19E-C71447647779}"/>
    <hyperlink ref="B5" r:id="rId5" xr:uid="{3B342CC8-0FBD-4BEA-9815-ADE84C679E6F}"/>
    <hyperlink ref="B6" r:id="rId6" xr:uid="{89D12B4E-19BC-4703-8325-E6F9041C766C}"/>
    <hyperlink ref="B7" r:id="rId7" xr:uid="{73D85B36-2FB3-498D-BC18-13FC9333BBCF}"/>
    <hyperlink ref="B8" r:id="rId8" xr:uid="{F1C1FC91-4732-4142-8FD6-77A3CDB937C7}"/>
    <hyperlink ref="B9" r:id="rId9" xr:uid="{5D06E82E-18FC-4D8C-AC43-61F8B97E3BDD}"/>
    <hyperlink ref="B10" r:id="rId10" xr:uid="{33DEE8EF-9D7F-41CB-B1A8-EC981ABAE5CE}"/>
    <hyperlink ref="B11" r:id="rId11" xr:uid="{C1757E84-1099-4245-B084-5EA8721ABF1C}"/>
    <hyperlink ref="B12" r:id="rId12" xr:uid="{0C8030A0-E6AD-4A23-94CF-A63FFE411684}"/>
    <hyperlink ref="B14" r:id="rId13" xr:uid="{01668F62-0AE3-4A4E-B443-5412A4CA2F0F}"/>
    <hyperlink ref="B15" r:id="rId14" xr:uid="{46B88E18-8FCD-4456-BE2E-776E1811FCC3}"/>
    <hyperlink ref="B17" r:id="rId15" xr:uid="{E847A867-068F-4610-A0C1-585D758B1B8B}"/>
    <hyperlink ref="B18" r:id="rId16" xr:uid="{A97C3FA6-3FFC-42CE-8A9E-BFEDFEBCFACC}"/>
    <hyperlink ref="B19" r:id="rId17" xr:uid="{FFE29384-2CB9-4BB9-8009-148FDDDD5F21}"/>
    <hyperlink ref="B20" r:id="rId18" xr:uid="{CD4F3A5D-737C-4CBD-91AA-40203C9B3DA7}"/>
    <hyperlink ref="B21" r:id="rId19" xr:uid="{A760B77F-C065-4AC9-8817-7B16F22DFA49}"/>
    <hyperlink ref="B22" r:id="rId20" xr:uid="{03F9AB54-5E94-442F-A1E8-0C2450FE021C}"/>
    <hyperlink ref="B23" r:id="rId21" xr:uid="{62887B62-8575-4137-A602-B6DD22EF9E03}"/>
    <hyperlink ref="B24" r:id="rId22" xr:uid="{D9CD4630-9453-4F40-9829-9A48BB4AB9F3}"/>
    <hyperlink ref="B25" r:id="rId23" xr:uid="{FB36428F-BF40-4E00-B1D5-93AEA347DE54}"/>
    <hyperlink ref="B26" r:id="rId24" xr:uid="{77550491-05FF-4A6C-9B64-255C0A3348B8}"/>
    <hyperlink ref="B27" r:id="rId25" xr:uid="{C70DF9D0-8BA5-4165-96D0-0708B293E290}"/>
    <hyperlink ref="B28" r:id="rId26" xr:uid="{E07B2DC3-5362-4DDF-9D2F-715754E3E531}"/>
    <hyperlink ref="B29" r:id="rId27" xr:uid="{3F7F9964-4D73-4AC0-8A4A-7EA0EA0C4C3D}"/>
    <hyperlink ref="B30" r:id="rId28" location="/Tabs=section-spareparts/" xr:uid="{B67B0F8F-2116-4061-96C0-62F000EC451F}"/>
    <hyperlink ref="B31" r:id="rId29" xr:uid="{4B91D647-3018-47B1-86AA-D427A7683E9F}"/>
    <hyperlink ref="B32" r:id="rId30" xr:uid="{A8902D6C-4326-4720-A7F9-0AD29049788A}"/>
    <hyperlink ref="B33" r:id="rId31" xr:uid="{34D476B5-A2C7-4ADC-A545-D31B2DFE1E69}"/>
    <hyperlink ref="B34" r:id="rId32" xr:uid="{1F820CCA-7BE4-4AEE-9175-1A8D60BCEAA7}"/>
    <hyperlink ref="B35" r:id="rId33" xr:uid="{26C369D9-329E-4B32-ACE6-CF60BC303658}"/>
    <hyperlink ref="B36" r:id="rId34" xr:uid="{F4EC77E2-1CF5-4261-B4BE-644807F21E1E}"/>
    <hyperlink ref="B37" r:id="rId35" xr:uid="{140F1367-706A-4C70-A08E-3AFDFE1D06B2}"/>
    <hyperlink ref="B38" r:id="rId36" xr:uid="{6DD269CA-A73B-4DDD-978D-D16D8B92C8B3}"/>
    <hyperlink ref="B39" r:id="rId37" xr:uid="{8C0A440E-CEF2-42FB-82E0-D3476A56BEAE}"/>
    <hyperlink ref="B40" r:id="rId38" xr:uid="{ED6DD85D-549A-4F24-8BD3-F345089482A9}"/>
    <hyperlink ref="B41" r:id="rId39" xr:uid="{25BFE9EC-E04C-4EEA-ACB9-2FF64D933DF0}"/>
    <hyperlink ref="B42" r:id="rId40" xr:uid="{7F457090-A758-49F8-8FD1-8094E072D062}"/>
    <hyperlink ref="B43" r:id="rId41" xr:uid="{B2B00A1D-9DDA-43EF-AC2F-C0625186A86D}"/>
    <hyperlink ref="B44" r:id="rId42" xr:uid="{198E454F-C924-4C53-8E36-F88748397568}"/>
    <hyperlink ref="B45" r:id="rId43" xr:uid="{B4807C4D-8974-4E7D-A799-70F3DF0B09E0}"/>
    <hyperlink ref="B46" r:id="rId44" xr:uid="{7A511684-44A6-4199-B35F-C5233A8430F8}"/>
    <hyperlink ref="B47" r:id="rId45" xr:uid="{7EB4527D-8193-4A78-B321-AF337BED1A00}"/>
    <hyperlink ref="B48" r:id="rId46" xr:uid="{FFD50694-6198-4099-A46B-F239BC81711E}"/>
    <hyperlink ref="B49" r:id="rId47" xr:uid="{F1161225-B276-419E-826C-24F67CFAECD3}"/>
    <hyperlink ref="B50" r:id="rId48" xr:uid="{0D792894-9827-41CA-8B61-BB0171A7A732}"/>
    <hyperlink ref="B51" r:id="rId49" xr:uid="{B8251447-724D-4DCF-AC2D-14A27D92577F}"/>
    <hyperlink ref="B52" r:id="rId50" xr:uid="{29EDE5DF-5ABA-4DEC-87F5-BFBA457F8148}"/>
    <hyperlink ref="B53" r:id="rId51" xr:uid="{9A861373-7177-4FBC-9BBD-D5EA08D0D8EE}"/>
    <hyperlink ref="B54" r:id="rId52" xr:uid="{7094BAC2-7A47-4171-9A6F-3E8BF75BB21B}"/>
    <hyperlink ref="B55" r:id="rId53" xr:uid="{BF12071F-4D49-4794-8C73-84E27921297F}"/>
    <hyperlink ref="B56" r:id="rId54" xr:uid="{5AC45819-A77C-4427-A094-5DFAD9337CDD}"/>
    <hyperlink ref="B57" r:id="rId55" xr:uid="{7CAD58EC-5224-4EA2-A290-ADD49BD04B92}"/>
    <hyperlink ref="B58" r:id="rId56" xr:uid="{30448F76-75D3-4F01-8CD5-CE5ED74F846D}"/>
    <hyperlink ref="B59" r:id="rId57" xr:uid="{24CA6980-DC4F-41C3-87FE-E639FC95FABA}"/>
    <hyperlink ref="B60" r:id="rId58" xr:uid="{E03CC780-8457-4316-A7DA-45524D0EEE4E}"/>
    <hyperlink ref="B61" r:id="rId59" xr:uid="{D8E24BC4-8EEF-4F16-AAB5-82424B468DB0}"/>
    <hyperlink ref="B62" r:id="rId60" xr:uid="{6B3F9D45-3AB7-4EC7-98D5-AC8154CCE353}"/>
    <hyperlink ref="B63" r:id="rId61" xr:uid="{09335867-A979-4945-910E-F8D19659F962}"/>
    <hyperlink ref="B64" r:id="rId62" xr:uid="{F5C7A0A2-AA72-4B0B-8540-92F7D481AECE}"/>
    <hyperlink ref="B65" r:id="rId63" location="/Tabs=section-spareparts/" xr:uid="{305F1F77-25E6-4680-8403-5373E1D6958E}"/>
    <hyperlink ref="B66" r:id="rId64" xr:uid="{AB5C26F4-51FB-42A3-8E86-C6E15F31FA15}"/>
    <hyperlink ref="B67" r:id="rId65" xr:uid="{29CEF5EB-5AD7-49DE-8D99-731F5C9D8CCE}"/>
    <hyperlink ref="B68" r:id="rId66" xr:uid="{AFC09081-F70E-43E8-8641-DD8DBC19E6FF}"/>
    <hyperlink ref="B69" r:id="rId67" xr:uid="{814EEB67-984D-429B-8CBD-D85BF3603FED}"/>
    <hyperlink ref="B70" r:id="rId68" xr:uid="{DE751A27-AB1A-435A-B13D-11A8C0EFBAA1}"/>
    <hyperlink ref="B72" r:id="rId69" xr:uid="{CF2E3B58-7770-4B0D-9262-A15E0236E40D}"/>
    <hyperlink ref="B73" r:id="rId70" xr:uid="{CE9DB0C4-0A66-445C-B3D9-772A01671B1C}"/>
    <hyperlink ref="B74" r:id="rId71" xr:uid="{D536E909-FE24-4621-8FA8-6B8E6472E70C}"/>
    <hyperlink ref="B75" r:id="rId72" xr:uid="{8D431A78-B3B8-4D6F-89FA-B6A745BD1155}"/>
    <hyperlink ref="B76" r:id="rId73" xr:uid="{CEF9840D-299B-4AD4-82CE-C84C978C3171}"/>
    <hyperlink ref="B77" r:id="rId74" xr:uid="{093B2511-9E19-40FA-813C-0308B0E1C386}"/>
    <hyperlink ref="B78" r:id="rId75" xr:uid="{68660D80-4633-40F0-A07F-75D517141EC4}"/>
    <hyperlink ref="B81" r:id="rId76" xr:uid="{A26E887F-4D6E-4577-8EAF-6E2350D91DF5}"/>
    <hyperlink ref="B82" r:id="rId77" xr:uid="{7AE0F713-8C2D-4B2E-B1B7-A799E747440D}"/>
    <hyperlink ref="B83" r:id="rId78" xr:uid="{E5A49F99-33FF-4AFB-B7CC-AB851BAA3CF7}"/>
    <hyperlink ref="B84" r:id="rId79" xr:uid="{A9F0E4D1-DBA3-4C1B-9A51-07AA13E68E19}"/>
    <hyperlink ref="B85" r:id="rId80" xr:uid="{2163C603-1826-4E98-BF96-AA8185B40E3D}"/>
    <hyperlink ref="B86" r:id="rId81" xr:uid="{B303F8AC-E9D8-4AD4-B0EF-D411A2076E1B}"/>
    <hyperlink ref="C86" r:id="rId82" xr:uid="{F28BF358-CA3C-45EC-8964-8129DEC24EE7}"/>
    <hyperlink ref="B87" r:id="rId83" xr:uid="{E651E6AE-7F32-432D-9F8D-218186F96030}"/>
    <hyperlink ref="B89" r:id="rId84" xr:uid="{0DC74C1A-2F9E-43B3-872D-AB08A6D01D6C}"/>
    <hyperlink ref="B91" r:id="rId85" xr:uid="{33553E82-F8F2-4C7E-AB1D-E4EAEBDB0245}"/>
    <hyperlink ref="B93" r:id="rId86" xr:uid="{3A17017A-D2A6-44E9-A63A-2C4958A90F09}"/>
    <hyperlink ref="B94" r:id="rId87" xr:uid="{FC4E4C37-6F16-4C4F-829A-08D6DC3D3B56}"/>
    <hyperlink ref="B95" r:id="rId88" xr:uid="{C79BB1DF-1BDF-4AAA-A5D7-7E1A0F63B5C6}"/>
    <hyperlink ref="B96" r:id="rId89" xr:uid="{E9C8E842-A819-42CC-9CCE-85C9AFDB179B}"/>
    <hyperlink ref="B97" r:id="rId90" xr:uid="{E3F95E41-4CB7-4CE9-BD75-A4429A8FD200}"/>
    <hyperlink ref="C97" r:id="rId91" xr:uid="{67A68545-4979-42F1-9823-C2E3C0158AC7}"/>
    <hyperlink ref="B98" r:id="rId92" xr:uid="{6267F9A7-5533-4CDC-AD22-A4BD4A6CFD6B}"/>
    <hyperlink ref="B99" r:id="rId93" xr:uid="{72E49366-1CC7-4496-82A7-B34C531723CC}"/>
    <hyperlink ref="B100" r:id="rId94" xr:uid="{52BED14E-D8EF-4CE3-826F-592950452F5F}"/>
    <hyperlink ref="B101" r:id="rId95" xr:uid="{245390D1-4D0D-4E8F-9F78-404597FFD0C9}"/>
    <hyperlink ref="B102" r:id="rId96" xr:uid="{799B0326-381A-4206-B575-55A162ED1773}"/>
    <hyperlink ref="B103" r:id="rId97" xr:uid="{A5DB9527-636C-41FC-B0EC-81526A975B59}"/>
    <hyperlink ref="B104" r:id="rId98" xr:uid="{0346B8B6-B928-445E-948F-9AC0B5517179}"/>
    <hyperlink ref="B105" r:id="rId99" xr:uid="{E863612E-5FFF-4931-A581-3E6F111E0962}"/>
    <hyperlink ref="B106" r:id="rId100" xr:uid="{BDDE7234-2843-4023-B6C9-DB07136C401D}"/>
    <hyperlink ref="B107" r:id="rId101" xr:uid="{7842CDFC-D874-46A2-9AE9-BBB0D3F292D6}"/>
    <hyperlink ref="B109" r:id="rId102" xr:uid="{BD3D940B-7CA9-4B2F-A5E7-259FC62995EC}"/>
    <hyperlink ref="C109" r:id="rId103" xr:uid="{6596D637-70BD-4550-8A6C-9F207982DAC4}"/>
    <hyperlink ref="B110" r:id="rId104" xr:uid="{1CB569E4-C95E-47AF-873E-93035C7C794E}"/>
    <hyperlink ref="B111" r:id="rId105" xr:uid="{464387EA-EC2E-4CBB-8324-F84375BB377A}"/>
    <hyperlink ref="B112" r:id="rId106" xr:uid="{006F07E1-FCFA-4A9B-988E-11B414C9568D}"/>
    <hyperlink ref="B113" r:id="rId107" xr:uid="{BCADFF25-F557-408F-A775-4D1953D127F2}"/>
    <hyperlink ref="B114" r:id="rId108" xr:uid="{96768F75-835B-45B7-8A37-BB3F77548D1B}"/>
    <hyperlink ref="B115" r:id="rId109" xr:uid="{73336769-FA2F-4FD3-AE06-8903246F14E3}"/>
    <hyperlink ref="B116" r:id="rId110" xr:uid="{7DD6D987-DD2B-40B8-B825-430C52E1E8A6}"/>
    <hyperlink ref="B117" r:id="rId111" xr:uid="{E2F450F6-323C-4D1B-9A3B-0D07498F32EC}"/>
    <hyperlink ref="B118" r:id="rId112" xr:uid="{119C92A0-6E95-4F19-AC36-2A5717D22875}"/>
    <hyperlink ref="B119" r:id="rId113" xr:uid="{A9F1CDF7-3EEC-48F9-AD92-FA6600FB9433}"/>
    <hyperlink ref="B120" r:id="rId114" xr:uid="{AAE8DBAA-E9A2-4B56-84E6-8C336EB52661}"/>
    <hyperlink ref="B122" r:id="rId115" xr:uid="{D511922B-29CD-4B13-8001-52B32E44BFF9}"/>
    <hyperlink ref="B123" r:id="rId116" xr:uid="{31119CB7-A686-4D92-9A1F-A15C532C65C6}"/>
    <hyperlink ref="B124" r:id="rId117" xr:uid="{C22AFC51-A5B0-4BE2-A388-9A1196F404B3}"/>
    <hyperlink ref="B126" r:id="rId118" xr:uid="{BA4ED316-4A06-4EC7-9428-02D1A974A3E3}"/>
    <hyperlink ref="B127" r:id="rId119" xr:uid="{E8E8B6A9-00ED-4E35-A8FC-00A66EF0EA66}"/>
    <hyperlink ref="B128" r:id="rId120" xr:uid="{068B6513-EE1C-4C2E-BA1E-49D95DB0E3C0}"/>
    <hyperlink ref="B129" r:id="rId121" xr:uid="{C38BD19D-D144-4561-9195-F8CFE242B72A}"/>
    <hyperlink ref="B130" r:id="rId122" xr:uid="{C2714D23-D6AB-4546-8EE8-133AC654CB3F}"/>
    <hyperlink ref="B131" r:id="rId123" xr:uid="{30E96D80-95FF-402A-9103-70DD36406F45}"/>
    <hyperlink ref="B132" r:id="rId124" xr:uid="{D193A162-3A2B-4856-8399-BEFB39A77E57}"/>
    <hyperlink ref="B133" r:id="rId125" xr:uid="{346013C0-DCD2-48CA-B413-E77B33586DED}"/>
    <hyperlink ref="B134" r:id="rId126" xr:uid="{B72A5EA8-A57C-46FB-BE5C-774F662C18B6}"/>
    <hyperlink ref="B135" r:id="rId127" xr:uid="{8F18CFEA-F73B-4C70-AFDB-04596158545C}"/>
    <hyperlink ref="B136" r:id="rId128" xr:uid="{84735C3B-213D-48EC-A25E-7A9EE01660F5}"/>
    <hyperlink ref="B137" r:id="rId129" xr:uid="{BFB35AE0-ABAC-4217-AF20-65ACF5D19C61}"/>
    <hyperlink ref="B138" r:id="rId130" xr:uid="{A22C515E-C11C-4E3C-B430-B296397FB163}"/>
    <hyperlink ref="B139" r:id="rId131" xr:uid="{B1B242FE-639A-464B-AA20-060942F8B8E2}"/>
    <hyperlink ref="B140" r:id="rId132" xr:uid="{A562BD66-93CA-49F4-8987-D97462E666E1}"/>
    <hyperlink ref="B142" r:id="rId133" xr:uid="{FB612933-665F-4BF0-8CB6-E08D961FF2D8}"/>
    <hyperlink ref="B143" r:id="rId134" xr:uid="{305FE96A-5A7F-44A9-88FE-1604C9DC33A1}"/>
    <hyperlink ref="B144" r:id="rId135" xr:uid="{364E6D01-47FA-4B6C-A48F-BE4531537788}"/>
    <hyperlink ref="B146" r:id="rId136" xr:uid="{F38C3C12-36E5-4A15-A9F6-57FAD65812E8}"/>
    <hyperlink ref="B147" r:id="rId137" xr:uid="{9D15C79F-1F59-43BA-9F94-D564D9C4CA7E}"/>
    <hyperlink ref="B148" r:id="rId138" xr:uid="{21943218-1DE4-4DD4-9F14-044983D1441A}"/>
    <hyperlink ref="B149" r:id="rId139" xr:uid="{FC7416BE-6BE0-49DF-8C47-FE4AE6714EDE}"/>
    <hyperlink ref="B150" r:id="rId140" xr:uid="{2D0B33DE-4D04-4409-AE7E-21B51B89CE6B}"/>
    <hyperlink ref="B151" r:id="rId141" xr:uid="{1A67D5B7-512E-4901-B53F-9F3AE8310F30}"/>
    <hyperlink ref="B152" r:id="rId142" xr:uid="{C4ACEBBE-5682-443B-AA91-A2A208B6A7AC}"/>
    <hyperlink ref="B153" r:id="rId143" xr:uid="{757374C6-1B90-486B-9826-2E695E895A0D}"/>
    <hyperlink ref="B154" r:id="rId144" xr:uid="{E5783C6F-ED0C-4D90-9BB7-99038C507C0E}"/>
    <hyperlink ref="B155" r:id="rId145" xr:uid="{6BF0DAE4-46C3-489C-970B-C48A945777A0}"/>
    <hyperlink ref="B156" r:id="rId146" xr:uid="{187111EB-E35D-44FE-AC88-ABDAC5E8C29E}"/>
    <hyperlink ref="B157" r:id="rId147" xr:uid="{5297D6AA-7817-4FFB-B033-98B8208B4AC7}"/>
    <hyperlink ref="B158" r:id="rId148" xr:uid="{CB3679D7-A57D-4F49-B5EF-591F54582400}"/>
    <hyperlink ref="B159" r:id="rId149" xr:uid="{75675EEA-167A-4518-88C2-09649BC6C598}"/>
    <hyperlink ref="B160" r:id="rId150" xr:uid="{09EB1CB1-09A1-4411-A496-EDC8865E82EE}"/>
    <hyperlink ref="B161" r:id="rId151" xr:uid="{BBE3AA0F-45A0-4936-B524-3BD2034C6DCB}"/>
    <hyperlink ref="B162" r:id="rId152" xr:uid="{1FFC44A1-4AAA-4D57-A546-838D266CAE42}"/>
    <hyperlink ref="B163" r:id="rId153" xr:uid="{D7464176-646D-44AB-84BD-9173A3059D3B}"/>
    <hyperlink ref="B164" r:id="rId154" xr:uid="{E2E737B4-381F-4C9D-B447-115347F2E069}"/>
    <hyperlink ref="B165" r:id="rId155" xr:uid="{B8CAD4AA-6249-4AD7-A513-338A2644BF73}"/>
    <hyperlink ref="B166" r:id="rId156" xr:uid="{5AEDD582-15EF-4763-A417-E3E3321556DE}"/>
    <hyperlink ref="B167" r:id="rId157" display="iQ700 Gazlı Ocak, 90cm, 5 Gözlü, Sert Cam, Siyah, Döküm, Wok" xr:uid="{7E77988A-2155-4F08-AF16-8DCBF15601EC}"/>
    <hyperlink ref="C167" r:id="rId158" xr:uid="{30AF8A66-D7CE-45F2-A8A7-1C4A3F285B0B}"/>
    <hyperlink ref="B169" r:id="rId159" xr:uid="{A64C1689-2376-4AEF-8EC2-DF345DC64C6C}"/>
    <hyperlink ref="B170" r:id="rId160" xr:uid="{5DE67E47-9793-4C31-9D45-A47F5F5E6B8B}"/>
    <hyperlink ref="B171" r:id="rId161" xr:uid="{6E240B2B-238B-4AF6-9271-111DAB50026D}"/>
    <hyperlink ref="B172" r:id="rId162" xr:uid="{50B0F29E-01AF-4AF9-B948-E3FF368CAE10}"/>
    <hyperlink ref="B173" r:id="rId163" xr:uid="{1B8B5DFC-5A63-4619-82A8-BBA4720FA15C}"/>
    <hyperlink ref="B174" r:id="rId164" xr:uid="{EC39ED07-AC92-4FC1-954C-54BEB23CDD14}"/>
    <hyperlink ref="B175" r:id="rId165" xr:uid="{B8389DB2-7A83-411C-8173-689931E435EB}"/>
    <hyperlink ref="C175" r:id="rId166" xr:uid="{D12474BC-4735-4598-8081-22EDCCC2C03C}"/>
    <hyperlink ref="B176" r:id="rId167" xr:uid="{B45D42D6-DD13-43B7-84AA-56F62CD2E120}"/>
    <hyperlink ref="B177" r:id="rId168" xr:uid="{4403DD57-3A0C-4BB1-B420-EBD619E1010B}"/>
    <hyperlink ref="B178" r:id="rId169" xr:uid="{BDFF3497-A91A-479B-ACA2-60B7CDFBD14A}"/>
    <hyperlink ref="B179" r:id="rId170" xr:uid="{9078AFBD-695B-4537-9E8D-EDFC5C4D0AD4}"/>
    <hyperlink ref="B180" r:id="rId171" xr:uid="{842D4B41-DC1E-4889-B303-7A57ECF1C84F}"/>
    <hyperlink ref="B181" r:id="rId172" xr:uid="{80B98E37-B9DC-427B-86F7-805292823833}"/>
    <hyperlink ref="B182" r:id="rId173" xr:uid="{A7EC5A79-D57C-4B7A-8B7B-382A9A113243}"/>
    <hyperlink ref="B183" r:id="rId174" xr:uid="{CCE828B6-4483-4206-9681-45213C6E0F0C}"/>
    <hyperlink ref="B185" r:id="rId175" xr:uid="{4FD10006-147E-4766-BD9D-3F7847248FE7}"/>
    <hyperlink ref="B186" r:id="rId176" xr:uid="{D713BA71-F86F-45CF-BB80-FE0FCCA87FD8}"/>
    <hyperlink ref="B187" r:id="rId177" xr:uid="{CA3ABC2F-9A4F-4017-817F-E6DA31EBBF58}"/>
    <hyperlink ref="B188" r:id="rId178" xr:uid="{718022FD-5171-49B8-934C-15ABAADCB2DE}"/>
    <hyperlink ref="B189" r:id="rId179" xr:uid="{29D96A1B-F9A8-4B83-8858-276C87D42D98}"/>
    <hyperlink ref="B190" r:id="rId180" xr:uid="{5CEC98EE-8C26-451F-896C-8D431A06FD65}"/>
    <hyperlink ref="B191" r:id="rId181" xr:uid="{EBA5F712-E158-441B-AD88-E0B1BAB1B99C}"/>
    <hyperlink ref="B192" r:id="rId182" xr:uid="{A64B0F5E-3C46-4393-A3CE-0DEAA2673674}"/>
    <hyperlink ref="B193" r:id="rId183" xr:uid="{6A88A679-BD94-4330-A61F-41299BE9F2AA}"/>
    <hyperlink ref="B194" r:id="rId184" xr:uid="{27E532DA-CA57-4508-98B0-0221A1A4FCF1}"/>
    <hyperlink ref="B195" r:id="rId185" xr:uid="{DCB5646C-C4E6-448F-A905-8BACC40AEEB9}"/>
    <hyperlink ref="B196" r:id="rId186" xr:uid="{C2C0C231-BD5D-4E99-A4D4-00972CF333FE}"/>
    <hyperlink ref="B197" r:id="rId187" xr:uid="{E52C2D5A-8191-44E6-BAD1-F36C2CCA5B77}"/>
    <hyperlink ref="B198" r:id="rId188" xr:uid="{161E74FF-9C9A-44E0-921E-2652C6167329}"/>
    <hyperlink ref="B199" r:id="rId189" xr:uid="{54BB7249-36DE-4CDA-99F6-239558FB12F1}"/>
    <hyperlink ref="B200" r:id="rId190" xr:uid="{00142BF6-21D7-4EF1-B103-82437B9E566B}"/>
    <hyperlink ref="B201" r:id="rId191" xr:uid="{8F264CE6-3FEE-49EB-89A7-FEC741488656}"/>
    <hyperlink ref="B202" r:id="rId192" xr:uid="{B0F607EE-288C-4CF2-A13E-DED610BC54B9}"/>
    <hyperlink ref="B203" r:id="rId193" xr:uid="{CB460E44-CB73-4D59-9061-C4C9D74060F2}"/>
    <hyperlink ref="B204" r:id="rId194" xr:uid="{3B6F8E22-CE59-4E46-9811-6A7FDA8BD5CF}"/>
    <hyperlink ref="B205" r:id="rId195" xr:uid="{3C8B4591-7167-4036-8937-1D5603D41768}"/>
    <hyperlink ref="B206" r:id="rId196" xr:uid="{A6DABD48-7ACE-4100-A7EB-CEFEBA842C10}"/>
    <hyperlink ref="B207" r:id="rId197" xr:uid="{05563C3B-44AE-4DCF-94D3-EC1C1078FBDD}"/>
    <hyperlink ref="B209" r:id="rId198" xr:uid="{DF1D2EBF-7A04-4931-B70E-CF186690C7FC}"/>
    <hyperlink ref="B210" r:id="rId199" xr:uid="{CFB6C552-401A-421C-BCF6-9865C8133F97}"/>
    <hyperlink ref="B211" r:id="rId200" xr:uid="{8756E0E2-4C2E-4224-BD4A-1354AC815A42}"/>
    <hyperlink ref="B212" r:id="rId201" xr:uid="{6DFCA953-73C3-46E1-8361-2BFAFC0E91AB}"/>
    <hyperlink ref="B213" r:id="rId202" xr:uid="{CCC4342D-0A65-428F-AA83-AFF0CD9AC645}"/>
    <hyperlink ref="B214" r:id="rId203" xr:uid="{F3138617-0D19-4F68-9791-BDE52FFB160B}"/>
    <hyperlink ref="B216" r:id="rId204" xr:uid="{60CAD1F6-032D-4C6E-80DA-4B1AD62FAB1E}"/>
    <hyperlink ref="B217" r:id="rId205" xr:uid="{6C2F4F51-7A0F-4C8F-AA88-225AE7ACC8EE}"/>
    <hyperlink ref="B218" r:id="rId206" xr:uid="{48FF6898-7628-42F2-9C68-FD7009CD8B7C}"/>
    <hyperlink ref="B219" r:id="rId207" xr:uid="{A81A2531-20E1-4D67-9085-C297379BEF26}"/>
    <hyperlink ref="B220" r:id="rId208" xr:uid="{83090A17-A591-4863-A61E-13275D561CD4}"/>
    <hyperlink ref="B221" r:id="rId209" xr:uid="{EEDDC6B0-A3A2-46F4-9089-82E6EA9CA5AD}"/>
    <hyperlink ref="B222" r:id="rId210" xr:uid="{14AE3800-4E83-429C-A6A9-38ED089B8334}"/>
    <hyperlink ref="C222" r:id="rId211" xr:uid="{033D8C33-EE89-43E4-9ACF-FA6C3D237AB5}"/>
    <hyperlink ref="B223" r:id="rId212" xr:uid="{93566312-A4AE-4FC0-AA0B-08515B9C841B}"/>
    <hyperlink ref="C223" r:id="rId213" xr:uid="{208F80B0-9EE9-4DD9-8ABB-2C09D6B02524}"/>
    <hyperlink ref="B224" r:id="rId214" xr:uid="{5FDE58D2-6FD9-4A45-B2D5-C7FCC126EAFF}"/>
    <hyperlink ref="B225" r:id="rId215" xr:uid="{5BA40CDE-0E4E-4B6F-84F5-6055ADCC12D9}"/>
    <hyperlink ref="B226" r:id="rId216" xr:uid="{75B90978-4784-4D66-A5A2-042852FB3D09}"/>
    <hyperlink ref="B227" r:id="rId217" xr:uid="{9BB568DA-D6A4-4E2A-81FF-25632C2E0574}"/>
    <hyperlink ref="B228" r:id="rId218" xr:uid="{6F5E9855-2FEA-4A8D-846D-404ACEECA213}"/>
    <hyperlink ref="B229" r:id="rId219" xr:uid="{A0EA42F3-395A-4E06-BD5B-C202B3621EDB}"/>
    <hyperlink ref="B230" r:id="rId220" xr:uid="{427C6EC2-A5FD-45B1-A121-69DECA642042}"/>
    <hyperlink ref="B232" r:id="rId221" xr:uid="{83E52E5E-0C77-470C-8775-EB490244F912}"/>
    <hyperlink ref="B233" r:id="rId222" xr:uid="{9BA8B99B-DFEC-47DF-952B-2D6C3859D04B}"/>
    <hyperlink ref="B234" r:id="rId223" xr:uid="{3C3DFE45-52D6-4308-A656-36DE84DF4B5C}"/>
    <hyperlink ref="B235" r:id="rId224" xr:uid="{E54DCAF1-2145-4641-8642-F58A53DF97AB}"/>
    <hyperlink ref="B236" r:id="rId225" xr:uid="{15957B8F-3C9B-4027-AF55-9E13EFF4FEA0}"/>
    <hyperlink ref="B237" r:id="rId226" xr:uid="{7CFB56BC-E159-4143-B2F4-DB4CF2115951}"/>
    <hyperlink ref="B238" r:id="rId227" xr:uid="{AA80B40F-6CB0-4ED2-A9A2-CAD23DD45A56}"/>
    <hyperlink ref="B239" r:id="rId228" xr:uid="{CF703F4B-7E30-458A-B107-EDDC30CA443A}"/>
    <hyperlink ref="B241" r:id="rId229" xr:uid="{406F56F6-95F4-4948-BFDE-EE7BEC9A4ED5}"/>
    <hyperlink ref="B242" r:id="rId230" xr:uid="{186A1E67-4E0B-4073-AD82-B10F7E18C106}"/>
    <hyperlink ref="C242" r:id="rId231" xr:uid="{9A28AE04-2754-4EF7-A4F7-FF6F499C9734}"/>
    <hyperlink ref="B243" r:id="rId232" xr:uid="{AE319968-274E-41F4-97B4-D6FDB33CC8C5}"/>
    <hyperlink ref="B244" r:id="rId233" xr:uid="{0779453E-36BE-4570-A463-F6986710DDFA}"/>
    <hyperlink ref="B245" r:id="rId234" xr:uid="{D42AA0E4-7D40-492B-B0D5-6FCDC4355F30}"/>
    <hyperlink ref="B246" r:id="rId235" xr:uid="{4031F035-B4B7-4101-B845-AF070AA48196}"/>
    <hyperlink ref="B247" r:id="rId236" xr:uid="{BD860411-89D5-4CF7-9C63-D0F9BA4FC7D5}"/>
    <hyperlink ref="B248" r:id="rId237" xr:uid="{94C30D6B-C3A0-4EB7-A2F0-FB80B2598C9F}"/>
    <hyperlink ref="B249" r:id="rId238" xr:uid="{FBB6B8C9-7457-4971-8204-8F71A07272B3}"/>
    <hyperlink ref="B250" r:id="rId239" xr:uid="{2272C8DA-A778-4695-B4AD-0FA0B2347E2B}"/>
    <hyperlink ref="B251" r:id="rId240" xr:uid="{28D266CD-8297-42DA-B7AC-60A2CB2C637F}"/>
    <hyperlink ref="B252" r:id="rId241" xr:uid="{48C24E16-30FD-475D-BDF7-24757D96897B}"/>
    <hyperlink ref="B253" r:id="rId242" xr:uid="{141169BF-7987-4A33-BA35-7F5739003925}"/>
    <hyperlink ref="B254" r:id="rId243" xr:uid="{8682565D-9DE2-4124-9DF3-1D056B9C8C3B}"/>
    <hyperlink ref="C254" r:id="rId244" xr:uid="{93B021C3-CBE6-4673-87D5-81954F57D9FB}"/>
    <hyperlink ref="B255" r:id="rId245" xr:uid="{2A4403B1-E2CE-45D0-AE87-636D0CE1D3F2}"/>
    <hyperlink ref="B256" r:id="rId246" xr:uid="{C2FF1202-9995-4562-A2F7-BB7306045B19}"/>
    <hyperlink ref="B257" r:id="rId247" xr:uid="{627B59B3-3DB7-4633-92AC-D6CCD953A09B}"/>
    <hyperlink ref="B258" r:id="rId248" xr:uid="{5A7BF34B-F961-427C-986E-F1B6CAF322CF}"/>
    <hyperlink ref="B259" r:id="rId249" xr:uid="{46C9ECF3-DBA4-4424-B253-94CFDF61331E}"/>
    <hyperlink ref="B260" r:id="rId250" xr:uid="{34D188DE-E841-4490-A8E3-6FD6227AADE7}"/>
    <hyperlink ref="B261" r:id="rId251" xr:uid="{46DF183F-8BF6-48D1-A481-CBCA0E0C9AF8}"/>
    <hyperlink ref="B262" r:id="rId252" xr:uid="{2D186A8F-6E0C-4D3B-B7DD-ABFA3007F31D}"/>
    <hyperlink ref="B263" r:id="rId253" xr:uid="{D32A8676-4ABE-4EEA-935D-540A2F13F538}"/>
    <hyperlink ref="B264" r:id="rId254" xr:uid="{2ED199DB-2598-4707-B0E8-5BBEE24E1443}"/>
    <hyperlink ref="B266" r:id="rId255" xr:uid="{B04729C3-2DB8-4A2F-BD46-E4E8A25CA338}"/>
    <hyperlink ref="B267" r:id="rId256" xr:uid="{8C92686A-2DE7-4796-912B-072AE2204AAE}"/>
    <hyperlink ref="B268" r:id="rId257" xr:uid="{0E155D75-E617-495A-9EFE-A0B966405782}"/>
    <hyperlink ref="B269" r:id="rId258" xr:uid="{C33F0D75-2A54-44E2-A71C-5C8D6C65CEE1}"/>
    <hyperlink ref="B270" r:id="rId259" xr:uid="{97420734-06F4-4A4D-A44E-60F3FF63022B}"/>
    <hyperlink ref="B271" r:id="rId260" xr:uid="{05DFFFFA-C4F1-4967-8C60-92E0B34D3F0D}"/>
    <hyperlink ref="B272" r:id="rId261" xr:uid="{18AA2E60-E3B1-4084-8817-DBC17A2D6EAB}"/>
    <hyperlink ref="B273" r:id="rId262" xr:uid="{C3F5CD80-6A57-46E4-9BD1-C93E893F0722}"/>
    <hyperlink ref="B274" r:id="rId263" xr:uid="{6EF313CD-EF20-459C-A874-49D5C5DCD745}"/>
    <hyperlink ref="B276" r:id="rId264" xr:uid="{AD996FCD-D999-41C0-9A82-7EBEF5EBADC5}"/>
    <hyperlink ref="B277" r:id="rId265" xr:uid="{DF26784E-3393-42A5-86FE-64043E5F0068}"/>
    <hyperlink ref="B278" r:id="rId266" xr:uid="{9E347EBF-41FB-4AD4-99C1-E2AC0198E9A0}"/>
    <hyperlink ref="B279" r:id="rId267" xr:uid="{BDF95466-09DD-43AC-A2FE-B17BA4DD3AE3}"/>
    <hyperlink ref="B280" r:id="rId268" xr:uid="{5B6D7737-C382-407D-99C5-F340C0D39073}"/>
    <hyperlink ref="B281" r:id="rId269" xr:uid="{8B548A42-AED7-43C0-9F2F-D075A845263A}"/>
    <hyperlink ref="B283" r:id="rId270" xr:uid="{B5635345-7C3B-47E4-AFAD-D9C4F5F942FC}"/>
    <hyperlink ref="B284" r:id="rId271" xr:uid="{6C103546-A489-4156-B7E4-6E684E8E72F2}"/>
    <hyperlink ref="B285" r:id="rId272" xr:uid="{C2E3108E-43CF-48F1-8210-02ECF164CBCA}"/>
    <hyperlink ref="B286" r:id="rId273" xr:uid="{83BCF4C3-0394-4FC4-B08B-BBA1B0978722}"/>
    <hyperlink ref="B287" r:id="rId274" xr:uid="{3E5C501D-86BF-4059-BE48-BC24138AE6D0}"/>
    <hyperlink ref="B288" r:id="rId275" xr:uid="{A9953593-3607-416B-8EF7-2AFFF18CE2A9}"/>
    <hyperlink ref="B289" r:id="rId276" xr:uid="{4A1CD718-F8BD-40A9-8BD4-73BDB673BC2F}"/>
    <hyperlink ref="B290" r:id="rId277" xr:uid="{856CF9F5-B00A-440B-978C-6DE092EBC1DE}"/>
    <hyperlink ref="B291" r:id="rId278" xr:uid="{CF195E7D-AD0B-4DD3-9466-B2A5E2717B26}"/>
    <hyperlink ref="B292" r:id="rId279" xr:uid="{F99E782B-AFA6-4BE1-AFD2-BC9946435760}"/>
    <hyperlink ref="B293" r:id="rId280" xr:uid="{60318944-C7DF-4A2F-968B-ED2715D2FB96}"/>
    <hyperlink ref="B294" r:id="rId281" xr:uid="{F159C960-68EB-4F2B-8D30-9CA4279E979F}"/>
    <hyperlink ref="B295" r:id="rId282" xr:uid="{C412350A-5FC5-40AD-A01B-E9AD95A4E14E}"/>
    <hyperlink ref="B296" r:id="rId283" xr:uid="{D60FD0BA-635A-4D19-A303-EC24795B5367}"/>
    <hyperlink ref="B298" r:id="rId284" xr:uid="{C06F6A48-9EEB-4509-9318-B1EA5AC6748B}"/>
    <hyperlink ref="B299" r:id="rId285" xr:uid="{9338F79D-4156-46A7-AAD0-60DE59D0B94F}"/>
    <hyperlink ref="B300" r:id="rId286" xr:uid="{71FB308A-135C-401B-A35B-754054543A2C}"/>
    <hyperlink ref="B301" r:id="rId287" xr:uid="{FEFD8C2F-1685-4467-9330-08212E98DC68}"/>
    <hyperlink ref="B302" r:id="rId288" xr:uid="{DA712B02-9660-44C8-9258-52208024925D}"/>
    <hyperlink ref="B303" r:id="rId289" xr:uid="{A7DF7BB3-5592-46C7-9359-7F7CB0025741}"/>
    <hyperlink ref="B304" r:id="rId290" xr:uid="{9FAFD335-5DDC-43C7-86BC-CD9A67455423}"/>
    <hyperlink ref="B305" r:id="rId291" xr:uid="{9A455C71-AD5D-48B3-8B40-C7F7EA63A988}"/>
    <hyperlink ref="B306" r:id="rId292" xr:uid="{A2CC37D0-EAA6-4287-A99D-6968D79F4E07}"/>
    <hyperlink ref="B308" r:id="rId293" xr:uid="{888C2400-0C7F-4CA9-8447-AA5F765263BB}"/>
    <hyperlink ref="B310" r:id="rId294" xr:uid="{E2813B2E-02BA-4C38-942B-51FE98AB9ACB}"/>
    <hyperlink ref="B311" r:id="rId295" xr:uid="{CAA65C6B-FF5E-4C5C-8839-9DCC58865FB0}"/>
    <hyperlink ref="B312" r:id="rId296" xr:uid="{F0D06D4F-9963-49FC-BCCC-9209D580F409}"/>
    <hyperlink ref="B315" r:id="rId297" xr:uid="{394EF2D9-E452-473F-AE32-BD73CB11DD88}"/>
    <hyperlink ref="B309" r:id="rId298" xr:uid="{26242FE2-0FFE-4F67-8622-CE90C9B4A6BF}"/>
    <hyperlink ref="C309" r:id="rId299" xr:uid="{5866A334-F217-4D6E-BB3F-C13C03D7B0E2}"/>
    <hyperlink ref="B314" r:id="rId300" xr:uid="{F854C0C1-7D10-4E58-B91B-EC1ABA5842D6}"/>
    <hyperlink ref="C314" r:id="rId301" xr:uid="{876A2B2C-567A-4FFB-9940-2D51CF640339}"/>
    <hyperlink ref="B313" r:id="rId302" xr:uid="{E2324CBF-8582-4044-9C6C-3A0D60ED47A9}"/>
    <hyperlink ref="B316" r:id="rId303" xr:uid="{12320092-DCBD-4D59-AD69-DFC7D2C581E0}"/>
    <hyperlink ref="B317" r:id="rId304" xr:uid="{2BDE6349-7A62-4FA3-AEF5-0179FD0BF308}"/>
    <hyperlink ref="B318" r:id="rId305" xr:uid="{4B5EE148-28E2-48B4-A694-583A347B15A7}"/>
    <hyperlink ref="B319" r:id="rId306" xr:uid="{A4F97EA6-CE2A-46CB-8D5C-C03B6DBBA1C4}"/>
    <hyperlink ref="B320" r:id="rId307" xr:uid="{EDFD1271-4A68-4A7A-B26C-35C29BDB25B1}"/>
    <hyperlink ref="B321" r:id="rId308" xr:uid="{9649B2B0-F939-487E-8B75-7B05B54BF433}"/>
    <hyperlink ref="B322" r:id="rId309" xr:uid="{1779BA14-5C57-40EF-AFE4-FF6E82E3AB82}"/>
    <hyperlink ref="B323" r:id="rId310" xr:uid="{A6A041AF-DF0B-4DC3-A79B-9291D68CB196}"/>
    <hyperlink ref="B324" r:id="rId311" xr:uid="{83AAB57C-EC67-474C-A6A9-E52DCF14BC64}"/>
    <hyperlink ref="B326" r:id="rId312" xr:uid="{7DB7B989-BE2B-4DB6-A81F-B215EEEA7899}"/>
    <hyperlink ref="B327" r:id="rId313" xr:uid="{D447D3BF-29E6-4119-B6E7-9B5952EE549D}"/>
    <hyperlink ref="B328" r:id="rId314" xr:uid="{D904A10D-E413-4FB1-BD95-E49BED0047B3}"/>
    <hyperlink ref="B329" r:id="rId315" xr:uid="{D5C90F9E-AC9E-48F0-A4F3-2C674E21047C}"/>
    <hyperlink ref="B330" r:id="rId316" xr:uid="{88B1F02B-456D-41C7-AA40-CCFBAADAC396}"/>
    <hyperlink ref="B331" r:id="rId317" xr:uid="{0DE4B70C-F693-4967-A612-ED4167D499FE}"/>
    <hyperlink ref="B332" r:id="rId318" xr:uid="{EE20C257-5BC3-4996-90F2-345275599E06}"/>
    <hyperlink ref="B333" r:id="rId319" xr:uid="{F0B3712F-29CE-4E04-810C-3B56AF204344}"/>
    <hyperlink ref="B335" r:id="rId320" xr:uid="{4EBE1C7D-22C4-4B09-BB48-EC2816B779A6}"/>
    <hyperlink ref="B336" r:id="rId321" xr:uid="{5A744216-50EF-45F3-87CB-84C69FA571BA}"/>
    <hyperlink ref="B337" r:id="rId322" xr:uid="{506CA30B-ECDE-40BC-BD63-8192CD1F7EA7}"/>
    <hyperlink ref="B338" r:id="rId323" xr:uid="{A563F268-F886-4F4B-8DF4-99A578413890}"/>
    <hyperlink ref="B339" r:id="rId324" xr:uid="{E257A0D8-AF31-44A7-9906-C6D0D5001128}"/>
    <hyperlink ref="B341" r:id="rId325" xr:uid="{F591DB4B-0AB6-411C-92FF-768D9857B86E}"/>
    <hyperlink ref="B344" r:id="rId326" xr:uid="{0747EDA4-3D89-4495-AE98-6A054D64A91A}"/>
    <hyperlink ref="C344" r:id="rId327" xr:uid="{4D913C72-00A7-4F16-902A-974830E5B339}"/>
    <hyperlink ref="B345" r:id="rId328" xr:uid="{4B30C234-9984-4317-9AA0-F13FE0D6FD74}"/>
    <hyperlink ref="B347" r:id="rId329" xr:uid="{72CBD812-D3A5-432E-B87F-5D15DA11AB44}"/>
    <hyperlink ref="B348" r:id="rId330" xr:uid="{D1D0293A-54D5-4B8A-BC5F-5B26BFC26266}"/>
    <hyperlink ref="B349" r:id="rId331" xr:uid="{21BC2AAD-13FA-41D2-8821-6DD33934857A}"/>
    <hyperlink ref="B350" r:id="rId332" xr:uid="{78BCC2EA-0545-4492-96D4-6D17A3079605}"/>
    <hyperlink ref="B351" r:id="rId333" xr:uid="{3A80BC25-8E83-45B0-916E-FC9A465B224A}"/>
    <hyperlink ref="B352" r:id="rId334" xr:uid="{055356CC-9540-4F38-9191-6DCBBCFF093D}"/>
    <hyperlink ref="B353" r:id="rId335" xr:uid="{500A685A-103B-4448-A8D1-9567F091B964}"/>
    <hyperlink ref="B354" r:id="rId336" xr:uid="{0D7DF9CB-2234-4A96-A588-E30D3F3AEF9A}"/>
    <hyperlink ref="B355" r:id="rId337" xr:uid="{F616F756-8100-40BE-ADC6-017E8592C94E}"/>
    <hyperlink ref="B356" r:id="rId338" xr:uid="{96076479-8037-4159-B16B-E4D26C31BAA2}"/>
    <hyperlink ref="B357" r:id="rId339" xr:uid="{AE7DD732-5C3C-4EC7-88D5-18E2B6681E06}"/>
    <hyperlink ref="B358" r:id="rId340" xr:uid="{B53F612C-6663-4651-B056-FBBA157B5086}"/>
    <hyperlink ref="B359" r:id="rId341" xr:uid="{F4124051-A66C-43DC-A1BD-6CA192CD9744}"/>
    <hyperlink ref="B360" r:id="rId342" xr:uid="{8F87AF0A-46C4-4FE0-9A22-80BE55704B85}"/>
    <hyperlink ref="B362" r:id="rId343" xr:uid="{E70CE127-1783-4620-96F8-2E2FFAC6F076}"/>
    <hyperlink ref="B365" r:id="rId344" xr:uid="{244DA1EE-941C-4570-93DE-37A01C30545F}"/>
    <hyperlink ref="B366" r:id="rId345" xr:uid="{331E57B5-242B-4DE4-BEBF-A7AAD31E5157}"/>
    <hyperlink ref="B367" r:id="rId346" xr:uid="{7DFC5E87-6BE8-4E07-9FB4-E9DA5044E0F0}"/>
    <hyperlink ref="B369" r:id="rId347" xr:uid="{5A1EB1A9-0FE1-4986-8F52-27F4BDD9209E}"/>
    <hyperlink ref="B370" r:id="rId348" xr:uid="{EB78E5C6-A150-4D2E-ADD0-75AC01ED0922}"/>
    <hyperlink ref="B371" r:id="rId349" xr:uid="{EE1AB860-1C52-4AC3-8665-A1E3E7BEE119}"/>
    <hyperlink ref="B373" r:id="rId350" xr:uid="{9D93A74A-C1FD-4096-8633-AD05FFD04D10}"/>
    <hyperlink ref="B374" r:id="rId351" xr:uid="{D903EEFA-9628-4484-A6F5-9150BDDF5C17}"/>
    <hyperlink ref="B375" r:id="rId352" xr:uid="{F70ADD96-39B0-4D0B-B7BE-1B582DAECE57}"/>
    <hyperlink ref="B377" r:id="rId353" xr:uid="{EED1CF99-A126-420A-ADD4-0B17A5627061}"/>
    <hyperlink ref="B378" r:id="rId354" xr:uid="{86C3ADDA-F5C9-4A07-AF08-DB6A183A302D}"/>
    <hyperlink ref="B379" r:id="rId355" xr:uid="{5A1F33C0-5F26-49C8-90B3-6D18F19AE037}"/>
    <hyperlink ref="B380" r:id="rId356" xr:uid="{B3B90C9F-C3A7-476A-B428-7CAD56395738}"/>
    <hyperlink ref="B381" r:id="rId357" xr:uid="{88B5E75F-4DEA-4D79-B3F2-C8D14C7C6418}"/>
    <hyperlink ref="B382" r:id="rId358" xr:uid="{291D5710-AC43-4740-BC3E-86F77C2AFBAD}"/>
    <hyperlink ref="B383" r:id="rId359" xr:uid="{41DD18C3-3199-4F65-BCB1-D66427E06EF1}"/>
    <hyperlink ref="B384" r:id="rId360" xr:uid="{45E9D26A-8EB2-4940-962A-2F76181DEE86}"/>
    <hyperlink ref="B385" r:id="rId361" xr:uid="{43E73C4D-98A4-4493-AB98-39FE033E2D44}"/>
    <hyperlink ref="B386" r:id="rId362" xr:uid="{FDC66ED3-FA37-41E9-9AB9-A6BEF49AC450}"/>
    <hyperlink ref="B387" r:id="rId363" xr:uid="{2C5CEA49-B777-463F-B09D-DB8D98C75C96}"/>
    <hyperlink ref="B388" r:id="rId364" xr:uid="{FF2B1E53-5479-4FF9-8B86-7F0BB4D6361D}"/>
    <hyperlink ref="B389" r:id="rId365" xr:uid="{4A2F99A7-664F-4F31-8E12-026E3AC9A34D}"/>
    <hyperlink ref="B390" r:id="rId366" xr:uid="{882E7AB3-6DA4-4CA1-A2FC-C5F5894E18EE}"/>
    <hyperlink ref="B391" r:id="rId367" xr:uid="{8151E524-EC40-4E2C-A1E6-31915E959774}"/>
    <hyperlink ref="B392" r:id="rId368" xr:uid="{31D92578-6C0B-4552-ACA9-810E50DF0C8C}"/>
    <hyperlink ref="B393" r:id="rId369" xr:uid="{DF38C4B0-DC31-464D-A3A6-B8DB49330DFF}"/>
    <hyperlink ref="B394" r:id="rId370" xr:uid="{AD26FE1D-9170-4605-8486-F55B6ACF0590}"/>
    <hyperlink ref="B395" r:id="rId371" xr:uid="{6F600A39-236A-4261-B095-45C786DA964B}"/>
    <hyperlink ref="B396" r:id="rId372" xr:uid="{74F3FE51-58E8-49A2-8F84-3A495AEE2C93}"/>
    <hyperlink ref="B397" r:id="rId373" xr:uid="{3B4E4F1E-79A3-44B7-8C3C-8155E68015E4}"/>
    <hyperlink ref="B398" r:id="rId374" xr:uid="{010594B0-2AD4-487D-AEBE-E0CA8D8F3888}"/>
    <hyperlink ref="B399" r:id="rId375" xr:uid="{6F70BA93-96BD-4CE0-83D3-ED55B7599AF9}"/>
    <hyperlink ref="B400" r:id="rId376" xr:uid="{37119E8A-9F17-44FB-903B-9E9EFEB16424}"/>
    <hyperlink ref="B401" r:id="rId377" xr:uid="{B5DFF2FC-6FD1-4C50-A2B5-EF188A6184C9}"/>
    <hyperlink ref="B402" r:id="rId378" xr:uid="{FB6B9179-7FAE-4E55-AF45-08D17C1F8380}"/>
    <hyperlink ref="B403" r:id="rId379" xr:uid="{6D6E05EC-2421-4251-BD3E-C1F2AF7B1416}"/>
    <hyperlink ref="B404" r:id="rId380" xr:uid="{D9244475-2511-4DC5-958D-5D8E0B108675}"/>
    <hyperlink ref="B405" r:id="rId381" xr:uid="{B43AADF1-CECB-4535-94CF-975CC791CCCE}"/>
    <hyperlink ref="B406" r:id="rId382" xr:uid="{32D3D4F0-22BA-4B15-AF2B-CE70FECF50B4}"/>
    <hyperlink ref="B407" r:id="rId383" xr:uid="{1E5160BD-2661-49B8-9233-511E6F1C48F0}"/>
    <hyperlink ref="B408" r:id="rId384" xr:uid="{1E2838DE-272A-4449-8093-73FDE226DA3E}"/>
    <hyperlink ref="B409" r:id="rId385" xr:uid="{5894AF70-E116-432A-87C3-EB72793BCCAB}"/>
    <hyperlink ref="B410" r:id="rId386" xr:uid="{98CAC0E5-7AFE-49E1-9774-1E095368C697}"/>
    <hyperlink ref="B414" r:id="rId387" xr:uid="{FCCEED67-63DC-4BA9-8216-0187FC49433C}"/>
    <hyperlink ref="B415" r:id="rId388" xr:uid="{7A269DC6-13A7-4D78-B2DB-85888AB440D6}"/>
    <hyperlink ref="B416" r:id="rId389" xr:uid="{80F89B6E-B765-4B2C-B9D8-157357A80CA2}"/>
    <hyperlink ref="B417" r:id="rId390" xr:uid="{D8BE2313-2EDE-461C-8D2C-A3CAA92D8369}"/>
    <hyperlink ref="B418" r:id="rId391" xr:uid="{C3D376F5-11C8-414E-92F5-0FA1555CB4DD}"/>
    <hyperlink ref="B419" r:id="rId392" xr:uid="{F839EE76-864D-4E17-BEA7-5A1A95647C36}"/>
    <hyperlink ref="B420" r:id="rId393" xr:uid="{DF92F61E-CF41-41CA-9DFC-F07AD5C2081E}"/>
    <hyperlink ref="B421" r:id="rId394" xr:uid="{33FEF368-5A73-4321-9B27-CFB77008C5AB}"/>
    <hyperlink ref="B422" r:id="rId395" xr:uid="{94EB8F17-C9DE-4D41-A060-DA09CA3A01B4}"/>
    <hyperlink ref="B423" r:id="rId396" xr:uid="{DA952FEF-D07C-4BA9-92F1-B745154D3B74}"/>
    <hyperlink ref="C423" r:id="rId397" xr:uid="{14D9CF9D-286A-4413-9674-F55798E84A1C}"/>
    <hyperlink ref="B424" r:id="rId398" xr:uid="{4945619C-284F-4433-A866-9BDC8A25C98F}"/>
    <hyperlink ref="B425" r:id="rId399" xr:uid="{0C18D447-2DB8-47D9-902F-3E40E8E4ED79}"/>
    <hyperlink ref="C425" r:id="rId400" xr:uid="{7FE4B7E0-7DC5-4615-BB1F-6B7A4BD98D4E}"/>
    <hyperlink ref="B426" r:id="rId401" xr:uid="{52421343-BAE3-4BAB-A926-01788775D76E}"/>
    <hyperlink ref="C426" r:id="rId402" xr:uid="{80E13714-E657-4945-8C28-AFB2D10057D0}"/>
    <hyperlink ref="B427" r:id="rId403" xr:uid="{9E97A794-1DAE-4964-92D0-FC30190BC4F0}"/>
    <hyperlink ref="C427" r:id="rId404" xr:uid="{0102571A-72EA-4AAD-8F3C-7B957691773B}"/>
    <hyperlink ref="B428" r:id="rId405" xr:uid="{165AE22C-8831-4C95-AC94-2C5186265CA7}"/>
    <hyperlink ref="B429" r:id="rId406" xr:uid="{950AF8BE-6358-4DE3-8C1B-AF3A7ABFE467}"/>
    <hyperlink ref="B430" r:id="rId407" xr:uid="{B3457DB5-1BAA-4107-801A-D314C22DD9BE}"/>
    <hyperlink ref="B431" r:id="rId408" xr:uid="{998E70A6-7D5A-48C4-A1BB-46B363164CBF}"/>
    <hyperlink ref="C431" r:id="rId409" xr:uid="{7BAC47C4-5633-4168-A798-AEE8160234C6}"/>
    <hyperlink ref="B432" r:id="rId410" xr:uid="{0A3CC339-1508-49F6-A989-5AA545F92611}"/>
    <hyperlink ref="B433" r:id="rId411" xr:uid="{181C3F70-B277-4633-9DAF-A490FFD220E8}"/>
    <hyperlink ref="B434" r:id="rId412" xr:uid="{628EB953-8637-4045-9F55-519CD8DFC085}"/>
    <hyperlink ref="B435" r:id="rId413" xr:uid="{6C2365A9-599C-46B5-9BBB-3F34F328FD52}"/>
    <hyperlink ref="B436" r:id="rId414" xr:uid="{69A7B7A1-CFEF-4171-AD2D-9000AFBB19D3}"/>
    <hyperlink ref="B437" r:id="rId415" xr:uid="{E8C87B6F-7139-4228-9075-5AA601D7EA84}"/>
    <hyperlink ref="B438" r:id="rId416" xr:uid="{D70593C2-06B0-4241-B964-1CB31918FC04}"/>
    <hyperlink ref="B439" r:id="rId417" xr:uid="{023ABB69-D43D-4065-8CAC-D24108F2EFD6}"/>
    <hyperlink ref="B440" r:id="rId418" xr:uid="{152B6CC0-86A5-41FE-B8EE-F18FCE504AFF}"/>
    <hyperlink ref="B441" r:id="rId419" xr:uid="{8484587C-63B7-4899-8211-E40466147C1F}"/>
    <hyperlink ref="B442" r:id="rId420" xr:uid="{2856F1C5-240B-4A1F-ABF0-BEB3D3B5DC84}"/>
    <hyperlink ref="B443" r:id="rId421" xr:uid="{1F14C8A1-BCFA-4242-A2F6-6A76E9372885}"/>
    <hyperlink ref="B444" r:id="rId422" xr:uid="{53FCC83C-D069-4FB4-A023-856B1B65BEF7}"/>
    <hyperlink ref="B445" r:id="rId423" xr:uid="{B14F12EB-07B1-4734-95D7-3EB666AEC001}"/>
    <hyperlink ref="B446" r:id="rId424" xr:uid="{6D0CDAF1-11E2-466A-B0D3-D68EE5AD6EB8}"/>
    <hyperlink ref="B447" r:id="rId425" xr:uid="{004E5F9D-9F22-43C2-930A-63A2DBA554B5}"/>
    <hyperlink ref="B448" r:id="rId426" xr:uid="{1B983015-E9AC-42E3-9908-E0C3B591A11B}"/>
    <hyperlink ref="B449" r:id="rId427" xr:uid="{74B4047A-F1BB-4872-9A36-9A2B164D62CE}"/>
    <hyperlink ref="B451" r:id="rId428" xr:uid="{B8936FFE-329E-4741-898E-ABB50214DF50}"/>
    <hyperlink ref="B452" r:id="rId429" xr:uid="{A53A1FE1-EB07-4528-A134-14C4EF8524D7}"/>
    <hyperlink ref="B453" r:id="rId430" xr:uid="{7DB108B2-BEEE-4CF9-BC68-684BFAA95614}"/>
    <hyperlink ref="B454" r:id="rId431" xr:uid="{B1DE9B2A-2D3D-4750-B1C6-9B4A0CE51208}"/>
    <hyperlink ref="B455" r:id="rId432" xr:uid="{753DE2F0-0B82-4D66-9779-4FF05C26F70B}"/>
    <hyperlink ref="B457" r:id="rId433" xr:uid="{771BABE6-EA22-4CAE-AA02-607E2CBBCDBE}"/>
    <hyperlink ref="B458" r:id="rId434" xr:uid="{2FB3F95E-3455-4754-967D-20C940C0ED3D}"/>
    <hyperlink ref="B459" r:id="rId435" xr:uid="{E5106C3C-7516-4AB4-B8E6-82919691EFD3}"/>
    <hyperlink ref="B460" r:id="rId436" xr:uid="{130377FD-1EBD-4AC3-986F-D39A19D016AE}"/>
    <hyperlink ref="B462" r:id="rId437" xr:uid="{8282D412-2E8F-4D2D-9E92-BAAB807972D3}"/>
    <hyperlink ref="B463" r:id="rId438" xr:uid="{7C7467CC-B57B-47D3-9629-C9C2DECCEF1C}"/>
    <hyperlink ref="B464" r:id="rId439" xr:uid="{0925E3BC-B4A9-4921-B008-FAA9E706651D}"/>
    <hyperlink ref="C464" r:id="rId440" xr:uid="{042D7D1A-9456-47EF-A2FE-3543507DB241}"/>
    <hyperlink ref="B465" r:id="rId441" xr:uid="{B4D58F20-E931-40C2-99D4-0A47D4FB7DFB}"/>
    <hyperlink ref="C465" r:id="rId442" xr:uid="{B3572E22-1348-4C66-B83D-2EE884E92F5F}"/>
    <hyperlink ref="B467" r:id="rId443" xr:uid="{C8393E37-CF88-40FC-8F7C-EA0E192A8F99}"/>
    <hyperlink ref="B468" r:id="rId444" xr:uid="{1DC09D37-3CC4-4CCC-A8B7-CBC0B95FF46A}"/>
    <hyperlink ref="B469" r:id="rId445" xr:uid="{C9503DE4-878E-4A39-A85C-662ACBAB2875}"/>
    <hyperlink ref="B470" r:id="rId446" xr:uid="{AFC727ED-F83C-407C-AEC3-298C5FAEF1F2}"/>
    <hyperlink ref="B472" r:id="rId447" xr:uid="{379700B6-EA33-4E05-9D8B-62A81A60ACD1}"/>
    <hyperlink ref="B474" r:id="rId448" xr:uid="{39E6F3C6-2C9D-4394-9BC9-4A2316C84B55}"/>
    <hyperlink ref="B475" r:id="rId449" xr:uid="{1E7B115C-4BF1-45DA-AC72-306AE68072E4}"/>
    <hyperlink ref="B476" r:id="rId450" xr:uid="{1F22C5CF-3755-4E08-90F4-43A50C12786B}"/>
    <hyperlink ref="B477" r:id="rId451" xr:uid="{7D3A92FB-EA44-4D59-8543-8B26BC09CFF5}"/>
    <hyperlink ref="B478" r:id="rId452" xr:uid="{D5E6DCE3-EAC1-40E9-B631-7D775A161145}"/>
    <hyperlink ref="B479" r:id="rId453" xr:uid="{E0300186-FC6B-45C7-93E8-A9806869071A}"/>
    <hyperlink ref="B480" r:id="rId454" xr:uid="{204F93B1-246F-4117-A2AA-90E673FBBE8A}"/>
    <hyperlink ref="B481" r:id="rId455" xr:uid="{9DF63F1E-841E-4542-92C5-763D134A3471}"/>
    <hyperlink ref="B482" r:id="rId456" xr:uid="{BC292D34-73BD-428B-885E-253BADD9C1FA}"/>
    <hyperlink ref="B483" r:id="rId457" xr:uid="{5FE9B33E-1D5E-4524-A565-F391BEFA673D}"/>
    <hyperlink ref="B484" r:id="rId458" xr:uid="{A712FF4C-8BF0-4F17-B7FE-5F804C5CFD25}"/>
    <hyperlink ref="B485" r:id="rId459" xr:uid="{FB885ED8-10F8-4486-9478-4150856BADDE}"/>
    <hyperlink ref="B487" r:id="rId460" xr:uid="{ABCB729E-2B01-40CF-9854-318383D899AC}"/>
    <hyperlink ref="B488" r:id="rId461" xr:uid="{48080493-0D23-40E4-9670-A6C452AE7EA3}"/>
    <hyperlink ref="C488" r:id="rId462" xr:uid="{893DB205-19A0-4381-B8AB-8A5FC231BD42}"/>
    <hyperlink ref="B489" r:id="rId463" xr:uid="{ACE28108-895F-4976-8AC4-EE2B32F5F274}"/>
    <hyperlink ref="C489" r:id="rId464" xr:uid="{C4671789-5809-41A3-BC37-21A8ACB7CDDF}"/>
    <hyperlink ref="B490" r:id="rId465" xr:uid="{76CA1DD6-0387-4C2E-B71E-5456780D3424}"/>
    <hyperlink ref="B491" r:id="rId466" xr:uid="{0B91B48A-0A54-46C5-A562-1482B1229965}"/>
    <hyperlink ref="B492" r:id="rId467" xr:uid="{DCED8A1F-1EDF-411E-A330-16ED1ABB9749}"/>
    <hyperlink ref="B493" r:id="rId468" xr:uid="{5D45A092-89BD-46AF-91A6-43E9AC3671C3}"/>
    <hyperlink ref="B494" r:id="rId469" xr:uid="{6BDD56B6-210E-4AEA-A274-569401E1EE12}"/>
    <hyperlink ref="B495" r:id="rId470" xr:uid="{73BA81B1-9DDF-4A62-B19C-F1D51A6FA447}"/>
    <hyperlink ref="B496" r:id="rId471" xr:uid="{0B68291E-1B8F-467D-A9BB-6B6C8C49CB80}"/>
    <hyperlink ref="C496" r:id="rId472" xr:uid="{A1B7AFC2-529A-4D16-B2FB-413BFE273480}"/>
    <hyperlink ref="B497" r:id="rId473" xr:uid="{C2313A78-DE30-43BF-9551-4EC5D6729437}"/>
    <hyperlink ref="B498" r:id="rId474" xr:uid="{8C584AC7-4D9C-495D-9798-63AE8100FD02}"/>
    <hyperlink ref="B499" r:id="rId475" xr:uid="{F949F836-D4EA-4C4C-8B67-1FB0D343BB82}"/>
    <hyperlink ref="B500" r:id="rId476" xr:uid="{76C78953-0131-4852-9D70-DAB76D91DFA4}"/>
    <hyperlink ref="B501" r:id="rId477" xr:uid="{1DF76A55-652A-4859-A3AA-4D56C80A50BF}"/>
    <hyperlink ref="B502" r:id="rId478" xr:uid="{984319D3-6B3A-43C2-B916-449DB00CAFFE}"/>
    <hyperlink ref="B503" r:id="rId479" xr:uid="{1D1628A9-C6C4-4116-A335-55DA04C3A346}"/>
    <hyperlink ref="B504" r:id="rId480" xr:uid="{4DD0CDB7-D0A9-4A94-801F-A557782F0229}"/>
    <hyperlink ref="B505" r:id="rId481" xr:uid="{C338896B-3739-47C8-B431-05E45F99574F}"/>
    <hyperlink ref="B506" r:id="rId482" xr:uid="{4058425B-18BA-4529-A4ED-AF520FCB5A01}"/>
    <hyperlink ref="B507" r:id="rId483" xr:uid="{A270309F-361C-4871-B34F-6E400924E231}"/>
    <hyperlink ref="B508" r:id="rId484" xr:uid="{69A6E3B8-5461-4DFC-A1DE-3D7BDBDB8856}"/>
    <hyperlink ref="B509" r:id="rId485" xr:uid="{DF614FF8-EB70-4E5B-9806-CDB97B23ECEA}"/>
    <hyperlink ref="B510" r:id="rId486" xr:uid="{20836E19-AB03-40FD-978D-4DC2DA7D596D}"/>
    <hyperlink ref="B511" r:id="rId487" xr:uid="{364D3238-2399-4D62-A35E-FB97506243BE}"/>
    <hyperlink ref="B512" r:id="rId488" xr:uid="{7A990AD1-8533-42B2-9556-B73807B2D7E5}"/>
    <hyperlink ref="B513" r:id="rId489" xr:uid="{4FA55EDD-85C8-432E-ABBD-C20AA63D6AC7}"/>
    <hyperlink ref="B514" r:id="rId490" xr:uid="{50713E31-3058-4587-8EC0-A4EFE9AF12D8}"/>
    <hyperlink ref="B515" r:id="rId491" xr:uid="{109AAD6D-A50B-4716-9851-8E7C0BF38DF2}"/>
    <hyperlink ref="B516" r:id="rId492" xr:uid="{630D4B64-8EA9-4D9C-899A-994F360EB71B}"/>
    <hyperlink ref="B517" r:id="rId493" xr:uid="{E2158D3E-0FED-47EA-B539-5D677EBD84EC}"/>
    <hyperlink ref="B518" r:id="rId494" xr:uid="{50B3C10A-08B5-45E2-9664-B0CC6C5BD600}"/>
    <hyperlink ref="B519" r:id="rId495" xr:uid="{4DCF0767-4C05-4F80-BD5A-114AE0C49C52}"/>
    <hyperlink ref="B520" r:id="rId496" xr:uid="{E5BE732F-E4EB-4A1A-8249-5536EFAA4AA5}"/>
    <hyperlink ref="B521" r:id="rId497" xr:uid="{5AF9A893-5FF0-44D3-A6C9-D4139B3BFF1B}"/>
    <hyperlink ref="B522" r:id="rId498" xr:uid="{4C370AA4-5C29-434D-A0AD-7F45AAED2BD7}"/>
    <hyperlink ref="B523" r:id="rId499" xr:uid="{B678B3F3-A1C9-498A-8019-4587E32836C3}"/>
    <hyperlink ref="B524" r:id="rId500" xr:uid="{4A2E33BB-403E-4376-BBE9-83D304F20B82}"/>
    <hyperlink ref="B525" r:id="rId501" xr:uid="{9EDEFA73-4D1B-4A42-866A-306176486BE1}"/>
    <hyperlink ref="B526" r:id="rId502" xr:uid="{238D4446-B626-4651-AA2B-97D60D3568E6}"/>
    <hyperlink ref="B527" r:id="rId503" xr:uid="{2E4DD6AB-330E-491E-B59D-690D393E6813}"/>
    <hyperlink ref="B528" r:id="rId504" xr:uid="{DA7D40FB-2F0C-48B9-93FF-AC3491A3E222}"/>
    <hyperlink ref="B529" r:id="rId505" xr:uid="{2C564A25-6FA0-46A9-8382-31DA259412C6}"/>
    <hyperlink ref="B530" r:id="rId506" xr:uid="{56AFB8E2-B28E-4ABD-820C-56BBF6833B2A}"/>
    <hyperlink ref="B531" r:id="rId507" xr:uid="{4A518E39-5683-4245-B2A5-89FDAAA426E9}"/>
    <hyperlink ref="B532" r:id="rId508" xr:uid="{D6A289CF-7A66-4ACC-B92C-B24701EE6FD7}"/>
    <hyperlink ref="B533" r:id="rId509" xr:uid="{FD412680-9960-402F-84F3-509677C7AB6E}"/>
    <hyperlink ref="B534" r:id="rId510" xr:uid="{2953463A-52F3-482D-A926-F3CFCEC7D228}"/>
    <hyperlink ref="B535" r:id="rId511" xr:uid="{42CC8026-22DC-4C28-9EAC-8F9C6DB61C05}"/>
    <hyperlink ref="B536" r:id="rId512" xr:uid="{6A43B668-889F-4177-BE6D-9982DB6B8F81}"/>
    <hyperlink ref="B537" r:id="rId513" xr:uid="{5D79DBF7-5577-445E-B5CA-346A206E9DE7}"/>
    <hyperlink ref="B538" r:id="rId514" xr:uid="{1584B56A-8D54-414D-B1D6-C53B5154D0C0}"/>
    <hyperlink ref="B539" r:id="rId515" xr:uid="{69F00A3F-00C3-4449-84B7-32FF20E9D193}"/>
    <hyperlink ref="B540" r:id="rId516" xr:uid="{2D203AA5-38F7-4876-8700-9AA2C3405610}"/>
    <hyperlink ref="B541" r:id="rId517" xr:uid="{BBBE180C-2986-4C01-AC6C-2CDBFC48CB82}"/>
    <hyperlink ref="B542" r:id="rId518" xr:uid="{0C264C39-A439-447F-954A-05A16A92F200}"/>
    <hyperlink ref="B543" r:id="rId519" xr:uid="{53D09469-24BE-4190-A862-522530116385}"/>
    <hyperlink ref="C543" r:id="rId520" xr:uid="{21484382-58DC-4DFD-81CE-3EACEBBCF758}"/>
    <hyperlink ref="B544" r:id="rId521" xr:uid="{979D76E0-742B-470A-B219-3ACD16841E2A}"/>
    <hyperlink ref="B545" r:id="rId522" xr:uid="{473ED1E6-9617-471D-A1D1-3F3AB2A8FA36}"/>
    <hyperlink ref="C545" r:id="rId523" xr:uid="{6F5E33E3-16F0-478D-9196-5145182F79CD}"/>
    <hyperlink ref="B546" r:id="rId524" xr:uid="{B94A9349-F0F8-4B73-95A1-88916A508C18}"/>
    <hyperlink ref="B547" r:id="rId525" xr:uid="{EF7F0D5E-ED8B-4F4A-ACED-354DB7C7CE4A}"/>
    <hyperlink ref="B548" r:id="rId526" xr:uid="{89C5624D-D113-452B-BE7F-CE1314492E99}"/>
    <hyperlink ref="B549" r:id="rId527" xr:uid="{69EEE011-B16B-4818-8E3C-99CB23F99A95}"/>
    <hyperlink ref="B551" r:id="rId528" xr:uid="{DDF10087-B4C4-4150-803C-F83A9D25A305}"/>
    <hyperlink ref="B553" r:id="rId529" xr:uid="{E6C04B05-C4FD-4341-9911-FADBE288824D}"/>
    <hyperlink ref="B554" r:id="rId530" xr:uid="{8A28EE12-2792-45BE-9EEB-E042EEE2E136}"/>
    <hyperlink ref="B555" r:id="rId531" xr:uid="{D784B297-7766-45B9-A520-5145DA9AC5F4}"/>
    <hyperlink ref="B556" r:id="rId532" xr:uid="{AD012AF2-DDEA-4261-A6CF-E41D2C436439}"/>
    <hyperlink ref="B557" r:id="rId533" xr:uid="{BB77F425-BEF8-4AAB-8743-DFE3DF3EF597}"/>
    <hyperlink ref="B558" r:id="rId534" xr:uid="{43F872B0-4171-42BE-9C55-A45F61698A72}"/>
    <hyperlink ref="B560" r:id="rId535" xr:uid="{49F9B2BC-E223-400E-871E-CED4D1CD79D6}"/>
    <hyperlink ref="C560" r:id="rId536" xr:uid="{E752CA87-B702-4BB4-B9EF-95BDD3F31982}"/>
    <hyperlink ref="B562" r:id="rId537" xr:uid="{48B8C2CF-9133-412D-B92A-AC4BE67CD689}"/>
    <hyperlink ref="B563" r:id="rId538" xr:uid="{F512E97F-76A4-42F8-B17E-5839067EF602}"/>
    <hyperlink ref="B564" r:id="rId539" xr:uid="{1141B1C4-BC0D-4526-901D-16625BB1AD31}"/>
    <hyperlink ref="B565" r:id="rId540" xr:uid="{AD5646EC-45DB-461B-81E9-398078A72D18}"/>
    <hyperlink ref="B566" r:id="rId541" xr:uid="{3BB057AE-830C-44D1-B6F4-72C372C3CE31}"/>
    <hyperlink ref="B567" r:id="rId542" xr:uid="{67BA2FE7-D02D-4017-9E7A-2DEE9459DBA7}"/>
    <hyperlink ref="B568" r:id="rId543" xr:uid="{C82BE4F0-B626-4134-833B-D088C7A3FA6D}"/>
    <hyperlink ref="B569" r:id="rId544" xr:uid="{BDDABFF6-FDAC-4EB8-925C-5E20BC24C260}"/>
    <hyperlink ref="B570" r:id="rId545" xr:uid="{B633E318-4AD4-40F9-91D3-0BA2B196A5F7}"/>
    <hyperlink ref="B571" r:id="rId546" xr:uid="{7D1F57B6-D385-4D50-8E77-95A67B90DC6B}"/>
    <hyperlink ref="B572" r:id="rId547" xr:uid="{D1BEB44E-47E0-4554-B26C-06FB555467E7}"/>
    <hyperlink ref="B573" r:id="rId548" xr:uid="{B6A6192F-4D9C-4032-BD6A-562E39970BBA}"/>
    <hyperlink ref="B574" r:id="rId549" xr:uid="{FAC38459-E4A6-4D3C-97ED-B6499AECBEB3}"/>
    <hyperlink ref="B575" r:id="rId550" xr:uid="{F2D18BFE-D864-4AE9-9877-119E538973D1}"/>
    <hyperlink ref="B576" r:id="rId551" xr:uid="{72BB907C-D7B5-4E17-8D20-F3A780D973C7}"/>
    <hyperlink ref="B577" r:id="rId552" xr:uid="{D738159A-DA6E-4DB0-A52D-2168A4638120}"/>
    <hyperlink ref="B578" r:id="rId553" xr:uid="{EB87597C-F15E-4A75-9298-BA477F9A8CA0}"/>
    <hyperlink ref="B579" r:id="rId554" xr:uid="{742155CF-D557-4BB2-8A1E-342962CC6266}"/>
    <hyperlink ref="B580" r:id="rId555" xr:uid="{C8671B05-984A-45B2-A0BF-8D5C797C09DB}"/>
    <hyperlink ref="B581" r:id="rId556" xr:uid="{0C75A484-4AD4-4079-9D85-7C1503C787BF}"/>
    <hyperlink ref="B582" r:id="rId557" xr:uid="{4D90834D-6282-4F45-8836-E56F12A0DB5F}"/>
    <hyperlink ref="B583" r:id="rId558" xr:uid="{62B89429-5236-4609-805E-1B07B9917BC5}"/>
    <hyperlink ref="B584" r:id="rId559" xr:uid="{B6FB2973-A96E-43B9-BF0A-DC0E24F587A6}"/>
    <hyperlink ref="B585" r:id="rId560" xr:uid="{35365D00-7EB2-4299-BE6B-38554359FA75}"/>
    <hyperlink ref="B586" r:id="rId561" xr:uid="{345BD666-CA5D-49AB-9C05-8C3AD8059A4A}"/>
    <hyperlink ref="B587" r:id="rId562" xr:uid="{AC566E3A-6BAB-4AD1-BA4C-3076304BC894}"/>
    <hyperlink ref="B588" r:id="rId563" xr:uid="{2D9F58CD-AFF8-47CE-BE46-0E18120E72D0}"/>
    <hyperlink ref="B589" r:id="rId564" xr:uid="{2B7CEE1F-03AC-436D-9D74-4B4153663BF1}"/>
    <hyperlink ref="B590" r:id="rId565" xr:uid="{D35BE773-81AD-4D84-8064-18AF9C75528B}"/>
    <hyperlink ref="B591" r:id="rId566" xr:uid="{0C7FDF52-0678-421C-8B14-BE2F44A51DFD}"/>
    <hyperlink ref="B592" r:id="rId567" xr:uid="{B39DDECA-73DB-4C88-B5BF-D0C881F6C59B}"/>
    <hyperlink ref="B593" r:id="rId568" xr:uid="{55FB2450-205B-435D-A302-6BAD953D7187}"/>
    <hyperlink ref="B594" r:id="rId569" xr:uid="{AF02C158-FF39-4ABA-93E8-4C70FC91C696}"/>
    <hyperlink ref="B595" r:id="rId570" xr:uid="{5C548824-BDD0-4DEB-8C0A-D51B304EBA91}"/>
    <hyperlink ref="B596" r:id="rId571" xr:uid="{BDE841F0-334B-4F5D-90E2-461BC62B1CF1}"/>
    <hyperlink ref="C596" r:id="rId572" xr:uid="{BAF8AABE-0A56-4661-A4C7-1B8D1AB37C56}"/>
    <hyperlink ref="B597" r:id="rId573" xr:uid="{4B2615B1-1493-4BA6-8CB9-2364E1167398}"/>
    <hyperlink ref="B598" r:id="rId574" xr:uid="{80107B65-6EDF-4C81-B4AA-31E2D1F0A2AE}"/>
    <hyperlink ref="B599" r:id="rId575" xr:uid="{77153BBD-34AB-4737-816F-977F491C5AD3}"/>
    <hyperlink ref="C599" r:id="rId576" xr:uid="{4A973080-BA72-4CC4-BE96-C3399651F1E8}"/>
    <hyperlink ref="B600" r:id="rId577" xr:uid="{ADE7FA3A-5C75-4CAE-9DEE-EDDBEF065358}"/>
    <hyperlink ref="B601" r:id="rId578" xr:uid="{0D0B3963-ACA5-4D4A-A07F-014433984BD3}"/>
    <hyperlink ref="B602" r:id="rId579" xr:uid="{1648220C-44F6-4089-A81A-35C26D11B711}"/>
    <hyperlink ref="B603" r:id="rId580" xr:uid="{D21DE62F-B85F-488C-85EC-DBDF6E33C4D0}"/>
    <hyperlink ref="B604" r:id="rId581" xr:uid="{6D695381-A37B-4BD8-A77F-E68DC94F4226}"/>
    <hyperlink ref="B605" r:id="rId582" xr:uid="{BB7AC054-73D6-4C40-A195-86642BFAA6A5}"/>
    <hyperlink ref="B606" r:id="rId583" xr:uid="{43D562B2-9B9E-4FBC-B4A2-1B7E531A4BB2}"/>
    <hyperlink ref="B607" r:id="rId584" xr:uid="{C5929CBA-1C50-4C25-8208-BCA2CEB6AFCB}"/>
    <hyperlink ref="B608" r:id="rId585" xr:uid="{9538DEDA-D09B-48BA-817E-1E732182A975}"/>
    <hyperlink ref="B609" r:id="rId586" xr:uid="{50716A46-1601-4621-B071-54C0C3E5BD2B}"/>
    <hyperlink ref="B610" r:id="rId587" xr:uid="{83A5D986-74FF-4157-AD52-56410BFC27F0}"/>
    <hyperlink ref="B611" r:id="rId588" xr:uid="{F52E994A-1BD3-4877-BAED-6280F6D9E4C1}"/>
    <hyperlink ref="C612" r:id="rId589" xr:uid="{0C8CF1E7-8B5E-47F0-9D60-1992F4D2F952}"/>
    <hyperlink ref="B613" r:id="rId590" xr:uid="{C250812C-8012-4F5B-A0C0-12A3C19F3244}"/>
    <hyperlink ref="B614" r:id="rId591" xr:uid="{D5219966-1F43-4210-A384-5B54FE96E531}"/>
    <hyperlink ref="B615" r:id="rId592" xr:uid="{CC75B014-376C-4742-BE05-A35EA4647EAD}"/>
    <hyperlink ref="B616" r:id="rId593" xr:uid="{58127601-6624-43A4-9FFC-1B8F3201E630}"/>
    <hyperlink ref="B618" r:id="rId594" xr:uid="{F1F8CCD4-E58F-49F6-9AAE-20C18A7478EF}"/>
    <hyperlink ref="B88" r:id="rId595" xr:uid="{84CE0205-A0ED-4A92-B164-037B26BDA351}"/>
    <hyperlink ref="B108" r:id="rId596" xr:uid="{3116E94A-17CE-4373-8EBD-41E892C4C19C}"/>
    <hyperlink ref="B125" r:id="rId597" xr:uid="{C89998D8-D458-4C67-BDB6-492502F8AA70}"/>
    <hyperlink ref="B343" r:id="rId598" xr:uid="{CEBB6093-C87C-42D8-886B-BC9102275457}"/>
    <hyperlink ref="B372" r:id="rId599" xr:uid="{8643F91B-1F23-4795-B90B-0D836B303AA1}"/>
    <hyperlink ref="B208" r:id="rId600" xr:uid="{0370651B-C94A-4DE1-BE1C-2D5073ECCA05}"/>
    <hyperlink ref="B215" r:id="rId601" xr:uid="{6378B3CB-5B1D-45F8-8528-BBD5AA23CBF2}"/>
    <hyperlink ref="B561" r:id="rId602" xr:uid="{33CE87A3-CA0D-4550-9B60-4DB33724EB43}"/>
    <hyperlink ref="B617" r:id="rId603" xr:uid="{E0DC28D8-4968-4B10-AAAD-3A929D60CA3D}"/>
    <hyperlink ref="C617" r:id="rId604" xr:uid="{3E2C8936-4287-4C9A-8A88-5DB78AF73A44}"/>
    <hyperlink ref="B559" r:id="rId605" xr:uid="{2261C5D1-718D-4DFC-929A-5998596BCFB6}"/>
    <hyperlink ref="B265" r:id="rId606" xr:uid="{1D893C32-6D04-4E15-8D60-80594371E8EC}"/>
    <hyperlink ref="B340" r:id="rId607" xr:uid="{FFF184D5-EEC1-4417-B7AD-AA1A17F64997}"/>
    <hyperlink ref="B325" r:id="rId608" xr:uid="{53008AA9-042F-4BED-B353-CE9D122AE70C}"/>
    <hyperlink ref="B456" r:id="rId609" xr:uid="{D8C2A9BD-4180-47FF-B550-24B587B5CFBF}"/>
    <hyperlink ref="B90" r:id="rId610" xr:uid="{7C22C361-DD57-44DA-91EA-DF065D0E6DB1}"/>
    <hyperlink ref="B473" r:id="rId611" xr:uid="{E84652D1-0F7E-4096-9282-5CD10DA175E5}"/>
    <hyperlink ref="B376" r:id="rId612" xr:uid="{090EA898-40F5-40F9-99A2-7D71196A8C3F}"/>
    <hyperlink ref="B334" r:id="rId613" xr:uid="{3973B45C-5010-4591-B821-76902933DE71}"/>
    <hyperlink ref="B168" r:id="rId614" xr:uid="{9252C175-7A5C-4BC8-9071-E92ABB244845}"/>
    <hyperlink ref="B79" r:id="rId615" xr:uid="{BA1BD4DE-235E-49E9-9F56-B42297EE51ED}"/>
    <hyperlink ref="B92" r:id="rId616" xr:uid="{ADD7E32B-B893-4438-94AD-9CE13C5467B5}"/>
    <hyperlink ref="B364" r:id="rId617" xr:uid="{70FBCABD-E47D-4ADE-AA52-02A696A7009F}"/>
    <hyperlink ref="B297" r:id="rId618" xr:uid="{82E996A3-E68C-4607-8F50-1C5A97110083}"/>
    <hyperlink ref="B361" r:id="rId619" xr:uid="{F4DEBB12-6CC9-4CC3-BE31-B83FE14B501C}"/>
    <hyperlink ref="B363" r:id="rId620" xr:uid="{7C0C9FCD-A000-46D1-A59C-C6D3A1AB2E19}"/>
    <hyperlink ref="B550" r:id="rId621" xr:uid="{0647F2E7-8664-4097-AA96-66AD7A936628}"/>
    <hyperlink ref="B450" r:id="rId622" xr:uid="{56DF3C0A-DDA1-430C-B6EC-337408FD0F9E}"/>
    <hyperlink ref="B282" r:id="rId623" xr:uid="{D0754383-8F1C-497E-B113-AF727158DDFF}"/>
    <hyperlink ref="B466" r:id="rId624" xr:uid="{EB609510-D029-43F8-87C3-F7EAAD8633E8}"/>
    <hyperlink ref="B346" r:id="rId625" xr:uid="{8407FB35-55E2-4580-B676-AA74D72CC706}"/>
    <hyperlink ref="B461" r:id="rId626" xr:uid="{619FCF7E-F2A7-41EF-9050-BDA2AA0A2450}"/>
    <hyperlink ref="B342" r:id="rId627" xr:uid="{5243ED40-45A8-492E-9B96-ACE28FE0E6D1}"/>
    <hyperlink ref="B71" r:id="rId628" xr:uid="{6D974173-55ED-43B6-B090-5DA3AF034619}"/>
    <hyperlink ref="B80" r:id="rId629" xr:uid="{4A762196-2DC5-4F3E-80E3-D63E0BC5DA06}"/>
    <hyperlink ref="B275" r:id="rId630" xr:uid="{4D5F0320-C858-4E66-801E-6B4D2D575BE7}"/>
    <hyperlink ref="B240" r:id="rId631" xr:uid="{0833E4AE-BCCB-4C76-B721-15F651D0EB23}"/>
    <hyperlink ref="B231" r:id="rId632" xr:uid="{80B0B91E-0C17-4A5D-BA69-BDF9C4C7C92F}"/>
    <hyperlink ref="B411" r:id="rId633" display="iQ300 Düz Davlumbaz, 60cm, 649m3, Siyah Cam" xr:uid="{FC1A458D-32C4-4EA4-A735-4A00F4A33B7B}"/>
    <hyperlink ref="B412" r:id="rId634" xr:uid="{0145D7F7-4C13-4DF6-905C-A998F9BD5F70}"/>
    <hyperlink ref="B413" r:id="rId635" xr:uid="{4EF2B4FC-DCE5-41F4-9CBF-AFDF94B2EEC7}"/>
    <hyperlink ref="C184" r:id="rId636" xr:uid="{D25AAD54-6E63-4399-850B-6EA92F70191C}"/>
    <hyperlink ref="B184" r:id="rId637" xr:uid="{2A060A41-362C-4C0D-AF87-15B4537462CC}"/>
    <hyperlink ref="C313" r:id="rId638" xr:uid="{C83E6A61-E496-42B5-AE45-11A029619184}"/>
    <hyperlink ref="B121" r:id="rId639" xr:uid="{B82A1D4D-9BCC-4860-95F4-A7285D325191}"/>
    <hyperlink ref="B13" r:id="rId640" xr:uid="{FBA643B1-100E-4F96-B8EA-BD2C7B9558A3}"/>
    <hyperlink ref="B16" r:id="rId641" xr:uid="{B176C8F5-0DBA-4630-9201-740B34E369C9}"/>
    <hyperlink ref="B619" r:id="rId642" xr:uid="{CAD1F0DC-3CAE-4FCB-96E7-0373BD7507C5}"/>
    <hyperlink ref="C619" r:id="rId643" xr:uid="{FDD8F629-58E2-4754-AE87-163E14174599}"/>
    <hyperlink ref="B141" r:id="rId644" xr:uid="{0572B10E-0A2D-4953-B6A5-FB56F433D5F7}"/>
    <hyperlink ref="B145" r:id="rId645" xr:uid="{6EEE3A86-A2A5-4CB3-82F3-F656696A7C4E}"/>
    <hyperlink ref="B307" r:id="rId646" xr:uid="{1562CA62-DE96-44C5-B6C3-D4DB59AFD6E5}"/>
    <hyperlink ref="B368" r:id="rId647" display="iQ300 Düz Davlumbaz, 60cm, 368m3, Inox" xr:uid="{7138964E-4F9D-4266-9AB8-A9FE9D13A0EF}"/>
    <hyperlink ref="B552" r:id="rId648" xr:uid="{0C107AB0-A8C6-48E8-B597-79288742434B}"/>
    <hyperlink ref="B471" r:id="rId649" xr:uid="{A335921A-9FC2-4BA3-A842-2D337F04C536}"/>
    <hyperlink ref="B486" r:id="rId650" xr:uid="{81BB5160-D492-4238-930B-C5B21A8F0EB5}"/>
    <hyperlink ref="B625" r:id="rId651" xr:uid="{E47EF4B2-D7B8-4365-8CC7-7B2571635F25}"/>
    <hyperlink ref="B620" r:id="rId652" display="iQ700 Çamaşır Makinesi, 11kg/1400devir, intelligentDosing, Gümüş" xr:uid="{E455818D-4B61-4CFA-B406-C010B352BDCF}"/>
    <hyperlink ref="B621" r:id="rId653" xr:uid="{366E036B-36FD-4EA3-8DD3-BE3799ED5686}"/>
    <hyperlink ref="B626" r:id="rId654" xr:uid="{E4CC85C7-F28F-41DD-9609-98F5B0987ADA}"/>
    <hyperlink ref="B627" r:id="rId655" xr:uid="{7051FFE8-CA99-4269-A925-BCE3401AD347}"/>
    <hyperlink ref="C627" r:id="rId656" xr:uid="{DD16739F-DAAF-41B2-9E8B-91574E380888}"/>
    <hyperlink ref="B628" r:id="rId657" xr:uid="{3C720FA7-068F-410F-900E-B95F1DF3CF38}"/>
    <hyperlink ref="B629" r:id="rId658" display="iQ700 Gazlı Ocak, 60cm, Seramik, Siyah, Döküm" xr:uid="{E0C13CFB-4CC9-4337-8B1F-AFE1A0ACAC1C}"/>
    <hyperlink ref="B630" r:id="rId659" xr:uid="{323830EC-4D2F-4747-A6E6-DD9BC849C594}"/>
    <hyperlink ref="B631" r:id="rId660" xr:uid="{D6A9F1C1-D3C3-4765-8A2B-D75253CE5486}"/>
    <hyperlink ref="B632" r:id="rId661" xr:uid="{723F722F-66E1-4E15-A6B7-400EF5A819E0}"/>
    <hyperlink ref="B633" r:id="rId662" xr:uid="{18A128A2-1173-4C28-BB6B-5EC50FF59989}"/>
    <hyperlink ref="B622" r:id="rId663" xr:uid="{A6569569-6786-47B0-AB1C-1428021BFE23}"/>
    <hyperlink ref="B623" r:id="rId664" xr:uid="{E9E9C882-F19C-456B-941C-C94FF63148C2}"/>
    <hyperlink ref="B624" r:id="rId665" xr:uid="{709F4CC3-BD71-418E-951A-A10F80F9BD66}"/>
    <hyperlink ref="B635" r:id="rId666" xr:uid="{567FF25C-6015-4979-90BA-329A021C97CB}"/>
    <hyperlink ref="B636" r:id="rId667" xr:uid="{896540A8-6671-49BA-8205-3ABB06545481}"/>
    <hyperlink ref="B640" r:id="rId668" xr:uid="{748BD512-BC27-4EF7-A2DF-4B764788A725}"/>
    <hyperlink ref="B641" r:id="rId669" xr:uid="{2C46A1BA-2B01-4BD3-898F-DE9F23DE86E4}"/>
    <hyperlink ref="B642" r:id="rId670" xr:uid="{980EE1F7-644A-4633-98D0-FD5653455E28}"/>
    <hyperlink ref="B643" r:id="rId671" xr:uid="{829E5D3B-4EDA-4CA5-BD94-BFED67E9C3E8}"/>
    <hyperlink ref="B644" r:id="rId672" xr:uid="{011853A7-18B1-4098-B5B6-48C4AA8611B8}"/>
    <hyperlink ref="B645" r:id="rId673" xr:uid="{557E156C-D0A9-46E9-8AA6-D5A0FFB5209A}"/>
    <hyperlink ref="B646" r:id="rId674" xr:uid="{69475A00-64B0-4039-892E-15A3A341516F}"/>
    <hyperlink ref="B647" r:id="rId675" xr:uid="{00F96397-BDCE-47D7-912E-195A8C638F65}"/>
    <hyperlink ref="B648" r:id="rId676" xr:uid="{211B98B4-95AF-4487-94B9-512E4CCA01CD}"/>
    <hyperlink ref="B649" r:id="rId677" xr:uid="{CEF493C0-25B4-41CF-9CCE-3BD205023C12}"/>
    <hyperlink ref="B639" r:id="rId678" xr:uid="{BD785CD6-32BB-4C56-9537-4B0BAFF25338}"/>
    <hyperlink ref="B650" r:id="rId679" display="iQ300 Solo Bulaşık Makinesi, autoOpen dry, Beyaz" xr:uid="{60976CA4-38BA-47C9-92C2-410DA4AEFF4E}"/>
    <hyperlink ref="B651" r:id="rId680" xr:uid="{E350EADA-3DED-4E99-8D1C-3C158117BC04}"/>
    <hyperlink ref="B652" r:id="rId681" xr:uid="{A6AB0B38-CEE6-49AC-AC0A-CA3A2131DDB8}"/>
    <hyperlink ref="B653" r:id="rId682" xr:uid="{1D5D856F-7D89-4B4E-9053-B907F98CB4F1}"/>
    <hyperlink ref="B654" r:id="rId683" display="iQ300 Solo Bulaşık Makinesi, Inox" xr:uid="{84E20DFD-46CE-45CE-8053-B44A0022EA80}"/>
  </hyperlinks>
  <pageMargins left="0.7" right="0.7" top="0.75" bottom="0.75" header="0.3" footer="0.3"/>
  <pageSetup paperSize="9" orientation="portrait" verticalDpi="0" r:id="rId6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2026-10-12T11:00:26Z</dcterms:modified>
</cp:coreProperties>
</file>