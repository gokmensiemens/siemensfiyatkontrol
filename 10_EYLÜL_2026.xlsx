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96" documentId="8_{04D112BD-6BD0-48D2-BCD0-B02DB0158664}" xr6:coauthVersionLast="47" xr6:coauthVersionMax="47" xr10:uidLastSave="{50FE8473-F6CC-4C7E-8AD4-481AA2FBCAF2}"/>
  <bookViews>
    <workbookView xWindow="-120" yWindow="-120" windowWidth="29040" windowHeight="15720" firstSheet="1" activeTab="1" xr2:uid="{1E52CA65-F887-4B64-9670-ADEB1436F142}"/>
  </bookViews>
  <sheets>
    <sheet name="HESAPLAYICI" sheetId="2" state="hidden" r:id="rId1"/>
    <sheet name="FİYAT" sheetId="13" r:id="rId2"/>
    <sheet name="Bundle Kampanya" sheetId="12" r:id="rId3"/>
    <sheet name="ÜRÜNLER" sheetId="7" r:id="rId4"/>
  </sheets>
  <externalReferences>
    <externalReference r:id="rId5"/>
  </externalReferences>
  <definedNames>
    <definedName name="_xlnm._FilterDatabase" localSheetId="1" hidden="1">FİYAT!$A$1:$Z$487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9" i="13" l="1"/>
  <c r="N488" i="13"/>
  <c r="N487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0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37" i="13" s="1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419" i="13" s="1"/>
  <c r="N385" i="13"/>
  <c r="N384" i="13"/>
  <c r="N382" i="13"/>
  <c r="N381" i="13"/>
  <c r="N380" i="13"/>
  <c r="N379" i="13"/>
  <c r="N377" i="13"/>
  <c r="N376" i="13"/>
  <c r="N375" i="13"/>
  <c r="N374" i="13"/>
  <c r="N373" i="13"/>
  <c r="N372" i="13"/>
  <c r="N371" i="13"/>
  <c r="N370" i="13"/>
  <c r="N369" i="13"/>
  <c r="N368" i="13"/>
  <c r="N378" i="13" s="1"/>
  <c r="N366" i="13"/>
  <c r="N365" i="13"/>
  <c r="N364" i="13"/>
  <c r="N363" i="13"/>
  <c r="N362" i="13"/>
  <c r="N361" i="13"/>
  <c r="N367" i="13" s="1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60" i="13" s="1"/>
  <c r="N303" i="13"/>
  <c r="N302" i="13"/>
  <c r="N301" i="13"/>
  <c r="N300" i="13"/>
  <c r="N299" i="13"/>
  <c r="N298" i="13"/>
  <c r="N297" i="13"/>
  <c r="N296" i="13"/>
  <c r="N295" i="13"/>
  <c r="N294" i="13"/>
  <c r="N292" i="13"/>
  <c r="N291" i="13"/>
  <c r="N290" i="13"/>
  <c r="N289" i="13"/>
  <c r="N288" i="13"/>
  <c r="N287" i="13"/>
  <c r="N286" i="13"/>
  <c r="N285" i="13"/>
  <c r="N284" i="13"/>
  <c r="N283" i="13"/>
  <c r="N282" i="13"/>
  <c r="N293" i="13" s="1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81" i="13" s="1"/>
  <c r="N231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30" i="13" s="1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211" i="13" s="1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70" i="13" s="1"/>
  <c r="N151" i="13"/>
  <c r="N150" i="13"/>
  <c r="N149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48" i="13" s="1"/>
  <c r="N120" i="13"/>
  <c r="N119" i="13"/>
  <c r="N118" i="13"/>
  <c r="N117" i="13"/>
  <c r="N116" i="13"/>
  <c r="N115" i="13"/>
  <c r="N114" i="13"/>
  <c r="N113" i="13"/>
  <c r="N112" i="13"/>
  <c r="N121" i="13" s="1"/>
  <c r="N111" i="13"/>
  <c r="N110" i="13"/>
  <c r="N109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108" i="13" s="1"/>
  <c r="N77" i="13"/>
  <c r="N76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B8E29AE8-4286-46E8-AED7-371C68A9190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<sst xmlns="http://schemas.openxmlformats.org/spreadsheetml/2006/main" count="4436" uniqueCount="1850">
  <si>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</si>
  <si>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</si>
  <si>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</si>
  <si>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</si>
  <si>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</si>
  <si>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</si>
  <si>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</si>
  <si>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</si>
  <si>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</si>
  <si>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</si>
  <si>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</si>
  <si>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</si>
  <si>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</si>
  <si>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</si>
  <si>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</si>
  <si>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</si>
  <si>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</si>
  <si>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</si>
  <si>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</si>
  <si>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</si>
  <si>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</si>
  <si>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</si>
  <si>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</si>
  <si>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</si>
  <si>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</si>
  <si>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</si>
  <si>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</si>
  <si>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</si>
  <si>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</si>
  <si>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</si>
  <si>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</si>
  <si>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</si>
  <si>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</si>
  <si>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</si>
  <si>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</si>
  <si>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</si>
  <si>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</si>
  <si>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</si>
  <si>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</si>
  <si>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</si>
  <si>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</si>
  <si>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</si>
  <si>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</si>
  <si>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</si>
  <si>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</si>
  <si>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</si>
  <si>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</si>
  <si>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</si>
  <si>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</si>
  <si>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</si>
  <si>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</si>
  <si>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</si>
  <si>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</si>
  <si>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</si>
  <si>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</si>
  <si>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</si>
  <si>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</si>
  <si>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</si>
  <si>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</si>
  <si>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</si>
  <si>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</si>
  <si>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</si>
  <si>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</si>
  <si>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</si>
  <si>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</si>
  <si>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</si>
  <si>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</si>
  <si>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</si>
  <si>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</si>
  <si>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</si>
  <si>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</si>
  <si>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</si>
  <si>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</si>
  <si>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</si>
  <si>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</si>
  <si>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</si>
  <si>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</si>
  <si>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</si>
  <si>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</si>
  <si>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</si>
  <si>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</si>
  <si>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</si>
  <si>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</si>
  <si>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</si>
  <si>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</si>
  <si>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</si>
  <si>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</si>
  <si>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</si>
  <si>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</si>
  <si>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</si>
  <si>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</si>
  <si>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</si>
  <si>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</si>
  <si>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</si>
  <si>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</si>
  <si>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</si>
  <si>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</si>
  <si>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</si>
  <si>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</si>
  <si>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</si>
  <si>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</si>
  <si>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</si>
  <si>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</si>
  <si>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</si>
  <si>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</si>
  <si>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</si>
  <si>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</si>
  <si>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</si>
  <si>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</si>
  <si>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</si>
  <si>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</si>
  <si>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</si>
  <si>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</si>
  <si>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</si>
  <si>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</si>
  <si>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</si>
  <si>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</si>
  <si>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</si>
  <si>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</si>
  <si>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</si>
  <si>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</si>
  <si>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</si>
  <si>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</si>
  <si>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</si>
  <si>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</si>
  <si>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</si>
  <si>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</si>
  <si>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</si>
  <si>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</si>
  <si>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</si>
  <si>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</si>
  <si>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</si>
  <si>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</si>
  <si>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</si>
  <si>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</si>
  <si>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</si>
  <si>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</si>
  <si>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</si>
  <si>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</si>
  <si>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</si>
  <si>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</si>
  <si>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</si>
  <si>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</si>
  <si>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</si>
  <si>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</si>
  <si>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</si>
  <si>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</si>
  <si>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</si>
  <si>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</si>
  <si>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</si>
  <si>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</si>
  <si>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</si>
  <si>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</si>
  <si>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</si>
  <si>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</si>
  <si>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</si>
  <si>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</si>
  <si>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</si>
  <si>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</si>
  <si>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</si>
  <si>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</si>
  <si>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</si>
  <si>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</si>
  <si>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</si>
  <si>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</si>
  <si>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</si>
  <si>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</si>
  <si>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</si>
  <si>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</si>
  <si>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</si>
  <si>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</si>
  <si>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</si>
  <si>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</si>
  <si>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</si>
  <si>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</si>
  <si>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</si>
  <si>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</si>
  <si>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</si>
  <si>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</si>
  <si>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</si>
  <si>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</si>
  <si>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</si>
  <si>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</si>
  <si>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</si>
  <si>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</si>
  <si>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</si>
  <si>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</si>
  <si>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</si>
  <si>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</si>
  <si>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</si>
  <si>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</si>
  <si>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</si>
  <si>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</si>
  <si>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</si>
  <si>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</si>
  <si>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</si>
  <si>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</si>
  <si>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</si>
  <si>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</si>
  <si>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</si>
  <si>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</si>
  <si>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</si>
  <si>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</si>
  <si>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</si>
  <si>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</si>
  <si>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</si>
  <si>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</si>
  <si>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</si>
  <si>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</si>
  <si>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</si>
  <si>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</si>
  <si>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</si>
  <si>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</si>
  <si>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</si>
  <si>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</si>
  <si>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</si>
  <si>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</si>
  <si>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</si>
  <si>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</si>
  <si>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</si>
  <si>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</si>
  <si>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</si>
  <si>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</si>
  <si>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</si>
  <si>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</si>
  <si>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</si>
  <si>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</si>
  <si>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</si>
  <si>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</si>
  <si>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</si>
  <si>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</si>
  <si>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</si>
  <si>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</si>
  <si>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</si>
  <si>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</si>
  <si>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</si>
  <si>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</si>
  <si>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</si>
  <si>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</si>
  <si>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</si>
  <si>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</si>
  <si>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</si>
  <si>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</si>
  <si>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</si>
  <si>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</si>
  <si>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</si>
  <si>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</si>
  <si>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</si>
  <si>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</si>
  <si>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</si>
  <si>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</si>
  <si>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</si>
  <si>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</si>
  <si>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</si>
  <si>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</si>
  <si>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</si>
  <si>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</si>
  <si>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</si>
  <si>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</si>
  <si>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</si>
  <si>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</si>
  <si>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</si>
  <si>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</si>
  <si>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</si>
  <si>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</si>
  <si>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</si>
  <si>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</si>
  <si>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</si>
  <si>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</si>
  <si>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</si>
  <si>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</si>
  <si>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</si>
  <si>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</si>
  <si>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</si>
  <si>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</si>
  <si>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</si>
  <si>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</si>
  <si>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</si>
  <si>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</si>
  <si>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</si>
  <si>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</si>
  <si>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</si>
  <si>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</si>
  <si>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</si>
  <si>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</si>
  <si>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</si>
  <si>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</si>
  <si>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</si>
  <si>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</si>
  <si>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</si>
  <si>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</si>
  <si>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</si>
  <si>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</si>
  <si>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</si>
  <si>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</si>
  <si>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</si>
  <si>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</si>
  <si>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</si>
  <si>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</si>
  <si>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</si>
  <si>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</si>
  <si>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</si>
  <si>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</si>
  <si>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</si>
  <si>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</si>
  <si>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</si>
  <si>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</si>
  <si>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</si>
  <si>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</si>
  <si>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</si>
  <si>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</si>
  <si>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</si>
  <si>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</si>
  <si>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</si>
  <si>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</si>
  <si>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</si>
  <si>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</si>
  <si>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</si>
  <si>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</si>
  <si>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</si>
  <si>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</si>
  <si>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</si>
  <si>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</si>
  <si>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</si>
  <si>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</si>
  <si>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</si>
  <si>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</si>
  <si>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</si>
  <si>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</si>
  <si>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</si>
  <si>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</si>
  <si>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</si>
  <si>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</si>
  <si>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</si>
  <si>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</si>
  <si>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</si>
  <si>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</si>
  <si>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</si>
  <si>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</si>
  <si>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</si>
  <si>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</si>
  <si>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</si>
  <si>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</si>
  <si>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</si>
  <si>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</si>
  <si>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</si>
  <si>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</si>
  <si>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</si>
  <si>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</si>
  <si>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</si>
  <si>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</si>
  <si>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</si>
  <si>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</si>
  <si>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</si>
  <si>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</si>
  <si>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</si>
  <si>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</si>
  <si>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</si>
  <si>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</si>
  <si>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</si>
  <si>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</si>
  <si>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</si>
  <si>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</si>
  <si>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</si>
  <si>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</si>
  <si>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</si>
  <si>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</si>
  <si>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</si>
  <si>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</si>
  <si>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</si>
  <si>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</si>
  <si>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</si>
  <si>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</si>
  <si>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</si>
  <si>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</si>
  <si>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</si>
  <si>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</si>
  <si>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</si>
  <si>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</si>
  <si>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</si>
  <si>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</si>
  <si>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</si>
  <si>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</si>
  <si>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</si>
  <si>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</si>
  <si>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</si>
  <si>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</si>
  <si>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</si>
  <si>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</si>
  <si>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</si>
  <si>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</si>
  <si>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</si>
  <si>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</si>
  <si>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</si>
  <si>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</si>
  <si>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</si>
  <si>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</si>
  <si>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</si>
  <si>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</si>
  <si>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</si>
  <si>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</si>
  <si>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</si>
  <si>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</si>
  <si>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</si>
  <si>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</si>
  <si>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</si>
  <si>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</si>
  <si>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</si>
  <si>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</si>
  <si>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</si>
  <si>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</si>
  <si>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</si>
  <si>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</si>
  <si>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</si>
  <si>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</si>
  <si>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</si>
  <si>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</si>
  <si>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</si>
  <si>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</si>
  <si>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</si>
  <si>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</si>
  <si>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</si>
  <si>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</si>
  <si>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</si>
  <si>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</si>
  <si>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</si>
  <si>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</si>
  <si>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</si>
  <si>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</si>
  <si>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</si>
  <si>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</si>
  <si>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</si>
  <si>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</si>
  <si>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</si>
  <si>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</si>
  <si>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</si>
  <si>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</si>
  <si>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</si>
  <si>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</si>
  <si>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</si>
  <si>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</si>
  <si>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</si>
  <si>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</si>
  <si>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</si>
  <si>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</si>
  <si>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</si>
  <si>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</si>
  <si>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</si>
  <si>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</si>
  <si>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</si>
  <si>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</si>
  <si>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</si>
  <si>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</si>
  <si>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</si>
  <si>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</si>
  <si>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</si>
  <si>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</si>
  <si>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</si>
  <si>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</si>
  <si>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</si>
  <si>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</si>
  <si>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</si>
  <si>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</si>
  <si>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</si>
  <si>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</si>
  <si>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</si>
  <si>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</si>
  <si>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</si>
  <si>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</si>
  <si>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</si>
  <si>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</si>
  <si>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</si>
  <si>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</si>
  <si>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</si>
  <si>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</si>
  <si>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</si>
  <si>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</si>
  <si>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</si>
  <si>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</si>
  <si>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</si>
  <si>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</si>
  <si>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</si>
  <si>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</si>
  <si>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</si>
  <si>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</si>
  <si>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</si>
  <si>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</si>
  <si>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</si>
  <si>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</si>
  <si>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</si>
  <si>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</si>
  <si>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</si>
  <si>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</si>
  <si>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</si>
  <si>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</si>
  <si>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</si>
  <si>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</si>
  <si>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</si>
  <si>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</si>
  <si>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</si>
  <si>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</si>
  <si>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</si>
  <si>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</si>
  <si>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</si>
  <si>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</si>
  <si>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</si>
  <si>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</si>
  <si>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</si>
  <si>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</si>
  <si>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</si>
  <si>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</si>
  <si>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</si>
  <si>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</si>
  <si>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</si>
  <si>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</si>
  <si>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</si>
  <si>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</si>
  <si>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</si>
  <si>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</si>
  <si>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</si>
  <si>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</si>
  <si>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</si>
  <si>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</si>
  <si>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</si>
  <si>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</si>
  <si>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</si>
  <si>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</si>
  <si>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</si>
  <si>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</si>
  <si>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</si>
  <si>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</si>
  <si>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</si>
  <si>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</si>
  <si>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</si>
  <si>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</si>
  <si>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</si>
  <si>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</si>
  <si>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</si>
  <si>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</si>
  <si>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</si>
  <si>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</si>
  <si>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</si>
  <si>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</si>
  <si>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</si>
  <si>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</si>
  <si>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</si>
  <si>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</si>
  <si>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</si>
  <si>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</si>
  <si>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</si>
  <si>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</si>
  <si>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</si>
  <si>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</si>
  <si>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</si>
  <si>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</si>
  <si>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</si>
  <si>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</si>
  <si>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</si>
  <si>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</si>
  <si>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</si>
  <si>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</si>
  <si>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</si>
  <si>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</si>
  <si>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</si>
  <si>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</si>
  <si>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</si>
  <si>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</si>
  <si>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</si>
  <si>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</si>
  <si>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</si>
  <si>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</si>
  <si>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</si>
  <si>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</si>
  <si>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</si>
  <si>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</si>
  <si>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</si>
  <si>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</si>
  <si>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</si>
  <si>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</si>
  <si>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</si>
  <si>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</si>
  <si>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</si>
  <si>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</si>
  <si>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</si>
  <si>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</si>
  <si>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</si>
  <si>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</si>
  <si>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</si>
  <si>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</si>
  <si>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</si>
  <si>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</si>
  <si>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</si>
  <si>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</si>
  <si>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</si>
  <si>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</si>
  <si>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</si>
  <si>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</si>
  <si>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</si>
  <si>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</si>
  <si>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</si>
  <si>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</si>
  <si>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</si>
  <si>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</si>
  <si>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</si>
  <si>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</si>
  <si>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</si>
  <si>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</si>
  <si>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</si>
  <si>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</si>
  <si>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</si>
  <si>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</si>
  <si>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</si>
  <si>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</si>
  <si>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</si>
  <si>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</si>
  <si>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</si>
  <si>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</si>
  <si>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</si>
  <si>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</si>
  <si>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</si>
  <si>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</si>
  <si>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</si>
  <si>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</si>
  <si>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</si>
  <si>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</si>
  <si>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</si>
  <si>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</si>
  <si>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</si>
  <si>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</si>
  <si>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</si>
  <si>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</si>
  <si>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</si>
  <si>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</si>
  <si>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</si>
  <si>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</si>
  <si>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</si>
  <si>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</si>
  <si>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</si>
  <si>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</si>
  <si>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</si>
  <si>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</si>
  <si>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</si>
  <si>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</si>
  <si>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</si>
  <si>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</si>
  <si>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</si>
  <si>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</si>
  <si>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</si>
  <si>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</si>
  <si>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</si>
  <si>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</si>
  <si>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</si>
  <si>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</si>
  <si>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</si>
  <si>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</si>
  <si>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</si>
  <si>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</si>
  <si>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</si>
  <si>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</si>
  <si>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</si>
  <si>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</si>
  <si>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</si>
  <si>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</si>
  <si>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</si>
  <si>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</si>
  <si>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</si>
  <si>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</si>
  <si>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</si>
  <si>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</si>
  <si>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</si>
  <si>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</si>
  <si>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</si>
  <si>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</si>
  <si>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</si>
  <si>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</si>
  <si>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</si>
  <si>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</si>
  <si>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</si>
  <si>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</si>
  <si>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</si>
  <si>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</si>
  <si>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</si>
  <si>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</si>
  <si>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</si>
  <si>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</si>
  <si>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</si>
  <si>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</si>
  <si>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</si>
  <si>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</si>
  <si>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</si>
  <si>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</si>
  <si>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</si>
  <si>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</si>
  <si>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</si>
  <si>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</si>
  <si>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</si>
  <si>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</si>
  <si>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</si>
  <si>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</si>
  <si>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</si>
  <si>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</si>
  <si>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</si>
  <si>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</si>
  <si>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</si>
  <si>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</si>
  <si>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</si>
  <si>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</si>
  <si>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</si>
  <si>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</si>
  <si>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</si>
  <si>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</si>
  <si>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</si>
  <si>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</si>
  <si>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</si>
  <si>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</si>
  <si>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</si>
  <si>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</si>
  <si>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</si>
  <si>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</si>
  <si>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</si>
  <si>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</si>
  <si>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</si>
  <si>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</si>
  <si>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</si>
  <si>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</si>
  <si>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</si>
  <si>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</si>
  <si>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</si>
  <si>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</si>
  <si>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</si>
  <si>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</si>
  <si>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</si>
  <si>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</si>
  <si>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</si>
  <si>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</si>
  <si>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</si>
  <si>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</si>
  <si>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</si>
  <si>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</si>
  <si>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</si>
  <si>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</si>
  <si>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</si>
  <si>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</si>
  <si>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</si>
  <si>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</si>
  <si>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</si>
  <si>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</si>
  <si>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</si>
  <si>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</si>
  <si>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</si>
  <si>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</si>
  <si>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</si>
  <si>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</si>
  <si>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</si>
  <si>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</si>
  <si>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</si>
  <si>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</si>
  <si>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</si>
  <si>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</si>
  <si>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</si>
  <si>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</si>
  <si>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</si>
  <si>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</si>
  <si>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</si>
  <si>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</si>
  <si>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</si>
  <si>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</si>
  <si>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</si>
  <si>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</si>
  <si>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</si>
  <si>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</si>
  <si>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</si>
  <si>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</si>
  <si>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</si>
  <si>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</si>
  <si>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</si>
  <si>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</si>
  <si>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</si>
  <si>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</si>
  <si>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</si>
  <si>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</si>
  <si>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</si>
  <si>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</si>
  <si>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</si>
  <si>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</si>
  <si>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</si>
  <si>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</si>
  <si>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</si>
  <si>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</si>
  <si>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</si>
  <si>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</si>
  <si>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</si>
  <si>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</si>
  <si>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</si>
  <si>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</si>
  <si>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</si>
  <si>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</si>
  <si>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</si>
  <si>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</si>
  <si>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</si>
  <si>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</si>
  <si>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</si>
  <si>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</si>
  <si>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</si>
  <si>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</si>
  <si>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</si>
  <si>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</si>
  <si>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</si>
  <si>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</si>
  <si>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</si>
  <si>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</si>
  <si>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</si>
  <si>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</si>
  <si>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</si>
  <si>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</si>
  <si>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</si>
  <si>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</si>
  <si>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</si>
  <si>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</si>
  <si>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</si>
  <si>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</si>
  <si>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</si>
  <si>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</si>
  <si>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</si>
  <si>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</si>
  <si>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</si>
  <si>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</si>
  <si>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</si>
  <si>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</si>
  <si>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</si>
  <si>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</si>
  <si>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</si>
  <si>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</si>
  <si>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</si>
  <si>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</si>
  <si>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</si>
  <si>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</si>
  <si>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</si>
  <si>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</si>
  <si>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</si>
  <si>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</si>
  <si>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</si>
  <si>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</si>
  <si>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</si>
  <si>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</si>
  <si>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</si>
  <si>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</si>
  <si>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</si>
  <si>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</si>
  <si>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</si>
  <si>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</si>
  <si>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</si>
  <si>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</si>
  <si>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</si>
  <si>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</si>
  <si>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</si>
  <si>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</si>
  <si>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</si>
  <si>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</si>
  <si>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</si>
  <si>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</si>
  <si>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</si>
  <si>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</si>
  <si>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</si>
  <si>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</si>
  <si>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</si>
  <si>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</si>
  <si>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</si>
  <si>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</si>
  <si>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</si>
  <si>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</si>
  <si>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</si>
  <si>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</si>
  <si>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</si>
  <si>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</si>
  <si>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</si>
  <si>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</si>
  <si>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</si>
  <si>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</si>
  <si>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</si>
  <si>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</si>
  <si>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</si>
  <si>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</si>
  <si>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</si>
  <si>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</si>
  <si>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</si>
  <si>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</si>
  <si>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</si>
  <si>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</si>
  <si>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</si>
  <si>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</si>
  <si>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</si>
  <si>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</si>
  <si>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</si>
  <si>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</si>
  <si>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</si>
  <si>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</si>
  <si>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</si>
  <si>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</si>
  <si>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</si>
  <si>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</si>
  <si>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</si>
  <si>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</si>
  <si>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</si>
  <si>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</si>
  <si>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</si>
  <si>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</si>
  <si>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</si>
  <si>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</si>
  <si>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</si>
  <si>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</si>
  <si>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</si>
  <si>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</si>
  <si>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</si>
  <si>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</si>
  <si>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</si>
  <si>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</si>
  <si>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</si>
  <si>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</si>
  <si>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</si>
  <si>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</si>
  <si>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</si>
  <si>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</si>
  <si>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</si>
  <si>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</si>
  <si>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</si>
  <si>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</si>
  <si>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</si>
  <si>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</si>
  <si>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</si>
  <si>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</si>
  <si>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</si>
  <si>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</si>
  <si>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</si>
  <si>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</si>
  <si>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</si>
  <si>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</si>
  <si>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</si>
  <si>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</si>
  <si>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</si>
  <si>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</si>
  <si>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</si>
  <si>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</si>
  <si>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</si>
  <si>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</si>
  <si>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</si>
  <si>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</si>
  <si>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</si>
  <si>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</si>
  <si>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</si>
  <si>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</si>
  <si>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</si>
  <si>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</si>
  <si>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</si>
  <si>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</si>
  <si>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</si>
  <si>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</si>
  <si>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</si>
  <si>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</si>
  <si>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</si>
  <si>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</si>
  <si>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</si>
  <si>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</si>
  <si>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</si>
  <si>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</si>
  <si>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</si>
  <si>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</si>
  <si>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</si>
  <si>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</si>
  <si>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</si>
  <si>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</si>
  <si>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</si>
  <si>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</si>
  <si>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</si>
  <si>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</si>
  <si>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</si>
  <si>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</si>
  <si>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</si>
  <si>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</si>
  <si>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</si>
  <si>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</si>
  <si>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</si>
  <si>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</si>
  <si>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</si>
  <si>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</si>
  <si>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</si>
  <si>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</si>
  <si>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</si>
  <si>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</si>
  <si>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</si>
  <si>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</si>
  <si>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</si>
  <si>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</si>
  <si>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</si>
  <si>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</si>
  <si>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</si>
  <si>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</si>
  <si>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</si>
  <si>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</si>
  <si>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</si>
  <si>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</si>
  <si>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</si>
  <si>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</si>
  <si>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</si>
  <si>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</si>
  <si>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</si>
  <si>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</si>
  <si>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</si>
  <si>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</si>
  <si>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</si>
  <si>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</si>
  <si>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</si>
  <si>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</si>
  <si>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</si>
  <si>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</si>
  <si>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</si>
  <si>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</si>
  <si>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</si>
  <si>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</si>
  <si>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</si>
  <si>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</si>
  <si>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</si>
  <si>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</si>
  <si>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</si>
  <si>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</si>
  <si>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</si>
  <si>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</si>
  <si>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</si>
  <si>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</si>
  <si>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</si>
  <si>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</si>
  <si>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</si>
  <si>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</si>
  <si>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</si>
  <si>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</si>
  <si>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</si>
  <si>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</si>
  <si>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</si>
  <si>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</si>
  <si>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</si>
  <si>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</si>
  <si>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</si>
  <si>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</si>
  <si>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</si>
  <si>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</si>
  <si>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</si>
  <si>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</si>
  <si>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</si>
  <si>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</si>
  <si>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</si>
  <si>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</si>
  <si>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</si>
  <si>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</si>
  <si>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</si>
  <si>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</si>
  <si>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</si>
  <si>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</si>
  <si>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</si>
  <si>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</si>
  <si>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</si>
  <si>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</si>
  <si>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</si>
  <si>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</si>
  <si>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</si>
  <si>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</si>
  <si>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</si>
  <si>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</si>
  <si>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</si>
  <si>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</si>
  <si>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</si>
  <si>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</si>
  <si>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</si>
  <si>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</si>
  <si>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</si>
  <si>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</si>
  <si>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</si>
  <si>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</si>
  <si>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</si>
  <si>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</si>
  <si>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</si>
  <si>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</si>
  <si>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</si>
  <si>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</si>
  <si>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</si>
  <si>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</si>
  <si>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</si>
  <si>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</si>
  <si>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</si>
  <si>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</si>
  <si>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</si>
  <si>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</si>
  <si>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</si>
  <si>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</si>
  <si>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</si>
  <si>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</si>
  <si>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</si>
  <si>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</si>
  <si>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</si>
  <si>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</si>
  <si>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</si>
  <si>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</si>
  <si>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</si>
  <si>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</si>
  <si>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</si>
  <si>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</si>
  <si>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</si>
  <si>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</si>
  <si>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</si>
  <si>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</si>
  <si>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</si>
  <si>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</si>
  <si>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</si>
  <si>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</si>
  <si>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</si>
  <si>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</si>
  <si>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</si>
  <si>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</si>
  <si>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</si>
  <si>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</si>
  <si>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</si>
  <si>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</si>
  <si>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</si>
  <si>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</si>
  <si>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</si>
  <si>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</si>
  <si>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</si>
  <si>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</si>
  <si>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</si>
  <si>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</si>
  <si>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</si>
  <si>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</si>
  <si>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</si>
  <si>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</si>
  <si>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</si>
  <si>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</si>
  <si>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</si>
  <si>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</si>
  <si>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</si>
  <si>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</si>
  <si>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</si>
  <si>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</si>
  <si>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</si>
  <si>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</si>
  <si>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</si>
  <si>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</si>
  <si>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</si>
  <si>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</si>
  <si>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</si>
  <si>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</si>
  <si>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</si>
  <si>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</si>
  <si>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</si>
  <si>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</si>
  <si>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</si>
  <si>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</si>
  <si>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</si>
  <si>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</si>
  <si>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</si>
  <si>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</si>
  <si>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</si>
  <si>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</si>
  <si>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</si>
  <si>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</si>
  <si>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</si>
  <si>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</si>
  <si>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</si>
  <si>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</si>
  <si>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</si>
  <si>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</si>
  <si>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</si>
  <si>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</si>
  <si>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</si>
  <si>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</si>
  <si>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</si>
  <si>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</si>
  <si>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</si>
  <si>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</si>
  <si>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</si>
  <si>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</si>
  <si>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</si>
  <si>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</si>
  <si>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</si>
  <si>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</si>
  <si>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</si>
  <si>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</si>
  <si>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</si>
  <si>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</si>
  <si>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</si>
  <si>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</si>
  <si>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</si>
  <si>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</si>
  <si>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</si>
  <si>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</si>
  <si>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</si>
  <si>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</si>
  <si>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</si>
  <si>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</si>
  <si>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</si>
  <si>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</si>
  <si>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</si>
  <si>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</si>
  <si>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</si>
  <si>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</si>
  <si>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</si>
  <si>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</si>
  <si>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</si>
  <si>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</si>
  <si>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</si>
  <si>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</si>
  <si>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</si>
  <si>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</si>
  <si>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</si>
  <si>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</si>
  <si>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</si>
  <si>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</si>
  <si>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</si>
  <si>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</si>
  <si>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</si>
  <si>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</si>
  <si>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</si>
  <si>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</si>
  <si>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</si>
  <si>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</si>
  <si>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</si>
  <si>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</si>
  <si>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</si>
  <si>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</si>
  <si>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</si>
  <si>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</si>
  <si>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</si>
  <si>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</si>
  <si>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</si>
  <si>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</si>
  <si>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</si>
  <si>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</si>
  <si>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</si>
  <si>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</si>
  <si>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</si>
  <si>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</si>
  <si>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</si>
  <si>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</si>
  <si>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</si>
  <si>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</si>
  <si>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</si>
  <si>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</si>
  <si>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</si>
  <si>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</si>
  <si>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</si>
  <si>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</si>
  <si>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</si>
  <si>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</si>
  <si>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</si>
  <si>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</si>
  <si>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</si>
  <si>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</si>
  <si>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</si>
  <si>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</si>
  <si>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</si>
  <si>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</si>
  <si>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</si>
  <si>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</si>
  <si>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</si>
  <si>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</si>
  <si>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</si>
  <si>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</si>
  <si>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</si>
  <si>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</si>
  <si>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</si>
  <si>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</si>
  <si>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</si>
  <si>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</si>
  <si>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</si>
  <si>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</si>
  <si>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</si>
  <si>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</si>
  <si>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</si>
  <si>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</si>
  <si>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</si>
  <si>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</si>
  <si>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</si>
  <si>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</si>
  <si>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</si>
  <si>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</si>
  <si>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</si>
  <si>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</si>
  <si>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</si>
  <si>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</si>
  <si>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</si>
  <si>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</si>
  <si>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</si>
  <si>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</si>
  <si>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</si>
  <si>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</si>
  <si>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</si>
  <si>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</si>
  <si>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</si>
  <si>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</si>
  <si>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</si>
  <si>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</si>
  <si>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</si>
  <si>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</si>
  <si>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</si>
  <si>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</si>
  <si>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</si>
  <si>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</si>
  <si>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</si>
  <si>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</si>
  <si>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</si>
  <si>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</si>
  <si>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</si>
  <si>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</si>
  <si>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</si>
  <si>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</si>
  <si>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</si>
  <si>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</si>
  <si>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</si>
  <si>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</si>
  <si>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</si>
  <si>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</si>
  <si>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</si>
  <si>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</si>
  <si>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</si>
  <si>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</si>
  <si>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</si>
  <si>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</si>
  <si>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</si>
  <si>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</si>
  <si>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</si>
  <si>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</si>
  <si>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</si>
  <si>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</si>
  <si>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</si>
  <si>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</si>
  <si>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</si>
  <si>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</si>
  <si>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</si>
  <si>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</si>
  <si>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</si>
  <si>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</si>
  <si>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</si>
  <si>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</si>
  <si>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</si>
  <si>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</si>
  <si>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</si>
  <si>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</si>
  <si>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</si>
  <si>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</si>
  <si>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</si>
  <si>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</si>
  <si>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</si>
  <si>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</si>
  <si>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</si>
  <si>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</si>
  <si>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</si>
  <si>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</si>
  <si>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</si>
  <si>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</si>
  <si>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</si>
  <si>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</si>
  <si>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</si>
  <si>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</si>
  <si>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</si>
  <si>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</si>
  <si>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</si>
  <si>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</si>
  <si>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</si>
  <si>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</si>
  <si>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</si>
  <si>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</si>
  <si>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</si>
  <si>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</si>
  <si>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</si>
  <si>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</si>
  <si>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</si>
  <si>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</si>
  <si>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</si>
  <si>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</si>
  <si>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</si>
  <si>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</si>
  <si>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</si>
  <si>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</si>
  <si>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</si>
  <si>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</si>
  <si>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</si>
  <si>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</si>
  <si>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</si>
  <si>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</si>
  <si>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</si>
  <si>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</si>
  <si>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</si>
  <si>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</si>
  <si>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</si>
  <si>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</si>
  <si>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</si>
  <si>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</si>
  <si>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</si>
  <si>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</si>
  <si>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</si>
  <si>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</si>
  <si>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</si>
  <si>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</si>
  <si>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</si>
  <si>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</si>
  <si>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</si>
  <si>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</si>
  <si>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</si>
  <si>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</si>
  <si>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</si>
  <si>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</si>
  <si>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</si>
  <si>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</si>
  <si>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</si>
  <si>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</si>
  <si>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</si>
  <si>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</si>
  <si>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</si>
  <si>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</si>
  <si>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</si>
  <si>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</si>
  <si>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</si>
  <si>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</si>
  <si>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</si>
  <si>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</si>
  <si>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</si>
  <si>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</si>
  <si>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</si>
  <si>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</si>
  <si>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</si>
  <si>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</si>
  <si>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</si>
  <si>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</si>
  <si>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</si>
  <si>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</si>
  <si>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</si>
  <si>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</si>
  <si>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</si>
  <si>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</si>
  <si>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</si>
  <si>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</si>
  <si>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</si>
  <si>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</si>
  <si>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</si>
  <si>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</si>
  <si>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</si>
  <si>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</si>
  <si>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</si>
  <si>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</si>
  <si>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</si>
  <si>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</si>
  <si>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</si>
  <si>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</si>
  <si>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</si>
  <si>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</si>
  <si>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</si>
  <si>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</si>
  <si>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</si>
  <si>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</si>
  <si>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</si>
  <si>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</si>
  <si>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</si>
  <si>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</si>
  <si>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</si>
  <si>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</si>
  <si>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</si>
  <si>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</si>
  <si>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</si>
  <si>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</si>
  <si>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</si>
  <si>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</si>
  <si>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</si>
  <si>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</si>
  <si>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</si>
  <si>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</si>
  <si>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</si>
  <si>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</si>
  <si>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</si>
  <si>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</si>
  <si>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</si>
  <si>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</si>
  <si>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</si>
  <si>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</si>
  <si>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</si>
  <si>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</si>
  <si>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</si>
  <si>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</si>
  <si>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</si>
  <si>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</si>
  <si>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</si>
  <si>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</si>
  <si>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</si>
  <si>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</si>
  <si>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</si>
  <si>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</si>
  <si>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</si>
  <si>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</si>
  <si>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</si>
  <si>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</si>
  <si>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</si>
  <si>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</si>
  <si>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</si>
  <si>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</si>
  <si>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</si>
  <si>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</si>
  <si>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</si>
  <si>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</si>
  <si>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</si>
  <si>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</si>
  <si>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</si>
  <si>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</si>
  <si>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</si>
  <si>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</si>
  <si>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</si>
  <si>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</si>
  <si>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</si>
  <si>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</si>
  <si>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</si>
  <si>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</si>
  <si>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</si>
  <si>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</si>
  <si>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</si>
  <si>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</si>
  <si>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</si>
  <si>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</si>
  <si>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</si>
  <si>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</si>
  <si>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</si>
  <si>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</si>
  <si>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</si>
  <si>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</si>
  <si>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</si>
  <si>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</si>
  <si>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</si>
  <si>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</si>
  <si>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</si>
  <si>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</si>
  <si>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</si>
  <si>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</si>
  <si>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</si>
  <si>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</si>
  <si>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</si>
  <si>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</si>
  <si>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</si>
  <si>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</si>
  <si>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</si>
  <si>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</si>
  <si>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</si>
  <si>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</si>
  <si>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</si>
  <si>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</si>
  <si>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</si>
  <si>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</si>
  <si>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</si>
  <si>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</si>
  <si>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</si>
  <si>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</si>
  <si>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</si>
  <si>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</si>
  <si>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</si>
  <si>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</si>
  <si>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</si>
  <si>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</si>
  <si>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</si>
  <si>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</si>
  <si>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</si>
  <si>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</si>
  <si>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</si>
  <si>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</si>
  <si>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</si>
  <si>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</si>
  <si>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</si>
  <si>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</si>
  <si>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</si>
  <si>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</si>
  <si>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</si>
  <si>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</si>
  <si>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</si>
  <si>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</si>
  <si>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</si>
  <si>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</si>
  <si>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</si>
  <si>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</si>
  <si>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</si>
  <si>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</si>
  <si>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</si>
  <si>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</si>
  <si>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</si>
  <si>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</si>
  <si>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</si>
  <si>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</si>
  <si>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</si>
  <si>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</si>
  <si>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</si>
  <si>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</si>
  <si>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</si>
  <si>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</si>
  <si>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</si>
  <si>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</si>
  <si>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</si>
  <si>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</si>
  <si>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</si>
  <si>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</si>
  <si>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</si>
  <si>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</si>
  <si>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</si>
  <si>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</si>
  <si>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</si>
  <si>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</si>
  <si>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</si>
  <si>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</si>
  <si>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</si>
  <si>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</si>
  <si>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</si>
  <si>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</si>
  <si>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</si>
  <si>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</si>
  <si>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</si>
  <si>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</si>
  <si>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</si>
  <si>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</si>
  <si>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</si>
  <si>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</si>
  <si>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</si>
  <si>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</si>
  <si>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</si>
  <si>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</si>
  <si>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</si>
  <si>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</si>
  <si>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</si>
  <si>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</si>
  <si>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</si>
  <si>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</si>
  <si>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</si>
  <si>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</si>
  <si>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</si>
  <si>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</si>
  <si>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</si>
  <si>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</si>
  <si>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</si>
  <si>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</si>
  <si>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</si>
  <si>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</si>
  <si>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</si>
  <si>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</si>
  <si>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</si>
  <si>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</si>
  <si>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</si>
  <si>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</si>
  <si>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</si>
  <si>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</si>
  <si>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</si>
  <si>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</si>
  <si>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</si>
  <si>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</si>
  <si>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</si>
  <si>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</si>
  <si>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</si>
  <si>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</si>
  <si>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</si>
  <si>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</si>
  <si>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</si>
  <si>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</si>
  <si>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</si>
  <si>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</si>
  <si>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</si>
  <si>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</si>
  <si>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</si>
  <si>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</si>
  <si>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</si>
  <si>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</si>
  <si>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</si>
  <si>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</si>
  <si>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</si>
  <si>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</si>
  <si>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</si>
  <si>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</si>
  <si>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</si>
  <si>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</si>
  <si>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</si>
  <si>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</si>
  <si>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</si>
  <si>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</si>
  <si>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</si>
  <si>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</si>
  <si>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</si>
  <si>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</si>
  <si>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</si>
  <si>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</si>
  <si>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</si>
  <si>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</si>
  <si>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</si>
  <si>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</si>
  <si>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</si>
  <si>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</si>
  <si>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</si>
  <si>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</si>
  <si>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</si>
  <si>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</si>
  <si>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</si>
  <si>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</si>
  <si>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</si>
  <si>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</si>
  <si>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</si>
  <si>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</si>
  <si>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</si>
  <si>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</si>
  <si>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</si>
  <si>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</si>
  <si>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</si>
  <si>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</si>
  <si>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</si>
  <si>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</si>
  <si>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</si>
  <si>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</si>
  <si>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</si>
  <si>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</si>
  <si>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</si>
  <si>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</si>
  <si>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</si>
  <si>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</si>
  <si>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</si>
  <si>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</si>
  <si>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</si>
  <si>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</si>
  <si>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</si>
  <si>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</si>
  <si>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</si>
  <si>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</si>
  <si>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</si>
  <si>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</si>
  <si>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</si>
  <si>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</si>
  <si>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</si>
  <si>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</si>
  <si>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</si>
  <si>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</si>
  <si>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</si>
  <si>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</si>
  <si>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</si>
  <si>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</si>
  <si>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</si>
  <si>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</si>
  <si>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</si>
  <si>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</si>
  <si>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</si>
  <si>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</si>
  <si>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</si>
  <si>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</si>
  <si>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</si>
  <si>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</si>
  <si>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</si>
  <si>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</si>
  <si>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</si>
  <si>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</si>
  <si>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</si>
  <si>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</si>
  <si>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</si>
  <si>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</si>
  <si>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</si>
  <si>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</si>
  <si>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</si>
  <si>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</si>
  <si>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</si>
  <si>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</si>
  <si>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</si>
  <si>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</si>
  <si>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</si>
  <si>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</si>
  <si>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</si>
  <si>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</si>
  <si>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</si>
  <si>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</si>
  <si>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</si>
  <si>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</si>
  <si>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</si>
  <si>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</si>
  <si>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</si>
  <si>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</si>
  <si>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</si>
  <si>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</si>
  <si>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</si>
  <si>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</si>
  <si>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</si>
  <si>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</si>
  <si>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</si>
  <si>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</si>
  <si>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</si>
  <si>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</si>
  <si>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</si>
  <si>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</si>
  <si>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</si>
  <si>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</si>
  <si>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</si>
  <si>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</si>
  <si>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</si>
  <si>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</si>
  <si>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</si>
  <si>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</si>
  <si>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</si>
  <si>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</si>
  <si>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</si>
  <si>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</si>
  <si>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</si>
  <si>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</si>
  <si>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</si>
  <si>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</si>
  <si>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</si>
  <si>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</si>
  <si>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</si>
  <si>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</si>
  <si>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</si>
  <si>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</si>
  <si>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</si>
  <si>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</si>
  <si>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</si>
  <si>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</si>
  <si>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</si>
  <si>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</si>
  <si>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</si>
  <si>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</si>
  <si>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</si>
  <si>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</si>
  <si>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</si>
  <si>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</si>
  <si>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</si>
  <si>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</si>
  <si>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</si>
  <si>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</si>
  <si>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01 EYLÜL  BEKLEYEN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</si>
  <si>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</si>
  <si>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</si>
  <si>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</si>
  <si>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</si>
  <si>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</si>
  <si>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</si>
  <si>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</si>
  <si>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</si>
  <si>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</si>
  <si>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</si>
  <si>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</si>
  <si>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</si>
  <si>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</si>
  <si>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</si>
  <si>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</si>
  <si>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</si>
  <si>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</si>
  <si>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</si>
  <si>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PRİM DAHİL</t>
  </si>
  <si>
    <t>TP553E05</t>
  </si>
  <si>
    <t>EQ500 iAroma Tam Otomatik Kahve Makinesi, Piano Black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</si>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</sst>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1" fillId="0" borderId="1" xfId="0" applyFont="1" applyBorder="1" applyAlignment="1">
      <alignment vertical="center" wrapText="1"/>
    </xf>
    <xf numFmtId="0" fontId="4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3" fillId="12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44" fillId="14" borderId="0" xfId="0" applyFont="1" applyFill="1" applyAlignment="1">
      <alignment vertical="center"/>
    </xf>
    <xf numFmtId="0" fontId="18" fillId="14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8" applyAlignment="1">
      <alignment vertical="center"/>
    </xf>
    <xf numFmtId="0" fontId="44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3" fillId="14" borderId="0" xfId="0" applyFont="1" applyFill="1" applyAlignment="1">
      <alignment vertical="center"/>
    </xf>
    <xf numFmtId="0" fontId="20" fillId="16" borderId="0" xfId="0" applyFont="1" applyFill="1" applyAlignment="1">
      <alignment vertical="center"/>
    </xf>
    <xf numFmtId="0" fontId="21" fillId="8" borderId="0" xfId="0" applyFont="1" applyFill="1" applyAlignment="1">
      <alignment vertical="center" wrapText="1"/>
    </xf>
    <xf numFmtId="0" fontId="36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3" applyFont="1" applyAlignment="1">
      <alignment vertical="center"/>
    </xf>
    <xf numFmtId="0" fontId="0" fillId="3" borderId="0" xfId="0" applyFill="1" applyAlignment="1">
      <alignment vertical="center"/>
    </xf>
    <xf numFmtId="0" fontId="19" fillId="8" borderId="0" xfId="0" applyFont="1" applyFill="1" applyAlignment="1">
      <alignment vertical="center"/>
    </xf>
    <xf numFmtId="0" fontId="31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 applyAlignment="1">
      <alignment horizontal="center" vertical="center" wrapText="1"/>
    </xf>
    <xf numFmtId="164" fontId="13" fillId="0" borderId="0" xfId="13" applyNumberFormat="1" applyFont="1" applyFill="1" applyAlignment="1">
      <alignment horizontal="center" vertical="center" wrapText="1"/>
    </xf>
    <xf numFmtId="164" fontId="12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left" vertical="center"/>
    </xf>
    <xf numFmtId="164" fontId="1" fillId="0" borderId="0" xfId="13" applyNumberFormat="1" applyFont="1"/>
    <xf numFmtId="164" fontId="12" fillId="0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center" vertical="center" wrapText="1"/>
    </xf>
    <xf numFmtId="164" fontId="12" fillId="8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/>
    <xf numFmtId="164" fontId="10" fillId="0" borderId="0" xfId="13" applyNumberFormat="1" applyFont="1" applyFill="1" applyAlignment="1">
      <alignment horizontal="left" vertical="center" wrapText="1"/>
    </xf>
    <xf numFmtId="164" fontId="10" fillId="0" borderId="0" xfId="13" applyNumberFormat="1" applyFont="1" applyFill="1" applyAlignment="1">
      <alignment horizontal="center" vertical="center"/>
    </xf>
    <xf numFmtId="164" fontId="13" fillId="6" borderId="0" xfId="13" applyNumberFormat="1" applyFont="1" applyFill="1" applyAlignment="1">
      <alignment horizontal="center" vertical="center" wrapText="1"/>
    </xf>
    <xf numFmtId="164" fontId="12" fillId="8" borderId="0" xfId="13" applyNumberFormat="1" applyFont="1" applyFill="1" applyAlignment="1">
      <alignment horizontal="center" vertical="center" wrapText="1"/>
    </xf>
    <xf numFmtId="164" fontId="3" fillId="0" borderId="0" xfId="13" applyNumberFormat="1" applyFont="1"/>
    <xf numFmtId="164" fontId="13" fillId="8" borderId="0" xfId="13" applyNumberFormat="1" applyFont="1" applyFill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/>
    </xf>
    <xf numFmtId="164" fontId="10" fillId="20" borderId="0" xfId="13" applyNumberFormat="1" applyFont="1" applyFill="1" applyAlignment="1">
      <alignment horizontal="center" vertical="center" wrapText="1"/>
    </xf>
    <xf numFmtId="164" fontId="10" fillId="8" borderId="0" xfId="13" applyNumberFormat="1" applyFont="1" applyFill="1" applyAlignment="1">
      <alignment horizontal="left" vertical="center"/>
    </xf>
    <xf numFmtId="164" fontId="10" fillId="20" borderId="0" xfId="13" applyNumberFormat="1" applyFont="1" applyFill="1" applyAlignment="1">
      <alignment horizontal="center" vertical="center"/>
    </xf>
    <xf numFmtId="164" fontId="12" fillId="8" borderId="0" xfId="13" applyNumberFormat="1" applyFont="1" applyFill="1" applyAlignment="1">
      <alignment horizontal="left" vertical="center"/>
    </xf>
    <xf numFmtId="164" fontId="1" fillId="0" borderId="0" xfId="13" applyNumberFormat="1" applyFont="1" applyFill="1"/>
    <xf numFmtId="164" fontId="10" fillId="0" borderId="0" xfId="13" applyNumberFormat="1" applyFont="1" applyFill="1" applyAlignment="1">
      <alignment vertical="center"/>
    </xf>
    <xf numFmtId="164" fontId="10" fillId="2" borderId="0" xfId="13" applyNumberFormat="1" applyFont="1" applyFill="1" applyAlignment="1">
      <alignment horizontal="center" vertical="center" wrapText="1"/>
    </xf>
    <xf numFmtId="164" fontId="10" fillId="6" borderId="0" xfId="13" applyNumberFormat="1" applyFont="1" applyFill="1" applyAlignment="1">
      <alignment horizontal="left" vertical="center" wrapText="1"/>
    </xf>
    <xf numFmtId="164" fontId="10" fillId="20" borderId="0" xfId="13" applyNumberFormat="1" applyFont="1" applyFill="1" applyAlignment="1">
      <alignment vertical="center"/>
    </xf>
    <xf numFmtId="164" fontId="59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center" vertical="center"/>
    </xf>
    <xf numFmtId="164" fontId="12" fillId="0" borderId="0" xfId="13" applyNumberFormat="1" applyFont="1" applyFill="1" applyAlignment="1">
      <alignment horizontal="center" vertical="center" wrapText="1"/>
    </xf>
    <xf numFmtId="164" fontId="10" fillId="18" borderId="0" xfId="13" applyNumberFormat="1" applyFont="1" applyFill="1" applyAlignment="1">
      <alignment horizontal="center" vertical="center" wrapText="1"/>
    </xf>
    <xf numFmtId="164" fontId="10" fillId="8" borderId="0" xfId="13" applyNumberFormat="1" applyFont="1" applyFill="1" applyAlignment="1">
      <alignment horizontal="center" vertical="center" wrapText="1"/>
    </xf>
    <xf numFmtId="164" fontId="13" fillId="10" borderId="0" xfId="13" applyNumberFormat="1" applyFont="1" applyFill="1" applyAlignment="1">
      <alignment horizontal="center" vertical="center" wrapText="1"/>
    </xf>
    <xf numFmtId="164" fontId="10" fillId="20" borderId="0" xfId="13" applyNumberFormat="1" applyFont="1" applyFill="1"/>
    <xf numFmtId="164" fontId="25" fillId="0" borderId="0" xfId="13" applyNumberFormat="1" applyFont="1" applyFill="1" applyBorder="1" applyAlignment="1">
      <alignment horizontal="center" vertical="center" wrapText="1"/>
    </xf>
    <xf numFmtId="164" fontId="10" fillId="8" borderId="1" xfId="13" applyNumberFormat="1" applyFont="1" applyFill="1" applyBorder="1" applyAlignment="1">
      <alignment horizontal="center" vertical="center" wrapText="1"/>
    </xf>
    <xf numFmtId="164" fontId="12" fillId="0" borderId="1" xfId="13" applyNumberFormat="1" applyFont="1" applyFill="1" applyBorder="1" applyAlignment="1">
      <alignment horizontal="center" vertical="center"/>
    </xf>
    <xf numFmtId="164" fontId="10" fillId="0" borderId="1" xfId="13" applyNumberFormat="1" applyFont="1" applyFill="1" applyBorder="1" applyAlignment="1">
      <alignment horizontal="center" vertical="center" wrapText="1"/>
    </xf>
    <xf numFmtId="164" fontId="13" fillId="0" borderId="1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left" vertical="center"/>
    </xf>
    <xf numFmtId="164" fontId="10" fillId="0" borderId="0" xfId="13" applyNumberFormat="1" applyFont="1"/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ATI&#350;%20RAPORLARI/EYL&#220;L%202026%20SATI&#350;.xlsm" TargetMode="External"/><Relationship Id="rId2" Type="http://schemas.openxmlformats.org/officeDocument/2006/relationships/externalLinkPath" Target="https://d.docs.live.net/ca367f973a491496/Masa&#252;st&#252;/G&#214;KMEN/SATI&#350;%20RAPORLARI/EYL&#220;L%202026%20SATI&#350;.xlsm" TargetMode="External"/><Relationship Id="rId1" Type="http://schemas.openxmlformats.org/officeDocument/2006/relationships/externalLinkPath" Target="/ca367f973a491496/Masa&#252;st&#252;/G&#214;KMEN/SATI&#350;%20RAPORLARI/EYL&#220;L%202026%20SATI&#35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RLILIK TABLOSU"/>
      <sheetName val="CİRO - PRİM"/>
      <sheetName val="ADET GİDİŞAT"/>
      <sheetName val="TAHSİLAT KIRILIMLARI"/>
      <sheetName val="YUVARLAMALAR"/>
      <sheetName val="BAKİYE TABLOSU"/>
      <sheetName val="GÜNLÜK TABLO"/>
      <sheetName val="EYLÜL 2026 DİVA VERİ"/>
      <sheetName val="EYLÜL 2026 CEPKASK"/>
      <sheetName val="İPTAL&amp;DEĞİŞİM"/>
      <sheetName val="MALİYETLER"/>
      <sheetName val="10 EYLÜL FİYAT"/>
      <sheetName val="7 EYLÜL FİYAT"/>
      <sheetName val="5 EYLÜL FİYAT"/>
      <sheetName val="4 EYLÜL FİYAT"/>
      <sheetName val="3 EYLÜL FİYAT"/>
      <sheetName val="2 EYLÜL FİYAT"/>
      <sheetName val="31 AĞUSTOS FİYAT"/>
      <sheetName val="Banka Oranları"/>
      <sheetName val="ÜRÜNL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STOK KODU</v>
          </cell>
          <cell r="B1" t="str">
            <v>AÇIKLAMA</v>
          </cell>
          <cell r="C1" t="str">
            <v>10 EYLÜL HOROZ</v>
          </cell>
          <cell r="D1" t="str">
            <v>10 EYLÜL STUDIOLINE HOROZ</v>
          </cell>
          <cell r="E1" t="str">
            <v>10 EYLÜL  YILDIZ DEPO</v>
          </cell>
          <cell r="F1" t="str">
            <v>CAM OFİS</v>
          </cell>
          <cell r="G1" t="str">
            <v>CAM OFİS TEŞHİR</v>
          </cell>
          <cell r="H1" t="str">
            <v>STUDIO LINE CEPA</v>
          </cell>
          <cell r="I1" t="str">
            <v>ANKAMALL</v>
          </cell>
          <cell r="J1" t="str">
            <v>CEPA</v>
          </cell>
          <cell r="K1" t="str">
            <v xml:space="preserve">OPTIMUM </v>
          </cell>
          <cell r="L1" t="str">
            <v xml:space="preserve">ONE TOWER </v>
          </cell>
          <cell r="M1" t="str">
            <v xml:space="preserve">PANORA </v>
          </cell>
          <cell r="N1" t="str">
            <v>TOPLAM STOK</v>
          </cell>
          <cell r="O1" t="str">
            <v>01 EYLÜL  BEKLEYEN</v>
          </cell>
          <cell r="P1" t="str">
            <v>PRİM HARİÇ ÜRÜN</v>
          </cell>
          <cell r="Q1" t="str">
            <v>EYLÜL  TOPTAN</v>
          </cell>
          <cell r="R1" t="str">
            <v>HAVALE FİYATI</v>
          </cell>
          <cell r="S1" t="str">
            <v>TEK ÇEKİM FİYATI</v>
          </cell>
          <cell r="T1" t="str">
            <v>TAKSİTLİ FİYATI 3/6 TAKSİT</v>
          </cell>
          <cell r="U1" t="str">
            <v>EYLÜL  BİP</v>
          </cell>
          <cell r="V1" t="str">
            <v>30.09.2026 montaj zorunlu PHASE OUT</v>
          </cell>
          <cell r="W1" t="str">
            <v>Hakedişler LİSTE FİYATINDAN SATILIRSA geçerli olacak</v>
          </cell>
          <cell r="X1" t="str">
            <v>ONLINE FİYATI</v>
          </cell>
        </row>
        <row r="2">
          <cell r="A2" t="str">
            <v>KA93NVL30N</v>
          </cell>
          <cell r="B2" t="str">
            <v>iQ300 Gardırop Tipi Buzdolabı, 90.8cm, Inox</v>
          </cell>
          <cell r="J2">
            <v>1</v>
          </cell>
          <cell r="L2">
            <v>1</v>
          </cell>
          <cell r="N2">
            <v>2</v>
          </cell>
          <cell r="Q2" t="str">
            <v>devamı yok</v>
          </cell>
          <cell r="R2">
            <v>80000</v>
          </cell>
          <cell r="S2">
            <v>83200</v>
          </cell>
          <cell r="T2">
            <v>86400</v>
          </cell>
          <cell r="W2">
            <v>1000</v>
          </cell>
        </row>
        <row r="3">
          <cell r="A3" t="str">
            <v>KF96RSBEA</v>
          </cell>
          <cell r="B3" t="str">
            <v>iQ700 Gardırop Tipi Buzdolabı, Cam Kapı, Alkol Çekmeceli, 90.5cm, Siyah</v>
          </cell>
          <cell r="C3">
            <v>4</v>
          </cell>
          <cell r="F3">
            <v>1</v>
          </cell>
          <cell r="I3">
            <v>1</v>
          </cell>
          <cell r="J3">
            <v>1</v>
          </cell>
          <cell r="M3">
            <v>1</v>
          </cell>
          <cell r="N3">
            <v>8</v>
          </cell>
          <cell r="O3">
            <v>1</v>
          </cell>
          <cell r="Q3">
            <v>215784.16717519649</v>
          </cell>
          <cell r="R3">
            <v>204994.95881643667</v>
          </cell>
          <cell r="S3">
            <v>213194.75716909414</v>
          </cell>
          <cell r="T3">
            <v>221394.55552175161</v>
          </cell>
          <cell r="U3">
            <v>6594.3523603817166</v>
          </cell>
        </row>
        <row r="4">
          <cell r="A4" t="str">
            <v>KF96NAXEA</v>
          </cell>
          <cell r="B4" t="str">
            <v>iQ300 Gardırop Tipi Buzdolabı, 90.5cm, BlackSteel</v>
          </cell>
          <cell r="I4">
            <v>1</v>
          </cell>
          <cell r="J4">
            <v>1</v>
          </cell>
          <cell r="K4">
            <v>1</v>
          </cell>
          <cell r="L4">
            <v>2</v>
          </cell>
          <cell r="M4">
            <v>1</v>
          </cell>
          <cell r="N4">
            <v>6</v>
          </cell>
          <cell r="O4">
            <v>11</v>
          </cell>
          <cell r="Q4">
            <v>134806.50673133694</v>
          </cell>
          <cell r="R4">
            <v>128066.18139477009</v>
          </cell>
          <cell r="S4">
            <v>133188.8286505609</v>
          </cell>
          <cell r="T4">
            <v>138311.4759063517</v>
          </cell>
          <cell r="U4">
            <v>41230.11784244806</v>
          </cell>
        </row>
        <row r="5">
          <cell r="A5" t="str">
            <v>KF96NVPEA</v>
          </cell>
          <cell r="B5" t="str">
            <v>iQ300 Gardırop Tipi Buzdolabı, 90.5cm, Inox</v>
          </cell>
          <cell r="C5">
            <v>20</v>
          </cell>
          <cell r="I5">
            <v>1</v>
          </cell>
          <cell r="L5">
            <v>2</v>
          </cell>
          <cell r="N5">
            <v>23</v>
          </cell>
          <cell r="O5">
            <v>1</v>
          </cell>
          <cell r="Q5">
            <v>118087.26901460295</v>
          </cell>
          <cell r="R5">
            <v>109821.16018358074</v>
          </cell>
          <cell r="S5">
            <v>114214.00659092396</v>
          </cell>
          <cell r="T5">
            <v>118606.85299826719</v>
          </cell>
          <cell r="U5">
            <v>26517.501572742476</v>
          </cell>
          <cell r="W5">
            <v>250</v>
          </cell>
          <cell r="X5">
            <v>83303.658610838262</v>
          </cell>
        </row>
        <row r="6">
          <cell r="A6" t="str">
            <v>KD43NNWE0N</v>
          </cell>
          <cell r="B6" t="str">
            <v>iQ100 Üstten Donduruculu Kulpsuz Buzdolabı, 70cm, Beyaz</v>
          </cell>
          <cell r="C6">
            <v>1</v>
          </cell>
          <cell r="N6">
            <v>1</v>
          </cell>
          <cell r="P6" t="str">
            <v>PRİM HARİÇ</v>
          </cell>
          <cell r="Q6">
            <v>33700.891654252438</v>
          </cell>
          <cell r="R6">
            <v>34037.900570794962</v>
          </cell>
          <cell r="S6">
            <v>35399.41659362676</v>
          </cell>
          <cell r="T6">
            <v>36760.932616458558</v>
          </cell>
        </row>
        <row r="7">
          <cell r="A7" t="str">
            <v>KD55NNWE0N</v>
          </cell>
          <cell r="B7" t="str">
            <v>iQ300 Üstten Donduruculu Kulpsuz Buzdolabı, 70cm, Beyaz</v>
          </cell>
          <cell r="C7">
            <v>1</v>
          </cell>
          <cell r="F7">
            <v>1</v>
          </cell>
          <cell r="N7">
            <v>2</v>
          </cell>
          <cell r="P7" t="str">
            <v>PRİM HARİÇ</v>
          </cell>
          <cell r="Q7">
            <v>36619.942316379165</v>
          </cell>
          <cell r="R7">
            <v>36986.14173954296</v>
          </cell>
          <cell r="S7">
            <v>38465.587409124681</v>
          </cell>
          <cell r="T7">
            <v>39945.033078706394</v>
          </cell>
          <cell r="U7">
            <v>968.7795256814934</v>
          </cell>
        </row>
        <row r="8">
          <cell r="A8" t="str">
            <v>KD55NNLE0N</v>
          </cell>
          <cell r="B8" t="str">
            <v>iQ300 Üstten Donduruculu Kulpsuz Buzdolabı, 70cm, Inox Görünümlü</v>
          </cell>
          <cell r="C8">
            <v>6</v>
          </cell>
          <cell r="N8">
            <v>6</v>
          </cell>
          <cell r="P8" t="str">
            <v>PRİM HARİÇ</v>
          </cell>
          <cell r="Q8">
            <v>43007.560271025679</v>
          </cell>
          <cell r="R8">
            <v>43670</v>
          </cell>
          <cell r="S8">
            <v>45416.800000000003</v>
          </cell>
          <cell r="T8">
            <v>47163.6</v>
          </cell>
          <cell r="U8">
            <v>4670.3509687000987</v>
          </cell>
        </row>
        <row r="9">
          <cell r="A9" t="str">
            <v>KD56NXWF1N</v>
          </cell>
          <cell r="B9" t="str">
            <v>iQ300 Üstten Donduruculu Kulpsuz Buzdolabı, 70cm, Beyaz</v>
          </cell>
          <cell r="L9">
            <v>1</v>
          </cell>
          <cell r="N9">
            <v>1</v>
          </cell>
          <cell r="Q9" t="str">
            <v>devamı yok</v>
          </cell>
          <cell r="R9">
            <v>40000</v>
          </cell>
          <cell r="S9">
            <v>41600</v>
          </cell>
          <cell r="T9">
            <v>43200</v>
          </cell>
          <cell r="W9">
            <v>500</v>
          </cell>
        </row>
        <row r="10">
          <cell r="A10" t="str">
            <v>KD76NAIE1N</v>
          </cell>
          <cell r="B10" t="str">
            <v>iQ500 Üstten Donduruculu Kulplu Buzdolabı, 75cm, Inox</v>
          </cell>
          <cell r="C10">
            <v>11</v>
          </cell>
          <cell r="N10">
            <v>11</v>
          </cell>
          <cell r="Q10">
            <v>84535.624718473977</v>
          </cell>
          <cell r="R10">
            <v>78618.130988180797</v>
          </cell>
          <cell r="S10">
            <v>81762.856227708035</v>
          </cell>
          <cell r="T10">
            <v>84907.581467235257</v>
          </cell>
          <cell r="U10">
            <v>15186.787509171641</v>
          </cell>
        </row>
        <row r="11">
          <cell r="A11" t="str">
            <v>KD76NAWE1N</v>
          </cell>
          <cell r="B11" t="str">
            <v>iQ500 Üstten Donduruculu Kulplu Buzdolabı, 75cm, Beyaz</v>
          </cell>
          <cell r="C11">
            <v>6</v>
          </cell>
          <cell r="N11">
            <v>6</v>
          </cell>
          <cell r="Q11">
            <v>62949.551468023252</v>
          </cell>
          <cell r="R11">
            <v>59802.073894622088</v>
          </cell>
          <cell r="S11">
            <v>62194.156850406973</v>
          </cell>
          <cell r="T11">
            <v>64586.239806191857</v>
          </cell>
          <cell r="U11">
            <v>3123.9700726744122</v>
          </cell>
        </row>
        <row r="12">
          <cell r="A12" t="str">
            <v>KD76NXIE1N</v>
          </cell>
          <cell r="B12" t="str">
            <v>iQ500 Üstten Donduruculu Kulpsuz Buzdolabı, 75cm, Inox</v>
          </cell>
          <cell r="C12">
            <v>11</v>
          </cell>
          <cell r="N12">
            <v>11</v>
          </cell>
          <cell r="Q12">
            <v>70136.480962004265</v>
          </cell>
          <cell r="R12">
            <v>65226.927294663968</v>
          </cell>
          <cell r="S12">
            <v>67836.004386450528</v>
          </cell>
          <cell r="T12">
            <v>70445.081478237087</v>
          </cell>
          <cell r="U12">
            <v>7950.4344503763496</v>
          </cell>
        </row>
        <row r="13">
          <cell r="A13" t="str">
            <v>KD76NXWE1N</v>
          </cell>
          <cell r="B13" t="str">
            <v>iQ300 Üstten Donduruculu, Kulpsuz Buzdolabı, 75cm, Beyaz</v>
          </cell>
          <cell r="I13">
            <v>1</v>
          </cell>
          <cell r="J13">
            <v>1</v>
          </cell>
          <cell r="M13">
            <v>1</v>
          </cell>
          <cell r="N13">
            <v>3</v>
          </cell>
          <cell r="O13">
            <v>6</v>
          </cell>
          <cell r="Q13">
            <v>64328.533377100357</v>
          </cell>
          <cell r="R13">
            <v>64328.533377100357</v>
          </cell>
          <cell r="S13">
            <v>66901.674712184365</v>
          </cell>
          <cell r="T13">
            <v>69474.816047268381</v>
          </cell>
          <cell r="U13">
            <v>13537.835702681754</v>
          </cell>
        </row>
        <row r="14">
          <cell r="A14" t="str">
            <v>KD76NXWE0N</v>
          </cell>
          <cell r="B14" t="str">
            <v>iQ300 Üstten Donduruculu Kulpsuz Buzdolabı, 75cm, Beyaz</v>
          </cell>
          <cell r="L14">
            <v>1</v>
          </cell>
          <cell r="N14">
            <v>1</v>
          </cell>
          <cell r="Q14" t="str">
            <v>devamı yok</v>
          </cell>
          <cell r="R14">
            <v>55000</v>
          </cell>
          <cell r="S14">
            <v>57200</v>
          </cell>
          <cell r="T14">
            <v>59400</v>
          </cell>
          <cell r="W14">
            <v>500</v>
          </cell>
        </row>
        <row r="15">
          <cell r="A15" t="str">
            <v>KD76NNWE0N</v>
          </cell>
          <cell r="B15" t="str">
            <v>iQ300 Üstten Donduruculu Kulpsuz Buzdolabı, 75cm, Beyaz</v>
          </cell>
          <cell r="C15">
            <v>3</v>
          </cell>
          <cell r="N15">
            <v>3</v>
          </cell>
          <cell r="Q15">
            <v>56792.905181497161</v>
          </cell>
          <cell r="R15">
            <v>56793</v>
          </cell>
          <cell r="S15">
            <v>59064.72</v>
          </cell>
          <cell r="T15">
            <v>61336.44</v>
          </cell>
          <cell r="U15">
            <v>8118.4865768459931</v>
          </cell>
        </row>
        <row r="16">
          <cell r="A16" t="str">
            <v>KD86NAID1N</v>
          </cell>
          <cell r="B16" t="str">
            <v>iQ500 Üstten Donduruculu Kulplu Buzdolabı, 86cm, Inox</v>
          </cell>
          <cell r="C16">
            <v>10</v>
          </cell>
          <cell r="E16">
            <v>1</v>
          </cell>
          <cell r="I16">
            <v>1</v>
          </cell>
          <cell r="J16">
            <v>1</v>
          </cell>
          <cell r="K16">
            <v>1</v>
          </cell>
          <cell r="N16">
            <v>14</v>
          </cell>
          <cell r="Q16">
            <v>98053.757359079536</v>
          </cell>
          <cell r="R16">
            <v>93151.069491125556</v>
          </cell>
          <cell r="S16">
            <v>96877.11227077058</v>
          </cell>
          <cell r="T16">
            <v>100603.1550504156</v>
          </cell>
          <cell r="U16">
            <v>23170.03642884699</v>
          </cell>
        </row>
        <row r="17">
          <cell r="A17" t="str">
            <v>KD86NAWE1N</v>
          </cell>
          <cell r="B17" t="str">
            <v>iQ500 Üstten Donduruculu Kulplu Buzdolabı, 86cm, Beyaz</v>
          </cell>
          <cell r="N17">
            <v>0</v>
          </cell>
          <cell r="O17">
            <v>1</v>
          </cell>
          <cell r="Q17">
            <v>85320.530544562032</v>
          </cell>
          <cell r="R17">
            <v>85320.530544562032</v>
          </cell>
          <cell r="S17">
            <v>88733.351766344509</v>
          </cell>
          <cell r="T17">
            <v>92146.172988127</v>
          </cell>
          <cell r="U17">
            <v>15971.693335259697</v>
          </cell>
        </row>
        <row r="18">
          <cell r="A18" t="str">
            <v>KD86NHID1N</v>
          </cell>
          <cell r="B18" t="str">
            <v>iQ500 Üstten Donduruculu Kulplu Buzdolabı, 86cm, Inox</v>
          </cell>
          <cell r="L18">
            <v>1</v>
          </cell>
          <cell r="N18">
            <v>1</v>
          </cell>
          <cell r="Q18" t="str">
            <v>devamı yok</v>
          </cell>
          <cell r="R18">
            <v>55000</v>
          </cell>
          <cell r="S18">
            <v>57200</v>
          </cell>
          <cell r="T18">
            <v>59400</v>
          </cell>
          <cell r="W18">
            <v>500</v>
          </cell>
        </row>
        <row r="19">
          <cell r="A19" t="str">
            <v>KG36NNLE0N</v>
          </cell>
          <cell r="B19" t="str">
            <v>iQ100 Alttan Donduruculu Kulpsuz Buzdolabı, 60cm, Inox</v>
          </cell>
          <cell r="F19">
            <v>1</v>
          </cell>
          <cell r="N19">
            <v>1</v>
          </cell>
          <cell r="Q19" t="str">
            <v>devamı yok</v>
          </cell>
          <cell r="R19">
            <v>40000</v>
          </cell>
          <cell r="S19">
            <v>41600</v>
          </cell>
          <cell r="T19">
            <v>43200</v>
          </cell>
          <cell r="W19">
            <v>500</v>
          </cell>
        </row>
        <row r="20">
          <cell r="A20" t="str">
            <v>KG55NCIE0N</v>
          </cell>
          <cell r="B20" t="str">
            <v>iQ300 Alttan Donduruculu Kulpsuz Buzdolabı, 70cm, Inox</v>
          </cell>
          <cell r="C20">
            <v>74</v>
          </cell>
          <cell r="E20">
            <v>4</v>
          </cell>
          <cell r="I20">
            <v>1</v>
          </cell>
          <cell r="J20">
            <v>1</v>
          </cell>
          <cell r="L20">
            <v>1</v>
          </cell>
          <cell r="M20">
            <v>1</v>
          </cell>
          <cell r="N20">
            <v>82</v>
          </cell>
          <cell r="Q20">
            <v>65373.710842426284</v>
          </cell>
          <cell r="R20">
            <v>62105.025300304973</v>
          </cell>
          <cell r="S20">
            <v>64589.226312317172</v>
          </cell>
          <cell r="T20">
            <v>67073.427324329372</v>
          </cell>
          <cell r="U20">
            <v>14664.408516844887</v>
          </cell>
        </row>
        <row r="21">
          <cell r="A21" t="str">
            <v>KG55NCWE0N</v>
          </cell>
          <cell r="B21" t="str">
            <v>iQ300 Alttan Donduruculu Kulpsuz Buzdolabı, 70cm, Beyaz</v>
          </cell>
          <cell r="C21">
            <v>82</v>
          </cell>
          <cell r="I21">
            <v>1</v>
          </cell>
          <cell r="K21">
            <v>1</v>
          </cell>
          <cell r="L21">
            <v>2</v>
          </cell>
          <cell r="N21">
            <v>86</v>
          </cell>
          <cell r="Q21">
            <v>60461.404943148395</v>
          </cell>
          <cell r="R21">
            <v>54415.264448833557</v>
          </cell>
          <cell r="S21">
            <v>56591.875026786896</v>
          </cell>
          <cell r="T21">
            <v>58768.485604740243</v>
          </cell>
          <cell r="U21">
            <v>11705.590989660021</v>
          </cell>
        </row>
        <row r="22">
          <cell r="A22" t="str">
            <v>KG55NVIE0N</v>
          </cell>
          <cell r="B22" t="str">
            <v>iQ300 Alttan Donduruculu Kulpsuz Buzdolabı, 70cm, Inox</v>
          </cell>
          <cell r="C22">
            <v>1</v>
          </cell>
          <cell r="E22">
            <v>1</v>
          </cell>
          <cell r="L22">
            <v>1</v>
          </cell>
          <cell r="N22">
            <v>3</v>
          </cell>
          <cell r="Q22" t="str">
            <v>devamı yok</v>
          </cell>
          <cell r="R22">
            <v>50000</v>
          </cell>
          <cell r="S22">
            <v>52000</v>
          </cell>
          <cell r="T22">
            <v>54000</v>
          </cell>
          <cell r="U22">
            <v>8118.2662856856987</v>
          </cell>
        </row>
        <row r="23">
          <cell r="A23" t="str">
            <v>KG55NVWE0N</v>
          </cell>
          <cell r="B23" t="str">
            <v>iQ300 Alttan Donduruculu Kulpsuz Buzdolabı, 70cm, Beyaz</v>
          </cell>
          <cell r="E23">
            <v>1</v>
          </cell>
          <cell r="I23">
            <v>1</v>
          </cell>
          <cell r="L23">
            <v>1</v>
          </cell>
          <cell r="N23">
            <v>3</v>
          </cell>
          <cell r="Q23" t="str">
            <v>devamı yok</v>
          </cell>
          <cell r="R23">
            <v>44500</v>
          </cell>
          <cell r="S23">
            <v>46280</v>
          </cell>
          <cell r="T23">
            <v>48060</v>
          </cell>
          <cell r="U23">
            <v>4531.8971617670613</v>
          </cell>
          <cell r="W23">
            <v>500</v>
          </cell>
        </row>
        <row r="24">
          <cell r="A24" t="str">
            <v>KG56NCID0N</v>
          </cell>
          <cell r="B24" t="str">
            <v>iQ300 Alttan Donduruculu Kulpsuz Buzdolabı, 70cm, Inox (Wi-Fi)</v>
          </cell>
          <cell r="C24">
            <v>5</v>
          </cell>
          <cell r="N24">
            <v>5</v>
          </cell>
          <cell r="Q24">
            <v>60254.001126083655</v>
          </cell>
          <cell r="R24">
            <v>60254.001126083655</v>
          </cell>
          <cell r="S24">
            <v>62664.161171127002</v>
          </cell>
          <cell r="T24">
            <v>65074.321216170349</v>
          </cell>
          <cell r="U24">
            <v>5800.5127539906316</v>
          </cell>
        </row>
        <row r="25">
          <cell r="A25" t="str">
            <v>KG56NCWD0N</v>
          </cell>
          <cell r="B25" t="str">
            <v>iQ300 Alttan Donduruculu Kulpsuz Buzdolabı, 70cm, Beyaz (Wi-Fi)</v>
          </cell>
          <cell r="C25">
            <v>5</v>
          </cell>
          <cell r="N25">
            <v>5</v>
          </cell>
          <cell r="Q25">
            <v>55360.410160065025</v>
          </cell>
          <cell r="R25">
            <v>55360.410160065025</v>
          </cell>
          <cell r="S25">
            <v>57574.826566467629</v>
          </cell>
          <cell r="T25">
            <v>59789.242972870226</v>
          </cell>
          <cell r="U25">
            <v>2941.8055089022309</v>
          </cell>
        </row>
        <row r="26">
          <cell r="A26" t="str">
            <v>KG56NCXD0N</v>
          </cell>
          <cell r="B26" t="str">
            <v>iQ300 Alttan Donduruculu Kulpsuz Buzdolabı, 70cm, Black Inox (Wi-Fi)</v>
          </cell>
          <cell r="C26">
            <v>5</v>
          </cell>
          <cell r="N26">
            <v>5</v>
          </cell>
          <cell r="Q26">
            <v>63899.365449394172</v>
          </cell>
          <cell r="R26">
            <v>63899.365449394172</v>
          </cell>
          <cell r="S26">
            <v>66455.340067369936</v>
          </cell>
          <cell r="T26">
            <v>69011.3146853457</v>
          </cell>
          <cell r="U26">
            <v>6597.039867998822</v>
          </cell>
        </row>
        <row r="27">
          <cell r="A27" t="str">
            <v>KG56NLBE0N</v>
          </cell>
          <cell r="B27" t="str">
            <v>iQ500 Alttan Donduruculu Kulpsuz Buzdolabı, 70cm, Parlak Siyah</v>
          </cell>
          <cell r="C27">
            <v>8</v>
          </cell>
          <cell r="F27">
            <v>1</v>
          </cell>
          <cell r="I27">
            <v>2</v>
          </cell>
          <cell r="J27">
            <v>1</v>
          </cell>
          <cell r="K27">
            <v>1</v>
          </cell>
          <cell r="M27">
            <v>2</v>
          </cell>
          <cell r="N27">
            <v>15</v>
          </cell>
          <cell r="Q27">
            <v>62632.698891451786</v>
          </cell>
          <cell r="R27">
            <v>59501.0639468792</v>
          </cell>
          <cell r="S27">
            <v>61881.106504754367</v>
          </cell>
          <cell r="T27">
            <v>64261.149062629534</v>
          </cell>
        </row>
        <row r="28">
          <cell r="A28" t="str">
            <v>KG56NNWD0N</v>
          </cell>
          <cell r="B28" t="str">
            <v>iQ100 Alttan Donduruculu Kulpsuz Buzdolabı, 70cm, Beyaz (Wi-Fi)</v>
          </cell>
          <cell r="C28">
            <v>47</v>
          </cell>
          <cell r="N28">
            <v>47</v>
          </cell>
          <cell r="Q28">
            <v>44190.12324999999</v>
          </cell>
          <cell r="R28">
            <v>41980.617087499988</v>
          </cell>
          <cell r="S28">
            <v>43659.841770999985</v>
          </cell>
          <cell r="T28">
            <v>45339.066454499989</v>
          </cell>
        </row>
        <row r="29">
          <cell r="A29" t="str">
            <v>KG56NQWF0N</v>
          </cell>
          <cell r="B29" t="str">
            <v>iQ500 Alttan Donduruculu Kulpsuz Buzdolabı, 70cm, Seramik Desen</v>
          </cell>
          <cell r="J29">
            <v>1</v>
          </cell>
          <cell r="N29">
            <v>1</v>
          </cell>
          <cell r="Q29" t="str">
            <v>devamı yok</v>
          </cell>
          <cell r="R29">
            <v>48000</v>
          </cell>
          <cell r="S29">
            <v>49920</v>
          </cell>
          <cell r="T29">
            <v>51840</v>
          </cell>
          <cell r="W29">
            <v>500</v>
          </cell>
        </row>
        <row r="30">
          <cell r="A30" t="str">
            <v>KG56NTEE0N</v>
          </cell>
          <cell r="B30" t="str">
            <v>iQ500 Alttan Donduruculu Kulpsuz Buzdolabı, 70cm, Mat Siyah</v>
          </cell>
          <cell r="F30">
            <v>1</v>
          </cell>
          <cell r="N30">
            <v>1</v>
          </cell>
          <cell r="Q30" t="str">
            <v>devamı yok</v>
          </cell>
          <cell r="R30">
            <v>48000</v>
          </cell>
          <cell r="S30">
            <v>49920</v>
          </cell>
          <cell r="T30">
            <v>51840</v>
          </cell>
          <cell r="W30">
            <v>500</v>
          </cell>
        </row>
        <row r="31">
          <cell r="A31" t="str">
            <v>KG56NTWE0N</v>
          </cell>
          <cell r="B31" t="str">
            <v>iQ500 Alttan Donduruculu Kulpsuz Buzdolabı, 70cm, Seramik Desen</v>
          </cell>
          <cell r="L31">
            <v>1</v>
          </cell>
          <cell r="N31">
            <v>1</v>
          </cell>
          <cell r="Q31" t="str">
            <v>devamı yok</v>
          </cell>
          <cell r="R31">
            <v>48000</v>
          </cell>
          <cell r="S31">
            <v>49920</v>
          </cell>
          <cell r="T31">
            <v>51840</v>
          </cell>
          <cell r="W31">
            <v>500</v>
          </cell>
        </row>
        <row r="32">
          <cell r="A32" t="str">
            <v>KG56NVPD0N</v>
          </cell>
          <cell r="B32" t="str">
            <v>iQ300 Alttan Donduruculu Kulpsuz Buzdolabı, 70cm, Inox (Wi-Fi)</v>
          </cell>
          <cell r="C32">
            <v>31</v>
          </cell>
          <cell r="I32">
            <v>1</v>
          </cell>
          <cell r="N32">
            <v>32</v>
          </cell>
          <cell r="O32">
            <v>20</v>
          </cell>
          <cell r="Q32">
            <v>50627.906976744176</v>
          </cell>
          <cell r="R32">
            <v>48096.51162790697</v>
          </cell>
          <cell r="S32">
            <v>50020.372093023252</v>
          </cell>
          <cell r="T32">
            <v>51944.232558139527</v>
          </cell>
        </row>
        <row r="33">
          <cell r="A33" t="str">
            <v>KG56NVWD0N</v>
          </cell>
          <cell r="B33" t="str">
            <v>iQ300 Alttan Donduruculu Kulpsuz Buzdolabı, 70cm, Beyaz (Wi-Fi)</v>
          </cell>
          <cell r="C33">
            <v>33</v>
          </cell>
          <cell r="N33">
            <v>33</v>
          </cell>
          <cell r="O33">
            <v>21</v>
          </cell>
          <cell r="Q33">
            <v>48309.397283562372</v>
          </cell>
          <cell r="R33">
            <v>45893.92741938425</v>
          </cell>
          <cell r="S33">
            <v>47729.684516159621</v>
          </cell>
          <cell r="T33">
            <v>49565.441612934992</v>
          </cell>
        </row>
        <row r="34">
          <cell r="A34" t="str">
            <v>KG76APIE0N</v>
          </cell>
          <cell r="B34" t="str">
            <v>iQ700 Alttan Donduruculu Kulplu Buzdolabı, 75cm, Inox</v>
          </cell>
          <cell r="C34">
            <v>14</v>
          </cell>
          <cell r="N34">
            <v>14</v>
          </cell>
          <cell r="Q34">
            <v>84646.164438751875</v>
          </cell>
          <cell r="R34">
            <v>76181.547994876688</v>
          </cell>
          <cell r="S34">
            <v>79228.809914671758</v>
          </cell>
          <cell r="T34">
            <v>82276.071834466828</v>
          </cell>
          <cell r="U34">
            <v>9762.4435085193254</v>
          </cell>
        </row>
        <row r="35">
          <cell r="A35" t="str">
            <v>KG76NCIE0N</v>
          </cell>
          <cell r="B35" t="str">
            <v>iQ500 Alttan Donduruculu Kulplu Buzdolabı, 75cm, Inox</v>
          </cell>
          <cell r="C35">
            <v>16</v>
          </cell>
          <cell r="I35">
            <v>1</v>
          </cell>
          <cell r="J35">
            <v>1</v>
          </cell>
          <cell r="K35">
            <v>1</v>
          </cell>
          <cell r="L35">
            <v>3</v>
          </cell>
          <cell r="M35">
            <v>1</v>
          </cell>
          <cell r="N35">
            <v>23</v>
          </cell>
          <cell r="Q35">
            <v>89337.569444670866</v>
          </cell>
          <cell r="R35">
            <v>84870.690972437325</v>
          </cell>
          <cell r="S35">
            <v>88265.518611334817</v>
          </cell>
          <cell r="T35">
            <v>91660.346250232309</v>
          </cell>
          <cell r="U35">
            <v>22186.406653973187</v>
          </cell>
        </row>
        <row r="36">
          <cell r="A36" t="str">
            <v>KG76NCWE0N</v>
          </cell>
          <cell r="B36" t="str">
            <v>iQ500 Alttan Donduruculu Kulplu Buzdolabı, 75cm, Beyaz</v>
          </cell>
          <cell r="C36">
            <v>37</v>
          </cell>
          <cell r="I36">
            <v>1</v>
          </cell>
          <cell r="L36">
            <v>1</v>
          </cell>
          <cell r="N36">
            <v>39</v>
          </cell>
          <cell r="Q36">
            <v>80897.295942227123</v>
          </cell>
          <cell r="R36">
            <v>75234.485226271223</v>
          </cell>
          <cell r="S36">
            <v>78243.864635322068</v>
          </cell>
          <cell r="T36">
            <v>81253.244044372928</v>
          </cell>
          <cell r="U36">
            <v>15211.249430599215</v>
          </cell>
        </row>
        <row r="37">
          <cell r="A37" t="str">
            <v>KG76NCXE0N</v>
          </cell>
          <cell r="B37" t="str">
            <v>iQ500 Alttan Donduruculu Kulpsuz Buzdolabı, 75cm, darkSteel</v>
          </cell>
          <cell r="C37">
            <v>123</v>
          </cell>
          <cell r="I37">
            <v>1</v>
          </cell>
          <cell r="J37">
            <v>1</v>
          </cell>
          <cell r="K37">
            <v>1</v>
          </cell>
          <cell r="M37">
            <v>1</v>
          </cell>
          <cell r="N37">
            <v>127</v>
          </cell>
          <cell r="Q37">
            <v>99433.899972588129</v>
          </cell>
          <cell r="R37">
            <v>90829</v>
          </cell>
          <cell r="S37">
            <v>94462.16</v>
          </cell>
          <cell r="T37">
            <v>98095.32</v>
          </cell>
          <cell r="U37">
            <v>26829.248809797431</v>
          </cell>
        </row>
        <row r="38">
          <cell r="A38" t="str">
            <v>KG76NVIE0N</v>
          </cell>
          <cell r="B38" t="str">
            <v>iQ300 Alttan Donduruculu Kulpsuz Buzdolabı, 75cm, Inox</v>
          </cell>
          <cell r="C38">
            <v>37</v>
          </cell>
          <cell r="G38">
            <v>1</v>
          </cell>
          <cell r="I38">
            <v>1</v>
          </cell>
          <cell r="L38">
            <v>2</v>
          </cell>
          <cell r="N38">
            <v>41</v>
          </cell>
          <cell r="Q38">
            <v>80743.425892217376</v>
          </cell>
          <cell r="R38">
            <v>73000</v>
          </cell>
          <cell r="S38">
            <v>75920</v>
          </cell>
          <cell r="T38">
            <v>78840</v>
          </cell>
          <cell r="U38">
            <v>16034.123566635979</v>
          </cell>
        </row>
        <row r="39">
          <cell r="A39" t="str">
            <v>KG76NVWE0N</v>
          </cell>
          <cell r="B39" t="str">
            <v>iQ300 Alttan Donduruculu Kulpsuz Buzdolabı, 75cm, Beyaz</v>
          </cell>
          <cell r="C39">
            <v>25</v>
          </cell>
          <cell r="I39">
            <v>1</v>
          </cell>
          <cell r="J39">
            <v>1</v>
          </cell>
          <cell r="M39">
            <v>1</v>
          </cell>
          <cell r="N39">
            <v>28</v>
          </cell>
          <cell r="Q39">
            <v>72507.334385134804</v>
          </cell>
          <cell r="R39">
            <v>67431.820978175369</v>
          </cell>
          <cell r="S39">
            <v>70129.09381730239</v>
          </cell>
          <cell r="T39">
            <v>72826.366656429396</v>
          </cell>
          <cell r="U39">
            <v>18216.6367107162</v>
          </cell>
        </row>
        <row r="40">
          <cell r="A40" t="str">
            <v>KG76PAIC0N</v>
          </cell>
          <cell r="B40" t="str">
            <v>iQ700 Alttan Donduruculu Kulplu Buzdolabı, 75cm, Inox</v>
          </cell>
          <cell r="C40">
            <v>41</v>
          </cell>
          <cell r="E40">
            <v>2</v>
          </cell>
          <cell r="I40">
            <v>1</v>
          </cell>
          <cell r="J40">
            <v>1</v>
          </cell>
          <cell r="M40">
            <v>1</v>
          </cell>
          <cell r="N40">
            <v>46</v>
          </cell>
          <cell r="O40">
            <v>1</v>
          </cell>
          <cell r="Q40">
            <v>93563.754304094517</v>
          </cell>
          <cell r="R40">
            <v>87014.291502807901</v>
          </cell>
          <cell r="S40">
            <v>90494.863162920214</v>
          </cell>
          <cell r="T40">
            <v>93975.434823032527</v>
          </cell>
          <cell r="U40">
            <v>14366.079885489862</v>
          </cell>
        </row>
        <row r="41">
          <cell r="A41" t="str">
            <v>KG76PAWC0N</v>
          </cell>
          <cell r="B41" t="str">
            <v>iQ700 Alttan Donduruculu Kulplu Buzdolabı, 75cm, Beyaz</v>
          </cell>
          <cell r="C41">
            <v>26</v>
          </cell>
          <cell r="E41">
            <v>1</v>
          </cell>
          <cell r="I41">
            <v>1</v>
          </cell>
          <cell r="K41">
            <v>1</v>
          </cell>
          <cell r="L41">
            <v>3</v>
          </cell>
          <cell r="N41">
            <v>32</v>
          </cell>
          <cell r="O41">
            <v>1</v>
          </cell>
          <cell r="Q41">
            <v>85858.484053583932</v>
          </cell>
          <cell r="R41">
            <v>78000</v>
          </cell>
          <cell r="S41">
            <v>81120</v>
          </cell>
          <cell r="T41">
            <v>84240</v>
          </cell>
          <cell r="U41">
            <v>12195.693355909521</v>
          </cell>
        </row>
        <row r="42">
          <cell r="A42" t="str">
            <v>KG86NAID2N</v>
          </cell>
          <cell r="B42" t="str">
            <v>iQ500 Alttan Donduruculu Kulplu Buzdolabı, 86cm, Inox</v>
          </cell>
          <cell r="C42">
            <v>96</v>
          </cell>
          <cell r="E42">
            <v>1</v>
          </cell>
          <cell r="F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103</v>
          </cell>
          <cell r="Q42">
            <v>104311.67380670749</v>
          </cell>
          <cell r="R42">
            <v>95000</v>
          </cell>
          <cell r="S42">
            <v>98800</v>
          </cell>
          <cell r="T42">
            <v>102600</v>
          </cell>
          <cell r="U42">
            <v>33090.743574149339</v>
          </cell>
        </row>
        <row r="43">
          <cell r="A43" t="str">
            <v>KG86NCWE0N</v>
          </cell>
          <cell r="B43" t="str">
            <v>iQ500 Alttan Donduruculu Kulplu Buzdolabı, 86cm, Beyaz</v>
          </cell>
          <cell r="C43">
            <v>9</v>
          </cell>
          <cell r="F43">
            <v>1</v>
          </cell>
          <cell r="I43">
            <v>1</v>
          </cell>
          <cell r="K43">
            <v>1</v>
          </cell>
          <cell r="N43">
            <v>12</v>
          </cell>
          <cell r="Q43">
            <v>89598.547283956679</v>
          </cell>
          <cell r="R43">
            <v>85118.619919758843</v>
          </cell>
          <cell r="S43">
            <v>88523.3647165492</v>
          </cell>
          <cell r="T43">
            <v>91928.109513339557</v>
          </cell>
          <cell r="U43">
            <v>22447.384493259</v>
          </cell>
        </row>
        <row r="44">
          <cell r="A44" t="str">
            <v>KG86NVWE0N</v>
          </cell>
          <cell r="B44" t="str">
            <v>iQ500 Alttan Donduruculu Kulpsuz Buzdolabı, 86cm, Beyaz</v>
          </cell>
          <cell r="C44">
            <v>43</v>
          </cell>
          <cell r="J44">
            <v>1</v>
          </cell>
          <cell r="N44">
            <v>44</v>
          </cell>
          <cell r="Q44">
            <v>79438.432781814583</v>
          </cell>
          <cell r="R44">
            <v>71500</v>
          </cell>
          <cell r="S44">
            <v>74360</v>
          </cell>
          <cell r="T44">
            <v>77220</v>
          </cell>
          <cell r="U44">
            <v>15054.711851582026</v>
          </cell>
        </row>
        <row r="45">
          <cell r="A45" t="str">
            <v>KG86PAIC0N</v>
          </cell>
          <cell r="B45" t="str">
            <v>iQ700 Alttan Donduruculu Kulplu Buzdolabı, 86cm, Inox</v>
          </cell>
          <cell r="C45">
            <v>2</v>
          </cell>
          <cell r="N45">
            <v>2</v>
          </cell>
          <cell r="Q45" t="str">
            <v>devamı yok</v>
          </cell>
          <cell r="R45">
            <v>80000</v>
          </cell>
          <cell r="S45">
            <v>83200</v>
          </cell>
          <cell r="T45">
            <v>86400</v>
          </cell>
        </row>
        <row r="46">
          <cell r="A46" t="str">
            <v>KG86PAXB0N</v>
          </cell>
          <cell r="B46" t="str">
            <v>iQ700 Alttan Donduruculu Kulpsuz Buzdolabı, 86cm, darkSteel</v>
          </cell>
          <cell r="C46">
            <v>44</v>
          </cell>
          <cell r="I46">
            <v>1</v>
          </cell>
          <cell r="M46">
            <v>1</v>
          </cell>
          <cell r="N46">
            <v>46</v>
          </cell>
          <cell r="Q46">
            <v>119402.30490978497</v>
          </cell>
          <cell r="R46">
            <v>113432.18966429573</v>
          </cell>
          <cell r="S46">
            <v>117969.47725086755</v>
          </cell>
          <cell r="T46">
            <v>122506.76483743939</v>
          </cell>
          <cell r="U46">
            <v>31658.118863273339</v>
          </cell>
        </row>
        <row r="47">
          <cell r="A47" t="str">
            <v>KG86PFIC0N</v>
          </cell>
          <cell r="B47" t="str">
            <v>iQ700 Alttan Donduruculu Kulplu Buzdolabı, 86cm, Inox</v>
          </cell>
          <cell r="C47">
            <v>127</v>
          </cell>
          <cell r="F47">
            <v>2</v>
          </cell>
          <cell r="I47">
            <v>1</v>
          </cell>
          <cell r="K47">
            <v>1</v>
          </cell>
          <cell r="L47">
            <v>1</v>
          </cell>
          <cell r="M47">
            <v>1</v>
          </cell>
          <cell r="N47">
            <v>133</v>
          </cell>
          <cell r="Q47">
            <v>113812.0276797781</v>
          </cell>
          <cell r="R47">
            <v>103000</v>
          </cell>
          <cell r="S47">
            <v>107120</v>
          </cell>
          <cell r="T47">
            <v>111240</v>
          </cell>
          <cell r="U47">
            <v>31846.911400708326</v>
          </cell>
        </row>
        <row r="48">
          <cell r="A48" t="str">
            <v>KG86PFWC0N</v>
          </cell>
          <cell r="B48" t="str">
            <v>iQ700 Alttan Donduruculu Kulplu Buzdolabı, 86cm, Beyaz</v>
          </cell>
          <cell r="C48">
            <v>52</v>
          </cell>
          <cell r="I48">
            <v>1</v>
          </cell>
          <cell r="J48">
            <v>1</v>
          </cell>
          <cell r="N48">
            <v>54</v>
          </cell>
          <cell r="Q48">
            <v>102827.95689172141</v>
          </cell>
          <cell r="R48">
            <v>95629.99990930091</v>
          </cell>
          <cell r="S48">
            <v>99455.19990567294</v>
          </cell>
          <cell r="T48">
            <v>103280.39990204498</v>
          </cell>
          <cell r="U48">
            <v>28107.026659163257</v>
          </cell>
        </row>
        <row r="49">
          <cell r="A49" t="str">
            <v xml:space="preserve"> DONDURUCU</v>
          </cell>
          <cell r="B49" t="str">
            <v/>
          </cell>
          <cell r="N49">
            <v>1163</v>
          </cell>
          <cell r="O49">
            <v>63</v>
          </cell>
        </row>
        <row r="50">
          <cell r="A50" t="str">
            <v>GS24VVWE0N</v>
          </cell>
          <cell r="B50" t="str">
            <v>iQ300 Derin Dondurucu, 146x60cm, Statik, Beyaz</v>
          </cell>
          <cell r="C50">
            <v>96</v>
          </cell>
          <cell r="F50">
            <v>1</v>
          </cell>
          <cell r="N50">
            <v>97</v>
          </cell>
          <cell r="P50" t="str">
            <v>PRİM HARİÇ</v>
          </cell>
          <cell r="Q50">
            <v>24592.564804472826</v>
          </cell>
          <cell r="R50">
            <v>23000</v>
          </cell>
          <cell r="S50">
            <v>23920</v>
          </cell>
          <cell r="T50">
            <v>24840</v>
          </cell>
        </row>
        <row r="51">
          <cell r="A51" t="str">
            <v>GS24VVWF0N</v>
          </cell>
          <cell r="B51" t="str">
            <v>iQ300 Derin Dondurucu, 146x60cm, Statik, Beyaz</v>
          </cell>
          <cell r="E51">
            <v>1</v>
          </cell>
          <cell r="L51">
            <v>1</v>
          </cell>
          <cell r="N51">
            <v>2</v>
          </cell>
          <cell r="P51" t="str">
            <v>PRİM HARİÇ</v>
          </cell>
          <cell r="Q51" t="str">
            <v>devamı yok</v>
          </cell>
          <cell r="R51">
            <v>20000</v>
          </cell>
          <cell r="S51">
            <v>20800</v>
          </cell>
          <cell r="T51">
            <v>21600</v>
          </cell>
          <cell r="W51">
            <v>500</v>
          </cell>
        </row>
        <row r="52">
          <cell r="A52" t="str">
            <v>GS29NVWE0N</v>
          </cell>
          <cell r="B52" t="str">
            <v>iQ300 Derin Dondurucu, 161x60cm, No-Frost, Beyaz</v>
          </cell>
          <cell r="C52">
            <v>14</v>
          </cell>
          <cell r="F52">
            <v>1</v>
          </cell>
          <cell r="N52">
            <v>15</v>
          </cell>
          <cell r="P52" t="str">
            <v>PRİM HARİÇ</v>
          </cell>
          <cell r="Q52">
            <v>37824.325084093936</v>
          </cell>
          <cell r="R52">
            <v>39715.54133829863</v>
          </cell>
          <cell r="S52">
            <v>41304.162991830577</v>
          </cell>
          <cell r="T52">
            <v>42892.784645362517</v>
          </cell>
          <cell r="U52">
            <v>1794.9133193880625</v>
          </cell>
        </row>
        <row r="53">
          <cell r="A53" t="str">
            <v>GS29VVWE0N</v>
          </cell>
          <cell r="B53" t="str">
            <v>iQ300 Derin Dondurucu, 161x60cm, Statik, Beyaz</v>
          </cell>
          <cell r="C53">
            <v>103</v>
          </cell>
          <cell r="F53">
            <v>2</v>
          </cell>
          <cell r="I53">
            <v>1</v>
          </cell>
          <cell r="K53">
            <v>1</v>
          </cell>
          <cell r="N53">
            <v>107</v>
          </cell>
          <cell r="P53" t="str">
            <v>PRİM HARİÇ</v>
          </cell>
          <cell r="Q53">
            <v>25437.803391758665</v>
          </cell>
          <cell r="R53">
            <v>26709.693561346598</v>
          </cell>
          <cell r="S53">
            <v>27778.08130380046</v>
          </cell>
          <cell r="T53">
            <v>28846.469046254326</v>
          </cell>
        </row>
        <row r="54">
          <cell r="A54" t="str">
            <v>GS33VVIE0N</v>
          </cell>
          <cell r="B54" t="str">
            <v>iQ300 Derin Dondurucu, 176x60cm, Statik, Inox</v>
          </cell>
          <cell r="C54">
            <v>94</v>
          </cell>
          <cell r="E54">
            <v>2</v>
          </cell>
          <cell r="F54">
            <v>5</v>
          </cell>
          <cell r="I54">
            <v>1</v>
          </cell>
          <cell r="L54">
            <v>1</v>
          </cell>
          <cell r="M54">
            <v>1</v>
          </cell>
          <cell r="N54">
            <v>104</v>
          </cell>
          <cell r="P54" t="str">
            <v>PRİM HARİÇ</v>
          </cell>
          <cell r="Q54">
            <v>31580.842639611688</v>
          </cell>
          <cell r="R54">
            <v>33159.884771592275</v>
          </cell>
          <cell r="S54">
            <v>34486.280162455965</v>
          </cell>
          <cell r="T54">
            <v>35812.675553319656</v>
          </cell>
        </row>
        <row r="55">
          <cell r="A55" t="str">
            <v>GS33VVWE0N</v>
          </cell>
          <cell r="B55" t="str">
            <v>iQ300 Derin Dondurucu, 176x60cm, Statik, Beyaz</v>
          </cell>
          <cell r="C55">
            <v>112</v>
          </cell>
          <cell r="E55">
            <v>5</v>
          </cell>
          <cell r="F55">
            <v>1</v>
          </cell>
          <cell r="I55">
            <v>1</v>
          </cell>
          <cell r="J55">
            <v>1</v>
          </cell>
          <cell r="N55">
            <v>120</v>
          </cell>
          <cell r="P55" t="str">
            <v>PRİM HARİÇ</v>
          </cell>
          <cell r="Q55">
            <v>28432.702244249125</v>
          </cell>
          <cell r="R55">
            <v>29854.337356461583</v>
          </cell>
          <cell r="S55">
            <v>31048.510850720046</v>
          </cell>
          <cell r="T55">
            <v>32242.684344978508</v>
          </cell>
        </row>
        <row r="56">
          <cell r="A56" t="str">
            <v>GS36NVIE0N</v>
          </cell>
          <cell r="B56" t="str">
            <v>iQ300 Derin Dondurucu, 186x60cm, No-Frost Inox</v>
          </cell>
          <cell r="F56">
            <v>1</v>
          </cell>
          <cell r="N56">
            <v>1</v>
          </cell>
          <cell r="P56" t="str">
            <v>PRİM HARİÇ</v>
          </cell>
          <cell r="Q56" t="str">
            <v>devamı yok</v>
          </cell>
          <cell r="R56">
            <v>36000</v>
          </cell>
          <cell r="S56">
            <v>37440</v>
          </cell>
          <cell r="T56">
            <v>38880</v>
          </cell>
          <cell r="W56">
            <v>500</v>
          </cell>
        </row>
        <row r="57">
          <cell r="A57" t="str">
            <v>GS36NVIEP</v>
          </cell>
          <cell r="B57" t="str">
            <v>iQ300 Derin Dondurucu, 186x60cm, No-Frost, Inox</v>
          </cell>
          <cell r="N57">
            <v>0</v>
          </cell>
          <cell r="P57" t="str">
            <v>PRİM HARİÇ</v>
          </cell>
          <cell r="Q57">
            <v>34578.68292151163</v>
          </cell>
          <cell r="R57">
            <v>36307.617067587213</v>
          </cell>
          <cell r="S57">
            <v>37759.921750290698</v>
          </cell>
          <cell r="T57">
            <v>39212.22643299419</v>
          </cell>
          <cell r="U57">
            <v>1658.6009542985194</v>
          </cell>
        </row>
        <row r="58">
          <cell r="A58" t="str">
            <v>GS36NVWF0N</v>
          </cell>
          <cell r="B58" t="str">
            <v>iQ300 Derin Dondurucu, 186x60cm, No-Frost, Beyaz</v>
          </cell>
          <cell r="L58">
            <v>1</v>
          </cell>
          <cell r="N58">
            <v>1</v>
          </cell>
          <cell r="P58" t="str">
            <v>PRİM HARİÇ</v>
          </cell>
          <cell r="Q58" t="str">
            <v>devamı yok</v>
          </cell>
          <cell r="R58">
            <v>30000</v>
          </cell>
          <cell r="S58">
            <v>31200</v>
          </cell>
          <cell r="T58">
            <v>32400</v>
          </cell>
          <cell r="W58">
            <v>500</v>
          </cell>
        </row>
        <row r="59">
          <cell r="A59" t="str">
            <v>GS54NVWE0N</v>
          </cell>
          <cell r="B59" t="str">
            <v>iQ300 Derin Dondurucu, 176x70cm, No-Frost, Beyaz</v>
          </cell>
          <cell r="C59">
            <v>68</v>
          </cell>
          <cell r="E59">
            <v>3</v>
          </cell>
          <cell r="F59">
            <v>1</v>
          </cell>
          <cell r="N59">
            <v>72</v>
          </cell>
          <cell r="P59" t="str">
            <v>PRİM HARİÇ</v>
          </cell>
          <cell r="Q59">
            <v>41328.219470344258</v>
          </cell>
          <cell r="R59">
            <v>43394.630443861468</v>
          </cell>
          <cell r="S59">
            <v>45130.415661615923</v>
          </cell>
          <cell r="T59">
            <v>46866.200879370386</v>
          </cell>
          <cell r="U59">
            <v>1989.9841762266078</v>
          </cell>
        </row>
        <row r="60">
          <cell r="A60" t="str">
            <v>A.DOLAP</v>
          </cell>
          <cell r="B60" t="str">
            <v/>
          </cell>
          <cell r="N60">
            <v>519</v>
          </cell>
        </row>
        <row r="61">
          <cell r="A61" t="str">
            <v>CI24WP03</v>
          </cell>
          <cell r="B61" t="str">
            <v>iQ700 studioLine Ankastre Şarap Soğutucu, 212.5x60.3cm</v>
          </cell>
          <cell r="D61">
            <v>4</v>
          </cell>
          <cell r="H61">
            <v>1</v>
          </cell>
          <cell r="N61">
            <v>5</v>
          </cell>
          <cell r="Q61">
            <v>320728.45808950713</v>
          </cell>
          <cell r="R61">
            <v>304692.03518503177</v>
          </cell>
          <cell r="S61">
            <v>316879.71659243305</v>
          </cell>
          <cell r="T61">
            <v>329067.39799983433</v>
          </cell>
          <cell r="W61">
            <v>250</v>
          </cell>
        </row>
        <row r="62">
          <cell r="A62" t="str">
            <v>CI30BP02</v>
          </cell>
          <cell r="B62" t="str">
            <v>iQ700 studioLine Alttan Donduruculu Ankastre Buzdolabı, 212.5x75.6cm, Düz Menteşe</v>
          </cell>
          <cell r="D62">
            <v>2</v>
          </cell>
          <cell r="H62">
            <v>1</v>
          </cell>
          <cell r="N62">
            <v>3</v>
          </cell>
          <cell r="Q62" t="str">
            <v>devamı yok</v>
          </cell>
          <cell r="R62">
            <v>375000</v>
          </cell>
          <cell r="S62">
            <v>390000</v>
          </cell>
          <cell r="T62">
            <v>405000</v>
          </cell>
          <cell r="W62">
            <v>250</v>
          </cell>
        </row>
        <row r="63">
          <cell r="A63" t="str">
            <v>CI30RP02</v>
          </cell>
          <cell r="B63" t="str">
            <v>iQ700 studioLine Ankastre Buzdolabı, 212.5x75.6cm, Düz Menteşe</v>
          </cell>
          <cell r="D63">
            <v>5</v>
          </cell>
          <cell r="G63">
            <v>1</v>
          </cell>
          <cell r="J63">
            <v>1</v>
          </cell>
          <cell r="N63">
            <v>7</v>
          </cell>
          <cell r="Q63" t="str">
            <v>devamı yok</v>
          </cell>
          <cell r="R63">
            <v>400000</v>
          </cell>
          <cell r="S63">
            <v>416000</v>
          </cell>
          <cell r="T63">
            <v>432000</v>
          </cell>
          <cell r="W63">
            <v>250</v>
          </cell>
        </row>
        <row r="64">
          <cell r="A64" t="str">
            <v>CI36TP02</v>
          </cell>
          <cell r="B64" t="str">
            <v>iQ700 Alttan Donduruculu Ankastre Buzdolabı, 212.5x90.8cm, Düz Menteşe</v>
          </cell>
          <cell r="E64">
            <v>1</v>
          </cell>
          <cell r="H64">
            <v>1</v>
          </cell>
          <cell r="L64">
            <v>1</v>
          </cell>
          <cell r="N64">
            <v>3</v>
          </cell>
          <cell r="Q64" t="str">
            <v>devamı yok</v>
          </cell>
          <cell r="R64">
            <v>325000</v>
          </cell>
          <cell r="S64">
            <v>338000</v>
          </cell>
          <cell r="T64">
            <v>351000</v>
          </cell>
          <cell r="W64">
            <v>1000</v>
          </cell>
        </row>
        <row r="65">
          <cell r="A65" t="str">
            <v>FI24NP32</v>
          </cell>
          <cell r="B65" t="str">
            <v>iQ700 Ankastre Derin Dondurucu, 212.5x60.3cm, Düz Menteşe</v>
          </cell>
          <cell r="F65">
            <v>1</v>
          </cell>
          <cell r="J65">
            <v>1</v>
          </cell>
          <cell r="L65">
            <v>1</v>
          </cell>
          <cell r="N65">
            <v>3</v>
          </cell>
          <cell r="Q65" t="str">
            <v>devamı yok</v>
          </cell>
          <cell r="R65">
            <v>290000</v>
          </cell>
          <cell r="S65">
            <v>301600</v>
          </cell>
          <cell r="T65">
            <v>313200</v>
          </cell>
          <cell r="W65">
            <v>1000</v>
          </cell>
        </row>
        <row r="66">
          <cell r="A66" t="str">
            <v>FI24NP33</v>
          </cell>
          <cell r="B66" t="str">
            <v>iQ700 Ankastre Derin Dondurucu, 212.5x60.3cm, Düz Menteşe</v>
          </cell>
          <cell r="C66">
            <v>1</v>
          </cell>
          <cell r="N66">
            <v>1</v>
          </cell>
          <cell r="Q66">
            <v>323156.50178004295</v>
          </cell>
          <cell r="R66">
            <v>323156.50178004295</v>
          </cell>
          <cell r="S66">
            <v>336082.76185124466</v>
          </cell>
          <cell r="T66">
            <v>349009.02192244638</v>
          </cell>
        </row>
        <row r="67">
          <cell r="A67" t="str">
            <v>KU21RADE0</v>
          </cell>
          <cell r="B67" t="str">
            <v>iQ500 Tezgah Altı Ankastre Buzdolabı, 82x59.8cm, softClosing Düz Menteşe</v>
          </cell>
          <cell r="N67">
            <v>0</v>
          </cell>
          <cell r="O67">
            <v>3</v>
          </cell>
          <cell r="Q67">
            <v>66893.157793042163</v>
          </cell>
          <cell r="R67">
            <v>66893.157793042163</v>
          </cell>
          <cell r="S67">
            <v>69568.884104763856</v>
          </cell>
          <cell r="T67">
            <v>72244.610416485535</v>
          </cell>
        </row>
        <row r="68">
          <cell r="A68" t="str">
            <v>KU21WAHG0</v>
          </cell>
          <cell r="B68" t="str">
            <v>iQ500 Ankastre Şarap Soğutucu, 81.8x59.8cm</v>
          </cell>
          <cell r="J68">
            <v>1</v>
          </cell>
          <cell r="M68">
            <v>1</v>
          </cell>
          <cell r="N68">
            <v>2</v>
          </cell>
          <cell r="O68">
            <v>3</v>
          </cell>
          <cell r="Q68">
            <v>102760.3448110442</v>
          </cell>
          <cell r="R68">
            <v>102760.3448110442</v>
          </cell>
          <cell r="S68">
            <v>106870.75860348597</v>
          </cell>
          <cell r="T68">
            <v>110981.17239592773</v>
          </cell>
        </row>
        <row r="69">
          <cell r="A69" t="str">
            <v>KI82LADD0</v>
          </cell>
          <cell r="B69" t="str">
            <v>iQ500 Derin Donduruculu Ankastre Buzdolabı, 177.2x55.8cm, softClosing Düz Menteşe</v>
          </cell>
          <cell r="C69">
            <v>10</v>
          </cell>
          <cell r="F69">
            <v>1</v>
          </cell>
          <cell r="N69">
            <v>11</v>
          </cell>
          <cell r="Q69">
            <v>95992.543845008942</v>
          </cell>
          <cell r="R69">
            <v>91192.916652758489</v>
          </cell>
          <cell r="S69">
            <v>94840.63331886883</v>
          </cell>
          <cell r="T69">
            <v>98488.34998497917</v>
          </cell>
        </row>
        <row r="70">
          <cell r="A70" t="str">
            <v>KI86NHDF0</v>
          </cell>
          <cell r="B70" t="str">
            <v>iQ500 Alttan Donduruculu Ankastre Buzdolabı, 177.2x55.8cm, softClosing Düz Menteşe</v>
          </cell>
          <cell r="G70">
            <v>1</v>
          </cell>
          <cell r="N70">
            <v>1</v>
          </cell>
          <cell r="Q70" t="str">
            <v>devamı yok</v>
          </cell>
          <cell r="R70">
            <v>75000</v>
          </cell>
          <cell r="S70">
            <v>78000</v>
          </cell>
          <cell r="T70">
            <v>81000</v>
          </cell>
          <cell r="W70">
            <v>1000</v>
          </cell>
        </row>
        <row r="71">
          <cell r="A71" t="str">
            <v>KI87SAFE0N</v>
          </cell>
          <cell r="B71" t="str">
            <v>iQ500 Alttan Donduruculu Ankastre Buzdolabı, 177.2x55.8cm, Düz Menteşe</v>
          </cell>
          <cell r="E71">
            <v>2</v>
          </cell>
          <cell r="J71">
            <v>1</v>
          </cell>
          <cell r="L71">
            <v>1</v>
          </cell>
          <cell r="N71">
            <v>4</v>
          </cell>
          <cell r="O71">
            <v>3</v>
          </cell>
          <cell r="Q71">
            <v>97354.167416930461</v>
          </cell>
          <cell r="R71">
            <v>97354.167416930461</v>
          </cell>
          <cell r="S71">
            <v>101248.33411360768</v>
          </cell>
          <cell r="T71">
            <v>105142.5008102849</v>
          </cell>
        </row>
        <row r="72">
          <cell r="A72" t="str">
            <v>KB96NADD1</v>
          </cell>
          <cell r="B72" t="str">
            <v>iQ500 Alttan Donduruculu Ankastre Buzdolabı, 193.5x70.8cm, softClosing Düz Menteşe</v>
          </cell>
          <cell r="N72">
            <v>0</v>
          </cell>
          <cell r="O72">
            <v>4</v>
          </cell>
          <cell r="Q72">
            <v>119995.99338721613</v>
          </cell>
          <cell r="R72">
            <v>119995.99338721613</v>
          </cell>
          <cell r="S72">
            <v>124795.83312270477</v>
          </cell>
          <cell r="T72">
            <v>129595.67285819343</v>
          </cell>
        </row>
        <row r="73">
          <cell r="A73" t="str">
            <v>KB96NADD0</v>
          </cell>
          <cell r="B73" t="str">
            <v>iQ500 Alttan Donduruculu Ankastre Buzdolabı, 193.5x70.8cm, softClosing Düz Menteşe</v>
          </cell>
          <cell r="C73">
            <v>1</v>
          </cell>
          <cell r="N73">
            <v>1</v>
          </cell>
          <cell r="Q73">
            <v>119995.99338721613</v>
          </cell>
          <cell r="R73">
            <v>119995.99338721613</v>
          </cell>
          <cell r="S73">
            <v>124795.83312270477</v>
          </cell>
          <cell r="T73">
            <v>129595.67285819343</v>
          </cell>
        </row>
        <row r="74">
          <cell r="A74" t="str">
            <v>KB96NSDD0</v>
          </cell>
          <cell r="B74" t="str">
            <v>iQ500 studioLine Alttan Donduruculu Ankastre Buzdolabı, 193.5x70.8cm, Düz Menteşe</v>
          </cell>
          <cell r="D74">
            <v>12</v>
          </cell>
          <cell r="N74">
            <v>12</v>
          </cell>
          <cell r="Q74">
            <v>145394.74836193025</v>
          </cell>
          <cell r="R74">
            <v>130855.27352573723</v>
          </cell>
          <cell r="S74">
            <v>136089.48446676671</v>
          </cell>
          <cell r="T74">
            <v>141323.69540779621</v>
          </cell>
          <cell r="W74">
            <v>500</v>
          </cell>
        </row>
        <row r="75">
          <cell r="A75" t="str">
            <v>ÇAMAŞIR MAKİNASI</v>
          </cell>
          <cell r="B75" t="str">
            <v/>
          </cell>
          <cell r="N75">
            <v>53</v>
          </cell>
        </row>
        <row r="76">
          <cell r="A76" t="str">
            <v>WG42A1ZXTR</v>
          </cell>
          <cell r="B76" t="str">
            <v>iQ300 Çamaşır Makinesi, 9kg/1200devir, Gümüş</v>
          </cell>
          <cell r="I76">
            <v>1</v>
          </cell>
          <cell r="N76">
            <v>1</v>
          </cell>
          <cell r="Q76" t="str">
            <v>devamı yok</v>
          </cell>
          <cell r="R76">
            <v>35000</v>
          </cell>
          <cell r="S76">
            <v>36400</v>
          </cell>
          <cell r="T76">
            <v>37800</v>
          </cell>
          <cell r="W76">
            <v>500</v>
          </cell>
        </row>
        <row r="77">
          <cell r="A77" t="str">
            <v>WG52A2Z0TR</v>
          </cell>
          <cell r="B77" t="str">
            <v>iQ500 Çamaşır Makinesi, 10kg/1200devir, Beyaz</v>
          </cell>
          <cell r="L77">
            <v>1</v>
          </cell>
          <cell r="N77">
            <v>1</v>
          </cell>
          <cell r="Q77" t="str">
            <v>devamı yok</v>
          </cell>
          <cell r="R77">
            <v>37000</v>
          </cell>
          <cell r="S77">
            <v>38480</v>
          </cell>
          <cell r="T77">
            <v>39960</v>
          </cell>
          <cell r="V77">
            <v>3490</v>
          </cell>
          <cell r="W77">
            <v>500</v>
          </cell>
        </row>
        <row r="78">
          <cell r="A78" t="str">
            <v>WG42A2X3TR</v>
          </cell>
          <cell r="B78" t="str">
            <v>iQ300 Çamaşır Makinesi, 9kg/1200devir, Beyaz</v>
          </cell>
          <cell r="C78">
            <v>50</v>
          </cell>
          <cell r="I78">
            <v>2</v>
          </cell>
          <cell r="J78">
            <v>2</v>
          </cell>
          <cell r="K78">
            <v>1</v>
          </cell>
          <cell r="M78">
            <v>1</v>
          </cell>
          <cell r="N78">
            <v>56</v>
          </cell>
          <cell r="Q78">
            <v>33951.071927080571</v>
          </cell>
          <cell r="R78">
            <v>32253.518330726543</v>
          </cell>
          <cell r="S78">
            <v>33543.659063955602</v>
          </cell>
          <cell r="T78">
            <v>34833.799797184663</v>
          </cell>
        </row>
        <row r="79">
          <cell r="A79" t="str">
            <v>WG42K2Z0TR</v>
          </cell>
          <cell r="B79" t="str">
            <v>iQ500 Çamaşır Makinesi, 9kg/1200devir, Beyaz</v>
          </cell>
          <cell r="C79">
            <v>33</v>
          </cell>
          <cell r="I79">
            <v>1</v>
          </cell>
          <cell r="L79">
            <v>1</v>
          </cell>
          <cell r="N79">
            <v>35</v>
          </cell>
          <cell r="Q79">
            <v>43627.587009902316</v>
          </cell>
          <cell r="R79">
            <v>40573.655919209152</v>
          </cell>
          <cell r="S79">
            <v>42196.602155977518</v>
          </cell>
          <cell r="T79">
            <v>43819.548392745884</v>
          </cell>
        </row>
        <row r="80">
          <cell r="A80" t="str">
            <v>WG42K2ZXTR</v>
          </cell>
          <cell r="B80" t="str">
            <v>iQ500 Çamaşır Makinesi, 9kg/1200devir, Gümüş</v>
          </cell>
          <cell r="C80">
            <v>61</v>
          </cell>
          <cell r="I80">
            <v>1</v>
          </cell>
          <cell r="J80">
            <v>1</v>
          </cell>
          <cell r="K80">
            <v>1</v>
          </cell>
          <cell r="M80">
            <v>1</v>
          </cell>
          <cell r="N80">
            <v>65</v>
          </cell>
          <cell r="Q80">
            <v>45494.72632684563</v>
          </cell>
          <cell r="R80">
            <v>42310.095483966434</v>
          </cell>
          <cell r="S80">
            <v>44002.499303325094</v>
          </cell>
          <cell r="T80">
            <v>45694.903122683747</v>
          </cell>
        </row>
        <row r="81">
          <cell r="A81" t="str">
            <v>WG44A2Z1TR</v>
          </cell>
          <cell r="B81" t="str">
            <v>iQ300 Çamaşır Makinesi, 9kg/1400devir, Beyaz</v>
          </cell>
          <cell r="I81">
            <v>1</v>
          </cell>
          <cell r="N81">
            <v>1</v>
          </cell>
          <cell r="Q81" t="str">
            <v>devamı yok</v>
          </cell>
          <cell r="R81">
            <v>32000</v>
          </cell>
          <cell r="S81">
            <v>33280</v>
          </cell>
          <cell r="T81">
            <v>34560</v>
          </cell>
          <cell r="W81">
            <v>500</v>
          </cell>
        </row>
        <row r="82">
          <cell r="A82" t="str">
            <v>WG44B2A0TR</v>
          </cell>
          <cell r="B82" t="str">
            <v>iQ700 Çamaşır Makinesi, 9kg/1400devir, i-dos, Beyaz</v>
          </cell>
          <cell r="J82">
            <v>1</v>
          </cell>
          <cell r="L82">
            <v>1</v>
          </cell>
          <cell r="M82">
            <v>1</v>
          </cell>
          <cell r="N82">
            <v>3</v>
          </cell>
          <cell r="O82">
            <v>5</v>
          </cell>
          <cell r="Q82">
            <v>50877.593851705358</v>
          </cell>
          <cell r="R82">
            <v>50878</v>
          </cell>
          <cell r="S82">
            <v>52913.120000000003</v>
          </cell>
          <cell r="T82">
            <v>54948.24</v>
          </cell>
        </row>
        <row r="83">
          <cell r="A83" t="str">
            <v>WG44B200TR</v>
          </cell>
          <cell r="B83" t="str">
            <v>iQ700 Çamaşır Makinesi, 9kg/1400devir, Beyaz</v>
          </cell>
          <cell r="I83">
            <v>1</v>
          </cell>
          <cell r="N83">
            <v>1</v>
          </cell>
          <cell r="Q83" t="str">
            <v>devamı yok</v>
          </cell>
          <cell r="R83">
            <v>46000</v>
          </cell>
          <cell r="S83">
            <v>47840</v>
          </cell>
          <cell r="T83">
            <v>49680</v>
          </cell>
          <cell r="W83">
            <v>500</v>
          </cell>
        </row>
        <row r="84">
          <cell r="A84" t="str">
            <v>WG44K2Z0TR</v>
          </cell>
          <cell r="B84" t="str">
            <v>iQ500 Çamaşır Makinesi, 9kg/1400devir, Beyaz</v>
          </cell>
          <cell r="C84">
            <v>16</v>
          </cell>
          <cell r="F84">
            <v>1</v>
          </cell>
          <cell r="I84">
            <v>1</v>
          </cell>
          <cell r="J84">
            <v>1</v>
          </cell>
          <cell r="N84">
            <v>19</v>
          </cell>
          <cell r="Q84">
            <v>43297.575959808506</v>
          </cell>
          <cell r="R84">
            <v>40266.745642621914</v>
          </cell>
          <cell r="S84">
            <v>41877.415468326792</v>
          </cell>
          <cell r="T84">
            <v>43488.085294031669</v>
          </cell>
        </row>
        <row r="85">
          <cell r="A85" t="str">
            <v>WG52A202TR</v>
          </cell>
          <cell r="B85" t="str">
            <v>iQ300 Çamaşır Makinesi, 10kg/1200devir, Beyaz</v>
          </cell>
          <cell r="I85">
            <v>1</v>
          </cell>
          <cell r="J85">
            <v>1</v>
          </cell>
          <cell r="L85">
            <v>1</v>
          </cell>
          <cell r="N85">
            <v>3</v>
          </cell>
          <cell r="Q85" t="str">
            <v>devamı yok</v>
          </cell>
          <cell r="R85">
            <v>34557</v>
          </cell>
          <cell r="S85">
            <v>35939.279999999999</v>
          </cell>
          <cell r="T85">
            <v>37321.56</v>
          </cell>
          <cell r="U85">
            <v>1556.7337650080808</v>
          </cell>
          <cell r="W85">
            <v>500</v>
          </cell>
        </row>
        <row r="86">
          <cell r="A86" t="str">
            <v>WG52A203TR</v>
          </cell>
          <cell r="B86" t="str">
            <v>iQ300 Çamaşır Makinesi, 10kg/1200devir, Beyaz</v>
          </cell>
          <cell r="C86">
            <v>213</v>
          </cell>
          <cell r="I86">
            <v>1</v>
          </cell>
          <cell r="J86">
            <v>1</v>
          </cell>
          <cell r="K86">
            <v>1</v>
          </cell>
          <cell r="N86">
            <v>216</v>
          </cell>
          <cell r="Q86">
            <v>39308.306442639354</v>
          </cell>
          <cell r="R86">
            <v>36000</v>
          </cell>
          <cell r="S86">
            <v>37440</v>
          </cell>
          <cell r="T86">
            <v>38880</v>
          </cell>
        </row>
        <row r="87">
          <cell r="A87" t="str">
            <v>WG52K2ZSTR</v>
          </cell>
          <cell r="B87" t="str">
            <v>iQ500 Çamaşır Makinesi, 10kg/1200devir, Gümüş</v>
          </cell>
          <cell r="C87">
            <v>6</v>
          </cell>
          <cell r="I87">
            <v>1</v>
          </cell>
          <cell r="N87">
            <v>7</v>
          </cell>
          <cell r="Q87">
            <v>49073.715895703179</v>
          </cell>
          <cell r="R87">
            <v>49073.715895703179</v>
          </cell>
          <cell r="S87">
            <v>51036.664531531307</v>
          </cell>
          <cell r="T87">
            <v>52999.613167359435</v>
          </cell>
        </row>
        <row r="88">
          <cell r="A88" t="str">
            <v>WG52A2A0TR</v>
          </cell>
          <cell r="B88" t="str">
            <v>iQ500 Çamaşır Makinesi, 10kg/1200devir, i-dos, Beyaz</v>
          </cell>
          <cell r="L88">
            <v>1</v>
          </cell>
          <cell r="N88">
            <v>1</v>
          </cell>
          <cell r="Q88" t="str">
            <v>devamı yok</v>
          </cell>
          <cell r="R88">
            <v>36000</v>
          </cell>
          <cell r="S88">
            <v>37440</v>
          </cell>
          <cell r="T88">
            <v>38880</v>
          </cell>
          <cell r="W88">
            <v>500</v>
          </cell>
        </row>
        <row r="89">
          <cell r="A89" t="str">
            <v>WG52A2F0TR</v>
          </cell>
          <cell r="B89" t="str">
            <v>iQ500 Çamaşır Makinesi, 10kg/1200devir, i-dos, Beyaz</v>
          </cell>
          <cell r="E89">
            <v>1</v>
          </cell>
          <cell r="I89">
            <v>1</v>
          </cell>
          <cell r="J89">
            <v>1</v>
          </cell>
          <cell r="K89">
            <v>1</v>
          </cell>
          <cell r="L89">
            <v>1</v>
          </cell>
          <cell r="M89">
            <v>1</v>
          </cell>
          <cell r="N89">
            <v>6</v>
          </cell>
          <cell r="Q89" t="str">
            <v>devamı yok</v>
          </cell>
          <cell r="R89">
            <v>36000</v>
          </cell>
          <cell r="S89">
            <v>37440</v>
          </cell>
          <cell r="T89">
            <v>38880</v>
          </cell>
          <cell r="W89">
            <v>500</v>
          </cell>
        </row>
        <row r="90">
          <cell r="A90" t="str">
            <v>WG52A2ZXTR</v>
          </cell>
          <cell r="B90" t="str">
            <v>iQ300 Çamaşır Makinesi, 10kg/1200devir, Gümüş</v>
          </cell>
          <cell r="E90">
            <v>1</v>
          </cell>
          <cell r="N90">
            <v>1</v>
          </cell>
          <cell r="Q90" t="str">
            <v>devamı yok</v>
          </cell>
          <cell r="R90">
            <v>36000</v>
          </cell>
          <cell r="S90">
            <v>37440</v>
          </cell>
          <cell r="T90">
            <v>38880</v>
          </cell>
          <cell r="W90">
            <v>500</v>
          </cell>
        </row>
        <row r="91">
          <cell r="A91" t="str">
            <v>WG52K2Z0TR</v>
          </cell>
          <cell r="B91" t="str">
            <v>iQ500 Çamaşır Makinesi, 10kg/1200devir, Beyaz</v>
          </cell>
          <cell r="F91">
            <v>1</v>
          </cell>
          <cell r="I91">
            <v>1</v>
          </cell>
          <cell r="J91">
            <v>1</v>
          </cell>
          <cell r="N91">
            <v>3</v>
          </cell>
          <cell r="Q91" t="str">
            <v>devamı yok</v>
          </cell>
          <cell r="R91">
            <v>38000</v>
          </cell>
          <cell r="S91">
            <v>39520</v>
          </cell>
          <cell r="T91">
            <v>41040</v>
          </cell>
          <cell r="W91">
            <v>500</v>
          </cell>
        </row>
        <row r="92">
          <cell r="A92" t="str">
            <v>WG52K2ZXTR</v>
          </cell>
          <cell r="B92" t="str">
            <v>iQ500 Çamaşır Makinesi, 10kg/1200devir, Gümüş</v>
          </cell>
          <cell r="J92">
            <v>1</v>
          </cell>
          <cell r="N92">
            <v>1</v>
          </cell>
          <cell r="Q92" t="str">
            <v>devamı yok</v>
          </cell>
          <cell r="R92">
            <v>40000</v>
          </cell>
          <cell r="S92">
            <v>41600</v>
          </cell>
          <cell r="T92">
            <v>43200</v>
          </cell>
          <cell r="W92">
            <v>500</v>
          </cell>
        </row>
        <row r="93">
          <cell r="A93" t="str">
            <v>WG54A2Z0TR</v>
          </cell>
          <cell r="B93" t="str">
            <v>iQ300 Çamaşır Makinesi, 10kg/1400devir, Beyaz</v>
          </cell>
          <cell r="L93">
            <v>1</v>
          </cell>
          <cell r="N93">
            <v>1</v>
          </cell>
          <cell r="Q93" t="str">
            <v>devamı yok</v>
          </cell>
          <cell r="R93">
            <v>42000</v>
          </cell>
          <cell r="S93">
            <v>43680</v>
          </cell>
          <cell r="T93">
            <v>45360</v>
          </cell>
          <cell r="W93">
            <v>500</v>
          </cell>
        </row>
        <row r="94">
          <cell r="A94" t="str">
            <v>WG54B200TR</v>
          </cell>
          <cell r="B94" t="str">
            <v>iQ700 Çamaşır Makinesi, 10kg/1400devir, intelligentDosing, Beyaz</v>
          </cell>
          <cell r="C94">
            <v>2</v>
          </cell>
          <cell r="N94">
            <v>2</v>
          </cell>
          <cell r="Q94">
            <v>52561.488908400599</v>
          </cell>
          <cell r="R94">
            <v>52561.488908400599</v>
          </cell>
          <cell r="S94">
            <v>54663.948464736626</v>
          </cell>
          <cell r="T94">
            <v>56766.408021072646</v>
          </cell>
        </row>
        <row r="95">
          <cell r="A95" t="str">
            <v>WG54B2A1TR</v>
          </cell>
          <cell r="B95" t="str">
            <v>iQ700 Çamaşır Makinesi, 10kg/1400devir, i-dos, Beyaz</v>
          </cell>
          <cell r="L95">
            <v>1</v>
          </cell>
          <cell r="N95">
            <v>1</v>
          </cell>
          <cell r="Q95" t="str">
            <v>devamı yok</v>
          </cell>
          <cell r="R95">
            <v>52000</v>
          </cell>
          <cell r="S95">
            <v>54080</v>
          </cell>
          <cell r="T95">
            <v>56160</v>
          </cell>
          <cell r="W95">
            <v>500</v>
          </cell>
        </row>
        <row r="96">
          <cell r="A96" t="str">
            <v>WG54B2AXTR</v>
          </cell>
          <cell r="B96" t="str">
            <v>iQ700 Çamaşır Makinesi, 10kg/1400devir, i-dos, Gümüş</v>
          </cell>
          <cell r="J96">
            <v>1</v>
          </cell>
          <cell r="N96">
            <v>1</v>
          </cell>
          <cell r="Q96" t="str">
            <v>devamı yok</v>
          </cell>
          <cell r="R96">
            <v>55000</v>
          </cell>
          <cell r="S96">
            <v>57200</v>
          </cell>
          <cell r="T96">
            <v>59400</v>
          </cell>
          <cell r="W96">
            <v>500</v>
          </cell>
        </row>
        <row r="97">
          <cell r="A97" t="str">
            <v>WG52K2Z1TR</v>
          </cell>
          <cell r="B97" t="str">
            <v>iQ500 Çamaşır Makinesi, 10kg/1200devir, Beyaz</v>
          </cell>
          <cell r="C97">
            <v>14</v>
          </cell>
          <cell r="F97">
            <v>1</v>
          </cell>
          <cell r="I97">
            <v>1</v>
          </cell>
          <cell r="J97">
            <v>1</v>
          </cell>
          <cell r="K97">
            <v>1</v>
          </cell>
          <cell r="N97">
            <v>18</v>
          </cell>
          <cell r="Q97">
            <v>47147.984595873975</v>
          </cell>
          <cell r="R97">
            <v>44790.585366080275</v>
          </cell>
          <cell r="S97">
            <v>46582.208780723486</v>
          </cell>
          <cell r="T97">
            <v>48373.832195366696</v>
          </cell>
        </row>
        <row r="98">
          <cell r="A98" t="str">
            <v>WG54K2Y0TR</v>
          </cell>
          <cell r="B98" t="str">
            <v>iQ500 Çamaşır Makinesi, 10kg/1400devir, i-dos, Beyaz</v>
          </cell>
          <cell r="C98">
            <v>21</v>
          </cell>
          <cell r="I98">
            <v>2</v>
          </cell>
          <cell r="M98">
            <v>1</v>
          </cell>
          <cell r="N98">
            <v>24</v>
          </cell>
          <cell r="Q98">
            <v>47289.815559320137</v>
          </cell>
          <cell r="R98">
            <v>44925.324781354131</v>
          </cell>
          <cell r="S98">
            <v>46722.337772608298</v>
          </cell>
          <cell r="T98">
            <v>48519.350763862458</v>
          </cell>
        </row>
        <row r="99">
          <cell r="A99" t="str">
            <v>WG64K2Y0TR</v>
          </cell>
          <cell r="B99" t="str">
            <v>iQ500 Çamaşır Makinesi, 11kg/1400devir, i-dos, Beyaz</v>
          </cell>
          <cell r="C99">
            <v>7</v>
          </cell>
          <cell r="N99">
            <v>7</v>
          </cell>
          <cell r="Q99">
            <v>50367.146466691978</v>
          </cell>
          <cell r="R99">
            <v>47848.789143357382</v>
          </cell>
          <cell r="S99">
            <v>49762.740709091675</v>
          </cell>
          <cell r="T99">
            <v>51676.692274825975</v>
          </cell>
        </row>
        <row r="100">
          <cell r="A100" t="str">
            <v>WG64K2F0TR</v>
          </cell>
          <cell r="B100" t="str">
            <v>iQ500 Çamaşır Makinesi, 11kg/1400devir, i-dos, Beyaz</v>
          </cell>
          <cell r="L100">
            <v>1</v>
          </cell>
          <cell r="N100">
            <v>1</v>
          </cell>
          <cell r="Q100" t="str">
            <v>devamı yok</v>
          </cell>
          <cell r="R100">
            <v>40000</v>
          </cell>
          <cell r="S100">
            <v>41600</v>
          </cell>
          <cell r="T100">
            <v>43200</v>
          </cell>
          <cell r="W100">
            <v>500</v>
          </cell>
        </row>
        <row r="101">
          <cell r="A101" t="str">
            <v>WG64K2Z0TR</v>
          </cell>
          <cell r="B101" t="str">
            <v>iQ500 Çamaşır Makinesi, 11kg/1400devir, Beyaz</v>
          </cell>
          <cell r="C101">
            <v>52</v>
          </cell>
          <cell r="I101">
            <v>2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58</v>
          </cell>
          <cell r="Q101">
            <v>48992.310366043464</v>
          </cell>
          <cell r="R101">
            <v>46542.694847741288</v>
          </cell>
          <cell r="S101">
            <v>48404.402641650937</v>
          </cell>
          <cell r="T101">
            <v>50266.110435560593</v>
          </cell>
        </row>
        <row r="102">
          <cell r="A102" t="str">
            <v>WG64K2ZRTR</v>
          </cell>
          <cell r="B102" t="str">
            <v>iQ500 Çamaşır Makinesi, 11kg/1400devir, Antrasit/Dark</v>
          </cell>
          <cell r="C102">
            <v>69</v>
          </cell>
          <cell r="I102">
            <v>1</v>
          </cell>
          <cell r="J102">
            <v>1</v>
          </cell>
          <cell r="K102">
            <v>1</v>
          </cell>
          <cell r="M102">
            <v>1</v>
          </cell>
          <cell r="N102">
            <v>73</v>
          </cell>
          <cell r="Q102">
            <v>52387.95330734842</v>
          </cell>
          <cell r="R102">
            <v>49768.555641981002</v>
          </cell>
          <cell r="S102">
            <v>51759.297867660243</v>
          </cell>
          <cell r="T102">
            <v>53750.040093339485</v>
          </cell>
        </row>
        <row r="103">
          <cell r="A103" t="str">
            <v>WG64B2AXTR</v>
          </cell>
          <cell r="B103" t="str">
            <v>iQ700 Çamaşır Makinesi, 11kg/1400devir, intelligentDosingPlus, Gümüş</v>
          </cell>
          <cell r="C103">
            <v>2</v>
          </cell>
          <cell r="N103">
            <v>2</v>
          </cell>
          <cell r="Q103">
            <v>62780.288082804618</v>
          </cell>
          <cell r="R103">
            <v>62780.288082804618</v>
          </cell>
          <cell r="S103">
            <v>65291.499606116806</v>
          </cell>
          <cell r="T103">
            <v>67802.711129428993</v>
          </cell>
        </row>
        <row r="104">
          <cell r="A104" t="str">
            <v>WG64B2A0TR</v>
          </cell>
          <cell r="B104" t="str">
            <v>iQ700 Çamaşır Makinesi, 11kg/1400devir, intelligentDosing, Beyaz</v>
          </cell>
          <cell r="N104">
            <v>0</v>
          </cell>
          <cell r="O104">
            <v>2</v>
          </cell>
          <cell r="Q104">
            <v>60958.457320099915</v>
          </cell>
          <cell r="R104">
            <v>60958.457320099915</v>
          </cell>
          <cell r="S104">
            <v>63396.795612903908</v>
          </cell>
          <cell r="T104">
            <v>65835.133905707902</v>
          </cell>
        </row>
        <row r="105">
          <cell r="A105" t="str">
            <v>WM14UP91TR</v>
          </cell>
          <cell r="B105" t="str">
            <v>iQ500 Çamaşır Makinesi, 9kg/1400devir, i-dos, Beyaz</v>
          </cell>
          <cell r="I105">
            <v>1</v>
          </cell>
          <cell r="L105">
            <v>1</v>
          </cell>
          <cell r="N105">
            <v>2</v>
          </cell>
          <cell r="Q105" t="str">
            <v>devamı yok</v>
          </cell>
          <cell r="R105">
            <v>40000</v>
          </cell>
          <cell r="S105">
            <v>41600</v>
          </cell>
          <cell r="T105">
            <v>43200</v>
          </cell>
          <cell r="W105">
            <v>500</v>
          </cell>
        </row>
        <row r="106">
          <cell r="A106" t="str">
            <v>WM14XE50TR</v>
          </cell>
          <cell r="B106" t="str">
            <v>iQ700 Çamaşır Makinesi, 10kg/1400devir, i-dos, Beyaz</v>
          </cell>
          <cell r="I106">
            <v>1</v>
          </cell>
          <cell r="N106">
            <v>1</v>
          </cell>
          <cell r="Q106" t="str">
            <v>devamı yok</v>
          </cell>
          <cell r="R106">
            <v>40000</v>
          </cell>
          <cell r="S106">
            <v>41600</v>
          </cell>
          <cell r="T106">
            <v>43200</v>
          </cell>
          <cell r="W106">
            <v>500</v>
          </cell>
        </row>
        <row r="107">
          <cell r="A107" t="str">
            <v>WN54C2A0TR</v>
          </cell>
          <cell r="B107" t="str">
            <v>iQ700 Kurutmalı Çamaşır Makinesi, 10.5kg/6kg/1400devir, i-dos, Beyaz</v>
          </cell>
          <cell r="C107">
            <v>2</v>
          </cell>
          <cell r="N107">
            <v>2</v>
          </cell>
          <cell r="Q107">
            <v>83123.484182492699</v>
          </cell>
          <cell r="R107">
            <v>83123.484182492699</v>
          </cell>
          <cell r="S107">
            <v>86448.423549792409</v>
          </cell>
          <cell r="T107">
            <v>89773.362917092119</v>
          </cell>
          <cell r="W107">
            <v>500</v>
          </cell>
        </row>
        <row r="108">
          <cell r="A108" t="str">
            <v>KURUTMA MAKİNASI</v>
          </cell>
          <cell r="B108" t="str">
            <v/>
          </cell>
          <cell r="N108">
            <v>611</v>
          </cell>
        </row>
        <row r="109">
          <cell r="A109" t="str">
            <v>WQ41G2C0TR</v>
          </cell>
          <cell r="B109" t="str">
            <v>iQ500 Isı Pompalı Kurutma Makinesi, 9kg, Beyaz</v>
          </cell>
          <cell r="I109">
            <v>1</v>
          </cell>
          <cell r="N109">
            <v>1</v>
          </cell>
          <cell r="Q109" t="str">
            <v>devamı yok</v>
          </cell>
          <cell r="R109">
            <v>35000</v>
          </cell>
          <cell r="S109">
            <v>36400</v>
          </cell>
          <cell r="T109">
            <v>37800</v>
          </cell>
          <cell r="W109">
            <v>500</v>
          </cell>
        </row>
        <row r="110">
          <cell r="A110" t="str">
            <v>WQ42A201TR</v>
          </cell>
          <cell r="B110" t="str">
            <v>iQ300 Isı Pompalı Kurutma Makinesi, 9kg, Beyaz</v>
          </cell>
          <cell r="C110">
            <v>310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315</v>
          </cell>
          <cell r="Q110">
            <v>40479.183630719002</v>
          </cell>
          <cell r="R110">
            <v>37645.640776568674</v>
          </cell>
          <cell r="S110">
            <v>39151.466407631422</v>
          </cell>
          <cell r="T110">
            <v>40657.29203869417</v>
          </cell>
        </row>
        <row r="111">
          <cell r="A111" t="str">
            <v>WQ42J200TR</v>
          </cell>
          <cell r="B111" t="str">
            <v>iQ500 Isı Pompalı Kurutma Makinesi, 9kg, Beyaz</v>
          </cell>
          <cell r="C111">
            <v>42</v>
          </cell>
          <cell r="J111">
            <v>1</v>
          </cell>
          <cell r="N111">
            <v>43</v>
          </cell>
          <cell r="O111">
            <v>13</v>
          </cell>
          <cell r="Q111">
            <v>44577.292199844233</v>
          </cell>
          <cell r="R111">
            <v>41456.881745855135</v>
          </cell>
          <cell r="S111">
            <v>43115.157015689343</v>
          </cell>
          <cell r="T111">
            <v>44773.432285523544</v>
          </cell>
        </row>
        <row r="112">
          <cell r="A112" t="str">
            <v>WQ42J20XTR</v>
          </cell>
          <cell r="B112" t="str">
            <v>iQ500 Isı Pompalı Kurutma Makinesi, 9kg, Gümüş</v>
          </cell>
          <cell r="C112">
            <v>210</v>
          </cell>
          <cell r="I112">
            <v>1</v>
          </cell>
          <cell r="J112">
            <v>1</v>
          </cell>
          <cell r="K112">
            <v>1</v>
          </cell>
          <cell r="N112">
            <v>213</v>
          </cell>
          <cell r="Q112">
            <v>46009.017809057535</v>
          </cell>
          <cell r="R112">
            <v>42788.386562423511</v>
          </cell>
          <cell r="S112">
            <v>44499.922024920452</v>
          </cell>
          <cell r="T112">
            <v>46211.457487417392</v>
          </cell>
        </row>
        <row r="113">
          <cell r="A113" t="str">
            <v>WQ43J2C0TR</v>
          </cell>
          <cell r="B113" t="str">
            <v>iQ500 Isı Pompalı Kurutma Makinesi, 9kg, Beyaz</v>
          </cell>
          <cell r="C113">
            <v>142</v>
          </cell>
          <cell r="I113">
            <v>1</v>
          </cell>
          <cell r="K113">
            <v>1</v>
          </cell>
          <cell r="M113">
            <v>1</v>
          </cell>
          <cell r="N113">
            <v>145</v>
          </cell>
          <cell r="Q113">
            <v>47420.871814843675</v>
          </cell>
          <cell r="R113">
            <v>44101.41078780462</v>
          </cell>
          <cell r="S113">
            <v>45865.467219316808</v>
          </cell>
          <cell r="T113">
            <v>47629.523650828989</v>
          </cell>
        </row>
        <row r="114">
          <cell r="A114" t="str">
            <v>WQ44G2C1TR</v>
          </cell>
          <cell r="B114" t="str">
            <v>iQ500 Isı Pompalı Kurutma Makinesi, 9kg, SelfClean, Beyaz</v>
          </cell>
          <cell r="C114">
            <v>36</v>
          </cell>
          <cell r="I114">
            <v>1</v>
          </cell>
          <cell r="J114">
            <v>1</v>
          </cell>
          <cell r="L114">
            <v>1</v>
          </cell>
          <cell r="M114">
            <v>1</v>
          </cell>
          <cell r="N114">
            <v>40</v>
          </cell>
          <cell r="Q114" t="str">
            <v>devamı yok</v>
          </cell>
          <cell r="R114">
            <v>38000</v>
          </cell>
          <cell r="S114">
            <v>39520</v>
          </cell>
          <cell r="T114">
            <v>41040</v>
          </cell>
          <cell r="W114">
            <v>250</v>
          </cell>
        </row>
        <row r="115">
          <cell r="A115" t="str">
            <v>WQ45B2A0TR</v>
          </cell>
          <cell r="B115" t="str">
            <v>iQ700 Isı Pompalı Kurutma Makinesi, 9kg, Beyaz</v>
          </cell>
          <cell r="C115">
            <v>163</v>
          </cell>
          <cell r="I115">
            <v>2</v>
          </cell>
          <cell r="L115">
            <v>1</v>
          </cell>
          <cell r="N115">
            <v>166</v>
          </cell>
          <cell r="Q115">
            <v>63125.29318633354</v>
          </cell>
          <cell r="R115">
            <v>58706.52266329019</v>
          </cell>
          <cell r="S115">
            <v>61054.783569821797</v>
          </cell>
          <cell r="T115">
            <v>63403.044476353403</v>
          </cell>
        </row>
        <row r="116">
          <cell r="A116" t="str">
            <v>WQ45B2AXTR</v>
          </cell>
          <cell r="B116" t="str">
            <v>iQ700 Isı Pompalı Kurutma Makinesi, 9kg, Gümüş</v>
          </cell>
          <cell r="C116">
            <v>102</v>
          </cell>
          <cell r="F116">
            <v>1</v>
          </cell>
          <cell r="I116">
            <v>1</v>
          </cell>
          <cell r="J116">
            <v>1</v>
          </cell>
          <cell r="K116">
            <v>1</v>
          </cell>
          <cell r="M116">
            <v>1</v>
          </cell>
          <cell r="N116">
            <v>107</v>
          </cell>
          <cell r="O116">
            <v>5</v>
          </cell>
          <cell r="Q116">
            <v>64173.815005360768</v>
          </cell>
          <cell r="R116">
            <v>59681.647954985514</v>
          </cell>
          <cell r="S116">
            <v>62068.913873184938</v>
          </cell>
          <cell r="T116">
            <v>64456.179791384355</v>
          </cell>
        </row>
        <row r="117">
          <cell r="A117" t="str">
            <v>WQ52G201TR</v>
          </cell>
          <cell r="B117" t="str">
            <v>iQ300 Isı Pompalı Kurutma Makinesi, 10kg, Beyaz</v>
          </cell>
          <cell r="C117">
            <v>345</v>
          </cell>
          <cell r="M117">
            <v>1</v>
          </cell>
          <cell r="N117">
            <v>346</v>
          </cell>
          <cell r="Q117">
            <v>44577.292199844233</v>
          </cell>
          <cell r="R117">
            <v>41456.881745855135</v>
          </cell>
          <cell r="S117">
            <v>43115.157015689343</v>
          </cell>
          <cell r="T117">
            <v>44773.432285523544</v>
          </cell>
        </row>
        <row r="118">
          <cell r="A118" t="str">
            <v>WQ52J20RTR</v>
          </cell>
          <cell r="B118" t="str">
            <v>iQ500 Isı Pompalı Kurutma Makinesi, 10kg, Antrasit/Dark</v>
          </cell>
          <cell r="C118">
            <v>129</v>
          </cell>
          <cell r="I118">
            <v>1</v>
          </cell>
          <cell r="J118">
            <v>1</v>
          </cell>
          <cell r="K118">
            <v>1</v>
          </cell>
          <cell r="M118">
            <v>1</v>
          </cell>
          <cell r="N118">
            <v>133</v>
          </cell>
          <cell r="Q118">
            <v>49356.830997552024</v>
          </cell>
          <cell r="R118">
            <v>45901.852827723385</v>
          </cell>
          <cell r="S118">
            <v>47737.926940832323</v>
          </cell>
          <cell r="T118">
            <v>49574.001053941254</v>
          </cell>
        </row>
        <row r="119">
          <cell r="A119" t="str">
            <v>WQ52K200TR</v>
          </cell>
          <cell r="B119" t="str">
            <v>iQ500 Isı Pompalı Kurutma Makinesi, 10kg, Beyaz</v>
          </cell>
          <cell r="C119">
            <v>24</v>
          </cell>
          <cell r="J119">
            <v>1</v>
          </cell>
          <cell r="K119">
            <v>1</v>
          </cell>
          <cell r="N119">
            <v>26</v>
          </cell>
          <cell r="O119">
            <v>1</v>
          </cell>
          <cell r="Q119">
            <v>48902.5623757086</v>
          </cell>
          <cell r="R119">
            <v>45479.383009409001</v>
          </cell>
          <cell r="S119">
            <v>47298.558329785359</v>
          </cell>
          <cell r="T119">
            <v>49117.733650161725</v>
          </cell>
        </row>
        <row r="120">
          <cell r="A120" t="str">
            <v>WT00H201TR</v>
          </cell>
          <cell r="B120" t="str">
            <v>iQ300 Isı Pompalı Kurutma Makinesi, 8kg, Beyaz</v>
          </cell>
          <cell r="F120">
            <v>1</v>
          </cell>
          <cell r="J120">
            <v>1</v>
          </cell>
          <cell r="M120">
            <v>1</v>
          </cell>
          <cell r="N120">
            <v>3</v>
          </cell>
          <cell r="Q120" t="str">
            <v>devamı yok</v>
          </cell>
          <cell r="R120">
            <v>35000</v>
          </cell>
          <cell r="S120">
            <v>36400</v>
          </cell>
          <cell r="T120">
            <v>37800</v>
          </cell>
          <cell r="W120">
            <v>1000</v>
          </cell>
        </row>
        <row r="121">
          <cell r="A121" t="str">
            <v>BULAŞIK MAK.</v>
          </cell>
          <cell r="B121" t="str">
            <v/>
          </cell>
          <cell r="N121">
            <v>1538</v>
          </cell>
        </row>
        <row r="122">
          <cell r="A122" t="str">
            <v>SN15EI00KT</v>
          </cell>
          <cell r="B122" t="str">
            <v>iQ500 Solo Bulaşık Makinesi, autoOpen dry, glassZone, Inox</v>
          </cell>
          <cell r="C122">
            <v>17</v>
          </cell>
          <cell r="K122">
            <v>1</v>
          </cell>
          <cell r="N122">
            <v>18</v>
          </cell>
          <cell r="O122">
            <v>1</v>
          </cell>
          <cell r="Q122">
            <v>41657.630418962712</v>
          </cell>
          <cell r="R122">
            <v>39574.748898014579</v>
          </cell>
          <cell r="S122">
            <v>41157.73885393516</v>
          </cell>
          <cell r="T122">
            <v>42740.728809855747</v>
          </cell>
        </row>
        <row r="123">
          <cell r="A123" t="str">
            <v>SN15EC00NT</v>
          </cell>
          <cell r="B123" t="str">
            <v>iQ500 Solo Bulaşık Makinesi, autoOpen dry, glassZone, darkSteel</v>
          </cell>
          <cell r="C123">
            <v>101</v>
          </cell>
          <cell r="I123">
            <v>1</v>
          </cell>
          <cell r="J123">
            <v>1</v>
          </cell>
          <cell r="K123">
            <v>1</v>
          </cell>
          <cell r="M123">
            <v>1</v>
          </cell>
          <cell r="N123">
            <v>105</v>
          </cell>
          <cell r="O123">
            <v>1</v>
          </cell>
          <cell r="Q123">
            <v>43389.161947710978</v>
          </cell>
          <cell r="R123">
            <v>40351.920611371206</v>
          </cell>
          <cell r="S123">
            <v>41965.997435826052</v>
          </cell>
          <cell r="T123">
            <v>43580.074260280904</v>
          </cell>
        </row>
        <row r="124">
          <cell r="A124" t="str">
            <v>SN15EW00KT</v>
          </cell>
          <cell r="B124" t="str">
            <v>iQ500 Solo Bulaşık Makinesi, autoOpen dry, glassZone, Beyaz</v>
          </cell>
          <cell r="C124">
            <v>42</v>
          </cell>
          <cell r="N124">
            <v>42</v>
          </cell>
          <cell r="Q124">
            <v>38654.881582706876</v>
          </cell>
          <cell r="R124">
            <v>35949.039871917397</v>
          </cell>
          <cell r="S124">
            <v>37387.001466794092</v>
          </cell>
          <cell r="T124">
            <v>38824.963061670787</v>
          </cell>
        </row>
        <row r="125">
          <cell r="A125" t="str">
            <v>SN216I00DT</v>
          </cell>
          <cell r="B125" t="str">
            <v>iQ100 Solo Bulaşık Makinesi, Inox</v>
          </cell>
          <cell r="C125">
            <v>50</v>
          </cell>
          <cell r="I125">
            <v>1</v>
          </cell>
          <cell r="J125">
            <v>1</v>
          </cell>
          <cell r="L125">
            <v>1</v>
          </cell>
          <cell r="M125">
            <v>1</v>
          </cell>
          <cell r="N125">
            <v>54</v>
          </cell>
          <cell r="P125" t="str">
            <v>PRİM HARİÇ</v>
          </cell>
          <cell r="Q125">
            <v>28392.60538072262</v>
          </cell>
          <cell r="R125">
            <v>28500</v>
          </cell>
          <cell r="S125">
            <v>29640</v>
          </cell>
          <cell r="T125">
            <v>30780</v>
          </cell>
        </row>
        <row r="126">
          <cell r="A126" t="str">
            <v>SN216W00DT</v>
          </cell>
          <cell r="B126" t="str">
            <v>iQ100 Solo Bulaşık Makinesi, Beyaz</v>
          </cell>
          <cell r="C126">
            <v>5</v>
          </cell>
          <cell r="I126">
            <v>1</v>
          </cell>
          <cell r="J126">
            <v>1</v>
          </cell>
          <cell r="K126">
            <v>1</v>
          </cell>
          <cell r="L126">
            <v>2</v>
          </cell>
          <cell r="N126">
            <v>10</v>
          </cell>
          <cell r="P126" t="str">
            <v>PRİM HARİÇ</v>
          </cell>
          <cell r="Q126">
            <v>27155.374846273568</v>
          </cell>
          <cell r="R126">
            <v>28500</v>
          </cell>
          <cell r="S126">
            <v>29640</v>
          </cell>
          <cell r="T126">
            <v>30780</v>
          </cell>
          <cell r="U126">
            <v>783.28182301775098</v>
          </cell>
        </row>
        <row r="127">
          <cell r="A127" t="str">
            <v>SN23II51KT</v>
          </cell>
          <cell r="B127" t="str">
            <v>iQ300 Solo Bulaşık Makinesi, Inox</v>
          </cell>
          <cell r="L127">
            <v>1</v>
          </cell>
          <cell r="N127">
            <v>1</v>
          </cell>
          <cell r="Q127" t="str">
            <v>devamı yok</v>
          </cell>
          <cell r="R127">
            <v>30000</v>
          </cell>
          <cell r="S127">
            <v>31200</v>
          </cell>
          <cell r="T127">
            <v>32400</v>
          </cell>
          <cell r="W127">
            <v>1000</v>
          </cell>
        </row>
        <row r="128">
          <cell r="A128" t="str">
            <v>SN23EI62KT</v>
          </cell>
          <cell r="B128" t="str">
            <v>iQ500 Solo Bulaşık Makinesi, autoOpen dry, Inox</v>
          </cell>
          <cell r="I128">
            <v>1</v>
          </cell>
          <cell r="N128">
            <v>1</v>
          </cell>
          <cell r="Q128" t="str">
            <v>devamı yok</v>
          </cell>
          <cell r="R128">
            <v>33624</v>
          </cell>
          <cell r="S128">
            <v>34968.959999999999</v>
          </cell>
          <cell r="T128">
            <v>36313.919999999998</v>
          </cell>
          <cell r="V128">
            <v>7623.5399999999991</v>
          </cell>
          <cell r="W128">
            <v>500</v>
          </cell>
        </row>
        <row r="129">
          <cell r="A129" t="str">
            <v>SN23EW62KT</v>
          </cell>
          <cell r="B129" t="str">
            <v>iQ500 Solo Bulaşık Makinesi, autoOpen dry, Beyaz</v>
          </cell>
          <cell r="I129">
            <v>1</v>
          </cell>
          <cell r="J129">
            <v>1</v>
          </cell>
          <cell r="L129">
            <v>1</v>
          </cell>
          <cell r="N129">
            <v>3</v>
          </cell>
          <cell r="Q129" t="str">
            <v>devamı yok</v>
          </cell>
          <cell r="R129">
            <v>35377</v>
          </cell>
          <cell r="S129">
            <v>36792.080000000002</v>
          </cell>
          <cell r="T129">
            <v>38207.160000000003</v>
          </cell>
          <cell r="V129">
            <v>7376.8919999999998</v>
          </cell>
          <cell r="W129">
            <v>500</v>
          </cell>
        </row>
        <row r="130">
          <cell r="A130" t="str">
            <v>SN23EW63KT</v>
          </cell>
          <cell r="B130" t="str">
            <v>iQ300 Solo Bulaşık Makinesi, autoOpen dry, Beyaz</v>
          </cell>
          <cell r="C130">
            <v>65</v>
          </cell>
          <cell r="F130">
            <v>2</v>
          </cell>
          <cell r="K130">
            <v>1</v>
          </cell>
          <cell r="N130">
            <v>68</v>
          </cell>
          <cell r="O130">
            <v>1</v>
          </cell>
          <cell r="Q130">
            <v>34609.794751972418</v>
          </cell>
          <cell r="R130">
            <v>31191</v>
          </cell>
          <cell r="S130">
            <v>32438.639999999999</v>
          </cell>
          <cell r="T130">
            <v>33686.28</v>
          </cell>
          <cell r="U130">
            <v>3191.1901008096283</v>
          </cell>
        </row>
        <row r="131">
          <cell r="A131" t="str">
            <v>SN23HB62MT</v>
          </cell>
          <cell r="B131" t="str">
            <v>iQ500 Solo Bulaşık Makinesi, Üstten Sepetli, Siyah Cam</v>
          </cell>
          <cell r="L131">
            <v>1</v>
          </cell>
          <cell r="N131">
            <v>1</v>
          </cell>
          <cell r="Q131" t="str">
            <v>devamı yok</v>
          </cell>
          <cell r="R131">
            <v>44765</v>
          </cell>
          <cell r="S131">
            <v>46555.6</v>
          </cell>
          <cell r="T131">
            <v>48346.2</v>
          </cell>
          <cell r="W131">
            <v>1000</v>
          </cell>
        </row>
        <row r="132">
          <cell r="A132" t="str">
            <v>SN23HW62MT</v>
          </cell>
          <cell r="B132" t="str">
            <v>iQ500 Solo Bulaşık Makinesi, Üstten Sepetli, Beyaz Cam</v>
          </cell>
          <cell r="C132">
            <v>1</v>
          </cell>
          <cell r="J132">
            <v>1</v>
          </cell>
          <cell r="N132">
            <v>2</v>
          </cell>
          <cell r="Q132" t="str">
            <v>devamı yok</v>
          </cell>
          <cell r="R132">
            <v>43000</v>
          </cell>
          <cell r="S132">
            <v>44720</v>
          </cell>
          <cell r="T132">
            <v>46440</v>
          </cell>
        </row>
        <row r="133">
          <cell r="A133" t="str">
            <v>SN23HY62MT</v>
          </cell>
          <cell r="B133" t="str">
            <v>iQ500 Solo Bulaşık Makinesi, Üstten Sepetli, Antrasit Cam</v>
          </cell>
          <cell r="C133">
            <v>4</v>
          </cell>
          <cell r="I133">
            <v>1</v>
          </cell>
          <cell r="L133">
            <v>1</v>
          </cell>
          <cell r="N133">
            <v>6</v>
          </cell>
          <cell r="Q133">
            <v>45858.498018909566</v>
          </cell>
          <cell r="R133">
            <v>43565.573117964086</v>
          </cell>
          <cell r="S133">
            <v>45308.196042682648</v>
          </cell>
          <cell r="T133">
            <v>47050.81896740121</v>
          </cell>
        </row>
        <row r="134">
          <cell r="A134" t="str">
            <v>SN23IC62MT</v>
          </cell>
          <cell r="B134" t="str">
            <v>iQ300 Solo Bulaşık Makinesi, Üstten Sepetli, darkSteel</v>
          </cell>
          <cell r="C134">
            <v>1</v>
          </cell>
          <cell r="I134">
            <v>1</v>
          </cell>
          <cell r="J134">
            <v>1</v>
          </cell>
          <cell r="L134">
            <v>1</v>
          </cell>
          <cell r="N134">
            <v>4</v>
          </cell>
          <cell r="Q134" t="str">
            <v>devamı yok</v>
          </cell>
          <cell r="R134">
            <v>36000</v>
          </cell>
          <cell r="S134">
            <v>37440</v>
          </cell>
          <cell r="T134">
            <v>38880</v>
          </cell>
          <cell r="W134">
            <v>500</v>
          </cell>
        </row>
        <row r="135">
          <cell r="A135" t="str">
            <v>SN23II62KT</v>
          </cell>
          <cell r="B135" t="str">
            <v>iQ300 Solo Bulaşık Makinesi, Inox</v>
          </cell>
          <cell r="C135">
            <v>53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N135">
            <v>57</v>
          </cell>
          <cell r="Q135">
            <v>36240.481354441705</v>
          </cell>
          <cell r="R135">
            <v>34428.457286719618</v>
          </cell>
          <cell r="S135">
            <v>35805.595578188404</v>
          </cell>
          <cell r="T135">
            <v>37182.73386965719</v>
          </cell>
          <cell r="U135">
            <v>3682.3418195579834</v>
          </cell>
        </row>
        <row r="136">
          <cell r="A136" t="str">
            <v>SN23IW62KT</v>
          </cell>
          <cell r="B136" t="str">
            <v>iQ300 Solo Bulaşık Makinesi, Beyaz</v>
          </cell>
          <cell r="C136">
            <v>120</v>
          </cell>
          <cell r="I136">
            <v>2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126</v>
          </cell>
          <cell r="O136">
            <v>1</v>
          </cell>
          <cell r="Q136">
            <v>33948.361891003922</v>
          </cell>
          <cell r="R136">
            <v>31571.976558633647</v>
          </cell>
          <cell r="S136">
            <v>32834.855620978989</v>
          </cell>
          <cell r="T136">
            <v>34097.734683324335</v>
          </cell>
          <cell r="U136">
            <v>3750.687472399266</v>
          </cell>
        </row>
        <row r="137">
          <cell r="A137" t="str">
            <v>SN23II62MT</v>
          </cell>
          <cell r="B137" t="str">
            <v>iQ300 Solo Bulaşık Makinesi, Üstten Sepetli, Inox</v>
          </cell>
          <cell r="C137">
            <v>2</v>
          </cell>
          <cell r="F137">
            <v>1</v>
          </cell>
          <cell r="I137">
            <v>1</v>
          </cell>
          <cell r="J137">
            <v>1</v>
          </cell>
          <cell r="L137">
            <v>1</v>
          </cell>
          <cell r="N137">
            <v>6</v>
          </cell>
          <cell r="Q137" t="str">
            <v>devamı yok</v>
          </cell>
          <cell r="R137">
            <v>33000</v>
          </cell>
          <cell r="S137">
            <v>34320</v>
          </cell>
          <cell r="T137">
            <v>35640</v>
          </cell>
        </row>
        <row r="138">
          <cell r="A138" t="str">
            <v>SN23IW62MT</v>
          </cell>
          <cell r="B138" t="str">
            <v>iQ300 Solo Bulaşık Makinesi, Üstten Sepetli, Beyaz</v>
          </cell>
          <cell r="C138">
            <v>5</v>
          </cell>
          <cell r="F138">
            <v>1</v>
          </cell>
          <cell r="I138">
            <v>1</v>
          </cell>
          <cell r="K138">
            <v>1</v>
          </cell>
          <cell r="L138">
            <v>3</v>
          </cell>
          <cell r="N138">
            <v>11</v>
          </cell>
          <cell r="Q138" t="str">
            <v>devamı yok</v>
          </cell>
          <cell r="R138">
            <v>31000</v>
          </cell>
          <cell r="S138">
            <v>32240</v>
          </cell>
          <cell r="T138">
            <v>33480</v>
          </cell>
        </row>
        <row r="139">
          <cell r="A139" t="str">
            <v>SN25EI63KT</v>
          </cell>
          <cell r="B139" t="str">
            <v>iQ500 Solo Bulaşık Makinesi, autoOpen dry, Inox</v>
          </cell>
          <cell r="C139">
            <v>9</v>
          </cell>
          <cell r="F139">
            <v>4</v>
          </cell>
          <cell r="J139">
            <v>1</v>
          </cell>
          <cell r="N139">
            <v>14</v>
          </cell>
          <cell r="Q139">
            <v>40906.640308709808</v>
          </cell>
          <cell r="R139">
            <v>38861.30829327432</v>
          </cell>
          <cell r="S139">
            <v>40415.760625005292</v>
          </cell>
          <cell r="T139">
            <v>41970.212956736264</v>
          </cell>
        </row>
        <row r="140">
          <cell r="A140" t="str">
            <v>SN25EI63MT</v>
          </cell>
          <cell r="B140" t="str">
            <v>iQ500 Solo Bulaşık Makinesi, autoOpen dry, Üstten Sepetli, Inox</v>
          </cell>
          <cell r="C140">
            <v>17</v>
          </cell>
          <cell r="N140">
            <v>17</v>
          </cell>
          <cell r="Q140">
            <v>42591.055237352906</v>
          </cell>
          <cell r="R140">
            <v>40461.502475485264</v>
          </cell>
          <cell r="S140">
            <v>42079.962574504672</v>
          </cell>
          <cell r="T140">
            <v>43698.422673524088</v>
          </cell>
        </row>
        <row r="141">
          <cell r="A141" t="str">
            <v>SN25EI70MT</v>
          </cell>
          <cell r="B141" t="str">
            <v>iQ500 Solo Bulaşık Makinesi, autoOpen dry, Üstten Sepetli, Inox</v>
          </cell>
          <cell r="C141">
            <v>3</v>
          </cell>
          <cell r="F141">
            <v>1</v>
          </cell>
          <cell r="I141">
            <v>1</v>
          </cell>
          <cell r="L141">
            <v>1</v>
          </cell>
          <cell r="N141">
            <v>6</v>
          </cell>
          <cell r="O141">
            <v>16</v>
          </cell>
          <cell r="Q141">
            <v>48552.805622770371</v>
          </cell>
          <cell r="R141">
            <v>46125.165341631851</v>
          </cell>
          <cell r="S141">
            <v>47970.171955297126</v>
          </cell>
          <cell r="T141">
            <v>49815.178568962401</v>
          </cell>
        </row>
        <row r="142">
          <cell r="A142" t="str">
            <v>SN25EI82AT</v>
          </cell>
          <cell r="B142" t="str">
            <v>iQ500 Solo Bulaşık Makinesi, autoOpen dry, glassZone, Inox</v>
          </cell>
          <cell r="I142">
            <v>1</v>
          </cell>
          <cell r="M142">
            <v>1</v>
          </cell>
          <cell r="N142">
            <v>2</v>
          </cell>
          <cell r="Q142" t="str">
            <v>devamı yok</v>
          </cell>
          <cell r="R142">
            <v>49000</v>
          </cell>
          <cell r="S142">
            <v>50960</v>
          </cell>
          <cell r="T142">
            <v>52920</v>
          </cell>
          <cell r="W142">
            <v>1000</v>
          </cell>
        </row>
        <row r="143">
          <cell r="A143" t="str">
            <v>SN25EI83CT</v>
          </cell>
          <cell r="B143" t="str">
            <v>iQ500 Solo Bulaşık Makinesi, autoOpen dry, glassZone, Üstten Sepetli, Inox</v>
          </cell>
          <cell r="C143">
            <v>5</v>
          </cell>
          <cell r="N143">
            <v>5</v>
          </cell>
          <cell r="Q143">
            <v>58104.846500596184</v>
          </cell>
          <cell r="R143">
            <v>55199.604175566375</v>
          </cell>
          <cell r="S143">
            <v>57407.588342589028</v>
          </cell>
          <cell r="T143">
            <v>59615.572509611688</v>
          </cell>
        </row>
        <row r="144">
          <cell r="A144" t="str">
            <v>SN25EW63KT</v>
          </cell>
          <cell r="B144" t="str">
            <v>iQ500 Solo Bulaşık Makinesi, autoOpen dry, Beyaz</v>
          </cell>
          <cell r="C144">
            <v>5</v>
          </cell>
          <cell r="I144">
            <v>1</v>
          </cell>
          <cell r="N144">
            <v>6</v>
          </cell>
          <cell r="Q144">
            <v>38471.959497051292</v>
          </cell>
          <cell r="R144">
            <v>38471.959497051292</v>
          </cell>
          <cell r="S144">
            <v>40010.837876933343</v>
          </cell>
          <cell r="T144">
            <v>41549.716256815394</v>
          </cell>
        </row>
        <row r="145">
          <cell r="A145" t="str">
            <v>SN25EW70MT</v>
          </cell>
          <cell r="B145" t="str">
            <v>iQ500 Solo Bulaşık Makinesi, autoOpen dry, Üstten Sepetli, Beyaz</v>
          </cell>
          <cell r="F145">
            <v>1</v>
          </cell>
          <cell r="N145">
            <v>1</v>
          </cell>
          <cell r="Q145" t="str">
            <v>devamı yok</v>
          </cell>
          <cell r="R145">
            <v>43000</v>
          </cell>
          <cell r="S145">
            <v>44720</v>
          </cell>
          <cell r="T145">
            <v>46440</v>
          </cell>
          <cell r="W145">
            <v>1000</v>
          </cell>
        </row>
        <row r="146">
          <cell r="A146" t="str">
            <v>SN25HW80MT</v>
          </cell>
          <cell r="B146" t="str">
            <v>iQ500 Solo Bulaşık Makinesi, Üstten Sepetli, Beyaz</v>
          </cell>
          <cell r="J146">
            <v>1</v>
          </cell>
          <cell r="N146">
            <v>1</v>
          </cell>
          <cell r="Q146" t="str">
            <v>devamı yok</v>
          </cell>
          <cell r="R146">
            <v>44000</v>
          </cell>
          <cell r="S146">
            <v>45760</v>
          </cell>
          <cell r="T146">
            <v>47520</v>
          </cell>
          <cell r="W146">
            <v>1000</v>
          </cell>
        </row>
        <row r="147">
          <cell r="A147" t="str">
            <v>SN27YI82DT</v>
          </cell>
          <cell r="B147" t="str">
            <v>iQ700 Solo Bulaşık Makinesi, Zeolith dry, glassZone, Inox</v>
          </cell>
          <cell r="C147">
            <v>25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30</v>
          </cell>
          <cell r="Q147">
            <v>63283.742233012534</v>
          </cell>
          <cell r="R147">
            <v>58853.880276701653</v>
          </cell>
          <cell r="S147">
            <v>61208.035487769717</v>
          </cell>
          <cell r="T147">
            <v>63562.190698837789</v>
          </cell>
        </row>
        <row r="148">
          <cell r="A148" t="str">
            <v>ANKASTRE BULAŞIK / LDA</v>
          </cell>
          <cell r="B148" t="str">
            <v/>
          </cell>
          <cell r="N148">
            <v>597</v>
          </cell>
        </row>
        <row r="149">
          <cell r="A149" t="str">
            <v>SN45EB01NT</v>
          </cell>
          <cell r="B149" t="str">
            <v>iQ500 Tezgah Altı Ankastre Kapaklı Bulaşık Makinesi, autoOpen dry, timeLight, 3 Sepetli, Siyah Cam</v>
          </cell>
          <cell r="C149">
            <v>18</v>
          </cell>
          <cell r="I149">
            <v>1</v>
          </cell>
          <cell r="K149">
            <v>1</v>
          </cell>
          <cell r="N149">
            <v>20</v>
          </cell>
          <cell r="O149">
            <v>1</v>
          </cell>
          <cell r="Q149">
            <v>46302.450187445836</v>
          </cell>
          <cell r="R149">
            <v>43061.278674324625</v>
          </cell>
          <cell r="S149">
            <v>44783.729821297609</v>
          </cell>
          <cell r="T149">
            <v>46506.180968270593</v>
          </cell>
        </row>
        <row r="150">
          <cell r="A150" t="str">
            <v>SN45EY01NT</v>
          </cell>
          <cell r="B150" t="str">
            <v>iQ500 Tezgah Altı Ankastre Kapaklı Bulaşık Makinesi, autoOpen dry, timeLight, 3 Sepetli, Antrasit Cam</v>
          </cell>
          <cell r="C150">
            <v>11</v>
          </cell>
          <cell r="N150">
            <v>11</v>
          </cell>
          <cell r="Q150">
            <v>46302.450187445836</v>
          </cell>
          <cell r="R150">
            <v>43061.278674324625</v>
          </cell>
          <cell r="S150">
            <v>44783.729821297609</v>
          </cell>
          <cell r="T150">
            <v>46506.180968270593</v>
          </cell>
        </row>
        <row r="151">
          <cell r="A151" t="str">
            <v>SN515W00DT</v>
          </cell>
          <cell r="B151" t="str">
            <v>iQ100 Yarı Ankastre Bulaşık Makinesi, Beyaz</v>
          </cell>
          <cell r="I151">
            <v>1</v>
          </cell>
          <cell r="N151">
            <v>1</v>
          </cell>
          <cell r="Q151" t="str">
            <v>devamı yok</v>
          </cell>
          <cell r="R151">
            <v>20000</v>
          </cell>
          <cell r="S151">
            <v>20800</v>
          </cell>
          <cell r="T151">
            <v>21600</v>
          </cell>
          <cell r="W151">
            <v>500</v>
          </cell>
        </row>
        <row r="152">
          <cell r="A152" t="str">
            <v>SN515W01DT</v>
          </cell>
          <cell r="B152" t="str">
            <v>iQ100 Yarı Ankastre Bulaşık Makinesi, Beyaz</v>
          </cell>
          <cell r="F152">
            <v>1</v>
          </cell>
          <cell r="G152">
            <v>1</v>
          </cell>
          <cell r="N152">
            <v>2</v>
          </cell>
          <cell r="Q152" t="str">
            <v>devamı yok</v>
          </cell>
          <cell r="R152">
            <v>22140</v>
          </cell>
          <cell r="S152">
            <v>23025.599999999999</v>
          </cell>
          <cell r="T152">
            <v>23911.200000000001</v>
          </cell>
          <cell r="V152">
            <v>2139.9119999999998</v>
          </cell>
          <cell r="W152">
            <v>500</v>
          </cell>
        </row>
        <row r="153">
          <cell r="A153" t="str">
            <v>SN53ES63MT</v>
          </cell>
          <cell r="B153" t="str">
            <v>iQ300 Yarı Ankastre Bulaşık Makinesi, Siyah/Inox</v>
          </cell>
          <cell r="N153">
            <v>0</v>
          </cell>
          <cell r="Q153">
            <v>39106.282627840912</v>
          </cell>
          <cell r="R153">
            <v>39106.282627840912</v>
          </cell>
          <cell r="S153">
            <v>40670.533932954546</v>
          </cell>
          <cell r="T153">
            <v>42234.785238068187</v>
          </cell>
        </row>
        <row r="154">
          <cell r="A154" t="str">
            <v>SN53IS50KT</v>
          </cell>
          <cell r="B154" t="str">
            <v>iQ300 Yarı Ankastre Bulaşık Makinesi, Siyah/Inox</v>
          </cell>
          <cell r="C154">
            <v>15</v>
          </cell>
          <cell r="F154">
            <v>1</v>
          </cell>
          <cell r="K154">
            <v>1</v>
          </cell>
          <cell r="M154">
            <v>1</v>
          </cell>
          <cell r="N154">
            <v>18</v>
          </cell>
          <cell r="Q154">
            <v>37178.88943312272</v>
          </cell>
          <cell r="R154">
            <v>34576.36717280413</v>
          </cell>
          <cell r="S154">
            <v>35959.421859716298</v>
          </cell>
          <cell r="T154">
            <v>37342.476546628459</v>
          </cell>
        </row>
        <row r="155">
          <cell r="A155" t="str">
            <v>SN53IS62MT</v>
          </cell>
          <cell r="B155" t="str">
            <v>iQ500 Yarı Ankastre Bulaşık Makinesi, Üstten Sepetli, Inox</v>
          </cell>
          <cell r="C155">
            <v>9</v>
          </cell>
          <cell r="F155">
            <v>1</v>
          </cell>
          <cell r="I155">
            <v>1</v>
          </cell>
          <cell r="J155">
            <v>1</v>
          </cell>
          <cell r="L155">
            <v>1</v>
          </cell>
          <cell r="N155">
            <v>13</v>
          </cell>
          <cell r="O155">
            <v>1</v>
          </cell>
          <cell r="Q155">
            <v>39113.386376596158</v>
          </cell>
          <cell r="R155">
            <v>37157.717057766349</v>
          </cell>
          <cell r="S155">
            <v>38644.025740077006</v>
          </cell>
          <cell r="T155">
            <v>40130.334422387656</v>
          </cell>
        </row>
        <row r="156">
          <cell r="A156" t="str">
            <v>SN53IW50KT</v>
          </cell>
          <cell r="B156" t="str">
            <v>iQ300 Yarı Ankastre Bulaşık Makinesi, Beyaz/Inox</v>
          </cell>
          <cell r="C156">
            <v>1</v>
          </cell>
          <cell r="I156">
            <v>1</v>
          </cell>
          <cell r="J156">
            <v>1</v>
          </cell>
          <cell r="N156">
            <v>3</v>
          </cell>
          <cell r="Q156" t="str">
            <v>devamı yok</v>
          </cell>
          <cell r="R156">
            <v>27756.046587678491</v>
          </cell>
          <cell r="S156">
            <v>28866.288451185632</v>
          </cell>
          <cell r="T156">
            <v>29976.530314692769</v>
          </cell>
        </row>
        <row r="157">
          <cell r="A157" t="str">
            <v>SN55ES82KT</v>
          </cell>
          <cell r="B157" t="str">
            <v>iQ500 Yarı Ankastre Bulaşık Makinesi, autoOpen dry, Siyah/Inox</v>
          </cell>
          <cell r="C157">
            <v>12</v>
          </cell>
          <cell r="F157">
            <v>2</v>
          </cell>
          <cell r="L157">
            <v>1</v>
          </cell>
          <cell r="N157">
            <v>15</v>
          </cell>
          <cell r="Q157">
            <v>51145.09185598667</v>
          </cell>
          <cell r="R157">
            <v>47564.935426067605</v>
          </cell>
          <cell r="S157">
            <v>49467.532843110312</v>
          </cell>
          <cell r="T157">
            <v>51370.130260153011</v>
          </cell>
        </row>
        <row r="158">
          <cell r="A158" t="str">
            <v>SN57ZS80DT</v>
          </cell>
          <cell r="B158" t="str">
            <v>iQ700 Yarı Ankastre Bulaşık Makinesi, Zeolith dry, Siyah/Inox</v>
          </cell>
          <cell r="F158">
            <v>1</v>
          </cell>
          <cell r="N158">
            <v>1</v>
          </cell>
          <cell r="Q158" t="str">
            <v>devamı yok</v>
          </cell>
          <cell r="R158">
            <v>50000</v>
          </cell>
          <cell r="S158">
            <v>52000</v>
          </cell>
          <cell r="T158">
            <v>54000</v>
          </cell>
          <cell r="W158">
            <v>500</v>
          </cell>
        </row>
        <row r="159">
          <cell r="A159" t="str">
            <v>SN57ZS82DT</v>
          </cell>
          <cell r="B159" t="str">
            <v>iQ700 Yarı Ankastre Bulaşık Makinesi, Zeolith dry, Siyah/Inox</v>
          </cell>
          <cell r="C159">
            <v>2</v>
          </cell>
          <cell r="N159">
            <v>2</v>
          </cell>
          <cell r="Q159">
            <v>79339.839835346269</v>
          </cell>
          <cell r="R159">
            <v>79339.839835346269</v>
          </cell>
          <cell r="S159">
            <v>82513.433428760123</v>
          </cell>
          <cell r="T159">
            <v>85687.027022173977</v>
          </cell>
        </row>
        <row r="160">
          <cell r="A160" t="str">
            <v>SN616X00DT</v>
          </cell>
          <cell r="B160" t="str">
            <v>iQ100 Tam Ankastre Bulaşık Makinesi</v>
          </cell>
          <cell r="C160">
            <v>6</v>
          </cell>
          <cell r="F160">
            <v>1</v>
          </cell>
          <cell r="I160">
            <v>1</v>
          </cell>
          <cell r="J160">
            <v>1</v>
          </cell>
          <cell r="N160">
            <v>9</v>
          </cell>
          <cell r="Q160">
            <v>38589.565951951226</v>
          </cell>
          <cell r="R160">
            <v>38589.565951951226</v>
          </cell>
          <cell r="S160">
            <v>40133.148590029276</v>
          </cell>
          <cell r="T160">
            <v>41676.731228107325</v>
          </cell>
        </row>
        <row r="161">
          <cell r="A161" t="str">
            <v>SN63HX62MT</v>
          </cell>
          <cell r="B161" t="str">
            <v>iQ500 Tam Ankastre Bulaşık Makinesi, Üstten Sepetli</v>
          </cell>
          <cell r="M161">
            <v>1</v>
          </cell>
          <cell r="N161">
            <v>1</v>
          </cell>
          <cell r="Q161" t="str">
            <v>devamı yok</v>
          </cell>
          <cell r="R161">
            <v>42000</v>
          </cell>
          <cell r="S161">
            <v>43680</v>
          </cell>
          <cell r="T161">
            <v>45360</v>
          </cell>
          <cell r="W161">
            <v>500</v>
          </cell>
        </row>
        <row r="162">
          <cell r="A162" t="str">
            <v>SN65EX62MT</v>
          </cell>
          <cell r="B162" t="str">
            <v>iQ500 Tam Ankastre Bulaşık Makinesi, Üstten Sepetli</v>
          </cell>
          <cell r="C162">
            <v>6</v>
          </cell>
          <cell r="N162">
            <v>6</v>
          </cell>
          <cell r="Q162">
            <v>55691.582916666674</v>
          </cell>
          <cell r="R162">
            <v>55691.582916666674</v>
          </cell>
          <cell r="S162">
            <v>57919.246233333339</v>
          </cell>
          <cell r="T162">
            <v>60146.909550000011</v>
          </cell>
        </row>
        <row r="163">
          <cell r="A163" t="str">
            <v>SN75EX23CE</v>
          </cell>
          <cell r="B163" t="str">
            <v>iQ500 Tam Ankastre Bulaşık Makinesi, autoOpen dry, glassZone, Üstten Sepetli</v>
          </cell>
          <cell r="C163">
            <v>1</v>
          </cell>
          <cell r="J163">
            <v>1</v>
          </cell>
          <cell r="N163">
            <v>2</v>
          </cell>
          <cell r="Q163">
            <v>63630.727610470603</v>
          </cell>
          <cell r="R163">
            <v>63630.727610470603</v>
          </cell>
          <cell r="S163">
            <v>66175.956714889428</v>
          </cell>
          <cell r="T163">
            <v>68721.185819308244</v>
          </cell>
        </row>
        <row r="164">
          <cell r="A164" t="str">
            <v>SN85E801BE</v>
          </cell>
          <cell r="B164" t="str">
            <v>iQ500 studioLine Tam Ankastre Bulaşık Makinesi, autoOpen dry, glassZone</v>
          </cell>
          <cell r="D164">
            <v>2</v>
          </cell>
          <cell r="H164">
            <v>1</v>
          </cell>
          <cell r="N164">
            <v>3</v>
          </cell>
          <cell r="Q164" t="str">
            <v>devamı yok</v>
          </cell>
          <cell r="R164">
            <v>80000</v>
          </cell>
          <cell r="S164">
            <v>83200</v>
          </cell>
          <cell r="T164">
            <v>86400</v>
          </cell>
          <cell r="W164">
            <v>250</v>
          </cell>
        </row>
        <row r="165">
          <cell r="A165" t="str">
            <v>SN85E803BE</v>
          </cell>
          <cell r="B165" t="str">
            <v>iQ500 studioLine Tam Ankastre Bulaşık Makinesi, autoOpen dry, glassZone</v>
          </cell>
          <cell r="D165">
            <v>2</v>
          </cell>
          <cell r="N165">
            <v>2</v>
          </cell>
          <cell r="Q165">
            <v>103804.65752271106</v>
          </cell>
          <cell r="R165">
            <v>93424.191770439953</v>
          </cell>
          <cell r="S165">
            <v>97161.15944125755</v>
          </cell>
          <cell r="T165">
            <v>100898.12711207515</v>
          </cell>
          <cell r="W165">
            <v>250</v>
          </cell>
        </row>
        <row r="166">
          <cell r="A166" t="str">
            <v>SN97T801BE</v>
          </cell>
          <cell r="B166" t="str">
            <v>iQ700 studioLine Tam Ankastre Bulaşık Makinesi, Zeolith dry, glassZone</v>
          </cell>
          <cell r="D166">
            <v>3</v>
          </cell>
          <cell r="N166">
            <v>3</v>
          </cell>
          <cell r="Q166">
            <v>121390.24320547108</v>
          </cell>
          <cell r="R166">
            <v>109251.21888492398</v>
          </cell>
          <cell r="S166">
            <v>113621.26764032093</v>
          </cell>
          <cell r="T166">
            <v>117991.31639571789</v>
          </cell>
          <cell r="W166">
            <v>250</v>
          </cell>
        </row>
        <row r="167">
          <cell r="A167" t="str">
            <v>SX95EX12CE</v>
          </cell>
          <cell r="B167" t="str">
            <v>iQ500 Tam Ankastre Bulaşık Makinesi, autoOpen dry, glassZone, XXL 86,5 - 92,5cm</v>
          </cell>
          <cell r="J167">
            <v>1</v>
          </cell>
          <cell r="L167">
            <v>1</v>
          </cell>
          <cell r="N167">
            <v>2</v>
          </cell>
          <cell r="Q167" t="str">
            <v>devamı yok</v>
          </cell>
          <cell r="R167">
            <v>50000</v>
          </cell>
          <cell r="S167">
            <v>52000</v>
          </cell>
          <cell r="T167">
            <v>54000</v>
          </cell>
          <cell r="W167">
            <v>500</v>
          </cell>
        </row>
        <row r="168">
          <cell r="A168" t="str">
            <v>SX95EX22CE</v>
          </cell>
          <cell r="B168" t="str">
            <v>iQ500 Tam Ankastre Bulaşık Makinesi, autoOpen dry, glassZone, XXL 86,5 - 92,5cm</v>
          </cell>
          <cell r="C168">
            <v>1</v>
          </cell>
          <cell r="N168">
            <v>1</v>
          </cell>
          <cell r="Q168">
            <v>65145.985451647073</v>
          </cell>
          <cell r="R168">
            <v>65145.985451647073</v>
          </cell>
          <cell r="S168">
            <v>67751.82486971296</v>
          </cell>
          <cell r="T168">
            <v>70357.66428777884</v>
          </cell>
        </row>
        <row r="169">
          <cell r="A169" t="str">
            <v>SZ36RB04</v>
          </cell>
          <cell r="B169" t="str">
            <v>Siemens Bulaşık Makinesi 3. Tepsi</v>
          </cell>
          <cell r="D169">
            <v>14</v>
          </cell>
          <cell r="N169">
            <v>14</v>
          </cell>
          <cell r="R169">
            <v>1250</v>
          </cell>
          <cell r="S169">
            <v>1300</v>
          </cell>
          <cell r="T169">
            <v>1350</v>
          </cell>
        </row>
        <row r="170">
          <cell r="A170" t="str">
            <v>ANKASTRE FIRIN / LDA</v>
          </cell>
          <cell r="B170" t="str">
            <v/>
          </cell>
          <cell r="N170">
            <v>129</v>
          </cell>
        </row>
        <row r="171">
          <cell r="A171" t="str">
            <v>CD634GAS0</v>
          </cell>
          <cell r="B171" t="str">
            <v>iQ700 Buhar Destekli Kompakt Ankastre Fırın, Siyah/Inox</v>
          </cell>
          <cell r="F171">
            <v>1</v>
          </cell>
          <cell r="N171">
            <v>1</v>
          </cell>
          <cell r="Q171" t="str">
            <v>devamı yok</v>
          </cell>
          <cell r="R171">
            <v>70000</v>
          </cell>
          <cell r="S171">
            <v>72800</v>
          </cell>
          <cell r="T171">
            <v>75600</v>
          </cell>
          <cell r="W171">
            <v>1000</v>
          </cell>
        </row>
        <row r="172">
          <cell r="A172" t="str">
            <v>CD714GXB1</v>
          </cell>
          <cell r="B172" t="str">
            <v>iQ700 Buhar Destekli Kompakt Ankastre Fırın, Siyah</v>
          </cell>
          <cell r="C172">
            <v>3</v>
          </cell>
          <cell r="N172">
            <v>3</v>
          </cell>
          <cell r="Q172">
            <v>87032.234439154243</v>
          </cell>
          <cell r="R172">
            <v>82680.622717196529</v>
          </cell>
          <cell r="S172">
            <v>85987.847625884388</v>
          </cell>
          <cell r="T172">
            <v>89295.072534572246</v>
          </cell>
          <cell r="W172">
            <v>250</v>
          </cell>
        </row>
        <row r="173">
          <cell r="A173" t="str">
            <v>CM978GNB1</v>
          </cell>
          <cell r="B173" t="str">
            <v>iQ700 studioLine Mikrodalga Fonksiyonlu Kompakt Ankastre Fırın, Komple Kendini Temizler, Siyah</v>
          </cell>
          <cell r="D173">
            <v>2</v>
          </cell>
          <cell r="N173">
            <v>2</v>
          </cell>
          <cell r="Q173">
            <v>190222.05057268229</v>
          </cell>
          <cell r="R173">
            <v>171199.84551541405</v>
          </cell>
          <cell r="S173">
            <v>178047.83933603062</v>
          </cell>
          <cell r="T173">
            <v>184895.83315664719</v>
          </cell>
          <cell r="W173">
            <v>250</v>
          </cell>
        </row>
        <row r="174">
          <cell r="A174" t="str">
            <v>CN838GRB6</v>
          </cell>
          <cell r="B174" t="str">
            <v>iQ700 studioLine Mikrodalga Fonksiyonlu Kompakt Ankastre Fırın, Arkası Kendini Temizler, Siyah</v>
          </cell>
          <cell r="D174">
            <v>3</v>
          </cell>
          <cell r="H174">
            <v>1</v>
          </cell>
          <cell r="N174">
            <v>4</v>
          </cell>
          <cell r="Q174" t="str">
            <v>devamı yok</v>
          </cell>
          <cell r="R174">
            <v>120000</v>
          </cell>
          <cell r="S174">
            <v>124800</v>
          </cell>
          <cell r="T174">
            <v>129600</v>
          </cell>
          <cell r="W174">
            <v>250</v>
          </cell>
        </row>
        <row r="175">
          <cell r="A175" t="str">
            <v>HB012FBB1T</v>
          </cell>
          <cell r="B175" t="str">
            <v>iQ100 Ankastre Fırın, Siyah</v>
          </cell>
          <cell r="C175">
            <v>16</v>
          </cell>
          <cell r="J175">
            <v>1</v>
          </cell>
          <cell r="N175">
            <v>17</v>
          </cell>
          <cell r="Q175">
            <v>23753.656291101179</v>
          </cell>
          <cell r="R175">
            <v>21378.290661991061</v>
          </cell>
          <cell r="S175">
            <v>22233.422288470705</v>
          </cell>
          <cell r="T175">
            <v>23088.553914950346</v>
          </cell>
        </row>
        <row r="176">
          <cell r="A176" t="str">
            <v>HB012FBH1T</v>
          </cell>
          <cell r="B176" t="str">
            <v>iQ100 Ankastre Fırın, Antrasit</v>
          </cell>
          <cell r="C176">
            <v>55</v>
          </cell>
          <cell r="I176">
            <v>1</v>
          </cell>
          <cell r="K176">
            <v>1</v>
          </cell>
          <cell r="M176">
            <v>1</v>
          </cell>
          <cell r="N176">
            <v>58</v>
          </cell>
          <cell r="Q176">
            <v>23753.656291101179</v>
          </cell>
          <cell r="R176">
            <v>21378.290661991061</v>
          </cell>
          <cell r="S176">
            <v>22233.422288470705</v>
          </cell>
          <cell r="T176">
            <v>23088.553914950346</v>
          </cell>
        </row>
        <row r="177">
          <cell r="A177" t="str">
            <v>HB012FBW1T</v>
          </cell>
          <cell r="B177" t="str">
            <v>iQ100 Ankastre Fırın, Beyaz</v>
          </cell>
          <cell r="C177">
            <v>24</v>
          </cell>
          <cell r="I177">
            <v>1</v>
          </cell>
          <cell r="J177">
            <v>1</v>
          </cell>
          <cell r="K177">
            <v>1</v>
          </cell>
          <cell r="M177">
            <v>1</v>
          </cell>
          <cell r="N177">
            <v>28</v>
          </cell>
          <cell r="Q177">
            <v>23753.656291101179</v>
          </cell>
          <cell r="R177">
            <v>21378.290661991061</v>
          </cell>
          <cell r="S177">
            <v>22233.422288470705</v>
          </cell>
          <cell r="T177">
            <v>23088.553914950346</v>
          </cell>
        </row>
        <row r="178">
          <cell r="A178" t="str">
            <v>HB013FBS1T</v>
          </cell>
          <cell r="B178" t="str">
            <v>iQ100 Ankastre Fırın, Siyah</v>
          </cell>
          <cell r="K178">
            <v>1</v>
          </cell>
          <cell r="L178">
            <v>1</v>
          </cell>
          <cell r="N178">
            <v>2</v>
          </cell>
          <cell r="Q178" t="str">
            <v>devamı yok</v>
          </cell>
          <cell r="R178">
            <v>17797</v>
          </cell>
          <cell r="S178">
            <v>18508.88</v>
          </cell>
          <cell r="T178">
            <v>19220.759999999998</v>
          </cell>
          <cell r="V178">
            <v>2797.2959999999998</v>
          </cell>
          <cell r="W178">
            <v>500</v>
          </cell>
        </row>
        <row r="179">
          <cell r="A179" t="str">
            <v>HB234FEH2T</v>
          </cell>
          <cell r="B179" t="str">
            <v>iQ300 Ankastre Fırın, 1 Teleskopik Ray, Arkası Kendini Temizler, Gri</v>
          </cell>
          <cell r="I179">
            <v>1</v>
          </cell>
          <cell r="N179">
            <v>1</v>
          </cell>
          <cell r="Q179" t="str">
            <v>devamı yok</v>
          </cell>
          <cell r="R179">
            <v>23000</v>
          </cell>
          <cell r="S179">
            <v>23920</v>
          </cell>
          <cell r="T179">
            <v>24840</v>
          </cell>
          <cell r="V179">
            <v>3040.14</v>
          </cell>
          <cell r="W179">
            <v>500</v>
          </cell>
        </row>
        <row r="180">
          <cell r="A180" t="str">
            <v>HB478G5B6</v>
          </cell>
          <cell r="B180" t="str">
            <v>iQ500 studioLine Ankastre Fırın, 1 Teleskopik Ray, Komple Kendini Temizler, Siyah</v>
          </cell>
          <cell r="D180">
            <v>2</v>
          </cell>
          <cell r="H180">
            <v>1</v>
          </cell>
          <cell r="N180">
            <v>3</v>
          </cell>
          <cell r="Q180" t="str">
            <v>devamı yok</v>
          </cell>
          <cell r="R180">
            <v>85000</v>
          </cell>
          <cell r="S180">
            <v>88400</v>
          </cell>
          <cell r="T180">
            <v>91800</v>
          </cell>
          <cell r="W180">
            <v>250</v>
          </cell>
        </row>
        <row r="181">
          <cell r="A181" t="str">
            <v>HB514FBH0T</v>
          </cell>
          <cell r="B181" t="str">
            <v>iQ300 Ankastre Fırın, Titanyum Gri</v>
          </cell>
          <cell r="E181">
            <v>1</v>
          </cell>
          <cell r="N181">
            <v>1</v>
          </cell>
          <cell r="Q181" t="str">
            <v>devamı yok</v>
          </cell>
          <cell r="R181">
            <v>17423</v>
          </cell>
          <cell r="S181">
            <v>18119.919999999998</v>
          </cell>
          <cell r="T181">
            <v>18816.84</v>
          </cell>
          <cell r="V181">
            <v>1422.5519999999999</v>
          </cell>
          <cell r="W181">
            <v>500</v>
          </cell>
        </row>
        <row r="182">
          <cell r="A182" t="str">
            <v>HB534FER0T</v>
          </cell>
          <cell r="B182" t="str">
            <v>iQ300 Ankastre Fırın, 1 Teleskopik Ray, Arkası Kendini Temizler, Siyah/Inox</v>
          </cell>
          <cell r="E182">
            <v>1</v>
          </cell>
          <cell r="L182">
            <v>1</v>
          </cell>
          <cell r="M182">
            <v>1</v>
          </cell>
          <cell r="N182">
            <v>3</v>
          </cell>
          <cell r="Q182" t="str">
            <v>devamı yok</v>
          </cell>
          <cell r="R182">
            <v>18607</v>
          </cell>
          <cell r="S182">
            <v>19351.28</v>
          </cell>
          <cell r="T182">
            <v>20095.560000000001</v>
          </cell>
          <cell r="V182">
            <v>1606.5839999999998</v>
          </cell>
          <cell r="W182">
            <v>500</v>
          </cell>
        </row>
        <row r="183">
          <cell r="A183" t="str">
            <v>HB557JEB6T</v>
          </cell>
          <cell r="B183" t="str">
            <v>iQ500 Ankastre Fırın, 1 Teleskopik Ray, Komple Kendini Temizler, Siyah</v>
          </cell>
          <cell r="C183">
            <v>8</v>
          </cell>
          <cell r="I183">
            <v>2</v>
          </cell>
          <cell r="J183">
            <v>1</v>
          </cell>
          <cell r="N183">
            <v>11</v>
          </cell>
          <cell r="O183">
            <v>3</v>
          </cell>
          <cell r="Q183">
            <v>36485.916896663985</v>
          </cell>
          <cell r="R183">
            <v>34661.621051830785</v>
          </cell>
          <cell r="S183">
            <v>36048.085893904019</v>
          </cell>
          <cell r="T183">
            <v>37434.550735977245</v>
          </cell>
        </row>
        <row r="184">
          <cell r="A184" t="str">
            <v>HB557JYH0T</v>
          </cell>
          <cell r="B184" t="str">
            <v>iQ500 Ankastre Fırın, 2 Teleskopik Ray, Komple Kendini Temizler, Titanyum Gri</v>
          </cell>
          <cell r="E184">
            <v>2</v>
          </cell>
          <cell r="L184">
            <v>1</v>
          </cell>
          <cell r="N184">
            <v>3</v>
          </cell>
          <cell r="Q184" t="str">
            <v>devamı yok</v>
          </cell>
          <cell r="R184">
            <v>20000</v>
          </cell>
          <cell r="S184">
            <v>20800</v>
          </cell>
          <cell r="T184">
            <v>21600</v>
          </cell>
          <cell r="W184">
            <v>500</v>
          </cell>
        </row>
        <row r="185">
          <cell r="A185" t="str">
            <v>HB011FBA1T</v>
          </cell>
          <cell r="B185" t="str">
            <v>iQ100 Ankastre Fırın, Siyah</v>
          </cell>
          <cell r="C185">
            <v>3</v>
          </cell>
          <cell r="N185">
            <v>3</v>
          </cell>
          <cell r="Q185">
            <v>15307.657304072218</v>
          </cell>
          <cell r="R185">
            <v>14542.274438868608</v>
          </cell>
          <cell r="S185">
            <v>15123.965416423353</v>
          </cell>
          <cell r="T185">
            <v>15705.656393978097</v>
          </cell>
        </row>
        <row r="186">
          <cell r="A186" t="str">
            <v>HB237FEG5T</v>
          </cell>
          <cell r="B186" t="str">
            <v>iQ500 Ankastre Fırın, 1 Teleskopik Ray, darkSteel</v>
          </cell>
          <cell r="C186">
            <v>4</v>
          </cell>
          <cell r="N186">
            <v>4</v>
          </cell>
          <cell r="Q186" t="str">
            <v>devamı yok</v>
          </cell>
          <cell r="R186">
            <v>21000</v>
          </cell>
          <cell r="S186">
            <v>21840</v>
          </cell>
          <cell r="T186">
            <v>22680</v>
          </cell>
          <cell r="W186">
            <v>500</v>
          </cell>
        </row>
        <row r="187">
          <cell r="A187" t="str">
            <v>HB634GBS1</v>
          </cell>
          <cell r="B187" t="str">
            <v>iQ700 Ankastre Fırın, Siyah</v>
          </cell>
          <cell r="K187">
            <v>1</v>
          </cell>
          <cell r="N187">
            <v>1</v>
          </cell>
          <cell r="Q187" t="str">
            <v>devamı yok</v>
          </cell>
          <cell r="R187">
            <v>45000</v>
          </cell>
          <cell r="S187">
            <v>46800</v>
          </cell>
          <cell r="T187">
            <v>48600</v>
          </cell>
          <cell r="W187">
            <v>500</v>
          </cell>
        </row>
        <row r="188">
          <cell r="A188" t="str">
            <v>HB656GHW1</v>
          </cell>
          <cell r="B188" t="str">
            <v>iQ700 Ankastre Fırın, 1 Teleskopik Ray, Komple Kendini Temizler, Beyaz</v>
          </cell>
          <cell r="I188">
            <v>1</v>
          </cell>
          <cell r="N188">
            <v>1</v>
          </cell>
          <cell r="Q188" t="str">
            <v>devamı yok</v>
          </cell>
          <cell r="R188">
            <v>45000</v>
          </cell>
          <cell r="S188">
            <v>46800</v>
          </cell>
          <cell r="T188">
            <v>48600</v>
          </cell>
          <cell r="W188">
            <v>500</v>
          </cell>
        </row>
        <row r="189">
          <cell r="A189" t="str">
            <v>HB734G1B1</v>
          </cell>
          <cell r="B189" t="str">
            <v>iQ700 Ankastre Fırın, Arkası Kendini Temizler, Siyah</v>
          </cell>
          <cell r="C189">
            <v>3</v>
          </cell>
          <cell r="I189">
            <v>1</v>
          </cell>
          <cell r="J189">
            <v>1</v>
          </cell>
          <cell r="K189">
            <v>1</v>
          </cell>
          <cell r="L189">
            <v>1</v>
          </cell>
          <cell r="N189">
            <v>7</v>
          </cell>
          <cell r="Q189">
            <v>59668.107779510901</v>
          </cell>
          <cell r="R189">
            <v>55491.340234945135</v>
          </cell>
          <cell r="S189">
            <v>57710.993844342942</v>
          </cell>
          <cell r="T189">
            <v>59930.647453740748</v>
          </cell>
          <cell r="W189">
            <v>500</v>
          </cell>
        </row>
        <row r="190">
          <cell r="A190" t="str">
            <v>HB734G1W1</v>
          </cell>
          <cell r="B190" t="str">
            <v>iQ700 Ankastre Fırın, Arkası Kendini Temizler, Beyaz</v>
          </cell>
          <cell r="C190">
            <v>3</v>
          </cell>
          <cell r="I190">
            <v>1</v>
          </cell>
          <cell r="N190">
            <v>4</v>
          </cell>
          <cell r="Q190" t="str">
            <v>devamı yok</v>
          </cell>
          <cell r="R190">
            <v>55000</v>
          </cell>
          <cell r="S190">
            <v>57200</v>
          </cell>
          <cell r="T190">
            <v>59400</v>
          </cell>
          <cell r="W190">
            <v>500</v>
          </cell>
        </row>
        <row r="191">
          <cell r="A191" t="str">
            <v>HB776G1B1</v>
          </cell>
          <cell r="B191" t="str">
            <v>iQ700 Ankastre Fırın, Siyah</v>
          </cell>
          <cell r="C191">
            <v>5</v>
          </cell>
          <cell r="F191">
            <v>2</v>
          </cell>
          <cell r="J191">
            <v>1</v>
          </cell>
          <cell r="M191">
            <v>1</v>
          </cell>
          <cell r="N191">
            <v>9</v>
          </cell>
          <cell r="O191">
            <v>4</v>
          </cell>
          <cell r="Q191">
            <v>75874.260509748405</v>
          </cell>
          <cell r="R191">
            <v>70563.062274066018</v>
          </cell>
          <cell r="S191">
            <v>73385.58476502866</v>
          </cell>
          <cell r="T191">
            <v>76208.107255991301</v>
          </cell>
        </row>
        <row r="192">
          <cell r="A192" t="str">
            <v>HB778G3B1</v>
          </cell>
          <cell r="B192" t="str">
            <v>iQ700 Ankastre Fırın, Komple Kendini Temizler, Siyah</v>
          </cell>
          <cell r="C192">
            <v>10</v>
          </cell>
          <cell r="N192">
            <v>10</v>
          </cell>
          <cell r="O192">
            <v>3</v>
          </cell>
          <cell r="Q192">
            <v>88231.927917319001</v>
          </cell>
          <cell r="R192">
            <v>82055.692963106674</v>
          </cell>
          <cell r="S192">
            <v>85337.920681630945</v>
          </cell>
          <cell r="T192">
            <v>88620.148400155202</v>
          </cell>
        </row>
        <row r="193">
          <cell r="A193" t="str">
            <v>HB876G8B6</v>
          </cell>
          <cell r="B193" t="str">
            <v>iQ700 studioLine Ankastre Fırın, 3 Teleskopik Ray, Komple Kendini Temizler, Siyah</v>
          </cell>
          <cell r="D193">
            <v>2</v>
          </cell>
          <cell r="H193">
            <v>1</v>
          </cell>
          <cell r="N193">
            <v>3</v>
          </cell>
          <cell r="Q193" t="str">
            <v>devamı yok</v>
          </cell>
          <cell r="R193">
            <v>90000</v>
          </cell>
          <cell r="S193">
            <v>93600</v>
          </cell>
          <cell r="T193">
            <v>97200</v>
          </cell>
          <cell r="W193">
            <v>250</v>
          </cell>
        </row>
        <row r="194">
          <cell r="A194" t="str">
            <v>HB976GMB1</v>
          </cell>
          <cell r="B194" t="str">
            <v>iQ700 studioLine Ankastre Fırın, 1 Teleskopik Ray, Komple Kendini Temizler, Siyah</v>
          </cell>
          <cell r="D194">
            <v>4</v>
          </cell>
          <cell r="N194">
            <v>4</v>
          </cell>
          <cell r="Q194">
            <v>140764.31742378484</v>
          </cell>
          <cell r="R194">
            <v>126687.88568140636</v>
          </cell>
          <cell r="S194">
            <v>131755.40110866263</v>
          </cell>
          <cell r="T194">
            <v>136822.91653591886</v>
          </cell>
          <cell r="W194">
            <v>250</v>
          </cell>
        </row>
        <row r="195">
          <cell r="A195" t="str">
            <v>HI133FEW0T</v>
          </cell>
          <cell r="B195" t="str">
            <v>iQ300 Ankastre Fırın, 1 Teleskopik Ray, Arkası Kendini Temizler, Beyaz</v>
          </cell>
          <cell r="I195">
            <v>1</v>
          </cell>
          <cell r="N195">
            <v>1</v>
          </cell>
          <cell r="Q195" t="str">
            <v>devamı yok</v>
          </cell>
          <cell r="R195">
            <v>20000</v>
          </cell>
          <cell r="S195">
            <v>20800</v>
          </cell>
          <cell r="T195">
            <v>21600</v>
          </cell>
          <cell r="W195">
            <v>500</v>
          </cell>
        </row>
        <row r="196">
          <cell r="A196" t="str">
            <v>HJ852GYB0T</v>
          </cell>
          <cell r="B196" t="str">
            <v>iQ500 Ankastre Fırın, 2 Teleskopik Ray, Komple Kendini Temizler, Siyah</v>
          </cell>
          <cell r="C196">
            <v>63</v>
          </cell>
          <cell r="F196">
            <v>3</v>
          </cell>
          <cell r="I196">
            <v>1</v>
          </cell>
          <cell r="L196">
            <v>2</v>
          </cell>
          <cell r="M196">
            <v>1</v>
          </cell>
          <cell r="N196">
            <v>70</v>
          </cell>
          <cell r="Q196">
            <v>35614.703467286046</v>
          </cell>
          <cell r="R196">
            <v>33833.968293921745</v>
          </cell>
          <cell r="S196">
            <v>35187.327025678613</v>
          </cell>
          <cell r="T196">
            <v>36540.685757435487</v>
          </cell>
        </row>
        <row r="197">
          <cell r="A197" t="str">
            <v>HJ852GYN0T</v>
          </cell>
          <cell r="B197" t="str">
            <v>iQ500 Ankastre Fırın, 2 Teleskopik Ray, Komple Kendini Temizler, Antrasit</v>
          </cell>
          <cell r="C197">
            <v>32</v>
          </cell>
          <cell r="F197">
            <v>2</v>
          </cell>
          <cell r="J197">
            <v>1</v>
          </cell>
          <cell r="N197">
            <v>35</v>
          </cell>
          <cell r="Q197">
            <v>35614.703467286046</v>
          </cell>
          <cell r="R197">
            <v>33833.968293921745</v>
          </cell>
          <cell r="S197">
            <v>35187.327025678613</v>
          </cell>
          <cell r="T197">
            <v>36540.685757435487</v>
          </cell>
        </row>
        <row r="198">
          <cell r="A198" t="str">
            <v>HJ852GYW0T</v>
          </cell>
          <cell r="B198" t="str">
            <v>iQ500 Ankastre Fırın, 2 Teleskopik Ray, Komple Kendini Temizler, Beyaz</v>
          </cell>
          <cell r="C198">
            <v>14</v>
          </cell>
          <cell r="F198">
            <v>2</v>
          </cell>
          <cell r="G198">
            <v>1</v>
          </cell>
          <cell r="I198">
            <v>1</v>
          </cell>
          <cell r="J198">
            <v>1</v>
          </cell>
          <cell r="K198">
            <v>1</v>
          </cell>
          <cell r="N198">
            <v>20</v>
          </cell>
          <cell r="Q198">
            <v>35614.703467286046</v>
          </cell>
          <cell r="R198">
            <v>33833.968293921745</v>
          </cell>
          <cell r="S198">
            <v>35187.327025678613</v>
          </cell>
          <cell r="T198">
            <v>36540.685757435487</v>
          </cell>
        </row>
        <row r="199">
          <cell r="A199" t="str">
            <v>HN978GQB1</v>
          </cell>
          <cell r="B199" t="str">
            <v>iQ700 studioLine Buhar ve Mikrodalga Fonksiyonlu Ankastre Fırın, Komple Kendini Temizler, Siyah</v>
          </cell>
          <cell r="D199">
            <v>1</v>
          </cell>
          <cell r="N199">
            <v>1</v>
          </cell>
          <cell r="Q199">
            <v>243931.80602849839</v>
          </cell>
          <cell r="R199">
            <v>219538.62542564856</v>
          </cell>
          <cell r="S199">
            <v>228320.17044267448</v>
          </cell>
          <cell r="T199">
            <v>237101.71545970044</v>
          </cell>
          <cell r="W199">
            <v>500</v>
          </cell>
        </row>
        <row r="200">
          <cell r="A200" t="str">
            <v>HR232GEB3</v>
          </cell>
          <cell r="B200" t="str">
            <v>iQ300 Buhar Destekli Ankastre Fırın, 1 Teleskopik Ray, Arkası Kendini Temizler, Siyah/Dark Inox</v>
          </cell>
          <cell r="C200">
            <v>2</v>
          </cell>
          <cell r="I200">
            <v>1</v>
          </cell>
          <cell r="K200">
            <v>1</v>
          </cell>
          <cell r="L200">
            <v>1</v>
          </cell>
          <cell r="N200">
            <v>5</v>
          </cell>
          <cell r="O200">
            <v>1</v>
          </cell>
          <cell r="Q200">
            <v>40202.335542884808</v>
          </cell>
          <cell r="R200">
            <v>40202.335542884808</v>
          </cell>
          <cell r="S200">
            <v>41810.4289646002</v>
          </cell>
          <cell r="T200">
            <v>43418.522386315592</v>
          </cell>
        </row>
        <row r="201">
          <cell r="A201" t="str">
            <v>HR538ABS1</v>
          </cell>
          <cell r="B201" t="str">
            <v>iQ500 Buhar Destekli Ankastre Fırın, Arkası Kendini Temizler, Siyah/Inox</v>
          </cell>
          <cell r="C201">
            <v>3</v>
          </cell>
          <cell r="I201">
            <v>1</v>
          </cell>
          <cell r="J201">
            <v>1</v>
          </cell>
          <cell r="K201">
            <v>1</v>
          </cell>
          <cell r="M201">
            <v>1</v>
          </cell>
          <cell r="N201">
            <v>7</v>
          </cell>
          <cell r="Q201" t="str">
            <v>devamı yok</v>
          </cell>
          <cell r="R201">
            <v>26144</v>
          </cell>
          <cell r="S201">
            <v>27189.759999999998</v>
          </cell>
          <cell r="T201">
            <v>28235.52</v>
          </cell>
        </row>
        <row r="202">
          <cell r="A202" t="str">
            <v>HR776G3B1</v>
          </cell>
          <cell r="B202" t="str">
            <v>iQ700 Ankastre Fırın, Siyah</v>
          </cell>
          <cell r="I202">
            <v>1</v>
          </cell>
          <cell r="J202">
            <v>1</v>
          </cell>
          <cell r="L202">
            <v>1</v>
          </cell>
          <cell r="M202">
            <v>1</v>
          </cell>
          <cell r="N202">
            <v>4</v>
          </cell>
          <cell r="O202">
            <v>12</v>
          </cell>
          <cell r="Q202">
            <v>90714.373227096235</v>
          </cell>
          <cell r="R202">
            <v>90714.373227096235</v>
          </cell>
          <cell r="S202">
            <v>94342.948156180079</v>
          </cell>
          <cell r="T202">
            <v>97971.523085263936</v>
          </cell>
        </row>
        <row r="203">
          <cell r="A203" t="str">
            <v>HS636GDS2</v>
          </cell>
          <cell r="B203" t="str">
            <v>iQ700 Buhar Destekli Ankastre Fırın, Arkası Kendini Temizler, Siyah/Inox</v>
          </cell>
          <cell r="C203">
            <v>1</v>
          </cell>
          <cell r="I203">
            <v>1</v>
          </cell>
          <cell r="N203">
            <v>2</v>
          </cell>
          <cell r="Q203" t="str">
            <v>devamı yok</v>
          </cell>
          <cell r="R203">
            <v>66000</v>
          </cell>
          <cell r="S203">
            <v>68640</v>
          </cell>
          <cell r="T203">
            <v>71280</v>
          </cell>
        </row>
        <row r="204">
          <cell r="A204" t="str">
            <v>HU717ABA0T</v>
          </cell>
          <cell r="B204" t="str">
            <v>iQ300 Buhar Destekli Ankastre Fırın, Siyah</v>
          </cell>
          <cell r="C204">
            <v>30</v>
          </cell>
          <cell r="F204">
            <v>1</v>
          </cell>
          <cell r="I204">
            <v>1</v>
          </cell>
          <cell r="J204">
            <v>1</v>
          </cell>
          <cell r="N204">
            <v>33</v>
          </cell>
          <cell r="Q204">
            <v>26434.340759742558</v>
          </cell>
          <cell r="R204">
            <v>25112.62372175543</v>
          </cell>
          <cell r="S204">
            <v>26117.128670625647</v>
          </cell>
          <cell r="T204">
            <v>27121.633619495864</v>
          </cell>
        </row>
        <row r="205">
          <cell r="A205" t="str">
            <v>HU717ABN0T</v>
          </cell>
          <cell r="B205" t="str">
            <v>iQ300 Buhar Destekli Ankastre Fırın, Antrasit</v>
          </cell>
          <cell r="C205">
            <v>6</v>
          </cell>
          <cell r="I205">
            <v>1</v>
          </cell>
          <cell r="J205">
            <v>1</v>
          </cell>
          <cell r="M205">
            <v>1</v>
          </cell>
          <cell r="N205">
            <v>9</v>
          </cell>
          <cell r="Q205">
            <v>26434.340759742558</v>
          </cell>
          <cell r="R205">
            <v>26434.340759742558</v>
          </cell>
          <cell r="S205">
            <v>27491.71439013226</v>
          </cell>
          <cell r="T205">
            <v>28549.088020521962</v>
          </cell>
        </row>
        <row r="206">
          <cell r="A206" t="str">
            <v>HU717ABV0T</v>
          </cell>
          <cell r="B206" t="str">
            <v>iQ300 Buhar Destekli Ankastre Fırın, Beyaz</v>
          </cell>
          <cell r="I206">
            <v>1</v>
          </cell>
          <cell r="J206">
            <v>1</v>
          </cell>
          <cell r="K206">
            <v>1</v>
          </cell>
          <cell r="N206">
            <v>3</v>
          </cell>
          <cell r="Q206">
            <v>26434.340759742558</v>
          </cell>
          <cell r="R206">
            <v>25112.62372175543</v>
          </cell>
          <cell r="S206">
            <v>26117.128670625647</v>
          </cell>
          <cell r="T206">
            <v>27121.633619495864</v>
          </cell>
        </row>
        <row r="207">
          <cell r="A207" t="str">
            <v>HU736AEA0T</v>
          </cell>
          <cell r="B207" t="str">
            <v>iQ300 Ankastre Fırın, 1 Teleskopik Ray, Arkası Kendini Temizler, Siyah</v>
          </cell>
          <cell r="C207">
            <v>25</v>
          </cell>
          <cell r="M207">
            <v>1</v>
          </cell>
          <cell r="N207">
            <v>26</v>
          </cell>
          <cell r="Q207">
            <v>29770.112012281617</v>
          </cell>
          <cell r="R207">
            <v>26793.100811053457</v>
          </cell>
          <cell r="S207">
            <v>27864.824843495597</v>
          </cell>
          <cell r="T207">
            <v>28936.548875937733</v>
          </cell>
        </row>
        <row r="208">
          <cell r="A208" t="str">
            <v>HU736AEG0T</v>
          </cell>
          <cell r="B208" t="str">
            <v>iQ300 Buhar Destekli Ankastre Fırın, 1 Teleskopik Ray, Arkası Kendini Temizler, darkSteel Line</v>
          </cell>
          <cell r="C208">
            <v>14</v>
          </cell>
          <cell r="I208">
            <v>1</v>
          </cell>
          <cell r="N208">
            <v>15</v>
          </cell>
          <cell r="Q208">
            <v>29770.112012281617</v>
          </cell>
          <cell r="R208">
            <v>28281.606411667537</v>
          </cell>
          <cell r="S208">
            <v>29412.870668134237</v>
          </cell>
          <cell r="T208">
            <v>30544.134924600941</v>
          </cell>
        </row>
        <row r="209">
          <cell r="A209" t="str">
            <v>HU736AEN0T</v>
          </cell>
          <cell r="B209" t="str">
            <v>iQ300 Ankastre Fırın, 1 Teleskopik Ray, Arkası Kendini Temizler, Antrasit</v>
          </cell>
          <cell r="C209">
            <v>8</v>
          </cell>
          <cell r="J209">
            <v>1</v>
          </cell>
          <cell r="K209">
            <v>1</v>
          </cell>
          <cell r="M209">
            <v>1</v>
          </cell>
          <cell r="N209">
            <v>11</v>
          </cell>
          <cell r="Q209">
            <v>29489.261898958212</v>
          </cell>
          <cell r="R209">
            <v>28014.798804010301</v>
          </cell>
          <cell r="S209">
            <v>29135.390756170713</v>
          </cell>
          <cell r="T209">
            <v>30255.982708331125</v>
          </cell>
        </row>
        <row r="210">
          <cell r="A210" t="str">
            <v>HU736AEV0T</v>
          </cell>
          <cell r="B210" t="str">
            <v>iQ300 Buhar Destekli Ankastre Fırın, 1 Teleskopik Ray, Arkası Kendini Temizler, Beyaz</v>
          </cell>
          <cell r="F210">
            <v>1</v>
          </cell>
          <cell r="I210">
            <v>1</v>
          </cell>
          <cell r="J210">
            <v>1</v>
          </cell>
          <cell r="N210">
            <v>3</v>
          </cell>
          <cell r="Q210">
            <v>29770.112012281617</v>
          </cell>
          <cell r="R210">
            <v>29770.112012281617</v>
          </cell>
          <cell r="S210">
            <v>30960.916492772882</v>
          </cell>
          <cell r="T210">
            <v>32151.720973264146</v>
          </cell>
        </row>
        <row r="211">
          <cell r="A211" t="str">
            <v xml:space="preserve">MİKRODALGA </v>
          </cell>
          <cell r="B211" t="str">
            <v/>
          </cell>
          <cell r="N211">
            <v>428</v>
          </cell>
        </row>
        <row r="212">
          <cell r="A212" t="str">
            <v>BE525LMB2</v>
          </cell>
          <cell r="B212" t="str">
            <v>iQ500 Ankastre Mikrodalga, Izgaralı, Siyah</v>
          </cell>
          <cell r="C212">
            <v>7</v>
          </cell>
          <cell r="N212">
            <v>7</v>
          </cell>
          <cell r="Q212">
            <v>21982.812937232065</v>
          </cell>
          <cell r="R212">
            <v>21982.812937232065</v>
          </cell>
          <cell r="S212">
            <v>22862.125454721347</v>
          </cell>
          <cell r="T212">
            <v>23741.437972210631</v>
          </cell>
          <cell r="X212">
            <v>20700</v>
          </cell>
        </row>
        <row r="213">
          <cell r="A213" t="str">
            <v>BE525LMH2</v>
          </cell>
          <cell r="B213" t="str">
            <v>iQ500 Ankastre Mikrodalga, Izgara Fonksiyonlu, 20L, Siyah/darkSteel</v>
          </cell>
          <cell r="C213">
            <v>3</v>
          </cell>
          <cell r="F213">
            <v>1</v>
          </cell>
          <cell r="L213">
            <v>1</v>
          </cell>
          <cell r="N213">
            <v>5</v>
          </cell>
          <cell r="O213">
            <v>1</v>
          </cell>
          <cell r="Q213">
            <v>21982.812937232065</v>
          </cell>
          <cell r="R213">
            <v>21982.812937232065</v>
          </cell>
          <cell r="S213">
            <v>22862.125454721347</v>
          </cell>
          <cell r="T213">
            <v>23741.437972210631</v>
          </cell>
        </row>
        <row r="214">
          <cell r="A214" t="str">
            <v>BE525LMG2</v>
          </cell>
          <cell r="B214" t="str">
            <v>iQ500 Ankastre Mikrodalga, Izgaralı, Anstrasit</v>
          </cell>
          <cell r="N214">
            <v>0</v>
          </cell>
          <cell r="O214">
            <v>6</v>
          </cell>
          <cell r="Q214">
            <v>21982.812937232065</v>
          </cell>
          <cell r="R214">
            <v>21982.812937232065</v>
          </cell>
          <cell r="S214">
            <v>22862.125454721347</v>
          </cell>
          <cell r="T214">
            <v>23741.437972210631</v>
          </cell>
        </row>
        <row r="215">
          <cell r="A215" t="str">
            <v>BE525LMW2</v>
          </cell>
          <cell r="B215" t="str">
            <v>iQ500 Ankastre Mikrodalga, Izgara Fonksiyonlu, 20L, Beyaz</v>
          </cell>
          <cell r="C215">
            <v>3</v>
          </cell>
          <cell r="N215">
            <v>3</v>
          </cell>
          <cell r="O215">
            <v>1</v>
          </cell>
          <cell r="Q215">
            <v>21982.812937232065</v>
          </cell>
          <cell r="R215">
            <v>21982.812937232065</v>
          </cell>
          <cell r="S215">
            <v>22862.125454721347</v>
          </cell>
          <cell r="T215">
            <v>23741.437972210631</v>
          </cell>
        </row>
        <row r="216">
          <cell r="A216" t="str">
            <v>BE525LMS0</v>
          </cell>
          <cell r="B216" t="str">
            <v>iQ500 Ankastre Mikrodalga, Izgara Fonksiyonlu, 20L, Siyah/Inox</v>
          </cell>
          <cell r="M216">
            <v>1</v>
          </cell>
          <cell r="N216">
            <v>1</v>
          </cell>
          <cell r="Q216" t="str">
            <v>devamı yok</v>
          </cell>
          <cell r="R216">
            <v>20000</v>
          </cell>
          <cell r="S216">
            <v>20800</v>
          </cell>
          <cell r="T216">
            <v>21600</v>
          </cell>
          <cell r="W216">
            <v>500</v>
          </cell>
        </row>
        <row r="217">
          <cell r="A217" t="str">
            <v>BE555LMB2</v>
          </cell>
          <cell r="B217" t="str">
            <v>iQ500 Ankastre Mikrodalga, Izgaralı, Siyah</v>
          </cell>
          <cell r="C217">
            <v>2</v>
          </cell>
          <cell r="I217">
            <v>1</v>
          </cell>
          <cell r="K217">
            <v>1</v>
          </cell>
          <cell r="N217">
            <v>4</v>
          </cell>
          <cell r="Q217">
            <v>25108.834056139687</v>
          </cell>
          <cell r="R217">
            <v>25108.834056139687</v>
          </cell>
          <cell r="S217">
            <v>26113.187418385274</v>
          </cell>
          <cell r="T217">
            <v>27117.540780630861</v>
          </cell>
        </row>
        <row r="218">
          <cell r="A218" t="str">
            <v>BE732L1B1</v>
          </cell>
          <cell r="B218" t="str">
            <v>iQ700 Ankastre Mikrodalga, Izgara Fonksiyonlu, 21L, Siyah</v>
          </cell>
          <cell r="C218">
            <v>1</v>
          </cell>
          <cell r="F218">
            <v>3</v>
          </cell>
          <cell r="N218">
            <v>4</v>
          </cell>
          <cell r="O218">
            <v>1</v>
          </cell>
          <cell r="Q218">
            <v>35710.442070253615</v>
          </cell>
          <cell r="R218">
            <v>35710.442070253615</v>
          </cell>
          <cell r="S218">
            <v>37138.859753063763</v>
          </cell>
          <cell r="T218">
            <v>38567.277435873904</v>
          </cell>
        </row>
        <row r="219">
          <cell r="A219" t="str">
            <v>BF520LMA1</v>
          </cell>
          <cell r="B219" t="str">
            <v>iQ300 Ankastre Mikrodalga, 20L, Siyah</v>
          </cell>
          <cell r="N219">
            <v>0</v>
          </cell>
          <cell r="O219">
            <v>6</v>
          </cell>
          <cell r="Q219">
            <v>18657.18356292399</v>
          </cell>
          <cell r="R219">
            <v>18657.18356292399</v>
          </cell>
          <cell r="S219">
            <v>19403.47090544095</v>
          </cell>
          <cell r="T219">
            <v>20149.75824795791</v>
          </cell>
        </row>
        <row r="220">
          <cell r="A220" t="str">
            <v>BF520LMR0</v>
          </cell>
          <cell r="B220" t="str">
            <v>iQ300 Ankastre Mikrodalga, 20L, Siyah/Inox</v>
          </cell>
          <cell r="I220">
            <v>1</v>
          </cell>
          <cell r="J220">
            <v>1</v>
          </cell>
          <cell r="N220">
            <v>2</v>
          </cell>
          <cell r="Q220" t="str">
            <v>devamı yok</v>
          </cell>
          <cell r="R220">
            <v>19500</v>
          </cell>
          <cell r="S220">
            <v>20280</v>
          </cell>
          <cell r="T220">
            <v>21060</v>
          </cell>
          <cell r="W220">
            <v>500</v>
          </cell>
        </row>
        <row r="221">
          <cell r="A221" t="str">
            <v>BF525LMW0</v>
          </cell>
          <cell r="B221" t="str">
            <v>iQ500 Ankastre Mikrodalga, 20L, Beyaz/Inox</v>
          </cell>
          <cell r="I221">
            <v>1</v>
          </cell>
          <cell r="J221">
            <v>1</v>
          </cell>
          <cell r="L221">
            <v>2</v>
          </cell>
          <cell r="N221">
            <v>4</v>
          </cell>
          <cell r="Q221" t="str">
            <v>devamı yok</v>
          </cell>
          <cell r="R221">
            <v>19500</v>
          </cell>
          <cell r="S221">
            <v>20280</v>
          </cell>
          <cell r="T221">
            <v>21060</v>
          </cell>
          <cell r="W221">
            <v>500</v>
          </cell>
        </row>
        <row r="222">
          <cell r="A222" t="str">
            <v>BF623LMG3</v>
          </cell>
          <cell r="B222" t="str">
            <v>iQ300 Ankastre Mikrodalga, 20L, Antrasit/Titanyum Gri</v>
          </cell>
          <cell r="C222">
            <v>11</v>
          </cell>
          <cell r="I222">
            <v>1</v>
          </cell>
          <cell r="J222">
            <v>1</v>
          </cell>
          <cell r="N222">
            <v>13</v>
          </cell>
          <cell r="Q222">
            <v>17498.604610194066</v>
          </cell>
          <cell r="R222">
            <v>17498.604610194066</v>
          </cell>
          <cell r="S222">
            <v>18198.548794601829</v>
          </cell>
          <cell r="T222">
            <v>18898.492979009592</v>
          </cell>
          <cell r="X222">
            <v>16400</v>
          </cell>
        </row>
        <row r="223">
          <cell r="A223" t="str">
            <v>BF623LMS3</v>
          </cell>
          <cell r="B223" t="str">
            <v>iQ300 Ankastre Mikrodalga, Inox</v>
          </cell>
          <cell r="C223">
            <v>9</v>
          </cell>
          <cell r="F223">
            <v>1</v>
          </cell>
          <cell r="I223">
            <v>1</v>
          </cell>
          <cell r="K223">
            <v>1</v>
          </cell>
          <cell r="M223">
            <v>1</v>
          </cell>
          <cell r="N223">
            <v>13</v>
          </cell>
          <cell r="Q223">
            <v>17748.639744541822</v>
          </cell>
          <cell r="R223">
            <v>17748.639744541822</v>
          </cell>
          <cell r="S223">
            <v>18458.585334323496</v>
          </cell>
          <cell r="T223">
            <v>19168.530924105169</v>
          </cell>
          <cell r="X223">
            <v>16400</v>
          </cell>
        </row>
        <row r="224">
          <cell r="A224" t="str">
            <v>BF623LMW3</v>
          </cell>
          <cell r="B224" t="str">
            <v>iQ300 Ankastre Mikrodalga, 20L, Beyaz</v>
          </cell>
          <cell r="C224">
            <v>9</v>
          </cell>
          <cell r="F224">
            <v>1</v>
          </cell>
          <cell r="I224">
            <v>1</v>
          </cell>
          <cell r="N224">
            <v>11</v>
          </cell>
          <cell r="Q224">
            <v>17748.639744541822</v>
          </cell>
          <cell r="R224">
            <v>17748.639744541822</v>
          </cell>
          <cell r="S224">
            <v>18458.585334323496</v>
          </cell>
          <cell r="T224">
            <v>19168.530924105169</v>
          </cell>
          <cell r="X224">
            <v>16400</v>
          </cell>
        </row>
        <row r="225">
          <cell r="A225" t="str">
            <v>BF834LGB1</v>
          </cell>
          <cell r="B225" t="str">
            <v>iQ700 studioLine Ankastre Mikrodalga, 21L, Siyah</v>
          </cell>
          <cell r="D225">
            <v>2</v>
          </cell>
          <cell r="H225">
            <v>1</v>
          </cell>
          <cell r="N225">
            <v>3</v>
          </cell>
          <cell r="Q225" t="str">
            <v>devamı yok</v>
          </cell>
          <cell r="R225">
            <v>45000</v>
          </cell>
          <cell r="S225">
            <v>46800</v>
          </cell>
          <cell r="T225">
            <v>48600</v>
          </cell>
          <cell r="W225">
            <v>500</v>
          </cell>
        </row>
        <row r="226">
          <cell r="A226" t="str">
            <v>BF922L1B1</v>
          </cell>
          <cell r="B226" t="str">
            <v>iQ700 studioLine Ankastre Mikrodalga, 21L, Siyah</v>
          </cell>
          <cell r="D226">
            <v>1</v>
          </cell>
          <cell r="N226">
            <v>1</v>
          </cell>
          <cell r="Q226">
            <v>55076.061557332032</v>
          </cell>
          <cell r="R226">
            <v>49568.455401598825</v>
          </cell>
          <cell r="S226">
            <v>51551.193617662779</v>
          </cell>
          <cell r="T226">
            <v>53533.931833726732</v>
          </cell>
          <cell r="W226">
            <v>500</v>
          </cell>
        </row>
        <row r="227">
          <cell r="A227" t="str">
            <v>FF020LMB2</v>
          </cell>
          <cell r="B227" t="str">
            <v>iQ300 Solo Mikrodalga, 20L, Siyah</v>
          </cell>
          <cell r="C227">
            <v>8</v>
          </cell>
          <cell r="F227">
            <v>2</v>
          </cell>
          <cell r="I227">
            <v>1</v>
          </cell>
          <cell r="L227">
            <v>1</v>
          </cell>
          <cell r="M227">
            <v>1</v>
          </cell>
          <cell r="N227">
            <v>13</v>
          </cell>
          <cell r="Q227">
            <v>7890.8475199693648</v>
          </cell>
          <cell r="R227">
            <v>7890.8475199693648</v>
          </cell>
          <cell r="S227">
            <v>8206.4814207681393</v>
          </cell>
          <cell r="T227">
            <v>8522.1153215669146</v>
          </cell>
        </row>
        <row r="228">
          <cell r="A228" t="str">
            <v>FF020LMW0</v>
          </cell>
          <cell r="B228" t="str">
            <v>iQ300 Solo Mikrodalga, 20L, Beyaz</v>
          </cell>
          <cell r="C228">
            <v>10</v>
          </cell>
          <cell r="F228">
            <v>1</v>
          </cell>
          <cell r="I228">
            <v>1</v>
          </cell>
          <cell r="J228">
            <v>1</v>
          </cell>
          <cell r="K228">
            <v>1</v>
          </cell>
          <cell r="M228">
            <v>1</v>
          </cell>
          <cell r="N228">
            <v>15</v>
          </cell>
          <cell r="O228">
            <v>1</v>
          </cell>
          <cell r="Q228">
            <v>7320.948454753433</v>
          </cell>
          <cell r="R228">
            <v>7320.948454753433</v>
          </cell>
          <cell r="S228">
            <v>7613.7863929435707</v>
          </cell>
          <cell r="T228">
            <v>7906.6243311337075</v>
          </cell>
        </row>
        <row r="229">
          <cell r="A229" t="str">
            <v>FF023LMS1</v>
          </cell>
          <cell r="B229" t="str">
            <v>iQ300 Solo Mikrodalga, 20L, Siyah/Inox</v>
          </cell>
          <cell r="C229">
            <v>9</v>
          </cell>
          <cell r="F229">
            <v>1</v>
          </cell>
          <cell r="I229">
            <v>1</v>
          </cell>
          <cell r="M229">
            <v>1</v>
          </cell>
          <cell r="N229">
            <v>12</v>
          </cell>
          <cell r="Q229">
            <v>8744.2953162644753</v>
          </cell>
          <cell r="R229">
            <v>8744.2953162644753</v>
          </cell>
          <cell r="S229">
            <v>9094.0671289150541</v>
          </cell>
          <cell r="T229">
            <v>9443.8389415656329</v>
          </cell>
        </row>
        <row r="230">
          <cell r="A230" t="str">
            <v xml:space="preserve"> DAVLUMBAZ</v>
          </cell>
          <cell r="B230" t="str">
            <v/>
          </cell>
          <cell r="N230">
            <v>111</v>
          </cell>
        </row>
        <row r="231">
          <cell r="A231" t="str">
            <v>LC63KPJ20T</v>
          </cell>
          <cell r="B231" t="str">
            <v>iQ100 Eğimli Davlumbaz, 59cm, 360m3, Beyaz Cam</v>
          </cell>
          <cell r="F231">
            <v>1</v>
          </cell>
          <cell r="N231">
            <v>1</v>
          </cell>
          <cell r="P231" t="str">
            <v>PRİM HARİÇ</v>
          </cell>
          <cell r="Q231">
            <v>9949.9104171655872</v>
          </cell>
          <cell r="R231">
            <v>9949.9104171655872</v>
          </cell>
          <cell r="S231">
            <v>10347.90683385221</v>
          </cell>
          <cell r="T231">
            <v>10745.903250538835</v>
          </cell>
        </row>
        <row r="232">
          <cell r="A232" t="str">
            <v>LC63KPJ60T</v>
          </cell>
          <cell r="B232" t="str">
            <v>iQ100 Eğimli Davlumbaz, 59cm, 360m3, Siyah Cam</v>
          </cell>
          <cell r="F232">
            <v>1</v>
          </cell>
          <cell r="M232">
            <v>1</v>
          </cell>
          <cell r="N232">
            <v>2</v>
          </cell>
          <cell r="P232" t="str">
            <v>PRİM HARİÇ</v>
          </cell>
          <cell r="Q232">
            <v>9949.9104171655872</v>
          </cell>
          <cell r="R232">
            <v>9949.9104171655872</v>
          </cell>
          <cell r="S232">
            <v>10347.90683385221</v>
          </cell>
          <cell r="T232">
            <v>10745.903250538835</v>
          </cell>
        </row>
        <row r="233">
          <cell r="A233" t="str">
            <v>LC63KPJ61T</v>
          </cell>
          <cell r="B233" t="str">
            <v>iQ100 Eğimli Davlumbaz, 59cm, 360m3, Siyah Cam</v>
          </cell>
          <cell r="J233">
            <v>1</v>
          </cell>
          <cell r="L233">
            <v>1</v>
          </cell>
          <cell r="N233">
            <v>2</v>
          </cell>
          <cell r="P233" t="str">
            <v>PRİM HARİÇ</v>
          </cell>
          <cell r="Q233">
            <v>9949.9104171655872</v>
          </cell>
          <cell r="R233">
            <v>9949.9104171655872</v>
          </cell>
          <cell r="S233">
            <v>10347.90683385221</v>
          </cell>
          <cell r="T233">
            <v>10745.903250538835</v>
          </cell>
        </row>
        <row r="234">
          <cell r="A234" t="str">
            <v>LC64KPJ20T</v>
          </cell>
          <cell r="B234" t="str">
            <v>iQ100 Eğimli Davlumbaz, 60cm, 400m3, Beyaz Cam</v>
          </cell>
          <cell r="I234">
            <v>1</v>
          </cell>
          <cell r="N234">
            <v>1</v>
          </cell>
          <cell r="O234">
            <v>11</v>
          </cell>
          <cell r="Q234">
            <v>15453.423870263241</v>
          </cell>
          <cell r="R234">
            <v>15453.423870263241</v>
          </cell>
          <cell r="S234">
            <v>16071.560825073771</v>
          </cell>
          <cell r="T234">
            <v>16689.6977798843</v>
          </cell>
        </row>
        <row r="235">
          <cell r="A235" t="str">
            <v>LC64KPJ60T</v>
          </cell>
          <cell r="B235" t="str">
            <v>iQ100 Eğimli Davlumbaz, 60cm, 400m3, Siyah Cam</v>
          </cell>
          <cell r="J235">
            <v>1</v>
          </cell>
          <cell r="N235">
            <v>1</v>
          </cell>
          <cell r="O235">
            <v>10</v>
          </cell>
          <cell r="P235" t="str">
            <v>TEDARİK SORUNLU</v>
          </cell>
          <cell r="Q235">
            <v>15453.423870263241</v>
          </cell>
          <cell r="R235">
            <v>16226.095063776404</v>
          </cell>
          <cell r="S235">
            <v>16875.138866327459</v>
          </cell>
          <cell r="T235">
            <v>17524.182668878515</v>
          </cell>
          <cell r="X235" t="str">
            <v>ileri teslim satılmayacak</v>
          </cell>
        </row>
        <row r="236">
          <cell r="A236" t="str">
            <v>LC64KPJ70T</v>
          </cell>
          <cell r="B236" t="str">
            <v>iQ100 Eğimli Davlumbaz, 60cm, 400m3, Antrasit Gri Cam</v>
          </cell>
          <cell r="F236">
            <v>1</v>
          </cell>
          <cell r="I236">
            <v>1</v>
          </cell>
          <cell r="K236">
            <v>1</v>
          </cell>
          <cell r="M236">
            <v>1</v>
          </cell>
          <cell r="N236">
            <v>4</v>
          </cell>
          <cell r="O236">
            <v>26</v>
          </cell>
          <cell r="P236" t="str">
            <v>TEDARİK SORUNLU</v>
          </cell>
          <cell r="Q236">
            <v>15453.423870263241</v>
          </cell>
          <cell r="R236">
            <v>16226.095063776404</v>
          </cell>
          <cell r="S236">
            <v>16875.138866327459</v>
          </cell>
          <cell r="T236">
            <v>17524.182668878515</v>
          </cell>
          <cell r="X236" t="str">
            <v>ileri teslim satılmayacak</v>
          </cell>
        </row>
        <row r="237">
          <cell r="A237" t="str">
            <v>LC64PCC20T</v>
          </cell>
          <cell r="B237" t="str">
            <v>iQ100 Düz Davlumbaz, 60cm, 380m3, Beyaz</v>
          </cell>
          <cell r="C237">
            <v>1</v>
          </cell>
          <cell r="I237">
            <v>1</v>
          </cell>
          <cell r="L237">
            <v>1</v>
          </cell>
          <cell r="N237">
            <v>3</v>
          </cell>
          <cell r="Q237" t="str">
            <v>devamı yok</v>
          </cell>
          <cell r="R237">
            <v>8000</v>
          </cell>
          <cell r="S237">
            <v>8320</v>
          </cell>
          <cell r="T237">
            <v>8640</v>
          </cell>
          <cell r="W237">
            <v>500</v>
          </cell>
        </row>
        <row r="238">
          <cell r="A238" t="str">
            <v>LC64PCC50T</v>
          </cell>
          <cell r="B238" t="str">
            <v>iQ100 Düz Davlumbaz, 60cm, 380m3, Inox</v>
          </cell>
          <cell r="C238">
            <v>4</v>
          </cell>
          <cell r="K238">
            <v>1</v>
          </cell>
          <cell r="N238">
            <v>5</v>
          </cell>
          <cell r="P238" t="str">
            <v>GİRİŞ SET</v>
          </cell>
          <cell r="Q238" t="str">
            <v>devamı yok</v>
          </cell>
          <cell r="R238">
            <v>9000</v>
          </cell>
          <cell r="S238">
            <v>9360</v>
          </cell>
          <cell r="T238">
            <v>9720</v>
          </cell>
          <cell r="W238">
            <v>250</v>
          </cell>
        </row>
        <row r="239">
          <cell r="A239" t="str">
            <v>LC64PCC60T</v>
          </cell>
          <cell r="B239" t="str">
            <v>iQ100 Düz Davlumbaz, 60cm, 380m3, Siyah</v>
          </cell>
          <cell r="C239">
            <v>2</v>
          </cell>
          <cell r="F239">
            <v>1</v>
          </cell>
          <cell r="L239">
            <v>2</v>
          </cell>
          <cell r="N239">
            <v>5</v>
          </cell>
          <cell r="Q239" t="str">
            <v>devamı yok</v>
          </cell>
          <cell r="R239">
            <v>9000</v>
          </cell>
          <cell r="S239">
            <v>9360</v>
          </cell>
          <cell r="T239">
            <v>9720</v>
          </cell>
          <cell r="W239">
            <v>250</v>
          </cell>
        </row>
        <row r="240">
          <cell r="A240" t="str">
            <v>LC65BBC50T</v>
          </cell>
          <cell r="B240" t="str">
            <v>iQ100 Düz Davlumbaz, 60cm, 612m3, Paslanmaz Çelik</v>
          </cell>
          <cell r="C240">
            <v>5</v>
          </cell>
          <cell r="F240">
            <v>1</v>
          </cell>
          <cell r="I240">
            <v>1</v>
          </cell>
          <cell r="N240">
            <v>7</v>
          </cell>
          <cell r="Q240">
            <v>18529.104551827117</v>
          </cell>
          <cell r="R240">
            <v>18529.104551827117</v>
          </cell>
          <cell r="S240">
            <v>19270.2687339002</v>
          </cell>
          <cell r="T240">
            <v>20011.432915973288</v>
          </cell>
        </row>
        <row r="241">
          <cell r="A241" t="str">
            <v>LC65FCJ00T</v>
          </cell>
          <cell r="B241" t="str">
            <v>iQ300 Düz Davlumbaz, 60cm, 649m3, Antrasit Gri Cam</v>
          </cell>
          <cell r="C241">
            <v>4</v>
          </cell>
          <cell r="K241">
            <v>1</v>
          </cell>
          <cell r="L241">
            <v>1</v>
          </cell>
          <cell r="N241">
            <v>6</v>
          </cell>
          <cell r="O241">
            <v>1</v>
          </cell>
          <cell r="Q241">
            <v>21837.761714421129</v>
          </cell>
          <cell r="R241">
            <v>21837.761714421129</v>
          </cell>
          <cell r="S241">
            <v>22711.272182997975</v>
          </cell>
          <cell r="T241">
            <v>23584.78265157482</v>
          </cell>
        </row>
        <row r="242">
          <cell r="A242" t="str">
            <v>LC65FCJ20T</v>
          </cell>
          <cell r="B242" t="str">
            <v>iQ300 Düz Davlumbaz, 60cm, 649m3, Beyaz Cam</v>
          </cell>
          <cell r="C242">
            <v>10</v>
          </cell>
          <cell r="F242">
            <v>1</v>
          </cell>
          <cell r="J242">
            <v>1</v>
          </cell>
          <cell r="L242">
            <v>1</v>
          </cell>
          <cell r="N242">
            <v>13</v>
          </cell>
          <cell r="Q242">
            <v>21837.761714421129</v>
          </cell>
          <cell r="R242">
            <v>21837.761714421129</v>
          </cell>
          <cell r="S242">
            <v>22711.272182997975</v>
          </cell>
          <cell r="T242">
            <v>23584.78265157482</v>
          </cell>
        </row>
        <row r="243">
          <cell r="A243" t="str">
            <v>LC65FCJ60T</v>
          </cell>
          <cell r="B243" t="str">
            <v>iQ300 Düz Davlumbaz, 60cm, 649m3, Siyah Cam</v>
          </cell>
          <cell r="C243">
            <v>1</v>
          </cell>
          <cell r="I243">
            <v>2</v>
          </cell>
          <cell r="L243">
            <v>1</v>
          </cell>
          <cell r="N243">
            <v>4</v>
          </cell>
          <cell r="Q243">
            <v>21837.761714421129</v>
          </cell>
          <cell r="R243">
            <v>21837.761714421129</v>
          </cell>
          <cell r="S243">
            <v>22711.272182997975</v>
          </cell>
          <cell r="T243">
            <v>23584.78265157482</v>
          </cell>
        </row>
        <row r="244">
          <cell r="A244" t="str">
            <v>LC65KA670T</v>
          </cell>
          <cell r="B244" t="str">
            <v>iQ300 Eğimli Davlumbaz, 60cm, 593m3, Siyah Cam</v>
          </cell>
          <cell r="F244">
            <v>1</v>
          </cell>
          <cell r="N244">
            <v>1</v>
          </cell>
          <cell r="Q244" t="str">
            <v>devamı yok</v>
          </cell>
          <cell r="R244">
            <v>13000</v>
          </cell>
          <cell r="S244">
            <v>13520</v>
          </cell>
          <cell r="T244">
            <v>14040</v>
          </cell>
          <cell r="W244">
            <v>250</v>
          </cell>
        </row>
        <row r="245">
          <cell r="A245" t="str">
            <v>LC66KPJ20T</v>
          </cell>
          <cell r="B245" t="str">
            <v>iQ300 Eğimli Davlumbaz, 60cm, 510m3, Beyaz Cam</v>
          </cell>
          <cell r="C245">
            <v>2</v>
          </cell>
          <cell r="I245">
            <v>1</v>
          </cell>
          <cell r="M245">
            <v>1</v>
          </cell>
          <cell r="N245">
            <v>4</v>
          </cell>
          <cell r="O245">
            <v>11</v>
          </cell>
          <cell r="Q245">
            <v>19528.389222070771</v>
          </cell>
          <cell r="R245">
            <v>19528.389222070771</v>
          </cell>
          <cell r="S245">
            <v>20309.524790953601</v>
          </cell>
          <cell r="T245">
            <v>21090.660359836435</v>
          </cell>
        </row>
        <row r="246">
          <cell r="A246" t="str">
            <v>LC66KPJ60T</v>
          </cell>
          <cell r="B246" t="str">
            <v>iQ300 Eğimli Davlumbaz, 60cm, 510m3, Siyah Cam</v>
          </cell>
          <cell r="C246">
            <v>9</v>
          </cell>
          <cell r="K246">
            <v>1</v>
          </cell>
          <cell r="L246">
            <v>1</v>
          </cell>
          <cell r="N246">
            <v>11</v>
          </cell>
          <cell r="O246">
            <v>17</v>
          </cell>
          <cell r="P246" t="str">
            <v>TEDARİK SORUNLU</v>
          </cell>
          <cell r="Q246">
            <v>19528.389222070771</v>
          </cell>
          <cell r="R246">
            <v>20504.808683174309</v>
          </cell>
          <cell r="S246">
            <v>21325.00103050128</v>
          </cell>
          <cell r="T246">
            <v>22145.193377828255</v>
          </cell>
          <cell r="X246" t="str">
            <v>ileri teslim satılmayacak</v>
          </cell>
        </row>
        <row r="247">
          <cell r="A247" t="str">
            <v>LC66KPJ70T</v>
          </cell>
          <cell r="B247" t="str">
            <v>iQ300 Eğimli Davlumbaz, 60cm, 510m3, Antrasit Gri Cam</v>
          </cell>
          <cell r="C247">
            <v>8</v>
          </cell>
          <cell r="F247">
            <v>1</v>
          </cell>
          <cell r="I247">
            <v>1</v>
          </cell>
          <cell r="N247">
            <v>10</v>
          </cell>
          <cell r="O247">
            <v>11</v>
          </cell>
          <cell r="Q247">
            <v>19528.389222070771</v>
          </cell>
          <cell r="R247">
            <v>19528.389222070771</v>
          </cell>
          <cell r="S247">
            <v>20309.524790953601</v>
          </cell>
          <cell r="T247">
            <v>21090.660359836435</v>
          </cell>
        </row>
        <row r="248">
          <cell r="A248" t="str">
            <v>LC67BBK00T</v>
          </cell>
          <cell r="B248" t="str">
            <v>iQ300 Düz Davlumbaz, 60cm, 582m3, Magnet Silver</v>
          </cell>
          <cell r="C248">
            <v>1</v>
          </cell>
          <cell r="N248">
            <v>1</v>
          </cell>
          <cell r="Q248">
            <v>18296.350661364198</v>
          </cell>
          <cell r="R248">
            <v>18296.350661364198</v>
          </cell>
          <cell r="S248">
            <v>19028.204687818765</v>
          </cell>
          <cell r="T248">
            <v>19760.058714273335</v>
          </cell>
          <cell r="W248">
            <v>250</v>
          </cell>
        </row>
        <row r="249">
          <cell r="A249" t="str">
            <v>LC67BBK20T</v>
          </cell>
          <cell r="B249" t="str">
            <v>iQ300 Düz Davlumbaz, 60cm, 582m3, Beyaz/Inox</v>
          </cell>
          <cell r="C249">
            <v>24</v>
          </cell>
          <cell r="F249">
            <v>2</v>
          </cell>
          <cell r="J249">
            <v>1</v>
          </cell>
          <cell r="N249">
            <v>27</v>
          </cell>
          <cell r="P249" t="str">
            <v>TEDARİK SORUNLU</v>
          </cell>
          <cell r="Q249">
            <v>20171.726604154028</v>
          </cell>
          <cell r="R249">
            <v>20171.726604154028</v>
          </cell>
          <cell r="S249">
            <v>20978.595668320188</v>
          </cell>
          <cell r="T249">
            <v>21785.464732486351</v>
          </cell>
          <cell r="W249">
            <v>250</v>
          </cell>
          <cell r="X249" t="str">
            <v>ileri teslim satılmayacak</v>
          </cell>
        </row>
        <row r="250">
          <cell r="A250" t="str">
            <v>LC67BBK60T</v>
          </cell>
          <cell r="B250" t="str">
            <v>iQ300 Düz Davlumbaz, 60cm, 582m3, Siyah/Inox</v>
          </cell>
          <cell r="C250">
            <v>37</v>
          </cell>
          <cell r="J250">
            <v>1</v>
          </cell>
          <cell r="L250">
            <v>3</v>
          </cell>
          <cell r="M250">
            <v>1</v>
          </cell>
          <cell r="N250">
            <v>42</v>
          </cell>
          <cell r="P250" t="str">
            <v>TEDARİK SORUNLU</v>
          </cell>
          <cell r="Q250">
            <v>20171.726604154028</v>
          </cell>
          <cell r="R250">
            <v>20171.726604154028</v>
          </cell>
          <cell r="S250">
            <v>20978.595668320188</v>
          </cell>
          <cell r="T250">
            <v>21785.464732486351</v>
          </cell>
          <cell r="X250" t="str">
            <v>ileri teslim satılmayacak</v>
          </cell>
        </row>
        <row r="251">
          <cell r="A251" t="str">
            <v>LC67FCK20T</v>
          </cell>
          <cell r="B251" t="str">
            <v>iQ500 Düz Davlumbaz, 60cm, 645m3, Beyaz Cam</v>
          </cell>
          <cell r="C251">
            <v>12</v>
          </cell>
          <cell r="I251">
            <v>1</v>
          </cell>
          <cell r="N251">
            <v>13</v>
          </cell>
          <cell r="Q251" t="str">
            <v>devamı yok</v>
          </cell>
          <cell r="R251">
            <v>15000</v>
          </cell>
          <cell r="S251">
            <v>15600</v>
          </cell>
          <cell r="T251">
            <v>16200</v>
          </cell>
          <cell r="W251">
            <v>250</v>
          </cell>
        </row>
        <row r="252">
          <cell r="A252" t="str">
            <v>LC67FCK60T</v>
          </cell>
          <cell r="B252" t="str">
            <v>iQ500 Düz Davlumbaz, 60cm, 645m3, Siyah Cam</v>
          </cell>
          <cell r="F252">
            <v>1</v>
          </cell>
          <cell r="N252">
            <v>1</v>
          </cell>
          <cell r="Q252" t="str">
            <v>devamı yok</v>
          </cell>
          <cell r="R252">
            <v>17000</v>
          </cell>
          <cell r="S252">
            <v>17680</v>
          </cell>
          <cell r="T252">
            <v>18360</v>
          </cell>
          <cell r="W252">
            <v>500</v>
          </cell>
        </row>
        <row r="253">
          <cell r="A253" t="str">
            <v>LC67KPJ20T</v>
          </cell>
          <cell r="B253" t="str">
            <v>iQ500 Eğimli Davlumbaz, 60cm, 510m3, Beyaz Cam</v>
          </cell>
          <cell r="C253">
            <v>5</v>
          </cell>
          <cell r="K253">
            <v>1</v>
          </cell>
          <cell r="N253">
            <v>6</v>
          </cell>
          <cell r="O253">
            <v>1</v>
          </cell>
          <cell r="P253" t="str">
            <v>TEDARİK SORUNLU</v>
          </cell>
          <cell r="Q253">
            <v>22225.055782222753</v>
          </cell>
          <cell r="R253">
            <v>23336.308571333891</v>
          </cell>
          <cell r="S253">
            <v>24269.760914187245</v>
          </cell>
          <cell r="T253">
            <v>25203.213257040603</v>
          </cell>
          <cell r="X253" t="str">
            <v>ileri teslim satılmayacak</v>
          </cell>
        </row>
        <row r="254">
          <cell r="A254" t="str">
            <v>LC67KPJ30T</v>
          </cell>
          <cell r="B254" t="str">
            <v>iQ500 Eğimli Davlumbaz, 60cm, 700m3, Siyah Cam</v>
          </cell>
          <cell r="C254">
            <v>10</v>
          </cell>
          <cell r="F254">
            <v>1</v>
          </cell>
          <cell r="L254">
            <v>1</v>
          </cell>
          <cell r="N254">
            <v>12</v>
          </cell>
          <cell r="P254" t="str">
            <v>TEDARİK SORUNLU</v>
          </cell>
          <cell r="Q254">
            <v>22225.055782222753</v>
          </cell>
          <cell r="R254">
            <v>22225.055782222753</v>
          </cell>
          <cell r="S254">
            <v>23114.058013511662</v>
          </cell>
          <cell r="T254">
            <v>24003.060244800574</v>
          </cell>
          <cell r="X254" t="str">
            <v>ileri teslim satılmayacak</v>
          </cell>
        </row>
        <row r="255">
          <cell r="A255" t="str">
            <v>LC67KPJ60T</v>
          </cell>
          <cell r="B255" t="str">
            <v>iQ500 Eğimli Davlumbaz, 60cm, 510m3, Siyah Cam</v>
          </cell>
          <cell r="C255">
            <v>18</v>
          </cell>
          <cell r="M255">
            <v>1</v>
          </cell>
          <cell r="N255">
            <v>19</v>
          </cell>
          <cell r="P255" t="str">
            <v>TEDARİK SORUNLU</v>
          </cell>
          <cell r="Q255">
            <v>22225.055782222753</v>
          </cell>
          <cell r="R255">
            <v>22225.055782222753</v>
          </cell>
          <cell r="S255">
            <v>23114.058013511662</v>
          </cell>
          <cell r="T255">
            <v>24003.060244800574</v>
          </cell>
          <cell r="X255" t="str">
            <v>ileri teslim satılmayacak</v>
          </cell>
        </row>
        <row r="256">
          <cell r="A256" t="str">
            <v>LC67KPJ70T</v>
          </cell>
          <cell r="B256" t="str">
            <v>iQ500 Eğimli Davlumbaz, 60cm, 510m3, Antrasit Gri Cam</v>
          </cell>
          <cell r="J256">
            <v>1</v>
          </cell>
          <cell r="N256">
            <v>1</v>
          </cell>
          <cell r="O256">
            <v>22</v>
          </cell>
          <cell r="P256" t="str">
            <v>TEDARİK SORUNLU</v>
          </cell>
          <cell r="Q256">
            <v>22225.055782222753</v>
          </cell>
          <cell r="R256">
            <v>23336.308571333891</v>
          </cell>
          <cell r="S256">
            <v>24269.760914187245</v>
          </cell>
          <cell r="T256">
            <v>25203.213257040603</v>
          </cell>
          <cell r="X256" t="str">
            <v>ileri teslim satılmayacak</v>
          </cell>
        </row>
        <row r="257">
          <cell r="A257" t="str">
            <v>LC68KAK60T</v>
          </cell>
          <cell r="B257" t="str">
            <v>iQ500 Eğimli Davlumbaz, 60cm, 578m3, Siyah Cam</v>
          </cell>
          <cell r="L257">
            <v>1</v>
          </cell>
          <cell r="M257">
            <v>1</v>
          </cell>
          <cell r="N257">
            <v>2</v>
          </cell>
          <cell r="Q257" t="str">
            <v>devamı yok</v>
          </cell>
          <cell r="R257">
            <v>25000</v>
          </cell>
          <cell r="S257">
            <v>26000</v>
          </cell>
          <cell r="T257">
            <v>27000</v>
          </cell>
          <cell r="W257">
            <v>500</v>
          </cell>
        </row>
        <row r="258">
          <cell r="A258" t="str">
            <v>LC68KPK60T</v>
          </cell>
          <cell r="B258" t="str">
            <v>iQ700 Eğimli Davlumbaz, 60cm, 616m3, Siyah Cam</v>
          </cell>
          <cell r="C258">
            <v>10</v>
          </cell>
          <cell r="I258">
            <v>1</v>
          </cell>
          <cell r="J258">
            <v>1</v>
          </cell>
          <cell r="K258">
            <v>1</v>
          </cell>
          <cell r="N258">
            <v>13</v>
          </cell>
          <cell r="P258" t="str">
            <v>TEDARİK SORUNLU</v>
          </cell>
          <cell r="Q258">
            <v>36363.786053704396</v>
          </cell>
          <cell r="R258">
            <v>36363.786053704396</v>
          </cell>
          <cell r="S258">
            <v>37818.337495852575</v>
          </cell>
          <cell r="T258">
            <v>39272.888938000746</v>
          </cell>
          <cell r="X258" t="str">
            <v>ileri teslim satılmayacak</v>
          </cell>
        </row>
        <row r="259">
          <cell r="A259" t="str">
            <v>LC91KLT60</v>
          </cell>
          <cell r="B259" t="str">
            <v>iQ700 Eğimli Davlumbaz, 90cm, 441m3, Siyah Cam</v>
          </cell>
          <cell r="C259">
            <v>1</v>
          </cell>
          <cell r="N259">
            <v>1</v>
          </cell>
          <cell r="O259">
            <v>2</v>
          </cell>
          <cell r="Q259">
            <v>66522.529622887014</v>
          </cell>
          <cell r="R259">
            <v>63354.790117035249</v>
          </cell>
          <cell r="S259">
            <v>65888.981721716656</v>
          </cell>
          <cell r="T259">
            <v>68423.173326398071</v>
          </cell>
        </row>
        <row r="260">
          <cell r="A260" t="str">
            <v>LC91KLT65</v>
          </cell>
          <cell r="B260" t="str">
            <v>iQ700 studioLine Eğimli Davlumbaz, 90cm, 441m3, Siyah Cam</v>
          </cell>
          <cell r="D260">
            <v>1</v>
          </cell>
          <cell r="L260">
            <v>1</v>
          </cell>
          <cell r="N260">
            <v>2</v>
          </cell>
          <cell r="Q260">
            <v>99737.407074028422</v>
          </cell>
          <cell r="R260">
            <v>89763.666366625577</v>
          </cell>
          <cell r="S260">
            <v>93354.213021290605</v>
          </cell>
          <cell r="T260">
            <v>96944.759675955618</v>
          </cell>
          <cell r="W260">
            <v>250</v>
          </cell>
        </row>
        <row r="261">
          <cell r="A261" t="str">
            <v>LC95BBC50T</v>
          </cell>
          <cell r="B261" t="str">
            <v>iQ100 Düz Davlumbaz, 90cm, 616m3, Inox</v>
          </cell>
          <cell r="C261">
            <v>1</v>
          </cell>
          <cell r="J261">
            <v>1</v>
          </cell>
          <cell r="N261">
            <v>2</v>
          </cell>
          <cell r="Q261">
            <v>27597.559366538866</v>
          </cell>
          <cell r="R261">
            <v>24837.803429884982</v>
          </cell>
          <cell r="S261">
            <v>25831.315567080383</v>
          </cell>
          <cell r="T261">
            <v>26824.82770427578</v>
          </cell>
        </row>
        <row r="262">
          <cell r="A262" t="str">
            <v>LC95FCJ00T</v>
          </cell>
          <cell r="B262" t="str">
            <v>iQ300 Düz Davlumbaz, 90cm, 649m3, Antrasit Gri Cam</v>
          </cell>
          <cell r="C262">
            <v>4</v>
          </cell>
          <cell r="N262">
            <v>4</v>
          </cell>
          <cell r="Q262">
            <v>28825.818980940763</v>
          </cell>
          <cell r="R262">
            <v>25943.237082846688</v>
          </cell>
          <cell r="S262">
            <v>26980.966566160554</v>
          </cell>
          <cell r="T262">
            <v>28018.696049474423</v>
          </cell>
        </row>
        <row r="263">
          <cell r="A263" t="str">
            <v>LC95FCJ20T</v>
          </cell>
          <cell r="B263" t="str">
            <v>iQ300 Düz Davlumbaz, 90cm, 649m3, Beyaz Cam</v>
          </cell>
          <cell r="C263">
            <v>18</v>
          </cell>
          <cell r="N263">
            <v>18</v>
          </cell>
          <cell r="Q263">
            <v>28825.818980940763</v>
          </cell>
          <cell r="R263">
            <v>25943.237082846688</v>
          </cell>
          <cell r="S263">
            <v>26980.966566160554</v>
          </cell>
          <cell r="T263">
            <v>28018.696049474423</v>
          </cell>
        </row>
        <row r="264">
          <cell r="A264" t="str">
            <v>LC95FCJ60T</v>
          </cell>
          <cell r="B264" t="str">
            <v>iQ300 Düz Davlumbaz, 90cm, 649m3, Beyaz Cam</v>
          </cell>
          <cell r="N264">
            <v>0</v>
          </cell>
          <cell r="Q264">
            <v>28825.818980940763</v>
          </cell>
          <cell r="R264">
            <v>28825.818980940763</v>
          </cell>
          <cell r="S264">
            <v>29978.851740178394</v>
          </cell>
          <cell r="T264">
            <v>31131.884499416024</v>
          </cell>
          <cell r="W264">
            <v>250</v>
          </cell>
        </row>
        <row r="265">
          <cell r="A265" t="str">
            <v>LC95FCJ70T</v>
          </cell>
          <cell r="B265" t="str">
            <v>iQ300 Düz Davlumbaz, 90cm, 649m3, Titanyum Gri Cam</v>
          </cell>
          <cell r="C265">
            <v>3</v>
          </cell>
          <cell r="I265">
            <v>1</v>
          </cell>
          <cell r="N265">
            <v>4</v>
          </cell>
          <cell r="Q265" t="str">
            <v>devamı yok</v>
          </cell>
          <cell r="R265">
            <v>20000</v>
          </cell>
          <cell r="S265">
            <v>20800</v>
          </cell>
          <cell r="T265">
            <v>21600</v>
          </cell>
        </row>
        <row r="266">
          <cell r="A266" t="str">
            <v>LC95KA270T</v>
          </cell>
          <cell r="B266" t="str">
            <v>iQ300 Eğimli Davlumbaz, 90cm, 629m3, Beyaz Cam</v>
          </cell>
          <cell r="C266">
            <v>20</v>
          </cell>
          <cell r="I266">
            <v>1</v>
          </cell>
          <cell r="J266">
            <v>1</v>
          </cell>
          <cell r="K266">
            <v>1</v>
          </cell>
          <cell r="L266">
            <v>1</v>
          </cell>
          <cell r="N266">
            <v>24</v>
          </cell>
          <cell r="Q266" t="str">
            <v>devamı yok</v>
          </cell>
          <cell r="R266">
            <v>20000</v>
          </cell>
          <cell r="S266">
            <v>20800</v>
          </cell>
          <cell r="T266">
            <v>21600</v>
          </cell>
          <cell r="W266">
            <v>250</v>
          </cell>
        </row>
        <row r="267">
          <cell r="A267" t="str">
            <v>LC95KA670T</v>
          </cell>
          <cell r="B267" t="str">
            <v>iQ300 Eğimli Davlumbaz, 90cm, 629m3, Siyah Cam</v>
          </cell>
          <cell r="K267">
            <v>1</v>
          </cell>
          <cell r="N267">
            <v>1</v>
          </cell>
          <cell r="Q267" t="str">
            <v>devamı yok</v>
          </cell>
          <cell r="R267">
            <v>25000</v>
          </cell>
          <cell r="S267">
            <v>26000</v>
          </cell>
          <cell r="T267">
            <v>27000</v>
          </cell>
          <cell r="W267">
            <v>500</v>
          </cell>
        </row>
        <row r="268">
          <cell r="A268" t="str">
            <v>LC97BBM50T</v>
          </cell>
          <cell r="B268" t="str">
            <v>iQ300 Düz Davlumbaz, 90cm, 468m3, Inox</v>
          </cell>
          <cell r="C268">
            <v>4</v>
          </cell>
          <cell r="N268">
            <v>4</v>
          </cell>
          <cell r="Q268" t="str">
            <v>devamı yok</v>
          </cell>
          <cell r="R268">
            <v>39195.714086911241</v>
          </cell>
          <cell r="S268">
            <v>40763.542650387688</v>
          </cell>
          <cell r="T268">
            <v>42331.371213864142</v>
          </cell>
        </row>
        <row r="269">
          <cell r="A269" t="str">
            <v>LC97FQP60</v>
          </cell>
          <cell r="B269" t="str">
            <v>iQ500 Düz Davlumbaz, 90cm, 394m3, Siyah Cam</v>
          </cell>
          <cell r="C269">
            <v>1</v>
          </cell>
          <cell r="N269">
            <v>1</v>
          </cell>
          <cell r="Q269" t="str">
            <v>devamı yok</v>
          </cell>
          <cell r="R269">
            <v>51000</v>
          </cell>
          <cell r="S269">
            <v>53040</v>
          </cell>
          <cell r="T269">
            <v>55080</v>
          </cell>
          <cell r="W269">
            <v>250</v>
          </cell>
        </row>
        <row r="270">
          <cell r="A270" t="str">
            <v>LC97FVW60</v>
          </cell>
          <cell r="B270" t="str">
            <v>iQ700 Düz Davlumbaz, 90cm, 394m3, Siyah Cam</v>
          </cell>
          <cell r="J270">
            <v>1</v>
          </cell>
          <cell r="N270">
            <v>1</v>
          </cell>
          <cell r="Q270" t="str">
            <v>devamı yok</v>
          </cell>
          <cell r="R270">
            <v>56000</v>
          </cell>
          <cell r="S270">
            <v>58240</v>
          </cell>
          <cell r="T270">
            <v>60480</v>
          </cell>
          <cell r="W270">
            <v>1000</v>
          </cell>
        </row>
        <row r="271">
          <cell r="A271" t="str">
            <v>LC97KPJ20T</v>
          </cell>
          <cell r="B271" t="str">
            <v>iQ500 Eğimli Davlumbaz, 90cm, 510m3, Beyaz Cam</v>
          </cell>
          <cell r="C271">
            <v>3</v>
          </cell>
          <cell r="N271">
            <v>3</v>
          </cell>
          <cell r="P271" t="str">
            <v>TEDARİK SORUNLU</v>
          </cell>
          <cell r="Q271">
            <v>33510.027253272019</v>
          </cell>
          <cell r="R271">
            <v>35185.528615935618</v>
          </cell>
          <cell r="S271">
            <v>36592.949760573043</v>
          </cell>
          <cell r="T271">
            <v>38000.370905210468</v>
          </cell>
          <cell r="X271" t="str">
            <v>ileri teslim satılmayacak</v>
          </cell>
        </row>
        <row r="272">
          <cell r="A272" t="str">
            <v>LC97KPJ60T</v>
          </cell>
          <cell r="B272" t="str">
            <v>iQ500 Eğimli Davlumbaz, 90cm, 510m3, Siyah Cam</v>
          </cell>
          <cell r="C272">
            <v>2</v>
          </cell>
          <cell r="N272">
            <v>2</v>
          </cell>
          <cell r="Q272">
            <v>33510.027253272019</v>
          </cell>
          <cell r="R272">
            <v>33510.027253272019</v>
          </cell>
          <cell r="S272">
            <v>34850.428343402898</v>
          </cell>
          <cell r="T272">
            <v>36190.829433533778</v>
          </cell>
        </row>
        <row r="273">
          <cell r="A273" t="str">
            <v>LC97KPJ70T</v>
          </cell>
          <cell r="B273" t="str">
            <v>iQ500 Eğimli Davlumbaz, 90cm, 510m3, Antrasit Gri Cam</v>
          </cell>
          <cell r="N273">
            <v>0</v>
          </cell>
          <cell r="P273" t="str">
            <v>TEDARİK SORUNLU</v>
          </cell>
          <cell r="Q273">
            <v>33510.027253272019</v>
          </cell>
          <cell r="R273">
            <v>35185.528615935618</v>
          </cell>
          <cell r="S273">
            <v>36592.949760573043</v>
          </cell>
          <cell r="T273">
            <v>38000.370905210468</v>
          </cell>
          <cell r="X273" t="str">
            <v>ileri teslim satılmayacak</v>
          </cell>
        </row>
        <row r="274">
          <cell r="A274" t="str">
            <v>LC98GA542</v>
          </cell>
          <cell r="B274" t="str">
            <v>iQ500 Düz Davlumbaz, 90cm, 430m3, Inox</v>
          </cell>
          <cell r="C274">
            <v>2</v>
          </cell>
          <cell r="N274">
            <v>2</v>
          </cell>
          <cell r="Q274" t="str">
            <v>devamı yok</v>
          </cell>
          <cell r="R274">
            <v>26000</v>
          </cell>
          <cell r="S274">
            <v>27040</v>
          </cell>
          <cell r="T274">
            <v>28080</v>
          </cell>
          <cell r="W274">
            <v>250</v>
          </cell>
        </row>
        <row r="275">
          <cell r="A275" t="str">
            <v>LC98KC542</v>
          </cell>
          <cell r="B275" t="str">
            <v>iQ500 Eğimli Davlumbaz, 90cm, 370m3, Cam Dekorlu Inox</v>
          </cell>
          <cell r="C275">
            <v>7</v>
          </cell>
          <cell r="N275">
            <v>7</v>
          </cell>
          <cell r="Q275" t="str">
            <v>devamı yok</v>
          </cell>
          <cell r="R275">
            <v>26000</v>
          </cell>
          <cell r="S275">
            <v>27040</v>
          </cell>
          <cell r="T275">
            <v>28080</v>
          </cell>
          <cell r="W275">
            <v>250</v>
          </cell>
        </row>
        <row r="276">
          <cell r="A276" t="str">
            <v>LC98KLR61S</v>
          </cell>
          <cell r="B276" t="str">
            <v>iQ500 Eğimli Davlumbaz, 90cm, 468m3, Siyah Cam</v>
          </cell>
          <cell r="H276">
            <v>1</v>
          </cell>
          <cell r="N276">
            <v>1</v>
          </cell>
          <cell r="Q276" t="str">
            <v>devamı yok</v>
          </cell>
          <cell r="R276">
            <v>65000</v>
          </cell>
          <cell r="S276">
            <v>67600</v>
          </cell>
          <cell r="T276">
            <v>70200</v>
          </cell>
          <cell r="W276">
            <v>1000</v>
          </cell>
        </row>
        <row r="277">
          <cell r="A277" t="str">
            <v>LD88WMM65</v>
          </cell>
          <cell r="B277" t="str">
            <v>iQ700 studioLine Tezgaha Entegre Davlumbaz, 80cm, Siyah/Cam</v>
          </cell>
          <cell r="D277">
            <v>1</v>
          </cell>
          <cell r="H277">
            <v>1</v>
          </cell>
          <cell r="N277">
            <v>2</v>
          </cell>
          <cell r="Q277">
            <v>176757.24375217297</v>
          </cell>
          <cell r="R277">
            <v>159081.51937695569</v>
          </cell>
          <cell r="S277">
            <v>165444.78015203393</v>
          </cell>
          <cell r="T277">
            <v>171808.04092711216</v>
          </cell>
          <cell r="W277">
            <v>250</v>
          </cell>
        </row>
        <row r="278">
          <cell r="A278" t="str">
            <v>LF97BBM50</v>
          </cell>
          <cell r="B278" t="str">
            <v>iQ300 Ada Tipi Davlumbaz, 90cm, 438m3, Inox</v>
          </cell>
          <cell r="C278">
            <v>2</v>
          </cell>
          <cell r="I278">
            <v>1</v>
          </cell>
          <cell r="L278">
            <v>2</v>
          </cell>
          <cell r="N278">
            <v>5</v>
          </cell>
          <cell r="Q278">
            <v>63515.397354714543</v>
          </cell>
          <cell r="R278">
            <v>63515.397354714543</v>
          </cell>
          <cell r="S278">
            <v>66056.013248903124</v>
          </cell>
          <cell r="T278">
            <v>68596.629143091704</v>
          </cell>
        </row>
        <row r="279">
          <cell r="A279" t="str">
            <v>LF98BIR55</v>
          </cell>
          <cell r="B279" t="str">
            <v>iQ500 studioLine Ada Tipi Davlumbaz, 90cm, Inox</v>
          </cell>
          <cell r="D279">
            <v>2</v>
          </cell>
          <cell r="H279">
            <v>1</v>
          </cell>
          <cell r="N279">
            <v>3</v>
          </cell>
          <cell r="Q279">
            <v>106742.33838065849</v>
          </cell>
          <cell r="R279">
            <v>96068.104542592642</v>
          </cell>
          <cell r="S279">
            <v>99910.828724296342</v>
          </cell>
          <cell r="T279">
            <v>103753.55290600006</v>
          </cell>
          <cell r="W279">
            <v>250</v>
          </cell>
        </row>
        <row r="280">
          <cell r="A280" t="str">
            <v>LR18HLT65</v>
          </cell>
          <cell r="B280" t="str">
            <v>iQ700 studioLine Tavan Tipi Davlumbaz, 105cm, Siyah</v>
          </cell>
          <cell r="D280">
            <v>6</v>
          </cell>
          <cell r="H280">
            <v>1</v>
          </cell>
          <cell r="N280">
            <v>7</v>
          </cell>
          <cell r="Q280">
            <v>312099.04977688513</v>
          </cell>
          <cell r="R280">
            <v>250000</v>
          </cell>
          <cell r="S280">
            <v>260000</v>
          </cell>
          <cell r="T280">
            <v>270000</v>
          </cell>
          <cell r="W280">
            <v>1000</v>
          </cell>
        </row>
        <row r="281">
          <cell r="A281" t="str">
            <v>ASPİRATÖR</v>
          </cell>
          <cell r="B281" t="str">
            <v/>
          </cell>
          <cell r="N281">
            <v>311</v>
          </cell>
        </row>
        <row r="282">
          <cell r="A282" t="str">
            <v>LB53NAA30</v>
          </cell>
          <cell r="B282" t="str">
            <v>iQ100 Gömme Aspiratör, 53cm, 302m3, Gri</v>
          </cell>
          <cell r="C282">
            <v>14</v>
          </cell>
          <cell r="F282">
            <v>2</v>
          </cell>
          <cell r="N282">
            <v>16</v>
          </cell>
          <cell r="Q282">
            <v>12283.294659637026</v>
          </cell>
          <cell r="R282">
            <v>12283.294659637026</v>
          </cell>
          <cell r="S282">
            <v>12774.626446022507</v>
          </cell>
          <cell r="T282">
            <v>13265.958232407987</v>
          </cell>
        </row>
        <row r="283">
          <cell r="A283" t="str">
            <v>LB56NAC50</v>
          </cell>
          <cell r="B283" t="str">
            <v>iQ500 Gömme Aspiratör, 52cm, 570m3, Inox</v>
          </cell>
          <cell r="C283">
            <v>4</v>
          </cell>
          <cell r="N283">
            <v>4</v>
          </cell>
          <cell r="Q283">
            <v>30701.396746168586</v>
          </cell>
          <cell r="R283">
            <v>30701.396746168586</v>
          </cell>
          <cell r="S283">
            <v>31929.452616015329</v>
          </cell>
          <cell r="T283">
            <v>33157.508485862076</v>
          </cell>
        </row>
        <row r="284">
          <cell r="A284" t="str">
            <v>LB73NAA30</v>
          </cell>
          <cell r="B284" t="str">
            <v>iQ100 Gömme Aspiratör, 73cm, 302m3, Gri</v>
          </cell>
          <cell r="C284">
            <v>4</v>
          </cell>
          <cell r="N284">
            <v>4</v>
          </cell>
          <cell r="Q284">
            <v>13394.970915059126</v>
          </cell>
          <cell r="R284">
            <v>13394.970915059126</v>
          </cell>
          <cell r="S284">
            <v>13930.769751661492</v>
          </cell>
          <cell r="T284">
            <v>14466.568588263857</v>
          </cell>
        </row>
        <row r="285">
          <cell r="A285" t="str">
            <v>LB75565</v>
          </cell>
          <cell r="B285" t="str">
            <v>iQ300 Gömme Aspiratör, 75cm, 379m3, Metalik Gümüş</v>
          </cell>
          <cell r="I285">
            <v>1</v>
          </cell>
          <cell r="N285">
            <v>1</v>
          </cell>
          <cell r="Q285" t="str">
            <v>devamı yok</v>
          </cell>
          <cell r="R285">
            <v>35000</v>
          </cell>
          <cell r="S285">
            <v>36400</v>
          </cell>
          <cell r="T285">
            <v>37800</v>
          </cell>
          <cell r="W285">
            <v>1000</v>
          </cell>
        </row>
        <row r="286">
          <cell r="A286" t="str">
            <v>LB87NAC50</v>
          </cell>
          <cell r="B286" t="str">
            <v>iQ500 Gömme Aspiratör, 86cm, 600m3, Inox</v>
          </cell>
          <cell r="C286">
            <v>4</v>
          </cell>
          <cell r="F286">
            <v>1</v>
          </cell>
          <cell r="N286">
            <v>5</v>
          </cell>
          <cell r="Q286">
            <v>41753.899574789284</v>
          </cell>
          <cell r="R286">
            <v>41753.899574789284</v>
          </cell>
          <cell r="S286">
            <v>43424.055557780855</v>
          </cell>
          <cell r="T286">
            <v>45094.211540772427</v>
          </cell>
        </row>
        <row r="287">
          <cell r="A287" t="str">
            <v>LB88NPC60</v>
          </cell>
          <cell r="B287" t="str">
            <v>iQ700 Gömme Aspiratör, 86cm, 595m3, Siyah</v>
          </cell>
          <cell r="C287">
            <v>1</v>
          </cell>
          <cell r="N287">
            <v>1</v>
          </cell>
          <cell r="O287">
            <v>1</v>
          </cell>
          <cell r="Q287">
            <v>46760.809604888731</v>
          </cell>
          <cell r="R287">
            <v>46760.809604888731</v>
          </cell>
          <cell r="S287">
            <v>48631.241989084279</v>
          </cell>
          <cell r="T287">
            <v>50501.674373279828</v>
          </cell>
        </row>
        <row r="288">
          <cell r="A288" t="str">
            <v>LI63TCA11T</v>
          </cell>
          <cell r="B288" t="str">
            <v>iQ100 Teleskopik Aspiratör, 60cm, 310m3, Gümüş</v>
          </cell>
          <cell r="C288">
            <v>2</v>
          </cell>
          <cell r="F288">
            <v>1</v>
          </cell>
          <cell r="G288">
            <v>1</v>
          </cell>
          <cell r="N288">
            <v>4</v>
          </cell>
          <cell r="Q288">
            <v>8173.6702310901737</v>
          </cell>
          <cell r="R288">
            <v>8173.6702310901737</v>
          </cell>
          <cell r="S288">
            <v>8500.6170403337801</v>
          </cell>
          <cell r="T288">
            <v>8827.5638495773874</v>
          </cell>
        </row>
        <row r="289">
          <cell r="A289" t="str">
            <v>LI63TCA21T</v>
          </cell>
          <cell r="B289" t="str">
            <v>iQ100 Teleskopik Aspiratör, 60cm, 310m3, Beyaz</v>
          </cell>
          <cell r="C289">
            <v>8</v>
          </cell>
          <cell r="F289">
            <v>1</v>
          </cell>
          <cell r="N289">
            <v>9</v>
          </cell>
          <cell r="Q289">
            <v>8175.9693838278199</v>
          </cell>
          <cell r="R289">
            <v>8175.9693838278199</v>
          </cell>
          <cell r="S289">
            <v>8503.0081591809321</v>
          </cell>
          <cell r="T289">
            <v>8830.0469345340462</v>
          </cell>
        </row>
        <row r="290">
          <cell r="A290" t="str">
            <v>LJ65BCC60</v>
          </cell>
          <cell r="B290" t="str">
            <v>iQ300 Tam Entegre Davlumbaz, 60cm, 582m3, Cam Dekor, Mat Siyah</v>
          </cell>
          <cell r="C290">
            <v>4</v>
          </cell>
          <cell r="N290">
            <v>4</v>
          </cell>
          <cell r="Q290">
            <v>23392.692461206181</v>
          </cell>
          <cell r="R290">
            <v>23392.692461206181</v>
          </cell>
          <cell r="S290">
            <v>24328.400159654429</v>
          </cell>
          <cell r="T290">
            <v>25264.107858102674</v>
          </cell>
        </row>
        <row r="291">
          <cell r="A291" t="str">
            <v>LJ67BDP60</v>
          </cell>
          <cell r="B291" t="str">
            <v>iQ500 Tam Entegre Davlumbaz, 60cm, 433m3, Cam Dekor, Mat Siyah</v>
          </cell>
          <cell r="N291">
            <v>0</v>
          </cell>
          <cell r="O291">
            <v>5</v>
          </cell>
          <cell r="Q291">
            <v>34912.761062400008</v>
          </cell>
          <cell r="R291">
            <v>34912.761062400008</v>
          </cell>
          <cell r="S291">
            <v>36309.271504896009</v>
          </cell>
          <cell r="T291">
            <v>37705.78194739201</v>
          </cell>
        </row>
        <row r="292">
          <cell r="A292" t="str">
            <v>LJ85BCC60</v>
          </cell>
          <cell r="B292" t="str">
            <v>iQ300 Tam Entegre Davlumbaz, 80cm, 582m3, Cam Dekor, Mat Siyah</v>
          </cell>
          <cell r="N292">
            <v>0</v>
          </cell>
          <cell r="O292">
            <v>5</v>
          </cell>
          <cell r="Q292">
            <v>31351.540128463344</v>
          </cell>
          <cell r="R292">
            <v>31351.540128463344</v>
          </cell>
          <cell r="S292">
            <v>32605.601733601878</v>
          </cell>
          <cell r="T292">
            <v>33859.663338740414</v>
          </cell>
        </row>
        <row r="293">
          <cell r="A293" t="str">
            <v>ANKASTRE OCAK / MDA</v>
          </cell>
          <cell r="B293" t="str">
            <v/>
          </cell>
          <cell r="N293">
            <v>48</v>
          </cell>
        </row>
        <row r="294">
          <cell r="A294" t="str">
            <v>ER6A6PH40</v>
          </cell>
          <cell r="B294" t="str">
            <v>iQ700 Gazlı Ocak, 60cm, Sert Cam, Siyah, Döküm</v>
          </cell>
          <cell r="N294">
            <v>0</v>
          </cell>
          <cell r="O294">
            <v>2</v>
          </cell>
          <cell r="Q294">
            <v>62410.717699532492</v>
          </cell>
          <cell r="R294">
            <v>62410.717699532492</v>
          </cell>
          <cell r="S294">
            <v>64907.146407513792</v>
          </cell>
          <cell r="T294">
            <v>67403.575115495085</v>
          </cell>
        </row>
        <row r="295">
          <cell r="A295" t="str">
            <v>ER3A6AI10</v>
          </cell>
          <cell r="B295" t="str">
            <v>iQ700 Gazlı Domino Ocak, 30cm, Tek Gözlü, Seramik, Siyah, Wok</v>
          </cell>
          <cell r="N295">
            <v>0</v>
          </cell>
          <cell r="O295">
            <v>2</v>
          </cell>
          <cell r="Q295">
            <v>43810.407637860662</v>
          </cell>
          <cell r="R295">
            <v>43810.407637860662</v>
          </cell>
          <cell r="S295">
            <v>45562.823943375086</v>
          </cell>
          <cell r="T295">
            <v>47315.240248889517</v>
          </cell>
        </row>
        <row r="296">
          <cell r="A296" t="str">
            <v>ER3A6BI40</v>
          </cell>
          <cell r="B296" t="str">
            <v>iQ700 Gazlı Domino Ocak, 30cm, 2 Gözlü, Seramik, Siyah</v>
          </cell>
          <cell r="N296">
            <v>0</v>
          </cell>
          <cell r="O296">
            <v>2</v>
          </cell>
          <cell r="Q296">
            <v>42292.842639628252</v>
          </cell>
          <cell r="R296">
            <v>42292.842639628252</v>
          </cell>
          <cell r="S296">
            <v>43984.556345213379</v>
          </cell>
          <cell r="T296">
            <v>45676.270050798514</v>
          </cell>
        </row>
        <row r="297">
          <cell r="A297" t="str">
            <v>EC9A5RI90</v>
          </cell>
          <cell r="B297" t="str">
            <v>iQ500 Gazlı Ocak, 90cm, 5 Gözlü, Inox, Döküm, Wok</v>
          </cell>
          <cell r="C297">
            <v>2</v>
          </cell>
          <cell r="N297">
            <v>2</v>
          </cell>
          <cell r="Q297">
            <v>59636.536430670632</v>
          </cell>
          <cell r="R297">
            <v>59636.536430670632</v>
          </cell>
          <cell r="S297">
            <v>62021.997887897458</v>
          </cell>
          <cell r="T297">
            <v>64407.459345124284</v>
          </cell>
        </row>
        <row r="298">
          <cell r="A298" t="str">
            <v>EP6A2PI40O</v>
          </cell>
          <cell r="B298" t="str">
            <v>iQ500 Gazlı Ocak, 60cm, Sert Cam, Beyaz, Döküm</v>
          </cell>
          <cell r="N298">
            <v>0</v>
          </cell>
          <cell r="Q298">
            <v>40480.642086453685</v>
          </cell>
          <cell r="R298">
            <v>40480.642086453685</v>
          </cell>
          <cell r="S298">
            <v>42099.867769911834</v>
          </cell>
          <cell r="T298">
            <v>43719.093453369976</v>
          </cell>
        </row>
        <row r="299">
          <cell r="A299" t="str">
            <v>EO7C2PP30L</v>
          </cell>
          <cell r="B299" t="str">
            <v>iQ300 Gazlı Ocak, 67cm, Sert Cam, Beyaz</v>
          </cell>
          <cell r="C299">
            <v>5</v>
          </cell>
          <cell r="F299">
            <v>1</v>
          </cell>
          <cell r="N299">
            <v>6</v>
          </cell>
          <cell r="Q299">
            <v>16643.846961626783</v>
          </cell>
          <cell r="R299">
            <v>16643.846961626783</v>
          </cell>
          <cell r="S299">
            <v>17309.600840091854</v>
          </cell>
          <cell r="T299">
            <v>17975.354718556926</v>
          </cell>
        </row>
        <row r="300">
          <cell r="A300" t="str">
            <v>EB6C2PB80O</v>
          </cell>
          <cell r="B300" t="str">
            <v>iQ100 Ankastre Gazlı Ocak, 60cm, Emaye, Beyaz</v>
          </cell>
          <cell r="K300">
            <v>1</v>
          </cell>
          <cell r="N300">
            <v>1</v>
          </cell>
          <cell r="Q300" t="str">
            <v>devamı yok</v>
          </cell>
          <cell r="R300">
            <v>7500</v>
          </cell>
          <cell r="S300">
            <v>7800</v>
          </cell>
          <cell r="T300">
            <v>8100</v>
          </cell>
          <cell r="W300">
            <v>500</v>
          </cell>
        </row>
        <row r="301">
          <cell r="A301" t="str">
            <v>EN6B6PO10O</v>
          </cell>
          <cell r="B301" t="str">
            <v>iQ300 Gazlı Ocak, 60cm, Sert Cam, Siyah</v>
          </cell>
          <cell r="K301">
            <v>1</v>
          </cell>
          <cell r="N301">
            <v>1</v>
          </cell>
          <cell r="Q301" t="str">
            <v>devamı yok</v>
          </cell>
          <cell r="R301">
            <v>16000</v>
          </cell>
          <cell r="S301">
            <v>16640</v>
          </cell>
          <cell r="T301">
            <v>17280</v>
          </cell>
          <cell r="W301">
            <v>500</v>
          </cell>
        </row>
        <row r="302">
          <cell r="A302" t="str">
            <v>EO6C2PO92O</v>
          </cell>
          <cell r="B302" t="str">
            <v>iQ100 Gazlı Ocak, 60cm, Sert Cam, Beyaz, Döküm</v>
          </cell>
          <cell r="C302">
            <v>5</v>
          </cell>
          <cell r="I302">
            <v>1</v>
          </cell>
          <cell r="N302">
            <v>6</v>
          </cell>
          <cell r="Q302" t="str">
            <v>devamı yok</v>
          </cell>
          <cell r="R302">
            <v>13000</v>
          </cell>
          <cell r="S302">
            <v>13520</v>
          </cell>
          <cell r="T302">
            <v>14040</v>
          </cell>
        </row>
        <row r="303">
          <cell r="A303" t="str">
            <v>EO6C6HB11O</v>
          </cell>
          <cell r="B303" t="str">
            <v>iQ100 Gazlı Ocak, 60cm, Sert Cam, Siyah, Wok</v>
          </cell>
          <cell r="C303">
            <v>2</v>
          </cell>
          <cell r="F303">
            <v>1</v>
          </cell>
          <cell r="N303">
            <v>3</v>
          </cell>
          <cell r="Q303" t="str">
            <v>devamı yok</v>
          </cell>
          <cell r="R303">
            <v>12500</v>
          </cell>
          <cell r="S303">
            <v>13000</v>
          </cell>
          <cell r="T303">
            <v>13500</v>
          </cell>
        </row>
        <row r="304">
          <cell r="A304" t="str">
            <v>EB6C2PB82O</v>
          </cell>
          <cell r="B304" t="str">
            <v>iQ100 Gazlı Ocak, 60cm, Emaye, Beyaz</v>
          </cell>
          <cell r="F304">
            <v>1</v>
          </cell>
          <cell r="I304">
            <v>1</v>
          </cell>
          <cell r="L304">
            <v>1</v>
          </cell>
          <cell r="N304">
            <v>3</v>
          </cell>
          <cell r="Q304" t="str">
            <v>devamı yok</v>
          </cell>
          <cell r="R304">
            <v>7500</v>
          </cell>
          <cell r="S304">
            <v>7800</v>
          </cell>
          <cell r="T304">
            <v>8100</v>
          </cell>
          <cell r="W304">
            <v>250</v>
          </cell>
        </row>
        <row r="305">
          <cell r="A305" t="str">
            <v>EB6C5YB82L</v>
          </cell>
          <cell r="B305" t="str">
            <v>iQ100 Gazlı/Elektrikli Ocak, 60cm, Inox</v>
          </cell>
          <cell r="C305">
            <v>3</v>
          </cell>
          <cell r="N305">
            <v>3</v>
          </cell>
          <cell r="Q305" t="str">
            <v>devamı yok</v>
          </cell>
          <cell r="R305">
            <v>9000</v>
          </cell>
          <cell r="S305">
            <v>9360</v>
          </cell>
          <cell r="T305">
            <v>9720</v>
          </cell>
          <cell r="W305">
            <v>250</v>
          </cell>
        </row>
        <row r="306">
          <cell r="A306" t="str">
            <v>EB6C6PB82O</v>
          </cell>
          <cell r="B306" t="str">
            <v>iQ100 Gazlı Ocak, 60cm, Emaye, Siyah</v>
          </cell>
          <cell r="C306">
            <v>4</v>
          </cell>
          <cell r="L306">
            <v>1</v>
          </cell>
          <cell r="N306">
            <v>5</v>
          </cell>
          <cell r="Q306" t="str">
            <v>devamı yok</v>
          </cell>
          <cell r="R306">
            <v>7500</v>
          </cell>
          <cell r="S306">
            <v>7800</v>
          </cell>
          <cell r="T306">
            <v>8100</v>
          </cell>
          <cell r="W306">
            <v>250</v>
          </cell>
        </row>
        <row r="307">
          <cell r="A307" t="str">
            <v>EC6A5HB90</v>
          </cell>
          <cell r="B307" t="str">
            <v>iQ500 Gazlı Ocak, 60cm, Inox, Döküm</v>
          </cell>
          <cell r="L307">
            <v>1</v>
          </cell>
          <cell r="N307">
            <v>1</v>
          </cell>
          <cell r="Q307" t="str">
            <v>devamı yok</v>
          </cell>
          <cell r="R307">
            <v>30000</v>
          </cell>
          <cell r="S307">
            <v>31200</v>
          </cell>
          <cell r="T307">
            <v>32400</v>
          </cell>
          <cell r="W307">
            <v>1000</v>
          </cell>
        </row>
        <row r="308">
          <cell r="A308" t="str">
            <v>EG6B5PO51</v>
          </cell>
          <cell r="B308" t="str">
            <v>iQ300 Gazlı Ocak, 60cm, Inox, Döküm</v>
          </cell>
          <cell r="I308">
            <v>1</v>
          </cell>
          <cell r="N308">
            <v>1</v>
          </cell>
          <cell r="Q308" t="str">
            <v>devamı yok</v>
          </cell>
          <cell r="R308">
            <v>20000</v>
          </cell>
          <cell r="S308">
            <v>20800</v>
          </cell>
          <cell r="T308">
            <v>21600</v>
          </cell>
          <cell r="W308">
            <v>1000</v>
          </cell>
        </row>
        <row r="309">
          <cell r="A309" t="str">
            <v>EN6B2NP40O</v>
          </cell>
          <cell r="B309" t="str">
            <v>iQ300 Gazlı Ocak, 60cm, Sert Cam, Beyaz, Döküm</v>
          </cell>
          <cell r="C309">
            <v>2</v>
          </cell>
          <cell r="F309">
            <v>1</v>
          </cell>
          <cell r="N309">
            <v>3</v>
          </cell>
          <cell r="Q309">
            <v>22680.244991927226</v>
          </cell>
          <cell r="R309">
            <v>22680.244991927226</v>
          </cell>
          <cell r="S309">
            <v>23587.454791604316</v>
          </cell>
          <cell r="T309">
            <v>24494.664591281406</v>
          </cell>
        </row>
        <row r="310">
          <cell r="A310" t="str">
            <v>EN6C6HO12O</v>
          </cell>
          <cell r="B310" t="str">
            <v>iQ100 Gazlı Ocak, 60cm, Sert Cam, Siyah, Wok</v>
          </cell>
          <cell r="J310">
            <v>1</v>
          </cell>
          <cell r="N310">
            <v>1</v>
          </cell>
          <cell r="Q310" t="str">
            <v>devamı yok</v>
          </cell>
          <cell r="R310">
            <v>20000</v>
          </cell>
          <cell r="S310">
            <v>20800</v>
          </cell>
          <cell r="T310">
            <v>21600</v>
          </cell>
          <cell r="W310">
            <v>500</v>
          </cell>
        </row>
        <row r="311">
          <cell r="A311" t="str">
            <v>EN6C8PO12O</v>
          </cell>
          <cell r="B311" t="str">
            <v>iQ100 Gazlı Ocak, 60cm, Sert Cam, Titanyum Gri</v>
          </cell>
          <cell r="C311">
            <v>2</v>
          </cell>
          <cell r="J311">
            <v>1</v>
          </cell>
          <cell r="N311">
            <v>3</v>
          </cell>
          <cell r="Q311" t="str">
            <v>devamı yok</v>
          </cell>
          <cell r="R311">
            <v>17000</v>
          </cell>
          <cell r="S311">
            <v>17680</v>
          </cell>
          <cell r="T311">
            <v>18360</v>
          </cell>
          <cell r="W311">
            <v>500</v>
          </cell>
        </row>
        <row r="312">
          <cell r="A312" t="str">
            <v>EN6C9PO12O</v>
          </cell>
          <cell r="B312" t="str">
            <v>iQ100 Gazlı Ocak, 60cm, Sert Cam, Antrasit Gri</v>
          </cell>
          <cell r="C312">
            <v>20</v>
          </cell>
          <cell r="I312">
            <v>1</v>
          </cell>
          <cell r="J312">
            <v>1</v>
          </cell>
          <cell r="K312">
            <v>1</v>
          </cell>
          <cell r="L312">
            <v>1</v>
          </cell>
          <cell r="N312">
            <v>24</v>
          </cell>
          <cell r="Q312" t="str">
            <v>devamı yok</v>
          </cell>
          <cell r="R312">
            <v>15633.936</v>
          </cell>
          <cell r="S312">
            <v>16259.293439999999</v>
          </cell>
          <cell r="T312">
            <v>16884.650880000001</v>
          </cell>
          <cell r="W312">
            <v>500</v>
          </cell>
        </row>
        <row r="313">
          <cell r="A313" t="str">
            <v>EO6C2PB11O</v>
          </cell>
          <cell r="B313" t="str">
            <v>iQ300 Gazlı Ocak, 60cm, Sert Cam, Beyaz</v>
          </cell>
          <cell r="C313">
            <v>3</v>
          </cell>
          <cell r="M313">
            <v>1</v>
          </cell>
          <cell r="N313">
            <v>4</v>
          </cell>
          <cell r="Q313" t="str">
            <v>devamı yok</v>
          </cell>
          <cell r="R313">
            <v>14000</v>
          </cell>
          <cell r="S313">
            <v>14560</v>
          </cell>
          <cell r="T313">
            <v>15120</v>
          </cell>
          <cell r="W313">
            <v>500</v>
          </cell>
        </row>
        <row r="314">
          <cell r="A314" t="str">
            <v>EO6C2PP30O</v>
          </cell>
          <cell r="B314" t="str">
            <v>iQ300 Gazlı Ocak, 60cm, Sert Cam, Beyaz</v>
          </cell>
          <cell r="C314">
            <v>10</v>
          </cell>
          <cell r="N314">
            <v>10</v>
          </cell>
          <cell r="Q314">
            <v>14043.161202229287</v>
          </cell>
          <cell r="R314">
            <v>14043.161202229287</v>
          </cell>
          <cell r="S314">
            <v>14604.887650318458</v>
          </cell>
          <cell r="T314">
            <v>15166.61409840763</v>
          </cell>
        </row>
        <row r="315">
          <cell r="A315" t="str">
            <v>EO6C6PP30O</v>
          </cell>
          <cell r="B315" t="str">
            <v>iQ300 Gazlı Ocak, 60cm, Sert Cam, Siyah</v>
          </cell>
          <cell r="C315">
            <v>13</v>
          </cell>
          <cell r="I315">
            <v>1</v>
          </cell>
          <cell r="M315">
            <v>1</v>
          </cell>
          <cell r="N315">
            <v>15</v>
          </cell>
          <cell r="Q315">
            <v>14043.161202229287</v>
          </cell>
          <cell r="R315">
            <v>14043.161202229287</v>
          </cell>
          <cell r="S315">
            <v>14604.887650318458</v>
          </cell>
          <cell r="T315">
            <v>15166.61409840763</v>
          </cell>
        </row>
        <row r="316">
          <cell r="A316" t="str">
            <v>EO6C8PO00O</v>
          </cell>
          <cell r="B316" t="str">
            <v>iQ100 Gazlı Ocak, 60cm, Sert Cam, Titanyum Gri</v>
          </cell>
          <cell r="L316">
            <v>1</v>
          </cell>
          <cell r="N316">
            <v>1</v>
          </cell>
          <cell r="Q316" t="str">
            <v>devamı yok</v>
          </cell>
          <cell r="R316">
            <v>13000</v>
          </cell>
          <cell r="S316">
            <v>13520</v>
          </cell>
          <cell r="T316">
            <v>14040</v>
          </cell>
          <cell r="W316">
            <v>500</v>
          </cell>
        </row>
        <row r="317">
          <cell r="A317" t="str">
            <v>EO6C8PO92O</v>
          </cell>
          <cell r="B317" t="str">
            <v>iQ100 Gazlı Ocak, 60cm, Sert Cam, Titanyum Gri, Döküm</v>
          </cell>
          <cell r="C317">
            <v>4</v>
          </cell>
          <cell r="N317">
            <v>4</v>
          </cell>
          <cell r="Q317" t="str">
            <v>devamı yok</v>
          </cell>
          <cell r="R317">
            <v>17000</v>
          </cell>
          <cell r="S317">
            <v>17680</v>
          </cell>
          <cell r="T317">
            <v>18360</v>
          </cell>
          <cell r="W317">
            <v>250</v>
          </cell>
        </row>
        <row r="318">
          <cell r="A318" t="str">
            <v>EO6C8PP30O</v>
          </cell>
          <cell r="B318" t="str">
            <v>iQ300 Gazlı Ocak, 60cm, Sert Cam, Antrasit</v>
          </cell>
          <cell r="C318">
            <v>17</v>
          </cell>
          <cell r="I318">
            <v>1</v>
          </cell>
          <cell r="J318">
            <v>1</v>
          </cell>
          <cell r="K318">
            <v>1</v>
          </cell>
          <cell r="N318">
            <v>20</v>
          </cell>
          <cell r="Q318">
            <v>14043.161202229287</v>
          </cell>
          <cell r="R318">
            <v>14043.161202229287</v>
          </cell>
          <cell r="S318">
            <v>14604.887650318458</v>
          </cell>
          <cell r="T318">
            <v>15166.61409840763</v>
          </cell>
        </row>
        <row r="319">
          <cell r="A319" t="str">
            <v>EO6C9PO00O</v>
          </cell>
          <cell r="B319" t="str">
            <v>iQ300 Gazlı Ocak, 60cm, Sert Cam, Antrasit Gri</v>
          </cell>
          <cell r="C319">
            <v>10</v>
          </cell>
          <cell r="F319">
            <v>1</v>
          </cell>
          <cell r="I319">
            <v>1</v>
          </cell>
          <cell r="M319">
            <v>1</v>
          </cell>
          <cell r="N319">
            <v>13</v>
          </cell>
          <cell r="Q319" t="str">
            <v>devamı yok</v>
          </cell>
          <cell r="R319">
            <v>10000</v>
          </cell>
          <cell r="S319">
            <v>10400</v>
          </cell>
          <cell r="T319">
            <v>10800</v>
          </cell>
          <cell r="W319">
            <v>250</v>
          </cell>
        </row>
        <row r="320">
          <cell r="A320" t="str">
            <v>EO7C2HP30O</v>
          </cell>
          <cell r="B320" t="str">
            <v>iQ300 Gazlı Ocak, 67cm, Sert Cam, Beyaz, Wok</v>
          </cell>
          <cell r="C320">
            <v>11</v>
          </cell>
          <cell r="I320">
            <v>1</v>
          </cell>
          <cell r="J320">
            <v>1</v>
          </cell>
          <cell r="N320">
            <v>13</v>
          </cell>
          <cell r="Q320">
            <v>20815.94583760824</v>
          </cell>
          <cell r="R320">
            <v>20815.94583760824</v>
          </cell>
          <cell r="S320">
            <v>21648.58367111257</v>
          </cell>
          <cell r="T320">
            <v>22481.2215046169</v>
          </cell>
        </row>
        <row r="321">
          <cell r="A321" t="str">
            <v>EO7C2PP30O</v>
          </cell>
          <cell r="B321" t="str">
            <v>iQ300 Gazlı Ocak, 67cm, Sert Cam, Beyaz</v>
          </cell>
          <cell r="C321">
            <v>28</v>
          </cell>
          <cell r="N321">
            <v>28</v>
          </cell>
          <cell r="Q321">
            <v>16643.846961626783</v>
          </cell>
          <cell r="R321">
            <v>16643.846961626783</v>
          </cell>
          <cell r="S321">
            <v>17309.600840091854</v>
          </cell>
          <cell r="T321">
            <v>17975.354718556926</v>
          </cell>
        </row>
        <row r="322">
          <cell r="A322" t="str">
            <v>EO7C2PO10O</v>
          </cell>
          <cell r="B322" t="str">
            <v>iQ100 Gazlı Ocak, 67cm, Sert Cam, Beyaz</v>
          </cell>
          <cell r="L322">
            <v>1</v>
          </cell>
          <cell r="N322">
            <v>1</v>
          </cell>
          <cell r="Q322" t="str">
            <v>devamı yok</v>
          </cell>
          <cell r="R322">
            <v>12000</v>
          </cell>
          <cell r="S322">
            <v>12480</v>
          </cell>
          <cell r="T322">
            <v>12960</v>
          </cell>
          <cell r="W322">
            <v>500</v>
          </cell>
        </row>
        <row r="323">
          <cell r="A323" t="str">
            <v>EO7C2PO12O</v>
          </cell>
          <cell r="B323" t="str">
            <v>iQ300 Gazlı Ocak, 67cm, Sert Cam, Beyaz</v>
          </cell>
          <cell r="K323">
            <v>1</v>
          </cell>
          <cell r="L323">
            <v>5</v>
          </cell>
          <cell r="N323">
            <v>6</v>
          </cell>
          <cell r="Q323" t="str">
            <v>devamı yok</v>
          </cell>
          <cell r="R323">
            <v>12000</v>
          </cell>
          <cell r="S323">
            <v>12480</v>
          </cell>
          <cell r="T323">
            <v>12960</v>
          </cell>
          <cell r="W323">
            <v>500</v>
          </cell>
        </row>
        <row r="324">
          <cell r="A324" t="str">
            <v>EO7C6HO12O</v>
          </cell>
          <cell r="B324" t="str">
            <v>iQ300 Gazlı Ocak, 67cm, Sert Cam, Siyah, Wok</v>
          </cell>
          <cell r="K324">
            <v>1</v>
          </cell>
          <cell r="N324">
            <v>1</v>
          </cell>
          <cell r="Q324" t="str">
            <v>devamı yok</v>
          </cell>
          <cell r="R324">
            <v>15000</v>
          </cell>
          <cell r="S324">
            <v>15600</v>
          </cell>
          <cell r="T324">
            <v>16200</v>
          </cell>
          <cell r="W324">
            <v>500</v>
          </cell>
        </row>
        <row r="325">
          <cell r="A325" t="str">
            <v>EO7C6HP30O</v>
          </cell>
          <cell r="B325" t="str">
            <v>iQ300 Gazlı Ocak, 67cm, Sert Cam, Siyah, Wok</v>
          </cell>
          <cell r="C325">
            <v>14</v>
          </cell>
          <cell r="N325">
            <v>14</v>
          </cell>
          <cell r="Q325">
            <v>20815.94583760824</v>
          </cell>
          <cell r="R325">
            <v>19358.829628975662</v>
          </cell>
          <cell r="S325">
            <v>20133.182814134689</v>
          </cell>
          <cell r="T325">
            <v>20907.535999293716</v>
          </cell>
        </row>
        <row r="326">
          <cell r="A326" t="str">
            <v>EO7C6PO12O</v>
          </cell>
          <cell r="B326" t="str">
            <v>iQ300 Gazlı Ocak, 67cm, Sert Cam, Siyah</v>
          </cell>
          <cell r="J326">
            <v>2</v>
          </cell>
          <cell r="L326">
            <v>3</v>
          </cell>
          <cell r="N326">
            <v>5</v>
          </cell>
          <cell r="Q326" t="str">
            <v>devamı yok</v>
          </cell>
          <cell r="R326">
            <v>13000</v>
          </cell>
          <cell r="S326">
            <v>13520</v>
          </cell>
          <cell r="T326">
            <v>14040</v>
          </cell>
          <cell r="W326">
            <v>500</v>
          </cell>
        </row>
        <row r="327">
          <cell r="A327" t="str">
            <v>EO7C6PP30O</v>
          </cell>
          <cell r="B327" t="str">
            <v>iQ300 Gazlı Ocak, 67cm, Sert Cam, Siyah</v>
          </cell>
          <cell r="C327">
            <v>19</v>
          </cell>
          <cell r="I327">
            <v>1</v>
          </cell>
          <cell r="L327">
            <v>1</v>
          </cell>
          <cell r="M327">
            <v>1</v>
          </cell>
          <cell r="N327">
            <v>22</v>
          </cell>
          <cell r="Q327">
            <v>16643.846961626783</v>
          </cell>
          <cell r="R327">
            <v>16643.846961626783</v>
          </cell>
          <cell r="S327">
            <v>17309.600840091854</v>
          </cell>
          <cell r="T327">
            <v>17975.354718556926</v>
          </cell>
        </row>
        <row r="328">
          <cell r="A328" t="str">
            <v>EO7C8HP30O</v>
          </cell>
          <cell r="B328" t="str">
            <v>iQ300 Gazlı Ocak, 67cm, Sert Cam, Antrasit Gri, Wok</v>
          </cell>
          <cell r="C328">
            <v>19</v>
          </cell>
          <cell r="N328">
            <v>19</v>
          </cell>
          <cell r="Q328">
            <v>20815.94583760824</v>
          </cell>
          <cell r="R328">
            <v>20815.94583760824</v>
          </cell>
          <cell r="S328">
            <v>21648.58367111257</v>
          </cell>
          <cell r="T328">
            <v>22481.2215046169</v>
          </cell>
        </row>
        <row r="329">
          <cell r="A329" t="str">
            <v>EO7C8PO12O</v>
          </cell>
          <cell r="B329" t="str">
            <v>iQ100 Gazlı Ocak, 67cm, Sert Cam, Titanyum Gri</v>
          </cell>
          <cell r="C329">
            <v>7</v>
          </cell>
          <cell r="F329">
            <v>1</v>
          </cell>
          <cell r="L329">
            <v>2</v>
          </cell>
          <cell r="N329">
            <v>10</v>
          </cell>
          <cell r="Q329" t="str">
            <v>devamı yok</v>
          </cell>
          <cell r="R329">
            <v>14000</v>
          </cell>
          <cell r="S329">
            <v>14560</v>
          </cell>
          <cell r="T329">
            <v>15120</v>
          </cell>
        </row>
        <row r="330">
          <cell r="A330" t="str">
            <v>EO7C8PP30O</v>
          </cell>
          <cell r="B330" t="str">
            <v>iQ300 Gazlı Ocak, 67cm, Sert Cam, Antrasit Gri</v>
          </cell>
          <cell r="C330">
            <v>15</v>
          </cell>
          <cell r="F330">
            <v>1</v>
          </cell>
          <cell r="I330">
            <v>1</v>
          </cell>
          <cell r="N330">
            <v>17</v>
          </cell>
          <cell r="Q330">
            <v>16643.846961626783</v>
          </cell>
          <cell r="R330">
            <v>16643.846961626783</v>
          </cell>
          <cell r="S330">
            <v>17309.600840091854</v>
          </cell>
          <cell r="T330">
            <v>17975.354718556926</v>
          </cell>
        </row>
        <row r="331">
          <cell r="A331" t="str">
            <v>EO7C9PO12O</v>
          </cell>
          <cell r="B331" t="str">
            <v>iQ300 Gazlı Ocak, 67cm, Sert Cam, Dark Silver</v>
          </cell>
          <cell r="L331">
            <v>1</v>
          </cell>
          <cell r="N331">
            <v>1</v>
          </cell>
          <cell r="Q331" t="str">
            <v>devamı yok</v>
          </cell>
          <cell r="R331">
            <v>15000</v>
          </cell>
          <cell r="S331">
            <v>15600</v>
          </cell>
          <cell r="T331">
            <v>16200</v>
          </cell>
        </row>
        <row r="332">
          <cell r="A332" t="str">
            <v>EP6A6HI40O</v>
          </cell>
          <cell r="B332" t="str">
            <v>iQ500 Gazlı Ocak, 60cm, Sert Cam, Siyah, Döküm, Wok</v>
          </cell>
          <cell r="C332">
            <v>3</v>
          </cell>
          <cell r="N332">
            <v>3</v>
          </cell>
          <cell r="Q332">
            <v>42415.288622950866</v>
          </cell>
          <cell r="R332">
            <v>42415.288622950866</v>
          </cell>
          <cell r="S332">
            <v>44111.900167868902</v>
          </cell>
          <cell r="T332">
            <v>45808.511712786938</v>
          </cell>
        </row>
        <row r="333">
          <cell r="A333" t="str">
            <v>EP6A6PI40O</v>
          </cell>
          <cell r="B333" t="str">
            <v>iQ500 Gazlı Ocak, 60cm, Sert Cam, Siyah, Döküm</v>
          </cell>
          <cell r="C333">
            <v>3</v>
          </cell>
          <cell r="I333">
            <v>1</v>
          </cell>
          <cell r="M333">
            <v>1</v>
          </cell>
          <cell r="N333">
            <v>5</v>
          </cell>
          <cell r="Q333">
            <v>40480.642086453685</v>
          </cell>
          <cell r="R333">
            <v>40480.642086453685</v>
          </cell>
          <cell r="S333">
            <v>42099.867769911834</v>
          </cell>
          <cell r="T333">
            <v>43719.093453369976</v>
          </cell>
        </row>
        <row r="334">
          <cell r="A334" t="str">
            <v>EP6A2PB20O</v>
          </cell>
          <cell r="B334" t="str">
            <v>iQ500 Gazlı Ocak, 60cm, Sert Cam, Beyaz, Döküm</v>
          </cell>
          <cell r="C334">
            <v>3</v>
          </cell>
          <cell r="F334">
            <v>1</v>
          </cell>
          <cell r="J334">
            <v>1</v>
          </cell>
          <cell r="K334">
            <v>1</v>
          </cell>
          <cell r="L334">
            <v>2</v>
          </cell>
          <cell r="N334">
            <v>8</v>
          </cell>
          <cell r="Q334" t="str">
            <v>devamı yok</v>
          </cell>
          <cell r="R334">
            <v>26000</v>
          </cell>
          <cell r="S334">
            <v>27040</v>
          </cell>
          <cell r="T334">
            <v>28080</v>
          </cell>
          <cell r="W334">
            <v>250</v>
          </cell>
        </row>
        <row r="335">
          <cell r="A335" t="str">
            <v>EP6A6HB20</v>
          </cell>
          <cell r="B335" t="str">
            <v>iQ500 Gazlı Ocak, 60cm, Sert Cam, Siyah, Döküm, Wok</v>
          </cell>
          <cell r="F335">
            <v>2</v>
          </cell>
          <cell r="L335">
            <v>2</v>
          </cell>
          <cell r="N335">
            <v>4</v>
          </cell>
          <cell r="Q335" t="str">
            <v>devamı yok</v>
          </cell>
          <cell r="R335">
            <v>26000</v>
          </cell>
          <cell r="S335">
            <v>27040</v>
          </cell>
          <cell r="T335">
            <v>28080</v>
          </cell>
          <cell r="W335">
            <v>1000</v>
          </cell>
        </row>
        <row r="336">
          <cell r="A336" t="str">
            <v>EP6A6PB20</v>
          </cell>
          <cell r="B336" t="str">
            <v>iQ500 Gazlı Ocak, 60cm, Sert Cam, Siyah, Döküm</v>
          </cell>
          <cell r="C336">
            <v>2</v>
          </cell>
          <cell r="L336">
            <v>1</v>
          </cell>
          <cell r="N336">
            <v>3</v>
          </cell>
          <cell r="Q336" t="str">
            <v>devamı yok</v>
          </cell>
          <cell r="R336">
            <v>26000</v>
          </cell>
          <cell r="S336">
            <v>27040</v>
          </cell>
          <cell r="T336">
            <v>28080</v>
          </cell>
          <cell r="W336">
            <v>250</v>
          </cell>
        </row>
        <row r="337">
          <cell r="A337" t="str">
            <v>EP6A8HB20</v>
          </cell>
          <cell r="B337" t="str">
            <v>iQ500 Gazlı Ocak, 60cm, Sert Cam, Titanyum Gri, Döküm, Wok</v>
          </cell>
          <cell r="I337">
            <v>1</v>
          </cell>
          <cell r="L337">
            <v>1</v>
          </cell>
          <cell r="N337">
            <v>2</v>
          </cell>
          <cell r="Q337" t="str">
            <v>devamı yok</v>
          </cell>
          <cell r="R337">
            <v>28000</v>
          </cell>
          <cell r="S337">
            <v>29120</v>
          </cell>
          <cell r="T337">
            <v>30240</v>
          </cell>
          <cell r="W337">
            <v>1000</v>
          </cell>
        </row>
        <row r="338">
          <cell r="A338" t="str">
            <v>EN6B6NP40R</v>
          </cell>
          <cell r="B338" t="str">
            <v>iQ300 Gazlı Ocak, 60cm, Sert Cam, Siyah, Döküm</v>
          </cell>
          <cell r="C338">
            <v>5</v>
          </cell>
          <cell r="N338">
            <v>5</v>
          </cell>
          <cell r="Q338">
            <v>22680.244991927226</v>
          </cell>
          <cell r="R338">
            <v>22680.244991927226</v>
          </cell>
          <cell r="S338">
            <v>23587.454791604316</v>
          </cell>
          <cell r="T338">
            <v>24494.664591281406</v>
          </cell>
        </row>
        <row r="339">
          <cell r="A339" t="str">
            <v>EN7B2PO10O</v>
          </cell>
          <cell r="B339" t="str">
            <v>iQ300 Gazlı Ocak, 75cm, 4 Gözlü, Sert Cam, Beyaz</v>
          </cell>
          <cell r="I339">
            <v>1</v>
          </cell>
          <cell r="N339">
            <v>1</v>
          </cell>
          <cell r="Q339" t="str">
            <v>devamı yok</v>
          </cell>
          <cell r="R339">
            <v>15000</v>
          </cell>
          <cell r="S339">
            <v>15600</v>
          </cell>
          <cell r="T339">
            <v>16200</v>
          </cell>
          <cell r="W339">
            <v>500</v>
          </cell>
        </row>
        <row r="340">
          <cell r="A340" t="str">
            <v>EN7B2QO12O</v>
          </cell>
          <cell r="B340" t="str">
            <v>iQ300 Gazlı Ocak, 75cm, 5 Gözlü, Sert Cam, Beyaz, Wok</v>
          </cell>
          <cell r="J340">
            <v>1</v>
          </cell>
          <cell r="N340">
            <v>1</v>
          </cell>
          <cell r="Q340" t="str">
            <v>devamı yok</v>
          </cell>
          <cell r="R340">
            <v>25000</v>
          </cell>
          <cell r="S340">
            <v>26000</v>
          </cell>
          <cell r="T340">
            <v>27000</v>
          </cell>
          <cell r="W340">
            <v>500</v>
          </cell>
        </row>
        <row r="341">
          <cell r="A341" t="str">
            <v>EN7B2QP30O</v>
          </cell>
          <cell r="B341" t="str">
            <v>iQ300 Gazlı Ocak, 75cm, 5 Gözlü, Sert Cam, Beyaz, Wok</v>
          </cell>
          <cell r="C341">
            <v>9</v>
          </cell>
          <cell r="K341">
            <v>1</v>
          </cell>
          <cell r="M341">
            <v>1</v>
          </cell>
          <cell r="N341">
            <v>11</v>
          </cell>
          <cell r="Q341">
            <v>27642.867686790607</v>
          </cell>
          <cell r="R341">
            <v>27642.867686790607</v>
          </cell>
          <cell r="S341">
            <v>28748.58239426223</v>
          </cell>
          <cell r="T341">
            <v>29854.297101733857</v>
          </cell>
        </row>
        <row r="342">
          <cell r="A342" t="str">
            <v>EN7B6QO12O</v>
          </cell>
          <cell r="B342" t="str">
            <v>iQ300 Gazlı Ocak, 75cm, 5 Gözlü, Sert Cam, Siyah, Wok</v>
          </cell>
          <cell r="L342">
            <v>1</v>
          </cell>
          <cell r="N342">
            <v>1</v>
          </cell>
          <cell r="Q342" t="str">
            <v>devamı yok</v>
          </cell>
          <cell r="R342">
            <v>25000</v>
          </cell>
          <cell r="S342">
            <v>26000</v>
          </cell>
          <cell r="T342">
            <v>27000</v>
          </cell>
          <cell r="W342">
            <v>500</v>
          </cell>
        </row>
        <row r="343">
          <cell r="A343" t="str">
            <v>EN7B6QP30O</v>
          </cell>
          <cell r="B343" t="str">
            <v>iQ300 Gazlı Ocak, 75cm, 5 Gözlü, Sert Cam, Siyah, Wok</v>
          </cell>
          <cell r="C343">
            <v>7</v>
          </cell>
          <cell r="N343">
            <v>7</v>
          </cell>
          <cell r="Q343">
            <v>27642.867686790607</v>
          </cell>
          <cell r="R343">
            <v>27642.867686790607</v>
          </cell>
          <cell r="S343">
            <v>28748.58239426223</v>
          </cell>
          <cell r="T343">
            <v>29854.297101733857</v>
          </cell>
        </row>
        <row r="344">
          <cell r="A344" t="str">
            <v>EN7B8QO12O</v>
          </cell>
          <cell r="B344" t="str">
            <v>iQ300 Gazlı Ocak, 75cm, 5 Gözlü, Sert Cam, Titanyum Gri, Wok</v>
          </cell>
          <cell r="C344">
            <v>1</v>
          </cell>
          <cell r="F344">
            <v>1</v>
          </cell>
          <cell r="I344">
            <v>2</v>
          </cell>
          <cell r="L344">
            <v>1</v>
          </cell>
          <cell r="N344">
            <v>5</v>
          </cell>
          <cell r="Q344" t="str">
            <v>devamı yok</v>
          </cell>
          <cell r="R344">
            <v>20000</v>
          </cell>
          <cell r="S344">
            <v>20800</v>
          </cell>
          <cell r="T344">
            <v>21600</v>
          </cell>
          <cell r="W344">
            <v>250</v>
          </cell>
        </row>
        <row r="345">
          <cell r="A345" t="str">
            <v>EN7B8QP30O</v>
          </cell>
          <cell r="B345" t="str">
            <v>iQ300 Gazlı Ocak, 75cm, Sert Cam, Antrasit, Wok</v>
          </cell>
          <cell r="C345">
            <v>5</v>
          </cell>
          <cell r="N345">
            <v>5</v>
          </cell>
          <cell r="Q345">
            <v>27642.867686790607</v>
          </cell>
          <cell r="R345">
            <v>27642.867686790607</v>
          </cell>
          <cell r="S345">
            <v>28748.58239426223</v>
          </cell>
          <cell r="T345">
            <v>29854.297101733857</v>
          </cell>
        </row>
        <row r="346">
          <cell r="A346" t="str">
            <v>EP7A2QI40</v>
          </cell>
          <cell r="B346" t="str">
            <v>iQ500 Gazlı Ocak, 75cm, 5 Gözlü, Sert Cam, Beyaz, Wok</v>
          </cell>
          <cell r="C346">
            <v>7</v>
          </cell>
          <cell r="N346">
            <v>7</v>
          </cell>
          <cell r="Q346">
            <v>54623.153160214708</v>
          </cell>
          <cell r="R346">
            <v>51891.995502203972</v>
          </cell>
          <cell r="S346">
            <v>53967.675322292132</v>
          </cell>
          <cell r="T346">
            <v>56043.355142380293</v>
          </cell>
          <cell r="W346">
            <v>250</v>
          </cell>
        </row>
        <row r="347">
          <cell r="A347" t="str">
            <v>EP7A2QB20</v>
          </cell>
          <cell r="B347" t="str">
            <v>iQ500 Gazlı Ocak, 75cm, 5 Gözlü, Sert Cam, Beyaz, Döküm, Wok</v>
          </cell>
          <cell r="F347">
            <v>1</v>
          </cell>
          <cell r="I347">
            <v>2</v>
          </cell>
          <cell r="J347">
            <v>1</v>
          </cell>
          <cell r="L347">
            <v>2</v>
          </cell>
          <cell r="M347">
            <v>1</v>
          </cell>
          <cell r="N347">
            <v>7</v>
          </cell>
          <cell r="Q347" t="str">
            <v>devamı yok</v>
          </cell>
          <cell r="R347">
            <v>42000</v>
          </cell>
          <cell r="S347">
            <v>43680</v>
          </cell>
          <cell r="T347">
            <v>45360</v>
          </cell>
          <cell r="W347">
            <v>1000</v>
          </cell>
        </row>
        <row r="348">
          <cell r="A348" t="str">
            <v>EP7A6QB10</v>
          </cell>
          <cell r="B348" t="str">
            <v>iQ500 Gazlı Ocak, 75cm, 5 Gözlü, Sert Cam, Siyah, Wok</v>
          </cell>
          <cell r="I348">
            <v>1</v>
          </cell>
          <cell r="J348">
            <v>1</v>
          </cell>
          <cell r="L348">
            <v>2</v>
          </cell>
          <cell r="N348">
            <v>4</v>
          </cell>
          <cell r="Q348" t="str">
            <v>devamı yok</v>
          </cell>
          <cell r="R348">
            <v>42000</v>
          </cell>
          <cell r="S348">
            <v>43680</v>
          </cell>
          <cell r="T348">
            <v>45360</v>
          </cell>
          <cell r="W348">
            <v>1000</v>
          </cell>
        </row>
        <row r="349">
          <cell r="A349" t="str">
            <v>EP7A6QB20</v>
          </cell>
          <cell r="B349" t="str">
            <v>iQ500 Gazlı Ocak, 75cm, 5 Gözlü, Sert Cam, Siyah, Döküm, Wok</v>
          </cell>
          <cell r="I349">
            <v>1</v>
          </cell>
          <cell r="N349">
            <v>1</v>
          </cell>
          <cell r="Q349" t="str">
            <v>devamı yok</v>
          </cell>
          <cell r="R349">
            <v>42000</v>
          </cell>
          <cell r="S349">
            <v>43680</v>
          </cell>
          <cell r="T349">
            <v>45360</v>
          </cell>
          <cell r="W349">
            <v>1000</v>
          </cell>
        </row>
        <row r="350">
          <cell r="A350" t="str">
            <v>EC7A5RI90</v>
          </cell>
          <cell r="B350" t="str">
            <v>iQ500 Gazlı Ocak, 75cm, 5 Gözlü, Inox, Döküm, Wok</v>
          </cell>
          <cell r="C350">
            <v>1</v>
          </cell>
          <cell r="N350">
            <v>1</v>
          </cell>
          <cell r="Q350">
            <v>49651.962852539102</v>
          </cell>
          <cell r="R350">
            <v>49651.962852539102</v>
          </cell>
          <cell r="S350">
            <v>51638.041366640668</v>
          </cell>
          <cell r="T350">
            <v>53624.119880742233</v>
          </cell>
        </row>
        <row r="351">
          <cell r="A351" t="str">
            <v>EC7A5RB90</v>
          </cell>
          <cell r="B351" t="str">
            <v>iQ500 Gazlı Ocak, 75cm, 5 Gözlü, Inox, Döküm, Wok</v>
          </cell>
          <cell r="I351">
            <v>1</v>
          </cell>
          <cell r="N351">
            <v>1</v>
          </cell>
          <cell r="Q351" t="str">
            <v>devamı yok</v>
          </cell>
          <cell r="R351">
            <v>40000</v>
          </cell>
          <cell r="S351">
            <v>41600</v>
          </cell>
          <cell r="T351">
            <v>43200</v>
          </cell>
          <cell r="W351">
            <v>1000</v>
          </cell>
        </row>
        <row r="352">
          <cell r="A352" t="str">
            <v>EP9A6QB90</v>
          </cell>
          <cell r="B352" t="str">
            <v>iQ500 Gazlı Ocak, 90cm, 5 Gözlü, Sert Cam, Siyah, Döküm, Wok</v>
          </cell>
          <cell r="L352">
            <v>1</v>
          </cell>
          <cell r="N352">
            <v>1</v>
          </cell>
          <cell r="Q352" t="str">
            <v>devamı yok</v>
          </cell>
          <cell r="R352">
            <v>45000</v>
          </cell>
          <cell r="S352">
            <v>46800</v>
          </cell>
          <cell r="T352">
            <v>48600</v>
          </cell>
          <cell r="W352">
            <v>1000</v>
          </cell>
        </row>
        <row r="353">
          <cell r="A353" t="str">
            <v>EP9A6QI40</v>
          </cell>
          <cell r="B353" t="str">
            <v>iQ500 Gazlı Ocak, 90cm, 5 Gözlü, Sert Cam, Siyah, Döküm, Wok</v>
          </cell>
          <cell r="C353">
            <v>1</v>
          </cell>
          <cell r="F353">
            <v>2</v>
          </cell>
          <cell r="J353">
            <v>1</v>
          </cell>
          <cell r="N353">
            <v>4</v>
          </cell>
          <cell r="Q353">
            <v>68141.189719030473</v>
          </cell>
          <cell r="R353">
            <v>68141.189719030473</v>
          </cell>
          <cell r="S353">
            <v>70866.837307791691</v>
          </cell>
          <cell r="T353">
            <v>73592.484896552909</v>
          </cell>
          <cell r="W353">
            <v>250</v>
          </cell>
        </row>
        <row r="354">
          <cell r="A354" t="str">
            <v>EP7A6QI40O</v>
          </cell>
          <cell r="B354" t="str">
            <v>iQ500 Gazlı Ocak, 67cm, Sert Cam, Siyah, Wok, Döküm</v>
          </cell>
          <cell r="C354">
            <v>1</v>
          </cell>
          <cell r="K354">
            <v>1</v>
          </cell>
          <cell r="N354">
            <v>2</v>
          </cell>
          <cell r="Q354">
            <v>54623.153160214708</v>
          </cell>
          <cell r="R354">
            <v>54623.153160214708</v>
          </cell>
          <cell r="S354">
            <v>56808.079286623295</v>
          </cell>
          <cell r="T354">
            <v>58993.005413031882</v>
          </cell>
        </row>
        <row r="355">
          <cell r="A355" t="str">
            <v>ER9A6SH40</v>
          </cell>
          <cell r="B355" t="str">
            <v>iQ700 studioLine Gazlı Ocak, 90cm, 5 Gözlü, Sert Cam, Siyah, Döküm, Wok</v>
          </cell>
          <cell r="N355">
            <v>0</v>
          </cell>
          <cell r="O355">
            <v>2</v>
          </cell>
          <cell r="Q355">
            <v>96577.07986836003</v>
          </cell>
          <cell r="R355">
            <v>86919.371881524028</v>
          </cell>
          <cell r="S355">
            <v>90396.14675678499</v>
          </cell>
          <cell r="T355">
            <v>93872.921632045953</v>
          </cell>
        </row>
        <row r="356">
          <cell r="A356" t="str">
            <v>ER6A6PD70</v>
          </cell>
          <cell r="B356" t="str">
            <v>iQ700 Gazlı Ocak, 60cm, Seramik, Siyah, Döküm</v>
          </cell>
          <cell r="I356">
            <v>1</v>
          </cell>
          <cell r="L356">
            <v>3</v>
          </cell>
          <cell r="N356">
            <v>4</v>
          </cell>
          <cell r="Q356" t="str">
            <v>devamı yok</v>
          </cell>
          <cell r="R356">
            <v>40000</v>
          </cell>
          <cell r="S356">
            <v>41600</v>
          </cell>
          <cell r="T356">
            <v>43200</v>
          </cell>
          <cell r="W356">
            <v>1000</v>
          </cell>
        </row>
        <row r="357">
          <cell r="A357" t="str">
            <v>ET475FYB1E</v>
          </cell>
          <cell r="B357" t="str">
            <v>iQ500 Moduler Teppanyaki, 40cm, Inox</v>
          </cell>
          <cell r="C357">
            <v>2</v>
          </cell>
          <cell r="N357">
            <v>2</v>
          </cell>
          <cell r="Q357" t="str">
            <v>devamı yok</v>
          </cell>
          <cell r="R357">
            <v>100000</v>
          </cell>
          <cell r="S357">
            <v>104000</v>
          </cell>
          <cell r="T357">
            <v>108000</v>
          </cell>
          <cell r="W357">
            <v>250</v>
          </cell>
        </row>
        <row r="358">
          <cell r="A358" t="str">
            <v>ER3A6BB70</v>
          </cell>
          <cell r="B358" t="str">
            <v>iQ700 Gazlı Domino Ocak, 30cm, 2 Gözlü, Seramik, Siyah</v>
          </cell>
          <cell r="F358">
            <v>1</v>
          </cell>
          <cell r="N358">
            <v>1</v>
          </cell>
          <cell r="Q358" t="str">
            <v>devamı yok</v>
          </cell>
          <cell r="R358">
            <v>35000</v>
          </cell>
          <cell r="S358">
            <v>36400</v>
          </cell>
          <cell r="T358">
            <v>37800</v>
          </cell>
          <cell r="W358">
            <v>1000</v>
          </cell>
        </row>
        <row r="359">
          <cell r="A359" t="str">
            <v>ER3A6AB70</v>
          </cell>
          <cell r="B359" t="str">
            <v>iQ700 Gazlı Domino Ocak, 30cm, Tek Gözlü, Seramik, Siyah, Wok</v>
          </cell>
          <cell r="C359">
            <v>2</v>
          </cell>
          <cell r="N359">
            <v>2</v>
          </cell>
          <cell r="Q359" t="str">
            <v>devamı yok</v>
          </cell>
          <cell r="R359">
            <v>30000</v>
          </cell>
          <cell r="S359">
            <v>31200</v>
          </cell>
          <cell r="T359">
            <v>32400</v>
          </cell>
          <cell r="W359">
            <v>250</v>
          </cell>
        </row>
        <row r="360">
          <cell r="A360" t="str">
            <v xml:space="preserve">ELEKTRİKLİ OCAK </v>
          </cell>
          <cell r="B360" t="str">
            <v/>
          </cell>
          <cell r="N360">
            <v>357</v>
          </cell>
        </row>
        <row r="361">
          <cell r="A361" t="str">
            <v>ET611HE17E</v>
          </cell>
          <cell r="B361" t="str">
            <v>iQ100 Elektrikli Ocak, 60cm, Çerçevesiz, Siyah</v>
          </cell>
          <cell r="C361">
            <v>15</v>
          </cell>
          <cell r="I361">
            <v>1</v>
          </cell>
          <cell r="J361">
            <v>1</v>
          </cell>
          <cell r="K361">
            <v>1</v>
          </cell>
          <cell r="L361">
            <v>1</v>
          </cell>
          <cell r="M361">
            <v>1</v>
          </cell>
          <cell r="N361">
            <v>20</v>
          </cell>
          <cell r="Q361">
            <v>26926.899614470331</v>
          </cell>
          <cell r="R361">
            <v>25580.554633746815</v>
          </cell>
          <cell r="S361">
            <v>26603.776819096689</v>
          </cell>
          <cell r="T361">
            <v>27626.999004446559</v>
          </cell>
        </row>
        <row r="362">
          <cell r="A362" t="str">
            <v>ET612FEA1E</v>
          </cell>
          <cell r="B362" t="str">
            <v>iQ100 Elektrikli Ocak, 60cm, Çerçevesiz, Beyaz</v>
          </cell>
          <cell r="C362">
            <v>5</v>
          </cell>
          <cell r="F362">
            <v>2</v>
          </cell>
          <cell r="I362">
            <v>2</v>
          </cell>
          <cell r="N362">
            <v>9</v>
          </cell>
          <cell r="O362">
            <v>6</v>
          </cell>
          <cell r="Q362">
            <v>33549.396465393293</v>
          </cell>
          <cell r="R362">
            <v>31871.926642123628</v>
          </cell>
          <cell r="S362">
            <v>33146.803707808576</v>
          </cell>
          <cell r="T362">
            <v>34421.680773493521</v>
          </cell>
        </row>
        <row r="363">
          <cell r="A363" t="str">
            <v>ET651FFP2E</v>
          </cell>
          <cell r="B363" t="str">
            <v>iQ300 Elektrikli Ocak, 60cm, Çerçevesiz, Siyah</v>
          </cell>
          <cell r="C363">
            <v>6</v>
          </cell>
          <cell r="F363">
            <v>1</v>
          </cell>
          <cell r="N363">
            <v>7</v>
          </cell>
          <cell r="Q363">
            <v>33595.221318182215</v>
          </cell>
          <cell r="R363">
            <v>31915.460252273104</v>
          </cell>
          <cell r="S363">
            <v>33192.078662364031</v>
          </cell>
          <cell r="T363">
            <v>34468.697072454954</v>
          </cell>
        </row>
        <row r="364">
          <cell r="A364" t="str">
            <v>ET775FGP1E</v>
          </cell>
          <cell r="B364" t="str">
            <v>iQ300 Elektrikli Ocak, 70cm, Çerçeveli, Siyah</v>
          </cell>
          <cell r="F364">
            <v>2</v>
          </cell>
          <cell r="I364">
            <v>1</v>
          </cell>
          <cell r="N364">
            <v>3</v>
          </cell>
          <cell r="Q364" t="str">
            <v>devamı yok</v>
          </cell>
          <cell r="R364">
            <v>52000</v>
          </cell>
          <cell r="S364">
            <v>54080</v>
          </cell>
          <cell r="T364">
            <v>56160</v>
          </cell>
          <cell r="W364">
            <v>1000</v>
          </cell>
        </row>
        <row r="365">
          <cell r="A365" t="str">
            <v>ET875LMP1D</v>
          </cell>
          <cell r="B365" t="str">
            <v>iQ500 Elektrikli Ocak, 80cm, Çerçeveli, Siyah</v>
          </cell>
          <cell r="C365">
            <v>3</v>
          </cell>
          <cell r="F365">
            <v>1</v>
          </cell>
          <cell r="N365">
            <v>4</v>
          </cell>
          <cell r="Q365">
            <v>64596.554616845155</v>
          </cell>
          <cell r="R365">
            <v>64596.554616845155</v>
          </cell>
          <cell r="S365">
            <v>67180.416801518964</v>
          </cell>
          <cell r="T365">
            <v>69764.278986192774</v>
          </cell>
        </row>
        <row r="366">
          <cell r="A366" t="str">
            <v>ET375CFA1E</v>
          </cell>
          <cell r="B366" t="str">
            <v>iQ300 Elektrikli Domino Ocak, 30cm, 2 Gözlü, Siyah</v>
          </cell>
          <cell r="C366">
            <v>1</v>
          </cell>
          <cell r="N366">
            <v>1</v>
          </cell>
          <cell r="Q366">
            <v>34759.589937808785</v>
          </cell>
          <cell r="R366">
            <v>34759.589937808785</v>
          </cell>
          <cell r="S366">
            <v>36149.973535321136</v>
          </cell>
          <cell r="T366">
            <v>37540.357132833487</v>
          </cell>
        </row>
        <row r="367">
          <cell r="A367" t="str">
            <v>İNDÜKSİYONLU OCAK</v>
          </cell>
          <cell r="B367" t="str">
            <v/>
          </cell>
          <cell r="N367">
            <v>44</v>
          </cell>
        </row>
        <row r="368">
          <cell r="A368" t="str">
            <v>EU611AGA5E</v>
          </cell>
          <cell r="B368" t="str">
            <v>iQ100 İndüksiyonlu Ocak, 60cm, Çerçevesiz, Siyah</v>
          </cell>
          <cell r="C368">
            <v>16</v>
          </cell>
          <cell r="E368">
            <v>1</v>
          </cell>
          <cell r="I368">
            <v>1</v>
          </cell>
          <cell r="J368">
            <v>1</v>
          </cell>
          <cell r="M368">
            <v>1</v>
          </cell>
          <cell r="N368">
            <v>20</v>
          </cell>
          <cell r="O368">
            <v>10</v>
          </cell>
          <cell r="Q368">
            <v>26949.038630997122</v>
          </cell>
          <cell r="R368">
            <v>25601.586699447267</v>
          </cell>
          <cell r="S368">
            <v>26625.650167425159</v>
          </cell>
          <cell r="T368">
            <v>27649.713635403048</v>
          </cell>
        </row>
        <row r="369">
          <cell r="A369" t="str">
            <v>EX675LYV1E</v>
          </cell>
          <cell r="B369" t="str">
            <v>iQ700 İndüksiyonlu Ocak, 60cm, Çerçeveli, Siyah</v>
          </cell>
          <cell r="C369">
            <v>2</v>
          </cell>
          <cell r="N369">
            <v>2</v>
          </cell>
          <cell r="Q369">
            <v>86372.610344239802</v>
          </cell>
          <cell r="R369">
            <v>86372.610344239802</v>
          </cell>
          <cell r="S369">
            <v>89827.514758009391</v>
          </cell>
          <cell r="T369">
            <v>93282.41917177898</v>
          </cell>
          <cell r="W369">
            <v>250</v>
          </cell>
        </row>
        <row r="370">
          <cell r="A370" t="str">
            <v>EX807NYV6E</v>
          </cell>
          <cell r="B370" t="str">
            <v>iQ700 studioLine İndüksiyonlu Ocak, 80cm, FlushMount, Siyah</v>
          </cell>
          <cell r="D370">
            <v>1</v>
          </cell>
          <cell r="N370">
            <v>1</v>
          </cell>
          <cell r="Q370">
            <v>98810.13083642222</v>
          </cell>
          <cell r="R370">
            <v>88929.117752780003</v>
          </cell>
          <cell r="S370">
            <v>92486.282462891206</v>
          </cell>
          <cell r="T370">
            <v>96043.447173002409</v>
          </cell>
          <cell r="W370">
            <v>500</v>
          </cell>
        </row>
        <row r="371">
          <cell r="A371" t="str">
            <v>EX808LYV5E</v>
          </cell>
          <cell r="B371" t="str">
            <v>iQ700 studioLine İndüksiyonlu Ocak, 80cm, FlushMount, Siyah</v>
          </cell>
          <cell r="D371">
            <v>1</v>
          </cell>
          <cell r="H371">
            <v>1</v>
          </cell>
          <cell r="N371">
            <v>2</v>
          </cell>
          <cell r="Q371" t="str">
            <v>devamı yok</v>
          </cell>
          <cell r="R371">
            <v>105000</v>
          </cell>
          <cell r="S371">
            <v>109200</v>
          </cell>
          <cell r="T371">
            <v>113400</v>
          </cell>
          <cell r="W371">
            <v>500</v>
          </cell>
        </row>
        <row r="372">
          <cell r="A372" t="str">
            <v>EX801LYC1E</v>
          </cell>
          <cell r="B372" t="str">
            <v>iQ700 Davlumbaz Entegreli İndüksiyonlu Ocak, 80cm, Çerçeveli, Siyah</v>
          </cell>
          <cell r="C372">
            <v>1</v>
          </cell>
          <cell r="N372">
            <v>1</v>
          </cell>
          <cell r="Q372">
            <v>109323.72862805334</v>
          </cell>
          <cell r="R372">
            <v>109323.72862805334</v>
          </cell>
          <cell r="S372">
            <v>113696.67777317548</v>
          </cell>
          <cell r="T372">
            <v>118069.62691829761</v>
          </cell>
        </row>
        <row r="373">
          <cell r="A373" t="str">
            <v>EX877NVV6E</v>
          </cell>
          <cell r="B373" t="str">
            <v>iQ700 studioLine Davlumbaz Entegreli İndüksiyonlu Ocak, 80cm, Çerçeveli, Siyah</v>
          </cell>
          <cell r="D373">
            <v>2</v>
          </cell>
          <cell r="N373">
            <v>2</v>
          </cell>
          <cell r="Q373">
            <v>87960.712736329777</v>
          </cell>
          <cell r="R373">
            <v>79164.641462696804</v>
          </cell>
          <cell r="S373">
            <v>82331.227121204676</v>
          </cell>
          <cell r="T373">
            <v>85497.812779712549</v>
          </cell>
        </row>
        <row r="374">
          <cell r="A374" t="str">
            <v>EH975LVC1E</v>
          </cell>
          <cell r="B374" t="str">
            <v>iQ300 İndüksiyonlu Ocak, 90cm, Çerçeveli, Siyah</v>
          </cell>
          <cell r="F374">
            <v>1</v>
          </cell>
          <cell r="J374">
            <v>1</v>
          </cell>
          <cell r="L374">
            <v>1</v>
          </cell>
          <cell r="N374">
            <v>3</v>
          </cell>
          <cell r="Q374">
            <v>114748.16313013737</v>
          </cell>
          <cell r="R374">
            <v>109010.75497363051</v>
          </cell>
          <cell r="S374">
            <v>113371.18517257573</v>
          </cell>
          <cell r="T374">
            <v>117731.61537152095</v>
          </cell>
          <cell r="W374">
            <v>250</v>
          </cell>
        </row>
        <row r="375">
          <cell r="A375" t="str">
            <v>EX907NXV6E</v>
          </cell>
          <cell r="B375" t="str">
            <v>iQ700 studioLine İndüksiyonlu Ocak, 90cm, FlushMount, Siyah</v>
          </cell>
          <cell r="D375">
            <v>2</v>
          </cell>
          <cell r="N375">
            <v>2</v>
          </cell>
          <cell r="Q375">
            <v>146639.19559058829</v>
          </cell>
          <cell r="R375">
            <v>131975.27603152947</v>
          </cell>
          <cell r="S375">
            <v>137254.28707279064</v>
          </cell>
          <cell r="T375">
            <v>142533.29811405184</v>
          </cell>
          <cell r="W375">
            <v>500</v>
          </cell>
        </row>
        <row r="376">
          <cell r="A376" t="str">
            <v>EX975LXC1E</v>
          </cell>
          <cell r="B376" t="str">
            <v>iQ700 İndüksiyonlu Ocak, 90cm, Çerçeveli, Siyah</v>
          </cell>
          <cell r="C376">
            <v>3</v>
          </cell>
          <cell r="N376">
            <v>3</v>
          </cell>
          <cell r="Q376">
            <v>123158.86741556809</v>
          </cell>
          <cell r="R376">
            <v>123158.86741556809</v>
          </cell>
          <cell r="S376">
            <v>128085.22211219082</v>
          </cell>
          <cell r="T376">
            <v>133011.57680881355</v>
          </cell>
          <cell r="W376">
            <v>250</v>
          </cell>
        </row>
        <row r="377">
          <cell r="A377" t="str">
            <v>ED65KHQB1E</v>
          </cell>
          <cell r="B377" t="str">
            <v>iQ500 İndüksiyonlu Ocak, 60cm, Çerçevesiz, Siyah</v>
          </cell>
          <cell r="C377">
            <v>1</v>
          </cell>
          <cell r="N377">
            <v>1</v>
          </cell>
          <cell r="O377">
            <v>1</v>
          </cell>
          <cell r="Q377">
            <v>63473.534289984025</v>
          </cell>
          <cell r="R377">
            <v>63473.534289984025</v>
          </cell>
          <cell r="S377">
            <v>66012.47566158339</v>
          </cell>
          <cell r="T377">
            <v>68551.417033182748</v>
          </cell>
        </row>
        <row r="378">
          <cell r="A378" t="str">
            <v>DAVLUMBAZ ENTEGRELİ İNDÜKSİYONLU OCAK</v>
          </cell>
          <cell r="B378" t="str">
            <v/>
          </cell>
          <cell r="N378">
            <v>37</v>
          </cell>
        </row>
        <row r="379">
          <cell r="A379" t="str">
            <v>ED811BS16E</v>
          </cell>
          <cell r="B379" t="str">
            <v>iQ300 Davlumbaz Entegreli İndüksiyonlu Ocak, 80cm, Çerçevesiz, Siyah</v>
          </cell>
          <cell r="C379">
            <v>1</v>
          </cell>
          <cell r="N379">
            <v>1</v>
          </cell>
          <cell r="Q379">
            <v>98476.826388502217</v>
          </cell>
          <cell r="R379">
            <v>98476.826388502217</v>
          </cell>
          <cell r="S379">
            <v>102415.89944404231</v>
          </cell>
          <cell r="T379">
            <v>106354.97249958239</v>
          </cell>
          <cell r="W379">
            <v>250</v>
          </cell>
        </row>
        <row r="380">
          <cell r="A380" t="str">
            <v>EH811BE15E</v>
          </cell>
          <cell r="B380" t="str">
            <v>iQ300 Davlumbaz Entegreli İndüksiyonlu Ocak, 80cm, Çerçevesiz, Siyah</v>
          </cell>
          <cell r="G380">
            <v>1</v>
          </cell>
          <cell r="N380">
            <v>1</v>
          </cell>
          <cell r="Q380" t="str">
            <v>devamı yok</v>
          </cell>
          <cell r="R380">
            <v>80000</v>
          </cell>
          <cell r="S380">
            <v>83200</v>
          </cell>
          <cell r="T380">
            <v>86400</v>
          </cell>
          <cell r="W380">
            <v>1000</v>
          </cell>
        </row>
        <row r="381">
          <cell r="A381" t="str">
            <v>EX875LX67E</v>
          </cell>
          <cell r="B381" t="str">
            <v>iQ700 Davlumbaz Entegreli İndüksiyonlu Ocak, 80cm, Çerçeveli, Siyah</v>
          </cell>
          <cell r="C381">
            <v>1</v>
          </cell>
          <cell r="N381">
            <v>1</v>
          </cell>
          <cell r="Q381">
            <v>118828.46204442343</v>
          </cell>
          <cell r="R381">
            <v>118828.46204442343</v>
          </cell>
          <cell r="S381">
            <v>123581.60052620037</v>
          </cell>
          <cell r="T381">
            <v>128334.7390079773</v>
          </cell>
          <cell r="W381">
            <v>250</v>
          </cell>
        </row>
        <row r="382">
          <cell r="A382" t="str">
            <v>EX877NX68E</v>
          </cell>
          <cell r="B382" t="str">
            <v>iQ700 studioLine Davlumbaz Entegreli İndüksiyonlu Ocak, 80cm, Çerçeveli, Siyah</v>
          </cell>
          <cell r="D382">
            <v>3</v>
          </cell>
          <cell r="H382">
            <v>1</v>
          </cell>
          <cell r="N382">
            <v>4</v>
          </cell>
          <cell r="Q382">
            <v>151194.10707865038</v>
          </cell>
          <cell r="R382">
            <v>136074.69637078536</v>
          </cell>
          <cell r="S382">
            <v>141517.68422561677</v>
          </cell>
          <cell r="T382">
            <v>146960.67208044819</v>
          </cell>
          <cell r="W382">
            <v>500</v>
          </cell>
        </row>
        <row r="383">
          <cell r="A383" t="str">
            <v>KAHVE MAKİNASI</v>
          </cell>
          <cell r="B383" t="str">
            <v/>
          </cell>
        </row>
        <row r="384">
          <cell r="A384" t="str">
            <v>TP551E19</v>
          </cell>
          <cell r="B384" t="str">
            <v>EQ500 iAroma Tam Otomatik Kahve Makinesi, Piano Black</v>
          </cell>
          <cell r="N384">
            <v>0</v>
          </cell>
          <cell r="P384" t="str">
            <v>PRİM DAHİL</v>
          </cell>
          <cell r="Q384">
            <v>29423</v>
          </cell>
          <cell r="R384">
            <v>29423</v>
          </cell>
          <cell r="S384">
            <v>30599.919999999998</v>
          </cell>
          <cell r="T384">
            <v>31776.84</v>
          </cell>
        </row>
        <row r="385">
          <cell r="A385" t="str">
            <v>TP553E05</v>
          </cell>
          <cell r="B385" t="str">
            <v>EQ500 iAroma Tam Otomatik Kahve Makinesi, Piano Black</v>
          </cell>
          <cell r="N385">
            <v>0</v>
          </cell>
          <cell r="P385" t="str">
            <v>PRİM DAHİL</v>
          </cell>
          <cell r="Q385">
            <v>31810</v>
          </cell>
          <cell r="R385">
            <v>31810</v>
          </cell>
          <cell r="S385">
            <v>33082.400000000001</v>
          </cell>
          <cell r="T385">
            <v>34354.800000000003</v>
          </cell>
        </row>
        <row r="386">
          <cell r="A386" t="str">
            <v>CT636LES6</v>
          </cell>
          <cell r="B386" t="str">
            <v>iQ700 Ankastre Tam Otomatik Kahve Makinesi, Siyah/Inox</v>
          </cell>
          <cell r="L386">
            <v>1</v>
          </cell>
          <cell r="N386">
            <v>1</v>
          </cell>
          <cell r="Q386" t="str">
            <v>devamı yok</v>
          </cell>
          <cell r="R386">
            <v>120000</v>
          </cell>
          <cell r="S386">
            <v>124800</v>
          </cell>
          <cell r="T386">
            <v>129600</v>
          </cell>
          <cell r="W386">
            <v>1000</v>
          </cell>
        </row>
        <row r="387">
          <cell r="A387" t="str">
            <v>CT718L1B0</v>
          </cell>
          <cell r="B387" t="str">
            <v>iQ700 Ankastre Tam Otomatik Kahve Makinesi, Siyah</v>
          </cell>
          <cell r="F387">
            <v>1</v>
          </cell>
          <cell r="N387">
            <v>1</v>
          </cell>
          <cell r="Q387">
            <v>165596.65974594664</v>
          </cell>
          <cell r="R387">
            <v>165596.65974594664</v>
          </cell>
          <cell r="S387">
            <v>172220.52613578452</v>
          </cell>
          <cell r="T387">
            <v>178844.39252562239</v>
          </cell>
          <cell r="W387">
            <v>1000</v>
          </cell>
        </row>
        <row r="388">
          <cell r="A388" t="str">
            <v>CT918L1B0</v>
          </cell>
          <cell r="B388" t="str">
            <v>iQ700 studioLine Ankastre Tam Otomatik Kahve Makinesi, Siyah</v>
          </cell>
          <cell r="D388">
            <v>5</v>
          </cell>
          <cell r="H388">
            <v>1</v>
          </cell>
          <cell r="N388">
            <v>6</v>
          </cell>
          <cell r="Q388">
            <v>186210.56655393163</v>
          </cell>
          <cell r="R388">
            <v>167589.50989853847</v>
          </cell>
          <cell r="S388">
            <v>174293.09029448</v>
          </cell>
          <cell r="T388">
            <v>180996.67069042154</v>
          </cell>
          <cell r="W388">
            <v>500</v>
          </cell>
        </row>
        <row r="389">
          <cell r="A389" t="str">
            <v>TE651209RW</v>
          </cell>
          <cell r="B389" t="str">
            <v>EQ6 plus s100 Tam Otomatik Kahve Makinesi, Metalik Elmas Titanyum</v>
          </cell>
          <cell r="I389">
            <v>5</v>
          </cell>
          <cell r="J389">
            <v>2</v>
          </cell>
          <cell r="L389">
            <v>2</v>
          </cell>
          <cell r="M389">
            <v>3</v>
          </cell>
          <cell r="N389">
            <v>12</v>
          </cell>
          <cell r="O389">
            <v>1</v>
          </cell>
          <cell r="Q389">
            <v>30821</v>
          </cell>
          <cell r="R389">
            <v>30821</v>
          </cell>
          <cell r="S389">
            <v>32053.84</v>
          </cell>
          <cell r="T389">
            <v>33286.68</v>
          </cell>
          <cell r="U389">
            <v>6746.38</v>
          </cell>
          <cell r="W389">
            <v>500</v>
          </cell>
          <cell r="X389">
            <v>29990</v>
          </cell>
        </row>
        <row r="390">
          <cell r="A390" t="str">
            <v>TE651319RW</v>
          </cell>
          <cell r="B390" t="str">
            <v>EQ6 plus s100 Tam Otomatik Kahve Makinesi, Metalik Safir Siyahı</v>
          </cell>
          <cell r="K390">
            <v>1</v>
          </cell>
          <cell r="N390">
            <v>1</v>
          </cell>
          <cell r="Q390" t="str">
            <v>devamı yok</v>
          </cell>
          <cell r="R390">
            <v>40000</v>
          </cell>
          <cell r="S390">
            <v>41600</v>
          </cell>
          <cell r="T390">
            <v>43200</v>
          </cell>
          <cell r="W390">
            <v>500</v>
          </cell>
        </row>
        <row r="391">
          <cell r="A391" t="str">
            <v>TE653311RW</v>
          </cell>
          <cell r="B391" t="str">
            <v>EQ6 plus s300 Tam Otomatik Kahve Makinesi, Gümüş</v>
          </cell>
          <cell r="F391">
            <v>1</v>
          </cell>
          <cell r="J391">
            <v>1</v>
          </cell>
          <cell r="M391">
            <v>1</v>
          </cell>
          <cell r="N391">
            <v>3</v>
          </cell>
          <cell r="Q391" t="str">
            <v>devamı yok</v>
          </cell>
          <cell r="R391">
            <v>40000</v>
          </cell>
          <cell r="S391">
            <v>41600</v>
          </cell>
          <cell r="T391">
            <v>43200</v>
          </cell>
          <cell r="W391">
            <v>500</v>
          </cell>
        </row>
        <row r="392">
          <cell r="A392" t="str">
            <v>TE655203RW</v>
          </cell>
          <cell r="B392" t="str">
            <v>EQ6 plus s500 Tam Otomatik Kahve Makinesi, Sabah Sisi Grisi</v>
          </cell>
          <cell r="C392">
            <v>51</v>
          </cell>
          <cell r="F392">
            <v>8</v>
          </cell>
          <cell r="I392">
            <v>5</v>
          </cell>
          <cell r="L392">
            <v>2</v>
          </cell>
          <cell r="M392">
            <v>2</v>
          </cell>
          <cell r="N392">
            <v>68</v>
          </cell>
          <cell r="O392">
            <v>1</v>
          </cell>
          <cell r="Q392">
            <v>46150.533752817057</v>
          </cell>
          <cell r="R392">
            <v>46150.533752817057</v>
          </cell>
          <cell r="S392">
            <v>47996.555102929742</v>
          </cell>
          <cell r="T392">
            <v>49842.57645304242</v>
          </cell>
          <cell r="U392">
            <v>8429.2000000000007</v>
          </cell>
          <cell r="W392">
            <v>500</v>
          </cell>
          <cell r="X392">
            <v>46990</v>
          </cell>
        </row>
        <row r="393">
          <cell r="A393" t="str">
            <v>TE657319RW</v>
          </cell>
          <cell r="B393" t="str">
            <v>EQ6 plus s700 Tam Otomatik Kahve Makinesi, DarkInox/Siyah</v>
          </cell>
          <cell r="C393">
            <v>31</v>
          </cell>
          <cell r="F393">
            <v>27</v>
          </cell>
          <cell r="J393">
            <v>1</v>
          </cell>
          <cell r="K393">
            <v>1</v>
          </cell>
          <cell r="L393">
            <v>1</v>
          </cell>
          <cell r="M393">
            <v>3</v>
          </cell>
          <cell r="N393">
            <v>64</v>
          </cell>
          <cell r="O393">
            <v>1</v>
          </cell>
          <cell r="Q393">
            <v>49964.129333174926</v>
          </cell>
          <cell r="R393">
            <v>49964.129333174926</v>
          </cell>
          <cell r="S393">
            <v>51962.694506501924</v>
          </cell>
          <cell r="T393">
            <v>53961.259679828916</v>
          </cell>
          <cell r="U393">
            <v>9834.5400000000009</v>
          </cell>
          <cell r="W393">
            <v>500</v>
          </cell>
          <cell r="X393">
            <v>49990</v>
          </cell>
        </row>
        <row r="394">
          <cell r="A394" t="str">
            <v>TI351209RW</v>
          </cell>
          <cell r="B394" t="str">
            <v>EQ300 Tam Otomatik Kahve Makinesi, Siyah</v>
          </cell>
          <cell r="I394">
            <v>1</v>
          </cell>
          <cell r="L394">
            <v>2</v>
          </cell>
          <cell r="N394">
            <v>3</v>
          </cell>
          <cell r="Q394" t="str">
            <v>devamı yok</v>
          </cell>
          <cell r="R394">
            <v>40000</v>
          </cell>
          <cell r="S394">
            <v>41600</v>
          </cell>
          <cell r="T394">
            <v>43200</v>
          </cell>
          <cell r="W394">
            <v>500</v>
          </cell>
        </row>
        <row r="395">
          <cell r="A395" t="str">
            <v>TI353204RW</v>
          </cell>
          <cell r="B395" t="str">
            <v>EQ300 Tam Otomatik Kahve Makinesi, Şampanya/Siyah</v>
          </cell>
          <cell r="J395">
            <v>1</v>
          </cell>
          <cell r="L395">
            <v>2</v>
          </cell>
          <cell r="M395">
            <v>1</v>
          </cell>
          <cell r="N395">
            <v>4</v>
          </cell>
          <cell r="Q395" t="str">
            <v>devamı yok</v>
          </cell>
          <cell r="R395">
            <v>40000</v>
          </cell>
          <cell r="S395">
            <v>41600</v>
          </cell>
          <cell r="T395">
            <v>43200</v>
          </cell>
          <cell r="W395">
            <v>500</v>
          </cell>
        </row>
        <row r="396">
          <cell r="A396" t="str">
            <v>TI923309RW</v>
          </cell>
          <cell r="B396" t="str">
            <v>EQ9 s300 Tam Otomatik Kahve Makinesi, Siyah</v>
          </cell>
          <cell r="F396">
            <v>7</v>
          </cell>
          <cell r="I396">
            <v>1</v>
          </cell>
          <cell r="L396">
            <v>5</v>
          </cell>
          <cell r="M396">
            <v>1</v>
          </cell>
          <cell r="N396">
            <v>14</v>
          </cell>
          <cell r="Q396" t="str">
            <v>devamı yok</v>
          </cell>
          <cell r="R396">
            <v>65000</v>
          </cell>
          <cell r="S396">
            <v>67600</v>
          </cell>
          <cell r="T396">
            <v>70200</v>
          </cell>
          <cell r="W396">
            <v>500</v>
          </cell>
        </row>
        <row r="397">
          <cell r="A397" t="str">
            <v>TI9553X9RW</v>
          </cell>
          <cell r="B397" t="str">
            <v>EQ9 plus connect s500 Tam Otomatik Kahve Makinesi, Siyah</v>
          </cell>
          <cell r="F397">
            <v>2</v>
          </cell>
          <cell r="I397">
            <v>1</v>
          </cell>
          <cell r="J397">
            <v>1</v>
          </cell>
          <cell r="L397">
            <v>2</v>
          </cell>
          <cell r="M397">
            <v>1</v>
          </cell>
          <cell r="N397">
            <v>7</v>
          </cell>
          <cell r="Q397" t="str">
            <v>devamı yok</v>
          </cell>
          <cell r="R397">
            <v>65000</v>
          </cell>
          <cell r="S397">
            <v>67600</v>
          </cell>
          <cell r="T397">
            <v>70200</v>
          </cell>
          <cell r="W397">
            <v>500</v>
          </cell>
        </row>
        <row r="398">
          <cell r="A398" t="str">
            <v>TP501R09</v>
          </cell>
          <cell r="B398" t="str">
            <v>EQ500 classic Tam Otomatik Kahve Makinesi, Piyano Siyahı</v>
          </cell>
          <cell r="F398">
            <v>2</v>
          </cell>
          <cell r="I398">
            <v>2</v>
          </cell>
          <cell r="J398">
            <v>1</v>
          </cell>
          <cell r="L398">
            <v>1</v>
          </cell>
          <cell r="N398">
            <v>6</v>
          </cell>
          <cell r="Q398" t="str">
            <v>devamı yok</v>
          </cell>
          <cell r="R398">
            <v>25000</v>
          </cell>
          <cell r="S398">
            <v>26000</v>
          </cell>
          <cell r="T398">
            <v>27000</v>
          </cell>
          <cell r="W398">
            <v>500</v>
          </cell>
        </row>
        <row r="399">
          <cell r="A399" t="str">
            <v>TP503R09</v>
          </cell>
          <cell r="B399" t="str">
            <v>EQ500 classic Tam Otomatik Kahve Makinesi, Piyano Siyahı</v>
          </cell>
          <cell r="F399">
            <v>4</v>
          </cell>
          <cell r="J399">
            <v>1</v>
          </cell>
          <cell r="M399">
            <v>1</v>
          </cell>
          <cell r="N399">
            <v>6</v>
          </cell>
          <cell r="Q399" t="str">
            <v>devamı yok</v>
          </cell>
          <cell r="R399">
            <v>28000</v>
          </cell>
          <cell r="S399">
            <v>29120</v>
          </cell>
          <cell r="T399">
            <v>30240</v>
          </cell>
          <cell r="W399">
            <v>500</v>
          </cell>
        </row>
        <row r="400">
          <cell r="A400" t="str">
            <v>TP505R01</v>
          </cell>
          <cell r="B400" t="str">
            <v>EQ500 classic Tam Otomatik Kahve Makinesi, Metalik Inox/Gümüş</v>
          </cell>
          <cell r="F400">
            <v>1</v>
          </cell>
          <cell r="I400">
            <v>1</v>
          </cell>
          <cell r="L400">
            <v>1</v>
          </cell>
          <cell r="M400">
            <v>1</v>
          </cell>
          <cell r="N400">
            <v>4</v>
          </cell>
          <cell r="Q400" t="str">
            <v>devamı yok</v>
          </cell>
          <cell r="R400">
            <v>25000</v>
          </cell>
          <cell r="S400">
            <v>26000</v>
          </cell>
          <cell r="T400">
            <v>27000</v>
          </cell>
          <cell r="W400">
            <v>500</v>
          </cell>
        </row>
        <row r="401">
          <cell r="A401" t="str">
            <v>TP507R04</v>
          </cell>
          <cell r="B401" t="str">
            <v>EQ500 classic Tam Otomatik Kahve Makinesi, Sabah Sisi Grisi</v>
          </cell>
          <cell r="F401">
            <v>1</v>
          </cell>
          <cell r="M401">
            <v>1</v>
          </cell>
          <cell r="N401">
            <v>2</v>
          </cell>
          <cell r="Q401" t="str">
            <v>devamı yok</v>
          </cell>
          <cell r="R401">
            <v>30000</v>
          </cell>
          <cell r="S401">
            <v>31200</v>
          </cell>
          <cell r="T401">
            <v>32400</v>
          </cell>
          <cell r="W401">
            <v>500</v>
          </cell>
        </row>
        <row r="402">
          <cell r="A402" t="str">
            <v>TP516RX3</v>
          </cell>
          <cell r="B402" t="str">
            <v>EQ500 classic connect Tam Otomatik Kahve Makinesi, Inox/Siyah</v>
          </cell>
          <cell r="C402">
            <v>14</v>
          </cell>
          <cell r="F402">
            <v>16</v>
          </cell>
          <cell r="I402">
            <v>2</v>
          </cell>
          <cell r="L402">
            <v>1</v>
          </cell>
          <cell r="M402">
            <v>1</v>
          </cell>
          <cell r="N402">
            <v>34</v>
          </cell>
          <cell r="Q402">
            <v>40793.307112641975</v>
          </cell>
          <cell r="R402">
            <v>40793.307112641975</v>
          </cell>
          <cell r="S402">
            <v>42425.039397147651</v>
          </cell>
          <cell r="T402">
            <v>44056.771681653336</v>
          </cell>
          <cell r="U402">
            <v>8691.24</v>
          </cell>
          <cell r="W402">
            <v>500</v>
          </cell>
          <cell r="X402">
            <v>39990</v>
          </cell>
        </row>
        <row r="403">
          <cell r="A403" t="str">
            <v>TP517R03</v>
          </cell>
          <cell r="B403" t="str">
            <v>EQ500 classic Tam Otomatik Kahve Makinesi, Inox/Siyah</v>
          </cell>
          <cell r="C403">
            <v>146</v>
          </cell>
          <cell r="F403">
            <v>33</v>
          </cell>
          <cell r="I403">
            <v>7</v>
          </cell>
          <cell r="J403">
            <v>4</v>
          </cell>
          <cell r="K403">
            <v>1</v>
          </cell>
          <cell r="L403">
            <v>1</v>
          </cell>
          <cell r="M403">
            <v>3</v>
          </cell>
          <cell r="N403">
            <v>195</v>
          </cell>
          <cell r="O403">
            <v>14</v>
          </cell>
          <cell r="Q403">
            <v>32099.651498472376</v>
          </cell>
          <cell r="R403">
            <v>32099.651498472376</v>
          </cell>
          <cell r="S403">
            <v>33383.637558411268</v>
          </cell>
          <cell r="T403">
            <v>34667.623618350168</v>
          </cell>
          <cell r="U403">
            <v>6419.61</v>
          </cell>
          <cell r="W403">
            <v>500</v>
          </cell>
          <cell r="X403">
            <v>31990</v>
          </cell>
        </row>
        <row r="404">
          <cell r="A404" t="str">
            <v>TP601E01</v>
          </cell>
          <cell r="B404" t="str">
            <v>EQ600 iAroma Tam Otomatik Kahve Makinesi, Sabah Sisi Grisi</v>
          </cell>
          <cell r="N404">
            <v>0</v>
          </cell>
          <cell r="O404">
            <v>5</v>
          </cell>
          <cell r="Q404">
            <v>39763.772727272728</v>
          </cell>
          <cell r="R404">
            <v>39763.772727272728</v>
          </cell>
          <cell r="S404">
            <v>41354.323636363639</v>
          </cell>
          <cell r="T404">
            <v>42944.874545454542</v>
          </cell>
          <cell r="W404">
            <v>500</v>
          </cell>
        </row>
        <row r="405">
          <cell r="A405" t="str">
            <v>TP605EM3</v>
          </cell>
          <cell r="B405" t="str">
            <v>EQ600 iAroma Tam Otomatik Kahve Makinesi, Siyah/Inox</v>
          </cell>
          <cell r="N405">
            <v>0</v>
          </cell>
          <cell r="O405">
            <v>5</v>
          </cell>
          <cell r="Q405">
            <v>42150.13636363636</v>
          </cell>
          <cell r="R405">
            <v>42150.13636363636</v>
          </cell>
          <cell r="S405">
            <v>43836.141818181815</v>
          </cell>
          <cell r="T405">
            <v>45522.14727272727</v>
          </cell>
          <cell r="W405">
            <v>500</v>
          </cell>
        </row>
        <row r="406">
          <cell r="A406" t="str">
            <v>TP607ET5</v>
          </cell>
          <cell r="B406" t="str">
            <v>EQ600 iAroma Tam Otomatik Kahve Makinesi, Siyah/Dark Inox</v>
          </cell>
          <cell r="N406">
            <v>0</v>
          </cell>
          <cell r="O406">
            <v>5</v>
          </cell>
          <cell r="Q406">
            <v>45331.954545454544</v>
          </cell>
          <cell r="R406">
            <v>45331.954545454544</v>
          </cell>
          <cell r="S406">
            <v>47145.232727272727</v>
          </cell>
          <cell r="T406">
            <v>48958.51090909091</v>
          </cell>
          <cell r="W406">
            <v>500</v>
          </cell>
        </row>
        <row r="407">
          <cell r="A407" t="str">
            <v>TP703R09</v>
          </cell>
          <cell r="B407" t="str">
            <v>EQ700 classic Tam Otomatik Kahve Makinesi, Piyano Siyahı</v>
          </cell>
          <cell r="F407">
            <v>1</v>
          </cell>
          <cell r="N407">
            <v>1</v>
          </cell>
          <cell r="Q407" t="str">
            <v>devamı yok</v>
          </cell>
          <cell r="R407">
            <v>45000</v>
          </cell>
          <cell r="S407">
            <v>46800</v>
          </cell>
          <cell r="T407">
            <v>48600</v>
          </cell>
          <cell r="W407">
            <v>500</v>
          </cell>
        </row>
        <row r="408">
          <cell r="A408" t="str">
            <v>TP713R19</v>
          </cell>
          <cell r="B408" t="str">
            <v>EQ700 classic Tam Otomatik Kahve Makinesi, Piyano Siyahı</v>
          </cell>
          <cell r="C408">
            <v>13</v>
          </cell>
          <cell r="F408">
            <v>7</v>
          </cell>
          <cell r="J408">
            <v>1</v>
          </cell>
          <cell r="K408">
            <v>1</v>
          </cell>
          <cell r="M408">
            <v>3</v>
          </cell>
          <cell r="N408">
            <v>25</v>
          </cell>
          <cell r="Q408">
            <v>52494.176938714467</v>
          </cell>
          <cell r="R408">
            <v>52494.176938714467</v>
          </cell>
          <cell r="S408">
            <v>54593.944016263049</v>
          </cell>
          <cell r="T408">
            <v>56693.711093811624</v>
          </cell>
          <cell r="W408">
            <v>500</v>
          </cell>
        </row>
        <row r="409">
          <cell r="A409" t="str">
            <v>TQ505R09</v>
          </cell>
          <cell r="B409" t="str">
            <v>EQ500 integral Tam Otomatik Kahve Makinesi, Metalik Safir Siyahı</v>
          </cell>
          <cell r="I409">
            <v>1</v>
          </cell>
          <cell r="K409">
            <v>1</v>
          </cell>
          <cell r="L409">
            <v>1</v>
          </cell>
          <cell r="M409">
            <v>1</v>
          </cell>
          <cell r="N409">
            <v>4</v>
          </cell>
          <cell r="Q409" t="str">
            <v>devamı yok</v>
          </cell>
          <cell r="R409">
            <v>40000</v>
          </cell>
          <cell r="S409">
            <v>41600</v>
          </cell>
          <cell r="T409">
            <v>43200</v>
          </cell>
          <cell r="W409">
            <v>500</v>
          </cell>
        </row>
        <row r="410">
          <cell r="A410" t="str">
            <v>TQ507R02</v>
          </cell>
          <cell r="B410" t="str">
            <v>EQ500 integral Tam Otomatik Kahve Makinesi, Inox</v>
          </cell>
          <cell r="F410">
            <v>1</v>
          </cell>
          <cell r="I410">
            <v>1</v>
          </cell>
          <cell r="J410">
            <v>1</v>
          </cell>
          <cell r="L410">
            <v>1</v>
          </cell>
          <cell r="M410">
            <v>1</v>
          </cell>
          <cell r="N410">
            <v>5</v>
          </cell>
          <cell r="Q410" t="str">
            <v>devamı yok</v>
          </cell>
          <cell r="R410">
            <v>40000</v>
          </cell>
          <cell r="S410">
            <v>41600</v>
          </cell>
          <cell r="T410">
            <v>43200</v>
          </cell>
          <cell r="W410">
            <v>500</v>
          </cell>
        </row>
        <row r="411">
          <cell r="A411" t="str">
            <v>TQ703R07</v>
          </cell>
          <cell r="B411" t="str">
            <v>EQ700 integral Tam Otomatik Kahve Makinesi, Metalik Inox/Gümüş</v>
          </cell>
          <cell r="G411">
            <v>1</v>
          </cell>
          <cell r="J411">
            <v>1</v>
          </cell>
          <cell r="N411">
            <v>2</v>
          </cell>
          <cell r="Q411" t="str">
            <v>devamı yok</v>
          </cell>
          <cell r="R411">
            <v>50000</v>
          </cell>
          <cell r="S411">
            <v>52000</v>
          </cell>
          <cell r="T411">
            <v>54000</v>
          </cell>
          <cell r="W411">
            <v>500</v>
          </cell>
        </row>
        <row r="412">
          <cell r="A412" t="str">
            <v>TQ713R03</v>
          </cell>
          <cell r="B412" t="str">
            <v>EQ700 Tam Otomatik Kahve Makinesi, Paslanmaz Çelik</v>
          </cell>
          <cell r="M412">
            <v>1</v>
          </cell>
          <cell r="N412">
            <v>1</v>
          </cell>
          <cell r="Q412">
            <v>56989.324165687103</v>
          </cell>
          <cell r="R412">
            <v>54139.857957402746</v>
          </cell>
          <cell r="S412">
            <v>56305.452275698859</v>
          </cell>
          <cell r="T412">
            <v>58471.046593994964</v>
          </cell>
          <cell r="W412">
            <v>500</v>
          </cell>
        </row>
        <row r="413">
          <cell r="A413" t="str">
            <v>TQ905R03</v>
          </cell>
          <cell r="B413" t="str">
            <v>EQ900 Tam Otomatik Kahve Makinesi, Paslanmaz Çelik</v>
          </cell>
          <cell r="C413">
            <v>19</v>
          </cell>
          <cell r="F413">
            <v>2</v>
          </cell>
          <cell r="I413">
            <v>1</v>
          </cell>
          <cell r="L413">
            <v>1</v>
          </cell>
          <cell r="M413">
            <v>1</v>
          </cell>
          <cell r="N413">
            <v>24</v>
          </cell>
          <cell r="Q413">
            <v>80886.471339026728</v>
          </cell>
          <cell r="R413">
            <v>80886.471339026728</v>
          </cell>
          <cell r="S413">
            <v>84121.930192587795</v>
          </cell>
          <cell r="T413">
            <v>87357.389046148863</v>
          </cell>
          <cell r="W413">
            <v>500</v>
          </cell>
        </row>
        <row r="414">
          <cell r="A414" t="str">
            <v>TQ907RZ3</v>
          </cell>
          <cell r="B414" t="str">
            <v>EQ900 plus Tam Otomatik Kahve Makinesi, Inox</v>
          </cell>
          <cell r="C414">
            <v>11</v>
          </cell>
          <cell r="M414">
            <v>1</v>
          </cell>
          <cell r="N414">
            <v>12</v>
          </cell>
          <cell r="Q414">
            <v>101776.37741443558</v>
          </cell>
          <cell r="R414">
            <v>101776.37741443558</v>
          </cell>
          <cell r="S414">
            <v>105847.432511013</v>
          </cell>
          <cell r="T414">
            <v>109918.48760759043</v>
          </cell>
          <cell r="W414">
            <v>500</v>
          </cell>
        </row>
        <row r="415">
          <cell r="A415" t="str">
            <v>BI630CNS1</v>
          </cell>
          <cell r="B415" t="str">
            <v>iQ700 Sıcak Tutma Çekmecesi, 60x14cm, Siyah</v>
          </cell>
          <cell r="C415">
            <v>1</v>
          </cell>
          <cell r="G415">
            <v>1</v>
          </cell>
          <cell r="I415">
            <v>1</v>
          </cell>
          <cell r="J415">
            <v>1</v>
          </cell>
          <cell r="L415">
            <v>1</v>
          </cell>
          <cell r="N415">
            <v>5</v>
          </cell>
          <cell r="Q415" t="str">
            <v>devamı yok</v>
          </cell>
          <cell r="R415">
            <v>30000</v>
          </cell>
          <cell r="S415">
            <v>31200</v>
          </cell>
          <cell r="T415">
            <v>32400</v>
          </cell>
          <cell r="W415">
            <v>500</v>
          </cell>
        </row>
        <row r="416">
          <cell r="A416" t="str">
            <v>BI910C1B1</v>
          </cell>
          <cell r="B416" t="str">
            <v>iQ700 Sıcak Tutma Çekmecesi, 60x14cm, Siyah</v>
          </cell>
          <cell r="N416">
            <v>0</v>
          </cell>
          <cell r="Q416">
            <v>54976.288557568034</v>
          </cell>
          <cell r="R416">
            <v>54431</v>
          </cell>
          <cell r="S416">
            <v>56608.24</v>
          </cell>
          <cell r="T416">
            <v>58785.479999999996</v>
          </cell>
          <cell r="W416">
            <v>500</v>
          </cell>
        </row>
        <row r="417">
          <cell r="A417" t="str">
            <v>BI630CNW1</v>
          </cell>
          <cell r="B417" t="str">
            <v>iQ700 Sıcak Tutma Çekmecesi, 60x14cm, Beyaz</v>
          </cell>
          <cell r="C417">
            <v>1</v>
          </cell>
          <cell r="N417">
            <v>1</v>
          </cell>
          <cell r="Q417" t="str">
            <v>devamı yok</v>
          </cell>
          <cell r="R417">
            <v>30000</v>
          </cell>
          <cell r="S417">
            <v>31200</v>
          </cell>
          <cell r="T417">
            <v>32400</v>
          </cell>
          <cell r="W417">
            <v>500</v>
          </cell>
        </row>
        <row r="418">
          <cell r="A418" t="str">
            <v>BI830CNB1</v>
          </cell>
          <cell r="B418" t="str">
            <v>iQ700 studioLine Sıcak Tutma Çekmecesi, 60x14cm, Siyah</v>
          </cell>
          <cell r="D418">
            <v>1</v>
          </cell>
          <cell r="H418">
            <v>1</v>
          </cell>
          <cell r="N418">
            <v>2</v>
          </cell>
          <cell r="Q418" t="str">
            <v>devamı yok</v>
          </cell>
          <cell r="R418">
            <v>30000</v>
          </cell>
          <cell r="S418">
            <v>31200</v>
          </cell>
          <cell r="T418">
            <v>32400</v>
          </cell>
          <cell r="W418">
            <v>500</v>
          </cell>
        </row>
        <row r="419">
          <cell r="A419" t="str">
            <v>SÜPÜRGE</v>
          </cell>
          <cell r="B419" t="str">
            <v/>
          </cell>
          <cell r="N419">
            <v>513</v>
          </cell>
        </row>
        <row r="420">
          <cell r="A420" t="str">
            <v>VSM120B</v>
          </cell>
          <cell r="B420" t="str">
            <v>iQ500 Dik Şarjlı Elektrik Süpürgesi</v>
          </cell>
          <cell r="C420">
            <v>43</v>
          </cell>
          <cell r="F420">
            <v>196</v>
          </cell>
          <cell r="I420">
            <v>17</v>
          </cell>
          <cell r="J420">
            <v>3</v>
          </cell>
          <cell r="K420">
            <v>1</v>
          </cell>
          <cell r="L420">
            <v>22</v>
          </cell>
          <cell r="M420">
            <v>5</v>
          </cell>
          <cell r="N420">
            <v>287</v>
          </cell>
          <cell r="Q420">
            <v>16035.596808446544</v>
          </cell>
          <cell r="R420">
            <v>16035.596808446544</v>
          </cell>
          <cell r="S420">
            <v>16677.020680784404</v>
          </cell>
          <cell r="T420">
            <v>17318.444553122266</v>
          </cell>
          <cell r="U420">
            <v>3199.58</v>
          </cell>
          <cell r="W420">
            <v>500</v>
          </cell>
        </row>
        <row r="421">
          <cell r="A421" t="str">
            <v>VSM120XXL</v>
          </cell>
          <cell r="B421" t="str">
            <v>iQ500 Dik Şarjlı Elektrik Süpürgesi, Çift Bataryalı</v>
          </cell>
          <cell r="C421">
            <v>45</v>
          </cell>
          <cell r="F421">
            <v>106</v>
          </cell>
          <cell r="I421">
            <v>1</v>
          </cell>
          <cell r="J421">
            <v>2</v>
          </cell>
          <cell r="K421">
            <v>2</v>
          </cell>
          <cell r="L421">
            <v>2</v>
          </cell>
          <cell r="M421">
            <v>4</v>
          </cell>
          <cell r="N421">
            <v>162</v>
          </cell>
          <cell r="Q421">
            <v>21917.208728307571</v>
          </cell>
          <cell r="R421">
            <v>21917.208728307571</v>
          </cell>
          <cell r="S421">
            <v>22793.897077439873</v>
          </cell>
          <cell r="T421">
            <v>23670.585426572175</v>
          </cell>
          <cell r="U421">
            <v>5067.4399999999996</v>
          </cell>
          <cell r="W421">
            <v>500</v>
          </cell>
        </row>
        <row r="422">
          <cell r="A422" t="str">
            <v>VSM120HYG</v>
          </cell>
          <cell r="B422" t="str">
            <v>iQ500 Dik Şarjlı 2'li Süpürme&amp;Silme Elektrik Süpürgesi</v>
          </cell>
          <cell r="C422">
            <v>70</v>
          </cell>
          <cell r="F422">
            <v>147</v>
          </cell>
          <cell r="I422">
            <v>5</v>
          </cell>
          <cell r="J422">
            <v>4</v>
          </cell>
          <cell r="L422">
            <v>1</v>
          </cell>
          <cell r="M422">
            <v>3</v>
          </cell>
          <cell r="N422">
            <v>230</v>
          </cell>
          <cell r="Q422">
            <v>22889.510310267811</v>
          </cell>
          <cell r="R422">
            <v>22889.510310267811</v>
          </cell>
          <cell r="S422">
            <v>23805.090722678524</v>
          </cell>
          <cell r="T422">
            <v>24720.671135089236</v>
          </cell>
          <cell r="U422">
            <v>5236.99</v>
          </cell>
          <cell r="W422">
            <v>500</v>
          </cell>
        </row>
        <row r="423">
          <cell r="A423" t="str">
            <v>VS06B1110</v>
          </cell>
          <cell r="B423" t="str">
            <v>Toz torbalı Süpürge synchropower, 600w, Mavi</v>
          </cell>
          <cell r="G423">
            <v>1</v>
          </cell>
          <cell r="I423">
            <v>3</v>
          </cell>
          <cell r="N423">
            <v>4</v>
          </cell>
          <cell r="Q423">
            <v>7199.9210291256977</v>
          </cell>
          <cell r="R423">
            <v>7199.9210291256977</v>
          </cell>
          <cell r="S423">
            <v>7487.9178702907257</v>
          </cell>
          <cell r="T423">
            <v>7775.9147114557536</v>
          </cell>
          <cell r="W423">
            <v>500</v>
          </cell>
        </row>
        <row r="424">
          <cell r="A424" t="str">
            <v>VSC3A210</v>
          </cell>
          <cell r="B424" t="str">
            <v>iQ300 Toz Torbalı Süpürge, 600w, Kırmızı</v>
          </cell>
          <cell r="F424">
            <v>21</v>
          </cell>
          <cell r="I424">
            <v>1</v>
          </cell>
          <cell r="M424">
            <v>3</v>
          </cell>
          <cell r="N424">
            <v>25</v>
          </cell>
          <cell r="Q424">
            <v>7890.0382904480366</v>
          </cell>
          <cell r="R424">
            <v>7890.0382904480366</v>
          </cell>
          <cell r="S424">
            <v>8205.6398220659576</v>
          </cell>
          <cell r="T424">
            <v>8521.2413536838794</v>
          </cell>
          <cell r="W424">
            <v>500</v>
          </cell>
        </row>
        <row r="425">
          <cell r="A425" t="str">
            <v>VSC3A330</v>
          </cell>
          <cell r="B425" t="str">
            <v>iQ300 Toz Torbalı Süpürge, 600w, Mavi</v>
          </cell>
          <cell r="F425">
            <v>4</v>
          </cell>
          <cell r="I425">
            <v>1</v>
          </cell>
          <cell r="J425">
            <v>3</v>
          </cell>
          <cell r="L425">
            <v>2</v>
          </cell>
          <cell r="M425">
            <v>1</v>
          </cell>
          <cell r="N425">
            <v>11</v>
          </cell>
          <cell r="Q425" t="str">
            <v>devamı yok</v>
          </cell>
          <cell r="R425">
            <v>6599</v>
          </cell>
          <cell r="S425">
            <v>6862.96</v>
          </cell>
          <cell r="T425">
            <v>7126.92</v>
          </cell>
          <cell r="W425">
            <v>500</v>
          </cell>
        </row>
        <row r="426">
          <cell r="A426" t="str">
            <v>VSC3A330A</v>
          </cell>
          <cell r="B426" t="str">
            <v>iQ300 Toz Torbalı Süpürge, 600w, Açık Mavi</v>
          </cell>
          <cell r="M426">
            <v>1</v>
          </cell>
          <cell r="N426">
            <v>1</v>
          </cell>
          <cell r="Q426" t="str">
            <v>devamı yok</v>
          </cell>
          <cell r="R426">
            <v>5999</v>
          </cell>
          <cell r="S426">
            <v>6238.96</v>
          </cell>
          <cell r="T426">
            <v>6478.92</v>
          </cell>
          <cell r="W426">
            <v>500</v>
          </cell>
        </row>
        <row r="427">
          <cell r="A427" t="str">
            <v>VSC7SIL1</v>
          </cell>
          <cell r="B427" t="str">
            <v>iQ700 Toz Torbalı Süpürge, 650w, Beyaz</v>
          </cell>
          <cell r="F427">
            <v>2</v>
          </cell>
          <cell r="G427">
            <v>5</v>
          </cell>
          <cell r="I427">
            <v>2</v>
          </cell>
          <cell r="J427">
            <v>3</v>
          </cell>
          <cell r="K427">
            <v>2</v>
          </cell>
          <cell r="L427">
            <v>2</v>
          </cell>
          <cell r="M427">
            <v>2</v>
          </cell>
          <cell r="N427">
            <v>18</v>
          </cell>
          <cell r="Q427">
            <v>17385.606197683526</v>
          </cell>
          <cell r="R427">
            <v>17385.606197683526</v>
          </cell>
          <cell r="S427">
            <v>18081.030445590866</v>
          </cell>
          <cell r="T427">
            <v>18776.45469349821</v>
          </cell>
          <cell r="W427">
            <v>500</v>
          </cell>
        </row>
        <row r="428">
          <cell r="A428" t="str">
            <v>VSC7X300</v>
          </cell>
          <cell r="B428" t="str">
            <v>iQ700 Toz Torbalı Süpürge, 650w, Kırmızı</v>
          </cell>
          <cell r="I428">
            <v>1</v>
          </cell>
          <cell r="M428">
            <v>1</v>
          </cell>
          <cell r="N428">
            <v>2</v>
          </cell>
          <cell r="Q428" t="str">
            <v>devamı yok</v>
          </cell>
          <cell r="R428">
            <v>10999</v>
          </cell>
          <cell r="S428">
            <v>11438.96</v>
          </cell>
          <cell r="T428">
            <v>11878.92</v>
          </cell>
          <cell r="W428">
            <v>500</v>
          </cell>
        </row>
        <row r="429">
          <cell r="A429" t="str">
            <v>VSP3AAAA</v>
          </cell>
          <cell r="B429" t="str">
            <v>iQ300 Plus Limited Edition Toz Torbalı Elektrik Süpürgesi, 750w, Kırmızı</v>
          </cell>
          <cell r="C429">
            <v>4</v>
          </cell>
          <cell r="F429">
            <v>8</v>
          </cell>
          <cell r="I429">
            <v>2</v>
          </cell>
          <cell r="J429">
            <v>3</v>
          </cell>
          <cell r="K429">
            <v>2</v>
          </cell>
          <cell r="M429">
            <v>3</v>
          </cell>
          <cell r="N429">
            <v>22</v>
          </cell>
          <cell r="Q429">
            <v>12473.574901724722</v>
          </cell>
          <cell r="R429">
            <v>12473.574901724722</v>
          </cell>
          <cell r="S429">
            <v>12972.51789779371</v>
          </cell>
          <cell r="T429">
            <v>13471.460893862699</v>
          </cell>
          <cell r="W429">
            <v>500</v>
          </cell>
        </row>
        <row r="430">
          <cell r="A430" t="str">
            <v>VSX21A300</v>
          </cell>
          <cell r="B430" t="str">
            <v>iQ300 Toz Torbasız Süpürge, 550w, Kırmızı</v>
          </cell>
          <cell r="C430">
            <v>1</v>
          </cell>
          <cell r="F430">
            <v>34</v>
          </cell>
          <cell r="I430">
            <v>4</v>
          </cell>
          <cell r="J430">
            <v>1</v>
          </cell>
          <cell r="K430">
            <v>2</v>
          </cell>
          <cell r="L430">
            <v>19</v>
          </cell>
          <cell r="M430">
            <v>2</v>
          </cell>
          <cell r="N430">
            <v>63</v>
          </cell>
          <cell r="Q430">
            <v>9014.0958506441748</v>
          </cell>
          <cell r="R430">
            <v>9014.0958506441748</v>
          </cell>
          <cell r="S430">
            <v>9374.6596846699413</v>
          </cell>
          <cell r="T430">
            <v>9735.2235186957096</v>
          </cell>
          <cell r="W430">
            <v>500</v>
          </cell>
        </row>
        <row r="431">
          <cell r="A431" t="str">
            <v>VSX21A320</v>
          </cell>
          <cell r="B431" t="str">
            <v>iQ300 Toz Torbasız Süpürge, 750w, Mavi</v>
          </cell>
          <cell r="C431">
            <v>9</v>
          </cell>
          <cell r="F431">
            <v>23</v>
          </cell>
          <cell r="I431">
            <v>1</v>
          </cell>
          <cell r="J431">
            <v>3</v>
          </cell>
          <cell r="K431">
            <v>2</v>
          </cell>
          <cell r="L431">
            <v>3</v>
          </cell>
          <cell r="M431">
            <v>1</v>
          </cell>
          <cell r="N431">
            <v>42</v>
          </cell>
          <cell r="Q431">
            <v>11340.828006656646</v>
          </cell>
          <cell r="R431">
            <v>11340.828006656646</v>
          </cell>
          <cell r="S431">
            <v>11794.461126922912</v>
          </cell>
          <cell r="T431">
            <v>12248.094247189178</v>
          </cell>
          <cell r="W431">
            <v>500</v>
          </cell>
        </row>
        <row r="432">
          <cell r="A432" t="str">
            <v>VSX41A300</v>
          </cell>
          <cell r="B432" t="str">
            <v>iQ500 Toz Torbasız Süpürge, 550w, Kırmızı</v>
          </cell>
          <cell r="C432">
            <v>35</v>
          </cell>
          <cell r="F432">
            <v>10</v>
          </cell>
          <cell r="I432">
            <v>1</v>
          </cell>
          <cell r="J432">
            <v>3</v>
          </cell>
          <cell r="K432">
            <v>1</v>
          </cell>
          <cell r="L432">
            <v>4</v>
          </cell>
          <cell r="M432">
            <v>3</v>
          </cell>
          <cell r="N432">
            <v>57</v>
          </cell>
          <cell r="Q432">
            <v>9537.7576196999089</v>
          </cell>
          <cell r="R432">
            <v>9537.7576196999089</v>
          </cell>
          <cell r="S432">
            <v>9919.2679244879055</v>
          </cell>
          <cell r="T432">
            <v>10300.778229275902</v>
          </cell>
          <cell r="W432">
            <v>500</v>
          </cell>
        </row>
        <row r="433">
          <cell r="A433" t="str">
            <v>VSX41A322</v>
          </cell>
          <cell r="B433" t="str">
            <v>iQ500 Toz Torbasız Süpürge, 550w, Mavi</v>
          </cell>
          <cell r="F433">
            <v>1</v>
          </cell>
          <cell r="I433">
            <v>1</v>
          </cell>
          <cell r="L433">
            <v>2</v>
          </cell>
          <cell r="N433">
            <v>4</v>
          </cell>
          <cell r="Q433" t="str">
            <v>devamı yok</v>
          </cell>
          <cell r="R433">
            <v>6500</v>
          </cell>
          <cell r="S433">
            <v>6760</v>
          </cell>
          <cell r="T433">
            <v>7020</v>
          </cell>
          <cell r="W433">
            <v>500</v>
          </cell>
        </row>
        <row r="434">
          <cell r="A434" t="str">
            <v>VSX41XTRM</v>
          </cell>
          <cell r="B434" t="str">
            <v>iQ500 Toz Torbasız Elektrik Süpürgesi, 750w, Siyah</v>
          </cell>
          <cell r="C434">
            <v>66</v>
          </cell>
          <cell r="F434">
            <v>41</v>
          </cell>
          <cell r="I434">
            <v>11</v>
          </cell>
          <cell r="J434">
            <v>1</v>
          </cell>
          <cell r="K434">
            <v>1</v>
          </cell>
          <cell r="L434">
            <v>3</v>
          </cell>
          <cell r="M434">
            <v>4</v>
          </cell>
          <cell r="N434">
            <v>127</v>
          </cell>
          <cell r="Q434">
            <v>12397.26916737494</v>
          </cell>
          <cell r="R434">
            <v>11777.405709006192</v>
          </cell>
          <cell r="S434">
            <v>12248.50193736644</v>
          </cell>
          <cell r="T434">
            <v>12719.598165726688</v>
          </cell>
          <cell r="W434">
            <v>500</v>
          </cell>
        </row>
        <row r="435">
          <cell r="A435" t="str">
            <v>VSX4A212</v>
          </cell>
          <cell r="B435" t="str">
            <v>Siemens Toz Torbasız Süpürge, 600w, Kırmızı</v>
          </cell>
          <cell r="I435">
            <v>1</v>
          </cell>
          <cell r="N435">
            <v>1</v>
          </cell>
          <cell r="Q435" t="str">
            <v>devamı yok</v>
          </cell>
          <cell r="R435">
            <v>4999</v>
          </cell>
          <cell r="S435">
            <v>5198.96</v>
          </cell>
          <cell r="T435">
            <v>5398.92</v>
          </cell>
          <cell r="W435">
            <v>500</v>
          </cell>
        </row>
        <row r="436">
          <cell r="A436" t="str">
            <v>VSX7XTRM</v>
          </cell>
          <cell r="B436" t="str">
            <v>iQ700 Toz Torbasız Elektrik Süpürgesi, 850w, Siyah</v>
          </cell>
          <cell r="F436">
            <v>33</v>
          </cell>
          <cell r="I436">
            <v>6</v>
          </cell>
          <cell r="J436">
            <v>13</v>
          </cell>
          <cell r="K436">
            <v>3</v>
          </cell>
          <cell r="L436">
            <v>8</v>
          </cell>
          <cell r="M436">
            <v>4</v>
          </cell>
          <cell r="N436">
            <v>67</v>
          </cell>
          <cell r="Q436">
            <v>21734.966643145952</v>
          </cell>
          <cell r="R436">
            <v>20648.218310988654</v>
          </cell>
          <cell r="S436">
            <v>21474.147043428198</v>
          </cell>
          <cell r="T436">
            <v>22300.075775867746</v>
          </cell>
          <cell r="W436">
            <v>500</v>
          </cell>
        </row>
        <row r="437">
          <cell r="A437" t="str">
            <v>DİĞER</v>
          </cell>
          <cell r="B437" t="str">
            <v/>
          </cell>
          <cell r="N437">
            <v>1123</v>
          </cell>
        </row>
        <row r="438">
          <cell r="A438" t="str">
            <v>DW15701</v>
          </cell>
          <cell r="B438" t="str">
            <v>Soğuk Su Sebili, Gri</v>
          </cell>
          <cell r="F438">
            <v>2</v>
          </cell>
          <cell r="I438">
            <v>2</v>
          </cell>
          <cell r="J438">
            <v>4</v>
          </cell>
          <cell r="K438">
            <v>1</v>
          </cell>
          <cell r="L438">
            <v>7</v>
          </cell>
          <cell r="M438">
            <v>2</v>
          </cell>
          <cell r="N438">
            <v>18</v>
          </cell>
          <cell r="O438">
            <v>1</v>
          </cell>
          <cell r="Q438">
            <v>12742.288591412163</v>
          </cell>
          <cell r="R438">
            <v>14016.51745055338</v>
          </cell>
          <cell r="S438">
            <v>14577.178148575515</v>
          </cell>
          <cell r="T438">
            <v>15137.83884659765</v>
          </cell>
          <cell r="W438">
            <v>500</v>
          </cell>
        </row>
        <row r="439">
          <cell r="A439" t="str">
            <v>DW15702</v>
          </cell>
          <cell r="B439" t="str">
            <v>Soğuk Su Sebili, Siyah/Gri, Dokunmatik</v>
          </cell>
          <cell r="C439">
            <v>9</v>
          </cell>
          <cell r="J439">
            <v>1</v>
          </cell>
          <cell r="L439">
            <v>4</v>
          </cell>
          <cell r="M439">
            <v>1</v>
          </cell>
          <cell r="N439">
            <v>15</v>
          </cell>
          <cell r="O439">
            <v>1</v>
          </cell>
          <cell r="Q439">
            <v>18551.443860048468</v>
          </cell>
          <cell r="R439">
            <v>20406.588246053314</v>
          </cell>
          <cell r="S439">
            <v>21222.851775895448</v>
          </cell>
          <cell r="T439">
            <v>22039.115305737578</v>
          </cell>
          <cell r="W439">
            <v>500</v>
          </cell>
        </row>
        <row r="440">
          <cell r="A440" t="str">
            <v>DW15703</v>
          </cell>
          <cell r="B440" t="str">
            <v>Soğuk Su Sebili, Siyah/Gri</v>
          </cell>
          <cell r="C440">
            <v>26</v>
          </cell>
          <cell r="F440">
            <v>7</v>
          </cell>
          <cell r="I440">
            <v>1</v>
          </cell>
          <cell r="K440">
            <v>1</v>
          </cell>
          <cell r="L440">
            <v>2</v>
          </cell>
          <cell r="M440">
            <v>1</v>
          </cell>
          <cell r="N440">
            <v>38</v>
          </cell>
          <cell r="O440">
            <v>1</v>
          </cell>
          <cell r="Q440">
            <v>18330.864713595052</v>
          </cell>
          <cell r="R440">
            <v>20163.951184954556</v>
          </cell>
          <cell r="S440">
            <v>20970.509232352739</v>
          </cell>
          <cell r="T440">
            <v>21777.067279750921</v>
          </cell>
          <cell r="W440">
            <v>500</v>
          </cell>
        </row>
        <row r="441">
          <cell r="A441" t="str">
            <v>DW15704</v>
          </cell>
          <cell r="B441" t="str">
            <v>Sıcak/Soğuk Su Sebili, Beyaz</v>
          </cell>
          <cell r="C441">
            <v>29</v>
          </cell>
          <cell r="F441">
            <v>1</v>
          </cell>
          <cell r="I441">
            <v>2</v>
          </cell>
          <cell r="J441">
            <v>2</v>
          </cell>
          <cell r="K441">
            <v>1</v>
          </cell>
          <cell r="L441">
            <v>5</v>
          </cell>
          <cell r="M441">
            <v>1</v>
          </cell>
          <cell r="N441">
            <v>41</v>
          </cell>
          <cell r="O441">
            <v>1</v>
          </cell>
          <cell r="Q441">
            <v>16970.174539831067</v>
          </cell>
          <cell r="R441">
            <v>18667.191993814173</v>
          </cell>
          <cell r="S441">
            <v>19413.879673566738</v>
          </cell>
          <cell r="T441">
            <v>20160.567353319308</v>
          </cell>
          <cell r="W441">
            <v>500</v>
          </cell>
        </row>
        <row r="442">
          <cell r="A442" t="str">
            <v>WB13CPB0N</v>
          </cell>
          <cell r="B442" t="str">
            <v>Soğuk Su Sebili, Siyah/Gri, Sensörlü</v>
          </cell>
          <cell r="C442">
            <v>32</v>
          </cell>
          <cell r="F442">
            <v>1</v>
          </cell>
          <cell r="J442">
            <v>1</v>
          </cell>
          <cell r="L442">
            <v>1</v>
          </cell>
          <cell r="N442">
            <v>35</v>
          </cell>
          <cell r="Q442">
            <v>19431.285771511419</v>
          </cell>
          <cell r="R442">
            <v>21374.414348662562</v>
          </cell>
          <cell r="S442">
            <v>22229.390922609065</v>
          </cell>
          <cell r="T442">
            <v>23084.367496555566</v>
          </cell>
          <cell r="W442">
            <v>500</v>
          </cell>
        </row>
        <row r="443">
          <cell r="A443" t="str">
            <v>TZ80001A</v>
          </cell>
          <cell r="B443" t="str">
            <v>Temizleme Tableti</v>
          </cell>
          <cell r="F443">
            <v>66</v>
          </cell>
          <cell r="I443">
            <v>37</v>
          </cell>
          <cell r="J443">
            <v>26</v>
          </cell>
          <cell r="K443">
            <v>4</v>
          </cell>
          <cell r="L443">
            <v>12</v>
          </cell>
          <cell r="M443">
            <v>13</v>
          </cell>
          <cell r="N443">
            <v>158</v>
          </cell>
          <cell r="Q443">
            <v>480</v>
          </cell>
          <cell r="R443">
            <v>650</v>
          </cell>
          <cell r="S443">
            <v>700</v>
          </cell>
          <cell r="T443">
            <v>800</v>
          </cell>
          <cell r="W443">
            <v>50</v>
          </cell>
        </row>
        <row r="444">
          <cell r="A444" t="str">
            <v>TZ80002A</v>
          </cell>
          <cell r="B444" t="str">
            <v>Kireç Temizleme Tableti</v>
          </cell>
          <cell r="I444">
            <v>41</v>
          </cell>
          <cell r="J444">
            <v>2</v>
          </cell>
          <cell r="K444">
            <v>2</v>
          </cell>
          <cell r="L444">
            <v>9</v>
          </cell>
          <cell r="M444">
            <v>13</v>
          </cell>
          <cell r="N444">
            <v>67</v>
          </cell>
          <cell r="Q444">
            <v>480</v>
          </cell>
          <cell r="R444">
            <v>650</v>
          </cell>
          <cell r="S444">
            <v>700</v>
          </cell>
          <cell r="T444">
            <v>800</v>
          </cell>
          <cell r="W444">
            <v>50</v>
          </cell>
        </row>
        <row r="445">
          <cell r="A445" t="str">
            <v>HZ429000</v>
          </cell>
          <cell r="B445" t="str">
            <v>3D Fry Tepsi</v>
          </cell>
          <cell r="C445">
            <v>21</v>
          </cell>
          <cell r="G445">
            <v>12</v>
          </cell>
          <cell r="I445">
            <v>3</v>
          </cell>
          <cell r="J445">
            <v>6</v>
          </cell>
          <cell r="K445">
            <v>2</v>
          </cell>
          <cell r="L445">
            <v>9</v>
          </cell>
          <cell r="M445">
            <v>3</v>
          </cell>
          <cell r="N445">
            <v>56</v>
          </cell>
          <cell r="O445">
            <v>26</v>
          </cell>
          <cell r="Q445">
            <v>344</v>
          </cell>
          <cell r="R445">
            <v>700</v>
          </cell>
          <cell r="S445">
            <v>700</v>
          </cell>
          <cell r="T445">
            <v>800</v>
          </cell>
          <cell r="W445">
            <v>100</v>
          </cell>
        </row>
        <row r="446">
          <cell r="A446" t="str">
            <v>HZ9VRUD0</v>
          </cell>
          <cell r="B446" t="str">
            <v>Siemens starter kit unducted recirculation</v>
          </cell>
          <cell r="C446">
            <v>2</v>
          </cell>
          <cell r="N446">
            <v>2</v>
          </cell>
          <cell r="Q446">
            <v>420</v>
          </cell>
          <cell r="R446">
            <v>750</v>
          </cell>
          <cell r="S446">
            <v>850</v>
          </cell>
          <cell r="T446">
            <v>900</v>
          </cell>
          <cell r="W446">
            <v>100</v>
          </cell>
        </row>
        <row r="447">
          <cell r="A447" t="str">
            <v>VZ41AFP</v>
          </cell>
          <cell r="B447" t="str">
            <v>Siemens Elektrikli Süpürgeler için Toz Torbası (P Tip) 4'lü Paket</v>
          </cell>
          <cell r="I447">
            <v>6</v>
          </cell>
          <cell r="N447">
            <v>6</v>
          </cell>
          <cell r="R447">
            <v>550</v>
          </cell>
          <cell r="S447">
            <v>600</v>
          </cell>
          <cell r="T447">
            <v>650</v>
          </cell>
          <cell r="W447">
            <v>100</v>
          </cell>
        </row>
        <row r="448">
          <cell r="A448" t="str">
            <v>VZ41FGALL</v>
          </cell>
          <cell r="B448" t="str">
            <v>Elektrik Süpürgesi Toz Torbası 4'lü</v>
          </cell>
          <cell r="C448">
            <v>2</v>
          </cell>
          <cell r="I448">
            <v>62</v>
          </cell>
          <cell r="J448">
            <v>49</v>
          </cell>
          <cell r="K448">
            <v>54</v>
          </cell>
          <cell r="L448">
            <v>4</v>
          </cell>
          <cell r="M448">
            <v>42</v>
          </cell>
          <cell r="N448">
            <v>213</v>
          </cell>
          <cell r="Q448">
            <v>328</v>
          </cell>
          <cell r="R448">
            <v>550</v>
          </cell>
          <cell r="S448">
            <v>600</v>
          </cell>
          <cell r="T448">
            <v>650</v>
          </cell>
          <cell r="W448">
            <v>100</v>
          </cell>
        </row>
        <row r="449">
          <cell r="A449" t="str">
            <v>DE2124407M</v>
          </cell>
          <cell r="B449" t="str">
            <v>Siemens Trifaze Ani Su Isıtıcı</v>
          </cell>
          <cell r="L449">
            <v>1</v>
          </cell>
          <cell r="N449">
            <v>1</v>
          </cell>
          <cell r="R449">
            <v>39999</v>
          </cell>
          <cell r="S449">
            <v>41598.959999999999</v>
          </cell>
          <cell r="T449">
            <v>43198.92</v>
          </cell>
          <cell r="W449">
            <v>250</v>
          </cell>
        </row>
        <row r="450">
          <cell r="A450" t="str">
            <v>DE21307M</v>
          </cell>
          <cell r="B450" t="str">
            <v>Siemens Trifaze Ani Su Isıtıcı</v>
          </cell>
          <cell r="G450">
            <v>1</v>
          </cell>
          <cell r="N450">
            <v>1</v>
          </cell>
          <cell r="R450">
            <v>49999</v>
          </cell>
          <cell r="S450">
            <v>51998.96</v>
          </cell>
          <cell r="T450">
            <v>53998.92</v>
          </cell>
          <cell r="W450">
            <v>250</v>
          </cell>
        </row>
        <row r="451">
          <cell r="A451" t="str">
            <v>TA22005</v>
          </cell>
          <cell r="B451" t="str">
            <v>Siemens Çay Makinesi</v>
          </cell>
          <cell r="I451">
            <v>3</v>
          </cell>
          <cell r="J451">
            <v>1</v>
          </cell>
          <cell r="L451">
            <v>1</v>
          </cell>
          <cell r="M451">
            <v>1</v>
          </cell>
          <cell r="N451">
            <v>6</v>
          </cell>
          <cell r="R451">
            <v>3999</v>
          </cell>
          <cell r="S451">
            <v>4158.96</v>
          </cell>
          <cell r="T451">
            <v>4318.92</v>
          </cell>
          <cell r="W451">
            <v>50</v>
          </cell>
        </row>
        <row r="452">
          <cell r="A452" t="str">
            <v>TC86505</v>
          </cell>
          <cell r="B452" t="str">
            <v>Siemens Filtre Kahve Makinesi</v>
          </cell>
          <cell r="I452">
            <v>1</v>
          </cell>
          <cell r="N452">
            <v>1</v>
          </cell>
          <cell r="R452">
            <v>4999</v>
          </cell>
          <cell r="S452">
            <v>5198.96</v>
          </cell>
          <cell r="T452">
            <v>5398.92</v>
          </cell>
          <cell r="W452">
            <v>50</v>
          </cell>
        </row>
        <row r="453">
          <cell r="A453" t="str">
            <v>MQ66120</v>
          </cell>
          <cell r="B453" t="str">
            <v>Siemens El Blenderı ergonomicEdition, 600w, Beyaz/Mavi</v>
          </cell>
          <cell r="I453">
            <v>2</v>
          </cell>
          <cell r="N453">
            <v>2</v>
          </cell>
          <cell r="R453">
            <v>1999</v>
          </cell>
          <cell r="S453">
            <v>2078.96</v>
          </cell>
          <cell r="T453">
            <v>2158.92</v>
          </cell>
          <cell r="W453">
            <v>50</v>
          </cell>
        </row>
        <row r="454">
          <cell r="A454" t="str">
            <v>MQ66155</v>
          </cell>
          <cell r="B454" t="str">
            <v>Siemens El Blenderı, 600w, Beyaz/Mavi</v>
          </cell>
          <cell r="I454">
            <v>1</v>
          </cell>
          <cell r="N454">
            <v>1</v>
          </cell>
          <cell r="R454">
            <v>2499</v>
          </cell>
          <cell r="S454">
            <v>2598.96</v>
          </cell>
          <cell r="T454">
            <v>2698.92</v>
          </cell>
          <cell r="W454">
            <v>50</v>
          </cell>
        </row>
        <row r="455">
          <cell r="A455" t="str">
            <v>MQ67110</v>
          </cell>
          <cell r="B455" t="str">
            <v>Siemens El Blenderı FQ.1, 750w, Siyah/Gri</v>
          </cell>
          <cell r="I455">
            <v>2</v>
          </cell>
          <cell r="N455">
            <v>2</v>
          </cell>
          <cell r="R455">
            <v>1999</v>
          </cell>
          <cell r="S455">
            <v>2078.96</v>
          </cell>
          <cell r="T455">
            <v>2158.92</v>
          </cell>
          <cell r="W455">
            <v>50</v>
          </cell>
        </row>
        <row r="456">
          <cell r="A456" t="str">
            <v>MQ955PE</v>
          </cell>
          <cell r="B456" t="str">
            <v>Siemens El Mikseri, 450w, Beyaz/Antrasit</v>
          </cell>
          <cell r="I456">
            <v>1</v>
          </cell>
          <cell r="N456">
            <v>1</v>
          </cell>
          <cell r="R456">
            <v>999</v>
          </cell>
          <cell r="S456">
            <v>1038.96</v>
          </cell>
          <cell r="T456">
            <v>1078.92</v>
          </cell>
          <cell r="W456">
            <v>50</v>
          </cell>
        </row>
        <row r="457">
          <cell r="A457" t="str">
            <v>MQ96400</v>
          </cell>
          <cell r="B457" t="str">
            <v>Siemens El Mikseri, 450w, Beyaz/Mavi</v>
          </cell>
          <cell r="I457">
            <v>1</v>
          </cell>
          <cell r="N457">
            <v>1</v>
          </cell>
          <cell r="R457">
            <v>1499</v>
          </cell>
          <cell r="S457">
            <v>1558.96</v>
          </cell>
          <cell r="T457">
            <v>1618.92</v>
          </cell>
          <cell r="W457">
            <v>50</v>
          </cell>
        </row>
        <row r="458">
          <cell r="A458" t="str">
            <v>MQ96580</v>
          </cell>
          <cell r="B458" t="str">
            <v>El Mikser Seti, 500w, Siyah</v>
          </cell>
          <cell r="I458">
            <v>3</v>
          </cell>
          <cell r="N458">
            <v>3</v>
          </cell>
          <cell r="R458">
            <v>2999</v>
          </cell>
          <cell r="S458">
            <v>3118.96</v>
          </cell>
          <cell r="T458">
            <v>3238.92</v>
          </cell>
          <cell r="W458">
            <v>50</v>
          </cell>
        </row>
        <row r="459">
          <cell r="A459" t="str">
            <v>CI10Z090</v>
          </cell>
          <cell r="B459" t="str">
            <v>Siemens Buzdolabı Kulpu 79cm, Inox</v>
          </cell>
          <cell r="C459">
            <v>1</v>
          </cell>
          <cell r="L459">
            <v>4</v>
          </cell>
          <cell r="N459">
            <v>5</v>
          </cell>
          <cell r="R459">
            <v>24999</v>
          </cell>
          <cell r="S459">
            <v>25998.959999999999</v>
          </cell>
          <cell r="T459">
            <v>26998.92</v>
          </cell>
          <cell r="W459">
            <v>250</v>
          </cell>
        </row>
        <row r="460">
          <cell r="A460" t="str">
            <v>CI10Z490</v>
          </cell>
          <cell r="B460" t="str">
            <v>Siemens Buzdolabı Kulpu</v>
          </cell>
          <cell r="J460">
            <v>1</v>
          </cell>
          <cell r="L460">
            <v>1</v>
          </cell>
          <cell r="N460">
            <v>2</v>
          </cell>
          <cell r="R460">
            <v>6148.9750000000004</v>
          </cell>
          <cell r="S460">
            <v>6394.9340000000002</v>
          </cell>
          <cell r="T460">
            <v>6640.893</v>
          </cell>
          <cell r="W460">
            <v>250</v>
          </cell>
        </row>
        <row r="461">
          <cell r="A461" t="str">
            <v>CI10Z491</v>
          </cell>
          <cell r="B461" t="str">
            <v>Siemens Buzdolabı Kulpu</v>
          </cell>
          <cell r="C461">
            <v>5</v>
          </cell>
          <cell r="D461">
            <v>4</v>
          </cell>
          <cell r="N461">
            <v>9</v>
          </cell>
          <cell r="P461" t="str">
            <v>PRİM HARİÇ</v>
          </cell>
          <cell r="Q461">
            <v>8867.3785891660682</v>
          </cell>
          <cell r="R461">
            <v>7980.6407302494617</v>
          </cell>
          <cell r="S461">
            <v>8299.86635945944</v>
          </cell>
          <cell r="T461">
            <v>8619.0919886694192</v>
          </cell>
          <cell r="W461">
            <v>500</v>
          </cell>
        </row>
        <row r="462">
          <cell r="A462" t="str">
            <v>CI10Z591</v>
          </cell>
          <cell r="B462" t="str">
            <v>Siemens studioLine Buzdolabı Kulpu</v>
          </cell>
          <cell r="D462">
            <v>4</v>
          </cell>
          <cell r="N462">
            <v>4</v>
          </cell>
          <cell r="P462" t="str">
            <v>PRİM HARİÇ</v>
          </cell>
          <cell r="Q462">
            <v>3521.1995943386523</v>
          </cell>
          <cell r="R462">
            <v>3169.0796349047869</v>
          </cell>
          <cell r="S462">
            <v>3295.8428203009785</v>
          </cell>
          <cell r="T462">
            <v>3422.6060056971696</v>
          </cell>
          <cell r="W462">
            <v>500</v>
          </cell>
        </row>
        <row r="463">
          <cell r="A463" t="str">
            <v>CI10ZH10</v>
          </cell>
          <cell r="B463" t="str">
            <v>Siemens Buzdolabı Kulpu 79cm, Inox</v>
          </cell>
          <cell r="C463">
            <v>1</v>
          </cell>
          <cell r="N463">
            <v>1</v>
          </cell>
          <cell r="P463" t="str">
            <v>PRİM HARİÇ</v>
          </cell>
          <cell r="Q463">
            <v>2510.3949651838452</v>
          </cell>
          <cell r="R463">
            <v>2510.3949651838452</v>
          </cell>
          <cell r="S463">
            <v>2610.810763791199</v>
          </cell>
          <cell r="T463">
            <v>2711.2265623985527</v>
          </cell>
          <cell r="W463">
            <v>250</v>
          </cell>
        </row>
        <row r="464">
          <cell r="A464" t="str">
            <v>FI24Z090</v>
          </cell>
          <cell r="B464" t="str">
            <v>Siemens studioLine Buzdolabı Kapı Paneli, 202.9x60.3cm</v>
          </cell>
          <cell r="D464">
            <v>2</v>
          </cell>
          <cell r="L464">
            <v>1</v>
          </cell>
          <cell r="N464">
            <v>3</v>
          </cell>
          <cell r="P464" t="str">
            <v>PRİM HARİÇ</v>
          </cell>
          <cell r="Q464">
            <v>6515.7970471358785</v>
          </cell>
          <cell r="R464">
            <v>5864.217342422291</v>
          </cell>
          <cell r="S464">
            <v>6098.7860361191824</v>
          </cell>
          <cell r="T464">
            <v>6333.3547298160747</v>
          </cell>
          <cell r="W464">
            <v>500</v>
          </cell>
        </row>
        <row r="465">
          <cell r="A465" t="str">
            <v>FI30Z090</v>
          </cell>
          <cell r="B465" t="str">
            <v>Siemens Buzdolabı Kapı Paneli, 202.9x75.6cm</v>
          </cell>
          <cell r="C465">
            <v>4</v>
          </cell>
          <cell r="D465">
            <v>2</v>
          </cell>
          <cell r="L465">
            <v>1</v>
          </cell>
          <cell r="N465">
            <v>7</v>
          </cell>
          <cell r="P465" t="str">
            <v>PRİM HARİÇ</v>
          </cell>
          <cell r="Q465">
            <v>12864.686900934046</v>
          </cell>
          <cell r="R465">
            <v>11578.218210840641</v>
          </cell>
          <cell r="S465">
            <v>12041.346939274266</v>
          </cell>
          <cell r="T465">
            <v>12504.475667707893</v>
          </cell>
          <cell r="W465">
            <v>500</v>
          </cell>
        </row>
        <row r="466">
          <cell r="A466" t="str">
            <v>CI36Z490</v>
          </cell>
          <cell r="B466" t="str">
            <v>Siemens Buzdolabı Kapı Paneli, 202.9x90.8cm</v>
          </cell>
          <cell r="C466">
            <v>5</v>
          </cell>
          <cell r="D466">
            <v>2</v>
          </cell>
          <cell r="J466">
            <v>1</v>
          </cell>
          <cell r="L466">
            <v>1</v>
          </cell>
          <cell r="N466">
            <v>9</v>
          </cell>
          <cell r="P466" t="str">
            <v>PRİM HARİÇ</v>
          </cell>
          <cell r="Q466">
            <v>18868.450592859805</v>
          </cell>
          <cell r="R466">
            <v>16981.605533573824</v>
          </cell>
          <cell r="S466">
            <v>17660.869754916777</v>
          </cell>
          <cell r="T466">
            <v>18340.133976259731</v>
          </cell>
          <cell r="W466">
            <v>500</v>
          </cell>
        </row>
        <row r="467">
          <cell r="A467" t="str">
            <v>CI60Z000</v>
          </cell>
          <cell r="B467" t="str">
            <v>Siemens Buzdolabı Bağlantı Seti</v>
          </cell>
          <cell r="C467">
            <v>4</v>
          </cell>
          <cell r="N467">
            <v>4</v>
          </cell>
          <cell r="P467" t="str">
            <v>PRİM HARİÇ</v>
          </cell>
        </row>
        <row r="468">
          <cell r="A468" t="str">
            <v>CI60Z200</v>
          </cell>
          <cell r="B468" t="str">
            <v>Siemens Buzdolabı Bağlantı Seti</v>
          </cell>
          <cell r="C468">
            <v>2</v>
          </cell>
          <cell r="D468">
            <v>1</v>
          </cell>
          <cell r="H468">
            <v>2</v>
          </cell>
          <cell r="N468">
            <v>5</v>
          </cell>
          <cell r="P468" t="str">
            <v>PRİM HARİÇ</v>
          </cell>
          <cell r="Q468" t="str">
            <v>devamı yok</v>
          </cell>
          <cell r="R468">
            <v>5000</v>
          </cell>
          <cell r="S468">
            <v>5200</v>
          </cell>
          <cell r="T468">
            <v>5400</v>
          </cell>
          <cell r="W468">
            <v>500</v>
          </cell>
        </row>
        <row r="469">
          <cell r="A469" t="str">
            <v>CI60ZBL1</v>
          </cell>
          <cell r="B469" t="str">
            <v>Siemens studioLine Buzdolabı Çekmecesi</v>
          </cell>
          <cell r="D469">
            <v>1</v>
          </cell>
          <cell r="N469">
            <v>1</v>
          </cell>
          <cell r="P469" t="str">
            <v>PRİM HARİÇ</v>
          </cell>
          <cell r="Q469">
            <v>2251.7843805077478</v>
          </cell>
          <cell r="R469">
            <v>2026.605942456973</v>
          </cell>
          <cell r="S469">
            <v>2097.5371504429672</v>
          </cell>
          <cell r="T469">
            <v>2188.7344178535309</v>
          </cell>
          <cell r="W469">
            <v>500</v>
          </cell>
        </row>
        <row r="470">
          <cell r="A470" t="str">
            <v>CI30ZSETB2</v>
          </cell>
          <cell r="B470" t="str">
            <v>Siemens studioLine 36'' Buzdolabı Kapı Paneli, Paslanmaz Çelik, 3 Kapı</v>
          </cell>
          <cell r="D470">
            <v>1</v>
          </cell>
          <cell r="N470">
            <v>1</v>
          </cell>
          <cell r="P470" t="str">
            <v>PRİM HARİÇ</v>
          </cell>
          <cell r="Q470">
            <v>10600.401058527552</v>
          </cell>
          <cell r="R470">
            <v>9540.3609526747969</v>
          </cell>
          <cell r="S470">
            <v>9874.2735860184148</v>
          </cell>
          <cell r="T470">
            <v>10303.58982888878</v>
          </cell>
          <cell r="W470">
            <v>500</v>
          </cell>
        </row>
        <row r="471">
          <cell r="A471" t="str">
            <v>KLİMA</v>
          </cell>
          <cell r="B471" t="str">
            <v/>
          </cell>
        </row>
        <row r="472">
          <cell r="A472" t="str">
            <v>AS09IVW32N</v>
          </cell>
          <cell r="B472" t="str">
            <v>Siemens Ev Tipi Klima İç Ünite, 9.000BTU, Beyaz</v>
          </cell>
          <cell r="C472">
            <v>5</v>
          </cell>
          <cell r="I472">
            <v>1</v>
          </cell>
          <cell r="N472">
            <v>6</v>
          </cell>
          <cell r="P472" t="str">
            <v>PRİM HARİÇ</v>
          </cell>
          <cell r="Q472">
            <v>16020.74074189603</v>
          </cell>
          <cell r="R472">
            <v>18000</v>
          </cell>
          <cell r="S472">
            <v>18630</v>
          </cell>
          <cell r="T472">
            <v>19440</v>
          </cell>
          <cell r="W472">
            <v>250</v>
          </cell>
        </row>
        <row r="473">
          <cell r="A473" t="str">
            <v>AS09OVW32N</v>
          </cell>
          <cell r="B473" t="str">
            <v>Siemens Ev Tipi Klima Dış Ünite, 9.000BTU, Beyaz</v>
          </cell>
          <cell r="C473">
            <v>6</v>
          </cell>
          <cell r="N473">
            <v>6</v>
          </cell>
          <cell r="P473" t="str">
            <v>PRİM HARİÇ</v>
          </cell>
          <cell r="Q473">
            <v>24031.111112844046</v>
          </cell>
          <cell r="R473">
            <v>26000</v>
          </cell>
          <cell r="S473">
            <v>26910</v>
          </cell>
          <cell r="T473">
            <v>28080</v>
          </cell>
        </row>
        <row r="474">
          <cell r="A474" t="str">
            <v>AS12IVW30N</v>
          </cell>
          <cell r="B474" t="str">
            <v>Siemens Ev Tipi Klima İç Ünite, 12.000BTU, Beyaz</v>
          </cell>
          <cell r="L474">
            <v>1</v>
          </cell>
          <cell r="N474">
            <v>1</v>
          </cell>
          <cell r="P474" t="str">
            <v>PRİM HARİÇ</v>
          </cell>
          <cell r="R474">
            <v>15000</v>
          </cell>
          <cell r="S474">
            <v>15525</v>
          </cell>
          <cell r="T474">
            <v>16200</v>
          </cell>
          <cell r="W474">
            <v>250</v>
          </cell>
        </row>
        <row r="475">
          <cell r="A475" t="str">
            <v>AS12OVW30N</v>
          </cell>
          <cell r="B475" t="str">
            <v>Siemens Ev Tipi Klima Dış Ünite, 12.000BTU, Beyaz</v>
          </cell>
          <cell r="C475">
            <v>1</v>
          </cell>
          <cell r="N475">
            <v>1</v>
          </cell>
          <cell r="P475" t="str">
            <v>PRİM HARİÇ</v>
          </cell>
          <cell r="R475">
            <v>20000</v>
          </cell>
          <cell r="S475">
            <v>20700</v>
          </cell>
          <cell r="T475">
            <v>21600</v>
          </cell>
        </row>
        <row r="476">
          <cell r="A476" t="str">
            <v>AS12IVW32N</v>
          </cell>
          <cell r="B476" t="str">
            <v>Siemens Ev Tipi Klima İç Ünite, 12.000BTU, Beyaz</v>
          </cell>
          <cell r="F476">
            <v>1</v>
          </cell>
          <cell r="I476">
            <v>1</v>
          </cell>
          <cell r="N476">
            <v>2</v>
          </cell>
          <cell r="P476" t="str">
            <v>PRİM HARİÇ</v>
          </cell>
          <cell r="Q476">
            <v>17599.318782707702</v>
          </cell>
          <cell r="R476">
            <v>19000</v>
          </cell>
          <cell r="S476">
            <v>19665</v>
          </cell>
          <cell r="T476">
            <v>20520</v>
          </cell>
          <cell r="W476">
            <v>250</v>
          </cell>
        </row>
        <row r="477">
          <cell r="A477" t="str">
            <v>AS12OVW32N</v>
          </cell>
          <cell r="B477" t="str">
            <v>Siemens Ev Tipi Klima Dış Ünite, 12.000BTU, Beyaz</v>
          </cell>
          <cell r="F477">
            <v>1</v>
          </cell>
          <cell r="L477">
            <v>1</v>
          </cell>
          <cell r="N477">
            <v>2</v>
          </cell>
          <cell r="P477" t="str">
            <v>PRİM HARİÇ</v>
          </cell>
          <cell r="Q477">
            <v>26398.978174061547</v>
          </cell>
          <cell r="R477">
            <v>28000</v>
          </cell>
          <cell r="S477">
            <v>28980</v>
          </cell>
          <cell r="T477">
            <v>30240</v>
          </cell>
        </row>
        <row r="478">
          <cell r="A478" t="str">
            <v>AS12IXB32N</v>
          </cell>
          <cell r="B478" t="str">
            <v>Siemens Ev Tipi Klima İç Ünite, 12.000BTU, Siyah</v>
          </cell>
          <cell r="C478">
            <v>2</v>
          </cell>
          <cell r="N478">
            <v>2</v>
          </cell>
          <cell r="P478" t="str">
            <v>PRİM HARİÇ</v>
          </cell>
          <cell r="Q478">
            <v>19638.932436439351</v>
          </cell>
          <cell r="R478">
            <v>22000</v>
          </cell>
          <cell r="S478">
            <v>22770</v>
          </cell>
          <cell r="T478">
            <v>23760</v>
          </cell>
          <cell r="W478">
            <v>250</v>
          </cell>
        </row>
        <row r="479">
          <cell r="A479" t="str">
            <v>AS12OXB32N</v>
          </cell>
          <cell r="B479" t="str">
            <v>Siemens Ev Tipi Klima Dış Ünite, 12.000BTU, Beyaz</v>
          </cell>
          <cell r="C479">
            <v>2</v>
          </cell>
          <cell r="N479">
            <v>2</v>
          </cell>
          <cell r="P479" t="str">
            <v>PRİM HARİÇ</v>
          </cell>
          <cell r="Q479">
            <v>29458.398654659028</v>
          </cell>
          <cell r="R479">
            <v>32000</v>
          </cell>
          <cell r="S479">
            <v>33120</v>
          </cell>
          <cell r="T479">
            <v>34560</v>
          </cell>
        </row>
        <row r="480">
          <cell r="A480" t="str">
            <v>AS18IVW30N</v>
          </cell>
          <cell r="B480" t="str">
            <v>Siemens Ev Tipi Klima İç Ünite, 18.000BTU, Beyaz</v>
          </cell>
          <cell r="C480">
            <v>5</v>
          </cell>
          <cell r="I480">
            <v>1</v>
          </cell>
          <cell r="L480">
            <v>2</v>
          </cell>
          <cell r="N480">
            <v>8</v>
          </cell>
          <cell r="P480" t="str">
            <v>PRİM HARİÇ</v>
          </cell>
          <cell r="R480">
            <v>22000</v>
          </cell>
          <cell r="S480">
            <v>22770</v>
          </cell>
          <cell r="T480">
            <v>23760</v>
          </cell>
          <cell r="W480">
            <v>250</v>
          </cell>
        </row>
        <row r="481">
          <cell r="A481" t="str">
            <v>AS18OVW30N</v>
          </cell>
          <cell r="B481" t="str">
            <v>Siemens Ev Tipi Klima Dış Ünite, 18.000BTU, Beyaz</v>
          </cell>
          <cell r="C481">
            <v>7</v>
          </cell>
          <cell r="L481">
            <v>1</v>
          </cell>
          <cell r="N481">
            <v>8</v>
          </cell>
          <cell r="P481" t="str">
            <v>PRİM HARİÇ</v>
          </cell>
          <cell r="R481">
            <v>35000</v>
          </cell>
          <cell r="S481">
            <v>36225</v>
          </cell>
          <cell r="T481">
            <v>37800</v>
          </cell>
        </row>
        <row r="482">
          <cell r="A482" t="str">
            <v>AS18IXB32N</v>
          </cell>
          <cell r="B482" t="str">
            <v>Siemens Ev Tipi Klima İç Ünite, 18.000BTU, Siyah</v>
          </cell>
          <cell r="C482">
            <v>1</v>
          </cell>
          <cell r="N482">
            <v>1</v>
          </cell>
          <cell r="P482" t="str">
            <v>PRİM HARİÇ</v>
          </cell>
          <cell r="Q482">
            <v>27721.370472790273</v>
          </cell>
          <cell r="R482">
            <v>30000</v>
          </cell>
          <cell r="S482">
            <v>31050</v>
          </cell>
          <cell r="T482">
            <v>32400</v>
          </cell>
          <cell r="W482">
            <v>250</v>
          </cell>
        </row>
        <row r="483">
          <cell r="A483" t="str">
            <v>AS18OXB32N</v>
          </cell>
          <cell r="B483" t="str">
            <v>Siemens Ev Tipi Klima Dış Ünite, 18.000BTU, Beyaz</v>
          </cell>
          <cell r="C483">
            <v>1</v>
          </cell>
          <cell r="N483">
            <v>1</v>
          </cell>
          <cell r="P483" t="str">
            <v>PRİM HARİÇ</v>
          </cell>
          <cell r="Q483">
            <v>41582.055709185406</v>
          </cell>
          <cell r="R483">
            <v>44000</v>
          </cell>
          <cell r="S483">
            <v>45540</v>
          </cell>
          <cell r="T483">
            <v>47520</v>
          </cell>
        </row>
        <row r="484">
          <cell r="A484" t="str">
            <v>AS24IVW30N</v>
          </cell>
          <cell r="B484" t="str">
            <v>Siemens Ev Tipi Klima İç Ünite, 24.000BTU, Beyaz</v>
          </cell>
          <cell r="L484">
            <v>1</v>
          </cell>
          <cell r="N484">
            <v>1</v>
          </cell>
          <cell r="R484">
            <v>25000</v>
          </cell>
          <cell r="S484">
            <v>25875</v>
          </cell>
          <cell r="T484">
            <v>27000</v>
          </cell>
          <cell r="W484">
            <v>250</v>
          </cell>
        </row>
        <row r="485">
          <cell r="A485" t="str">
            <v>AS24OVW30N</v>
          </cell>
          <cell r="B485" t="str">
            <v>Siemens Ev Tipi Klima Dış Ünite, 24.000BTU, Beyaz</v>
          </cell>
          <cell r="L485">
            <v>1</v>
          </cell>
          <cell r="N485">
            <v>1</v>
          </cell>
          <cell r="R485">
            <v>36000</v>
          </cell>
          <cell r="S485">
            <v>37260</v>
          </cell>
          <cell r="T485">
            <v>38880</v>
          </cell>
        </row>
        <row r="486">
          <cell r="A486" t="str">
            <v>AS24IVW32N</v>
          </cell>
          <cell r="B486" t="str">
            <v>Siemens Ev Tipi Klima İç Ünite, 24.000BTU, Beyaz</v>
          </cell>
          <cell r="C486">
            <v>3</v>
          </cell>
          <cell r="N486">
            <v>3</v>
          </cell>
          <cell r="Q486">
            <v>30075.909952049711</v>
          </cell>
          <cell r="R486">
            <v>35000</v>
          </cell>
          <cell r="S486">
            <v>36225</v>
          </cell>
          <cell r="T486">
            <v>37800</v>
          </cell>
          <cell r="W486">
            <v>250</v>
          </cell>
        </row>
        <row r="487">
          <cell r="A487" t="str">
            <v>AS24OVW32N</v>
          </cell>
          <cell r="B487" t="str">
            <v>Siemens Ev Tipi Klima Dış Ünite, 24.000BTU, Beyaz</v>
          </cell>
          <cell r="C487">
            <v>3</v>
          </cell>
          <cell r="N487">
            <v>3</v>
          </cell>
          <cell r="Q487">
            <v>45113.864928074559</v>
          </cell>
          <cell r="R487">
            <v>50000</v>
          </cell>
          <cell r="S487">
            <v>51750</v>
          </cell>
          <cell r="T487">
            <v>54000</v>
          </cell>
        </row>
        <row r="488">
          <cell r="A488" t="str">
            <v>SA9001/WT</v>
          </cell>
          <cell r="B488" t="str">
            <v>SHAZA Akım Korumalı Akıllı Priz (Beyaz)</v>
          </cell>
          <cell r="I488">
            <v>2</v>
          </cell>
          <cell r="J488">
            <v>3</v>
          </cell>
          <cell r="N488">
            <v>5</v>
          </cell>
          <cell r="P488" t="str">
            <v>PRİM HARİÇ</v>
          </cell>
          <cell r="Q488">
            <v>520</v>
          </cell>
          <cell r="R488">
            <v>850</v>
          </cell>
          <cell r="S488">
            <v>879.75</v>
          </cell>
          <cell r="T488">
            <v>918</v>
          </cell>
          <cell r="W488">
            <v>100</v>
          </cell>
        </row>
        <row r="489">
          <cell r="A489" t="str">
            <v>SA9002/WT</v>
          </cell>
          <cell r="B489" t="str">
            <v>SHAZA Akım Korumalı Üçlü Priz (Beyaz)</v>
          </cell>
          <cell r="I489">
            <v>8</v>
          </cell>
          <cell r="J489">
            <v>14</v>
          </cell>
          <cell r="K489">
            <v>3</v>
          </cell>
          <cell r="M489">
            <v>19</v>
          </cell>
          <cell r="N489">
            <v>44</v>
          </cell>
          <cell r="P489" t="str">
            <v>PRİM HARİÇ</v>
          </cell>
          <cell r="Q489">
            <v>520</v>
          </cell>
          <cell r="R489">
            <v>850</v>
          </cell>
          <cell r="S489">
            <v>879.75</v>
          </cell>
          <cell r="T489">
            <v>918</v>
          </cell>
          <cell r="W489">
            <v>100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tr">
        <f>'[1]10 EYLÜL FİYAT'!A1</f>
        <v>STOK KODU</v>
      </c>
      <c r="B1" s="1" t="str">
        <f>'[1]10 EYLÜL FİYAT'!B1</f>
        <v>AÇIKLAMA</v>
      </c>
      <c r="C1" s="21" t="str">
        <f>'[1]10 EYLÜL FİYAT'!C1</f>
        <v>10 EYLÜL HOROZ</v>
      </c>
      <c r="D1" s="22" t="str">
        <f>'[1]10 EYLÜL FİYAT'!$S$1</f>
        <v>TEK ÇEKİM FİYATI</v>
      </c>
      <c r="E1" s="23" t="str">
        <f>'[1]10 EYLÜL FİYAT'!$T$1</f>
        <v>TAKSİTLİ FİYATI 3/6 TAKSİT</v>
      </c>
      <c r="F1" s="24" t="str">
        <f>'[1]10 EYLÜL FİYAT'!$U$1</f>
        <v>EYLÜL  BİP</v>
      </c>
      <c r="G1" s="41" t="str">
        <f>'[1]10 EYLÜL FİYAT'!$V$1</f>
        <v>30.09.2026 montaj zorunlu PHASE OUT</v>
      </c>
      <c r="H1" s="42" t="str">
        <f>'[1]10 EYLÜL FİYAT'!$W$1</f>
        <v>Hakedişler LİSTE FİYATINDAN SATILIRSA geçerli olacak</v>
      </c>
      <c r="I1" s="26" t="s">
        <v>461</v>
      </c>
      <c r="J1" s="25">
        <f>'[1]10 EYLÜL FİYAT'!$Y$1</f>
        <v>0</v>
      </c>
      <c r="K1" s="27" t="str">
        <f>'[1]10 EYLÜL FİYAT'!$X$1</f>
        <v>ONLINE FİYATI</v>
      </c>
      <c r="L1" s="34" t="s">
        <v>1556</v>
      </c>
    </row>
    <row r="2" spans="1:12">
      <c r="A2" s="17" t="s">
        <v>175</v>
      </c>
      <c r="B2" s="28" t="str">
        <f>IFERROR(VLOOKUP(A2,'[1]10 EYLÜL FİYAT'!A:B,2,FALSE),"?")</f>
        <v>iQ300 Ankastre Fırın, 1 Teleskopik Ray, Arkası Kendini Temizler, Siyah/Inox</v>
      </c>
      <c r="C2" s="29">
        <f>IFERROR(VLOOKUP(A2,'[1]10 EYLÜL FİYAT'!A:C,3,FALSE),"?")</f>
        <v>0</v>
      </c>
      <c r="D2" s="30" t="str">
        <f>IFERROR(VLOOKUP(A2,'[1]10 EYLÜL FİYAT'!$A:$S,17,FALSE),"?")</f>
        <v>devamı yok</v>
      </c>
      <c r="E2" s="30">
        <f>IFERROR(VLOOKUP(A2,'[1]10 EYLÜL FİYAT'!$A:$T,18,FALSE),"?")</f>
        <v>18607</v>
      </c>
      <c r="F2" s="30">
        <f>IFERROR(VLOOKUP(A2,'[1]10 EYLÜL FİYAT'!$A:$U,19,FALSE),"?")</f>
        <v>19351.28</v>
      </c>
      <c r="G2" s="30">
        <f>IFERROR(VLOOKUP(A2,'[1]10 EYLÜL FİYAT'!$A:$V,20,FALSE),"?")</f>
        <v>20095.560000000001</v>
      </c>
      <c r="H2" s="30">
        <f>IFERROR(VLOOKUP(A2,'[1]10 EYLÜL FİYAT'!$A:$W,21,FALSE),"?")</f>
        <v>0</v>
      </c>
      <c r="I2" s="89"/>
      <c r="J2" s="20">
        <f>IFERROR(VLOOKUP(A2,'[1]10 EYLÜL FİYAT'!$A:$Y,23,FALSE),"?")</f>
        <v>500</v>
      </c>
      <c r="K2" s="20">
        <f>IFERROR(VLOOKUP(A2,'[1]10 EYLÜL FİYAT'!$A:$X,22,FALSE),"?")</f>
        <v>1606.5839999999998</v>
      </c>
      <c r="L2" s="20">
        <f>IFERROR(VLOOKUP(A2,'[1]10 EYLÜL FİYAT'!$A:$Z,24,FALSE),"?")</f>
        <v>0</v>
      </c>
    </row>
    <row r="3" spans="1:12">
      <c r="A3" s="17"/>
      <c r="B3" s="28" t="str">
        <f>IFERROR(VLOOKUP(A3,'[1]10 EYLÜL FİYAT'!A:B,2,FALSE),"?")</f>
        <v>?</v>
      </c>
      <c r="C3" s="29" t="str">
        <f>IFERROR(VLOOKUP(A3,'[1]10 EYLÜL FİYAT'!A:C,3,FALSE),"?")</f>
        <v>?</v>
      </c>
      <c r="D3" s="30" t="str">
        <f>IFERROR(VLOOKUP(A3,'[1]10 EYLÜL FİYAT'!$A:$S,17,FALSE),"?")</f>
        <v>?</v>
      </c>
      <c r="E3" s="30" t="str">
        <f>IFERROR(VLOOKUP(A3,'[1]10 EYLÜL FİYAT'!$A:$T,18,FALSE),"?")</f>
        <v>?</v>
      </c>
      <c r="F3" s="30" t="str">
        <f>IFERROR(VLOOKUP(A3,'[1]10 EYLÜL FİYAT'!$A:$U,19,FALSE),"?")</f>
        <v>?</v>
      </c>
      <c r="G3" s="30" t="str">
        <f>IFERROR(VLOOKUP(A3,'[1]10 EYLÜL FİYAT'!$A:$V,20,FALSE),"?")</f>
        <v>?</v>
      </c>
      <c r="H3" s="30" t="str">
        <f>IFERROR(VLOOKUP(A3,'[1]10 EYLÜL FİYAT'!$A:$W,21,FALSE),"?")</f>
        <v>?</v>
      </c>
      <c r="I3" s="89"/>
      <c r="J3" s="20" t="str">
        <f>IFERROR(VLOOKUP(A3,'[1]10 EYLÜL FİYAT'!$A:$Y,23,FALSE),"?")</f>
        <v>?</v>
      </c>
      <c r="K3" s="20" t="str">
        <f>IFERROR(VLOOKUP(A3,'[1]10 EYLÜL FİYAT'!$A:$X,22,FALSE),"?")</f>
        <v>?</v>
      </c>
      <c r="L3" s="20" t="str">
        <f>IFERROR(VLOOKUP(A3,'[1]10 EYLÜL FİYAT'!$A:$Z,24,FALSE),"?")</f>
        <v>?</v>
      </c>
    </row>
    <row r="4" spans="1:12">
      <c r="A4" s="17"/>
      <c r="B4" s="28" t="str">
        <f>IFERROR(VLOOKUP(A4,'[1]10 EYLÜL FİYAT'!A:B,2,FALSE),"?")</f>
        <v>?</v>
      </c>
      <c r="C4" s="29" t="str">
        <f>IFERROR(VLOOKUP(A4,'[1]10 EYLÜL FİYAT'!A:C,3,FALSE),"?")</f>
        <v>?</v>
      </c>
      <c r="D4" s="30" t="str">
        <f>IFERROR(VLOOKUP(A4,'[1]10 EYLÜL FİYAT'!$A:$S,17,FALSE),"?")</f>
        <v>?</v>
      </c>
      <c r="E4" s="30" t="str">
        <f>IFERROR(VLOOKUP(A4,'[1]10 EYLÜL FİYAT'!$A:$T,18,FALSE),"?")</f>
        <v>?</v>
      </c>
      <c r="F4" s="30" t="str">
        <f>IFERROR(VLOOKUP(A4,'[1]10 EYLÜL FİYAT'!$A:$U,19,FALSE),"?")</f>
        <v>?</v>
      </c>
      <c r="G4" s="30" t="str">
        <f>IFERROR(VLOOKUP(A4,'[1]10 EYLÜL FİYAT'!$A:$V,20,FALSE),"?")</f>
        <v>?</v>
      </c>
      <c r="H4" s="30" t="str">
        <f>IFERROR(VLOOKUP(A4,'[1]10 EYLÜL FİYAT'!$A:$W,21,FALSE),"?")</f>
        <v>?</v>
      </c>
      <c r="I4"/>
      <c r="J4" s="20" t="str">
        <f>IFERROR(VLOOKUP(A4,'[1]10 EYLÜL FİYAT'!$A:$Y,23,FALSE),"?")</f>
        <v>?</v>
      </c>
      <c r="K4" s="20" t="str">
        <f>IFERROR(VLOOKUP(A4,'[1]10 EYLÜL FİYAT'!$A:$X,22,FALSE),"?")</f>
        <v>?</v>
      </c>
      <c r="L4" s="20" t="str">
        <f>IFERROR(VLOOKUP(A4,'[1]10 EYLÜL FİYAT'!$A:$Z,24,FALSE),"?")</f>
        <v>?</v>
      </c>
    </row>
    <row r="5" spans="1:12">
      <c r="A5" s="17"/>
      <c r="B5" s="28" t="str">
        <f>IFERROR(VLOOKUP(A5,'[1]10 EYLÜL FİYAT'!A:B,2,FALSE),"?")</f>
        <v>?</v>
      </c>
      <c r="C5" s="29" t="str">
        <f>IFERROR(VLOOKUP(A5,'[1]10 EYLÜL FİYAT'!A:C,3,FALSE),"?")</f>
        <v>?</v>
      </c>
      <c r="D5" s="30" t="str">
        <f>IFERROR(VLOOKUP(A5,'[1]10 EYLÜL FİYAT'!$A:$S,17,FALSE),"?")</f>
        <v>?</v>
      </c>
      <c r="E5" s="30" t="str">
        <f>IFERROR(VLOOKUP(A5,'[1]10 EYLÜL FİYAT'!$A:$T,18,FALSE),"?")</f>
        <v>?</v>
      </c>
      <c r="F5" s="30" t="str">
        <f>IFERROR(VLOOKUP(A5,'[1]10 EYLÜL FİYAT'!$A:$U,19,FALSE),"?")</f>
        <v>?</v>
      </c>
      <c r="G5" s="30" t="str">
        <f>IFERROR(VLOOKUP(A5,'[1]10 EYLÜL FİYAT'!$A:$V,20,FALSE),"?")</f>
        <v>?</v>
      </c>
      <c r="H5" s="30" t="str">
        <f>IFERROR(VLOOKUP(A5,'[1]10 EYLÜL FİYAT'!$A:$W,21,FALSE),"?")</f>
        <v>?</v>
      </c>
      <c r="I5"/>
      <c r="J5" s="20" t="str">
        <f>IFERROR(VLOOKUP(A5,'[1]10 EYLÜL FİYAT'!$A:$Y,23,FALSE),"?")</f>
        <v>?</v>
      </c>
      <c r="K5" s="20" t="str">
        <f>IFERROR(VLOOKUP(A5,'[1]10 EYLÜL FİYAT'!$A:$X,22,FALSE),"?")</f>
        <v>?</v>
      </c>
      <c r="L5" s="20" t="str">
        <f>IFERROR(VLOOKUP(A5,'[1]10 EYLÜL FİYAT'!$A:$Z,24,FALSE),"?")</f>
        <v>?</v>
      </c>
    </row>
    <row r="6" spans="1:12">
      <c r="A6" s="17"/>
      <c r="B6" s="28" t="str">
        <f>IFERROR(VLOOKUP(A6,'[1]10 EYLÜL FİYAT'!A:B,2,FALSE),"?")</f>
        <v>?</v>
      </c>
      <c r="C6" s="29" t="str">
        <f>IFERROR(VLOOKUP(A6,'[1]10 EYLÜL FİYAT'!A:C,3,FALSE),"?")</f>
        <v>?</v>
      </c>
      <c r="D6" s="30" t="str">
        <f>IFERROR(VLOOKUP(A6,'[1]10 EYLÜL FİYAT'!$A:$S,17,FALSE),"?")</f>
        <v>?</v>
      </c>
      <c r="E6" s="30" t="str">
        <f>IFERROR(VLOOKUP(A6,'[1]10 EYLÜL FİYAT'!$A:$T,18,FALSE),"?")</f>
        <v>?</v>
      </c>
      <c r="F6" s="30" t="str">
        <f>IFERROR(VLOOKUP(A6,'[1]10 EYLÜL FİYAT'!$A:$U,19,FALSE),"?")</f>
        <v>?</v>
      </c>
      <c r="G6" s="30" t="str">
        <f>IFERROR(VLOOKUP(A6,'[1]10 EYLÜL FİYAT'!$A:$V,20,FALSE),"?")</f>
        <v>?</v>
      </c>
      <c r="H6" s="30" t="str">
        <f>IFERROR(VLOOKUP(A6,'[1]10 EYLÜL FİYAT'!$A:$W,21,FALSE),"?")</f>
        <v>?</v>
      </c>
      <c r="I6"/>
      <c r="J6" s="20" t="str">
        <f>IFERROR(VLOOKUP(A6,'[1]10 EYLÜL FİYAT'!$A:$Y,23,FALSE),"?")</f>
        <v>?</v>
      </c>
      <c r="K6" s="20" t="str">
        <f>IFERROR(VLOOKUP(A6,'[1]10 EYLÜL FİYAT'!$A:$X,22,FALSE),"?")</f>
        <v>?</v>
      </c>
      <c r="L6" s="20" t="str">
        <f>IFERROR(VLOOKUP(A6,'[1]10 EYLÜL FİYAT'!$A:$Z,24,FALSE),"?")</f>
        <v>?</v>
      </c>
    </row>
    <row r="7" spans="1:12">
      <c r="A7" s="17"/>
      <c r="B7" s="28" t="str">
        <f>IFERROR(VLOOKUP(A7,'[1]10 EYLÜL FİYAT'!A:B,2,FALSE),"?")</f>
        <v>?</v>
      </c>
      <c r="C7" s="29" t="str">
        <f>IFERROR(VLOOKUP(A7,'[1]10 EYLÜL FİYAT'!A:C,3,FALSE),"?")</f>
        <v>?</v>
      </c>
      <c r="D7" s="30" t="str">
        <f>IFERROR(VLOOKUP(A7,'[1]10 EYLÜL FİYAT'!$A:$S,17,FALSE),"?")</f>
        <v>?</v>
      </c>
      <c r="E7" s="30" t="str">
        <f>IFERROR(VLOOKUP(A7,'[1]10 EYLÜL FİYAT'!$A:$T,18,FALSE),"?")</f>
        <v>?</v>
      </c>
      <c r="F7" s="30" t="str">
        <f>IFERROR(VLOOKUP(A7,'[1]10 EYLÜL FİYAT'!$A:$U,19,FALSE),"?")</f>
        <v>?</v>
      </c>
      <c r="G7" s="30" t="str">
        <f>IFERROR(VLOOKUP(A7,'[1]10 EYLÜL FİYAT'!$A:$V,20,FALSE),"?")</f>
        <v>?</v>
      </c>
      <c r="H7" s="30" t="str">
        <f>IFERROR(VLOOKUP(A7,'[1]10 EYLÜL FİYAT'!$A:$W,21,FALSE),"?")</f>
        <v>?</v>
      </c>
      <c r="I7"/>
      <c r="J7" s="20" t="str">
        <f>IFERROR(VLOOKUP(A7,'[1]10 EYLÜL FİYAT'!$A:$Y,23,FALSE),"?")</f>
        <v>?</v>
      </c>
      <c r="K7" s="20" t="str">
        <f>IFERROR(VLOOKUP(A7,'[1]10 EYLÜL FİYAT'!$A:$X,22,FALSE),"?")</f>
        <v>?</v>
      </c>
      <c r="L7" s="20" t="str">
        <f>IFERROR(VLOOKUP(A7,'[1]10 EYLÜL FİYAT'!$A:$Z,24,FALSE),"?")</f>
        <v>?</v>
      </c>
    </row>
    <row r="8" spans="1:12">
      <c r="A8" s="17"/>
      <c r="B8" s="28" t="str">
        <f>IFERROR(VLOOKUP(A8,'[1]10 EYLÜL FİYAT'!A:B,2,FALSE),"?")</f>
        <v>?</v>
      </c>
      <c r="C8" s="29" t="str">
        <f>IFERROR(VLOOKUP(A8,'[1]10 EYLÜL FİYAT'!A:C,3,FALSE),"?")</f>
        <v>?</v>
      </c>
      <c r="D8" s="30" t="str">
        <f>IFERROR(VLOOKUP(A8,'[1]10 EYLÜL FİYAT'!$A:$S,17,FALSE),"?")</f>
        <v>?</v>
      </c>
      <c r="E8" s="30" t="str">
        <f>IFERROR(VLOOKUP(A8,'[1]10 EYLÜL FİYAT'!$A:$T,18,FALSE),"?")</f>
        <v>?</v>
      </c>
      <c r="F8" s="30" t="str">
        <f>IFERROR(VLOOKUP(A8,'[1]10 EYLÜL FİYAT'!$A:$U,19,FALSE),"?")</f>
        <v>?</v>
      </c>
      <c r="G8" s="30" t="str">
        <f>IFERROR(VLOOKUP(A8,'[1]10 EYLÜL FİYAT'!$A:$V,20,FALSE),"?")</f>
        <v>?</v>
      </c>
      <c r="H8" s="30" t="str">
        <f>IFERROR(VLOOKUP(A8,'[1]10 EYLÜL FİYAT'!$A:$W,21,FALSE),"?")</f>
        <v>?</v>
      </c>
      <c r="I8"/>
      <c r="J8" s="20" t="str">
        <f>IFERROR(VLOOKUP(A8,'[1]10 EYLÜL FİYAT'!$A:$Y,23,FALSE),"?")</f>
        <v>?</v>
      </c>
      <c r="K8" s="20" t="str">
        <f>IFERROR(VLOOKUP(A8,'[1]10 EYLÜL FİYAT'!$A:$X,22,FALSE),"?")</f>
        <v>?</v>
      </c>
      <c r="L8" s="20" t="str">
        <f>IFERROR(VLOOKUP(A8,'[1]10 EYLÜL FİYAT'!$A:$Z,24,FALSE),"?")</f>
        <v>?</v>
      </c>
    </row>
    <row r="9" spans="1:12">
      <c r="A9" s="17"/>
      <c r="B9" s="28" t="str">
        <f>IFERROR(VLOOKUP(A9,'[1]10 EYLÜL FİYAT'!A:B,2,FALSE),"?")</f>
        <v>?</v>
      </c>
      <c r="C9" s="29" t="str">
        <f>IFERROR(VLOOKUP(A9,'[1]10 EYLÜL FİYAT'!A:C,3,FALSE),"?")</f>
        <v>?</v>
      </c>
      <c r="D9" s="30" t="str">
        <f>IFERROR(VLOOKUP(A9,'[1]10 EYLÜL FİYAT'!$A:$S,17,FALSE),"?")</f>
        <v>?</v>
      </c>
      <c r="E9" s="30" t="str">
        <f>IFERROR(VLOOKUP(A9,'[1]10 EYLÜL FİYAT'!$A:$T,18,FALSE),"?")</f>
        <v>?</v>
      </c>
      <c r="F9" s="30" t="str">
        <f>IFERROR(VLOOKUP(A9,'[1]10 EYLÜL FİYAT'!$A:$U,19,FALSE),"?")</f>
        <v>?</v>
      </c>
      <c r="G9" s="30" t="str">
        <f>IFERROR(VLOOKUP(A9,'[1]10 EYLÜL FİYAT'!$A:$V,20,FALSE),"?")</f>
        <v>?</v>
      </c>
      <c r="H9" s="30" t="str">
        <f>IFERROR(VLOOKUP(A9,'[1]10 EYLÜL FİYAT'!$A:$W,21,FALSE),"?")</f>
        <v>?</v>
      </c>
      <c r="I9"/>
      <c r="J9" s="20" t="str">
        <f>IFERROR(VLOOKUP(A9,'[1]10 EYLÜL FİYAT'!$A:$Y,23,FALSE),"?")</f>
        <v>?</v>
      </c>
      <c r="K9" s="20" t="str">
        <f>IFERROR(VLOOKUP(A9,'[1]10 EYLÜL FİYAT'!$A:$X,22,FALSE),"?")</f>
        <v>?</v>
      </c>
      <c r="L9" s="20" t="str">
        <f>IFERROR(VLOOKUP(A9,'[1]10 EYLÜL FİYAT'!$A:$Z,24,FALSE),"?")</f>
        <v>?</v>
      </c>
    </row>
    <row r="10" spans="1:12">
      <c r="A10" s="17"/>
      <c r="B10" s="28" t="str">
        <f>IFERROR(VLOOKUP(A10,'[1]10 EYLÜL FİYAT'!A:B,2,FALSE),"?")</f>
        <v>?</v>
      </c>
      <c r="C10" s="29" t="str">
        <f>IFERROR(VLOOKUP(A10,'[1]10 EYLÜL FİYAT'!A:C,3,FALSE),"?")</f>
        <v>?</v>
      </c>
      <c r="D10" s="30" t="str">
        <f>IFERROR(VLOOKUP(A10,'[1]10 EYLÜL FİYAT'!$A:$S,17,FALSE),"?")</f>
        <v>?</v>
      </c>
      <c r="E10" s="30" t="str">
        <f>IFERROR(VLOOKUP(A10,'[1]10 EYLÜL FİYAT'!$A:$T,18,FALSE),"?")</f>
        <v>?</v>
      </c>
      <c r="F10" s="30" t="str">
        <f>IFERROR(VLOOKUP(A10,'[1]10 EYLÜL FİYAT'!$A:$U,19,FALSE),"?")</f>
        <v>?</v>
      </c>
      <c r="G10" s="30" t="str">
        <f>IFERROR(VLOOKUP(A10,'[1]10 EYLÜL FİYAT'!$A:$V,20,FALSE),"?")</f>
        <v>?</v>
      </c>
      <c r="H10" s="30" t="str">
        <f>IFERROR(VLOOKUP(A10,'[1]10 EYLÜL FİYAT'!$A:$W,21,FALSE),"?")</f>
        <v>?</v>
      </c>
      <c r="I10"/>
      <c r="J10" s="20" t="str">
        <f>IFERROR(VLOOKUP(A10,'[1]10 EYLÜL FİYAT'!$A:$Y,23,FALSE),"?")</f>
        <v>?</v>
      </c>
      <c r="K10" s="20" t="str">
        <f>IFERROR(VLOOKUP(A10,'[1]10 EYLÜL FİYAT'!$A:$X,22,FALSE),"?")</f>
        <v>?</v>
      </c>
      <c r="L10" s="20" t="str">
        <f>IFERROR(VLOOKUP(A10,'[1]10 EYLÜL FİYAT'!$A:$Z,24,FALSE),"?")</f>
        <v>?</v>
      </c>
    </row>
    <row r="11" spans="1:12">
      <c r="A11" s="17"/>
      <c r="B11" s="28" t="str">
        <f>IFERROR(VLOOKUP(A11,'[1]10 EYLÜL FİYAT'!A:B,2,FALSE),"?")</f>
        <v>?</v>
      </c>
      <c r="C11" s="29" t="str">
        <f>IFERROR(VLOOKUP(A11,'[1]10 EYLÜL FİYAT'!A:C,3,FALSE),"?")</f>
        <v>?</v>
      </c>
      <c r="D11" s="30" t="str">
        <f>IFERROR(VLOOKUP(A11,'[1]10 EYLÜL FİYAT'!$A:$S,17,FALSE),"?")</f>
        <v>?</v>
      </c>
      <c r="E11" s="30" t="str">
        <f>IFERROR(VLOOKUP(A11,'[1]10 EYLÜL FİYAT'!$A:$T,18,FALSE),"?")</f>
        <v>?</v>
      </c>
      <c r="F11" s="30" t="str">
        <f>IFERROR(VLOOKUP(A11,'[1]10 EYLÜL FİYAT'!$A:$U,19,FALSE),"?")</f>
        <v>?</v>
      </c>
      <c r="G11" s="30" t="str">
        <f>IFERROR(VLOOKUP(A11,'[1]10 EYLÜL FİYAT'!$A:$V,20,FALSE),"?")</f>
        <v>?</v>
      </c>
      <c r="H11" s="30" t="str">
        <f>IFERROR(VLOOKUP(A11,'[1]10 EYLÜL FİYAT'!$A:$W,21,FALSE),"?")</f>
        <v>?</v>
      </c>
      <c r="I11"/>
      <c r="J11" s="20" t="str">
        <f>IFERROR(VLOOKUP(A11,'[1]10 EYLÜL FİYAT'!$A:$Y,23,FALSE),"?")</f>
        <v>?</v>
      </c>
      <c r="K11" s="20" t="str">
        <f>IFERROR(VLOOKUP(A11,'[1]10 EYLÜL FİYAT'!$A:$X,22,FALSE),"?")</f>
        <v>?</v>
      </c>
      <c r="L11" s="20" t="str">
        <f>IFERROR(VLOOKUP(A11,'[1]10 EYLÜL FİYAT'!$A:$Z,24,FALSE),"?")</f>
        <v>?</v>
      </c>
    </row>
    <row r="12" spans="1:12">
      <c r="A12" s="90" t="s">
        <v>457</v>
      </c>
      <c r="B12" s="90"/>
      <c r="C12" s="90"/>
      <c r="D12" s="90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90" t="s">
        <v>458</v>
      </c>
      <c r="B13" s="90"/>
      <c r="C13" s="90"/>
      <c r="D13" s="90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90" t="s">
        <v>1306</v>
      </c>
      <c r="B14" s="90"/>
      <c r="C14" s="90"/>
      <c r="D14" s="90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90" t="s">
        <v>460</v>
      </c>
      <c r="B15" s="90"/>
      <c r="C15" s="90"/>
      <c r="D15" s="90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88" t="s">
        <v>459</v>
      </c>
      <c r="B16" s="88"/>
      <c r="C16" s="88"/>
      <c r="D16" s="88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86" t="s">
        <v>1337</v>
      </c>
      <c r="B17" s="86"/>
      <c r="C17" s="86"/>
      <c r="D17" s="86"/>
      <c r="E17" s="87">
        <f>E16*1.08</f>
        <v>-1607.6448000000016</v>
      </c>
      <c r="F17" s="87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89"/>
  <sheetViews>
    <sheetView tabSelected="1" zoomScale="90" zoomScaleNormal="90" workbookViewId="0">
      <pane ySplit="1" topLeftCell="A461" activePane="bottomLeft" state="frozen"/>
      <selection pane="bottomLeft" activeCell="A491" sqref="A491"/>
    </sheetView>
  </sheetViews>
  <sheetFormatPr defaultColWidth="17.85546875" defaultRowHeight="17.25"/>
  <cols>
    <col min="1" max="1" width="17.85546875" style="123"/>
    <col min="2" max="2" width="54.85546875" style="40" customWidth="1"/>
    <col min="3" max="3" width="7.5703125" style="13" customWidth="1"/>
    <col min="4" max="4" width="7" style="14" customWidth="1"/>
    <col min="5" max="5" width="6.42578125" style="15" bestFit="1" customWidth="1"/>
    <col min="6" max="6" width="4.28515625" style="15" bestFit="1" customWidth="1"/>
    <col min="7" max="7" width="5.42578125" style="15" bestFit="1" customWidth="1"/>
    <col min="8" max="8" width="6" style="15" customWidth="1"/>
    <col min="9" max="9" width="6.7109375" style="61" customWidth="1"/>
    <col min="10" max="10" width="4.7109375" style="61" bestFit="1" customWidth="1"/>
    <col min="11" max="11" width="5.8554687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11.5703125" style="67" bestFit="1" customWidth="1"/>
    <col min="17" max="17" width="10.28515625" style="181" customWidth="1"/>
    <col min="18" max="18" width="12" style="185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180"/>
    <col min="25" max="25" width="17.85546875" style="61"/>
  </cols>
  <sheetData>
    <row r="1" spans="1:26" s="4" customFormat="1" ht="61.5" customHeight="1">
      <c r="A1" s="125" t="s">
        <v>0</v>
      </c>
      <c r="B1" s="43" t="s">
        <v>1</v>
      </c>
      <c r="C1" s="2" t="s">
        <v>1841</v>
      </c>
      <c r="D1" s="76" t="s">
        <v>1842</v>
      </c>
      <c r="E1" s="77" t="s">
        <v>1843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1838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1827</v>
      </c>
      <c r="P1" s="81" t="s">
        <v>1543</v>
      </c>
      <c r="Q1" s="169" t="s">
        <v>1828</v>
      </c>
      <c r="R1" s="170" t="s">
        <v>6</v>
      </c>
      <c r="S1" s="170" t="s">
        <v>7</v>
      </c>
      <c r="T1" s="170" t="s">
        <v>1661</v>
      </c>
      <c r="U1" s="171" t="s">
        <v>1829</v>
      </c>
      <c r="V1" s="172" t="s">
        <v>1844</v>
      </c>
      <c r="W1" s="173" t="s">
        <v>464</v>
      </c>
      <c r="X1" s="174" t="s">
        <v>1781</v>
      </c>
      <c r="Y1" s="122"/>
    </row>
    <row r="2" spans="1:26">
      <c r="A2" s="124" t="s">
        <v>8</v>
      </c>
      <c r="B2" s="56" t="s">
        <v>474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175" t="s">
        <v>1782</v>
      </c>
      <c r="R2" s="176">
        <v>80000</v>
      </c>
      <c r="S2" s="177">
        <v>83200</v>
      </c>
      <c r="T2" s="177">
        <v>86400</v>
      </c>
      <c r="U2" s="178"/>
      <c r="V2" s="176"/>
      <c r="W2" s="179">
        <v>1000</v>
      </c>
    </row>
    <row r="3" spans="1:26">
      <c r="A3" s="126" t="s">
        <v>9</v>
      </c>
      <c r="B3" s="56" t="s">
        <v>475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</v>
      </c>
      <c r="P3" s="48"/>
      <c r="Q3" s="181">
        <v>215784.16717519649</v>
      </c>
      <c r="R3" s="174">
        <v>204994.95881643667</v>
      </c>
      <c r="S3" s="177">
        <v>213194.75716909414</v>
      </c>
      <c r="T3" s="177">
        <v>221394.55552175161</v>
      </c>
      <c r="U3" s="178">
        <v>6594.3523603817166</v>
      </c>
      <c r="V3" s="176"/>
      <c r="W3" s="182"/>
    </row>
    <row r="4" spans="1:26">
      <c r="A4" s="126" t="s">
        <v>10</v>
      </c>
      <c r="B4" s="56" t="s">
        <v>476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181">
        <v>134806.50673133694</v>
      </c>
      <c r="R4" s="174">
        <v>128066.18139477009</v>
      </c>
      <c r="S4" s="177">
        <v>133188.8286505609</v>
      </c>
      <c r="T4" s="177">
        <v>138311.4759063517</v>
      </c>
      <c r="U4" s="178">
        <v>41230.11784244806</v>
      </c>
      <c r="V4" s="176"/>
      <c r="W4" s="182"/>
    </row>
    <row r="5" spans="1:26">
      <c r="A5" s="124" t="s">
        <v>11</v>
      </c>
      <c r="B5" s="56" t="s">
        <v>477</v>
      </c>
      <c r="C5" s="5">
        <v>20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23</v>
      </c>
      <c r="O5" s="60">
        <v>1</v>
      </c>
      <c r="P5" s="48"/>
      <c r="Q5" s="181">
        <v>118087.26901460295</v>
      </c>
      <c r="R5" s="183">
        <v>109821.16018358074</v>
      </c>
      <c r="S5" s="177">
        <v>114214.00659092396</v>
      </c>
      <c r="T5" s="177">
        <v>118606.85299826719</v>
      </c>
      <c r="U5" s="178">
        <v>26517.501572742476</v>
      </c>
      <c r="W5" s="179">
        <v>250</v>
      </c>
      <c r="X5" s="176">
        <f>R5-U5</f>
        <v>83303.658610838262</v>
      </c>
    </row>
    <row r="6" spans="1:26">
      <c r="A6" s="124" t="s">
        <v>12</v>
      </c>
      <c r="B6" s="56" t="s">
        <v>478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181">
        <v>33700.891654252438</v>
      </c>
      <c r="R6" s="176">
        <v>34037.900570794962</v>
      </c>
      <c r="S6" s="177">
        <v>35399.41659362676</v>
      </c>
      <c r="T6" s="177">
        <v>36760.932616458558</v>
      </c>
      <c r="U6" s="178"/>
      <c r="V6" s="176"/>
      <c r="W6" s="182"/>
    </row>
    <row r="7" spans="1:26">
      <c r="A7" s="124" t="s">
        <v>13</v>
      </c>
      <c r="B7" s="56" t="s">
        <v>479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181">
        <v>36619.942316379165</v>
      </c>
      <c r="R7" s="176">
        <v>36986.14173954296</v>
      </c>
      <c r="S7" s="177">
        <v>38465.587409124681</v>
      </c>
      <c r="T7" s="177">
        <v>39945.033078706394</v>
      </c>
      <c r="U7" s="178">
        <v>968.7795256814934</v>
      </c>
      <c r="V7" s="176"/>
      <c r="W7" s="182"/>
    </row>
    <row r="8" spans="1:26">
      <c r="A8" s="124" t="s">
        <v>1330</v>
      </c>
      <c r="B8" s="56" t="s">
        <v>1334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6</v>
      </c>
      <c r="O8" s="60"/>
      <c r="P8" s="48" t="s">
        <v>1544</v>
      </c>
      <c r="Q8" s="181">
        <v>43007.560271025679</v>
      </c>
      <c r="R8" s="184">
        <v>43670</v>
      </c>
      <c r="S8" s="177">
        <v>45416.800000000003</v>
      </c>
      <c r="T8" s="177">
        <v>47163.6</v>
      </c>
      <c r="U8" s="178">
        <v>4670.3509687000987</v>
      </c>
      <c r="V8" s="176"/>
      <c r="W8" s="182"/>
    </row>
    <row r="9" spans="1:26">
      <c r="A9" s="124" t="s">
        <v>14</v>
      </c>
      <c r="B9" s="56" t="s">
        <v>479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175" t="s">
        <v>1782</v>
      </c>
      <c r="R9" s="185">
        <v>40000</v>
      </c>
      <c r="S9" s="177">
        <v>41600</v>
      </c>
      <c r="T9" s="177">
        <v>43200</v>
      </c>
      <c r="U9" s="178"/>
      <c r="V9" s="176"/>
      <c r="W9" s="179">
        <v>500</v>
      </c>
      <c r="Y9" s="8"/>
      <c r="Z9" s="8"/>
    </row>
    <row r="10" spans="1:26">
      <c r="A10" s="127" t="s">
        <v>16</v>
      </c>
      <c r="B10" s="56" t="s">
        <v>480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181">
        <v>84535.624718473977</v>
      </c>
      <c r="R10" s="183">
        <v>78618.130988180797</v>
      </c>
      <c r="S10" s="177">
        <v>81762.856227708035</v>
      </c>
      <c r="T10" s="177">
        <v>84907.581467235257</v>
      </c>
      <c r="U10" s="178">
        <v>15186.787509171641</v>
      </c>
      <c r="V10" s="176"/>
      <c r="W10" s="182"/>
    </row>
    <row r="11" spans="1:26">
      <c r="A11" s="127" t="s">
        <v>1546</v>
      </c>
      <c r="B11" s="56" t="s">
        <v>1395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/>
      <c r="P11" s="48"/>
      <c r="Q11" s="181">
        <v>62949.551468023252</v>
      </c>
      <c r="R11" s="174">
        <v>59802.073894622088</v>
      </c>
      <c r="S11" s="177">
        <v>62194.156850406973</v>
      </c>
      <c r="T11" s="177">
        <v>64586.239806191857</v>
      </c>
      <c r="U11" s="178">
        <v>3123.9700726744122</v>
      </c>
      <c r="V11" s="176"/>
      <c r="W11" s="182"/>
    </row>
    <row r="12" spans="1:26">
      <c r="A12" s="128" t="s">
        <v>18</v>
      </c>
      <c r="B12" s="56" t="s">
        <v>481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181">
        <v>70136.480962004265</v>
      </c>
      <c r="R12" s="183">
        <v>65226.927294663968</v>
      </c>
      <c r="S12" s="177">
        <v>67836.004386450528</v>
      </c>
      <c r="T12" s="177">
        <v>70445.081478237087</v>
      </c>
      <c r="U12" s="178">
        <v>7950.4344503763496</v>
      </c>
      <c r="V12" s="176"/>
      <c r="W12" s="186"/>
    </row>
    <row r="13" spans="1:26">
      <c r="A13" s="128" t="s">
        <v>19</v>
      </c>
      <c r="B13" s="56" t="s">
        <v>482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6</v>
      </c>
      <c r="P13" s="48"/>
      <c r="Q13" s="181">
        <v>64328.533377100357</v>
      </c>
      <c r="R13" s="187">
        <v>64328.533377100357</v>
      </c>
      <c r="S13" s="177">
        <v>66901.674712184365</v>
      </c>
      <c r="T13" s="177">
        <v>69474.816047268381</v>
      </c>
      <c r="U13" s="178">
        <v>13537.835702681754</v>
      </c>
      <c r="V13" s="176"/>
      <c r="W13" s="186"/>
    </row>
    <row r="14" spans="1:26">
      <c r="A14" s="128" t="s">
        <v>1321</v>
      </c>
      <c r="B14" s="56" t="s">
        <v>1326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175" t="s">
        <v>1782</v>
      </c>
      <c r="R14" s="187">
        <v>55000</v>
      </c>
      <c r="S14" s="177">
        <v>57200</v>
      </c>
      <c r="T14" s="177">
        <v>59400</v>
      </c>
      <c r="U14" s="178"/>
      <c r="V14" s="176"/>
      <c r="W14" s="179">
        <v>500</v>
      </c>
    </row>
    <row r="15" spans="1:26">
      <c r="A15" s="128" t="s">
        <v>1792</v>
      </c>
      <c r="B15" s="56" t="s">
        <v>1326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181">
        <v>56792.905181497161</v>
      </c>
      <c r="R15" s="187">
        <v>56793</v>
      </c>
      <c r="S15" s="177">
        <v>59064.72</v>
      </c>
      <c r="T15" s="177">
        <v>61336.44</v>
      </c>
      <c r="U15" s="178">
        <v>8118.4865768459931</v>
      </c>
      <c r="V15" s="176"/>
      <c r="W15" s="179"/>
    </row>
    <row r="16" spans="1:26">
      <c r="A16" s="124" t="s">
        <v>20</v>
      </c>
      <c r="B16" s="56" t="s">
        <v>483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181">
        <v>98053.757359079536</v>
      </c>
      <c r="R16" s="174">
        <v>93151.069491125556</v>
      </c>
      <c r="S16" s="177">
        <v>96877.11227077058</v>
      </c>
      <c r="T16" s="177">
        <v>100603.1550504156</v>
      </c>
      <c r="U16" s="178">
        <v>23170.03642884699</v>
      </c>
      <c r="V16" s="176"/>
      <c r="W16" s="182"/>
    </row>
    <row r="17" spans="1:26">
      <c r="A17" s="124" t="s">
        <v>23</v>
      </c>
      <c r="B17" s="56" t="s">
        <v>484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0</v>
      </c>
      <c r="O17" s="60">
        <v>1</v>
      </c>
      <c r="P17" s="48"/>
      <c r="Q17" s="181">
        <v>85320.530544562032</v>
      </c>
      <c r="R17" s="187">
        <v>85320.530544562032</v>
      </c>
      <c r="S17" s="177">
        <v>88733.351766344509</v>
      </c>
      <c r="T17" s="177">
        <v>92146.172988127</v>
      </c>
      <c r="U17" s="178">
        <v>15971.693335259697</v>
      </c>
      <c r="V17" s="176"/>
      <c r="W17" s="182"/>
    </row>
    <row r="18" spans="1:26" s="8" customFormat="1">
      <c r="A18" s="124" t="s">
        <v>24</v>
      </c>
      <c r="B18" s="56" t="s">
        <v>483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175" t="s">
        <v>1782</v>
      </c>
      <c r="R18" s="185">
        <v>55000</v>
      </c>
      <c r="S18" s="177">
        <v>57200</v>
      </c>
      <c r="T18" s="177">
        <v>59400</v>
      </c>
      <c r="U18" s="178"/>
      <c r="V18" s="176"/>
      <c r="W18" s="179">
        <v>500</v>
      </c>
      <c r="X18" s="180"/>
      <c r="Y18" s="61"/>
      <c r="Z18"/>
    </row>
    <row r="19" spans="1:26">
      <c r="A19" s="128" t="s">
        <v>25</v>
      </c>
      <c r="B19" s="56" t="s">
        <v>485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59">
        <f t="shared" si="0"/>
        <v>1</v>
      </c>
      <c r="O19" s="60"/>
      <c r="P19" s="48"/>
      <c r="Q19" s="175" t="s">
        <v>1782</v>
      </c>
      <c r="R19" s="185">
        <v>40000</v>
      </c>
      <c r="S19" s="177">
        <v>41600</v>
      </c>
      <c r="T19" s="177">
        <v>43200</v>
      </c>
      <c r="U19" s="178"/>
      <c r="V19" s="176"/>
      <c r="W19" s="179">
        <v>500</v>
      </c>
    </row>
    <row r="20" spans="1:26">
      <c r="A20" s="124" t="s">
        <v>26</v>
      </c>
      <c r="B20" s="56" t="s">
        <v>486</v>
      </c>
      <c r="C20" s="5">
        <v>74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82</v>
      </c>
      <c r="O20" s="60"/>
      <c r="P20" s="48"/>
      <c r="Q20" s="181">
        <v>65373.710842426284</v>
      </c>
      <c r="R20" s="174">
        <v>62105.025300304973</v>
      </c>
      <c r="S20" s="177">
        <v>64589.226312317172</v>
      </c>
      <c r="T20" s="177">
        <v>67073.427324329372</v>
      </c>
      <c r="U20" s="178">
        <v>14664.408516844887</v>
      </c>
      <c r="V20" s="176"/>
      <c r="W20" s="182"/>
    </row>
    <row r="21" spans="1:26">
      <c r="A21" s="124" t="s">
        <v>27</v>
      </c>
      <c r="B21" s="56" t="s">
        <v>487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86</v>
      </c>
      <c r="O21" s="60"/>
      <c r="P21" s="48"/>
      <c r="Q21" s="181">
        <v>60461.404943148395</v>
      </c>
      <c r="R21" s="183">
        <v>54415.264448833557</v>
      </c>
      <c r="S21" s="188">
        <v>56591.875026786896</v>
      </c>
      <c r="T21" s="188">
        <v>58768.485604740243</v>
      </c>
      <c r="U21" s="178">
        <v>11705.590989660021</v>
      </c>
      <c r="V21" s="176"/>
      <c r="W21" s="182"/>
    </row>
    <row r="22" spans="1:26">
      <c r="A22" s="124" t="s">
        <v>28</v>
      </c>
      <c r="B22" s="56" t="s">
        <v>486</v>
      </c>
      <c r="C22" s="5">
        <v>1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3</v>
      </c>
      <c r="O22" s="60"/>
      <c r="P22" s="48"/>
      <c r="Q22" s="175" t="s">
        <v>1782</v>
      </c>
      <c r="R22" s="183">
        <v>50000</v>
      </c>
      <c r="S22" s="177">
        <v>52000</v>
      </c>
      <c r="T22" s="177">
        <v>54000</v>
      </c>
      <c r="U22" s="178">
        <v>8118.2662856856987</v>
      </c>
      <c r="V22" s="176"/>
      <c r="W22" s="182"/>
    </row>
    <row r="23" spans="1:26">
      <c r="A23" s="124" t="s">
        <v>29</v>
      </c>
      <c r="B23" s="56" t="s">
        <v>487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175" t="s">
        <v>1782</v>
      </c>
      <c r="R23" s="189">
        <v>44500</v>
      </c>
      <c r="S23" s="177">
        <v>46280</v>
      </c>
      <c r="T23" s="177">
        <v>48060</v>
      </c>
      <c r="U23" s="178">
        <v>4531.8971617670613</v>
      </c>
      <c r="V23" s="176"/>
      <c r="W23" s="179">
        <v>500</v>
      </c>
    </row>
    <row r="24" spans="1:26" s="62" customFormat="1">
      <c r="A24" s="127" t="s">
        <v>1793</v>
      </c>
      <c r="B24" s="56" t="s">
        <v>1652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5</v>
      </c>
      <c r="O24" s="60"/>
      <c r="P24" s="48"/>
      <c r="Q24" s="181">
        <v>60254.001126083655</v>
      </c>
      <c r="R24" s="187">
        <v>60254.001126083655</v>
      </c>
      <c r="S24" s="176">
        <v>62664.161171127002</v>
      </c>
      <c r="T24" s="176">
        <v>65074.321216170349</v>
      </c>
      <c r="U24" s="178">
        <v>5800.5127539906316</v>
      </c>
      <c r="V24" s="176"/>
      <c r="W24" s="182"/>
      <c r="X24" s="190"/>
      <c r="Y24" s="8"/>
    </row>
    <row r="25" spans="1:26" s="62" customFormat="1">
      <c r="A25" s="127" t="s">
        <v>1794</v>
      </c>
      <c r="B25" s="56" t="s">
        <v>1649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181">
        <v>55360.410160065025</v>
      </c>
      <c r="R25" s="187">
        <v>55360.410160065025</v>
      </c>
      <c r="S25" s="176">
        <v>57574.826566467629</v>
      </c>
      <c r="T25" s="176">
        <v>59789.242972870226</v>
      </c>
      <c r="U25" s="178">
        <v>2941.8055089022309</v>
      </c>
      <c r="V25" s="176"/>
      <c r="W25" s="182"/>
      <c r="X25" s="190"/>
      <c r="Y25" s="8"/>
    </row>
    <row r="26" spans="1:26" s="62" customFormat="1">
      <c r="A26" s="129" t="s">
        <v>1795</v>
      </c>
      <c r="B26" s="56" t="s">
        <v>1802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181">
        <v>63899.365449394172</v>
      </c>
      <c r="R26" s="187">
        <v>63899.365449394172</v>
      </c>
      <c r="S26" s="176">
        <v>66455.340067369936</v>
      </c>
      <c r="T26" s="176">
        <v>69011.3146853457</v>
      </c>
      <c r="U26" s="178">
        <v>6597.039867998822</v>
      </c>
      <c r="V26" s="176"/>
      <c r="W26" s="182"/>
      <c r="X26" s="190"/>
      <c r="Y26" s="8"/>
    </row>
    <row r="27" spans="1:26" s="62" customFormat="1">
      <c r="A27" s="129" t="s">
        <v>30</v>
      </c>
      <c r="B27" s="56" t="s">
        <v>488</v>
      </c>
      <c r="C27" s="5">
        <v>8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15</v>
      </c>
      <c r="O27" s="60"/>
      <c r="P27" s="48"/>
      <c r="Q27" s="181">
        <v>62632.698891451786</v>
      </c>
      <c r="R27" s="174">
        <v>59501.0639468792</v>
      </c>
      <c r="S27" s="176">
        <v>61881.106504754367</v>
      </c>
      <c r="T27" s="176">
        <v>64261.149062629534</v>
      </c>
      <c r="U27" s="178"/>
      <c r="V27" s="176"/>
      <c r="W27" s="182"/>
      <c r="X27" s="190"/>
      <c r="Y27" s="8"/>
    </row>
    <row r="28" spans="1:26" s="62" customFormat="1">
      <c r="A28" s="127" t="s">
        <v>1645</v>
      </c>
      <c r="B28" s="56" t="s">
        <v>1646</v>
      </c>
      <c r="C28" s="5">
        <v>47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47</v>
      </c>
      <c r="O28" s="60"/>
      <c r="P28" s="48"/>
      <c r="Q28" s="181">
        <v>44190.12324999999</v>
      </c>
      <c r="R28" s="174">
        <v>41980.617087499988</v>
      </c>
      <c r="S28" s="176">
        <v>43659.841770999985</v>
      </c>
      <c r="T28" s="176">
        <v>45339.066454499989</v>
      </c>
      <c r="U28" s="178"/>
      <c r="V28" s="176"/>
      <c r="W28" s="182"/>
      <c r="X28" s="190"/>
      <c r="Y28" s="8"/>
    </row>
    <row r="29" spans="1:26" s="62" customFormat="1">
      <c r="A29" s="127" t="s">
        <v>31</v>
      </c>
      <c r="B29" s="56" t="s">
        <v>489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175" t="s">
        <v>1782</v>
      </c>
      <c r="R29" s="176">
        <v>48000</v>
      </c>
      <c r="S29" s="176">
        <v>49920</v>
      </c>
      <c r="T29" s="176">
        <v>51840</v>
      </c>
      <c r="U29" s="178"/>
      <c r="V29" s="176"/>
      <c r="W29" s="179">
        <v>500</v>
      </c>
      <c r="X29" s="190"/>
      <c r="Y29" s="8"/>
    </row>
    <row r="30" spans="1:26" s="62" customFormat="1">
      <c r="A30" s="127" t="s">
        <v>32</v>
      </c>
      <c r="B30" s="56" t="s">
        <v>490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175" t="s">
        <v>1782</v>
      </c>
      <c r="R30" s="176">
        <v>48000</v>
      </c>
      <c r="S30" s="176">
        <v>49920</v>
      </c>
      <c r="T30" s="176">
        <v>51840</v>
      </c>
      <c r="U30" s="178"/>
      <c r="V30" s="176"/>
      <c r="W30" s="179">
        <v>500</v>
      </c>
      <c r="X30" s="190"/>
      <c r="Y30" s="8"/>
    </row>
    <row r="31" spans="1:26" s="62" customFormat="1">
      <c r="A31" s="127" t="s">
        <v>33</v>
      </c>
      <c r="B31" s="56" t="s">
        <v>489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175" t="s">
        <v>1782</v>
      </c>
      <c r="R31" s="176">
        <v>48000</v>
      </c>
      <c r="S31" s="176">
        <v>49920</v>
      </c>
      <c r="T31" s="176">
        <v>51840</v>
      </c>
      <c r="U31" s="178"/>
      <c r="V31" s="176"/>
      <c r="W31" s="179">
        <v>500</v>
      </c>
      <c r="X31" s="190"/>
      <c r="Y31" s="8"/>
    </row>
    <row r="32" spans="1:26" s="62" customFormat="1">
      <c r="A32" s="127" t="s">
        <v>1651</v>
      </c>
      <c r="B32" s="56" t="s">
        <v>1652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32</v>
      </c>
      <c r="O32" s="60">
        <v>20</v>
      </c>
      <c r="P32" s="48"/>
      <c r="Q32" s="181">
        <v>50627.906976744176</v>
      </c>
      <c r="R32" s="174">
        <v>48096.51162790697</v>
      </c>
      <c r="S32" s="176">
        <v>50020.372093023252</v>
      </c>
      <c r="T32" s="176">
        <v>51944.232558139527</v>
      </c>
      <c r="U32" s="178"/>
      <c r="V32" s="176"/>
      <c r="W32" s="182"/>
      <c r="X32" s="190"/>
      <c r="Y32" s="8"/>
    </row>
    <row r="33" spans="1:25" s="62" customFormat="1">
      <c r="A33" s="127" t="s">
        <v>1648</v>
      </c>
      <c r="B33" s="56" t="s">
        <v>1649</v>
      </c>
      <c r="C33" s="5">
        <v>33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33</v>
      </c>
      <c r="O33" s="60">
        <v>21</v>
      </c>
      <c r="P33" s="48"/>
      <c r="Q33" s="181">
        <v>48309.397283562372</v>
      </c>
      <c r="R33" s="174">
        <v>45893.92741938425</v>
      </c>
      <c r="S33" s="176">
        <v>47729.684516159621</v>
      </c>
      <c r="T33" s="176">
        <v>49565.441612934992</v>
      </c>
      <c r="U33" s="178"/>
      <c r="V33" s="176"/>
      <c r="W33" s="182"/>
      <c r="X33" s="190"/>
      <c r="Y33" s="8"/>
    </row>
    <row r="34" spans="1:25">
      <c r="A34" s="124" t="s">
        <v>35</v>
      </c>
      <c r="B34" s="56" t="s">
        <v>491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14</v>
      </c>
      <c r="O34" s="60"/>
      <c r="P34" s="48"/>
      <c r="Q34" s="181">
        <v>84646.164438751875</v>
      </c>
      <c r="R34" s="183">
        <v>76181.547994876688</v>
      </c>
      <c r="S34" s="188">
        <v>79228.809914671758</v>
      </c>
      <c r="T34" s="188">
        <v>82276.071834466828</v>
      </c>
      <c r="U34" s="178">
        <v>9762.4435085193254</v>
      </c>
      <c r="V34" s="176"/>
      <c r="W34" s="182"/>
    </row>
    <row r="35" spans="1:25">
      <c r="A35" s="124" t="s">
        <v>36</v>
      </c>
      <c r="B35" s="56" t="s">
        <v>492</v>
      </c>
      <c r="C35" s="5">
        <v>16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23</v>
      </c>
      <c r="O35" s="60"/>
      <c r="P35" s="48"/>
      <c r="Q35" s="181">
        <v>89337.569444670866</v>
      </c>
      <c r="R35" s="174">
        <v>84870.690972437325</v>
      </c>
      <c r="S35" s="177">
        <v>88265.518611334817</v>
      </c>
      <c r="T35" s="177">
        <v>91660.346250232309</v>
      </c>
      <c r="U35" s="178">
        <v>22186.406653973187</v>
      </c>
      <c r="V35" s="176"/>
      <c r="W35" s="182"/>
    </row>
    <row r="36" spans="1:25" s="9" customFormat="1">
      <c r="A36" s="124" t="s">
        <v>37</v>
      </c>
      <c r="B36" s="56" t="s">
        <v>493</v>
      </c>
      <c r="C36" s="5">
        <v>37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39</v>
      </c>
      <c r="O36" s="60"/>
      <c r="P36" s="48"/>
      <c r="Q36" s="181">
        <v>80897.295942227123</v>
      </c>
      <c r="R36" s="183">
        <v>75234.485226271223</v>
      </c>
      <c r="S36" s="177">
        <v>78243.864635322068</v>
      </c>
      <c r="T36" s="177">
        <v>81253.244044372928</v>
      </c>
      <c r="U36" s="178">
        <v>15211.249430599215</v>
      </c>
      <c r="V36" s="176"/>
      <c r="W36" s="182"/>
      <c r="X36" s="180"/>
      <c r="Y36" s="63"/>
    </row>
    <row r="37" spans="1:25">
      <c r="A37" s="126" t="s">
        <v>38</v>
      </c>
      <c r="B37" s="56" t="s">
        <v>494</v>
      </c>
      <c r="C37" s="5">
        <v>123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127</v>
      </c>
      <c r="O37" s="60"/>
      <c r="P37" s="48"/>
      <c r="Q37" s="181">
        <v>99433.899972588129</v>
      </c>
      <c r="R37" s="183">
        <v>90829</v>
      </c>
      <c r="S37" s="191">
        <v>94462.16</v>
      </c>
      <c r="T37" s="191">
        <v>98095.32</v>
      </c>
      <c r="U37" s="178">
        <v>26829.248809797431</v>
      </c>
      <c r="V37" s="176"/>
      <c r="W37" s="182"/>
    </row>
    <row r="38" spans="1:25">
      <c r="A38" s="124" t="s">
        <v>39</v>
      </c>
      <c r="B38" s="56" t="s">
        <v>495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41</v>
      </c>
      <c r="O38" s="60"/>
      <c r="P38" s="48"/>
      <c r="Q38" s="181">
        <v>80743.425892217376</v>
      </c>
      <c r="R38" s="183">
        <v>73000</v>
      </c>
      <c r="S38" s="191">
        <v>75920</v>
      </c>
      <c r="T38" s="191">
        <v>78840</v>
      </c>
      <c r="U38" s="178">
        <v>16034.123566635979</v>
      </c>
      <c r="V38" s="176"/>
      <c r="W38" s="182"/>
    </row>
    <row r="39" spans="1:25">
      <c r="A39" s="124" t="s">
        <v>40</v>
      </c>
      <c r="B39" s="56" t="s">
        <v>496</v>
      </c>
      <c r="C39" s="5">
        <v>25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28</v>
      </c>
      <c r="O39" s="60"/>
      <c r="P39" s="48"/>
      <c r="Q39" s="181">
        <v>72507.334385134804</v>
      </c>
      <c r="R39" s="183">
        <v>67431.820978175369</v>
      </c>
      <c r="S39" s="177">
        <v>70129.09381730239</v>
      </c>
      <c r="T39" s="177">
        <v>72826.366656429396</v>
      </c>
      <c r="U39" s="178">
        <v>18216.6367107162</v>
      </c>
      <c r="V39" s="176"/>
      <c r="W39" s="182"/>
    </row>
    <row r="40" spans="1:25">
      <c r="A40" s="124" t="s">
        <v>41</v>
      </c>
      <c r="B40" s="56" t="s">
        <v>491</v>
      </c>
      <c r="C40" s="5">
        <v>41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46</v>
      </c>
      <c r="O40" s="60">
        <v>1</v>
      </c>
      <c r="P40" s="48"/>
      <c r="Q40" s="181">
        <v>93563.754304094517</v>
      </c>
      <c r="R40" s="183">
        <v>87014.291502807901</v>
      </c>
      <c r="S40" s="177">
        <v>90494.863162920214</v>
      </c>
      <c r="T40" s="177">
        <v>93975.434823032527</v>
      </c>
      <c r="U40" s="178">
        <v>14366.079885489862</v>
      </c>
      <c r="V40" s="176"/>
      <c r="W40" s="182"/>
    </row>
    <row r="41" spans="1:25">
      <c r="A41" s="124" t="s">
        <v>42</v>
      </c>
      <c r="B41" s="56" t="s">
        <v>497</v>
      </c>
      <c r="C41" s="5">
        <v>26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32</v>
      </c>
      <c r="O41" s="60">
        <v>1</v>
      </c>
      <c r="P41" s="64"/>
      <c r="Q41" s="181">
        <v>85858.484053583932</v>
      </c>
      <c r="R41" s="183">
        <v>78000</v>
      </c>
      <c r="S41" s="191">
        <v>81120</v>
      </c>
      <c r="T41" s="191">
        <v>84240</v>
      </c>
      <c r="U41" s="178">
        <v>12195.693355909521</v>
      </c>
      <c r="V41" s="176"/>
      <c r="W41" s="182"/>
    </row>
    <row r="42" spans="1:25" s="9" customFormat="1">
      <c r="A42" s="127" t="s">
        <v>43</v>
      </c>
      <c r="B42" s="56" t="s">
        <v>498</v>
      </c>
      <c r="C42" s="5">
        <v>96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103</v>
      </c>
      <c r="O42" s="60"/>
      <c r="P42" s="48"/>
      <c r="Q42" s="181">
        <v>104311.67380670749</v>
      </c>
      <c r="R42" s="183">
        <v>95000</v>
      </c>
      <c r="S42" s="191">
        <v>98800</v>
      </c>
      <c r="T42" s="191">
        <v>102600</v>
      </c>
      <c r="U42" s="178">
        <v>33090.743574149339</v>
      </c>
      <c r="V42" s="176"/>
      <c r="W42" s="182"/>
      <c r="X42" s="180"/>
      <c r="Y42" s="63"/>
    </row>
    <row r="43" spans="1:25" s="9" customFormat="1">
      <c r="A43" s="127" t="s">
        <v>44</v>
      </c>
      <c r="B43" s="56" t="s">
        <v>499</v>
      </c>
      <c r="C43" s="5">
        <v>9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59">
        <f t="shared" si="0"/>
        <v>12</v>
      </c>
      <c r="O43" s="60"/>
      <c r="P43" s="64"/>
      <c r="Q43" s="181">
        <v>89598.547283956679</v>
      </c>
      <c r="R43" s="174">
        <v>85118.619919758843</v>
      </c>
      <c r="S43" s="177">
        <v>88523.3647165492</v>
      </c>
      <c r="T43" s="177">
        <v>91928.109513339557</v>
      </c>
      <c r="U43" s="178">
        <v>22447.384493259</v>
      </c>
      <c r="V43" s="176"/>
      <c r="W43" s="182"/>
      <c r="X43" s="180"/>
      <c r="Y43" s="63"/>
    </row>
    <row r="44" spans="1:25" s="9" customFormat="1">
      <c r="A44" s="127" t="s">
        <v>45</v>
      </c>
      <c r="B44" s="56" t="s">
        <v>500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59">
        <f t="shared" si="0"/>
        <v>44</v>
      </c>
      <c r="O44" s="60"/>
      <c r="P44" s="48"/>
      <c r="Q44" s="181">
        <v>79438.432781814583</v>
      </c>
      <c r="R44" s="183">
        <v>71500</v>
      </c>
      <c r="S44" s="191">
        <v>74360</v>
      </c>
      <c r="T44" s="191">
        <v>77220</v>
      </c>
      <c r="U44" s="178">
        <v>15054.711851582026</v>
      </c>
      <c r="V44" s="176"/>
      <c r="W44" s="182"/>
      <c r="X44" s="180"/>
      <c r="Y44" s="63"/>
    </row>
    <row r="45" spans="1:25" s="9" customFormat="1">
      <c r="A45" s="127" t="s">
        <v>47</v>
      </c>
      <c r="B45" s="56" t="s">
        <v>502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2</v>
      </c>
      <c r="O45" s="60"/>
      <c r="P45" s="48"/>
      <c r="Q45" s="175" t="s">
        <v>1782</v>
      </c>
      <c r="R45" s="176">
        <v>80000</v>
      </c>
      <c r="S45" s="177">
        <v>83200</v>
      </c>
      <c r="T45" s="177">
        <v>86400</v>
      </c>
      <c r="U45" s="178"/>
      <c r="V45" s="176"/>
      <c r="W45" s="182"/>
      <c r="X45" s="180"/>
      <c r="Y45" s="63"/>
    </row>
    <row r="46" spans="1:25" s="9" customFormat="1">
      <c r="A46" s="129" t="s">
        <v>46</v>
      </c>
      <c r="B46" s="56" t="s">
        <v>501</v>
      </c>
      <c r="C46" s="5">
        <v>44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46</v>
      </c>
      <c r="O46" s="60"/>
      <c r="P46" s="48"/>
      <c r="Q46" s="181">
        <v>119402.30490978497</v>
      </c>
      <c r="R46" s="174">
        <v>113432.18966429573</v>
      </c>
      <c r="S46" s="177">
        <v>117969.47725086755</v>
      </c>
      <c r="T46" s="177">
        <v>122506.76483743939</v>
      </c>
      <c r="U46" s="178">
        <v>31658.118863273339</v>
      </c>
      <c r="V46" s="176"/>
      <c r="W46" s="182"/>
      <c r="X46" s="180"/>
      <c r="Y46" s="63"/>
    </row>
    <row r="47" spans="1:25" s="9" customFormat="1">
      <c r="A47" s="127" t="s">
        <v>48</v>
      </c>
      <c r="B47" s="56" t="s">
        <v>502</v>
      </c>
      <c r="C47" s="5">
        <v>127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133</v>
      </c>
      <c r="O47" s="60"/>
      <c r="P47" s="64"/>
      <c r="Q47" s="181">
        <v>113812.0276797781</v>
      </c>
      <c r="R47" s="183">
        <v>103000</v>
      </c>
      <c r="S47" s="191">
        <v>107120</v>
      </c>
      <c r="T47" s="191">
        <v>111240</v>
      </c>
      <c r="U47" s="178">
        <v>31846.911400708326</v>
      </c>
      <c r="V47" s="176"/>
      <c r="W47" s="182"/>
      <c r="X47" s="180"/>
      <c r="Y47" s="63"/>
    </row>
    <row r="48" spans="1:25">
      <c r="A48" s="127" t="s">
        <v>49</v>
      </c>
      <c r="B48" s="56" t="s">
        <v>879</v>
      </c>
      <c r="C48" s="5">
        <v>52</v>
      </c>
      <c r="D48" s="5"/>
      <c r="E48" s="6"/>
      <c r="F48" s="6"/>
      <c r="G48" s="6"/>
      <c r="H48" s="6"/>
      <c r="I48" s="7">
        <v>1</v>
      </c>
      <c r="J48" s="7">
        <v>1</v>
      </c>
      <c r="K48" s="6"/>
      <c r="L48" s="6"/>
      <c r="M48" s="7"/>
      <c r="N48" s="59">
        <f t="shared" si="0"/>
        <v>54</v>
      </c>
      <c r="O48" s="60"/>
      <c r="P48" s="48"/>
      <c r="Q48" s="181">
        <v>102827.95689172141</v>
      </c>
      <c r="R48" s="183">
        <v>95629.99990930091</v>
      </c>
      <c r="S48" s="177">
        <v>99455.19990567294</v>
      </c>
      <c r="T48" s="177">
        <v>103280.39990204498</v>
      </c>
      <c r="U48" s="178">
        <v>28107.026659163257</v>
      </c>
      <c r="V48" s="176"/>
      <c r="W48" s="182"/>
    </row>
    <row r="49" spans="1:23" ht="37.5" customHeight="1">
      <c r="A49" s="130" t="s">
        <v>1495</v>
      </c>
      <c r="B49" s="56" t="s">
        <v>1849</v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1163</v>
      </c>
      <c r="O49" s="60">
        <f>SUM(O2:O48)</f>
        <v>63</v>
      </c>
      <c r="P49" s="6"/>
      <c r="Q49" s="175"/>
      <c r="R49" s="182"/>
      <c r="S49" s="177"/>
      <c r="T49" s="177"/>
      <c r="U49" s="178"/>
      <c r="V49" s="176"/>
      <c r="W49" s="182"/>
    </row>
    <row r="50" spans="1:23">
      <c r="A50" s="124" t="s">
        <v>50</v>
      </c>
      <c r="B50" s="56" t="s">
        <v>503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97</v>
      </c>
      <c r="O50" s="60"/>
      <c r="P50" s="48" t="s">
        <v>1544</v>
      </c>
      <c r="Q50" s="181">
        <v>24592.564804472826</v>
      </c>
      <c r="R50" s="174">
        <v>23000</v>
      </c>
      <c r="S50" s="177">
        <v>23920</v>
      </c>
      <c r="T50" s="177">
        <v>24840</v>
      </c>
      <c r="U50" s="178"/>
      <c r="V50" s="176"/>
      <c r="W50" s="182"/>
    </row>
    <row r="51" spans="1:23">
      <c r="A51" s="124" t="s">
        <v>51</v>
      </c>
      <c r="B51" s="56" t="s">
        <v>503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59">
        <f t="shared" si="1"/>
        <v>2</v>
      </c>
      <c r="O51" s="60"/>
      <c r="P51" s="48" t="s">
        <v>1544</v>
      </c>
      <c r="Q51" s="175" t="s">
        <v>1782</v>
      </c>
      <c r="R51" s="176">
        <v>20000</v>
      </c>
      <c r="S51" s="177">
        <v>20800</v>
      </c>
      <c r="T51" s="177">
        <v>21600</v>
      </c>
      <c r="U51" s="178"/>
      <c r="V51" s="176"/>
      <c r="W51" s="179">
        <v>500</v>
      </c>
    </row>
    <row r="52" spans="1:23">
      <c r="A52" s="131" t="s">
        <v>52</v>
      </c>
      <c r="B52" s="56" t="s">
        <v>504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15</v>
      </c>
      <c r="O52" s="60"/>
      <c r="P52" s="48" t="s">
        <v>1544</v>
      </c>
      <c r="Q52" s="181">
        <v>37824.325084093936</v>
      </c>
      <c r="R52" s="192">
        <v>39715.54133829863</v>
      </c>
      <c r="S52" s="177">
        <v>41304.162991830577</v>
      </c>
      <c r="T52" s="177">
        <v>42892.784645362517</v>
      </c>
      <c r="U52" s="178">
        <v>1794.9133193880625</v>
      </c>
      <c r="V52" s="176"/>
      <c r="W52" s="182"/>
    </row>
    <row r="53" spans="1:23">
      <c r="A53" s="131" t="s">
        <v>53</v>
      </c>
      <c r="B53" s="56" t="s">
        <v>505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59">
        <f t="shared" si="1"/>
        <v>107</v>
      </c>
      <c r="O53" s="60"/>
      <c r="P53" s="48" t="s">
        <v>1544</v>
      </c>
      <c r="Q53" s="181">
        <v>25437.803391758665</v>
      </c>
      <c r="R53" s="192">
        <v>26709.693561346598</v>
      </c>
      <c r="S53" s="177">
        <v>27778.08130380046</v>
      </c>
      <c r="T53" s="177">
        <v>28846.469046254326</v>
      </c>
      <c r="U53" s="178"/>
      <c r="V53" s="176"/>
      <c r="W53" s="182"/>
    </row>
    <row r="54" spans="1:23">
      <c r="A54" s="131" t="s">
        <v>54</v>
      </c>
      <c r="B54" s="56" t="s">
        <v>506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104</v>
      </c>
      <c r="O54" s="60"/>
      <c r="P54" s="48" t="s">
        <v>1544</v>
      </c>
      <c r="Q54" s="181">
        <v>31580.842639611688</v>
      </c>
      <c r="R54" s="192">
        <v>33159.884771592275</v>
      </c>
      <c r="S54" s="177">
        <v>34486.280162455965</v>
      </c>
      <c r="T54" s="177">
        <v>35812.675553319656</v>
      </c>
      <c r="U54" s="178"/>
      <c r="V54" s="176"/>
      <c r="W54" s="182"/>
    </row>
    <row r="55" spans="1:23">
      <c r="A55" s="131" t="s">
        <v>55</v>
      </c>
      <c r="B55" s="56" t="s">
        <v>507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120</v>
      </c>
      <c r="O55" s="60"/>
      <c r="P55" s="48" t="s">
        <v>1544</v>
      </c>
      <c r="Q55" s="181">
        <v>28432.702244249125</v>
      </c>
      <c r="R55" s="192">
        <v>29854.337356461583</v>
      </c>
      <c r="S55" s="177">
        <v>31048.510850720046</v>
      </c>
      <c r="T55" s="177">
        <v>32242.684344978508</v>
      </c>
      <c r="U55" s="178"/>
      <c r="V55" s="176"/>
      <c r="W55" s="182"/>
    </row>
    <row r="56" spans="1:23">
      <c r="A56" s="132" t="s">
        <v>56</v>
      </c>
      <c r="B56" s="56" t="s">
        <v>860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48" t="s">
        <v>1544</v>
      </c>
      <c r="Q56" s="175" t="s">
        <v>1782</v>
      </c>
      <c r="R56" s="176">
        <v>36000</v>
      </c>
      <c r="S56" s="177">
        <v>37440</v>
      </c>
      <c r="T56" s="177">
        <v>38880</v>
      </c>
      <c r="U56" s="178"/>
      <c r="V56" s="176"/>
      <c r="W56" s="179">
        <v>500</v>
      </c>
    </row>
    <row r="57" spans="1:23">
      <c r="A57" s="128" t="s">
        <v>1331</v>
      </c>
      <c r="B57" s="56" t="s">
        <v>1333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48" t="s">
        <v>1544</v>
      </c>
      <c r="Q57" s="181">
        <v>34578.68292151163</v>
      </c>
      <c r="R57" s="192">
        <v>36307.617067587213</v>
      </c>
      <c r="S57" s="177">
        <v>37759.921750290698</v>
      </c>
      <c r="T57" s="177">
        <v>39212.22643299419</v>
      </c>
      <c r="U57" s="178">
        <v>1658.6009542985194</v>
      </c>
      <c r="V57" s="176"/>
      <c r="W57" s="182"/>
    </row>
    <row r="58" spans="1:23">
      <c r="A58" s="128" t="s">
        <v>57</v>
      </c>
      <c r="B58" s="56" t="s">
        <v>508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48" t="s">
        <v>1544</v>
      </c>
      <c r="Q58" s="175" t="s">
        <v>1782</v>
      </c>
      <c r="R58" s="176">
        <v>30000</v>
      </c>
      <c r="S58" s="177">
        <v>31200</v>
      </c>
      <c r="T58" s="177">
        <v>32400</v>
      </c>
      <c r="U58" s="178"/>
      <c r="V58" s="176"/>
      <c r="W58" s="179">
        <v>500</v>
      </c>
    </row>
    <row r="59" spans="1:23">
      <c r="A59" s="132" t="s">
        <v>58</v>
      </c>
      <c r="B59" s="56" t="s">
        <v>509</v>
      </c>
      <c r="C59" s="5">
        <v>68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59">
        <f t="shared" si="1"/>
        <v>72</v>
      </c>
      <c r="O59" s="60"/>
      <c r="P59" s="48" t="s">
        <v>1544</v>
      </c>
      <c r="Q59" s="181">
        <v>41328.219470344258</v>
      </c>
      <c r="R59" s="192">
        <v>43394.630443861468</v>
      </c>
      <c r="S59" s="177">
        <v>45130.415661615923</v>
      </c>
      <c r="T59" s="177">
        <v>46866.200879370386</v>
      </c>
      <c r="U59" s="178">
        <v>1989.9841762266078</v>
      </c>
      <c r="V59" s="176"/>
      <c r="W59" s="182"/>
    </row>
    <row r="60" spans="1:23" ht="36" customHeight="1">
      <c r="A60" s="130" t="s">
        <v>1496</v>
      </c>
      <c r="B60" s="56" t="s">
        <v>1849</v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519</v>
      </c>
      <c r="O60" s="60"/>
      <c r="P60" s="6"/>
      <c r="Q60" s="175"/>
      <c r="R60" s="182"/>
      <c r="S60" s="177"/>
      <c r="T60" s="177"/>
      <c r="U60" s="178"/>
      <c r="V60" s="176"/>
      <c r="W60" s="182"/>
    </row>
    <row r="61" spans="1:23">
      <c r="A61" s="124" t="s">
        <v>59</v>
      </c>
      <c r="B61" s="56" t="s">
        <v>510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93">
        <v>320728.45808950713</v>
      </c>
      <c r="R61" s="193">
        <v>304692.03518503177</v>
      </c>
      <c r="S61" s="177">
        <v>316879.71659243305</v>
      </c>
      <c r="T61" s="177">
        <v>329067.39799983433</v>
      </c>
      <c r="U61" s="178"/>
      <c r="V61" s="176"/>
      <c r="W61" s="182">
        <v>250</v>
      </c>
    </row>
    <row r="62" spans="1:23">
      <c r="A62" s="124" t="s">
        <v>60</v>
      </c>
      <c r="B62" s="56" t="s">
        <v>511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175" t="s">
        <v>1782</v>
      </c>
      <c r="R62" s="193">
        <v>375000</v>
      </c>
      <c r="S62" s="177">
        <v>390000</v>
      </c>
      <c r="T62" s="177">
        <v>405000</v>
      </c>
      <c r="U62" s="178"/>
      <c r="V62" s="176"/>
      <c r="W62" s="182">
        <v>250</v>
      </c>
    </row>
    <row r="63" spans="1:23">
      <c r="A63" s="123" t="s">
        <v>61</v>
      </c>
      <c r="B63" s="56" t="s">
        <v>512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175" t="s">
        <v>1782</v>
      </c>
      <c r="R63" s="193">
        <v>400000</v>
      </c>
      <c r="S63" s="177">
        <v>416000</v>
      </c>
      <c r="T63" s="177">
        <v>432000</v>
      </c>
      <c r="U63" s="178"/>
      <c r="V63" s="176"/>
      <c r="W63" s="182">
        <v>250</v>
      </c>
    </row>
    <row r="64" spans="1:23">
      <c r="A64" s="124" t="s">
        <v>62</v>
      </c>
      <c r="B64" s="56" t="s">
        <v>513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175" t="s">
        <v>1782</v>
      </c>
      <c r="R64" s="193">
        <v>325000</v>
      </c>
      <c r="S64" s="177">
        <v>338000</v>
      </c>
      <c r="T64" s="177">
        <v>351000</v>
      </c>
      <c r="U64" s="178"/>
      <c r="V64" s="176"/>
      <c r="W64" s="179">
        <v>1000</v>
      </c>
    </row>
    <row r="65" spans="1:25">
      <c r="A65" s="123" t="s">
        <v>63</v>
      </c>
      <c r="B65" s="56" t="s">
        <v>514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175" t="s">
        <v>1782</v>
      </c>
      <c r="R65" s="193">
        <v>290000</v>
      </c>
      <c r="S65" s="177">
        <v>301600</v>
      </c>
      <c r="T65" s="177">
        <v>313200</v>
      </c>
      <c r="U65" s="178"/>
      <c r="V65" s="176"/>
      <c r="W65" s="179">
        <v>1000</v>
      </c>
    </row>
    <row r="66" spans="1:25">
      <c r="A66" s="123" t="s">
        <v>64</v>
      </c>
      <c r="B66" s="56" t="s">
        <v>514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181">
        <v>323156.50178004295</v>
      </c>
      <c r="R66" s="187">
        <v>323156.50178004295</v>
      </c>
      <c r="S66" s="177">
        <v>336082.76185124466</v>
      </c>
      <c r="T66" s="177">
        <v>349009.02192244638</v>
      </c>
      <c r="U66" s="178"/>
      <c r="V66" s="176"/>
      <c r="W66" s="182"/>
    </row>
    <row r="67" spans="1:25">
      <c r="A67" s="123" t="s">
        <v>65</v>
      </c>
      <c r="B67" s="56" t="s">
        <v>515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181">
        <v>66893.157793042163</v>
      </c>
      <c r="R67" s="187">
        <v>66893.157793042163</v>
      </c>
      <c r="S67" s="177">
        <v>69568.884104763856</v>
      </c>
      <c r="T67" s="177">
        <v>72244.610416485535</v>
      </c>
      <c r="U67" s="178"/>
      <c r="V67" s="176"/>
      <c r="W67" s="182"/>
    </row>
    <row r="68" spans="1:25">
      <c r="A68" s="123" t="s">
        <v>66</v>
      </c>
      <c r="B68" s="56" t="s">
        <v>516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181">
        <v>102760.3448110442</v>
      </c>
      <c r="R68" s="187">
        <v>102760.3448110442</v>
      </c>
      <c r="S68" s="177">
        <v>106870.75860348597</v>
      </c>
      <c r="T68" s="177">
        <v>110981.17239592773</v>
      </c>
      <c r="U68" s="178"/>
      <c r="V68" s="176"/>
      <c r="W68" s="182"/>
    </row>
    <row r="69" spans="1:25">
      <c r="A69" s="131" t="s">
        <v>67</v>
      </c>
      <c r="B69" s="56" t="s">
        <v>517</v>
      </c>
      <c r="C69" s="5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11</v>
      </c>
      <c r="O69" s="60"/>
      <c r="P69" s="48"/>
      <c r="Q69" s="181">
        <v>95992.543845008942</v>
      </c>
      <c r="R69" s="174">
        <v>91192.916652758489</v>
      </c>
      <c r="S69" s="177">
        <v>94840.63331886883</v>
      </c>
      <c r="T69" s="177">
        <v>98488.34998497917</v>
      </c>
      <c r="U69" s="178"/>
      <c r="V69" s="176"/>
      <c r="W69" s="182"/>
    </row>
    <row r="70" spans="1:25">
      <c r="A70" s="123" t="s">
        <v>68</v>
      </c>
      <c r="B70" s="56" t="s">
        <v>518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175" t="s">
        <v>1782</v>
      </c>
      <c r="R70" s="176">
        <v>75000</v>
      </c>
      <c r="S70" s="177">
        <v>78000</v>
      </c>
      <c r="T70" s="177">
        <v>81000</v>
      </c>
      <c r="U70" s="178"/>
      <c r="V70" s="176"/>
      <c r="W70" s="194">
        <v>1000</v>
      </c>
    </row>
    <row r="71" spans="1:25">
      <c r="A71" s="124" t="s">
        <v>69</v>
      </c>
      <c r="B71" s="56" t="s">
        <v>519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3</v>
      </c>
      <c r="P71" s="48"/>
      <c r="Q71" s="181">
        <v>97354.167416930461</v>
      </c>
      <c r="R71" s="187">
        <v>97354.167416930461</v>
      </c>
      <c r="S71" s="177">
        <v>101248.33411360768</v>
      </c>
      <c r="T71" s="177">
        <v>105142.5008102849</v>
      </c>
      <c r="U71" s="178"/>
      <c r="V71" s="176"/>
      <c r="W71" s="182"/>
    </row>
    <row r="72" spans="1:25">
      <c r="A72" s="124" t="s">
        <v>1791</v>
      </c>
      <c r="B72" s="56" t="s">
        <v>520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181">
        <v>119995.99338721613</v>
      </c>
      <c r="R72" s="187">
        <v>119995.99338721613</v>
      </c>
      <c r="S72" s="177">
        <v>124795.83312270477</v>
      </c>
      <c r="T72" s="177">
        <v>129595.67285819343</v>
      </c>
      <c r="U72" s="178"/>
      <c r="V72" s="176"/>
      <c r="W72" s="182"/>
    </row>
    <row r="73" spans="1:25">
      <c r="A73" s="123" t="s">
        <v>70</v>
      </c>
      <c r="B73" s="56" t="s">
        <v>520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/>
      <c r="P73" s="48"/>
      <c r="Q73" s="181">
        <v>119995.99338721613</v>
      </c>
      <c r="R73" s="187">
        <v>119995.99338721613</v>
      </c>
      <c r="S73" s="177">
        <v>124795.83312270477</v>
      </c>
      <c r="T73" s="177">
        <v>129595.67285819343</v>
      </c>
      <c r="U73" s="178"/>
      <c r="V73" s="176"/>
      <c r="W73" s="182"/>
    </row>
    <row r="74" spans="1:25">
      <c r="A74" s="123" t="s">
        <v>1485</v>
      </c>
      <c r="B74" s="56" t="s">
        <v>1491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95">
        <v>145394.74836193025</v>
      </c>
      <c r="R74" s="195">
        <v>130855.27352573723</v>
      </c>
      <c r="S74" s="177">
        <v>136089.48446676671</v>
      </c>
      <c r="T74" s="177">
        <v>141323.69540779621</v>
      </c>
      <c r="U74" s="178"/>
      <c r="V74" s="176"/>
      <c r="W74" s="179">
        <v>500</v>
      </c>
    </row>
    <row r="75" spans="1:25" s="10" customFormat="1" ht="30">
      <c r="A75" s="130" t="s">
        <v>71</v>
      </c>
      <c r="B75" s="56" t="s">
        <v>1849</v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53</v>
      </c>
      <c r="O75" s="60"/>
      <c r="P75" s="6"/>
      <c r="Q75" s="175"/>
      <c r="R75" s="175"/>
      <c r="S75" s="175"/>
      <c r="T75" s="177"/>
      <c r="U75" s="178"/>
      <c r="V75" s="176"/>
      <c r="W75" s="187"/>
      <c r="X75" s="180"/>
      <c r="Y75" s="65"/>
    </row>
    <row r="76" spans="1:25">
      <c r="A76" s="124" t="s">
        <v>1429</v>
      </c>
      <c r="B76" s="56" t="s">
        <v>1430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7" si="3">M76+K76+L76+J76+I76+H76+G76+F76+E76+D76+C76</f>
        <v>1</v>
      </c>
      <c r="O76" s="60"/>
      <c r="P76" s="48"/>
      <c r="Q76" s="175" t="s">
        <v>1782</v>
      </c>
      <c r="R76" s="187">
        <v>35000</v>
      </c>
      <c r="S76" s="177">
        <v>36400</v>
      </c>
      <c r="T76" s="177">
        <v>37800</v>
      </c>
      <c r="U76" s="178"/>
      <c r="V76" s="176"/>
      <c r="W76" s="179">
        <v>500</v>
      </c>
    </row>
    <row r="77" spans="1:25">
      <c r="A77" s="124" t="s">
        <v>1439</v>
      </c>
      <c r="B77" s="56" t="s">
        <v>531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59">
        <f t="shared" si="3"/>
        <v>1</v>
      </c>
      <c r="O77" s="60"/>
      <c r="P77" s="48"/>
      <c r="Q77" s="175" t="s">
        <v>1782</v>
      </c>
      <c r="R77" s="187">
        <v>37000</v>
      </c>
      <c r="S77" s="177">
        <v>38480</v>
      </c>
      <c r="T77" s="177">
        <v>39960</v>
      </c>
      <c r="U77" s="178"/>
      <c r="V77" s="176">
        <v>3490</v>
      </c>
      <c r="W77" s="179">
        <v>500</v>
      </c>
    </row>
    <row r="78" spans="1:25">
      <c r="A78" s="127" t="s">
        <v>74</v>
      </c>
      <c r="B78" s="56" t="s">
        <v>522</v>
      </c>
      <c r="C78" s="5">
        <v>50</v>
      </c>
      <c r="D78" s="5"/>
      <c r="E78" s="6"/>
      <c r="F78" s="6"/>
      <c r="G78" s="6"/>
      <c r="H78" s="6"/>
      <c r="I78" s="7">
        <v>2</v>
      </c>
      <c r="J78" s="7">
        <v>2</v>
      </c>
      <c r="K78" s="6">
        <v>1</v>
      </c>
      <c r="L78" s="6"/>
      <c r="M78" s="7">
        <v>1</v>
      </c>
      <c r="N78" s="59">
        <f t="shared" si="3"/>
        <v>56</v>
      </c>
      <c r="O78" s="60"/>
      <c r="P78" s="64"/>
      <c r="Q78" s="181">
        <v>33951.071927080571</v>
      </c>
      <c r="R78" s="174">
        <v>32253.518330726543</v>
      </c>
      <c r="S78" s="177">
        <v>33543.659063955602</v>
      </c>
      <c r="T78" s="177">
        <v>34833.799797184663</v>
      </c>
      <c r="U78" s="178"/>
      <c r="V78" s="176"/>
      <c r="W78" s="182"/>
    </row>
    <row r="79" spans="1:25">
      <c r="A79" s="127" t="s">
        <v>75</v>
      </c>
      <c r="B79" s="56" t="s">
        <v>523</v>
      </c>
      <c r="C79" s="5">
        <v>33</v>
      </c>
      <c r="D79" s="5"/>
      <c r="E79" s="6"/>
      <c r="F79" s="6"/>
      <c r="G79" s="6"/>
      <c r="H79" s="6"/>
      <c r="I79" s="7">
        <v>1</v>
      </c>
      <c r="J79" s="7"/>
      <c r="K79" s="6"/>
      <c r="L79" s="6">
        <v>1</v>
      </c>
      <c r="M79" s="7"/>
      <c r="N79" s="59">
        <f t="shared" si="3"/>
        <v>35</v>
      </c>
      <c r="O79" s="60"/>
      <c r="P79" s="48"/>
      <c r="Q79" s="181">
        <v>43627.587009902316</v>
      </c>
      <c r="R79" s="183">
        <v>40573.655919209152</v>
      </c>
      <c r="S79" s="177">
        <v>42196.602155977518</v>
      </c>
      <c r="T79" s="177">
        <v>43819.548392745884</v>
      </c>
      <c r="U79" s="178"/>
      <c r="V79" s="176"/>
      <c r="W79" s="182"/>
    </row>
    <row r="80" spans="1:25">
      <c r="A80" s="133" t="s">
        <v>76</v>
      </c>
      <c r="B80" s="56" t="s">
        <v>524</v>
      </c>
      <c r="C80" s="5">
        <v>61</v>
      </c>
      <c r="D80" s="5"/>
      <c r="E80" s="6"/>
      <c r="F80" s="6"/>
      <c r="G80" s="6"/>
      <c r="H80" s="6"/>
      <c r="I80" s="7">
        <v>1</v>
      </c>
      <c r="J80" s="7">
        <v>1</v>
      </c>
      <c r="K80" s="6">
        <v>1</v>
      </c>
      <c r="L80" s="6"/>
      <c r="M80" s="7">
        <v>1</v>
      </c>
      <c r="N80" s="59">
        <f t="shared" si="3"/>
        <v>65</v>
      </c>
      <c r="O80" s="60"/>
      <c r="P80" s="64"/>
      <c r="Q80" s="181">
        <v>45494.72632684563</v>
      </c>
      <c r="R80" s="183">
        <v>42310.095483966434</v>
      </c>
      <c r="S80" s="176">
        <v>44002.499303325094</v>
      </c>
      <c r="T80" s="177">
        <v>45694.903122683747</v>
      </c>
      <c r="U80" s="178"/>
      <c r="V80" s="176"/>
      <c r="W80" s="182"/>
    </row>
    <row r="81" spans="1:25">
      <c r="A81" s="127" t="s">
        <v>77</v>
      </c>
      <c r="B81" s="56" t="s">
        <v>525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59">
        <f t="shared" si="3"/>
        <v>1</v>
      </c>
      <c r="O81" s="60"/>
      <c r="P81" s="48"/>
      <c r="Q81" s="175" t="s">
        <v>1782</v>
      </c>
      <c r="R81" s="185">
        <v>32000</v>
      </c>
      <c r="S81" s="177">
        <v>33280</v>
      </c>
      <c r="T81" s="177">
        <v>34560</v>
      </c>
      <c r="U81" s="178"/>
      <c r="V81" s="176"/>
      <c r="W81" s="179">
        <v>500</v>
      </c>
    </row>
    <row r="82" spans="1:25">
      <c r="A82" s="127" t="s">
        <v>79</v>
      </c>
      <c r="B82" s="56" t="s">
        <v>527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59">
        <f t="shared" si="3"/>
        <v>3</v>
      </c>
      <c r="O82" s="60">
        <v>5</v>
      </c>
      <c r="P82" s="48"/>
      <c r="Q82" s="181">
        <v>50877.593851705358</v>
      </c>
      <c r="R82" s="187">
        <v>50878</v>
      </c>
      <c r="S82" s="177">
        <v>52913.120000000003</v>
      </c>
      <c r="T82" s="177">
        <v>54948.24</v>
      </c>
      <c r="U82" s="178"/>
      <c r="V82" s="176"/>
      <c r="W82" s="182"/>
    </row>
    <row r="83" spans="1:25">
      <c r="A83" s="127" t="s">
        <v>1471</v>
      </c>
      <c r="B83" s="56" t="s">
        <v>1473</v>
      </c>
      <c r="C83" s="5"/>
      <c r="D83" s="5"/>
      <c r="E83" s="6"/>
      <c r="F83" s="6"/>
      <c r="G83" s="6"/>
      <c r="H83" s="6"/>
      <c r="I83" s="7">
        <v>1</v>
      </c>
      <c r="J83" s="7"/>
      <c r="K83" s="6"/>
      <c r="L83" s="6"/>
      <c r="M83" s="7"/>
      <c r="N83" s="59">
        <f t="shared" si="3"/>
        <v>1</v>
      </c>
      <c r="O83" s="60"/>
      <c r="P83" s="48"/>
      <c r="Q83" s="175" t="s">
        <v>1782</v>
      </c>
      <c r="R83" s="176">
        <v>46000</v>
      </c>
      <c r="S83" s="177">
        <v>47840</v>
      </c>
      <c r="T83" s="177">
        <v>49680</v>
      </c>
      <c r="U83" s="178"/>
      <c r="V83" s="176"/>
      <c r="W83" s="179">
        <v>500</v>
      </c>
    </row>
    <row r="84" spans="1:25">
      <c r="A84" s="127" t="s">
        <v>80</v>
      </c>
      <c r="B84" s="56" t="s">
        <v>528</v>
      </c>
      <c r="C84" s="5">
        <v>16</v>
      </c>
      <c r="D84" s="5"/>
      <c r="E84" s="6"/>
      <c r="F84" s="6">
        <v>1</v>
      </c>
      <c r="G84" s="6"/>
      <c r="H84" s="6"/>
      <c r="I84" s="7">
        <v>1</v>
      </c>
      <c r="J84" s="7">
        <v>1</v>
      </c>
      <c r="K84" s="6"/>
      <c r="L84" s="6"/>
      <c r="M84" s="7"/>
      <c r="N84" s="59">
        <f t="shared" si="3"/>
        <v>19</v>
      </c>
      <c r="O84" s="60"/>
      <c r="P84" s="48"/>
      <c r="Q84" s="181">
        <v>43297.575959808506</v>
      </c>
      <c r="R84" s="183">
        <v>40266.745642621914</v>
      </c>
      <c r="S84" s="177">
        <v>41877.415468326792</v>
      </c>
      <c r="T84" s="177">
        <v>43488.085294031669</v>
      </c>
      <c r="U84" s="178"/>
      <c r="V84" s="176"/>
      <c r="W84" s="182"/>
    </row>
    <row r="85" spans="1:25" s="11" customFormat="1">
      <c r="A85" s="124" t="s">
        <v>81</v>
      </c>
      <c r="B85" s="56" t="s">
        <v>529</v>
      </c>
      <c r="C85" s="5"/>
      <c r="D85" s="5"/>
      <c r="E85" s="6"/>
      <c r="F85" s="6"/>
      <c r="G85" s="6"/>
      <c r="H85" s="6"/>
      <c r="I85" s="7">
        <v>1</v>
      </c>
      <c r="J85" s="7">
        <v>1</v>
      </c>
      <c r="K85" s="6"/>
      <c r="L85" s="6">
        <v>1</v>
      </c>
      <c r="M85" s="7"/>
      <c r="N85" s="59">
        <f t="shared" si="3"/>
        <v>3</v>
      </c>
      <c r="O85" s="60"/>
      <c r="P85" s="48"/>
      <c r="Q85" s="175" t="s">
        <v>1782</v>
      </c>
      <c r="R85" s="176">
        <v>34557</v>
      </c>
      <c r="S85" s="191">
        <v>35939.279999999999</v>
      </c>
      <c r="T85" s="191">
        <v>37321.56</v>
      </c>
      <c r="U85" s="196">
        <v>1556.7337650080808</v>
      </c>
      <c r="V85" s="176"/>
      <c r="W85" s="179">
        <v>500</v>
      </c>
      <c r="X85" s="180"/>
      <c r="Y85" s="66"/>
    </row>
    <row r="86" spans="1:25" s="11" customFormat="1">
      <c r="A86" s="124" t="s">
        <v>1436</v>
      </c>
      <c r="B86" s="56" t="s">
        <v>529</v>
      </c>
      <c r="C86" s="5">
        <v>213</v>
      </c>
      <c r="D86" s="5"/>
      <c r="E86" s="6"/>
      <c r="F86" s="6"/>
      <c r="G86" s="6"/>
      <c r="H86" s="6"/>
      <c r="I86" s="7">
        <v>1</v>
      </c>
      <c r="J86" s="7">
        <v>1</v>
      </c>
      <c r="K86" s="6">
        <v>1</v>
      </c>
      <c r="L86" s="6"/>
      <c r="M86" s="7"/>
      <c r="N86" s="59">
        <f t="shared" si="3"/>
        <v>216</v>
      </c>
      <c r="O86" s="60"/>
      <c r="P86" s="48"/>
      <c r="Q86" s="181">
        <v>39308.306442639354</v>
      </c>
      <c r="R86" s="183">
        <v>36000</v>
      </c>
      <c r="S86" s="191">
        <v>37440</v>
      </c>
      <c r="T86" s="191">
        <v>38880</v>
      </c>
      <c r="U86" s="178"/>
      <c r="V86" s="176"/>
      <c r="W86" s="182"/>
      <c r="X86" s="197"/>
      <c r="Y86" s="66"/>
    </row>
    <row r="87" spans="1:25" s="11" customFormat="1">
      <c r="A87" s="134" t="s">
        <v>1541</v>
      </c>
      <c r="B87" s="56" t="s">
        <v>532</v>
      </c>
      <c r="C87" s="5">
        <v>6</v>
      </c>
      <c r="D87" s="5"/>
      <c r="E87" s="6"/>
      <c r="F87" s="6"/>
      <c r="G87" s="6"/>
      <c r="H87" s="6"/>
      <c r="I87" s="7">
        <v>1</v>
      </c>
      <c r="J87" s="7"/>
      <c r="K87" s="6"/>
      <c r="L87" s="6"/>
      <c r="M87" s="7"/>
      <c r="N87" s="59">
        <f t="shared" si="3"/>
        <v>7</v>
      </c>
      <c r="O87" s="60"/>
      <c r="P87" s="48"/>
      <c r="Q87" s="181">
        <v>49073.715895703179</v>
      </c>
      <c r="R87" s="187">
        <v>49073.715895703179</v>
      </c>
      <c r="S87" s="177">
        <v>51036.664531531307</v>
      </c>
      <c r="T87" s="177">
        <v>52999.613167359435</v>
      </c>
      <c r="U87" s="178"/>
      <c r="V87" s="176"/>
      <c r="W87" s="182"/>
      <c r="X87" s="180"/>
      <c r="Y87" s="66"/>
    </row>
    <row r="88" spans="1:25">
      <c r="A88" s="131" t="s">
        <v>82</v>
      </c>
      <c r="B88" s="56" t="s">
        <v>521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59">
        <f t="shared" si="3"/>
        <v>1</v>
      </c>
      <c r="O88" s="60"/>
      <c r="P88" s="48"/>
      <c r="Q88" s="175" t="s">
        <v>1782</v>
      </c>
      <c r="R88" s="176">
        <v>36000</v>
      </c>
      <c r="S88" s="177">
        <v>37440</v>
      </c>
      <c r="T88" s="177">
        <v>38880</v>
      </c>
      <c r="U88" s="178"/>
      <c r="V88" s="176"/>
      <c r="W88" s="179">
        <v>500</v>
      </c>
    </row>
    <row r="89" spans="1:25">
      <c r="A89" s="131" t="s">
        <v>83</v>
      </c>
      <c r="B89" s="56" t="s">
        <v>521</v>
      </c>
      <c r="C89" s="5"/>
      <c r="D89" s="5"/>
      <c r="E89" s="6">
        <v>1</v>
      </c>
      <c r="F89" s="6"/>
      <c r="G89" s="6"/>
      <c r="H89" s="6"/>
      <c r="I89" s="7">
        <v>1</v>
      </c>
      <c r="J89" s="7">
        <v>1</v>
      </c>
      <c r="K89" s="6">
        <v>1</v>
      </c>
      <c r="L89" s="6">
        <v>1</v>
      </c>
      <c r="M89" s="7">
        <v>1</v>
      </c>
      <c r="N89" s="59">
        <f t="shared" si="3"/>
        <v>6</v>
      </c>
      <c r="O89" s="60"/>
      <c r="P89" s="48"/>
      <c r="Q89" s="175" t="s">
        <v>1782</v>
      </c>
      <c r="R89" s="185">
        <v>36000</v>
      </c>
      <c r="S89" s="177">
        <v>37440</v>
      </c>
      <c r="T89" s="177">
        <v>38880</v>
      </c>
      <c r="U89" s="178"/>
      <c r="V89" s="176"/>
      <c r="W89" s="179">
        <v>500</v>
      </c>
    </row>
    <row r="90" spans="1:25">
      <c r="A90" s="134" t="s">
        <v>84</v>
      </c>
      <c r="B90" s="56" t="s">
        <v>530</v>
      </c>
      <c r="C90" s="5"/>
      <c r="D90" s="5"/>
      <c r="E90" s="6">
        <v>1</v>
      </c>
      <c r="F90" s="6"/>
      <c r="G90" s="6"/>
      <c r="H90" s="6"/>
      <c r="I90" s="7"/>
      <c r="J90" s="7"/>
      <c r="K90" s="6"/>
      <c r="L90" s="6"/>
      <c r="M90" s="7"/>
      <c r="N90" s="59">
        <f t="shared" si="3"/>
        <v>1</v>
      </c>
      <c r="O90" s="60"/>
      <c r="P90" s="48"/>
      <c r="Q90" s="175" t="s">
        <v>1782</v>
      </c>
      <c r="R90" s="185">
        <v>36000</v>
      </c>
      <c r="S90" s="177">
        <v>37440</v>
      </c>
      <c r="T90" s="177">
        <v>38880</v>
      </c>
      <c r="U90" s="178"/>
      <c r="V90" s="176"/>
      <c r="W90" s="179">
        <v>500</v>
      </c>
    </row>
    <row r="91" spans="1:25">
      <c r="A91" s="135" t="s">
        <v>85</v>
      </c>
      <c r="B91" s="56" t="s">
        <v>531</v>
      </c>
      <c r="C91" s="5"/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/>
      <c r="L91" s="6"/>
      <c r="M91" s="7"/>
      <c r="N91" s="59">
        <f t="shared" si="3"/>
        <v>3</v>
      </c>
      <c r="O91" s="60"/>
      <c r="P91" s="48"/>
      <c r="Q91" s="175" t="s">
        <v>1782</v>
      </c>
      <c r="R91" s="176">
        <v>38000</v>
      </c>
      <c r="S91" s="177">
        <v>39520</v>
      </c>
      <c r="T91" s="177">
        <v>41040</v>
      </c>
      <c r="U91" s="178"/>
      <c r="V91" s="176"/>
      <c r="W91" s="179">
        <v>500</v>
      </c>
    </row>
    <row r="92" spans="1:25">
      <c r="A92" s="134" t="s">
        <v>86</v>
      </c>
      <c r="B92" s="56" t="s">
        <v>532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175" t="s">
        <v>1782</v>
      </c>
      <c r="R92" s="176">
        <v>40000</v>
      </c>
      <c r="S92" s="177">
        <v>41600</v>
      </c>
      <c r="T92" s="177">
        <v>43200</v>
      </c>
      <c r="U92" s="178"/>
      <c r="V92" s="176"/>
      <c r="W92" s="179">
        <v>500</v>
      </c>
    </row>
    <row r="93" spans="1:25">
      <c r="A93" s="124" t="s">
        <v>87</v>
      </c>
      <c r="B93" s="56" t="s">
        <v>533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175" t="s">
        <v>1782</v>
      </c>
      <c r="R93" s="185">
        <v>42000</v>
      </c>
      <c r="S93" s="177">
        <v>43680</v>
      </c>
      <c r="T93" s="177">
        <v>45360</v>
      </c>
      <c r="U93" s="178"/>
      <c r="V93" s="176"/>
      <c r="W93" s="179">
        <v>500</v>
      </c>
    </row>
    <row r="94" spans="1:25">
      <c r="A94" s="124" t="s">
        <v>1803</v>
      </c>
      <c r="B94" s="56" t="s">
        <v>1804</v>
      </c>
      <c r="C94" s="5">
        <v>2</v>
      </c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2</v>
      </c>
      <c r="O94" s="60"/>
      <c r="P94" s="48"/>
      <c r="Q94" s="181">
        <v>52561.488908400599</v>
      </c>
      <c r="R94" s="185">
        <v>52561.488908400599</v>
      </c>
      <c r="S94" s="177">
        <v>54663.948464736626</v>
      </c>
      <c r="T94" s="177">
        <v>56766.408021072646</v>
      </c>
      <c r="U94" s="178"/>
      <c r="V94" s="176"/>
      <c r="W94" s="176"/>
    </row>
    <row r="95" spans="1:25">
      <c r="A95" s="124" t="s">
        <v>88</v>
      </c>
      <c r="B95" s="56" t="s">
        <v>534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175" t="s">
        <v>1782</v>
      </c>
      <c r="R95" s="185">
        <v>52000</v>
      </c>
      <c r="S95" s="177">
        <v>54080</v>
      </c>
      <c r="T95" s="177">
        <v>56160</v>
      </c>
      <c r="U95" s="178"/>
      <c r="V95" s="176"/>
      <c r="W95" s="179">
        <v>500</v>
      </c>
    </row>
    <row r="96" spans="1:25">
      <c r="A96" s="124" t="s">
        <v>1446</v>
      </c>
      <c r="B96" s="56" t="s">
        <v>535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175" t="s">
        <v>1782</v>
      </c>
      <c r="R96" s="185">
        <v>55000</v>
      </c>
      <c r="S96" s="177">
        <v>57200</v>
      </c>
      <c r="T96" s="177">
        <v>59400</v>
      </c>
      <c r="U96" s="178"/>
      <c r="V96" s="176"/>
      <c r="W96" s="179">
        <v>500</v>
      </c>
    </row>
    <row r="97" spans="1:23">
      <c r="A97" s="123" t="s">
        <v>1441</v>
      </c>
      <c r="B97" s="56" t="s">
        <v>531</v>
      </c>
      <c r="C97" s="5">
        <v>14</v>
      </c>
      <c r="D97" s="5"/>
      <c r="E97" s="6"/>
      <c r="F97" s="6">
        <v>1</v>
      </c>
      <c r="G97" s="6"/>
      <c r="H97" s="6"/>
      <c r="I97" s="7">
        <v>1</v>
      </c>
      <c r="J97" s="7">
        <v>1</v>
      </c>
      <c r="K97" s="6">
        <v>1</v>
      </c>
      <c r="L97" s="6"/>
      <c r="M97" s="7"/>
      <c r="N97" s="59">
        <f t="shared" si="3"/>
        <v>18</v>
      </c>
      <c r="O97" s="60"/>
      <c r="P97" s="48"/>
      <c r="Q97" s="181">
        <v>47147.984595873975</v>
      </c>
      <c r="R97" s="174">
        <v>44790.585366080275</v>
      </c>
      <c r="S97" s="177">
        <v>46582.208780723486</v>
      </c>
      <c r="T97" s="177">
        <v>48373.832195366696</v>
      </c>
      <c r="U97" s="178"/>
      <c r="V97" s="176"/>
      <c r="W97" s="182"/>
    </row>
    <row r="98" spans="1:23">
      <c r="A98" s="123" t="s">
        <v>1448</v>
      </c>
      <c r="B98" s="56" t="s">
        <v>1449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59">
        <f t="shared" si="3"/>
        <v>24</v>
      </c>
      <c r="O98" s="60"/>
      <c r="P98" s="48"/>
      <c r="Q98" s="181">
        <v>47289.815559320137</v>
      </c>
      <c r="R98" s="174">
        <v>44925.324781354131</v>
      </c>
      <c r="S98" s="177">
        <v>46722.337772608298</v>
      </c>
      <c r="T98" s="177">
        <v>48519.350763862458</v>
      </c>
      <c r="U98" s="178"/>
      <c r="V98" s="176"/>
      <c r="W98" s="182"/>
    </row>
    <row r="99" spans="1:23">
      <c r="A99" s="127" t="s">
        <v>1450</v>
      </c>
      <c r="B99" s="56" t="s">
        <v>536</v>
      </c>
      <c r="C99" s="5">
        <v>7</v>
      </c>
      <c r="D99" s="5"/>
      <c r="E99" s="6"/>
      <c r="F99" s="6"/>
      <c r="G99" s="6"/>
      <c r="H99" s="6"/>
      <c r="I99" s="7"/>
      <c r="J99" s="7"/>
      <c r="K99" s="6"/>
      <c r="L99" s="6"/>
      <c r="M99" s="7"/>
      <c r="N99" s="59">
        <f t="shared" si="3"/>
        <v>7</v>
      </c>
      <c r="O99" s="60"/>
      <c r="P99" s="48"/>
      <c r="Q99" s="181">
        <v>50367.146466691978</v>
      </c>
      <c r="R99" s="174">
        <v>47848.789143357382</v>
      </c>
      <c r="S99" s="177">
        <v>49762.740709091675</v>
      </c>
      <c r="T99" s="177">
        <v>51676.692274825975</v>
      </c>
      <c r="U99" s="178"/>
      <c r="V99" s="176"/>
      <c r="W99" s="182"/>
    </row>
    <row r="100" spans="1:23">
      <c r="A100" s="128" t="s">
        <v>90</v>
      </c>
      <c r="B100" s="56" t="s">
        <v>536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175" t="s">
        <v>1782</v>
      </c>
      <c r="R100" s="176">
        <v>40000</v>
      </c>
      <c r="S100" s="177">
        <v>41600</v>
      </c>
      <c r="T100" s="177">
        <v>43200</v>
      </c>
      <c r="U100" s="178"/>
      <c r="V100" s="176"/>
      <c r="W100" s="179">
        <v>500</v>
      </c>
    </row>
    <row r="101" spans="1:23">
      <c r="A101" s="128" t="s">
        <v>91</v>
      </c>
      <c r="B101" s="56" t="s">
        <v>537</v>
      </c>
      <c r="C101" s="5">
        <v>52</v>
      </c>
      <c r="D101" s="5"/>
      <c r="E101" s="6"/>
      <c r="F101" s="6"/>
      <c r="G101" s="6"/>
      <c r="H101" s="6"/>
      <c r="I101" s="7">
        <v>2</v>
      </c>
      <c r="J101" s="7">
        <v>1</v>
      </c>
      <c r="K101" s="6">
        <v>1</v>
      </c>
      <c r="L101" s="6">
        <v>1</v>
      </c>
      <c r="M101" s="7">
        <v>1</v>
      </c>
      <c r="N101" s="59">
        <f t="shared" si="3"/>
        <v>58</v>
      </c>
      <c r="O101" s="60"/>
      <c r="P101" s="48"/>
      <c r="Q101" s="181">
        <v>48992.310366043464</v>
      </c>
      <c r="R101" s="174">
        <v>46542.694847741288</v>
      </c>
      <c r="S101" s="177">
        <v>48404.402641650937</v>
      </c>
      <c r="T101" s="177">
        <v>50266.110435560593</v>
      </c>
      <c r="U101" s="178"/>
      <c r="V101" s="176"/>
      <c r="W101" s="182"/>
    </row>
    <row r="102" spans="1:23">
      <c r="A102" s="129" t="s">
        <v>92</v>
      </c>
      <c r="B102" s="56" t="s">
        <v>909</v>
      </c>
      <c r="C102" s="5">
        <v>69</v>
      </c>
      <c r="D102" s="5"/>
      <c r="E102" s="6"/>
      <c r="F102" s="6"/>
      <c r="G102" s="6"/>
      <c r="H102" s="6"/>
      <c r="I102" s="7">
        <v>1</v>
      </c>
      <c r="J102" s="7">
        <v>1</v>
      </c>
      <c r="K102" s="6">
        <v>1</v>
      </c>
      <c r="L102" s="6"/>
      <c r="M102" s="7">
        <v>1</v>
      </c>
      <c r="N102" s="59">
        <f t="shared" si="3"/>
        <v>73</v>
      </c>
      <c r="O102" s="60"/>
      <c r="P102" s="48"/>
      <c r="Q102" s="181">
        <v>52387.95330734842</v>
      </c>
      <c r="R102" s="174">
        <v>49768.555641981002</v>
      </c>
      <c r="S102" s="177">
        <v>51759.297867660243</v>
      </c>
      <c r="T102" s="177">
        <v>53750.040093339485</v>
      </c>
      <c r="U102" s="178"/>
      <c r="V102" s="176"/>
      <c r="W102" s="182"/>
    </row>
    <row r="103" spans="1:23">
      <c r="A103" s="128" t="s">
        <v>1796</v>
      </c>
      <c r="B103" s="56" t="s">
        <v>1797</v>
      </c>
      <c r="C103" s="5">
        <v>2</v>
      </c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59">
        <f t="shared" si="3"/>
        <v>2</v>
      </c>
      <c r="O103" s="60"/>
      <c r="P103" s="48"/>
      <c r="Q103" s="181">
        <v>62780.288082804618</v>
      </c>
      <c r="R103" s="176">
        <v>62780.288082804618</v>
      </c>
      <c r="S103" s="177">
        <v>65291.499606116806</v>
      </c>
      <c r="T103" s="177">
        <v>67802.711129428993</v>
      </c>
      <c r="U103" s="178"/>
      <c r="V103" s="176"/>
      <c r="W103" s="182"/>
    </row>
    <row r="104" spans="1:23">
      <c r="A104" s="128" t="s">
        <v>1799</v>
      </c>
      <c r="B104" s="56" t="s">
        <v>1800</v>
      </c>
      <c r="C104" s="5"/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59">
        <f t="shared" si="3"/>
        <v>0</v>
      </c>
      <c r="O104" s="60">
        <v>2</v>
      </c>
      <c r="P104" s="48"/>
      <c r="Q104" s="181">
        <v>60958.457320099915</v>
      </c>
      <c r="R104" s="176">
        <v>60958.457320099915</v>
      </c>
      <c r="S104" s="177">
        <v>63396.795612903908</v>
      </c>
      <c r="T104" s="177">
        <v>65835.133905707902</v>
      </c>
      <c r="U104" s="178"/>
      <c r="V104" s="176"/>
      <c r="W104" s="182"/>
    </row>
    <row r="105" spans="1:23">
      <c r="A105" s="131" t="s">
        <v>94</v>
      </c>
      <c r="B105" s="56" t="s">
        <v>538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59">
        <f t="shared" si="3"/>
        <v>2</v>
      </c>
      <c r="O105" s="60"/>
      <c r="P105" s="48"/>
      <c r="Q105" s="175" t="s">
        <v>1782</v>
      </c>
      <c r="R105" s="176">
        <v>40000</v>
      </c>
      <c r="S105" s="177">
        <v>41600</v>
      </c>
      <c r="T105" s="177">
        <v>43200</v>
      </c>
      <c r="U105" s="178"/>
      <c r="V105" s="176"/>
      <c r="W105" s="179">
        <v>500</v>
      </c>
    </row>
    <row r="106" spans="1:23">
      <c r="A106" s="131" t="s">
        <v>95</v>
      </c>
      <c r="B106" s="56" t="s">
        <v>534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59">
        <f t="shared" si="3"/>
        <v>1</v>
      </c>
      <c r="O106" s="60"/>
      <c r="P106" s="48"/>
      <c r="Q106" s="175" t="s">
        <v>1782</v>
      </c>
      <c r="R106" s="176">
        <v>40000</v>
      </c>
      <c r="S106" s="177">
        <v>41600</v>
      </c>
      <c r="T106" s="177">
        <v>43200</v>
      </c>
      <c r="U106" s="178"/>
      <c r="V106" s="176"/>
      <c r="W106" s="179">
        <v>500</v>
      </c>
    </row>
    <row r="107" spans="1:23">
      <c r="A107" s="131" t="s">
        <v>96</v>
      </c>
      <c r="B107" s="56" t="s">
        <v>539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 t="shared" si="3"/>
        <v>2</v>
      </c>
      <c r="O107" s="60"/>
      <c r="P107" s="48"/>
      <c r="Q107" s="181">
        <v>83123.484182492699</v>
      </c>
      <c r="R107" s="187">
        <v>83123.484182492699</v>
      </c>
      <c r="S107" s="177">
        <v>86448.423549792409</v>
      </c>
      <c r="T107" s="177">
        <v>89773.362917092119</v>
      </c>
      <c r="U107" s="178"/>
      <c r="V107" s="176"/>
      <c r="W107" s="179">
        <v>500</v>
      </c>
    </row>
    <row r="108" spans="1:23" ht="30">
      <c r="A108" s="136" t="s">
        <v>97</v>
      </c>
      <c r="B108" s="56" t="s">
        <v>1849</v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>SUM(N78:N107)</f>
        <v>611</v>
      </c>
      <c r="O108" s="60"/>
      <c r="Q108" s="175"/>
      <c r="R108" s="182"/>
      <c r="S108" s="177"/>
      <c r="T108" s="177"/>
      <c r="U108" s="178"/>
      <c r="V108" s="176"/>
      <c r="W108" s="182"/>
    </row>
    <row r="109" spans="1:23">
      <c r="A109" s="124" t="s">
        <v>101</v>
      </c>
      <c r="B109" s="56" t="s">
        <v>540</v>
      </c>
      <c r="C109" s="5"/>
      <c r="D109" s="5"/>
      <c r="E109" s="6"/>
      <c r="F109" s="6"/>
      <c r="G109" s="6"/>
      <c r="H109" s="6"/>
      <c r="I109" s="7">
        <v>1</v>
      </c>
      <c r="J109" s="7"/>
      <c r="K109" s="6"/>
      <c r="L109" s="6"/>
      <c r="M109" s="7"/>
      <c r="N109" s="59">
        <f t="shared" ref="N109:N120" si="4">M109+K109+L109+J109+I109+H109+G109+F109+E109+D109+C109</f>
        <v>1</v>
      </c>
      <c r="O109" s="60"/>
      <c r="P109" s="48"/>
      <c r="Q109" s="175" t="s">
        <v>1782</v>
      </c>
      <c r="R109" s="198">
        <v>35000</v>
      </c>
      <c r="S109" s="177">
        <v>36400</v>
      </c>
      <c r="T109" s="177">
        <v>37800</v>
      </c>
      <c r="U109" s="178"/>
      <c r="V109" s="176"/>
      <c r="W109" s="179">
        <v>500</v>
      </c>
    </row>
    <row r="110" spans="1:23">
      <c r="A110" s="124" t="s">
        <v>102</v>
      </c>
      <c r="B110" s="56" t="s">
        <v>542</v>
      </c>
      <c r="C110" s="5">
        <v>310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59">
        <f t="shared" si="4"/>
        <v>315</v>
      </c>
      <c r="O110" s="60"/>
      <c r="P110" s="48"/>
      <c r="Q110" s="181">
        <v>40479.183630719002</v>
      </c>
      <c r="R110" s="199">
        <v>37645.640776568674</v>
      </c>
      <c r="S110" s="177">
        <v>39151.466407631422</v>
      </c>
      <c r="T110" s="177">
        <v>40657.29203869417</v>
      </c>
      <c r="U110" s="178"/>
      <c r="V110" s="176"/>
      <c r="W110" s="182"/>
    </row>
    <row r="111" spans="1:23">
      <c r="A111" s="137" t="s">
        <v>98</v>
      </c>
      <c r="B111" s="56" t="s">
        <v>540</v>
      </c>
      <c r="C111" s="5">
        <v>42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59">
        <f t="shared" si="4"/>
        <v>43</v>
      </c>
      <c r="O111" s="60">
        <v>13</v>
      </c>
      <c r="P111" s="48"/>
      <c r="Q111" s="181">
        <v>44577.292199844233</v>
      </c>
      <c r="R111" s="199">
        <v>41456.881745855135</v>
      </c>
      <c r="S111" s="177">
        <v>43115.157015689343</v>
      </c>
      <c r="T111" s="177">
        <v>44773.432285523544</v>
      </c>
      <c r="U111" s="178"/>
      <c r="V111" s="176"/>
      <c r="W111" s="182"/>
    </row>
    <row r="112" spans="1:23">
      <c r="A112" s="138" t="s">
        <v>1339</v>
      </c>
      <c r="B112" s="56" t="s">
        <v>1351</v>
      </c>
      <c r="C112" s="5">
        <v>210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59">
        <f t="shared" si="4"/>
        <v>213</v>
      </c>
      <c r="O112" s="60"/>
      <c r="P112" s="48"/>
      <c r="Q112" s="181">
        <v>46009.017809057535</v>
      </c>
      <c r="R112" s="199">
        <v>42788.386562423511</v>
      </c>
      <c r="S112" s="177">
        <v>44499.922024920452</v>
      </c>
      <c r="T112" s="177">
        <v>46211.457487417392</v>
      </c>
      <c r="U112" s="178"/>
      <c r="V112" s="176"/>
      <c r="W112" s="182"/>
    </row>
    <row r="113" spans="1:25">
      <c r="A113" s="124" t="s">
        <v>99</v>
      </c>
      <c r="B113" s="56" t="s">
        <v>540</v>
      </c>
      <c r="C113" s="5">
        <v>142</v>
      </c>
      <c r="D113" s="5"/>
      <c r="E113" s="6"/>
      <c r="F113" s="6"/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59">
        <f t="shared" si="4"/>
        <v>145</v>
      </c>
      <c r="O113" s="60"/>
      <c r="P113" s="64"/>
      <c r="Q113" s="181">
        <v>47420.871814843675</v>
      </c>
      <c r="R113" s="199">
        <v>44101.41078780462</v>
      </c>
      <c r="S113" s="177">
        <v>45865.467219316808</v>
      </c>
      <c r="T113" s="177">
        <v>47629.523650828989</v>
      </c>
      <c r="U113" s="178"/>
      <c r="V113" s="176"/>
      <c r="W113" s="186"/>
    </row>
    <row r="114" spans="1:25">
      <c r="A114" s="124" t="s">
        <v>103</v>
      </c>
      <c r="B114" s="56" t="s">
        <v>543</v>
      </c>
      <c r="C114" s="5">
        <v>36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59">
        <f t="shared" si="4"/>
        <v>40</v>
      </c>
      <c r="O114" s="60"/>
      <c r="P114" s="48"/>
      <c r="Q114" s="175" t="s">
        <v>1782</v>
      </c>
      <c r="R114" s="176">
        <v>38000</v>
      </c>
      <c r="S114" s="177">
        <v>39520</v>
      </c>
      <c r="T114" s="177">
        <v>41040</v>
      </c>
      <c r="U114" s="178"/>
      <c r="V114" s="176"/>
      <c r="W114" s="182">
        <v>250</v>
      </c>
    </row>
    <row r="115" spans="1:25">
      <c r="A115" s="124" t="s">
        <v>104</v>
      </c>
      <c r="B115" s="56" t="s">
        <v>544</v>
      </c>
      <c r="C115" s="5">
        <v>163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59">
        <f t="shared" si="4"/>
        <v>166</v>
      </c>
      <c r="O115" s="60"/>
      <c r="P115" s="48"/>
      <c r="Q115" s="181">
        <v>63125.29318633354</v>
      </c>
      <c r="R115" s="199">
        <v>58706.52266329019</v>
      </c>
      <c r="S115" s="177">
        <v>61054.783569821797</v>
      </c>
      <c r="T115" s="177">
        <v>63403.044476353403</v>
      </c>
      <c r="U115" s="178"/>
      <c r="V115" s="176"/>
      <c r="W115" s="182"/>
    </row>
    <row r="116" spans="1:25">
      <c r="A116" s="138" t="s">
        <v>105</v>
      </c>
      <c r="B116" s="56" t="s">
        <v>545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59">
        <f t="shared" si="4"/>
        <v>107</v>
      </c>
      <c r="O116" s="60">
        <v>5</v>
      </c>
      <c r="P116" s="48"/>
      <c r="Q116" s="181">
        <v>64173.815005360768</v>
      </c>
      <c r="R116" s="199">
        <v>59681.647954985514</v>
      </c>
      <c r="S116" s="177">
        <v>62068.913873184938</v>
      </c>
      <c r="T116" s="177">
        <v>64456.179791384355</v>
      </c>
      <c r="U116" s="178"/>
      <c r="V116" s="176"/>
      <c r="W116" s="182"/>
    </row>
    <row r="117" spans="1:25">
      <c r="A117" s="127" t="s">
        <v>468</v>
      </c>
      <c r="B117" s="56" t="s">
        <v>546</v>
      </c>
      <c r="C117" s="5">
        <v>345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59">
        <f t="shared" si="4"/>
        <v>346</v>
      </c>
      <c r="O117" s="60"/>
      <c r="P117" s="48"/>
      <c r="Q117" s="181">
        <v>44577.292199844233</v>
      </c>
      <c r="R117" s="199">
        <v>41456.881745855135</v>
      </c>
      <c r="S117" s="177">
        <v>43115.157015689343</v>
      </c>
      <c r="T117" s="177">
        <v>44773.432285523544</v>
      </c>
      <c r="U117" s="178"/>
      <c r="V117" s="176"/>
      <c r="W117" s="177"/>
    </row>
    <row r="118" spans="1:25">
      <c r="A118" s="129" t="s">
        <v>1308</v>
      </c>
      <c r="B118" s="56" t="s">
        <v>1309</v>
      </c>
      <c r="C118" s="5">
        <v>129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59">
        <f t="shared" si="4"/>
        <v>133</v>
      </c>
      <c r="O118" s="60"/>
      <c r="P118" s="48"/>
      <c r="Q118" s="181">
        <v>49356.830997552024</v>
      </c>
      <c r="R118" s="199">
        <v>45901.852827723385</v>
      </c>
      <c r="S118" s="177">
        <v>47737.926940832323</v>
      </c>
      <c r="T118" s="177">
        <v>49574.001053941254</v>
      </c>
      <c r="U118" s="178"/>
      <c r="V118" s="176"/>
      <c r="W118" s="177"/>
    </row>
    <row r="119" spans="1:25">
      <c r="A119" s="127" t="s">
        <v>107</v>
      </c>
      <c r="B119" s="56" t="s">
        <v>547</v>
      </c>
      <c r="C119" s="5">
        <v>24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59">
        <f t="shared" si="4"/>
        <v>26</v>
      </c>
      <c r="O119" s="60">
        <v>1</v>
      </c>
      <c r="P119" s="48"/>
      <c r="Q119" s="181">
        <v>48902.5623757086</v>
      </c>
      <c r="R119" s="199">
        <v>45479.383009409001</v>
      </c>
      <c r="S119" s="177">
        <v>47298.558329785359</v>
      </c>
      <c r="T119" s="177">
        <v>49117.733650161725</v>
      </c>
      <c r="U119" s="178"/>
      <c r="V119" s="176"/>
      <c r="W119" s="182"/>
    </row>
    <row r="120" spans="1:25">
      <c r="A120" s="124" t="s">
        <v>100</v>
      </c>
      <c r="B120" s="56" t="s">
        <v>541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59">
        <f t="shared" si="4"/>
        <v>3</v>
      </c>
      <c r="O120" s="60"/>
      <c r="P120" s="48"/>
      <c r="Q120" s="175" t="s">
        <v>1782</v>
      </c>
      <c r="R120" s="198">
        <v>35000</v>
      </c>
      <c r="S120" s="177">
        <v>36400</v>
      </c>
      <c r="T120" s="177">
        <v>37800</v>
      </c>
      <c r="U120" s="178"/>
      <c r="V120" s="176"/>
      <c r="W120" s="179">
        <v>1000</v>
      </c>
    </row>
    <row r="121" spans="1:25" s="10" customFormat="1" ht="34.5" customHeight="1">
      <c r="A121" s="139" t="s">
        <v>108</v>
      </c>
      <c r="B121" s="56" t="s">
        <v>1849</v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59">
        <f>SUM(N109:N120)</f>
        <v>1538</v>
      </c>
      <c r="O121" s="60"/>
      <c r="P121" s="48"/>
      <c r="Q121" s="175"/>
      <c r="R121" s="187"/>
      <c r="S121" s="177"/>
      <c r="T121" s="177"/>
      <c r="U121" s="178"/>
      <c r="V121" s="176"/>
      <c r="W121" s="187"/>
      <c r="X121" s="180"/>
      <c r="Y121" s="65"/>
    </row>
    <row r="122" spans="1:25">
      <c r="A122" s="124" t="s">
        <v>111</v>
      </c>
      <c r="B122" s="56" t="s">
        <v>883</v>
      </c>
      <c r="C122" s="5">
        <v>17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59">
        <f t="shared" ref="N122:N147" si="5">M122+K122+L122+J122+I122+H122+G122+F122+E122+D122+C122</f>
        <v>18</v>
      </c>
      <c r="O122" s="60">
        <v>1</v>
      </c>
      <c r="P122" s="48"/>
      <c r="Q122" s="181">
        <v>41657.630418962712</v>
      </c>
      <c r="R122" s="174">
        <v>39574.748898014579</v>
      </c>
      <c r="S122" s="177">
        <v>41157.73885393516</v>
      </c>
      <c r="T122" s="177">
        <v>42740.728809855747</v>
      </c>
      <c r="U122" s="178"/>
      <c r="V122" s="176"/>
      <c r="W122" s="182"/>
    </row>
    <row r="123" spans="1:25">
      <c r="A123" s="126" t="s">
        <v>112</v>
      </c>
      <c r="B123" s="56" t="s">
        <v>881</v>
      </c>
      <c r="C123" s="5">
        <v>101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59">
        <f t="shared" si="5"/>
        <v>105</v>
      </c>
      <c r="O123" s="60">
        <v>1</v>
      </c>
      <c r="P123" s="48"/>
      <c r="Q123" s="181">
        <v>43389.161947710978</v>
      </c>
      <c r="R123" s="199">
        <v>40351.920611371206</v>
      </c>
      <c r="S123" s="177">
        <v>41965.997435826052</v>
      </c>
      <c r="T123" s="177">
        <v>43580.074260280904</v>
      </c>
      <c r="U123" s="178"/>
      <c r="V123" s="176"/>
      <c r="W123" s="182"/>
    </row>
    <row r="124" spans="1:25">
      <c r="A124" s="124" t="s">
        <v>110</v>
      </c>
      <c r="B124" s="56" t="s">
        <v>885</v>
      </c>
      <c r="C124" s="5">
        <v>42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59">
        <f t="shared" si="5"/>
        <v>42</v>
      </c>
      <c r="O124" s="60"/>
      <c r="P124" s="48"/>
      <c r="Q124" s="181">
        <v>38654.881582706876</v>
      </c>
      <c r="R124" s="199">
        <v>35949.039871917397</v>
      </c>
      <c r="S124" s="177">
        <v>37387.001466794092</v>
      </c>
      <c r="T124" s="177">
        <v>38824.963061670787</v>
      </c>
      <c r="U124" s="178"/>
      <c r="V124" s="176"/>
      <c r="W124" s="182"/>
    </row>
    <row r="125" spans="1:25">
      <c r="A125" s="124" t="s">
        <v>113</v>
      </c>
      <c r="B125" s="56" t="s">
        <v>551</v>
      </c>
      <c r="C125" s="5">
        <v>50</v>
      </c>
      <c r="D125" s="5"/>
      <c r="E125" s="6"/>
      <c r="F125" s="6"/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59">
        <f t="shared" si="5"/>
        <v>54</v>
      </c>
      <c r="O125" s="60"/>
      <c r="P125" s="68" t="s">
        <v>1544</v>
      </c>
      <c r="Q125" s="181">
        <v>28392.60538072262</v>
      </c>
      <c r="R125" s="187">
        <v>28500</v>
      </c>
      <c r="S125" s="177">
        <v>29640</v>
      </c>
      <c r="T125" s="177">
        <v>30780</v>
      </c>
      <c r="U125" s="178"/>
      <c r="V125" s="176"/>
      <c r="W125" s="182"/>
    </row>
    <row r="126" spans="1:25">
      <c r="A126" s="124" t="s">
        <v>114</v>
      </c>
      <c r="B126" s="56" t="s">
        <v>552</v>
      </c>
      <c r="C126" s="5">
        <v>5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59">
        <f t="shared" si="5"/>
        <v>10</v>
      </c>
      <c r="O126" s="60"/>
      <c r="P126" s="68" t="s">
        <v>1544</v>
      </c>
      <c r="Q126" s="181">
        <v>27155.374846273568</v>
      </c>
      <c r="R126" s="187">
        <v>28500</v>
      </c>
      <c r="S126" s="177">
        <v>29640</v>
      </c>
      <c r="T126" s="177">
        <v>30780</v>
      </c>
      <c r="U126" s="178">
        <v>783.28182301775098</v>
      </c>
      <c r="V126" s="176"/>
      <c r="W126" s="182"/>
    </row>
    <row r="127" spans="1:25">
      <c r="A127" s="124" t="s">
        <v>1415</v>
      </c>
      <c r="B127" s="56" t="s">
        <v>558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59">
        <f t="shared" si="5"/>
        <v>1</v>
      </c>
      <c r="O127" s="60"/>
      <c r="P127" s="60"/>
      <c r="Q127" s="175" t="s">
        <v>1782</v>
      </c>
      <c r="R127" s="187">
        <v>30000</v>
      </c>
      <c r="S127" s="177">
        <v>31200</v>
      </c>
      <c r="T127" s="177">
        <v>32400</v>
      </c>
      <c r="U127" s="178"/>
      <c r="V127" s="176"/>
      <c r="W127" s="179">
        <v>1000</v>
      </c>
    </row>
    <row r="128" spans="1:25">
      <c r="A128" s="124" t="s">
        <v>124</v>
      </c>
      <c r="B128" s="56" t="s">
        <v>550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59">
        <f t="shared" si="5"/>
        <v>1</v>
      </c>
      <c r="O128" s="60"/>
      <c r="P128" s="48"/>
      <c r="Q128" s="175" t="s">
        <v>1782</v>
      </c>
      <c r="R128" s="185">
        <v>33624</v>
      </c>
      <c r="S128" s="177">
        <v>34968.959999999999</v>
      </c>
      <c r="T128" s="177">
        <v>36313.919999999998</v>
      </c>
      <c r="U128" s="178"/>
      <c r="V128" s="176">
        <v>7623.5399999999991</v>
      </c>
      <c r="W128" s="179">
        <v>500</v>
      </c>
    </row>
    <row r="129" spans="1:23">
      <c r="A129" s="124" t="s">
        <v>125</v>
      </c>
      <c r="B129" s="56" t="s">
        <v>549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1</v>
      </c>
      <c r="M129" s="7"/>
      <c r="N129" s="59">
        <f t="shared" si="5"/>
        <v>3</v>
      </c>
      <c r="O129" s="60"/>
      <c r="P129" s="48"/>
      <c r="Q129" s="175" t="s">
        <v>1782</v>
      </c>
      <c r="R129" s="198">
        <v>35377</v>
      </c>
      <c r="S129" s="177">
        <v>36792.080000000002</v>
      </c>
      <c r="T129" s="177">
        <v>38207.160000000003</v>
      </c>
      <c r="U129" s="178"/>
      <c r="V129" s="176">
        <v>7376.8919999999998</v>
      </c>
      <c r="W129" s="179">
        <v>500</v>
      </c>
    </row>
    <row r="130" spans="1:23">
      <c r="A130" s="124" t="s">
        <v>115</v>
      </c>
      <c r="B130" s="56" t="s">
        <v>553</v>
      </c>
      <c r="C130" s="5">
        <v>65</v>
      </c>
      <c r="D130" s="5"/>
      <c r="E130" s="6"/>
      <c r="F130" s="6">
        <v>2</v>
      </c>
      <c r="G130" s="6"/>
      <c r="H130" s="6"/>
      <c r="I130" s="7"/>
      <c r="J130" s="7"/>
      <c r="K130" s="6">
        <v>1</v>
      </c>
      <c r="L130" s="6"/>
      <c r="M130" s="7"/>
      <c r="N130" s="59">
        <f t="shared" si="5"/>
        <v>68</v>
      </c>
      <c r="O130" s="60">
        <v>1</v>
      </c>
      <c r="P130" s="48"/>
      <c r="Q130" s="181">
        <v>34609.794751972418</v>
      </c>
      <c r="R130" s="183">
        <v>31191</v>
      </c>
      <c r="S130" s="191">
        <v>32438.639999999999</v>
      </c>
      <c r="T130" s="191">
        <v>33686.28</v>
      </c>
      <c r="U130" s="178">
        <v>3191.1901008096283</v>
      </c>
      <c r="V130" s="176"/>
      <c r="W130" s="182"/>
    </row>
    <row r="131" spans="1:23">
      <c r="A131" s="129" t="s">
        <v>116</v>
      </c>
      <c r="B131" s="56" t="s">
        <v>554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59">
        <f t="shared" si="5"/>
        <v>1</v>
      </c>
      <c r="O131" s="60"/>
      <c r="P131" s="48"/>
      <c r="Q131" s="175" t="s">
        <v>1782</v>
      </c>
      <c r="R131" s="198">
        <v>44765</v>
      </c>
      <c r="S131" s="177">
        <v>46555.6</v>
      </c>
      <c r="T131" s="177">
        <v>48346.2</v>
      </c>
      <c r="U131" s="178"/>
      <c r="V131" s="176"/>
      <c r="W131" s="179">
        <v>1000</v>
      </c>
    </row>
    <row r="132" spans="1:23">
      <c r="A132" s="138" t="s">
        <v>117</v>
      </c>
      <c r="B132" s="56" t="s">
        <v>555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59">
        <f t="shared" si="5"/>
        <v>2</v>
      </c>
      <c r="O132" s="60"/>
      <c r="P132" s="48"/>
      <c r="Q132" s="175" t="s">
        <v>1782</v>
      </c>
      <c r="R132" s="198">
        <v>43000</v>
      </c>
      <c r="S132" s="177">
        <v>44720</v>
      </c>
      <c r="T132" s="177">
        <v>46440</v>
      </c>
      <c r="U132" s="178"/>
      <c r="V132" s="176"/>
      <c r="W132" s="182"/>
    </row>
    <row r="133" spans="1:23">
      <c r="A133" s="140" t="s">
        <v>118</v>
      </c>
      <c r="B133" s="56" t="s">
        <v>556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59">
        <f t="shared" si="5"/>
        <v>6</v>
      </c>
      <c r="O133" s="60"/>
      <c r="P133" s="48"/>
      <c r="Q133" s="181">
        <v>45858.498018909566</v>
      </c>
      <c r="R133" s="174">
        <v>43565.573117964086</v>
      </c>
      <c r="S133" s="177">
        <v>45308.196042682648</v>
      </c>
      <c r="T133" s="177">
        <v>47050.81896740121</v>
      </c>
      <c r="U133" s="178"/>
      <c r="V133" s="176"/>
      <c r="W133" s="182"/>
    </row>
    <row r="134" spans="1:23">
      <c r="A134" s="126" t="s">
        <v>119</v>
      </c>
      <c r="B134" s="56" t="s">
        <v>557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59">
        <f t="shared" si="5"/>
        <v>4</v>
      </c>
      <c r="O134" s="60"/>
      <c r="P134" s="48"/>
      <c r="Q134" s="175" t="s">
        <v>1782</v>
      </c>
      <c r="R134" s="198">
        <v>36000</v>
      </c>
      <c r="S134" s="177">
        <v>37440</v>
      </c>
      <c r="T134" s="177">
        <v>38880</v>
      </c>
      <c r="U134" s="178"/>
      <c r="V134" s="176"/>
      <c r="W134" s="179">
        <v>500</v>
      </c>
    </row>
    <row r="135" spans="1:23">
      <c r="A135" s="141" t="s">
        <v>120</v>
      </c>
      <c r="B135" s="56" t="s">
        <v>558</v>
      </c>
      <c r="C135" s="5">
        <v>53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59">
        <f t="shared" si="5"/>
        <v>57</v>
      </c>
      <c r="O135" s="60"/>
      <c r="P135" s="64"/>
      <c r="Q135" s="181">
        <v>36240.481354441705</v>
      </c>
      <c r="R135" s="174">
        <v>34428.457286719618</v>
      </c>
      <c r="S135" s="177">
        <v>35805.595578188404</v>
      </c>
      <c r="T135" s="177">
        <v>37182.73386965719</v>
      </c>
      <c r="U135" s="178">
        <v>3682.3418195579834</v>
      </c>
      <c r="V135" s="176"/>
      <c r="W135" s="182"/>
    </row>
    <row r="136" spans="1:23">
      <c r="A136" s="141" t="s">
        <v>122</v>
      </c>
      <c r="B136" s="56" t="s">
        <v>560</v>
      </c>
      <c r="C136" s="5">
        <v>120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59">
        <f t="shared" si="5"/>
        <v>126</v>
      </c>
      <c r="O136" s="60">
        <v>1</v>
      </c>
      <c r="P136" s="64"/>
      <c r="Q136" s="181">
        <v>33948.361891003922</v>
      </c>
      <c r="R136" s="199">
        <v>31571.976558633647</v>
      </c>
      <c r="S136" s="177">
        <v>32834.855620978989</v>
      </c>
      <c r="T136" s="177">
        <v>34097.734683324335</v>
      </c>
      <c r="U136" s="178">
        <v>3750.687472399266</v>
      </c>
      <c r="V136" s="176"/>
      <c r="W136" s="182"/>
    </row>
    <row r="137" spans="1:23">
      <c r="A137" s="141" t="s">
        <v>121</v>
      </c>
      <c r="B137" s="56" t="s">
        <v>559</v>
      </c>
      <c r="C137" s="5">
        <v>2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59">
        <f t="shared" si="5"/>
        <v>6</v>
      </c>
      <c r="O137" s="60"/>
      <c r="P137" s="48"/>
      <c r="Q137" s="175" t="s">
        <v>1782</v>
      </c>
      <c r="R137" s="177">
        <v>33000</v>
      </c>
      <c r="S137" s="177">
        <v>34320</v>
      </c>
      <c r="T137" s="177">
        <v>35640</v>
      </c>
      <c r="U137" s="178"/>
      <c r="V137" s="176"/>
      <c r="W137" s="182"/>
    </row>
    <row r="138" spans="1:23">
      <c r="A138" s="124" t="s">
        <v>123</v>
      </c>
      <c r="B138" s="56" t="s">
        <v>561</v>
      </c>
      <c r="C138" s="5">
        <v>5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59">
        <f t="shared" si="5"/>
        <v>11</v>
      </c>
      <c r="O138" s="60"/>
      <c r="P138" s="48"/>
      <c r="Q138" s="175" t="s">
        <v>1782</v>
      </c>
      <c r="R138" s="177">
        <v>31000</v>
      </c>
      <c r="S138" s="177">
        <v>32240</v>
      </c>
      <c r="T138" s="177">
        <v>33480</v>
      </c>
      <c r="U138" s="178"/>
      <c r="V138" s="176"/>
      <c r="W138" s="182"/>
    </row>
    <row r="139" spans="1:23">
      <c r="A139" s="124" t="s">
        <v>126</v>
      </c>
      <c r="B139" s="56" t="s">
        <v>550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59">
        <f t="shared" si="5"/>
        <v>14</v>
      </c>
      <c r="O139" s="60"/>
      <c r="P139" s="48"/>
      <c r="Q139" s="181">
        <v>40906.640308709808</v>
      </c>
      <c r="R139" s="174">
        <v>38861.30829327432</v>
      </c>
      <c r="S139" s="177">
        <v>40415.760625005292</v>
      </c>
      <c r="T139" s="177">
        <v>41970.212956736264</v>
      </c>
      <c r="U139" s="178"/>
      <c r="V139" s="176"/>
      <c r="W139" s="182"/>
    </row>
    <row r="140" spans="1:23">
      <c r="A140" s="124" t="s">
        <v>109</v>
      </c>
      <c r="B140" s="56" t="s">
        <v>548</v>
      </c>
      <c r="C140" s="5">
        <v>17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59">
        <f t="shared" si="5"/>
        <v>17</v>
      </c>
      <c r="O140" s="60"/>
      <c r="P140" s="48"/>
      <c r="Q140" s="181">
        <v>42591.055237352906</v>
      </c>
      <c r="R140" s="174">
        <v>40461.502475485264</v>
      </c>
      <c r="S140" s="177">
        <v>42079.962574504672</v>
      </c>
      <c r="T140" s="177">
        <v>43698.422673524088</v>
      </c>
      <c r="U140" s="178"/>
      <c r="V140" s="176"/>
      <c r="W140" s="182"/>
    </row>
    <row r="141" spans="1:23">
      <c r="A141" s="141" t="s">
        <v>128</v>
      </c>
      <c r="B141" s="56" t="s">
        <v>548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59">
        <f t="shared" si="5"/>
        <v>6</v>
      </c>
      <c r="O141" s="60">
        <v>16</v>
      </c>
      <c r="P141" s="48"/>
      <c r="Q141" s="181">
        <v>48552.805622770371</v>
      </c>
      <c r="R141" s="174">
        <v>46125.165341631851</v>
      </c>
      <c r="S141" s="177">
        <v>47970.171955297126</v>
      </c>
      <c r="T141" s="177">
        <v>49815.178568962401</v>
      </c>
      <c r="U141" s="178"/>
      <c r="V141" s="176"/>
      <c r="W141" s="182"/>
    </row>
    <row r="142" spans="1:23">
      <c r="A142" s="141" t="s">
        <v>129</v>
      </c>
      <c r="B142" s="56" t="s">
        <v>883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59">
        <f t="shared" si="5"/>
        <v>2</v>
      </c>
      <c r="O142" s="60"/>
      <c r="P142" s="48"/>
      <c r="Q142" s="175" t="s">
        <v>1782</v>
      </c>
      <c r="R142" s="198">
        <v>49000</v>
      </c>
      <c r="S142" s="177">
        <v>50960</v>
      </c>
      <c r="T142" s="177">
        <v>52920</v>
      </c>
      <c r="U142" s="178"/>
      <c r="V142" s="176"/>
      <c r="W142" s="179">
        <v>1000</v>
      </c>
    </row>
    <row r="143" spans="1:23">
      <c r="A143" s="127" t="s">
        <v>132</v>
      </c>
      <c r="B143" s="56" t="s">
        <v>993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59">
        <f t="shared" si="5"/>
        <v>5</v>
      </c>
      <c r="O143" s="60"/>
      <c r="P143" s="48"/>
      <c r="Q143" s="181">
        <v>58104.846500596184</v>
      </c>
      <c r="R143" s="174">
        <v>55199.604175566375</v>
      </c>
      <c r="S143" s="177">
        <v>57407.588342589028</v>
      </c>
      <c r="T143" s="177">
        <v>59615.572509611688</v>
      </c>
      <c r="U143" s="178"/>
      <c r="V143" s="176"/>
      <c r="W143" s="182"/>
    </row>
    <row r="144" spans="1:23">
      <c r="A144" s="124" t="s">
        <v>127</v>
      </c>
      <c r="B144" s="56" t="s">
        <v>549</v>
      </c>
      <c r="C144" s="5">
        <v>5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59">
        <f t="shared" si="5"/>
        <v>6</v>
      </c>
      <c r="O144" s="60"/>
      <c r="P144" s="48"/>
      <c r="Q144" s="181">
        <v>38471.959497051292</v>
      </c>
      <c r="R144" s="187">
        <v>38471.959497051292</v>
      </c>
      <c r="S144" s="177">
        <v>40010.837876933343</v>
      </c>
      <c r="T144" s="177">
        <v>41549.716256815394</v>
      </c>
      <c r="U144" s="178"/>
      <c r="V144" s="176"/>
      <c r="W144" s="182"/>
    </row>
    <row r="145" spans="1:24">
      <c r="A145" s="124" t="s">
        <v>130</v>
      </c>
      <c r="B145" s="56" t="s">
        <v>562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59">
        <f t="shared" si="5"/>
        <v>1</v>
      </c>
      <c r="O145" s="60"/>
      <c r="P145" s="48"/>
      <c r="Q145" s="175" t="s">
        <v>1782</v>
      </c>
      <c r="R145" s="198">
        <v>43000</v>
      </c>
      <c r="S145" s="177">
        <v>44720</v>
      </c>
      <c r="T145" s="177">
        <v>46440</v>
      </c>
      <c r="U145" s="178"/>
      <c r="V145" s="176"/>
      <c r="W145" s="200">
        <v>1000</v>
      </c>
    </row>
    <row r="146" spans="1:24">
      <c r="A146" s="124" t="s">
        <v>131</v>
      </c>
      <c r="B146" s="56" t="s">
        <v>563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59">
        <f t="shared" si="5"/>
        <v>1</v>
      </c>
      <c r="O146" s="60"/>
      <c r="P146" s="48"/>
      <c r="Q146" s="175" t="s">
        <v>1782</v>
      </c>
      <c r="R146" s="176">
        <v>44000</v>
      </c>
      <c r="S146" s="177">
        <v>45760</v>
      </c>
      <c r="T146" s="177">
        <v>47520</v>
      </c>
      <c r="U146" s="178"/>
      <c r="V146" s="176"/>
      <c r="W146" s="200">
        <v>1000</v>
      </c>
    </row>
    <row r="147" spans="1:24">
      <c r="A147" s="141" t="s">
        <v>133</v>
      </c>
      <c r="B147" s="56" t="s">
        <v>564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59">
        <f t="shared" si="5"/>
        <v>30</v>
      </c>
      <c r="O147" s="60"/>
      <c r="P147" s="64"/>
      <c r="Q147" s="181">
        <v>63283.742233012534</v>
      </c>
      <c r="R147" s="199">
        <v>58853.880276701653</v>
      </c>
      <c r="S147" s="177">
        <v>61208.035487769717</v>
      </c>
      <c r="T147" s="177">
        <v>63562.190698837789</v>
      </c>
      <c r="U147" s="178"/>
      <c r="V147" s="176"/>
      <c r="W147" s="186"/>
    </row>
    <row r="148" spans="1:24" s="12" customFormat="1" ht="30">
      <c r="A148" s="142" t="s">
        <v>1547</v>
      </c>
      <c r="B148" s="56" t="s">
        <v>1849</v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59">
        <f>SUM(N122:N147)</f>
        <v>597</v>
      </c>
      <c r="O148" s="60"/>
      <c r="P148" s="48"/>
      <c r="Q148" s="175"/>
      <c r="R148" s="182"/>
      <c r="S148" s="177"/>
      <c r="T148" s="177"/>
      <c r="U148" s="178"/>
      <c r="V148" s="176"/>
      <c r="W148" s="182"/>
      <c r="X148" s="180"/>
    </row>
    <row r="149" spans="1:24">
      <c r="A149" s="123" t="s">
        <v>469</v>
      </c>
      <c r="B149" s="56" t="s">
        <v>1010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59">
        <f t="shared" ref="N149:N169" si="6">M149+K149+L149+J149+I149+H149+G149+F149+E149+D149+C149</f>
        <v>20</v>
      </c>
      <c r="O149" s="60">
        <v>1</v>
      </c>
      <c r="P149" s="48"/>
      <c r="Q149" s="181">
        <v>46302.450187445836</v>
      </c>
      <c r="R149" s="199">
        <v>43061.278674324625</v>
      </c>
      <c r="S149" s="177">
        <v>44783.729821297609</v>
      </c>
      <c r="T149" s="177">
        <v>46506.180968270593</v>
      </c>
      <c r="U149" s="178"/>
      <c r="V149" s="176"/>
      <c r="W149" s="182"/>
    </row>
    <row r="150" spans="1:24">
      <c r="A150" s="123" t="s">
        <v>470</v>
      </c>
      <c r="B150" s="56" t="s">
        <v>1012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59">
        <f t="shared" si="6"/>
        <v>11</v>
      </c>
      <c r="O150" s="60"/>
      <c r="P150" s="48"/>
      <c r="Q150" s="181">
        <v>46302.450187445836</v>
      </c>
      <c r="R150" s="199">
        <v>43061.278674324625</v>
      </c>
      <c r="S150" s="177">
        <v>44783.729821297609</v>
      </c>
      <c r="T150" s="177">
        <v>46506.180968270593</v>
      </c>
      <c r="U150" s="178"/>
      <c r="V150" s="176"/>
      <c r="W150" s="182"/>
    </row>
    <row r="151" spans="1:24">
      <c r="A151" s="123" t="s">
        <v>136</v>
      </c>
      <c r="B151" s="56" t="s">
        <v>566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59">
        <f t="shared" si="6"/>
        <v>1</v>
      </c>
      <c r="O151" s="60"/>
      <c r="P151" s="48"/>
      <c r="Q151" s="175" t="s">
        <v>1782</v>
      </c>
      <c r="R151" s="176">
        <v>20000</v>
      </c>
      <c r="S151" s="177">
        <v>20800</v>
      </c>
      <c r="T151" s="177">
        <v>21600</v>
      </c>
      <c r="U151" s="178"/>
      <c r="V151" s="176"/>
      <c r="W151" s="179">
        <v>500</v>
      </c>
    </row>
    <row r="152" spans="1:24">
      <c r="A152" s="123" t="s">
        <v>135</v>
      </c>
      <c r="B152" s="56" t="s">
        <v>566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59">
        <f t="shared" si="6"/>
        <v>2</v>
      </c>
      <c r="O152" s="60"/>
      <c r="P152" s="48"/>
      <c r="Q152" s="175" t="s">
        <v>1782</v>
      </c>
      <c r="R152" s="176">
        <v>22140</v>
      </c>
      <c r="S152" s="177">
        <v>23025.599999999999</v>
      </c>
      <c r="T152" s="177">
        <v>23911.200000000001</v>
      </c>
      <c r="U152" s="178"/>
      <c r="V152" s="176">
        <v>2139.9119999999998</v>
      </c>
      <c r="W152" s="179">
        <v>500</v>
      </c>
    </row>
    <row r="153" spans="1:24">
      <c r="A153" s="123" t="s">
        <v>1776</v>
      </c>
      <c r="B153" s="56" t="s">
        <v>569</v>
      </c>
      <c r="C153" s="5"/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59">
        <f t="shared" si="6"/>
        <v>0</v>
      </c>
      <c r="O153" s="60"/>
      <c r="P153" s="48"/>
      <c r="Q153" s="181">
        <v>39106.282627840912</v>
      </c>
      <c r="R153" s="187">
        <v>39106.282627840912</v>
      </c>
      <c r="S153" s="177">
        <v>40670.533932954546</v>
      </c>
      <c r="T153" s="177">
        <v>42234.785238068187</v>
      </c>
      <c r="U153" s="178"/>
      <c r="V153" s="176"/>
      <c r="W153" s="182"/>
    </row>
    <row r="154" spans="1:24">
      <c r="A154" s="123" t="s">
        <v>139</v>
      </c>
      <c r="B154" s="56" t="s">
        <v>569</v>
      </c>
      <c r="C154" s="5">
        <v>15</v>
      </c>
      <c r="D154" s="5"/>
      <c r="E154" s="6"/>
      <c r="F154" s="6">
        <v>1</v>
      </c>
      <c r="G154" s="6"/>
      <c r="H154" s="6"/>
      <c r="I154" s="7"/>
      <c r="J154" s="7"/>
      <c r="K154" s="6">
        <v>1</v>
      </c>
      <c r="L154" s="6"/>
      <c r="M154" s="7">
        <v>1</v>
      </c>
      <c r="N154" s="59">
        <f t="shared" si="6"/>
        <v>18</v>
      </c>
      <c r="O154" s="60"/>
      <c r="P154" s="48"/>
      <c r="Q154" s="181">
        <v>37178.88943312272</v>
      </c>
      <c r="R154" s="199">
        <v>34576.36717280413</v>
      </c>
      <c r="S154" s="177">
        <v>35959.421859716298</v>
      </c>
      <c r="T154" s="177">
        <v>37342.476546628459</v>
      </c>
      <c r="U154" s="178"/>
      <c r="V154" s="176"/>
      <c r="W154" s="182"/>
    </row>
    <row r="155" spans="1:24">
      <c r="A155" s="127" t="s">
        <v>137</v>
      </c>
      <c r="B155" s="56" t="s">
        <v>567</v>
      </c>
      <c r="C155" s="5">
        <v>9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59">
        <f t="shared" si="6"/>
        <v>13</v>
      </c>
      <c r="O155" s="60">
        <v>1</v>
      </c>
      <c r="P155" s="48"/>
      <c r="Q155" s="181">
        <v>39113.386376596158</v>
      </c>
      <c r="R155" s="174">
        <v>37157.717057766349</v>
      </c>
      <c r="S155" s="177">
        <v>38644.025740077006</v>
      </c>
      <c r="T155" s="177">
        <v>40130.334422387656</v>
      </c>
      <c r="U155" s="178"/>
      <c r="V155" s="176"/>
      <c r="W155" s="182"/>
    </row>
    <row r="156" spans="1:24">
      <c r="A156" s="123" t="s">
        <v>138</v>
      </c>
      <c r="B156" s="56" t="s">
        <v>568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59">
        <f t="shared" si="6"/>
        <v>3</v>
      </c>
      <c r="O156" s="60"/>
      <c r="P156" s="48"/>
      <c r="Q156" s="175" t="s">
        <v>1782</v>
      </c>
      <c r="R156" s="198">
        <v>27756.046587678491</v>
      </c>
      <c r="S156" s="177">
        <v>28866.288451185632</v>
      </c>
      <c r="T156" s="177">
        <v>29976.530314692769</v>
      </c>
      <c r="U156" s="178"/>
      <c r="V156" s="176"/>
      <c r="W156" s="182"/>
    </row>
    <row r="157" spans="1:24">
      <c r="A157" s="143" t="s">
        <v>141</v>
      </c>
      <c r="B157" s="56" t="s">
        <v>570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59">
        <f t="shared" si="6"/>
        <v>15</v>
      </c>
      <c r="O157" s="60"/>
      <c r="P157" s="48"/>
      <c r="Q157" s="181">
        <v>51145.09185598667</v>
      </c>
      <c r="R157" s="199">
        <v>47564.935426067605</v>
      </c>
      <c r="S157" s="177">
        <v>49467.532843110312</v>
      </c>
      <c r="T157" s="177">
        <v>51370.130260153011</v>
      </c>
      <c r="U157" s="178"/>
      <c r="V157" s="176"/>
      <c r="W157" s="182"/>
    </row>
    <row r="158" spans="1:24">
      <c r="A158" s="123" t="s">
        <v>142</v>
      </c>
      <c r="B158" s="56" t="s">
        <v>571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59">
        <f t="shared" si="6"/>
        <v>1</v>
      </c>
      <c r="O158" s="60"/>
      <c r="P158" s="48"/>
      <c r="Q158" s="175" t="s">
        <v>1782</v>
      </c>
      <c r="R158" s="185">
        <v>50000</v>
      </c>
      <c r="S158" s="177">
        <v>52000</v>
      </c>
      <c r="T158" s="177">
        <v>54000</v>
      </c>
      <c r="U158" s="178"/>
      <c r="V158" s="176"/>
      <c r="W158" s="179">
        <v>500</v>
      </c>
    </row>
    <row r="159" spans="1:24">
      <c r="A159" s="143" t="s">
        <v>143</v>
      </c>
      <c r="B159" s="56" t="s">
        <v>571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59">
        <f t="shared" si="6"/>
        <v>2</v>
      </c>
      <c r="O159" s="60"/>
      <c r="P159" s="48"/>
      <c r="Q159" s="181">
        <v>79339.839835346269</v>
      </c>
      <c r="R159" s="187">
        <v>79339.839835346269</v>
      </c>
      <c r="S159" s="177">
        <v>82513.433428760123</v>
      </c>
      <c r="T159" s="177">
        <v>85687.027022173977</v>
      </c>
      <c r="U159" s="178"/>
      <c r="V159" s="176"/>
      <c r="W159" s="182"/>
    </row>
    <row r="160" spans="1:24">
      <c r="A160" s="123" t="s">
        <v>144</v>
      </c>
      <c r="B160" s="56" t="s">
        <v>572</v>
      </c>
      <c r="C160" s="5">
        <v>6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59">
        <f t="shared" si="6"/>
        <v>9</v>
      </c>
      <c r="O160" s="60"/>
      <c r="P160" s="48"/>
      <c r="Q160" s="181">
        <v>38589.565951951226</v>
      </c>
      <c r="R160" s="187">
        <v>38589.565951951226</v>
      </c>
      <c r="S160" s="177">
        <v>40133.148590029276</v>
      </c>
      <c r="T160" s="177">
        <v>41676.731228107325</v>
      </c>
      <c r="U160" s="178"/>
      <c r="V160" s="176"/>
      <c r="W160" s="182"/>
    </row>
    <row r="161" spans="1:24">
      <c r="A161" s="129" t="s">
        <v>146</v>
      </c>
      <c r="B161" s="56" t="s">
        <v>574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59">
        <f t="shared" si="6"/>
        <v>1</v>
      </c>
      <c r="O161" s="60"/>
      <c r="P161" s="48"/>
      <c r="Q161" s="175" t="s">
        <v>1782</v>
      </c>
      <c r="R161" s="176">
        <v>42000</v>
      </c>
      <c r="S161" s="177">
        <v>43680</v>
      </c>
      <c r="T161" s="177">
        <v>45360</v>
      </c>
      <c r="U161" s="178"/>
      <c r="V161" s="176"/>
      <c r="W161" s="179">
        <v>500</v>
      </c>
    </row>
    <row r="162" spans="1:24">
      <c r="A162" s="128" t="s">
        <v>1777</v>
      </c>
      <c r="B162" s="56" t="s">
        <v>574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59">
        <f t="shared" si="6"/>
        <v>6</v>
      </c>
      <c r="O162" s="60"/>
      <c r="P162" s="48"/>
      <c r="Q162" s="181">
        <v>55691.582916666674</v>
      </c>
      <c r="R162" s="187">
        <v>55691.582916666674</v>
      </c>
      <c r="S162" s="177">
        <v>57919.246233333339</v>
      </c>
      <c r="T162" s="177">
        <v>60146.909550000011</v>
      </c>
      <c r="U162" s="178"/>
      <c r="V162" s="176"/>
      <c r="W162" s="182"/>
    </row>
    <row r="163" spans="1:24">
      <c r="A163" s="141" t="s">
        <v>1551</v>
      </c>
      <c r="B163" s="56" t="s">
        <v>575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59">
        <f t="shared" si="6"/>
        <v>2</v>
      </c>
      <c r="O163" s="60"/>
      <c r="P163" s="48"/>
      <c r="Q163" s="181">
        <v>63630.727610470603</v>
      </c>
      <c r="R163" s="187">
        <v>63630.727610470603</v>
      </c>
      <c r="S163" s="177">
        <v>66175.956714889428</v>
      </c>
      <c r="T163" s="177">
        <v>68721.185819308244</v>
      </c>
      <c r="U163" s="178"/>
      <c r="V163" s="176"/>
      <c r="W163" s="182"/>
    </row>
    <row r="164" spans="1:24">
      <c r="A164" s="127" t="s">
        <v>149</v>
      </c>
      <c r="B164" s="56" t="s">
        <v>576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59">
        <f t="shared" si="6"/>
        <v>3</v>
      </c>
      <c r="O164" s="60"/>
      <c r="P164" s="48"/>
      <c r="Q164" s="175" t="s">
        <v>1782</v>
      </c>
      <c r="R164" s="193">
        <v>80000</v>
      </c>
      <c r="S164" s="177">
        <v>83200</v>
      </c>
      <c r="T164" s="177">
        <v>86400</v>
      </c>
      <c r="U164" s="178"/>
      <c r="V164" s="176"/>
      <c r="W164" s="182">
        <v>250</v>
      </c>
    </row>
    <row r="165" spans="1:24">
      <c r="A165" s="127" t="s">
        <v>1502</v>
      </c>
      <c r="B165" s="56" t="s">
        <v>576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95">
        <v>103804.65752271106</v>
      </c>
      <c r="R165" s="195">
        <v>93424.191770439953</v>
      </c>
      <c r="S165" s="177">
        <v>97161.15944125755</v>
      </c>
      <c r="T165" s="177">
        <v>100898.12711207515</v>
      </c>
      <c r="U165" s="178"/>
      <c r="V165" s="176"/>
      <c r="W165" s="182">
        <v>250</v>
      </c>
    </row>
    <row r="166" spans="1:24">
      <c r="A166" s="127" t="s">
        <v>148</v>
      </c>
      <c r="B166" s="56" t="s">
        <v>577</v>
      </c>
      <c r="C166" s="5"/>
      <c r="D166" s="5">
        <v>3</v>
      </c>
      <c r="E166" s="6"/>
      <c r="F166" s="6"/>
      <c r="G166" s="6"/>
      <c r="H166" s="6"/>
      <c r="I166" s="7"/>
      <c r="J166" s="7"/>
      <c r="K166" s="6"/>
      <c r="L166" s="6"/>
      <c r="M166" s="7"/>
      <c r="N166" s="59">
        <f t="shared" si="6"/>
        <v>3</v>
      </c>
      <c r="O166" s="60"/>
      <c r="P166" s="48"/>
      <c r="Q166" s="195">
        <v>121390.24320547108</v>
      </c>
      <c r="R166" s="195">
        <v>109251.21888492398</v>
      </c>
      <c r="S166" s="177">
        <v>113621.26764032093</v>
      </c>
      <c r="T166" s="177">
        <v>117991.31639571789</v>
      </c>
      <c r="U166" s="178"/>
      <c r="V166" s="176"/>
      <c r="W166" s="182">
        <v>250</v>
      </c>
    </row>
    <row r="167" spans="1:24">
      <c r="A167" s="127" t="s">
        <v>150</v>
      </c>
      <c r="B167" s="56" t="s">
        <v>1501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59">
        <f t="shared" si="6"/>
        <v>2</v>
      </c>
      <c r="O167" s="60"/>
      <c r="P167" s="48"/>
      <c r="Q167" s="175" t="s">
        <v>1782</v>
      </c>
      <c r="R167" s="198">
        <v>50000</v>
      </c>
      <c r="S167" s="177">
        <v>52000</v>
      </c>
      <c r="T167" s="177">
        <v>54000</v>
      </c>
      <c r="U167" s="178"/>
      <c r="V167" s="176"/>
      <c r="W167" s="179">
        <v>500</v>
      </c>
    </row>
    <row r="168" spans="1:24">
      <c r="A168" s="127" t="s">
        <v>1531</v>
      </c>
      <c r="B168" s="56" t="s">
        <v>1501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1</v>
      </c>
      <c r="O168" s="60"/>
      <c r="P168" s="48"/>
      <c r="Q168" s="181">
        <v>65145.985451647073</v>
      </c>
      <c r="R168" s="187">
        <v>65145.985451647073</v>
      </c>
      <c r="S168" s="177">
        <v>67751.82486971296</v>
      </c>
      <c r="T168" s="177">
        <v>70357.66428777884</v>
      </c>
      <c r="U168" s="178"/>
      <c r="V168" s="176"/>
      <c r="W168" s="176"/>
    </row>
    <row r="169" spans="1:24">
      <c r="A169" s="127" t="s">
        <v>1486</v>
      </c>
      <c r="B169" s="56" t="s">
        <v>1488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59">
        <f t="shared" si="6"/>
        <v>14</v>
      </c>
      <c r="O169" s="60"/>
      <c r="P169" s="48"/>
      <c r="Q169" s="175"/>
      <c r="R169" s="201">
        <v>1250</v>
      </c>
      <c r="S169" s="177">
        <v>1300</v>
      </c>
      <c r="T169" s="177">
        <v>1350</v>
      </c>
      <c r="U169" s="178"/>
      <c r="V169" s="176"/>
      <c r="W169" s="182"/>
    </row>
    <row r="170" spans="1:24" s="12" customFormat="1" ht="30">
      <c r="A170" s="142" t="s">
        <v>151</v>
      </c>
      <c r="B170" s="56" t="s">
        <v>1849</v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59">
        <f>SUM(N149:N169)</f>
        <v>129</v>
      </c>
      <c r="O170" s="60"/>
      <c r="P170" s="48"/>
      <c r="Q170" s="175"/>
      <c r="R170" s="182"/>
      <c r="S170" s="177"/>
      <c r="T170" s="177"/>
      <c r="U170" s="178"/>
      <c r="V170" s="176"/>
      <c r="W170" s="182"/>
      <c r="X170" s="180"/>
    </row>
    <row r="171" spans="1:24">
      <c r="A171" s="144" t="s">
        <v>197</v>
      </c>
      <c r="B171" s="56" t="s">
        <v>616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59">
        <f t="shared" ref="N171:N210" si="7">M171+K171+L171+J171+I171+H171+G171+F171+E171+D171+C171</f>
        <v>1</v>
      </c>
      <c r="O171" s="60"/>
      <c r="P171" s="48"/>
      <c r="Q171" s="175" t="s">
        <v>1782</v>
      </c>
      <c r="R171" s="176">
        <v>70000</v>
      </c>
      <c r="S171" s="177">
        <v>72800</v>
      </c>
      <c r="T171" s="177">
        <v>75600</v>
      </c>
      <c r="U171" s="178"/>
      <c r="V171" s="176"/>
      <c r="W171" s="179">
        <v>1000</v>
      </c>
    </row>
    <row r="172" spans="1:24">
      <c r="A172" s="144" t="s">
        <v>198</v>
      </c>
      <c r="B172" s="56" t="s">
        <v>617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3</v>
      </c>
      <c r="O172" s="60"/>
      <c r="P172" s="48"/>
      <c r="Q172" s="181">
        <v>87032.234439154243</v>
      </c>
      <c r="R172" s="174">
        <v>82680.622717196529</v>
      </c>
      <c r="S172" s="177">
        <v>85987.847625884388</v>
      </c>
      <c r="T172" s="177">
        <v>89295.072534572246</v>
      </c>
      <c r="U172" s="178"/>
      <c r="V172" s="176"/>
      <c r="W172" s="182">
        <v>250</v>
      </c>
    </row>
    <row r="173" spans="1:24">
      <c r="A173" s="123" t="s">
        <v>196</v>
      </c>
      <c r="B173" s="56" t="s">
        <v>615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59">
        <f t="shared" si="7"/>
        <v>2</v>
      </c>
      <c r="O173" s="60"/>
      <c r="P173" s="48"/>
      <c r="Q173" s="195">
        <v>190222.05057268229</v>
      </c>
      <c r="R173" s="195">
        <v>171199.84551541405</v>
      </c>
      <c r="S173" s="177">
        <v>178047.83933603062</v>
      </c>
      <c r="T173" s="177">
        <v>184895.83315664719</v>
      </c>
      <c r="U173" s="178"/>
      <c r="V173" s="176"/>
      <c r="W173" s="182">
        <v>250</v>
      </c>
    </row>
    <row r="174" spans="1:24">
      <c r="A174" s="123" t="s">
        <v>199</v>
      </c>
      <c r="B174" s="56" t="s">
        <v>618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59">
        <f t="shared" si="7"/>
        <v>4</v>
      </c>
      <c r="O174" s="60"/>
      <c r="P174" s="48"/>
      <c r="Q174" s="175" t="s">
        <v>1782</v>
      </c>
      <c r="R174" s="176">
        <v>120000</v>
      </c>
      <c r="S174" s="177">
        <v>124800</v>
      </c>
      <c r="T174" s="177">
        <v>129600</v>
      </c>
      <c r="U174" s="178"/>
      <c r="V174" s="176"/>
      <c r="W174" s="182">
        <v>250</v>
      </c>
    </row>
    <row r="175" spans="1:24">
      <c r="A175" s="143" t="s">
        <v>163</v>
      </c>
      <c r="B175" s="56" t="s">
        <v>589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59">
        <f t="shared" si="7"/>
        <v>17</v>
      </c>
      <c r="O175" s="60"/>
      <c r="P175" s="47"/>
      <c r="Q175" s="181">
        <v>23753.656291101179</v>
      </c>
      <c r="R175" s="183">
        <v>21378.290661991061</v>
      </c>
      <c r="S175" s="177">
        <v>22233.422288470705</v>
      </c>
      <c r="T175" s="177">
        <v>23088.553914950346</v>
      </c>
      <c r="U175" s="178"/>
      <c r="V175" s="176"/>
      <c r="W175" s="182"/>
    </row>
    <row r="176" spans="1:24">
      <c r="A176" s="145" t="s">
        <v>164</v>
      </c>
      <c r="B176" s="56" t="s">
        <v>590</v>
      </c>
      <c r="C176" s="5">
        <v>55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59">
        <f t="shared" si="7"/>
        <v>58</v>
      </c>
      <c r="O176" s="60"/>
      <c r="P176" s="47"/>
      <c r="Q176" s="181">
        <v>23753.656291101179</v>
      </c>
      <c r="R176" s="183">
        <v>21378.290661991061</v>
      </c>
      <c r="S176" s="177">
        <v>22233.422288470705</v>
      </c>
      <c r="T176" s="177">
        <v>23088.553914950346</v>
      </c>
      <c r="U176" s="178"/>
      <c r="V176" s="176"/>
      <c r="W176" s="182"/>
    </row>
    <row r="177" spans="1:23">
      <c r="A177" s="123" t="s">
        <v>165</v>
      </c>
      <c r="B177" s="56" t="s">
        <v>591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59">
        <f t="shared" si="7"/>
        <v>28</v>
      </c>
      <c r="O177" s="60"/>
      <c r="P177" s="47"/>
      <c r="Q177" s="181">
        <v>23753.656291101179</v>
      </c>
      <c r="R177" s="183">
        <v>21378.290661991061</v>
      </c>
      <c r="S177" s="177">
        <v>22233.422288470705</v>
      </c>
      <c r="T177" s="177">
        <v>23088.553914950346</v>
      </c>
      <c r="U177" s="178"/>
      <c r="V177" s="176"/>
      <c r="W177" s="182"/>
    </row>
    <row r="178" spans="1:23">
      <c r="A178" s="127" t="s">
        <v>1341</v>
      </c>
      <c r="B178" s="56" t="s">
        <v>589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59">
        <f t="shared" si="7"/>
        <v>2</v>
      </c>
      <c r="O178" s="60"/>
      <c r="P178" s="48"/>
      <c r="Q178" s="175" t="s">
        <v>1782</v>
      </c>
      <c r="R178" s="176">
        <v>17797</v>
      </c>
      <c r="S178" s="177">
        <v>18508.88</v>
      </c>
      <c r="T178" s="177">
        <v>19220.759999999998</v>
      </c>
      <c r="U178" s="178"/>
      <c r="V178" s="176">
        <v>2797.2959999999998</v>
      </c>
      <c r="W178" s="179">
        <v>500</v>
      </c>
    </row>
    <row r="179" spans="1:23">
      <c r="A179" s="145" t="s">
        <v>170</v>
      </c>
      <c r="B179" s="56" t="s">
        <v>594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59">
        <f t="shared" si="7"/>
        <v>1</v>
      </c>
      <c r="O179" s="60"/>
      <c r="P179" s="48"/>
      <c r="Q179" s="175" t="s">
        <v>1782</v>
      </c>
      <c r="R179" s="176">
        <v>23000</v>
      </c>
      <c r="S179" s="177">
        <v>23920</v>
      </c>
      <c r="T179" s="177">
        <v>24840</v>
      </c>
      <c r="U179" s="178"/>
      <c r="V179" s="176">
        <v>3040.14</v>
      </c>
      <c r="W179" s="179">
        <v>500</v>
      </c>
    </row>
    <row r="180" spans="1:23">
      <c r="A180" s="143" t="s">
        <v>172</v>
      </c>
      <c r="B180" s="56" t="s">
        <v>596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59">
        <f t="shared" si="7"/>
        <v>3</v>
      </c>
      <c r="O180" s="60"/>
      <c r="P180" s="48"/>
      <c r="Q180" s="175" t="s">
        <v>1782</v>
      </c>
      <c r="R180" s="193">
        <v>85000</v>
      </c>
      <c r="S180" s="177">
        <v>88400</v>
      </c>
      <c r="T180" s="177">
        <v>91800</v>
      </c>
      <c r="U180" s="178"/>
      <c r="V180" s="176"/>
      <c r="W180" s="182">
        <v>250</v>
      </c>
    </row>
    <row r="181" spans="1:23">
      <c r="A181" s="127" t="s">
        <v>1018</v>
      </c>
      <c r="B181" s="56" t="s">
        <v>1019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59">
        <f t="shared" si="7"/>
        <v>1</v>
      </c>
      <c r="O181" s="60"/>
      <c r="P181" s="48"/>
      <c r="Q181" s="175" t="s">
        <v>1782</v>
      </c>
      <c r="R181" s="176">
        <v>17423</v>
      </c>
      <c r="S181" s="177">
        <v>18119.919999999998</v>
      </c>
      <c r="T181" s="177">
        <v>18816.84</v>
      </c>
      <c r="U181" s="178"/>
      <c r="V181" s="176">
        <v>1422.5519999999999</v>
      </c>
      <c r="W181" s="179">
        <v>500</v>
      </c>
    </row>
    <row r="182" spans="1:23">
      <c r="A182" s="143" t="s">
        <v>175</v>
      </c>
      <c r="B182" s="56" t="s">
        <v>598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59">
        <f t="shared" si="7"/>
        <v>3</v>
      </c>
      <c r="O182" s="60"/>
      <c r="P182" s="48"/>
      <c r="Q182" s="175" t="s">
        <v>1782</v>
      </c>
      <c r="R182" s="176">
        <v>18607</v>
      </c>
      <c r="S182" s="177">
        <v>19351.28</v>
      </c>
      <c r="T182" s="177">
        <v>20095.560000000001</v>
      </c>
      <c r="U182" s="178"/>
      <c r="V182" s="176">
        <v>1606.5839999999998</v>
      </c>
      <c r="W182" s="179">
        <v>500</v>
      </c>
    </row>
    <row r="183" spans="1:23">
      <c r="A183" s="143" t="s">
        <v>176</v>
      </c>
      <c r="B183" s="56" t="s">
        <v>599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59">
        <f t="shared" si="7"/>
        <v>11</v>
      </c>
      <c r="O183" s="60">
        <v>3</v>
      </c>
      <c r="P183" s="48"/>
      <c r="Q183" s="181">
        <v>36485.916896663985</v>
      </c>
      <c r="R183" s="174">
        <v>34661.621051830785</v>
      </c>
      <c r="S183" s="177">
        <v>36048.085893904019</v>
      </c>
      <c r="T183" s="177">
        <v>37434.550735977245</v>
      </c>
      <c r="U183" s="178"/>
      <c r="V183" s="176"/>
      <c r="W183" s="182"/>
    </row>
    <row r="184" spans="1:23">
      <c r="A184" s="145" t="s">
        <v>177</v>
      </c>
      <c r="B184" s="56" t="s">
        <v>600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59">
        <f t="shared" si="7"/>
        <v>3</v>
      </c>
      <c r="O184" s="60"/>
      <c r="P184" s="48"/>
      <c r="Q184" s="175" t="s">
        <v>1782</v>
      </c>
      <c r="R184" s="176">
        <v>20000</v>
      </c>
      <c r="S184" s="177">
        <v>20800</v>
      </c>
      <c r="T184" s="177">
        <v>21600</v>
      </c>
      <c r="U184" s="178"/>
      <c r="V184" s="176"/>
      <c r="W184" s="179">
        <v>500</v>
      </c>
    </row>
    <row r="185" spans="1:23">
      <c r="A185" s="143" t="s">
        <v>1633</v>
      </c>
      <c r="B185" s="56" t="s">
        <v>589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59">
        <f t="shared" si="7"/>
        <v>3</v>
      </c>
      <c r="O185" s="60"/>
      <c r="P185" s="48"/>
      <c r="Q185" s="181">
        <v>15307.657304072218</v>
      </c>
      <c r="R185" s="174">
        <v>14542.274438868608</v>
      </c>
      <c r="S185" s="177">
        <v>15123.965416423353</v>
      </c>
      <c r="T185" s="177">
        <v>15705.656393978097</v>
      </c>
      <c r="U185" s="178"/>
      <c r="V185" s="176"/>
      <c r="W185" s="182"/>
    </row>
    <row r="186" spans="1:23">
      <c r="A186" s="143" t="s">
        <v>1015</v>
      </c>
      <c r="B186" s="56" t="s">
        <v>1016</v>
      </c>
      <c r="C186" s="5">
        <v>4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59">
        <f t="shared" si="7"/>
        <v>4</v>
      </c>
      <c r="O186" s="60"/>
      <c r="P186" s="48"/>
      <c r="Q186" s="175" t="s">
        <v>1782</v>
      </c>
      <c r="R186" s="176">
        <v>21000</v>
      </c>
      <c r="S186" s="177">
        <v>21840</v>
      </c>
      <c r="T186" s="177">
        <v>22680</v>
      </c>
      <c r="U186" s="178"/>
      <c r="V186" s="176"/>
      <c r="W186" s="179">
        <v>500</v>
      </c>
    </row>
    <row r="187" spans="1:23">
      <c r="A187" s="127" t="s">
        <v>1343</v>
      </c>
      <c r="B187" s="56" t="s">
        <v>605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59">
        <f t="shared" si="7"/>
        <v>1</v>
      </c>
      <c r="O187" s="60"/>
      <c r="P187" s="48"/>
      <c r="Q187" s="175" t="s">
        <v>1782</v>
      </c>
      <c r="R187" s="176">
        <v>45000</v>
      </c>
      <c r="S187" s="177">
        <v>46800</v>
      </c>
      <c r="T187" s="177">
        <v>48600</v>
      </c>
      <c r="U187" s="178"/>
      <c r="V187" s="176"/>
      <c r="W187" s="179">
        <v>500</v>
      </c>
    </row>
    <row r="188" spans="1:23">
      <c r="A188" s="127" t="s">
        <v>1344</v>
      </c>
      <c r="B188" s="56" t="s">
        <v>601</v>
      </c>
      <c r="C188" s="5"/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1</v>
      </c>
      <c r="O188" s="60"/>
      <c r="P188" s="48"/>
      <c r="Q188" s="175" t="s">
        <v>1782</v>
      </c>
      <c r="R188" s="176">
        <v>45000</v>
      </c>
      <c r="S188" s="177">
        <v>46800</v>
      </c>
      <c r="T188" s="177">
        <v>48600</v>
      </c>
      <c r="U188" s="178"/>
      <c r="V188" s="176"/>
      <c r="W188" s="179">
        <v>500</v>
      </c>
    </row>
    <row r="189" spans="1:23">
      <c r="A189" s="123" t="s">
        <v>183</v>
      </c>
      <c r="B189" s="56" t="s">
        <v>603</v>
      </c>
      <c r="C189" s="5">
        <v>3</v>
      </c>
      <c r="D189" s="5"/>
      <c r="E189" s="6"/>
      <c r="F189" s="6"/>
      <c r="G189" s="6"/>
      <c r="H189" s="6"/>
      <c r="I189" s="7">
        <v>1</v>
      </c>
      <c r="J189" s="7">
        <v>1</v>
      </c>
      <c r="K189" s="6">
        <v>1</v>
      </c>
      <c r="L189" s="6">
        <v>1</v>
      </c>
      <c r="M189" s="7"/>
      <c r="N189" s="59">
        <f t="shared" si="7"/>
        <v>7</v>
      </c>
      <c r="O189" s="60"/>
      <c r="P189" s="48"/>
      <c r="Q189" s="181">
        <v>59668.107779510901</v>
      </c>
      <c r="R189" s="199">
        <v>55491.340234945135</v>
      </c>
      <c r="S189" s="177">
        <v>57710.993844342942</v>
      </c>
      <c r="T189" s="177">
        <v>59930.647453740748</v>
      </c>
      <c r="U189" s="178"/>
      <c r="V189" s="176"/>
      <c r="W189" s="179">
        <v>500</v>
      </c>
    </row>
    <row r="190" spans="1:23">
      <c r="A190" s="123" t="s">
        <v>184</v>
      </c>
      <c r="B190" s="56" t="s">
        <v>604</v>
      </c>
      <c r="C190" s="5">
        <v>3</v>
      </c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59">
        <f t="shared" si="7"/>
        <v>4</v>
      </c>
      <c r="O190" s="60"/>
      <c r="P190" s="48"/>
      <c r="Q190" s="175" t="s">
        <v>1782</v>
      </c>
      <c r="R190" s="176">
        <v>55000</v>
      </c>
      <c r="S190" s="177">
        <v>57200</v>
      </c>
      <c r="T190" s="177">
        <v>59400</v>
      </c>
      <c r="U190" s="178"/>
      <c r="V190" s="176"/>
      <c r="W190" s="179">
        <v>500</v>
      </c>
    </row>
    <row r="191" spans="1:23">
      <c r="A191" s="143" t="s">
        <v>185</v>
      </c>
      <c r="B191" s="56" t="s">
        <v>605</v>
      </c>
      <c r="C191" s="5">
        <v>5</v>
      </c>
      <c r="D191" s="5"/>
      <c r="E191" s="6"/>
      <c r="F191" s="6">
        <v>2</v>
      </c>
      <c r="G191" s="6"/>
      <c r="H191" s="6"/>
      <c r="I191" s="7"/>
      <c r="J191" s="7">
        <v>1</v>
      </c>
      <c r="K191" s="6"/>
      <c r="L191" s="6"/>
      <c r="M191" s="7">
        <v>1</v>
      </c>
      <c r="N191" s="59">
        <f t="shared" si="7"/>
        <v>9</v>
      </c>
      <c r="O191" s="60">
        <v>4</v>
      </c>
      <c r="P191" s="48"/>
      <c r="Q191" s="181">
        <v>75874.260509748405</v>
      </c>
      <c r="R191" s="199">
        <v>70563.062274066018</v>
      </c>
      <c r="S191" s="177">
        <v>73385.58476502866</v>
      </c>
      <c r="T191" s="177">
        <v>76208.107255991301</v>
      </c>
      <c r="U191" s="178"/>
      <c r="V191" s="176"/>
      <c r="W191" s="182"/>
    </row>
    <row r="192" spans="1:23">
      <c r="A192" s="143" t="s">
        <v>186</v>
      </c>
      <c r="B192" s="56" t="s">
        <v>606</v>
      </c>
      <c r="C192" s="5">
        <v>10</v>
      </c>
      <c r="D192" s="5"/>
      <c r="E192" s="6"/>
      <c r="F192" s="6"/>
      <c r="G192" s="6"/>
      <c r="H192" s="6"/>
      <c r="I192" s="7"/>
      <c r="J192" s="7"/>
      <c r="K192" s="6"/>
      <c r="L192" s="6"/>
      <c r="M192" s="7"/>
      <c r="N192" s="59">
        <f t="shared" si="7"/>
        <v>10</v>
      </c>
      <c r="O192" s="60">
        <v>3</v>
      </c>
      <c r="P192" s="48"/>
      <c r="Q192" s="181">
        <v>88231.927917319001</v>
      </c>
      <c r="R192" s="199">
        <v>82055.692963106674</v>
      </c>
      <c r="S192" s="177">
        <v>85337.920681630945</v>
      </c>
      <c r="T192" s="177">
        <v>88620.148400155202</v>
      </c>
      <c r="U192" s="178"/>
      <c r="V192" s="176"/>
      <c r="W192" s="182"/>
    </row>
    <row r="193" spans="1:23">
      <c r="A193" s="143" t="s">
        <v>187</v>
      </c>
      <c r="B193" s="56" t="s">
        <v>607</v>
      </c>
      <c r="C193" s="5"/>
      <c r="D193" s="5">
        <v>2</v>
      </c>
      <c r="E193" s="6"/>
      <c r="F193" s="6"/>
      <c r="G193" s="6"/>
      <c r="H193" s="6">
        <v>1</v>
      </c>
      <c r="I193" s="7"/>
      <c r="J193" s="7"/>
      <c r="K193" s="6"/>
      <c r="L193" s="6"/>
      <c r="M193" s="7"/>
      <c r="N193" s="59">
        <f t="shared" si="7"/>
        <v>3</v>
      </c>
      <c r="O193" s="60"/>
      <c r="P193" s="48"/>
      <c r="Q193" s="175" t="s">
        <v>1782</v>
      </c>
      <c r="R193" s="176">
        <v>90000</v>
      </c>
      <c r="S193" s="177">
        <v>93600</v>
      </c>
      <c r="T193" s="177">
        <v>97200</v>
      </c>
      <c r="U193" s="178"/>
      <c r="V193" s="176"/>
      <c r="W193" s="182">
        <v>250</v>
      </c>
    </row>
    <row r="194" spans="1:23">
      <c r="A194" s="143" t="s">
        <v>194</v>
      </c>
      <c r="B194" s="56" t="s">
        <v>613</v>
      </c>
      <c r="C194" s="5"/>
      <c r="D194" s="5">
        <v>4</v>
      </c>
      <c r="E194" s="6"/>
      <c r="F194" s="6"/>
      <c r="G194" s="6"/>
      <c r="H194" s="6"/>
      <c r="I194" s="7"/>
      <c r="J194" s="7"/>
      <c r="K194" s="6"/>
      <c r="L194" s="6"/>
      <c r="M194" s="7"/>
      <c r="N194" s="59">
        <f t="shared" si="7"/>
        <v>4</v>
      </c>
      <c r="O194" s="60"/>
      <c r="P194" s="48"/>
      <c r="Q194" s="195">
        <v>140764.31742378484</v>
      </c>
      <c r="R194" s="195">
        <v>126687.88568140636</v>
      </c>
      <c r="S194" s="177">
        <v>131755.40110866263</v>
      </c>
      <c r="T194" s="177">
        <v>136822.91653591886</v>
      </c>
      <c r="U194" s="178"/>
      <c r="V194" s="176"/>
      <c r="W194" s="182">
        <v>250</v>
      </c>
    </row>
    <row r="195" spans="1:23">
      <c r="A195" s="144" t="s">
        <v>1312</v>
      </c>
      <c r="B195" s="56" t="s">
        <v>1317</v>
      </c>
      <c r="C195" s="5"/>
      <c r="D195" s="5"/>
      <c r="E195" s="6"/>
      <c r="F195" s="6"/>
      <c r="G195" s="6"/>
      <c r="H195" s="6"/>
      <c r="I195" s="7">
        <v>1</v>
      </c>
      <c r="J195" s="7"/>
      <c r="K195" s="6"/>
      <c r="L195" s="6"/>
      <c r="M195" s="7"/>
      <c r="N195" s="59">
        <f t="shared" si="7"/>
        <v>1</v>
      </c>
      <c r="O195" s="60"/>
      <c r="P195" s="48"/>
      <c r="Q195" s="175" t="s">
        <v>1782</v>
      </c>
      <c r="R195" s="176">
        <v>20000</v>
      </c>
      <c r="S195" s="177">
        <v>20800</v>
      </c>
      <c r="T195" s="177">
        <v>21600</v>
      </c>
      <c r="U195" s="178"/>
      <c r="V195" s="176"/>
      <c r="W195" s="179">
        <v>500</v>
      </c>
    </row>
    <row r="196" spans="1:23">
      <c r="A196" s="146" t="s">
        <v>153</v>
      </c>
      <c r="B196" s="56" t="s">
        <v>579</v>
      </c>
      <c r="C196" s="5">
        <v>63</v>
      </c>
      <c r="D196" s="5"/>
      <c r="E196" s="6"/>
      <c r="F196" s="6">
        <v>3</v>
      </c>
      <c r="G196" s="6"/>
      <c r="H196" s="6"/>
      <c r="I196" s="7">
        <v>1</v>
      </c>
      <c r="J196" s="7"/>
      <c r="K196" s="6"/>
      <c r="L196" s="6">
        <v>2</v>
      </c>
      <c r="M196" s="7">
        <v>1</v>
      </c>
      <c r="N196" s="59">
        <f t="shared" si="7"/>
        <v>70</v>
      </c>
      <c r="O196" s="60"/>
      <c r="P196" s="47"/>
      <c r="Q196" s="181">
        <v>35614.703467286046</v>
      </c>
      <c r="R196" s="174">
        <v>33833.968293921745</v>
      </c>
      <c r="S196" s="176">
        <v>35187.327025678613</v>
      </c>
      <c r="T196" s="176">
        <v>36540.685757435487</v>
      </c>
      <c r="U196" s="178"/>
      <c r="V196" s="176"/>
      <c r="W196" s="182"/>
    </row>
    <row r="197" spans="1:23">
      <c r="A197" s="145" t="s">
        <v>155</v>
      </c>
      <c r="B197" s="56" t="s">
        <v>581</v>
      </c>
      <c r="C197" s="5">
        <v>32</v>
      </c>
      <c r="D197" s="5"/>
      <c r="E197" s="6"/>
      <c r="F197" s="6">
        <v>2</v>
      </c>
      <c r="G197" s="6"/>
      <c r="H197" s="6"/>
      <c r="I197" s="7"/>
      <c r="J197" s="7">
        <v>1</v>
      </c>
      <c r="K197" s="6"/>
      <c r="L197" s="6"/>
      <c r="M197" s="7"/>
      <c r="N197" s="59">
        <f t="shared" si="7"/>
        <v>35</v>
      </c>
      <c r="O197" s="60"/>
      <c r="P197" s="47"/>
      <c r="Q197" s="181">
        <v>35614.703467286046</v>
      </c>
      <c r="R197" s="174">
        <v>33833.968293921745</v>
      </c>
      <c r="S197" s="177">
        <v>35187.327025678613</v>
      </c>
      <c r="T197" s="177">
        <v>36540.685757435487</v>
      </c>
      <c r="U197" s="178"/>
      <c r="V197" s="176"/>
      <c r="W197" s="182"/>
    </row>
    <row r="198" spans="1:23">
      <c r="A198" s="123" t="s">
        <v>154</v>
      </c>
      <c r="B198" s="56" t="s">
        <v>580</v>
      </c>
      <c r="C198" s="5">
        <v>14</v>
      </c>
      <c r="D198" s="5"/>
      <c r="E198" s="6"/>
      <c r="F198" s="6">
        <v>2</v>
      </c>
      <c r="G198" s="6">
        <v>1</v>
      </c>
      <c r="H198" s="6"/>
      <c r="I198" s="7">
        <v>1</v>
      </c>
      <c r="J198" s="7">
        <v>1</v>
      </c>
      <c r="K198" s="6">
        <v>1</v>
      </c>
      <c r="L198" s="6"/>
      <c r="M198" s="7"/>
      <c r="N198" s="59">
        <f t="shared" si="7"/>
        <v>20</v>
      </c>
      <c r="O198" s="60"/>
      <c r="P198" s="47"/>
      <c r="Q198" s="181">
        <v>35614.703467286046</v>
      </c>
      <c r="R198" s="174">
        <v>33833.968293921745</v>
      </c>
      <c r="S198" s="177">
        <v>35187.327025678613</v>
      </c>
      <c r="T198" s="177">
        <v>36540.685757435487</v>
      </c>
      <c r="U198" s="178"/>
      <c r="V198" s="176"/>
      <c r="W198" s="182"/>
    </row>
    <row r="199" spans="1:23">
      <c r="A199" s="123" t="s">
        <v>195</v>
      </c>
      <c r="B199" s="56" t="s">
        <v>614</v>
      </c>
      <c r="C199" s="5"/>
      <c r="D199" s="5">
        <v>1</v>
      </c>
      <c r="E199" s="6"/>
      <c r="F199" s="6"/>
      <c r="G199" s="6"/>
      <c r="H199" s="6"/>
      <c r="I199" s="7"/>
      <c r="J199" s="7"/>
      <c r="K199" s="6"/>
      <c r="L199" s="6"/>
      <c r="M199" s="7"/>
      <c r="N199" s="59">
        <f t="shared" si="7"/>
        <v>1</v>
      </c>
      <c r="O199" s="60"/>
      <c r="P199" s="48"/>
      <c r="Q199" s="195">
        <v>243931.80602849839</v>
      </c>
      <c r="R199" s="195">
        <v>219538.62542564856</v>
      </c>
      <c r="S199" s="177">
        <v>228320.17044267448</v>
      </c>
      <c r="T199" s="177">
        <v>237101.71545970044</v>
      </c>
      <c r="U199" s="178"/>
      <c r="V199" s="176"/>
      <c r="W199" s="179">
        <v>500</v>
      </c>
    </row>
    <row r="200" spans="1:23">
      <c r="A200" s="146" t="s">
        <v>152</v>
      </c>
      <c r="B200" s="56" t="s">
        <v>578</v>
      </c>
      <c r="C200" s="5">
        <v>2</v>
      </c>
      <c r="D200" s="5"/>
      <c r="E200" s="6"/>
      <c r="F200" s="6"/>
      <c r="G200" s="6"/>
      <c r="H200" s="6"/>
      <c r="I200" s="7">
        <v>1</v>
      </c>
      <c r="J200" s="7"/>
      <c r="K200" s="6">
        <v>1</v>
      </c>
      <c r="L200" s="6">
        <v>1</v>
      </c>
      <c r="M200" s="7"/>
      <c r="N200" s="59">
        <f t="shared" si="7"/>
        <v>5</v>
      </c>
      <c r="O200" s="60">
        <v>1</v>
      </c>
      <c r="P200" s="48"/>
      <c r="Q200" s="181">
        <v>40202.335542884808</v>
      </c>
      <c r="R200" s="187">
        <v>40202.335542884808</v>
      </c>
      <c r="S200" s="177">
        <v>41810.4289646002</v>
      </c>
      <c r="T200" s="177">
        <v>43418.522386315592</v>
      </c>
      <c r="U200" s="178"/>
      <c r="V200" s="176"/>
      <c r="W200" s="182"/>
    </row>
    <row r="201" spans="1:23">
      <c r="A201" s="143" t="s">
        <v>190</v>
      </c>
      <c r="B201" s="56" t="s">
        <v>610</v>
      </c>
      <c r="C201" s="5">
        <v>3</v>
      </c>
      <c r="D201" s="5"/>
      <c r="E201" s="6"/>
      <c r="F201" s="6"/>
      <c r="G201" s="6"/>
      <c r="H201" s="6"/>
      <c r="I201" s="7">
        <v>1</v>
      </c>
      <c r="J201" s="7">
        <v>1</v>
      </c>
      <c r="K201" s="6">
        <v>1</v>
      </c>
      <c r="L201" s="6"/>
      <c r="M201" s="7">
        <v>1</v>
      </c>
      <c r="N201" s="59">
        <f t="shared" si="7"/>
        <v>7</v>
      </c>
      <c r="O201" s="60"/>
      <c r="P201" s="48"/>
      <c r="Q201" s="175" t="s">
        <v>1782</v>
      </c>
      <c r="R201" s="176">
        <v>26144</v>
      </c>
      <c r="S201" s="177">
        <v>27189.759999999998</v>
      </c>
      <c r="T201" s="177">
        <v>28235.52</v>
      </c>
      <c r="U201" s="178"/>
      <c r="V201" s="176"/>
      <c r="W201" s="182"/>
    </row>
    <row r="202" spans="1:23">
      <c r="A202" s="123" t="s">
        <v>191</v>
      </c>
      <c r="B202" s="56" t="s">
        <v>605</v>
      </c>
      <c r="C202" s="5"/>
      <c r="D202" s="5"/>
      <c r="E202" s="6"/>
      <c r="F202" s="6"/>
      <c r="G202" s="6"/>
      <c r="H202" s="6"/>
      <c r="I202" s="7">
        <v>1</v>
      </c>
      <c r="J202" s="7">
        <v>1</v>
      </c>
      <c r="K202" s="6"/>
      <c r="L202" s="6">
        <v>1</v>
      </c>
      <c r="M202" s="7">
        <v>1</v>
      </c>
      <c r="N202" s="59">
        <f t="shared" si="7"/>
        <v>4</v>
      </c>
      <c r="O202" s="60">
        <v>12</v>
      </c>
      <c r="P202" s="48"/>
      <c r="Q202" s="181">
        <v>90714.373227096235</v>
      </c>
      <c r="R202" s="187">
        <v>90714.373227096235</v>
      </c>
      <c r="S202" s="177">
        <v>94342.948156180079</v>
      </c>
      <c r="T202" s="177">
        <v>97971.523085263936</v>
      </c>
      <c r="U202" s="178"/>
      <c r="V202" s="176"/>
      <c r="W202" s="186"/>
    </row>
    <row r="203" spans="1:23">
      <c r="A203" s="144" t="s">
        <v>192</v>
      </c>
      <c r="B203" s="56" t="s">
        <v>611</v>
      </c>
      <c r="C203" s="5">
        <v>1</v>
      </c>
      <c r="D203" s="5"/>
      <c r="E203" s="6"/>
      <c r="F203" s="6"/>
      <c r="G203" s="6"/>
      <c r="H203" s="6"/>
      <c r="I203" s="7">
        <v>1</v>
      </c>
      <c r="J203" s="7"/>
      <c r="K203" s="6"/>
      <c r="L203" s="6"/>
      <c r="M203" s="7"/>
      <c r="N203" s="59">
        <f t="shared" si="7"/>
        <v>2</v>
      </c>
      <c r="O203" s="60"/>
      <c r="P203" s="48"/>
      <c r="Q203" s="175" t="s">
        <v>1782</v>
      </c>
      <c r="R203" s="176">
        <v>66000</v>
      </c>
      <c r="S203" s="177">
        <v>68640</v>
      </c>
      <c r="T203" s="177">
        <v>71280</v>
      </c>
      <c r="U203" s="178"/>
      <c r="V203" s="176"/>
      <c r="W203" s="182"/>
    </row>
    <row r="204" spans="1:23">
      <c r="A204" s="146" t="s">
        <v>157</v>
      </c>
      <c r="B204" s="56" t="s">
        <v>583</v>
      </c>
      <c r="C204" s="5">
        <v>30</v>
      </c>
      <c r="D204" s="5"/>
      <c r="E204" s="6"/>
      <c r="F204" s="6">
        <v>1</v>
      </c>
      <c r="G204" s="6"/>
      <c r="H204" s="6"/>
      <c r="I204" s="7">
        <v>1</v>
      </c>
      <c r="J204" s="7">
        <v>1</v>
      </c>
      <c r="K204" s="6"/>
      <c r="L204" s="6"/>
      <c r="M204" s="7"/>
      <c r="N204" s="59">
        <f t="shared" si="7"/>
        <v>33</v>
      </c>
      <c r="O204" s="60"/>
      <c r="P204" s="47"/>
      <c r="Q204" s="181">
        <v>26434.340759742558</v>
      </c>
      <c r="R204" s="174">
        <v>25112.62372175543</v>
      </c>
      <c r="S204" s="177">
        <v>26117.128670625647</v>
      </c>
      <c r="T204" s="177">
        <v>27121.633619495864</v>
      </c>
      <c r="U204" s="178"/>
      <c r="V204" s="176"/>
      <c r="W204" s="182"/>
    </row>
    <row r="205" spans="1:23">
      <c r="A205" s="145" t="s">
        <v>158</v>
      </c>
      <c r="B205" s="56" t="s">
        <v>584</v>
      </c>
      <c r="C205" s="5">
        <v>6</v>
      </c>
      <c r="D205" s="5"/>
      <c r="E205" s="6"/>
      <c r="F205" s="6"/>
      <c r="G205" s="6"/>
      <c r="H205" s="6"/>
      <c r="I205" s="7">
        <v>1</v>
      </c>
      <c r="J205" s="7">
        <v>1</v>
      </c>
      <c r="K205" s="6"/>
      <c r="L205" s="6"/>
      <c r="M205" s="7">
        <v>1</v>
      </c>
      <c r="N205" s="59">
        <f t="shared" si="7"/>
        <v>9</v>
      </c>
      <c r="O205" s="60"/>
      <c r="P205" s="47"/>
      <c r="Q205" s="181">
        <v>26434.340759742558</v>
      </c>
      <c r="R205" s="187">
        <v>26434.340759742558</v>
      </c>
      <c r="S205" s="177">
        <v>27491.71439013226</v>
      </c>
      <c r="T205" s="177">
        <v>28549.088020521962</v>
      </c>
      <c r="U205" s="178"/>
      <c r="V205" s="176"/>
      <c r="W205" s="182"/>
    </row>
    <row r="206" spans="1:23">
      <c r="A206" s="123" t="s">
        <v>156</v>
      </c>
      <c r="B206" s="56" t="s">
        <v>582</v>
      </c>
      <c r="C206" s="5"/>
      <c r="D206" s="5"/>
      <c r="E206" s="6"/>
      <c r="F206" s="6"/>
      <c r="G206" s="6"/>
      <c r="H206" s="6"/>
      <c r="I206" s="7">
        <v>1</v>
      </c>
      <c r="J206" s="7">
        <v>1</v>
      </c>
      <c r="K206" s="6">
        <v>1</v>
      </c>
      <c r="L206" s="6"/>
      <c r="M206" s="7"/>
      <c r="N206" s="59">
        <f t="shared" si="7"/>
        <v>3</v>
      </c>
      <c r="O206" s="60"/>
      <c r="P206" s="47"/>
      <c r="Q206" s="181">
        <v>26434.340759742558</v>
      </c>
      <c r="R206" s="174">
        <v>25112.62372175543</v>
      </c>
      <c r="S206" s="177">
        <v>26117.128670625647</v>
      </c>
      <c r="T206" s="177">
        <v>27121.633619495864</v>
      </c>
      <c r="U206" s="178"/>
      <c r="V206" s="176"/>
      <c r="W206" s="182"/>
    </row>
    <row r="207" spans="1:23">
      <c r="A207" s="146" t="s">
        <v>159</v>
      </c>
      <c r="B207" s="56" t="s">
        <v>585</v>
      </c>
      <c r="C207" s="5">
        <v>25</v>
      </c>
      <c r="D207" s="5"/>
      <c r="E207" s="6"/>
      <c r="F207" s="6"/>
      <c r="G207" s="6"/>
      <c r="H207" s="6"/>
      <c r="I207" s="7"/>
      <c r="J207" s="7"/>
      <c r="K207" s="6"/>
      <c r="L207" s="6"/>
      <c r="M207" s="7">
        <v>1</v>
      </c>
      <c r="N207" s="59">
        <f t="shared" si="7"/>
        <v>26</v>
      </c>
      <c r="O207" s="60"/>
      <c r="P207" s="47"/>
      <c r="Q207" s="181">
        <v>29770.112012281617</v>
      </c>
      <c r="R207" s="183">
        <v>26793.100811053457</v>
      </c>
      <c r="S207" s="177">
        <v>27864.824843495597</v>
      </c>
      <c r="T207" s="177">
        <v>28936.548875937733</v>
      </c>
      <c r="U207" s="178"/>
      <c r="V207" s="176"/>
      <c r="W207" s="182"/>
    </row>
    <row r="208" spans="1:23">
      <c r="A208" s="146" t="s">
        <v>160</v>
      </c>
      <c r="B208" s="56" t="s">
        <v>586</v>
      </c>
      <c r="C208" s="5">
        <v>14</v>
      </c>
      <c r="D208" s="5"/>
      <c r="E208" s="6"/>
      <c r="F208" s="6"/>
      <c r="G208" s="6"/>
      <c r="H208" s="6"/>
      <c r="I208" s="7">
        <v>1</v>
      </c>
      <c r="J208" s="7"/>
      <c r="K208" s="6"/>
      <c r="L208" s="6"/>
      <c r="M208" s="7"/>
      <c r="N208" s="59">
        <f t="shared" si="7"/>
        <v>15</v>
      </c>
      <c r="O208" s="60"/>
      <c r="P208" s="47"/>
      <c r="Q208" s="181">
        <v>29770.112012281617</v>
      </c>
      <c r="R208" s="174">
        <v>28281.606411667537</v>
      </c>
      <c r="S208" s="177">
        <v>29412.870668134237</v>
      </c>
      <c r="T208" s="177">
        <v>30544.134924600941</v>
      </c>
      <c r="U208" s="178"/>
      <c r="V208" s="176"/>
      <c r="W208" s="182"/>
    </row>
    <row r="209" spans="1:24">
      <c r="A209" s="145" t="s">
        <v>161</v>
      </c>
      <c r="B209" s="56" t="s">
        <v>587</v>
      </c>
      <c r="C209" s="5">
        <v>8</v>
      </c>
      <c r="D209" s="5"/>
      <c r="E209" s="6"/>
      <c r="F209" s="6"/>
      <c r="G209" s="6"/>
      <c r="H209" s="6"/>
      <c r="I209" s="7"/>
      <c r="J209" s="7">
        <v>1</v>
      </c>
      <c r="K209" s="6">
        <v>1</v>
      </c>
      <c r="L209" s="6"/>
      <c r="M209" s="7">
        <v>1</v>
      </c>
      <c r="N209" s="59">
        <f t="shared" si="7"/>
        <v>11</v>
      </c>
      <c r="O209" s="60"/>
      <c r="P209" s="47"/>
      <c r="Q209" s="181">
        <v>29489.261898958212</v>
      </c>
      <c r="R209" s="174">
        <v>28014.798804010301</v>
      </c>
      <c r="S209" s="177">
        <v>29135.390756170713</v>
      </c>
      <c r="T209" s="177">
        <v>30255.982708331125</v>
      </c>
      <c r="U209" s="178"/>
      <c r="V209" s="176"/>
      <c r="W209" s="182"/>
    </row>
    <row r="210" spans="1:24">
      <c r="A210" s="123" t="s">
        <v>162</v>
      </c>
      <c r="B210" s="56" t="s">
        <v>588</v>
      </c>
      <c r="C210" s="5"/>
      <c r="D210" s="5"/>
      <c r="E210" s="6"/>
      <c r="F210" s="6">
        <v>1</v>
      </c>
      <c r="G210" s="6"/>
      <c r="H210" s="6"/>
      <c r="I210" s="7">
        <v>1</v>
      </c>
      <c r="J210" s="7">
        <v>1</v>
      </c>
      <c r="K210" s="6"/>
      <c r="L210" s="6"/>
      <c r="M210" s="7"/>
      <c r="N210" s="59">
        <f t="shared" si="7"/>
        <v>3</v>
      </c>
      <c r="O210" s="60"/>
      <c r="P210" s="47"/>
      <c r="Q210" s="181">
        <v>29770.112012281617</v>
      </c>
      <c r="R210" s="187">
        <v>29770.112012281617</v>
      </c>
      <c r="S210" s="177">
        <v>30960.916492772882</v>
      </c>
      <c r="T210" s="177">
        <v>32151.720973264146</v>
      </c>
      <c r="U210" s="178"/>
      <c r="V210" s="176"/>
      <c r="W210" s="182"/>
    </row>
    <row r="211" spans="1:24" s="12" customFormat="1" ht="40.5" customHeight="1">
      <c r="A211" s="147" t="s">
        <v>202</v>
      </c>
      <c r="B211" s="56" t="s">
        <v>1849</v>
      </c>
      <c r="C211" s="5"/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9">
        <f>SUM(N171:N210)</f>
        <v>428</v>
      </c>
      <c r="O211" s="60"/>
      <c r="P211" s="48"/>
      <c r="Q211" s="175"/>
      <c r="R211" s="175"/>
      <c r="S211" s="177"/>
      <c r="T211" s="177"/>
      <c r="U211" s="178"/>
      <c r="V211" s="176"/>
      <c r="W211" s="186"/>
      <c r="X211" s="180"/>
    </row>
    <row r="212" spans="1:24">
      <c r="A212" s="129" t="s">
        <v>203</v>
      </c>
      <c r="B212" s="56" t="s">
        <v>619</v>
      </c>
      <c r="C212" s="5">
        <v>7</v>
      </c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ref="N212:N229" si="8">M212+K212+L212+J212+I212+H212+G212+F212+E212+D212+C212</f>
        <v>7</v>
      </c>
      <c r="O212" s="60"/>
      <c r="P212" s="48"/>
      <c r="Q212" s="181">
        <v>21982.812937232065</v>
      </c>
      <c r="R212" s="187">
        <v>21982.812937232065</v>
      </c>
      <c r="S212" s="177">
        <v>22862.125454721347</v>
      </c>
      <c r="T212" s="177">
        <v>23741.437972210631</v>
      </c>
      <c r="U212" s="178"/>
      <c r="V212" s="176"/>
      <c r="W212" s="186"/>
      <c r="X212" s="180">
        <v>20700</v>
      </c>
    </row>
    <row r="213" spans="1:24">
      <c r="A213" s="128" t="s">
        <v>204</v>
      </c>
      <c r="B213" s="56" t="s">
        <v>620</v>
      </c>
      <c r="C213" s="5">
        <v>3</v>
      </c>
      <c r="D213" s="5"/>
      <c r="E213" s="6"/>
      <c r="F213" s="6">
        <v>1</v>
      </c>
      <c r="G213" s="6"/>
      <c r="H213" s="6"/>
      <c r="I213" s="7"/>
      <c r="J213" s="7"/>
      <c r="K213" s="6"/>
      <c r="L213" s="6">
        <v>1</v>
      </c>
      <c r="M213" s="7"/>
      <c r="N213" s="59">
        <f t="shared" si="8"/>
        <v>5</v>
      </c>
      <c r="O213" s="60">
        <v>1</v>
      </c>
      <c r="P213" s="48"/>
      <c r="Q213" s="181">
        <v>21982.812937232065</v>
      </c>
      <c r="R213" s="187">
        <v>21982.812937232065</v>
      </c>
      <c r="S213" s="177">
        <v>22862.125454721347</v>
      </c>
      <c r="T213" s="177">
        <v>23741.437972210631</v>
      </c>
      <c r="U213" s="178"/>
      <c r="V213" s="176"/>
      <c r="W213" s="182"/>
    </row>
    <row r="214" spans="1:24">
      <c r="A214" s="145" t="s">
        <v>205</v>
      </c>
      <c r="B214" s="56" t="s">
        <v>621</v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59">
        <f t="shared" si="8"/>
        <v>0</v>
      </c>
      <c r="O214" s="60">
        <v>6</v>
      </c>
      <c r="P214" s="48"/>
      <c r="Q214" s="181">
        <v>21982.812937232065</v>
      </c>
      <c r="R214" s="187">
        <v>21982.812937232065</v>
      </c>
      <c r="S214" s="177">
        <v>22862.125454721347</v>
      </c>
      <c r="T214" s="177">
        <v>23741.437972210631</v>
      </c>
      <c r="U214" s="178"/>
      <c r="V214" s="176"/>
      <c r="W214" s="182"/>
    </row>
    <row r="215" spans="1:24">
      <c r="A215" s="127" t="s">
        <v>206</v>
      </c>
      <c r="B215" s="56" t="s">
        <v>622</v>
      </c>
      <c r="C215" s="5">
        <v>3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9">
        <f t="shared" si="8"/>
        <v>3</v>
      </c>
      <c r="O215" s="60">
        <v>1</v>
      </c>
      <c r="P215" s="48"/>
      <c r="Q215" s="181">
        <v>21982.812937232065</v>
      </c>
      <c r="R215" s="187">
        <v>21982.812937232065</v>
      </c>
      <c r="S215" s="177">
        <v>22862.125454721347</v>
      </c>
      <c r="T215" s="177">
        <v>23741.437972210631</v>
      </c>
      <c r="U215" s="178"/>
      <c r="V215" s="176"/>
      <c r="W215" s="182"/>
    </row>
    <row r="216" spans="1:24">
      <c r="A216" s="127" t="s">
        <v>207</v>
      </c>
      <c r="B216" s="56" t="s">
        <v>623</v>
      </c>
      <c r="C216" s="5"/>
      <c r="D216" s="5"/>
      <c r="E216" s="6"/>
      <c r="F216" s="6"/>
      <c r="G216" s="6"/>
      <c r="H216" s="6"/>
      <c r="I216" s="7"/>
      <c r="J216" s="7"/>
      <c r="K216" s="6"/>
      <c r="L216" s="6"/>
      <c r="M216" s="7">
        <v>1</v>
      </c>
      <c r="N216" s="59">
        <f t="shared" si="8"/>
        <v>1</v>
      </c>
      <c r="O216" s="60"/>
      <c r="P216" s="48"/>
      <c r="Q216" s="175" t="s">
        <v>1782</v>
      </c>
      <c r="R216" s="176">
        <v>20000</v>
      </c>
      <c r="S216" s="177">
        <v>20800</v>
      </c>
      <c r="T216" s="177">
        <v>21600</v>
      </c>
      <c r="U216" s="178"/>
      <c r="V216" s="176"/>
      <c r="W216" s="200">
        <v>500</v>
      </c>
    </row>
    <row r="217" spans="1:24">
      <c r="A217" s="129" t="s">
        <v>209</v>
      </c>
      <c r="B217" s="56" t="s">
        <v>619</v>
      </c>
      <c r="C217" s="5">
        <v>2</v>
      </c>
      <c r="D217" s="5"/>
      <c r="E217" s="6"/>
      <c r="F217" s="6"/>
      <c r="G217" s="6"/>
      <c r="H217" s="6"/>
      <c r="I217" s="7">
        <v>1</v>
      </c>
      <c r="J217" s="7"/>
      <c r="K217" s="6">
        <v>1</v>
      </c>
      <c r="L217" s="6"/>
      <c r="M217" s="7"/>
      <c r="N217" s="59">
        <f t="shared" si="8"/>
        <v>4</v>
      </c>
      <c r="O217" s="60"/>
      <c r="P217" s="48"/>
      <c r="Q217" s="181">
        <v>25108.834056139687</v>
      </c>
      <c r="R217" s="187">
        <v>25108.834056139687</v>
      </c>
      <c r="S217" s="177">
        <v>26113.187418385274</v>
      </c>
      <c r="T217" s="177">
        <v>27117.540780630861</v>
      </c>
      <c r="U217" s="178"/>
      <c r="V217" s="176"/>
      <c r="W217" s="186"/>
    </row>
    <row r="218" spans="1:24">
      <c r="A218" s="127" t="s">
        <v>210</v>
      </c>
      <c r="B218" s="56" t="s">
        <v>625</v>
      </c>
      <c r="C218" s="5">
        <v>1</v>
      </c>
      <c r="D218" s="5"/>
      <c r="E218" s="6"/>
      <c r="F218" s="6">
        <v>3</v>
      </c>
      <c r="G218" s="6"/>
      <c r="H218" s="6"/>
      <c r="I218" s="7"/>
      <c r="J218" s="7"/>
      <c r="K218" s="6"/>
      <c r="L218" s="6"/>
      <c r="M218" s="7"/>
      <c r="N218" s="59">
        <f t="shared" si="8"/>
        <v>4</v>
      </c>
      <c r="O218" s="60">
        <v>1</v>
      </c>
      <c r="P218" s="48"/>
      <c r="Q218" s="181">
        <v>35710.442070253615</v>
      </c>
      <c r="R218" s="187">
        <v>35710.442070253615</v>
      </c>
      <c r="S218" s="177">
        <v>37138.859753063763</v>
      </c>
      <c r="T218" s="177">
        <v>38567.277435873904</v>
      </c>
      <c r="U218" s="178"/>
      <c r="V218" s="176"/>
      <c r="W218" s="186"/>
    </row>
    <row r="219" spans="1:24">
      <c r="A219" s="129" t="s">
        <v>211</v>
      </c>
      <c r="B219" s="56" t="s">
        <v>626</v>
      </c>
      <c r="C219" s="5"/>
      <c r="D219" s="5"/>
      <c r="E219" s="6"/>
      <c r="F219" s="6"/>
      <c r="G219" s="6"/>
      <c r="H219" s="6"/>
      <c r="I219" s="7"/>
      <c r="J219" s="7"/>
      <c r="K219" s="6"/>
      <c r="L219" s="6"/>
      <c r="M219" s="7"/>
      <c r="N219" s="59">
        <f t="shared" si="8"/>
        <v>0</v>
      </c>
      <c r="O219" s="60">
        <v>6</v>
      </c>
      <c r="P219" s="48"/>
      <c r="Q219" s="181">
        <v>18657.18356292399</v>
      </c>
      <c r="R219" s="187">
        <v>18657.18356292399</v>
      </c>
      <c r="S219" s="177">
        <v>19403.47090544095</v>
      </c>
      <c r="T219" s="177">
        <v>20149.75824795791</v>
      </c>
      <c r="U219" s="178"/>
      <c r="V219" s="176"/>
      <c r="W219" s="186"/>
    </row>
    <row r="220" spans="1:24">
      <c r="A220" s="127" t="s">
        <v>212</v>
      </c>
      <c r="B220" s="56" t="s">
        <v>627</v>
      </c>
      <c r="C220" s="5"/>
      <c r="D220" s="5"/>
      <c r="E220" s="6"/>
      <c r="F220" s="6"/>
      <c r="G220" s="6"/>
      <c r="H220" s="6"/>
      <c r="I220" s="7">
        <v>1</v>
      </c>
      <c r="J220" s="7">
        <v>1</v>
      </c>
      <c r="K220" s="6"/>
      <c r="L220" s="6"/>
      <c r="M220" s="7"/>
      <c r="N220" s="59">
        <f t="shared" si="8"/>
        <v>2</v>
      </c>
      <c r="O220" s="60"/>
      <c r="P220" s="48"/>
      <c r="Q220" s="175" t="s">
        <v>1782</v>
      </c>
      <c r="R220" s="176">
        <v>19500</v>
      </c>
      <c r="S220" s="177">
        <v>20280</v>
      </c>
      <c r="T220" s="177">
        <v>21060</v>
      </c>
      <c r="U220" s="178"/>
      <c r="V220" s="176"/>
      <c r="W220" s="200">
        <v>500</v>
      </c>
    </row>
    <row r="221" spans="1:24">
      <c r="A221" s="127" t="s">
        <v>214</v>
      </c>
      <c r="B221" s="56" t="s">
        <v>628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>
        <v>2</v>
      </c>
      <c r="M221" s="7"/>
      <c r="N221" s="59">
        <f t="shared" si="8"/>
        <v>4</v>
      </c>
      <c r="O221" s="60"/>
      <c r="P221" s="48"/>
      <c r="Q221" s="175" t="s">
        <v>1782</v>
      </c>
      <c r="R221" s="176">
        <v>19500</v>
      </c>
      <c r="S221" s="177">
        <v>20280</v>
      </c>
      <c r="T221" s="177">
        <v>21060</v>
      </c>
      <c r="U221" s="178"/>
      <c r="V221" s="176"/>
      <c r="W221" s="200">
        <v>500</v>
      </c>
    </row>
    <row r="222" spans="1:24">
      <c r="A222" s="145" t="s">
        <v>215</v>
      </c>
      <c r="B222" s="56" t="s">
        <v>629</v>
      </c>
      <c r="C222" s="5">
        <v>11</v>
      </c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/>
      <c r="M222" s="7"/>
      <c r="N222" s="59">
        <f t="shared" si="8"/>
        <v>13</v>
      </c>
      <c r="O222" s="60"/>
      <c r="P222" s="48"/>
      <c r="Q222" s="181">
        <v>17498.604610194066</v>
      </c>
      <c r="R222" s="187">
        <v>17498.604610194066</v>
      </c>
      <c r="S222" s="177">
        <v>18198.548794601829</v>
      </c>
      <c r="T222" s="177">
        <v>18898.492979009592</v>
      </c>
      <c r="U222" s="178"/>
      <c r="V222" s="176"/>
      <c r="W222" s="186"/>
      <c r="X222" s="180">
        <v>16400</v>
      </c>
    </row>
    <row r="223" spans="1:24">
      <c r="A223" s="127" t="s">
        <v>216</v>
      </c>
      <c r="B223" s="56" t="s">
        <v>630</v>
      </c>
      <c r="C223" s="5">
        <v>9</v>
      </c>
      <c r="D223" s="5"/>
      <c r="E223" s="6"/>
      <c r="F223" s="6">
        <v>1</v>
      </c>
      <c r="G223" s="6"/>
      <c r="H223" s="6"/>
      <c r="I223" s="7">
        <v>1</v>
      </c>
      <c r="J223" s="7"/>
      <c r="K223" s="6">
        <v>1</v>
      </c>
      <c r="L223" s="6"/>
      <c r="M223" s="7">
        <v>1</v>
      </c>
      <c r="N223" s="59">
        <f t="shared" si="8"/>
        <v>13</v>
      </c>
      <c r="O223" s="60"/>
      <c r="P223" s="48"/>
      <c r="Q223" s="181">
        <v>17748.639744541822</v>
      </c>
      <c r="R223" s="187">
        <v>17748.639744541822</v>
      </c>
      <c r="S223" s="177">
        <v>18458.585334323496</v>
      </c>
      <c r="T223" s="177">
        <v>19168.530924105169</v>
      </c>
      <c r="U223" s="178"/>
      <c r="V223" s="176"/>
      <c r="W223" s="182"/>
      <c r="X223" s="180">
        <v>16400</v>
      </c>
    </row>
    <row r="224" spans="1:24">
      <c r="A224" s="127" t="s">
        <v>217</v>
      </c>
      <c r="B224" s="56" t="s">
        <v>631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/>
      <c r="L224" s="6"/>
      <c r="M224" s="7"/>
      <c r="N224" s="59">
        <f t="shared" si="8"/>
        <v>11</v>
      </c>
      <c r="O224" s="60"/>
      <c r="P224" s="48"/>
      <c r="Q224" s="181">
        <v>17748.639744541822</v>
      </c>
      <c r="R224" s="187">
        <v>17748.639744541822</v>
      </c>
      <c r="S224" s="177">
        <v>18458.585334323496</v>
      </c>
      <c r="T224" s="177">
        <v>19168.530924105169</v>
      </c>
      <c r="U224" s="178"/>
      <c r="V224" s="176"/>
      <c r="W224" s="182"/>
      <c r="X224" s="180">
        <v>16400</v>
      </c>
    </row>
    <row r="225" spans="1:24">
      <c r="A225" s="127" t="s">
        <v>218</v>
      </c>
      <c r="B225" s="56" t="s">
        <v>632</v>
      </c>
      <c r="C225" s="5"/>
      <c r="D225" s="5">
        <v>2</v>
      </c>
      <c r="E225" s="6"/>
      <c r="F225" s="6"/>
      <c r="G225" s="6"/>
      <c r="H225" s="6">
        <v>1</v>
      </c>
      <c r="I225" s="7"/>
      <c r="J225" s="7"/>
      <c r="K225" s="6"/>
      <c r="L225" s="6"/>
      <c r="M225" s="7"/>
      <c r="N225" s="59">
        <f t="shared" si="8"/>
        <v>3</v>
      </c>
      <c r="O225" s="60"/>
      <c r="P225" s="48"/>
      <c r="Q225" s="175" t="s">
        <v>1782</v>
      </c>
      <c r="R225" s="193">
        <v>45000</v>
      </c>
      <c r="S225" s="177">
        <v>46800</v>
      </c>
      <c r="T225" s="177">
        <v>48600</v>
      </c>
      <c r="U225" s="178"/>
      <c r="V225" s="176"/>
      <c r="W225" s="179">
        <v>500</v>
      </c>
    </row>
    <row r="226" spans="1:24">
      <c r="A226" s="129" t="s">
        <v>219</v>
      </c>
      <c r="B226" s="56" t="s">
        <v>632</v>
      </c>
      <c r="C226" s="5"/>
      <c r="D226" s="5">
        <v>1</v>
      </c>
      <c r="E226" s="6"/>
      <c r="F226" s="6"/>
      <c r="G226" s="6"/>
      <c r="H226" s="6"/>
      <c r="I226" s="7"/>
      <c r="J226" s="7"/>
      <c r="K226" s="6"/>
      <c r="L226" s="6"/>
      <c r="M226" s="7"/>
      <c r="N226" s="59">
        <f t="shared" si="8"/>
        <v>1</v>
      </c>
      <c r="O226" s="60"/>
      <c r="P226" s="48"/>
      <c r="Q226" s="195">
        <v>55076.061557332032</v>
      </c>
      <c r="R226" s="193">
        <v>49568.455401598825</v>
      </c>
      <c r="S226" s="177">
        <v>51551.193617662779</v>
      </c>
      <c r="T226" s="177">
        <v>53533.931833726732</v>
      </c>
      <c r="U226" s="178"/>
      <c r="V226" s="176"/>
      <c r="W226" s="179">
        <v>500</v>
      </c>
    </row>
    <row r="227" spans="1:24">
      <c r="A227" s="131" t="s">
        <v>220</v>
      </c>
      <c r="B227" s="56" t="s">
        <v>633</v>
      </c>
      <c r="C227" s="5">
        <v>8</v>
      </c>
      <c r="D227" s="5"/>
      <c r="E227" s="6"/>
      <c r="F227" s="6">
        <v>2</v>
      </c>
      <c r="G227" s="6"/>
      <c r="H227" s="6"/>
      <c r="I227" s="7">
        <v>1</v>
      </c>
      <c r="J227" s="7"/>
      <c r="K227" s="6"/>
      <c r="L227" s="6">
        <v>1</v>
      </c>
      <c r="M227" s="7">
        <v>1</v>
      </c>
      <c r="N227" s="59">
        <f t="shared" si="8"/>
        <v>13</v>
      </c>
      <c r="O227" s="60"/>
      <c r="P227" s="48"/>
      <c r="Q227" s="181">
        <v>7890.8475199693648</v>
      </c>
      <c r="R227" s="187">
        <v>7890.8475199693648</v>
      </c>
      <c r="S227" s="177">
        <v>8206.4814207681393</v>
      </c>
      <c r="T227" s="177">
        <v>8522.1153215669146</v>
      </c>
      <c r="U227" s="178"/>
      <c r="V227" s="176"/>
      <c r="W227" s="186"/>
    </row>
    <row r="228" spans="1:24">
      <c r="A228" s="131" t="s">
        <v>221</v>
      </c>
      <c r="B228" s="56" t="s">
        <v>634</v>
      </c>
      <c r="C228" s="5">
        <v>10</v>
      </c>
      <c r="D228" s="5"/>
      <c r="E228" s="6"/>
      <c r="F228" s="6">
        <v>1</v>
      </c>
      <c r="G228" s="6"/>
      <c r="H228" s="6"/>
      <c r="I228" s="7">
        <v>1</v>
      </c>
      <c r="J228" s="7">
        <v>1</v>
      </c>
      <c r="K228" s="6">
        <v>1</v>
      </c>
      <c r="L228" s="6"/>
      <c r="M228" s="7">
        <v>1</v>
      </c>
      <c r="N228" s="59">
        <f t="shared" si="8"/>
        <v>15</v>
      </c>
      <c r="O228" s="60">
        <v>1</v>
      </c>
      <c r="P228" s="48"/>
      <c r="Q228" s="181">
        <v>7320.948454753433</v>
      </c>
      <c r="R228" s="187">
        <v>7320.948454753433</v>
      </c>
      <c r="S228" s="177">
        <v>7613.7863929435707</v>
      </c>
      <c r="T228" s="177">
        <v>7906.6243311337075</v>
      </c>
      <c r="U228" s="178"/>
      <c r="V228" s="176"/>
      <c r="W228" s="186"/>
    </row>
    <row r="229" spans="1:24">
      <c r="A229" s="131" t="s">
        <v>222</v>
      </c>
      <c r="B229" s="56" t="s">
        <v>635</v>
      </c>
      <c r="C229" s="5">
        <v>9</v>
      </c>
      <c r="D229" s="5"/>
      <c r="E229" s="6"/>
      <c r="F229" s="6">
        <v>1</v>
      </c>
      <c r="G229" s="6"/>
      <c r="H229" s="6"/>
      <c r="I229" s="7">
        <v>1</v>
      </c>
      <c r="J229" s="7"/>
      <c r="K229" s="6"/>
      <c r="L229" s="6"/>
      <c r="M229" s="7">
        <v>1</v>
      </c>
      <c r="N229" s="59">
        <f t="shared" si="8"/>
        <v>12</v>
      </c>
      <c r="O229" s="60"/>
      <c r="P229" s="48"/>
      <c r="Q229" s="181">
        <v>8744.2953162644753</v>
      </c>
      <c r="R229" s="187">
        <v>8744.2953162644753</v>
      </c>
      <c r="S229" s="177">
        <v>9094.0671289150541</v>
      </c>
      <c r="T229" s="177">
        <v>9443.8389415656329</v>
      </c>
      <c r="U229" s="178"/>
      <c r="V229" s="176"/>
      <c r="W229" s="186"/>
    </row>
    <row r="230" spans="1:24" ht="35.25" customHeight="1">
      <c r="A230" s="142" t="s">
        <v>223</v>
      </c>
      <c r="B230" s="56" t="s">
        <v>1849</v>
      </c>
      <c r="C230" s="5"/>
      <c r="D230" s="5"/>
      <c r="E230" s="6"/>
      <c r="F230" s="6"/>
      <c r="G230" s="6"/>
      <c r="H230" s="6"/>
      <c r="I230" s="7"/>
      <c r="J230" s="7"/>
      <c r="K230" s="6"/>
      <c r="L230" s="6"/>
      <c r="M230" s="7"/>
      <c r="N230" s="59">
        <f>SUM(N212:N229)</f>
        <v>111</v>
      </c>
      <c r="O230" s="60"/>
      <c r="P230" s="48"/>
      <c r="Q230" s="175"/>
      <c r="R230" s="175"/>
      <c r="S230" s="177"/>
      <c r="T230" s="177"/>
      <c r="U230" s="178"/>
      <c r="V230" s="176"/>
      <c r="W230" s="186"/>
    </row>
    <row r="231" spans="1:24">
      <c r="A231" s="123" t="s">
        <v>227</v>
      </c>
      <c r="B231" s="56" t="s">
        <v>639</v>
      </c>
      <c r="C231" s="5"/>
      <c r="D231" s="5"/>
      <c r="E231" s="6"/>
      <c r="F231" s="6">
        <v>1</v>
      </c>
      <c r="G231" s="6"/>
      <c r="H231" s="6"/>
      <c r="I231" s="7"/>
      <c r="J231" s="7"/>
      <c r="K231" s="6"/>
      <c r="L231" s="6"/>
      <c r="M231" s="7"/>
      <c r="N231" s="59">
        <f t="shared" ref="N231:N280" si="9">M231+K231+L231+J231+I231+H231+G231+F231+E231+D231+C231</f>
        <v>1</v>
      </c>
      <c r="O231" s="60"/>
      <c r="P231" s="48" t="s">
        <v>1544</v>
      </c>
      <c r="Q231" s="181">
        <v>9949.9104171655872</v>
      </c>
      <c r="R231" s="176">
        <v>9949.9104171655872</v>
      </c>
      <c r="S231" s="177">
        <v>10347.90683385221</v>
      </c>
      <c r="T231" s="177">
        <v>10745.903250538835</v>
      </c>
      <c r="U231" s="178"/>
      <c r="V231" s="176"/>
      <c r="W231" s="186"/>
    </row>
    <row r="232" spans="1:24">
      <c r="A232" s="123" t="s">
        <v>228</v>
      </c>
      <c r="B232" s="56" t="s">
        <v>640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>
        <v>1</v>
      </c>
      <c r="N232" s="59">
        <f t="shared" si="9"/>
        <v>2</v>
      </c>
      <c r="O232" s="60"/>
      <c r="P232" s="48" t="s">
        <v>1544</v>
      </c>
      <c r="Q232" s="181">
        <v>9949.9104171655872</v>
      </c>
      <c r="R232" s="176">
        <v>9949.9104171655872</v>
      </c>
      <c r="S232" s="177">
        <v>10347.90683385221</v>
      </c>
      <c r="T232" s="177">
        <v>10745.903250538835</v>
      </c>
      <c r="U232" s="178"/>
      <c r="V232" s="176"/>
      <c r="W232" s="186"/>
    </row>
    <row r="233" spans="1:24">
      <c r="A233" s="123" t="s">
        <v>229</v>
      </c>
      <c r="B233" s="56" t="s">
        <v>640</v>
      </c>
      <c r="C233" s="5"/>
      <c r="D233" s="5"/>
      <c r="E233" s="6"/>
      <c r="F233" s="6"/>
      <c r="G233" s="6"/>
      <c r="H233" s="6"/>
      <c r="I233" s="7"/>
      <c r="J233" s="7">
        <v>1</v>
      </c>
      <c r="K233" s="6"/>
      <c r="L233" s="6">
        <v>1</v>
      </c>
      <c r="M233" s="7"/>
      <c r="N233" s="59">
        <f t="shared" si="9"/>
        <v>2</v>
      </c>
      <c r="O233" s="60"/>
      <c r="P233" s="48" t="s">
        <v>1544</v>
      </c>
      <c r="Q233" s="181">
        <v>9949.9104171655872</v>
      </c>
      <c r="R233" s="176">
        <v>9949.9104171655872</v>
      </c>
      <c r="S233" s="177">
        <v>10347.90683385221</v>
      </c>
      <c r="T233" s="177">
        <v>10745.903250538835</v>
      </c>
      <c r="U233" s="178"/>
      <c r="V233" s="176"/>
      <c r="W233" s="186"/>
    </row>
    <row r="234" spans="1:24">
      <c r="A234" s="127" t="s">
        <v>236</v>
      </c>
      <c r="B234" s="56" t="s">
        <v>647</v>
      </c>
      <c r="C234" s="5"/>
      <c r="D234" s="5"/>
      <c r="E234" s="6"/>
      <c r="F234" s="6"/>
      <c r="G234" s="6"/>
      <c r="H234" s="6"/>
      <c r="I234" s="7">
        <v>1</v>
      </c>
      <c r="J234" s="7"/>
      <c r="K234" s="6"/>
      <c r="L234" s="6"/>
      <c r="M234" s="7"/>
      <c r="N234" s="59">
        <f t="shared" si="9"/>
        <v>1</v>
      </c>
      <c r="O234" s="60">
        <v>11</v>
      </c>
      <c r="P234" s="48"/>
      <c r="Q234" s="181">
        <v>15453.423870263241</v>
      </c>
      <c r="R234" s="187">
        <v>15453.423870263241</v>
      </c>
      <c r="S234" s="177">
        <v>16071.560825073771</v>
      </c>
      <c r="T234" s="177">
        <v>16689.6977798843</v>
      </c>
      <c r="U234" s="178"/>
      <c r="V234" s="176"/>
      <c r="W234" s="186"/>
    </row>
    <row r="235" spans="1:24">
      <c r="A235" s="127" t="s">
        <v>237</v>
      </c>
      <c r="B235" s="56" t="s">
        <v>648</v>
      </c>
      <c r="C235" s="5"/>
      <c r="D235" s="5"/>
      <c r="E235" s="6"/>
      <c r="F235" s="6"/>
      <c r="G235" s="6"/>
      <c r="H235" s="6"/>
      <c r="I235" s="7"/>
      <c r="J235" s="7">
        <v>1</v>
      </c>
      <c r="K235" s="6"/>
      <c r="L235" s="6"/>
      <c r="M235" s="7"/>
      <c r="N235" s="59">
        <f t="shared" si="9"/>
        <v>1</v>
      </c>
      <c r="O235" s="60">
        <v>10</v>
      </c>
      <c r="P235" s="48" t="s">
        <v>1839</v>
      </c>
      <c r="Q235" s="181">
        <v>15453.423870263241</v>
      </c>
      <c r="R235" s="181">
        <v>16226.095063776404</v>
      </c>
      <c r="S235" s="177">
        <v>16875.138866327459</v>
      </c>
      <c r="T235" s="177">
        <v>17524.182668878515</v>
      </c>
      <c r="V235" s="176"/>
      <c r="W235" s="186"/>
      <c r="X235" s="202" t="s">
        <v>1840</v>
      </c>
    </row>
    <row r="236" spans="1:24">
      <c r="A236" s="145" t="s">
        <v>238</v>
      </c>
      <c r="B236" s="56" t="s">
        <v>649</v>
      </c>
      <c r="C236" s="5"/>
      <c r="D236" s="5"/>
      <c r="E236" s="6"/>
      <c r="F236" s="6">
        <v>1</v>
      </c>
      <c r="G236" s="6"/>
      <c r="H236" s="6"/>
      <c r="I236" s="7">
        <v>1</v>
      </c>
      <c r="J236" s="7"/>
      <c r="K236" s="6">
        <v>1</v>
      </c>
      <c r="L236" s="6"/>
      <c r="M236" s="7">
        <v>1</v>
      </c>
      <c r="N236" s="59">
        <f t="shared" si="9"/>
        <v>4</v>
      </c>
      <c r="O236" s="60">
        <v>26</v>
      </c>
      <c r="P236" s="48" t="s">
        <v>1839</v>
      </c>
      <c r="Q236" s="181">
        <v>15453.423870263241</v>
      </c>
      <c r="R236" s="181">
        <v>16226.095063776404</v>
      </c>
      <c r="S236" s="177">
        <v>16875.138866327459</v>
      </c>
      <c r="T236" s="177">
        <v>17524.182668878515</v>
      </c>
      <c r="V236" s="176"/>
      <c r="W236" s="186"/>
      <c r="X236" s="202" t="s">
        <v>1840</v>
      </c>
    </row>
    <row r="237" spans="1:24">
      <c r="A237" s="123" t="s">
        <v>224</v>
      </c>
      <c r="B237" s="56" t="s">
        <v>636</v>
      </c>
      <c r="C237" s="5">
        <v>1</v>
      </c>
      <c r="D237" s="5"/>
      <c r="E237" s="6"/>
      <c r="F237" s="6"/>
      <c r="G237" s="6"/>
      <c r="H237" s="6"/>
      <c r="I237" s="7">
        <v>1</v>
      </c>
      <c r="J237" s="7"/>
      <c r="K237" s="6"/>
      <c r="L237" s="6">
        <v>1</v>
      </c>
      <c r="M237" s="7"/>
      <c r="N237" s="59">
        <f t="shared" si="9"/>
        <v>3</v>
      </c>
      <c r="O237" s="60"/>
      <c r="P237" s="48"/>
      <c r="Q237" s="175" t="s">
        <v>1782</v>
      </c>
      <c r="R237" s="176">
        <v>8000</v>
      </c>
      <c r="S237" s="177">
        <v>8320</v>
      </c>
      <c r="T237" s="177">
        <v>8640</v>
      </c>
      <c r="U237" s="178"/>
      <c r="V237" s="176"/>
      <c r="W237" s="179">
        <v>500</v>
      </c>
    </row>
    <row r="238" spans="1:24">
      <c r="A238" s="123" t="s">
        <v>225</v>
      </c>
      <c r="B238" s="56" t="s">
        <v>637</v>
      </c>
      <c r="C238" s="5">
        <v>4</v>
      </c>
      <c r="D238" s="5"/>
      <c r="E238" s="6"/>
      <c r="F238" s="6"/>
      <c r="G238" s="6"/>
      <c r="H238" s="6"/>
      <c r="I238" s="7"/>
      <c r="J238" s="7"/>
      <c r="K238" s="6">
        <v>1</v>
      </c>
      <c r="L238" s="6"/>
      <c r="M238" s="7"/>
      <c r="N238" s="59">
        <f t="shared" si="9"/>
        <v>5</v>
      </c>
      <c r="O238" s="60"/>
      <c r="P238" s="70" t="s">
        <v>1545</v>
      </c>
      <c r="Q238" s="175" t="s">
        <v>1782</v>
      </c>
      <c r="R238" s="176">
        <v>9000</v>
      </c>
      <c r="S238" s="177">
        <v>9360</v>
      </c>
      <c r="T238" s="177">
        <v>9720</v>
      </c>
      <c r="U238" s="178"/>
      <c r="V238" s="176"/>
      <c r="W238" s="182">
        <v>250</v>
      </c>
    </row>
    <row r="239" spans="1:24">
      <c r="A239" s="123" t="s">
        <v>226</v>
      </c>
      <c r="B239" s="56" t="s">
        <v>638</v>
      </c>
      <c r="C239" s="5">
        <v>2</v>
      </c>
      <c r="D239" s="5"/>
      <c r="E239" s="6"/>
      <c r="F239" s="6">
        <v>1</v>
      </c>
      <c r="G239" s="6"/>
      <c r="H239" s="6"/>
      <c r="I239" s="7"/>
      <c r="J239" s="7"/>
      <c r="K239" s="6"/>
      <c r="L239" s="6">
        <v>2</v>
      </c>
      <c r="M239" s="7"/>
      <c r="N239" s="59">
        <f t="shared" si="9"/>
        <v>5</v>
      </c>
      <c r="O239" s="60"/>
      <c r="P239" s="48"/>
      <c r="Q239" s="175" t="s">
        <v>1782</v>
      </c>
      <c r="R239" s="176">
        <v>9000</v>
      </c>
      <c r="S239" s="177">
        <v>9360</v>
      </c>
      <c r="T239" s="177">
        <v>9720</v>
      </c>
      <c r="U239" s="178"/>
      <c r="V239" s="176"/>
      <c r="W239" s="182">
        <v>250</v>
      </c>
    </row>
    <row r="240" spans="1:24">
      <c r="A240" s="123" t="s">
        <v>230</v>
      </c>
      <c r="B240" s="56" t="s">
        <v>641</v>
      </c>
      <c r="C240" s="5">
        <v>5</v>
      </c>
      <c r="D240" s="5"/>
      <c r="E240" s="6"/>
      <c r="F240" s="6">
        <v>1</v>
      </c>
      <c r="G240" s="6"/>
      <c r="H240" s="6"/>
      <c r="I240" s="7">
        <v>1</v>
      </c>
      <c r="J240" s="7"/>
      <c r="K240" s="6"/>
      <c r="L240" s="6"/>
      <c r="M240" s="7"/>
      <c r="N240" s="59">
        <f t="shared" si="9"/>
        <v>7</v>
      </c>
      <c r="O240" s="60"/>
      <c r="P240" s="48"/>
      <c r="Q240" s="181">
        <v>18529.104551827117</v>
      </c>
      <c r="R240" s="187">
        <v>18529.104551827117</v>
      </c>
      <c r="S240" s="177">
        <v>19270.2687339002</v>
      </c>
      <c r="T240" s="177">
        <v>20011.432915973288</v>
      </c>
      <c r="U240" s="178"/>
      <c r="V240" s="176"/>
      <c r="W240" s="186"/>
    </row>
    <row r="241" spans="1:24">
      <c r="A241" s="145" t="s">
        <v>244</v>
      </c>
      <c r="B241" s="56" t="s">
        <v>655</v>
      </c>
      <c r="C241" s="5">
        <v>4</v>
      </c>
      <c r="D241" s="5"/>
      <c r="E241" s="6"/>
      <c r="F241" s="6"/>
      <c r="G241" s="6"/>
      <c r="H241" s="6"/>
      <c r="I241" s="7"/>
      <c r="J241" s="7"/>
      <c r="K241" s="6">
        <v>1</v>
      </c>
      <c r="L241" s="6">
        <v>1</v>
      </c>
      <c r="M241" s="7"/>
      <c r="N241" s="59">
        <f t="shared" si="9"/>
        <v>6</v>
      </c>
      <c r="O241" s="60">
        <v>1</v>
      </c>
      <c r="P241" s="48"/>
      <c r="Q241" s="181">
        <v>21837.761714421129</v>
      </c>
      <c r="R241" s="187">
        <v>21837.761714421129</v>
      </c>
      <c r="S241" s="177">
        <v>22711.272182997975</v>
      </c>
      <c r="T241" s="177">
        <v>23584.78265157482</v>
      </c>
      <c r="U241" s="178"/>
      <c r="V241" s="176"/>
      <c r="W241" s="186"/>
    </row>
    <row r="242" spans="1:24">
      <c r="A242" s="123" t="s">
        <v>232</v>
      </c>
      <c r="B242" s="56" t="s">
        <v>643</v>
      </c>
      <c r="C242" s="5">
        <v>10</v>
      </c>
      <c r="D242" s="5"/>
      <c r="E242" s="6"/>
      <c r="F242" s="6">
        <v>1</v>
      </c>
      <c r="G242" s="6"/>
      <c r="H242" s="6"/>
      <c r="I242" s="7"/>
      <c r="J242" s="7">
        <v>1</v>
      </c>
      <c r="K242" s="6"/>
      <c r="L242" s="6">
        <v>1</v>
      </c>
      <c r="M242" s="7"/>
      <c r="N242" s="59">
        <f t="shared" si="9"/>
        <v>13</v>
      </c>
      <c r="O242" s="60"/>
      <c r="P242" s="48"/>
      <c r="Q242" s="181">
        <v>21837.761714421129</v>
      </c>
      <c r="R242" s="187">
        <v>21837.761714421129</v>
      </c>
      <c r="S242" s="177">
        <v>22711.272182997975</v>
      </c>
      <c r="T242" s="177">
        <v>23584.78265157482</v>
      </c>
      <c r="U242" s="178"/>
      <c r="V242" s="176"/>
      <c r="W242" s="186"/>
    </row>
    <row r="243" spans="1:24">
      <c r="A243" s="123" t="s">
        <v>233</v>
      </c>
      <c r="B243" s="56" t="s">
        <v>644</v>
      </c>
      <c r="C243" s="5">
        <v>1</v>
      </c>
      <c r="D243" s="5"/>
      <c r="E243" s="6"/>
      <c r="F243" s="6"/>
      <c r="G243" s="6"/>
      <c r="H243" s="6"/>
      <c r="I243" s="7">
        <v>2</v>
      </c>
      <c r="J243" s="7"/>
      <c r="K243" s="6"/>
      <c r="L243" s="6">
        <v>1</v>
      </c>
      <c r="M243" s="7"/>
      <c r="N243" s="59">
        <f t="shared" si="9"/>
        <v>4</v>
      </c>
      <c r="O243" s="60"/>
      <c r="P243" s="48"/>
      <c r="Q243" s="181">
        <v>21837.761714421129</v>
      </c>
      <c r="R243" s="187">
        <v>21837.761714421129</v>
      </c>
      <c r="S243" s="177">
        <v>22711.272182997975</v>
      </c>
      <c r="T243" s="177">
        <v>23584.78265157482</v>
      </c>
      <c r="U243" s="178"/>
      <c r="V243" s="176"/>
      <c r="W243" s="186"/>
    </row>
    <row r="244" spans="1:24">
      <c r="A244" s="129" t="s">
        <v>234</v>
      </c>
      <c r="B244" s="56" t="s">
        <v>645</v>
      </c>
      <c r="C244" s="5"/>
      <c r="D244" s="5"/>
      <c r="E244" s="6"/>
      <c r="F244" s="6">
        <v>1</v>
      </c>
      <c r="G244" s="6"/>
      <c r="H244" s="6"/>
      <c r="I244" s="7"/>
      <c r="J244" s="7"/>
      <c r="K244" s="6"/>
      <c r="L244" s="6"/>
      <c r="M244" s="7"/>
      <c r="N244" s="59">
        <f t="shared" si="9"/>
        <v>1</v>
      </c>
      <c r="O244" s="60"/>
      <c r="P244" s="48"/>
      <c r="Q244" s="175" t="s">
        <v>1782</v>
      </c>
      <c r="R244" s="176">
        <v>13000</v>
      </c>
      <c r="S244" s="177">
        <v>13520</v>
      </c>
      <c r="T244" s="177">
        <v>14040</v>
      </c>
      <c r="U244" s="178"/>
      <c r="V244" s="176"/>
      <c r="W244" s="186">
        <v>250</v>
      </c>
    </row>
    <row r="245" spans="1:24">
      <c r="A245" s="127" t="s">
        <v>239</v>
      </c>
      <c r="B245" s="56" t="s">
        <v>650</v>
      </c>
      <c r="C245" s="5">
        <v>2</v>
      </c>
      <c r="D245" s="5"/>
      <c r="E245" s="6"/>
      <c r="F245" s="6"/>
      <c r="G245" s="6"/>
      <c r="H245" s="6"/>
      <c r="I245" s="7">
        <v>1</v>
      </c>
      <c r="J245" s="7"/>
      <c r="K245" s="6"/>
      <c r="L245" s="6"/>
      <c r="M245" s="7">
        <v>1</v>
      </c>
      <c r="N245" s="59">
        <f t="shared" si="9"/>
        <v>4</v>
      </c>
      <c r="O245" s="60">
        <v>11</v>
      </c>
      <c r="P245" s="48"/>
      <c r="Q245" s="181">
        <v>19528.389222070771</v>
      </c>
      <c r="R245" s="187">
        <v>19528.389222070771</v>
      </c>
      <c r="S245" s="177">
        <v>20309.524790953601</v>
      </c>
      <c r="T245" s="177">
        <v>21090.660359836435</v>
      </c>
      <c r="U245" s="178"/>
      <c r="V245" s="176"/>
      <c r="W245" s="186"/>
    </row>
    <row r="246" spans="1:24">
      <c r="A246" s="129" t="s">
        <v>240</v>
      </c>
      <c r="B246" s="56" t="s">
        <v>651</v>
      </c>
      <c r="C246" s="5">
        <v>9</v>
      </c>
      <c r="D246" s="5"/>
      <c r="E246" s="6"/>
      <c r="F246" s="6"/>
      <c r="G246" s="6"/>
      <c r="H246" s="6"/>
      <c r="I246" s="7"/>
      <c r="J246" s="7"/>
      <c r="K246" s="6">
        <v>1</v>
      </c>
      <c r="L246" s="6">
        <v>1</v>
      </c>
      <c r="M246" s="7"/>
      <c r="N246" s="59">
        <f t="shared" si="9"/>
        <v>11</v>
      </c>
      <c r="O246" s="60">
        <v>17</v>
      </c>
      <c r="P246" s="48" t="s">
        <v>1839</v>
      </c>
      <c r="Q246" s="181">
        <v>19528.389222070771</v>
      </c>
      <c r="R246" s="181">
        <v>20504.808683174309</v>
      </c>
      <c r="S246" s="177">
        <v>21325.00103050128</v>
      </c>
      <c r="T246" s="177">
        <v>22145.193377828255</v>
      </c>
      <c r="V246" s="176"/>
      <c r="W246" s="186"/>
      <c r="X246" s="202" t="s">
        <v>1840</v>
      </c>
    </row>
    <row r="247" spans="1:24">
      <c r="A247" s="145" t="s">
        <v>241</v>
      </c>
      <c r="B247" s="56" t="s">
        <v>652</v>
      </c>
      <c r="C247" s="5">
        <v>8</v>
      </c>
      <c r="D247" s="5"/>
      <c r="E247" s="6"/>
      <c r="F247" s="6">
        <v>1</v>
      </c>
      <c r="G247" s="6"/>
      <c r="H247" s="6"/>
      <c r="I247" s="7">
        <v>1</v>
      </c>
      <c r="J247" s="7"/>
      <c r="K247" s="6"/>
      <c r="L247" s="6"/>
      <c r="M247" s="7"/>
      <c r="N247" s="59">
        <f t="shared" si="9"/>
        <v>10</v>
      </c>
      <c r="O247" s="60">
        <v>11</v>
      </c>
      <c r="P247" s="48"/>
      <c r="Q247" s="181">
        <v>19528.389222070771</v>
      </c>
      <c r="R247" s="187">
        <v>19528.389222070771</v>
      </c>
      <c r="S247" s="177">
        <v>20309.524790953601</v>
      </c>
      <c r="T247" s="177">
        <v>21090.660359836435</v>
      </c>
      <c r="V247" s="176"/>
      <c r="W247" s="186"/>
      <c r="X247" s="178"/>
    </row>
    <row r="248" spans="1:24">
      <c r="A248" s="148" t="s">
        <v>1635</v>
      </c>
      <c r="B248" s="56" t="s">
        <v>1657</v>
      </c>
      <c r="C248" s="5">
        <v>1</v>
      </c>
      <c r="D248" s="5"/>
      <c r="E248" s="6"/>
      <c r="F248" s="6"/>
      <c r="G248" s="6"/>
      <c r="H248" s="6"/>
      <c r="I248" s="7"/>
      <c r="J248" s="7"/>
      <c r="K248" s="6"/>
      <c r="L248" s="6"/>
      <c r="M248" s="7"/>
      <c r="N248" s="59">
        <f t="shared" si="9"/>
        <v>1</v>
      </c>
      <c r="O248" s="60"/>
      <c r="P248" s="48"/>
      <c r="Q248" s="181">
        <v>18296.350661364198</v>
      </c>
      <c r="R248" s="187">
        <v>18296.350661364198</v>
      </c>
      <c r="S248" s="177">
        <v>19028.204687818765</v>
      </c>
      <c r="T248" s="177">
        <v>19760.058714273335</v>
      </c>
      <c r="V248" s="176"/>
      <c r="W248" s="182">
        <v>250</v>
      </c>
      <c r="X248" s="178"/>
    </row>
    <row r="249" spans="1:24">
      <c r="A249" s="123" t="s">
        <v>242</v>
      </c>
      <c r="B249" s="56" t="s">
        <v>653</v>
      </c>
      <c r="C249" s="5">
        <v>24</v>
      </c>
      <c r="D249" s="5"/>
      <c r="E249" s="6"/>
      <c r="F249" s="6">
        <v>2</v>
      </c>
      <c r="G249" s="6"/>
      <c r="H249" s="6"/>
      <c r="I249" s="7"/>
      <c r="J249" s="7">
        <v>1</v>
      </c>
      <c r="K249" s="6"/>
      <c r="L249" s="6"/>
      <c r="M249" s="7"/>
      <c r="N249" s="59">
        <f t="shared" si="9"/>
        <v>27</v>
      </c>
      <c r="O249" s="60"/>
      <c r="P249" s="48" t="s">
        <v>1839</v>
      </c>
      <c r="Q249" s="181">
        <v>20171.726604154028</v>
      </c>
      <c r="R249" s="187">
        <v>20171.726604154028</v>
      </c>
      <c r="S249" s="177">
        <v>20978.595668320188</v>
      </c>
      <c r="T249" s="177">
        <v>21785.464732486351</v>
      </c>
      <c r="V249" s="176"/>
      <c r="W249" s="182">
        <v>250</v>
      </c>
      <c r="X249" s="202" t="s">
        <v>1840</v>
      </c>
    </row>
    <row r="250" spans="1:24">
      <c r="A250" s="143" t="s">
        <v>243</v>
      </c>
      <c r="B250" s="56" t="s">
        <v>654</v>
      </c>
      <c r="C250" s="5">
        <v>37</v>
      </c>
      <c r="D250" s="5"/>
      <c r="E250" s="6"/>
      <c r="F250" s="6"/>
      <c r="G250" s="6"/>
      <c r="H250" s="6"/>
      <c r="I250" s="7"/>
      <c r="J250" s="7">
        <v>1</v>
      </c>
      <c r="K250" s="6"/>
      <c r="L250" s="6">
        <v>3</v>
      </c>
      <c r="M250" s="7">
        <v>1</v>
      </c>
      <c r="N250" s="59">
        <f t="shared" si="9"/>
        <v>42</v>
      </c>
      <c r="O250" s="60"/>
      <c r="P250" s="48" t="s">
        <v>1839</v>
      </c>
      <c r="Q250" s="181">
        <v>20171.726604154028</v>
      </c>
      <c r="R250" s="187">
        <v>20171.726604154028</v>
      </c>
      <c r="S250" s="177">
        <v>20978.595668320188</v>
      </c>
      <c r="T250" s="177">
        <v>21785.464732486351</v>
      </c>
      <c r="V250" s="176"/>
      <c r="W250" s="186"/>
      <c r="X250" s="202" t="s">
        <v>1840</v>
      </c>
    </row>
    <row r="251" spans="1:24">
      <c r="A251" s="123" t="s">
        <v>245</v>
      </c>
      <c r="B251" s="56" t="s">
        <v>656</v>
      </c>
      <c r="C251" s="5">
        <v>12</v>
      </c>
      <c r="D251" s="5"/>
      <c r="E251" s="6"/>
      <c r="F251" s="6"/>
      <c r="G251" s="6"/>
      <c r="H251" s="6"/>
      <c r="I251" s="7">
        <v>1</v>
      </c>
      <c r="J251" s="7"/>
      <c r="K251" s="6"/>
      <c r="L251" s="6"/>
      <c r="M251" s="7"/>
      <c r="N251" s="59">
        <f t="shared" si="9"/>
        <v>13</v>
      </c>
      <c r="O251" s="60"/>
      <c r="P251" s="48"/>
      <c r="Q251" s="175" t="s">
        <v>1782</v>
      </c>
      <c r="R251" s="187">
        <v>15000</v>
      </c>
      <c r="S251" s="177">
        <v>15600</v>
      </c>
      <c r="T251" s="177">
        <v>16200</v>
      </c>
      <c r="U251" s="178"/>
      <c r="V251" s="176"/>
      <c r="W251" s="182">
        <v>250</v>
      </c>
    </row>
    <row r="252" spans="1:24">
      <c r="A252" s="143" t="s">
        <v>246</v>
      </c>
      <c r="B252" s="56" t="s">
        <v>657</v>
      </c>
      <c r="C252" s="5"/>
      <c r="D252" s="5"/>
      <c r="E252" s="6"/>
      <c r="F252" s="6">
        <v>1</v>
      </c>
      <c r="G252" s="6"/>
      <c r="H252" s="6"/>
      <c r="I252" s="7"/>
      <c r="J252" s="7"/>
      <c r="K252" s="6"/>
      <c r="L252" s="6"/>
      <c r="M252" s="7"/>
      <c r="N252" s="59">
        <f t="shared" si="9"/>
        <v>1</v>
      </c>
      <c r="O252" s="60"/>
      <c r="P252" s="48"/>
      <c r="Q252" s="175" t="s">
        <v>1782</v>
      </c>
      <c r="R252" s="187">
        <v>17000</v>
      </c>
      <c r="S252" s="177">
        <v>17680</v>
      </c>
      <c r="T252" s="177">
        <v>18360</v>
      </c>
      <c r="U252" s="178"/>
      <c r="V252" s="176"/>
      <c r="W252" s="200">
        <v>500</v>
      </c>
    </row>
    <row r="253" spans="1:24">
      <c r="A253" s="149" t="s">
        <v>250</v>
      </c>
      <c r="B253" s="56" t="s">
        <v>661</v>
      </c>
      <c r="C253" s="5">
        <v>5</v>
      </c>
      <c r="D253" s="5"/>
      <c r="E253" s="6"/>
      <c r="F253" s="6"/>
      <c r="G253" s="6"/>
      <c r="H253" s="6"/>
      <c r="I253" s="7"/>
      <c r="J253" s="7"/>
      <c r="K253" s="6">
        <v>1</v>
      </c>
      <c r="L253" s="6"/>
      <c r="M253" s="7"/>
      <c r="N253" s="59">
        <f t="shared" si="9"/>
        <v>6</v>
      </c>
      <c r="O253" s="60">
        <v>1</v>
      </c>
      <c r="P253" s="48" t="s">
        <v>1839</v>
      </c>
      <c r="Q253" s="181">
        <v>22225.055782222753</v>
      </c>
      <c r="R253" s="181">
        <v>23336.308571333891</v>
      </c>
      <c r="S253" s="177">
        <v>24269.760914187245</v>
      </c>
      <c r="T253" s="177">
        <v>25203.213257040603</v>
      </c>
      <c r="V253" s="176"/>
      <c r="W253" s="186"/>
      <c r="X253" s="202" t="s">
        <v>1840</v>
      </c>
    </row>
    <row r="254" spans="1:24">
      <c r="A254" s="143" t="s">
        <v>251</v>
      </c>
      <c r="B254" s="56" t="s">
        <v>662</v>
      </c>
      <c r="C254" s="5">
        <v>10</v>
      </c>
      <c r="D254" s="5"/>
      <c r="E254" s="6"/>
      <c r="F254" s="6">
        <v>1</v>
      </c>
      <c r="G254" s="6"/>
      <c r="H254" s="6"/>
      <c r="I254" s="7"/>
      <c r="J254" s="7"/>
      <c r="K254" s="6"/>
      <c r="L254" s="6">
        <v>1</v>
      </c>
      <c r="M254" s="7"/>
      <c r="N254" s="59">
        <f t="shared" si="9"/>
        <v>12</v>
      </c>
      <c r="O254" s="60"/>
      <c r="P254" s="48" t="s">
        <v>1839</v>
      </c>
      <c r="Q254" s="181">
        <v>22225.055782222753</v>
      </c>
      <c r="R254" s="187">
        <v>22225.055782222753</v>
      </c>
      <c r="S254" s="177">
        <v>23114.058013511662</v>
      </c>
      <c r="T254" s="177">
        <v>24003.060244800574</v>
      </c>
      <c r="V254" s="176"/>
      <c r="W254" s="186"/>
      <c r="X254" s="202" t="s">
        <v>1840</v>
      </c>
    </row>
    <row r="255" spans="1:24">
      <c r="A255" s="143" t="s">
        <v>247</v>
      </c>
      <c r="B255" s="56" t="s">
        <v>658</v>
      </c>
      <c r="C255" s="5">
        <v>18</v>
      </c>
      <c r="D255" s="5"/>
      <c r="E255" s="6"/>
      <c r="F255" s="6"/>
      <c r="G255" s="6"/>
      <c r="H255" s="6"/>
      <c r="I255" s="7"/>
      <c r="J255" s="7"/>
      <c r="K255" s="6"/>
      <c r="L255" s="6"/>
      <c r="M255" s="7">
        <v>1</v>
      </c>
      <c r="N255" s="59">
        <f t="shared" si="9"/>
        <v>19</v>
      </c>
      <c r="O255" s="60"/>
      <c r="P255" s="48" t="s">
        <v>1839</v>
      </c>
      <c r="Q255" s="181">
        <v>22225.055782222753</v>
      </c>
      <c r="R255" s="187">
        <v>22225.055782222753</v>
      </c>
      <c r="S255" s="177">
        <v>23114.058013511662</v>
      </c>
      <c r="T255" s="177">
        <v>24003.060244800574</v>
      </c>
      <c r="V255" s="176"/>
      <c r="W255" s="186"/>
      <c r="X255" s="202" t="s">
        <v>1840</v>
      </c>
    </row>
    <row r="256" spans="1:24">
      <c r="A256" s="145" t="s">
        <v>248</v>
      </c>
      <c r="B256" s="56" t="s">
        <v>659</v>
      </c>
      <c r="C256" s="5"/>
      <c r="D256" s="5"/>
      <c r="E256" s="6"/>
      <c r="F256" s="6"/>
      <c r="G256" s="6"/>
      <c r="H256" s="6"/>
      <c r="I256" s="7"/>
      <c r="J256" s="7">
        <v>1</v>
      </c>
      <c r="K256" s="6"/>
      <c r="L256" s="6"/>
      <c r="M256" s="7"/>
      <c r="N256" s="59">
        <f t="shared" si="9"/>
        <v>1</v>
      </c>
      <c r="O256" s="60">
        <v>22</v>
      </c>
      <c r="P256" s="48" t="s">
        <v>1839</v>
      </c>
      <c r="Q256" s="181">
        <v>22225.055782222753</v>
      </c>
      <c r="R256" s="181">
        <v>23336.308571333891</v>
      </c>
      <c r="S256" s="177">
        <v>24269.760914187245</v>
      </c>
      <c r="T256" s="177">
        <v>25203.213257040603</v>
      </c>
      <c r="V256" s="176"/>
      <c r="W256" s="186"/>
      <c r="X256" s="202" t="s">
        <v>1840</v>
      </c>
    </row>
    <row r="257" spans="1:24">
      <c r="A257" s="123" t="s">
        <v>249</v>
      </c>
      <c r="B257" s="56" t="s">
        <v>660</v>
      </c>
      <c r="C257" s="5"/>
      <c r="D257" s="5"/>
      <c r="E257" s="6"/>
      <c r="F257" s="6"/>
      <c r="G257" s="6"/>
      <c r="H257" s="6"/>
      <c r="I257" s="7"/>
      <c r="J257" s="7"/>
      <c r="K257" s="6"/>
      <c r="L257" s="6">
        <v>1</v>
      </c>
      <c r="M257" s="7">
        <v>1</v>
      </c>
      <c r="N257" s="59">
        <f t="shared" si="9"/>
        <v>2</v>
      </c>
      <c r="O257" s="60"/>
      <c r="P257" s="48"/>
      <c r="Q257" s="175" t="s">
        <v>1782</v>
      </c>
      <c r="R257" s="187">
        <v>25000</v>
      </c>
      <c r="S257" s="177">
        <v>26000</v>
      </c>
      <c r="T257" s="177">
        <v>27000</v>
      </c>
      <c r="V257" s="176"/>
      <c r="W257" s="200">
        <v>500</v>
      </c>
      <c r="X257" s="178"/>
    </row>
    <row r="258" spans="1:24">
      <c r="A258" s="143" t="s">
        <v>1503</v>
      </c>
      <c r="B258" s="56" t="s">
        <v>1519</v>
      </c>
      <c r="C258" s="5">
        <v>10</v>
      </c>
      <c r="D258" s="5"/>
      <c r="E258" s="6"/>
      <c r="F258" s="6"/>
      <c r="G258" s="6"/>
      <c r="H258" s="6"/>
      <c r="I258" s="7">
        <v>1</v>
      </c>
      <c r="J258" s="7">
        <v>1</v>
      </c>
      <c r="K258" s="6">
        <v>1</v>
      </c>
      <c r="L258" s="6"/>
      <c r="M258" s="7"/>
      <c r="N258" s="59">
        <f t="shared" si="9"/>
        <v>13</v>
      </c>
      <c r="O258" s="60"/>
      <c r="P258" s="48" t="s">
        <v>1839</v>
      </c>
      <c r="Q258" s="181">
        <v>36363.786053704396</v>
      </c>
      <c r="R258" s="187">
        <v>36363.786053704396</v>
      </c>
      <c r="S258" s="177">
        <v>37818.337495852575</v>
      </c>
      <c r="T258" s="177">
        <v>39272.888938000746</v>
      </c>
      <c r="V258" s="176"/>
      <c r="W258" s="186"/>
      <c r="X258" s="202" t="s">
        <v>1840</v>
      </c>
    </row>
    <row r="259" spans="1:24">
      <c r="A259" s="123" t="s">
        <v>253</v>
      </c>
      <c r="B259" s="56" t="s">
        <v>664</v>
      </c>
      <c r="C259" s="5">
        <v>1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1</v>
      </c>
      <c r="O259" s="60">
        <v>2</v>
      </c>
      <c r="P259" s="48"/>
      <c r="Q259" s="181">
        <v>66522.529622887014</v>
      </c>
      <c r="R259" s="187">
        <v>63354.790117035249</v>
      </c>
      <c r="S259" s="177">
        <v>65888.981721716656</v>
      </c>
      <c r="T259" s="177">
        <v>68423.173326398071</v>
      </c>
      <c r="U259" s="178"/>
      <c r="V259" s="176"/>
      <c r="W259" s="186"/>
    </row>
    <row r="260" spans="1:24">
      <c r="A260" s="123" t="s">
        <v>254</v>
      </c>
      <c r="B260" s="56" t="s">
        <v>665</v>
      </c>
      <c r="C260" s="5"/>
      <c r="D260" s="5">
        <v>1</v>
      </c>
      <c r="E260" s="6"/>
      <c r="F260" s="6"/>
      <c r="G260" s="6"/>
      <c r="H260" s="6"/>
      <c r="I260" s="7"/>
      <c r="J260" s="7"/>
      <c r="K260" s="6"/>
      <c r="L260" s="6">
        <v>1</v>
      </c>
      <c r="M260" s="7"/>
      <c r="N260" s="59">
        <f t="shared" si="9"/>
        <v>2</v>
      </c>
      <c r="O260" s="60"/>
      <c r="P260" s="48"/>
      <c r="Q260" s="195">
        <v>99737.407074028422</v>
      </c>
      <c r="R260" s="195">
        <v>89763.666366625577</v>
      </c>
      <c r="S260" s="177">
        <v>93354.213021290605</v>
      </c>
      <c r="T260" s="177">
        <v>96944.759675955618</v>
      </c>
      <c r="U260" s="178"/>
      <c r="V260" s="176"/>
      <c r="W260" s="182">
        <v>250</v>
      </c>
    </row>
    <row r="261" spans="1:24">
      <c r="A261" s="123" t="s">
        <v>255</v>
      </c>
      <c r="B261" s="56" t="s">
        <v>666</v>
      </c>
      <c r="C261" s="5">
        <v>1</v>
      </c>
      <c r="D261" s="5"/>
      <c r="E261" s="6"/>
      <c r="F261" s="6"/>
      <c r="G261" s="6"/>
      <c r="H261" s="6"/>
      <c r="I261" s="7"/>
      <c r="J261" s="7">
        <v>1</v>
      </c>
      <c r="K261" s="6"/>
      <c r="L261" s="6"/>
      <c r="M261" s="7"/>
      <c r="N261" s="59">
        <f t="shared" si="9"/>
        <v>2</v>
      </c>
      <c r="O261" s="60"/>
      <c r="P261" s="48"/>
      <c r="Q261" s="181">
        <v>27597.559366538866</v>
      </c>
      <c r="R261" s="203">
        <v>24837.803429884982</v>
      </c>
      <c r="S261" s="177">
        <v>25831.315567080383</v>
      </c>
      <c r="T261" s="177">
        <v>26824.82770427578</v>
      </c>
      <c r="U261" s="178"/>
      <c r="V261" s="176"/>
      <c r="W261" s="186"/>
    </row>
    <row r="262" spans="1:24">
      <c r="A262" s="150" t="s">
        <v>256</v>
      </c>
      <c r="B262" s="56" t="s">
        <v>667</v>
      </c>
      <c r="C262" s="5">
        <v>4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59">
        <f t="shared" si="9"/>
        <v>4</v>
      </c>
      <c r="O262" s="60"/>
      <c r="P262" s="48"/>
      <c r="Q262" s="181">
        <v>28825.818980940763</v>
      </c>
      <c r="R262" s="203">
        <v>25943.237082846688</v>
      </c>
      <c r="S262" s="177">
        <v>26980.966566160554</v>
      </c>
      <c r="T262" s="177">
        <v>28018.696049474423</v>
      </c>
      <c r="U262" s="178"/>
      <c r="V262" s="176"/>
      <c r="W262" s="186"/>
    </row>
    <row r="263" spans="1:24">
      <c r="A263" s="128" t="s">
        <v>257</v>
      </c>
      <c r="B263" s="56" t="s">
        <v>668</v>
      </c>
      <c r="C263" s="5">
        <v>18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9"/>
        <v>18</v>
      </c>
      <c r="O263" s="60"/>
      <c r="P263" s="48"/>
      <c r="Q263" s="181">
        <v>28825.818980940763</v>
      </c>
      <c r="R263" s="203">
        <v>25943.237082846688</v>
      </c>
      <c r="S263" s="177">
        <v>26980.966566160554</v>
      </c>
      <c r="T263" s="177">
        <v>28018.696049474423</v>
      </c>
      <c r="U263" s="178"/>
      <c r="V263" s="176"/>
      <c r="W263" s="186"/>
    </row>
    <row r="264" spans="1:24">
      <c r="A264" s="148" t="s">
        <v>1521</v>
      </c>
      <c r="B264" s="56" t="s">
        <v>668</v>
      </c>
      <c r="C264" s="5"/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59">
        <f t="shared" si="9"/>
        <v>0</v>
      </c>
      <c r="O264" s="60"/>
      <c r="P264" s="48"/>
      <c r="Q264" s="181">
        <v>28825.818980940763</v>
      </c>
      <c r="R264" s="187">
        <v>28825.818980940763</v>
      </c>
      <c r="S264" s="177">
        <v>29978.851740178394</v>
      </c>
      <c r="T264" s="177">
        <v>31131.884499416024</v>
      </c>
      <c r="U264" s="178"/>
      <c r="V264" s="176"/>
      <c r="W264" s="182">
        <v>250</v>
      </c>
    </row>
    <row r="265" spans="1:24">
      <c r="A265" s="145" t="s">
        <v>258</v>
      </c>
      <c r="B265" s="56" t="s">
        <v>669</v>
      </c>
      <c r="C265" s="5">
        <v>3</v>
      </c>
      <c r="D265" s="5"/>
      <c r="E265" s="6"/>
      <c r="F265" s="6"/>
      <c r="G265" s="6"/>
      <c r="H265" s="6"/>
      <c r="I265" s="7">
        <v>1</v>
      </c>
      <c r="J265" s="7"/>
      <c r="K265" s="6"/>
      <c r="L265" s="6"/>
      <c r="M265" s="7"/>
      <c r="N265" s="59">
        <f t="shared" si="9"/>
        <v>4</v>
      </c>
      <c r="O265" s="60"/>
      <c r="P265" s="48"/>
      <c r="Q265" s="175" t="s">
        <v>1782</v>
      </c>
      <c r="R265" s="187">
        <v>20000</v>
      </c>
      <c r="S265" s="177">
        <v>20800</v>
      </c>
      <c r="T265" s="177">
        <v>21600</v>
      </c>
      <c r="U265" s="178"/>
      <c r="V265" s="176"/>
      <c r="W265" s="186"/>
    </row>
    <row r="266" spans="1:24">
      <c r="A266" s="123" t="s">
        <v>259</v>
      </c>
      <c r="B266" s="56" t="s">
        <v>670</v>
      </c>
      <c r="C266" s="5">
        <v>20</v>
      </c>
      <c r="D266" s="5"/>
      <c r="E266" s="6"/>
      <c r="F266" s="6"/>
      <c r="G266" s="6"/>
      <c r="H266" s="6"/>
      <c r="I266" s="7">
        <v>1</v>
      </c>
      <c r="J266" s="7">
        <v>1</v>
      </c>
      <c r="K266" s="6">
        <v>1</v>
      </c>
      <c r="L266" s="6">
        <v>1</v>
      </c>
      <c r="M266" s="7"/>
      <c r="N266" s="59">
        <f t="shared" si="9"/>
        <v>24</v>
      </c>
      <c r="O266" s="60"/>
      <c r="P266" s="48"/>
      <c r="Q266" s="175" t="s">
        <v>1782</v>
      </c>
      <c r="R266" s="187">
        <v>20000</v>
      </c>
      <c r="S266" s="177">
        <v>20800</v>
      </c>
      <c r="T266" s="177">
        <v>21600</v>
      </c>
      <c r="U266" s="178"/>
      <c r="V266" s="176"/>
      <c r="W266" s="182">
        <v>250</v>
      </c>
    </row>
    <row r="267" spans="1:24">
      <c r="A267" s="148" t="s">
        <v>1408</v>
      </c>
      <c r="B267" s="56" t="s">
        <v>1409</v>
      </c>
      <c r="C267" s="5"/>
      <c r="D267" s="5"/>
      <c r="E267" s="6"/>
      <c r="F267" s="6"/>
      <c r="G267" s="6"/>
      <c r="H267" s="6"/>
      <c r="I267" s="7"/>
      <c r="J267" s="7"/>
      <c r="K267" s="6">
        <v>1</v>
      </c>
      <c r="L267" s="6"/>
      <c r="M267" s="7"/>
      <c r="N267" s="59">
        <f t="shared" si="9"/>
        <v>1</v>
      </c>
      <c r="O267" s="60"/>
      <c r="P267" s="48"/>
      <c r="Q267" s="175" t="s">
        <v>1782</v>
      </c>
      <c r="R267" s="187">
        <v>25000</v>
      </c>
      <c r="S267" s="177">
        <v>26000</v>
      </c>
      <c r="T267" s="177">
        <v>27000</v>
      </c>
      <c r="U267" s="178"/>
      <c r="V267" s="176"/>
      <c r="W267" s="179">
        <v>500</v>
      </c>
    </row>
    <row r="268" spans="1:24">
      <c r="A268" s="123" t="s">
        <v>260</v>
      </c>
      <c r="B268" s="56" t="s">
        <v>671</v>
      </c>
      <c r="C268" s="5">
        <v>4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4</v>
      </c>
      <c r="O268" s="60"/>
      <c r="P268" s="48"/>
      <c r="Q268" s="175" t="s">
        <v>1782</v>
      </c>
      <c r="R268" s="187">
        <v>39195.714086911241</v>
      </c>
      <c r="S268" s="177">
        <v>40763.542650387688</v>
      </c>
      <c r="T268" s="177">
        <v>42331.371213864142</v>
      </c>
      <c r="U268" s="178"/>
      <c r="V268" s="176"/>
      <c r="W268" s="186"/>
    </row>
    <row r="269" spans="1:24">
      <c r="A269" s="123" t="s">
        <v>261</v>
      </c>
      <c r="B269" s="56" t="s">
        <v>672</v>
      </c>
      <c r="C269" s="5">
        <v>1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1</v>
      </c>
      <c r="O269" s="60"/>
      <c r="P269" s="48"/>
      <c r="Q269" s="175" t="s">
        <v>1782</v>
      </c>
      <c r="R269" s="187">
        <v>51000</v>
      </c>
      <c r="S269" s="177">
        <v>53040</v>
      </c>
      <c r="T269" s="177">
        <v>55080</v>
      </c>
      <c r="U269" s="178"/>
      <c r="V269" s="176"/>
      <c r="W269" s="182">
        <v>250</v>
      </c>
    </row>
    <row r="270" spans="1:24">
      <c r="A270" s="123" t="s">
        <v>263</v>
      </c>
      <c r="B270" s="56" t="s">
        <v>673</v>
      </c>
      <c r="C270" s="5"/>
      <c r="D270" s="5"/>
      <c r="E270" s="6"/>
      <c r="F270" s="6"/>
      <c r="G270" s="6"/>
      <c r="H270" s="6"/>
      <c r="I270" s="7"/>
      <c r="J270" s="7">
        <v>1</v>
      </c>
      <c r="K270" s="6"/>
      <c r="L270" s="6"/>
      <c r="M270" s="7"/>
      <c r="N270" s="59">
        <f t="shared" si="9"/>
        <v>1</v>
      </c>
      <c r="O270" s="60"/>
      <c r="P270" s="48"/>
      <c r="Q270" s="175" t="s">
        <v>1782</v>
      </c>
      <c r="R270" s="187">
        <v>56000</v>
      </c>
      <c r="S270" s="177">
        <v>58240</v>
      </c>
      <c r="T270" s="177">
        <v>60480</v>
      </c>
      <c r="U270" s="178"/>
      <c r="V270" s="176"/>
      <c r="W270" s="179">
        <v>1000</v>
      </c>
    </row>
    <row r="271" spans="1:24">
      <c r="A271" s="149" t="s">
        <v>264</v>
      </c>
      <c r="B271" s="56" t="s">
        <v>674</v>
      </c>
      <c r="C271" s="5">
        <v>3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3</v>
      </c>
      <c r="O271" s="60"/>
      <c r="P271" s="48" t="s">
        <v>1839</v>
      </c>
      <c r="Q271" s="181">
        <v>33510.027253272019</v>
      </c>
      <c r="R271" s="181">
        <v>35185.528615935618</v>
      </c>
      <c r="S271" s="177">
        <v>36592.949760573043</v>
      </c>
      <c r="T271" s="177">
        <v>38000.370905210468</v>
      </c>
      <c r="V271" s="176"/>
      <c r="W271" s="186"/>
      <c r="X271" s="202" t="s">
        <v>1840</v>
      </c>
    </row>
    <row r="272" spans="1:24">
      <c r="A272" s="143" t="s">
        <v>265</v>
      </c>
      <c r="B272" s="56" t="s">
        <v>675</v>
      </c>
      <c r="C272" s="5">
        <v>2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2</v>
      </c>
      <c r="O272" s="60"/>
      <c r="P272" s="48"/>
      <c r="Q272" s="181">
        <v>33510.027253272019</v>
      </c>
      <c r="R272" s="187">
        <v>33510.027253272019</v>
      </c>
      <c r="S272" s="177">
        <v>34850.428343402898</v>
      </c>
      <c r="T272" s="177">
        <v>36190.829433533778</v>
      </c>
      <c r="V272" s="176"/>
      <c r="W272" s="186"/>
      <c r="X272" s="178"/>
    </row>
    <row r="273" spans="1:24">
      <c r="A273" s="145" t="s">
        <v>266</v>
      </c>
      <c r="B273" s="56" t="s">
        <v>676</v>
      </c>
      <c r="C273" s="5"/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9"/>
        <v>0</v>
      </c>
      <c r="O273" s="60"/>
      <c r="P273" s="48" t="s">
        <v>1839</v>
      </c>
      <c r="Q273" s="181">
        <v>33510.027253272019</v>
      </c>
      <c r="R273" s="181">
        <v>35185.528615935618</v>
      </c>
      <c r="S273" s="177">
        <v>36592.949760573043</v>
      </c>
      <c r="T273" s="177">
        <v>38000.370905210468</v>
      </c>
      <c r="V273" s="176"/>
      <c r="W273" s="186"/>
      <c r="X273" s="202" t="s">
        <v>1840</v>
      </c>
    </row>
    <row r="274" spans="1:24">
      <c r="A274" s="123" t="s">
        <v>267</v>
      </c>
      <c r="B274" s="56" t="s">
        <v>677</v>
      </c>
      <c r="C274" s="5">
        <v>2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9"/>
        <v>2</v>
      </c>
      <c r="O274" s="60"/>
      <c r="P274" s="48"/>
      <c r="Q274" s="175" t="s">
        <v>1782</v>
      </c>
      <c r="R274" s="176">
        <v>26000</v>
      </c>
      <c r="S274" s="177">
        <v>27040</v>
      </c>
      <c r="T274" s="177">
        <v>28080</v>
      </c>
      <c r="U274" s="178"/>
      <c r="V274" s="176"/>
      <c r="W274" s="182">
        <v>250</v>
      </c>
    </row>
    <row r="275" spans="1:24">
      <c r="A275" s="123" t="s">
        <v>268</v>
      </c>
      <c r="B275" s="56" t="s">
        <v>678</v>
      </c>
      <c r="C275" s="5">
        <v>7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59">
        <f t="shared" si="9"/>
        <v>7</v>
      </c>
      <c r="O275" s="60"/>
      <c r="P275" s="48"/>
      <c r="Q275" s="175" t="s">
        <v>1782</v>
      </c>
      <c r="R275" s="176">
        <v>26000</v>
      </c>
      <c r="S275" s="177">
        <v>27040</v>
      </c>
      <c r="T275" s="177">
        <v>28080</v>
      </c>
      <c r="U275" s="178"/>
      <c r="V275" s="176"/>
      <c r="W275" s="182">
        <v>250</v>
      </c>
    </row>
    <row r="276" spans="1:24">
      <c r="A276" s="123" t="s">
        <v>269</v>
      </c>
      <c r="B276" s="56" t="s">
        <v>679</v>
      </c>
      <c r="C276" s="5"/>
      <c r="D276" s="5"/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1</v>
      </c>
      <c r="O276" s="60"/>
      <c r="P276" s="48"/>
      <c r="Q276" s="175" t="s">
        <v>1782</v>
      </c>
      <c r="R276" s="195">
        <v>65000</v>
      </c>
      <c r="S276" s="177">
        <v>67600</v>
      </c>
      <c r="T276" s="177">
        <v>70200</v>
      </c>
      <c r="U276" s="178"/>
      <c r="V276" s="176"/>
      <c r="W276" s="179">
        <v>1000</v>
      </c>
    </row>
    <row r="277" spans="1:24">
      <c r="A277" s="123" t="s">
        <v>271</v>
      </c>
      <c r="B277" s="56" t="s">
        <v>681</v>
      </c>
      <c r="C277" s="5"/>
      <c r="D277" s="5">
        <v>1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2</v>
      </c>
      <c r="O277" s="60"/>
      <c r="P277" s="48"/>
      <c r="Q277" s="195">
        <v>176757.24375217297</v>
      </c>
      <c r="R277" s="195">
        <v>159081.51937695569</v>
      </c>
      <c r="S277" s="177">
        <v>165444.78015203393</v>
      </c>
      <c r="T277" s="177">
        <v>171808.04092711216</v>
      </c>
      <c r="U277" s="178"/>
      <c r="V277" s="176"/>
      <c r="W277" s="182">
        <v>250</v>
      </c>
    </row>
    <row r="278" spans="1:24">
      <c r="A278" s="123" t="s">
        <v>272</v>
      </c>
      <c r="B278" s="56" t="s">
        <v>682</v>
      </c>
      <c r="C278" s="5">
        <v>2</v>
      </c>
      <c r="D278" s="5"/>
      <c r="E278" s="6"/>
      <c r="F278" s="6"/>
      <c r="G278" s="6"/>
      <c r="H278" s="6"/>
      <c r="I278" s="7">
        <v>1</v>
      </c>
      <c r="J278" s="7"/>
      <c r="K278" s="6"/>
      <c r="L278" s="6">
        <v>2</v>
      </c>
      <c r="M278" s="7"/>
      <c r="N278" s="59">
        <f t="shared" si="9"/>
        <v>5</v>
      </c>
      <c r="O278" s="60"/>
      <c r="P278" s="48"/>
      <c r="Q278" s="181">
        <v>63515.397354714543</v>
      </c>
      <c r="R278" s="187">
        <v>63515.397354714543</v>
      </c>
      <c r="S278" s="177">
        <v>66056.013248903124</v>
      </c>
      <c r="T278" s="177">
        <v>68596.629143091704</v>
      </c>
      <c r="U278" s="178"/>
      <c r="V278" s="176"/>
      <c r="W278" s="186"/>
    </row>
    <row r="279" spans="1:24">
      <c r="A279" s="123" t="s">
        <v>273</v>
      </c>
      <c r="B279" s="56" t="s">
        <v>683</v>
      </c>
      <c r="C279" s="5"/>
      <c r="D279" s="5">
        <v>2</v>
      </c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59">
        <f t="shared" si="9"/>
        <v>3</v>
      </c>
      <c r="O279" s="60"/>
      <c r="P279" s="48"/>
      <c r="Q279" s="195">
        <v>106742.33838065849</v>
      </c>
      <c r="R279" s="195">
        <v>96068.104542592642</v>
      </c>
      <c r="S279" s="177">
        <v>99910.828724296342</v>
      </c>
      <c r="T279" s="177">
        <v>103753.55290600006</v>
      </c>
      <c r="U279" s="178"/>
      <c r="V279" s="176"/>
      <c r="W279" s="182">
        <v>250</v>
      </c>
    </row>
    <row r="280" spans="1:24">
      <c r="A280" s="123" t="s">
        <v>270</v>
      </c>
      <c r="B280" s="56" t="s">
        <v>680</v>
      </c>
      <c r="C280" s="5"/>
      <c r="D280" s="5">
        <v>6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59">
        <f t="shared" si="9"/>
        <v>7</v>
      </c>
      <c r="O280" s="60"/>
      <c r="P280" s="48"/>
      <c r="Q280" s="195">
        <v>312099.04977688513</v>
      </c>
      <c r="R280" s="195">
        <v>250000</v>
      </c>
      <c r="S280" s="177">
        <v>260000</v>
      </c>
      <c r="T280" s="177">
        <v>270000</v>
      </c>
      <c r="U280" s="178"/>
      <c r="V280" s="176"/>
      <c r="W280" s="179">
        <v>1000</v>
      </c>
    </row>
    <row r="281" spans="1:24" ht="33.75" customHeight="1">
      <c r="A281" s="142" t="s">
        <v>1748</v>
      </c>
      <c r="B281" s="56" t="s">
        <v>1849</v>
      </c>
      <c r="C281" s="5"/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>SUM(N231:N280)</f>
        <v>311</v>
      </c>
      <c r="O281" s="60"/>
      <c r="P281" s="6"/>
      <c r="Q281" s="175"/>
      <c r="R281" s="176"/>
      <c r="S281" s="177"/>
      <c r="T281" s="177"/>
      <c r="U281" s="178"/>
      <c r="V281" s="176"/>
      <c r="W281" s="186"/>
    </row>
    <row r="282" spans="1:24">
      <c r="A282" s="127" t="s">
        <v>277</v>
      </c>
      <c r="B282" s="56" t="s">
        <v>687</v>
      </c>
      <c r="C282" s="5">
        <v>14</v>
      </c>
      <c r="D282" s="5"/>
      <c r="E282" s="6"/>
      <c r="F282" s="6">
        <v>2</v>
      </c>
      <c r="G282" s="6"/>
      <c r="H282" s="6"/>
      <c r="I282" s="7"/>
      <c r="J282" s="7"/>
      <c r="K282" s="6"/>
      <c r="L282" s="6"/>
      <c r="M282" s="7"/>
      <c r="N282" s="59">
        <f t="shared" ref="N282:N292" si="10">M282+K282+L282+J282+I282+H282+G282+F282+E282+D282+C282</f>
        <v>16</v>
      </c>
      <c r="O282" s="60"/>
      <c r="P282" s="48"/>
      <c r="Q282" s="181">
        <v>12283.294659637026</v>
      </c>
      <c r="R282" s="187">
        <v>12283.294659637026</v>
      </c>
      <c r="S282" s="177">
        <v>12774.626446022507</v>
      </c>
      <c r="T282" s="177">
        <v>13265.958232407987</v>
      </c>
      <c r="U282" s="178"/>
      <c r="V282" s="176"/>
      <c r="W282" s="186"/>
    </row>
    <row r="283" spans="1:24">
      <c r="A283" s="124" t="s">
        <v>276</v>
      </c>
      <c r="B283" s="56" t="s">
        <v>686</v>
      </c>
      <c r="C283" s="5">
        <v>4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9">
        <f t="shared" si="10"/>
        <v>4</v>
      </c>
      <c r="O283" s="60"/>
      <c r="P283" s="48"/>
      <c r="Q283" s="181">
        <v>30701.396746168586</v>
      </c>
      <c r="R283" s="187">
        <v>30701.396746168586</v>
      </c>
      <c r="S283" s="177">
        <v>31929.452616015329</v>
      </c>
      <c r="T283" s="177">
        <v>33157.508485862076</v>
      </c>
      <c r="U283" s="178"/>
      <c r="V283" s="176"/>
      <c r="W283" s="186"/>
    </row>
    <row r="284" spans="1:24">
      <c r="A284" s="127" t="s">
        <v>1636</v>
      </c>
      <c r="B284" s="56" t="s">
        <v>1654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4</v>
      </c>
      <c r="O284" s="60"/>
      <c r="P284" s="48"/>
      <c r="Q284" s="181">
        <v>13394.970915059126</v>
      </c>
      <c r="R284" s="187">
        <v>13394.970915059126</v>
      </c>
      <c r="S284" s="177">
        <v>13930.769751661492</v>
      </c>
      <c r="T284" s="177">
        <v>14466.568588263857</v>
      </c>
      <c r="U284" s="178"/>
      <c r="V284" s="176"/>
      <c r="W284" s="186"/>
    </row>
    <row r="285" spans="1:24">
      <c r="A285" s="127" t="s">
        <v>1516</v>
      </c>
      <c r="B285" s="56" t="s">
        <v>1517</v>
      </c>
      <c r="C285" s="5"/>
      <c r="D285" s="5"/>
      <c r="E285" s="6"/>
      <c r="F285" s="6"/>
      <c r="G285" s="6"/>
      <c r="H285" s="6"/>
      <c r="I285" s="7">
        <v>1</v>
      </c>
      <c r="J285" s="7"/>
      <c r="K285" s="6"/>
      <c r="L285" s="6"/>
      <c r="M285" s="7"/>
      <c r="N285" s="59">
        <f t="shared" si="10"/>
        <v>1</v>
      </c>
      <c r="O285" s="60"/>
      <c r="P285" s="48"/>
      <c r="Q285" s="175" t="s">
        <v>1782</v>
      </c>
      <c r="R285" s="176">
        <v>35000</v>
      </c>
      <c r="S285" s="177">
        <v>36400</v>
      </c>
      <c r="T285" s="177">
        <v>37800</v>
      </c>
      <c r="U285" s="178"/>
      <c r="V285" s="176"/>
      <c r="W285" s="200">
        <v>1000</v>
      </c>
    </row>
    <row r="286" spans="1:24">
      <c r="A286" s="127" t="s">
        <v>279</v>
      </c>
      <c r="B286" s="56" t="s">
        <v>689</v>
      </c>
      <c r="C286" s="5">
        <v>4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5</v>
      </c>
      <c r="O286" s="60"/>
      <c r="P286" s="48"/>
      <c r="Q286" s="181">
        <v>41753.899574789284</v>
      </c>
      <c r="R286" s="187">
        <v>41753.899574789284</v>
      </c>
      <c r="S286" s="177">
        <v>43424.055557780855</v>
      </c>
      <c r="T286" s="177">
        <v>45094.211540772427</v>
      </c>
      <c r="U286" s="178"/>
      <c r="V286" s="176"/>
      <c r="W286" s="186"/>
    </row>
    <row r="287" spans="1:24">
      <c r="A287" s="129" t="s">
        <v>278</v>
      </c>
      <c r="B287" s="56" t="s">
        <v>688</v>
      </c>
      <c r="C287" s="5">
        <v>1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1</v>
      </c>
      <c r="O287" s="60">
        <v>1</v>
      </c>
      <c r="P287" s="48"/>
      <c r="Q287" s="181">
        <v>46760.809604888731</v>
      </c>
      <c r="R287" s="187">
        <v>46760.809604888731</v>
      </c>
      <c r="S287" s="177">
        <v>48631.241989084279</v>
      </c>
      <c r="T287" s="177">
        <v>50501.674373279828</v>
      </c>
      <c r="U287" s="178"/>
      <c r="V287" s="176"/>
      <c r="W287" s="186"/>
    </row>
    <row r="288" spans="1:24">
      <c r="A288" s="127" t="s">
        <v>274</v>
      </c>
      <c r="B288" s="56" t="s">
        <v>684</v>
      </c>
      <c r="C288" s="5">
        <v>2</v>
      </c>
      <c r="D288" s="5"/>
      <c r="E288" s="6"/>
      <c r="F288" s="6">
        <v>1</v>
      </c>
      <c r="G288" s="6">
        <v>1</v>
      </c>
      <c r="H288" s="6"/>
      <c r="I288" s="7"/>
      <c r="J288" s="7"/>
      <c r="K288" s="6"/>
      <c r="L288" s="6"/>
      <c r="M288" s="7"/>
      <c r="N288" s="59">
        <f t="shared" si="10"/>
        <v>4</v>
      </c>
      <c r="O288" s="60"/>
      <c r="P288" s="48"/>
      <c r="Q288" s="181">
        <v>8173.6702310901737</v>
      </c>
      <c r="R288" s="187">
        <v>8173.6702310901737</v>
      </c>
      <c r="S288" s="177">
        <v>8500.6170403337801</v>
      </c>
      <c r="T288" s="177">
        <v>8827.5638495773874</v>
      </c>
      <c r="U288" s="178"/>
      <c r="V288" s="176"/>
      <c r="W288" s="186"/>
    </row>
    <row r="289" spans="1:23">
      <c r="A289" s="127" t="s">
        <v>275</v>
      </c>
      <c r="B289" s="56" t="s">
        <v>685</v>
      </c>
      <c r="C289" s="5">
        <v>8</v>
      </c>
      <c r="D289" s="5"/>
      <c r="E289" s="6"/>
      <c r="F289" s="6">
        <v>1</v>
      </c>
      <c r="G289" s="6"/>
      <c r="H289" s="6"/>
      <c r="I289" s="7"/>
      <c r="J289" s="7"/>
      <c r="K289" s="6"/>
      <c r="L289" s="6"/>
      <c r="M289" s="7"/>
      <c r="N289" s="59">
        <f t="shared" si="10"/>
        <v>9</v>
      </c>
      <c r="O289" s="60"/>
      <c r="P289" s="48"/>
      <c r="Q289" s="181">
        <v>8175.9693838278199</v>
      </c>
      <c r="R289" s="187">
        <v>8175.9693838278199</v>
      </c>
      <c r="S289" s="177">
        <v>8503.0081591809321</v>
      </c>
      <c r="T289" s="177">
        <v>8830.0469345340462</v>
      </c>
      <c r="U289" s="178"/>
      <c r="V289" s="176"/>
      <c r="W289" s="186"/>
    </row>
    <row r="290" spans="1:23">
      <c r="A290" s="127" t="s">
        <v>1739</v>
      </c>
      <c r="B290" s="56" t="s">
        <v>1740</v>
      </c>
      <c r="C290" s="5">
        <v>4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 t="shared" si="10"/>
        <v>4</v>
      </c>
      <c r="O290" s="60"/>
      <c r="P290" s="48"/>
      <c r="Q290" s="181">
        <v>23392.692461206181</v>
      </c>
      <c r="R290" s="187">
        <v>23392.692461206181</v>
      </c>
      <c r="S290" s="177">
        <v>24328.400159654429</v>
      </c>
      <c r="T290" s="177">
        <v>25264.107858102674</v>
      </c>
      <c r="U290" s="178"/>
      <c r="V290" s="176"/>
      <c r="W290" s="186"/>
    </row>
    <row r="291" spans="1:23">
      <c r="A291" s="127" t="s">
        <v>1742</v>
      </c>
      <c r="B291" s="56" t="s">
        <v>1743</v>
      </c>
      <c r="C291" s="5"/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0"/>
        <v>0</v>
      </c>
      <c r="O291" s="60">
        <v>5</v>
      </c>
      <c r="P291" s="48"/>
      <c r="Q291" s="181">
        <v>34912.761062400008</v>
      </c>
      <c r="R291" s="187">
        <v>34912.761062400008</v>
      </c>
      <c r="S291" s="177">
        <v>36309.271504896009</v>
      </c>
      <c r="T291" s="177">
        <v>37705.78194739201</v>
      </c>
      <c r="U291" s="178"/>
      <c r="V291" s="176"/>
      <c r="W291" s="186"/>
    </row>
    <row r="292" spans="1:23">
      <c r="A292" s="127" t="s">
        <v>1745</v>
      </c>
      <c r="B292" s="56" t="s">
        <v>1746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0"/>
        <v>0</v>
      </c>
      <c r="O292" s="60">
        <v>5</v>
      </c>
      <c r="P292" s="48"/>
      <c r="Q292" s="181">
        <v>31351.540128463344</v>
      </c>
      <c r="R292" s="187">
        <v>31351.540128463344</v>
      </c>
      <c r="S292" s="177">
        <v>32605.601733601878</v>
      </c>
      <c r="T292" s="177">
        <v>33859.663338740414</v>
      </c>
      <c r="U292" s="178"/>
      <c r="V292" s="176"/>
      <c r="W292" s="186"/>
    </row>
    <row r="293" spans="1:23" ht="39.75" customHeight="1">
      <c r="A293" s="142" t="s">
        <v>280</v>
      </c>
      <c r="B293" s="56" t="s">
        <v>1849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>SUM(N282:N292)</f>
        <v>48</v>
      </c>
      <c r="O293" s="60"/>
      <c r="P293" s="6"/>
      <c r="Q293" s="175"/>
      <c r="R293" s="176"/>
      <c r="S293" s="177"/>
      <c r="T293" s="177"/>
      <c r="U293" s="178"/>
      <c r="V293" s="176"/>
      <c r="W293" s="186"/>
    </row>
    <row r="294" spans="1:23">
      <c r="A294" s="151" t="s">
        <v>1785</v>
      </c>
      <c r="B294" s="56" t="s">
        <v>1815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ref="N294:N357" si="11">M294+K294+L294+J294+I294+H294+G294+F294+E294+D294+C294</f>
        <v>0</v>
      </c>
      <c r="O294" s="60">
        <v>2</v>
      </c>
      <c r="P294" s="6"/>
      <c r="Q294" s="181">
        <v>62410.717699532492</v>
      </c>
      <c r="R294" s="187">
        <v>62410.717699532492</v>
      </c>
      <c r="S294" s="177">
        <v>64907.146407513792</v>
      </c>
      <c r="T294" s="177">
        <v>67403.575115495085</v>
      </c>
      <c r="U294" s="178"/>
      <c r="V294" s="176"/>
      <c r="W294" s="186"/>
    </row>
    <row r="295" spans="1:23">
      <c r="A295" s="151" t="s">
        <v>1786</v>
      </c>
      <c r="B295" s="56" t="s">
        <v>739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>
        <v>2</v>
      </c>
      <c r="P295" s="6"/>
      <c r="Q295" s="181">
        <v>43810.407637860662</v>
      </c>
      <c r="R295" s="187">
        <v>43810.407637860662</v>
      </c>
      <c r="S295" s="177">
        <v>45562.823943375086</v>
      </c>
      <c r="T295" s="177">
        <v>47315.240248889517</v>
      </c>
      <c r="U295" s="178"/>
      <c r="V295" s="176"/>
      <c r="W295" s="186"/>
    </row>
    <row r="296" spans="1:23">
      <c r="A296" s="151" t="s">
        <v>1787</v>
      </c>
      <c r="B296" s="56" t="s">
        <v>741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11"/>
        <v>0</v>
      </c>
      <c r="O296" s="60">
        <v>2</v>
      </c>
      <c r="P296" s="6"/>
      <c r="Q296" s="181">
        <v>42292.842639628252</v>
      </c>
      <c r="R296" s="187">
        <v>42292.842639628252</v>
      </c>
      <c r="S296" s="177">
        <v>43984.556345213379</v>
      </c>
      <c r="T296" s="177">
        <v>45676.270050798514</v>
      </c>
      <c r="U296" s="178"/>
      <c r="V296" s="176"/>
      <c r="W296" s="186"/>
    </row>
    <row r="297" spans="1:23">
      <c r="A297" s="151" t="s">
        <v>1788</v>
      </c>
      <c r="B297" s="56" t="s">
        <v>1819</v>
      </c>
      <c r="C297" s="5">
        <v>2</v>
      </c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11"/>
        <v>2</v>
      </c>
      <c r="O297" s="60"/>
      <c r="P297" s="6"/>
      <c r="Q297" s="181">
        <v>59636.536430670632</v>
      </c>
      <c r="R297" s="187">
        <v>59636.536430670632</v>
      </c>
      <c r="S297" s="177">
        <v>62021.997887897458</v>
      </c>
      <c r="T297" s="177">
        <v>64407.459345124284</v>
      </c>
      <c r="U297" s="178"/>
      <c r="V297" s="176"/>
      <c r="W297" s="186"/>
    </row>
    <row r="298" spans="1:23">
      <c r="A298" s="151" t="s">
        <v>1789</v>
      </c>
      <c r="B298" s="56" t="s">
        <v>725</v>
      </c>
      <c r="C298" s="5"/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59">
        <f t="shared" si="11"/>
        <v>0</v>
      </c>
      <c r="O298" s="60"/>
      <c r="P298" s="6"/>
      <c r="Q298" s="181">
        <v>40480.642086453685</v>
      </c>
      <c r="R298" s="187">
        <v>40480.642086453685</v>
      </c>
      <c r="S298" s="177">
        <v>42099.867769911834</v>
      </c>
      <c r="T298" s="177">
        <v>43719.093453369976</v>
      </c>
      <c r="U298" s="178"/>
      <c r="V298" s="176"/>
      <c r="W298" s="186"/>
    </row>
    <row r="299" spans="1:23">
      <c r="A299" s="151" t="s">
        <v>1489</v>
      </c>
      <c r="B299" s="56" t="s">
        <v>714</v>
      </c>
      <c r="C299" s="5">
        <v>5</v>
      </c>
      <c r="D299" s="5"/>
      <c r="E299" s="6"/>
      <c r="F299" s="6">
        <v>1</v>
      </c>
      <c r="G299" s="6"/>
      <c r="H299" s="6"/>
      <c r="I299" s="7"/>
      <c r="J299" s="7"/>
      <c r="K299" s="6"/>
      <c r="L299" s="6"/>
      <c r="M299" s="7"/>
      <c r="N299" s="59">
        <f t="shared" si="11"/>
        <v>6</v>
      </c>
      <c r="O299" s="60"/>
      <c r="P299" s="6"/>
      <c r="Q299" s="181">
        <v>16643.846961626783</v>
      </c>
      <c r="R299" s="187">
        <v>16643.846961626783</v>
      </c>
      <c r="S299" s="177">
        <v>17309.600840091854</v>
      </c>
      <c r="T299" s="177">
        <v>17975.354718556926</v>
      </c>
      <c r="U299" s="178"/>
      <c r="V299" s="176"/>
      <c r="W299" s="186"/>
    </row>
    <row r="300" spans="1:23">
      <c r="A300" s="152" t="s">
        <v>1637</v>
      </c>
      <c r="B300" s="56" t="s">
        <v>1641</v>
      </c>
      <c r="C300" s="5"/>
      <c r="D300" s="5"/>
      <c r="E300" s="6"/>
      <c r="F300" s="6"/>
      <c r="G300" s="6"/>
      <c r="H300" s="6"/>
      <c r="I300" s="7"/>
      <c r="J300" s="7"/>
      <c r="K300" s="6">
        <v>1</v>
      </c>
      <c r="L300" s="6"/>
      <c r="M300" s="7"/>
      <c r="N300" s="59">
        <f t="shared" si="11"/>
        <v>1</v>
      </c>
      <c r="O300" s="60"/>
      <c r="P300" s="48"/>
      <c r="Q300" s="175" t="s">
        <v>1782</v>
      </c>
      <c r="R300" s="176">
        <v>7500</v>
      </c>
      <c r="S300" s="177">
        <v>7800</v>
      </c>
      <c r="T300" s="177">
        <v>8100</v>
      </c>
      <c r="U300" s="178"/>
      <c r="V300" s="176"/>
      <c r="W300" s="200">
        <v>500</v>
      </c>
    </row>
    <row r="301" spans="1:23">
      <c r="A301" s="152" t="s">
        <v>1506</v>
      </c>
      <c r="B301" s="56" t="s">
        <v>707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59">
        <f t="shared" si="11"/>
        <v>1</v>
      </c>
      <c r="O301" s="60"/>
      <c r="P301" s="48"/>
      <c r="Q301" s="175" t="s">
        <v>1782</v>
      </c>
      <c r="R301" s="176">
        <v>16000</v>
      </c>
      <c r="S301" s="177">
        <v>16640</v>
      </c>
      <c r="T301" s="177">
        <v>17280</v>
      </c>
      <c r="U301" s="178"/>
      <c r="V301" s="176"/>
      <c r="W301" s="200">
        <v>500</v>
      </c>
    </row>
    <row r="302" spans="1:23">
      <c r="A302" s="152" t="s">
        <v>1365</v>
      </c>
      <c r="B302" s="56" t="s">
        <v>1366</v>
      </c>
      <c r="C302" s="5">
        <v>5</v>
      </c>
      <c r="D302" s="5"/>
      <c r="E302" s="6"/>
      <c r="F302" s="6"/>
      <c r="G302" s="6"/>
      <c r="H302" s="6"/>
      <c r="I302" s="7">
        <v>1</v>
      </c>
      <c r="J302" s="7"/>
      <c r="K302" s="6"/>
      <c r="L302" s="6"/>
      <c r="M302" s="7"/>
      <c r="N302" s="59">
        <f t="shared" si="11"/>
        <v>6</v>
      </c>
      <c r="O302" s="60"/>
      <c r="P302" s="48"/>
      <c r="Q302" s="175" t="s">
        <v>1782</v>
      </c>
      <c r="R302" s="176">
        <v>13000</v>
      </c>
      <c r="S302" s="177">
        <v>13520</v>
      </c>
      <c r="T302" s="177">
        <v>14040</v>
      </c>
      <c r="U302" s="178"/>
      <c r="V302" s="176"/>
      <c r="W302" s="186"/>
    </row>
    <row r="303" spans="1:23">
      <c r="A303" s="152" t="s">
        <v>1639</v>
      </c>
      <c r="B303" s="56" t="s">
        <v>700</v>
      </c>
      <c r="C303" s="5">
        <v>2</v>
      </c>
      <c r="D303" s="5"/>
      <c r="E303" s="6"/>
      <c r="F303" s="6">
        <v>1</v>
      </c>
      <c r="G303" s="6"/>
      <c r="H303" s="6"/>
      <c r="I303" s="7"/>
      <c r="J303" s="7"/>
      <c r="K303" s="6"/>
      <c r="L303" s="6"/>
      <c r="M303" s="7"/>
      <c r="N303" s="59">
        <f t="shared" si="11"/>
        <v>3</v>
      </c>
      <c r="O303" s="60"/>
      <c r="P303" s="48"/>
      <c r="Q303" s="175" t="s">
        <v>1782</v>
      </c>
      <c r="R303" s="176">
        <v>12500</v>
      </c>
      <c r="S303" s="177">
        <v>13000</v>
      </c>
      <c r="T303" s="177">
        <v>13500</v>
      </c>
      <c r="U303" s="178"/>
      <c r="V303" s="176"/>
      <c r="W303" s="186"/>
    </row>
    <row r="304" spans="1:23">
      <c r="A304" s="153" t="s">
        <v>283</v>
      </c>
      <c r="B304" s="56" t="s">
        <v>692</v>
      </c>
      <c r="C304" s="5"/>
      <c r="D304" s="5"/>
      <c r="E304" s="6"/>
      <c r="F304" s="6">
        <v>1</v>
      </c>
      <c r="G304" s="6"/>
      <c r="H304" s="6"/>
      <c r="I304" s="7">
        <v>1</v>
      </c>
      <c r="J304" s="7"/>
      <c r="K304" s="6"/>
      <c r="L304" s="6">
        <v>1</v>
      </c>
      <c r="M304" s="7"/>
      <c r="N304" s="59">
        <f t="shared" si="11"/>
        <v>3</v>
      </c>
      <c r="O304" s="60"/>
      <c r="P304" s="48"/>
      <c r="Q304" s="175" t="s">
        <v>1782</v>
      </c>
      <c r="R304" s="176">
        <v>7500</v>
      </c>
      <c r="S304" s="177">
        <v>7800</v>
      </c>
      <c r="T304" s="177">
        <v>8100</v>
      </c>
      <c r="U304" s="178"/>
      <c r="V304" s="176"/>
      <c r="W304" s="182">
        <v>250</v>
      </c>
    </row>
    <row r="305" spans="1:23">
      <c r="A305" s="153" t="s">
        <v>284</v>
      </c>
      <c r="B305" s="56" t="s">
        <v>693</v>
      </c>
      <c r="C305" s="5">
        <v>3</v>
      </c>
      <c r="D305" s="5"/>
      <c r="E305" s="6"/>
      <c r="F305" s="6"/>
      <c r="G305" s="6"/>
      <c r="H305" s="6"/>
      <c r="I305" s="7"/>
      <c r="J305" s="7"/>
      <c r="K305" s="6"/>
      <c r="L305" s="6"/>
      <c r="M305" s="7"/>
      <c r="N305" s="59">
        <f t="shared" si="11"/>
        <v>3</v>
      </c>
      <c r="O305" s="60"/>
      <c r="P305" s="48"/>
      <c r="Q305" s="175" t="s">
        <v>1782</v>
      </c>
      <c r="R305" s="176">
        <v>9000</v>
      </c>
      <c r="S305" s="177">
        <v>9360</v>
      </c>
      <c r="T305" s="177">
        <v>9720</v>
      </c>
      <c r="U305" s="178"/>
      <c r="V305" s="176"/>
      <c r="W305" s="182">
        <v>250</v>
      </c>
    </row>
    <row r="306" spans="1:23">
      <c r="A306" s="153" t="s">
        <v>285</v>
      </c>
      <c r="B306" s="56" t="s">
        <v>694</v>
      </c>
      <c r="C306" s="5">
        <v>4</v>
      </c>
      <c r="D306" s="5"/>
      <c r="E306" s="6"/>
      <c r="F306" s="6"/>
      <c r="G306" s="6"/>
      <c r="H306" s="6"/>
      <c r="I306" s="7"/>
      <c r="J306" s="7"/>
      <c r="K306" s="6"/>
      <c r="L306" s="6">
        <v>1</v>
      </c>
      <c r="M306" s="7"/>
      <c r="N306" s="59">
        <f t="shared" si="11"/>
        <v>5</v>
      </c>
      <c r="O306" s="60"/>
      <c r="P306" s="48"/>
      <c r="Q306" s="175" t="s">
        <v>1782</v>
      </c>
      <c r="R306" s="176">
        <v>7500</v>
      </c>
      <c r="S306" s="177">
        <v>7800</v>
      </c>
      <c r="T306" s="177">
        <v>8100</v>
      </c>
      <c r="U306" s="178"/>
      <c r="V306" s="176"/>
      <c r="W306" s="182">
        <v>250</v>
      </c>
    </row>
    <row r="307" spans="1:23">
      <c r="A307" s="154" t="s">
        <v>286</v>
      </c>
      <c r="B307" s="56" t="s">
        <v>695</v>
      </c>
      <c r="C307" s="5"/>
      <c r="D307" s="5"/>
      <c r="E307" s="6"/>
      <c r="F307" s="6"/>
      <c r="G307" s="6"/>
      <c r="H307" s="6"/>
      <c r="I307" s="7"/>
      <c r="J307" s="7"/>
      <c r="K307" s="6"/>
      <c r="L307" s="6">
        <v>1</v>
      </c>
      <c r="M307" s="7"/>
      <c r="N307" s="59">
        <f t="shared" si="11"/>
        <v>1</v>
      </c>
      <c r="O307" s="60"/>
      <c r="P307" s="48"/>
      <c r="Q307" s="175" t="s">
        <v>1782</v>
      </c>
      <c r="R307" s="176">
        <v>30000</v>
      </c>
      <c r="S307" s="177">
        <v>31200</v>
      </c>
      <c r="T307" s="177">
        <v>32400</v>
      </c>
      <c r="U307" s="178"/>
      <c r="V307" s="176"/>
      <c r="W307" s="179">
        <v>1000</v>
      </c>
    </row>
    <row r="308" spans="1:23">
      <c r="A308" s="123" t="s">
        <v>288</v>
      </c>
      <c r="B308" s="56" t="s">
        <v>697</v>
      </c>
      <c r="C308" s="5"/>
      <c r="D308" s="5"/>
      <c r="E308" s="6"/>
      <c r="F308" s="6"/>
      <c r="G308" s="6"/>
      <c r="H308" s="6"/>
      <c r="I308" s="7">
        <v>1</v>
      </c>
      <c r="J308" s="7"/>
      <c r="K308" s="6"/>
      <c r="L308" s="6"/>
      <c r="M308" s="7"/>
      <c r="N308" s="59">
        <f t="shared" si="11"/>
        <v>1</v>
      </c>
      <c r="O308" s="60"/>
      <c r="P308" s="48"/>
      <c r="Q308" s="175" t="s">
        <v>1782</v>
      </c>
      <c r="R308" s="176">
        <v>20000</v>
      </c>
      <c r="S308" s="177">
        <v>20800</v>
      </c>
      <c r="T308" s="177">
        <v>21600</v>
      </c>
      <c r="U308" s="178"/>
      <c r="V308" s="176"/>
      <c r="W308" s="179">
        <v>1000</v>
      </c>
    </row>
    <row r="309" spans="1:23">
      <c r="A309" s="123" t="s">
        <v>289</v>
      </c>
      <c r="B309" s="56" t="s">
        <v>698</v>
      </c>
      <c r="C309" s="5">
        <v>2</v>
      </c>
      <c r="D309" s="5"/>
      <c r="E309" s="6"/>
      <c r="F309" s="6">
        <v>1</v>
      </c>
      <c r="G309" s="6"/>
      <c r="H309" s="6"/>
      <c r="I309" s="7"/>
      <c r="J309" s="7"/>
      <c r="K309" s="6"/>
      <c r="L309" s="6"/>
      <c r="M309" s="7"/>
      <c r="N309" s="59">
        <f t="shared" si="11"/>
        <v>3</v>
      </c>
      <c r="O309" s="60"/>
      <c r="P309" s="48"/>
      <c r="Q309" s="181">
        <v>22680.244991927226</v>
      </c>
      <c r="R309" s="187">
        <v>22680.244991927226</v>
      </c>
      <c r="S309" s="177">
        <v>23587.454791604316</v>
      </c>
      <c r="T309" s="177">
        <v>24494.664591281406</v>
      </c>
      <c r="U309" s="178"/>
      <c r="V309" s="176"/>
      <c r="W309" s="176"/>
    </row>
    <row r="310" spans="1:23">
      <c r="A310" s="143" t="s">
        <v>291</v>
      </c>
      <c r="B310" s="56" t="s">
        <v>700</v>
      </c>
      <c r="C310" s="5"/>
      <c r="D310" s="5"/>
      <c r="E310" s="6"/>
      <c r="F310" s="6"/>
      <c r="G310" s="6"/>
      <c r="H310" s="6"/>
      <c r="I310" s="7"/>
      <c r="J310" s="7">
        <v>1</v>
      </c>
      <c r="K310" s="6"/>
      <c r="L310" s="6"/>
      <c r="M310" s="7"/>
      <c r="N310" s="59">
        <f t="shared" si="11"/>
        <v>1</v>
      </c>
      <c r="O310" s="60"/>
      <c r="P310" s="48"/>
      <c r="Q310" s="175" t="s">
        <v>1782</v>
      </c>
      <c r="R310" s="176">
        <v>20000</v>
      </c>
      <c r="S310" s="177">
        <v>20800</v>
      </c>
      <c r="T310" s="177">
        <v>21600</v>
      </c>
      <c r="U310" s="178"/>
      <c r="V310" s="176"/>
      <c r="W310" s="179">
        <v>500</v>
      </c>
    </row>
    <row r="311" spans="1:23">
      <c r="A311" s="145" t="s">
        <v>292</v>
      </c>
      <c r="B311" s="56" t="s">
        <v>701</v>
      </c>
      <c r="C311" s="5">
        <v>2</v>
      </c>
      <c r="D311" s="5"/>
      <c r="E311" s="6"/>
      <c r="F311" s="6"/>
      <c r="G311" s="6"/>
      <c r="H311" s="6"/>
      <c r="I311" s="7"/>
      <c r="J311" s="7">
        <v>1</v>
      </c>
      <c r="K311" s="6"/>
      <c r="L311" s="6"/>
      <c r="M311" s="7"/>
      <c r="N311" s="59">
        <f t="shared" si="11"/>
        <v>3</v>
      </c>
      <c r="O311" s="60"/>
      <c r="P311" s="48"/>
      <c r="Q311" s="175" t="s">
        <v>1782</v>
      </c>
      <c r="R311" s="176">
        <v>17000</v>
      </c>
      <c r="S311" s="177">
        <v>17680</v>
      </c>
      <c r="T311" s="177">
        <v>18360</v>
      </c>
      <c r="U311" s="178"/>
      <c r="V311" s="176"/>
      <c r="W311" s="179">
        <v>500</v>
      </c>
    </row>
    <row r="312" spans="1:23">
      <c r="A312" s="145" t="s">
        <v>293</v>
      </c>
      <c r="B312" s="56" t="s">
        <v>702</v>
      </c>
      <c r="C312" s="5">
        <v>20</v>
      </c>
      <c r="D312" s="5"/>
      <c r="E312" s="6"/>
      <c r="F312" s="6"/>
      <c r="G312" s="6"/>
      <c r="H312" s="6"/>
      <c r="I312" s="7">
        <v>1</v>
      </c>
      <c r="J312" s="7">
        <v>1</v>
      </c>
      <c r="K312" s="6">
        <v>1</v>
      </c>
      <c r="L312" s="6">
        <v>1</v>
      </c>
      <c r="M312" s="7"/>
      <c r="N312" s="59">
        <f t="shared" si="11"/>
        <v>24</v>
      </c>
      <c r="O312" s="60"/>
      <c r="P312" s="48"/>
      <c r="Q312" s="175" t="s">
        <v>1782</v>
      </c>
      <c r="R312" s="176">
        <v>15633.936</v>
      </c>
      <c r="S312" s="177">
        <v>16259.293439999999</v>
      </c>
      <c r="T312" s="177">
        <v>16884.650880000001</v>
      </c>
      <c r="U312" s="178"/>
      <c r="V312" s="176"/>
      <c r="W312" s="179">
        <v>500</v>
      </c>
    </row>
    <row r="313" spans="1:23">
      <c r="A313" s="155" t="s">
        <v>294</v>
      </c>
      <c r="B313" s="56" t="s">
        <v>703</v>
      </c>
      <c r="C313" s="5">
        <v>3</v>
      </c>
      <c r="D313" s="5"/>
      <c r="E313" s="6"/>
      <c r="F313" s="6"/>
      <c r="G313" s="6"/>
      <c r="H313" s="6"/>
      <c r="I313" s="7"/>
      <c r="J313" s="7"/>
      <c r="K313" s="6"/>
      <c r="L313" s="6"/>
      <c r="M313" s="7">
        <v>1</v>
      </c>
      <c r="N313" s="59">
        <f t="shared" si="11"/>
        <v>4</v>
      </c>
      <c r="O313" s="60"/>
      <c r="P313" s="48"/>
      <c r="Q313" s="175" t="s">
        <v>1782</v>
      </c>
      <c r="R313" s="176">
        <v>14000</v>
      </c>
      <c r="S313" s="177">
        <v>14560</v>
      </c>
      <c r="T313" s="177">
        <v>15120</v>
      </c>
      <c r="U313" s="178"/>
      <c r="V313" s="176"/>
      <c r="W313" s="179">
        <v>500</v>
      </c>
    </row>
    <row r="314" spans="1:23">
      <c r="A314" s="123" t="s">
        <v>295</v>
      </c>
      <c r="B314" s="56" t="s">
        <v>704</v>
      </c>
      <c r="C314" s="5">
        <v>10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10</v>
      </c>
      <c r="O314" s="60"/>
      <c r="P314" s="48"/>
      <c r="Q314" s="181">
        <v>14043.161202229287</v>
      </c>
      <c r="R314" s="187">
        <v>14043.161202229287</v>
      </c>
      <c r="S314" s="177">
        <v>14604.887650318458</v>
      </c>
      <c r="T314" s="177">
        <v>15166.61409840763</v>
      </c>
      <c r="U314" s="178"/>
      <c r="V314" s="176"/>
      <c r="W314" s="186"/>
    </row>
    <row r="315" spans="1:23">
      <c r="A315" s="143" t="s">
        <v>299</v>
      </c>
      <c r="B315" s="56" t="s">
        <v>707</v>
      </c>
      <c r="C315" s="5">
        <v>13</v>
      </c>
      <c r="D315" s="5"/>
      <c r="E315" s="6"/>
      <c r="F315" s="6"/>
      <c r="G315" s="6"/>
      <c r="H315" s="6"/>
      <c r="I315" s="7">
        <v>1</v>
      </c>
      <c r="J315" s="7"/>
      <c r="K315" s="6"/>
      <c r="L315" s="6"/>
      <c r="M315" s="7">
        <v>1</v>
      </c>
      <c r="N315" s="59">
        <f t="shared" si="11"/>
        <v>15</v>
      </c>
      <c r="O315" s="60"/>
      <c r="P315" s="48"/>
      <c r="Q315" s="181">
        <v>14043.161202229287</v>
      </c>
      <c r="R315" s="187">
        <v>14043.161202229287</v>
      </c>
      <c r="S315" s="177">
        <v>14604.887650318458</v>
      </c>
      <c r="T315" s="177">
        <v>15166.61409840763</v>
      </c>
      <c r="U315" s="178"/>
      <c r="V315" s="176"/>
      <c r="W315" s="186"/>
    </row>
    <row r="316" spans="1:23">
      <c r="A316" s="145" t="s">
        <v>300</v>
      </c>
      <c r="B316" s="56" t="s">
        <v>701</v>
      </c>
      <c r="C316" s="5"/>
      <c r="D316" s="5"/>
      <c r="E316" s="6"/>
      <c r="F316" s="6"/>
      <c r="G316" s="6"/>
      <c r="H316" s="6"/>
      <c r="I316" s="7"/>
      <c r="J316" s="7"/>
      <c r="K316" s="6"/>
      <c r="L316" s="6">
        <v>1</v>
      </c>
      <c r="M316" s="7"/>
      <c r="N316" s="59">
        <f t="shared" si="11"/>
        <v>1</v>
      </c>
      <c r="O316" s="60"/>
      <c r="P316" s="48"/>
      <c r="Q316" s="175" t="s">
        <v>1782</v>
      </c>
      <c r="R316" s="176">
        <v>13000</v>
      </c>
      <c r="S316" s="177">
        <v>13520</v>
      </c>
      <c r="T316" s="177">
        <v>14040</v>
      </c>
      <c r="U316" s="178"/>
      <c r="V316" s="176"/>
      <c r="W316" s="200">
        <v>500</v>
      </c>
    </row>
    <row r="317" spans="1:23">
      <c r="A317" s="145" t="s">
        <v>301</v>
      </c>
      <c r="B317" s="56" t="s">
        <v>708</v>
      </c>
      <c r="C317" s="5">
        <v>4</v>
      </c>
      <c r="D317" s="5"/>
      <c r="E317" s="6"/>
      <c r="F317" s="6"/>
      <c r="G317" s="6"/>
      <c r="H317" s="6"/>
      <c r="I317" s="7"/>
      <c r="J317" s="7"/>
      <c r="K317" s="6"/>
      <c r="L317" s="6"/>
      <c r="M317" s="7"/>
      <c r="N317" s="59">
        <f t="shared" si="11"/>
        <v>4</v>
      </c>
      <c r="O317" s="60"/>
      <c r="P317" s="48"/>
      <c r="Q317" s="175" t="s">
        <v>1782</v>
      </c>
      <c r="R317" s="176">
        <v>17000</v>
      </c>
      <c r="S317" s="177">
        <v>17680</v>
      </c>
      <c r="T317" s="177">
        <v>18360</v>
      </c>
      <c r="U317" s="178"/>
      <c r="V317" s="176"/>
      <c r="W317" s="186">
        <v>250</v>
      </c>
    </row>
    <row r="318" spans="1:23">
      <c r="A318" s="145" t="s">
        <v>302</v>
      </c>
      <c r="B318" s="56" t="s">
        <v>709</v>
      </c>
      <c r="C318" s="5">
        <v>17</v>
      </c>
      <c r="D318" s="5"/>
      <c r="E318" s="6"/>
      <c r="F318" s="6"/>
      <c r="G318" s="6"/>
      <c r="H318" s="6"/>
      <c r="I318" s="7">
        <v>1</v>
      </c>
      <c r="J318" s="7">
        <v>1</v>
      </c>
      <c r="K318" s="6">
        <v>1</v>
      </c>
      <c r="L318" s="6"/>
      <c r="M318" s="7"/>
      <c r="N318" s="59">
        <f t="shared" si="11"/>
        <v>20</v>
      </c>
      <c r="O318" s="60"/>
      <c r="P318" s="48"/>
      <c r="Q318" s="181">
        <v>14043.161202229287</v>
      </c>
      <c r="R318" s="187">
        <v>14043.161202229287</v>
      </c>
      <c r="S318" s="177">
        <v>14604.887650318458</v>
      </c>
      <c r="T318" s="177">
        <v>15166.61409840763</v>
      </c>
      <c r="U318" s="178"/>
      <c r="V318" s="176"/>
      <c r="W318" s="186"/>
    </row>
    <row r="319" spans="1:23">
      <c r="A319" s="145" t="s">
        <v>303</v>
      </c>
      <c r="B319" s="56" t="s">
        <v>710</v>
      </c>
      <c r="C319" s="5">
        <v>10</v>
      </c>
      <c r="D319" s="5"/>
      <c r="E319" s="6"/>
      <c r="F319" s="6">
        <v>1</v>
      </c>
      <c r="G319" s="6"/>
      <c r="H319" s="6"/>
      <c r="I319" s="7">
        <v>1</v>
      </c>
      <c r="J319" s="7"/>
      <c r="K319" s="6"/>
      <c r="L319" s="6"/>
      <c r="M319" s="7">
        <v>1</v>
      </c>
      <c r="N319" s="59">
        <f t="shared" si="11"/>
        <v>13</v>
      </c>
      <c r="O319" s="60"/>
      <c r="P319" s="48"/>
      <c r="Q319" s="175" t="s">
        <v>1782</v>
      </c>
      <c r="R319" s="204">
        <v>10000</v>
      </c>
      <c r="S319" s="177">
        <v>10400</v>
      </c>
      <c r="T319" s="177">
        <v>10800</v>
      </c>
      <c r="U319" s="178"/>
      <c r="V319" s="176"/>
      <c r="W319" s="182">
        <v>250</v>
      </c>
    </row>
    <row r="320" spans="1:23">
      <c r="A320" s="127" t="s">
        <v>304</v>
      </c>
      <c r="B320" s="56" t="s">
        <v>711</v>
      </c>
      <c r="C320" s="5">
        <v>11</v>
      </c>
      <c r="D320" s="5"/>
      <c r="E320" s="6"/>
      <c r="F320" s="6"/>
      <c r="G320" s="6"/>
      <c r="H320" s="6"/>
      <c r="I320" s="7">
        <v>1</v>
      </c>
      <c r="J320" s="7">
        <v>1</v>
      </c>
      <c r="K320" s="6"/>
      <c r="L320" s="6"/>
      <c r="M320" s="7"/>
      <c r="N320" s="59">
        <f t="shared" si="11"/>
        <v>13</v>
      </c>
      <c r="O320" s="60"/>
      <c r="P320" s="48"/>
      <c r="Q320" s="181">
        <v>20815.94583760824</v>
      </c>
      <c r="R320" s="187">
        <v>20815.94583760824</v>
      </c>
      <c r="S320" s="177">
        <v>21648.58367111257</v>
      </c>
      <c r="T320" s="177">
        <v>22481.2215046169</v>
      </c>
      <c r="U320" s="178"/>
      <c r="V320" s="176"/>
      <c r="W320" s="186"/>
    </row>
    <row r="321" spans="1:23">
      <c r="A321" s="127" t="s">
        <v>305</v>
      </c>
      <c r="B321" s="56" t="s">
        <v>712</v>
      </c>
      <c r="C321" s="5">
        <v>28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59">
        <f t="shared" si="11"/>
        <v>28</v>
      </c>
      <c r="O321" s="60"/>
      <c r="P321" s="48"/>
      <c r="Q321" s="181">
        <v>16643.846961626783</v>
      </c>
      <c r="R321" s="187">
        <v>16643.846961626783</v>
      </c>
      <c r="S321" s="177">
        <v>17309.600840091854</v>
      </c>
      <c r="T321" s="177">
        <v>17975.354718556926</v>
      </c>
      <c r="U321" s="178"/>
      <c r="V321" s="176"/>
      <c r="W321" s="186"/>
    </row>
    <row r="322" spans="1:23">
      <c r="A322" s="127" t="s">
        <v>306</v>
      </c>
      <c r="B322" s="56" t="s">
        <v>713</v>
      </c>
      <c r="C322" s="5"/>
      <c r="D322" s="5"/>
      <c r="E322" s="6"/>
      <c r="F322" s="6"/>
      <c r="G322" s="6"/>
      <c r="H322" s="6"/>
      <c r="I322" s="7"/>
      <c r="J322" s="7"/>
      <c r="K322" s="6"/>
      <c r="L322" s="6">
        <v>1</v>
      </c>
      <c r="M322" s="7"/>
      <c r="N322" s="59">
        <f t="shared" si="11"/>
        <v>1</v>
      </c>
      <c r="O322" s="60"/>
      <c r="P322" s="48"/>
      <c r="Q322" s="175" t="s">
        <v>1782</v>
      </c>
      <c r="R322" s="176">
        <v>12000</v>
      </c>
      <c r="S322" s="177">
        <v>12480</v>
      </c>
      <c r="T322" s="177">
        <v>12960</v>
      </c>
      <c r="U322" s="178"/>
      <c r="V322" s="176"/>
      <c r="W322" s="200">
        <v>500</v>
      </c>
    </row>
    <row r="323" spans="1:23">
      <c r="A323" s="156" t="s">
        <v>307</v>
      </c>
      <c r="B323" s="56" t="s">
        <v>714</v>
      </c>
      <c r="C323" s="5"/>
      <c r="D323" s="5"/>
      <c r="E323" s="6"/>
      <c r="F323" s="6"/>
      <c r="G323" s="6"/>
      <c r="H323" s="6"/>
      <c r="I323" s="7"/>
      <c r="J323" s="7"/>
      <c r="K323" s="6">
        <v>1</v>
      </c>
      <c r="L323" s="6">
        <v>5</v>
      </c>
      <c r="M323" s="7"/>
      <c r="N323" s="59">
        <f t="shared" si="11"/>
        <v>6</v>
      </c>
      <c r="O323" s="60"/>
      <c r="P323" s="48"/>
      <c r="Q323" s="175" t="s">
        <v>1782</v>
      </c>
      <c r="R323" s="176">
        <v>12000</v>
      </c>
      <c r="S323" s="177">
        <v>12480</v>
      </c>
      <c r="T323" s="177">
        <v>12960</v>
      </c>
      <c r="U323" s="178"/>
      <c r="V323" s="176"/>
      <c r="W323" s="200">
        <v>500</v>
      </c>
    </row>
    <row r="324" spans="1:23">
      <c r="A324" s="127" t="s">
        <v>308</v>
      </c>
      <c r="B324" s="56" t="s">
        <v>715</v>
      </c>
      <c r="C324" s="5"/>
      <c r="D324" s="5"/>
      <c r="E324" s="6"/>
      <c r="F324" s="6"/>
      <c r="G324" s="6"/>
      <c r="H324" s="6"/>
      <c r="I324" s="7"/>
      <c r="J324" s="7"/>
      <c r="K324" s="6">
        <v>1</v>
      </c>
      <c r="L324" s="6"/>
      <c r="M324" s="7"/>
      <c r="N324" s="59">
        <f t="shared" si="11"/>
        <v>1</v>
      </c>
      <c r="O324" s="60"/>
      <c r="P324" s="48"/>
      <c r="Q324" s="175" t="s">
        <v>1782</v>
      </c>
      <c r="R324" s="176">
        <v>15000</v>
      </c>
      <c r="S324" s="177">
        <v>15600</v>
      </c>
      <c r="T324" s="177">
        <v>16200</v>
      </c>
      <c r="U324" s="178"/>
      <c r="V324" s="176"/>
      <c r="W324" s="200">
        <v>500</v>
      </c>
    </row>
    <row r="325" spans="1:23">
      <c r="A325" s="127" t="s">
        <v>309</v>
      </c>
      <c r="B325" s="56" t="s">
        <v>716</v>
      </c>
      <c r="C325" s="5">
        <v>14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14</v>
      </c>
      <c r="O325" s="60"/>
      <c r="P325" s="48"/>
      <c r="Q325" s="181">
        <v>20815.94583760824</v>
      </c>
      <c r="R325" s="205">
        <v>19358.829628975662</v>
      </c>
      <c r="S325" s="177">
        <v>20133.182814134689</v>
      </c>
      <c r="T325" s="177">
        <v>20907.535999293716</v>
      </c>
      <c r="U325" s="178"/>
      <c r="V325" s="176"/>
      <c r="W325" s="186"/>
    </row>
    <row r="326" spans="1:23">
      <c r="A326" s="127" t="s">
        <v>310</v>
      </c>
      <c r="B326" s="56" t="s">
        <v>717</v>
      </c>
      <c r="C326" s="5"/>
      <c r="D326" s="5"/>
      <c r="E326" s="6"/>
      <c r="F326" s="6"/>
      <c r="G326" s="6"/>
      <c r="H326" s="6"/>
      <c r="I326" s="7"/>
      <c r="J326" s="7">
        <v>2</v>
      </c>
      <c r="K326" s="6"/>
      <c r="L326" s="6">
        <v>3</v>
      </c>
      <c r="M326" s="7"/>
      <c r="N326" s="59">
        <f t="shared" si="11"/>
        <v>5</v>
      </c>
      <c r="O326" s="60"/>
      <c r="P326" s="48"/>
      <c r="Q326" s="175" t="s">
        <v>1782</v>
      </c>
      <c r="R326" s="176">
        <v>13000</v>
      </c>
      <c r="S326" s="177">
        <v>13520</v>
      </c>
      <c r="T326" s="177">
        <v>14040</v>
      </c>
      <c r="U326" s="178"/>
      <c r="V326" s="176"/>
      <c r="W326" s="200">
        <v>500</v>
      </c>
    </row>
    <row r="327" spans="1:23">
      <c r="A327" s="127" t="s">
        <v>311</v>
      </c>
      <c r="B327" s="56" t="s">
        <v>718</v>
      </c>
      <c r="C327" s="5">
        <v>19</v>
      </c>
      <c r="D327" s="5"/>
      <c r="E327" s="6"/>
      <c r="F327" s="6"/>
      <c r="G327" s="6"/>
      <c r="H327" s="6"/>
      <c r="I327" s="7">
        <v>1</v>
      </c>
      <c r="J327" s="7"/>
      <c r="K327" s="6"/>
      <c r="L327" s="6">
        <v>1</v>
      </c>
      <c r="M327" s="7">
        <v>1</v>
      </c>
      <c r="N327" s="59">
        <f t="shared" si="11"/>
        <v>22</v>
      </c>
      <c r="O327" s="60"/>
      <c r="P327" s="48"/>
      <c r="Q327" s="181">
        <v>16643.846961626783</v>
      </c>
      <c r="R327" s="187">
        <v>16643.846961626783</v>
      </c>
      <c r="S327" s="177">
        <v>17309.600840091854</v>
      </c>
      <c r="T327" s="177">
        <v>17975.354718556926</v>
      </c>
      <c r="U327" s="178"/>
      <c r="V327" s="176"/>
      <c r="W327" s="186"/>
    </row>
    <row r="328" spans="1:23">
      <c r="A328" s="145" t="s">
        <v>312</v>
      </c>
      <c r="B328" s="56" t="s">
        <v>719</v>
      </c>
      <c r="C328" s="5">
        <v>19</v>
      </c>
      <c r="D328" s="5"/>
      <c r="E328" s="6"/>
      <c r="F328" s="6"/>
      <c r="G328" s="6"/>
      <c r="H328" s="6"/>
      <c r="I328" s="7"/>
      <c r="J328" s="7"/>
      <c r="K328" s="6"/>
      <c r="L328" s="6"/>
      <c r="M328" s="7"/>
      <c r="N328" s="59">
        <f t="shared" si="11"/>
        <v>19</v>
      </c>
      <c r="O328" s="60"/>
      <c r="P328" s="48"/>
      <c r="Q328" s="181">
        <v>20815.94583760824</v>
      </c>
      <c r="R328" s="187">
        <v>20815.94583760824</v>
      </c>
      <c r="S328" s="177">
        <v>21648.58367111257</v>
      </c>
      <c r="T328" s="177">
        <v>22481.2215046169</v>
      </c>
      <c r="U328" s="178"/>
      <c r="V328" s="176"/>
      <c r="W328" s="186"/>
    </row>
    <row r="329" spans="1:23">
      <c r="A329" s="145" t="s">
        <v>313</v>
      </c>
      <c r="B329" s="56" t="s">
        <v>720</v>
      </c>
      <c r="C329" s="5">
        <v>7</v>
      </c>
      <c r="D329" s="5"/>
      <c r="E329" s="6"/>
      <c r="F329" s="6">
        <v>1</v>
      </c>
      <c r="G329" s="6"/>
      <c r="H329" s="6"/>
      <c r="I329" s="7"/>
      <c r="J329" s="7"/>
      <c r="K329" s="6"/>
      <c r="L329" s="6">
        <v>2</v>
      </c>
      <c r="M329" s="7"/>
      <c r="N329" s="59">
        <f t="shared" si="11"/>
        <v>10</v>
      </c>
      <c r="O329" s="60"/>
      <c r="P329" s="48"/>
      <c r="Q329" s="175" t="s">
        <v>1782</v>
      </c>
      <c r="R329" s="176">
        <v>14000</v>
      </c>
      <c r="S329" s="177">
        <v>14560</v>
      </c>
      <c r="T329" s="177">
        <v>15120</v>
      </c>
      <c r="U329" s="178"/>
      <c r="V329" s="176"/>
      <c r="W329" s="182"/>
    </row>
    <row r="330" spans="1:23">
      <c r="A330" s="145" t="s">
        <v>314</v>
      </c>
      <c r="B330" s="56" t="s">
        <v>721</v>
      </c>
      <c r="C330" s="5">
        <v>15</v>
      </c>
      <c r="D330" s="5"/>
      <c r="E330" s="6"/>
      <c r="F330" s="6">
        <v>1</v>
      </c>
      <c r="G330" s="6"/>
      <c r="H330" s="6"/>
      <c r="I330" s="7">
        <v>1</v>
      </c>
      <c r="J330" s="7"/>
      <c r="K330" s="6"/>
      <c r="L330" s="6"/>
      <c r="M330" s="7"/>
      <c r="N330" s="59">
        <f t="shared" si="11"/>
        <v>17</v>
      </c>
      <c r="O330" s="60"/>
      <c r="P330" s="48"/>
      <c r="Q330" s="181">
        <v>16643.846961626783</v>
      </c>
      <c r="R330" s="187">
        <v>16643.846961626783</v>
      </c>
      <c r="S330" s="177">
        <v>17309.600840091854</v>
      </c>
      <c r="T330" s="177">
        <v>17975.354718556926</v>
      </c>
      <c r="U330" s="178"/>
      <c r="V330" s="176"/>
      <c r="W330" s="186"/>
    </row>
    <row r="331" spans="1:23">
      <c r="A331" s="145" t="s">
        <v>315</v>
      </c>
      <c r="B331" s="56" t="s">
        <v>722</v>
      </c>
      <c r="C331" s="5"/>
      <c r="D331" s="5"/>
      <c r="E331" s="6"/>
      <c r="F331" s="6"/>
      <c r="G331" s="6"/>
      <c r="H331" s="6"/>
      <c r="I331" s="7"/>
      <c r="J331" s="7"/>
      <c r="K331" s="6"/>
      <c r="L331" s="6">
        <v>1</v>
      </c>
      <c r="M331" s="7"/>
      <c r="N331" s="59">
        <f t="shared" si="11"/>
        <v>1</v>
      </c>
      <c r="O331" s="60"/>
      <c r="P331" s="48"/>
      <c r="Q331" s="175" t="s">
        <v>1782</v>
      </c>
      <c r="R331" s="176">
        <v>15000</v>
      </c>
      <c r="S331" s="177">
        <v>15600</v>
      </c>
      <c r="T331" s="177">
        <v>16200</v>
      </c>
      <c r="U331" s="178"/>
      <c r="V331" s="176"/>
      <c r="W331" s="186"/>
    </row>
    <row r="332" spans="1:23">
      <c r="A332" s="129" t="s">
        <v>316</v>
      </c>
      <c r="B332" s="56" t="s">
        <v>723</v>
      </c>
      <c r="C332" s="5">
        <v>3</v>
      </c>
      <c r="D332" s="5"/>
      <c r="E332" s="6"/>
      <c r="F332" s="6"/>
      <c r="G332" s="6"/>
      <c r="H332" s="6"/>
      <c r="I332" s="7"/>
      <c r="J332" s="7"/>
      <c r="K332" s="6"/>
      <c r="L332" s="6"/>
      <c r="M332" s="7"/>
      <c r="N332" s="59">
        <f t="shared" si="11"/>
        <v>3</v>
      </c>
      <c r="O332" s="60"/>
      <c r="P332" s="48"/>
      <c r="Q332" s="181">
        <v>42415.288622950866</v>
      </c>
      <c r="R332" s="187">
        <v>42415.288622950866</v>
      </c>
      <c r="S332" s="177">
        <v>44111.900167868902</v>
      </c>
      <c r="T332" s="177">
        <v>45808.511712786938</v>
      </c>
      <c r="U332" s="178"/>
      <c r="V332" s="176"/>
      <c r="W332" s="186"/>
    </row>
    <row r="333" spans="1:23">
      <c r="A333" s="129" t="s">
        <v>317</v>
      </c>
      <c r="B333" s="56" t="s">
        <v>724</v>
      </c>
      <c r="C333" s="5">
        <v>3</v>
      </c>
      <c r="D333" s="5"/>
      <c r="E333" s="6"/>
      <c r="F333" s="6"/>
      <c r="G333" s="6"/>
      <c r="H333" s="6"/>
      <c r="I333" s="7">
        <v>1</v>
      </c>
      <c r="J333" s="7"/>
      <c r="K333" s="6"/>
      <c r="L333" s="6"/>
      <c r="M333" s="7">
        <v>1</v>
      </c>
      <c r="N333" s="59">
        <f t="shared" si="11"/>
        <v>5</v>
      </c>
      <c r="O333" s="60"/>
      <c r="P333" s="48"/>
      <c r="Q333" s="181">
        <v>40480.642086453685</v>
      </c>
      <c r="R333" s="187">
        <v>40480.642086453685</v>
      </c>
      <c r="S333" s="177">
        <v>42099.867769911834</v>
      </c>
      <c r="T333" s="177">
        <v>43719.093453369976</v>
      </c>
      <c r="U333" s="178"/>
      <c r="V333" s="176"/>
      <c r="W333" s="186"/>
    </row>
    <row r="334" spans="1:23">
      <c r="A334" s="123" t="s">
        <v>318</v>
      </c>
      <c r="B334" s="56" t="s">
        <v>725</v>
      </c>
      <c r="C334" s="5">
        <v>3</v>
      </c>
      <c r="D334" s="5"/>
      <c r="E334" s="6"/>
      <c r="F334" s="6">
        <v>1</v>
      </c>
      <c r="G334" s="6"/>
      <c r="H334" s="6"/>
      <c r="I334" s="7"/>
      <c r="J334" s="7">
        <v>1</v>
      </c>
      <c r="K334" s="6">
        <v>1</v>
      </c>
      <c r="L334" s="6">
        <v>2</v>
      </c>
      <c r="M334" s="7"/>
      <c r="N334" s="59">
        <f t="shared" si="11"/>
        <v>8</v>
      </c>
      <c r="O334" s="60"/>
      <c r="P334" s="48"/>
      <c r="Q334" s="175" t="s">
        <v>1782</v>
      </c>
      <c r="R334" s="176">
        <v>26000</v>
      </c>
      <c r="S334" s="177">
        <v>27040</v>
      </c>
      <c r="T334" s="177">
        <v>28080</v>
      </c>
      <c r="U334" s="178"/>
      <c r="V334" s="176"/>
      <c r="W334" s="182">
        <v>250</v>
      </c>
    </row>
    <row r="335" spans="1:23">
      <c r="A335" s="123" t="s">
        <v>319</v>
      </c>
      <c r="B335" s="56" t="s">
        <v>723</v>
      </c>
      <c r="C335" s="5"/>
      <c r="D335" s="5"/>
      <c r="E335" s="6"/>
      <c r="F335" s="6">
        <v>2</v>
      </c>
      <c r="G335" s="6"/>
      <c r="H335" s="6"/>
      <c r="I335" s="7"/>
      <c r="J335" s="7"/>
      <c r="K335" s="6"/>
      <c r="L335" s="6">
        <v>2</v>
      </c>
      <c r="M335" s="7"/>
      <c r="N335" s="59">
        <f t="shared" si="11"/>
        <v>4</v>
      </c>
      <c r="O335" s="60"/>
      <c r="P335" s="48"/>
      <c r="Q335" s="175" t="s">
        <v>1782</v>
      </c>
      <c r="R335" s="176">
        <v>26000</v>
      </c>
      <c r="S335" s="177">
        <v>27040</v>
      </c>
      <c r="T335" s="177">
        <v>28080</v>
      </c>
      <c r="U335" s="178"/>
      <c r="V335" s="176"/>
      <c r="W335" s="179">
        <v>1000</v>
      </c>
    </row>
    <row r="336" spans="1:23">
      <c r="A336" s="123" t="s">
        <v>320</v>
      </c>
      <c r="B336" s="56" t="s">
        <v>724</v>
      </c>
      <c r="C336" s="5">
        <v>2</v>
      </c>
      <c r="D336" s="5"/>
      <c r="E336" s="6"/>
      <c r="F336" s="6"/>
      <c r="G336" s="6"/>
      <c r="H336" s="6"/>
      <c r="I336" s="7"/>
      <c r="J336" s="7"/>
      <c r="K336" s="6"/>
      <c r="L336" s="6">
        <v>1</v>
      </c>
      <c r="M336" s="7"/>
      <c r="N336" s="59">
        <f t="shared" si="11"/>
        <v>3</v>
      </c>
      <c r="O336" s="60"/>
      <c r="P336" s="48"/>
      <c r="Q336" s="175" t="s">
        <v>1782</v>
      </c>
      <c r="R336" s="176">
        <v>26000</v>
      </c>
      <c r="S336" s="177">
        <v>27040</v>
      </c>
      <c r="T336" s="177">
        <v>28080</v>
      </c>
      <c r="U336" s="178"/>
      <c r="V336" s="176"/>
      <c r="W336" s="182">
        <v>250</v>
      </c>
    </row>
    <row r="337" spans="1:23">
      <c r="A337" s="145" t="s">
        <v>322</v>
      </c>
      <c r="B337" s="56" t="s">
        <v>727</v>
      </c>
      <c r="C337" s="5"/>
      <c r="D337" s="5"/>
      <c r="E337" s="6"/>
      <c r="F337" s="6"/>
      <c r="G337" s="6"/>
      <c r="H337" s="6"/>
      <c r="I337" s="7">
        <v>1</v>
      </c>
      <c r="J337" s="7"/>
      <c r="K337" s="6"/>
      <c r="L337" s="6">
        <v>1</v>
      </c>
      <c r="M337" s="7"/>
      <c r="N337" s="59">
        <f t="shared" si="11"/>
        <v>2</v>
      </c>
      <c r="O337" s="60"/>
      <c r="P337" s="48"/>
      <c r="Q337" s="175" t="s">
        <v>1782</v>
      </c>
      <c r="R337" s="176">
        <v>28000</v>
      </c>
      <c r="S337" s="177">
        <v>29120</v>
      </c>
      <c r="T337" s="177">
        <v>30240</v>
      </c>
      <c r="U337" s="178"/>
      <c r="V337" s="176"/>
      <c r="W337" s="179">
        <v>1000</v>
      </c>
    </row>
    <row r="338" spans="1:23">
      <c r="A338" s="123" t="s">
        <v>323</v>
      </c>
      <c r="B338" s="56" t="s">
        <v>728</v>
      </c>
      <c r="C338" s="5">
        <v>5</v>
      </c>
      <c r="D338" s="5"/>
      <c r="E338" s="6"/>
      <c r="F338" s="6"/>
      <c r="G338" s="6"/>
      <c r="H338" s="6"/>
      <c r="I338" s="7"/>
      <c r="J338" s="7"/>
      <c r="K338" s="6"/>
      <c r="L338" s="6"/>
      <c r="M338" s="7"/>
      <c r="N338" s="59">
        <f t="shared" si="11"/>
        <v>5</v>
      </c>
      <c r="O338" s="60"/>
      <c r="P338" s="48"/>
      <c r="Q338" s="181">
        <v>22680.244991927226</v>
      </c>
      <c r="R338" s="187">
        <v>22680.244991927226</v>
      </c>
      <c r="S338" s="177">
        <v>23587.454791604316</v>
      </c>
      <c r="T338" s="177">
        <v>24494.664591281406</v>
      </c>
      <c r="U338" s="178"/>
      <c r="V338" s="176"/>
      <c r="W338" s="186"/>
    </row>
    <row r="339" spans="1:23">
      <c r="A339" s="123" t="s">
        <v>324</v>
      </c>
      <c r="B339" s="56" t="s">
        <v>729</v>
      </c>
      <c r="C339" s="5"/>
      <c r="D339" s="5"/>
      <c r="E339" s="6"/>
      <c r="F339" s="6"/>
      <c r="G339" s="6"/>
      <c r="H339" s="6"/>
      <c r="I339" s="7">
        <v>1</v>
      </c>
      <c r="J339" s="7"/>
      <c r="K339" s="6"/>
      <c r="L339" s="6"/>
      <c r="M339" s="7"/>
      <c r="N339" s="59">
        <f t="shared" si="11"/>
        <v>1</v>
      </c>
      <c r="O339" s="60"/>
      <c r="P339" s="48"/>
      <c r="Q339" s="175" t="s">
        <v>1782</v>
      </c>
      <c r="R339" s="176">
        <v>15000</v>
      </c>
      <c r="S339" s="177">
        <v>15600</v>
      </c>
      <c r="T339" s="177">
        <v>16200</v>
      </c>
      <c r="U339" s="178"/>
      <c r="V339" s="176"/>
      <c r="W339" s="200">
        <v>500</v>
      </c>
    </row>
    <row r="340" spans="1:23">
      <c r="A340" s="123" t="s">
        <v>325</v>
      </c>
      <c r="B340" s="56" t="s">
        <v>730</v>
      </c>
      <c r="C340" s="5"/>
      <c r="D340" s="5"/>
      <c r="E340" s="6"/>
      <c r="F340" s="6"/>
      <c r="G340" s="6"/>
      <c r="H340" s="6"/>
      <c r="I340" s="7"/>
      <c r="J340" s="7">
        <v>1</v>
      </c>
      <c r="K340" s="6"/>
      <c r="L340" s="6"/>
      <c r="M340" s="7"/>
      <c r="N340" s="59">
        <f t="shared" si="11"/>
        <v>1</v>
      </c>
      <c r="O340" s="60"/>
      <c r="P340" s="48"/>
      <c r="Q340" s="175" t="s">
        <v>1782</v>
      </c>
      <c r="R340" s="176">
        <v>25000</v>
      </c>
      <c r="S340" s="177">
        <v>26000</v>
      </c>
      <c r="T340" s="177">
        <v>27000</v>
      </c>
      <c r="U340" s="178"/>
      <c r="V340" s="176"/>
      <c r="W340" s="200">
        <v>500</v>
      </c>
    </row>
    <row r="341" spans="1:23">
      <c r="A341" s="127" t="s">
        <v>326</v>
      </c>
      <c r="B341" s="56" t="s">
        <v>730</v>
      </c>
      <c r="C341" s="5">
        <v>9</v>
      </c>
      <c r="D341" s="5"/>
      <c r="E341" s="6"/>
      <c r="F341" s="6"/>
      <c r="G341" s="6"/>
      <c r="H341" s="6"/>
      <c r="I341" s="7"/>
      <c r="J341" s="7"/>
      <c r="K341" s="6">
        <v>1</v>
      </c>
      <c r="L341" s="6"/>
      <c r="M341" s="7">
        <v>1</v>
      </c>
      <c r="N341" s="59">
        <f t="shared" si="11"/>
        <v>11</v>
      </c>
      <c r="O341" s="60"/>
      <c r="P341" s="48"/>
      <c r="Q341" s="181">
        <v>27642.867686790607</v>
      </c>
      <c r="R341" s="187">
        <v>27642.867686790607</v>
      </c>
      <c r="S341" s="177">
        <v>28748.58239426223</v>
      </c>
      <c r="T341" s="177">
        <v>29854.297101733857</v>
      </c>
      <c r="U341" s="178"/>
      <c r="V341" s="176"/>
      <c r="W341" s="186"/>
    </row>
    <row r="342" spans="1:23">
      <c r="A342" s="123" t="s">
        <v>327</v>
      </c>
      <c r="B342" s="56" t="s">
        <v>731</v>
      </c>
      <c r="C342" s="5"/>
      <c r="D342" s="5"/>
      <c r="E342" s="6"/>
      <c r="F342" s="6"/>
      <c r="G342" s="6"/>
      <c r="H342" s="6"/>
      <c r="I342" s="7"/>
      <c r="J342" s="7"/>
      <c r="K342" s="6"/>
      <c r="L342" s="6">
        <v>1</v>
      </c>
      <c r="M342" s="7"/>
      <c r="N342" s="59">
        <f t="shared" si="11"/>
        <v>1</v>
      </c>
      <c r="O342" s="60"/>
      <c r="P342" s="48"/>
      <c r="Q342" s="175" t="s">
        <v>1782</v>
      </c>
      <c r="R342" s="176">
        <v>25000</v>
      </c>
      <c r="S342" s="177">
        <v>26000</v>
      </c>
      <c r="T342" s="177">
        <v>27000</v>
      </c>
      <c r="U342" s="178"/>
      <c r="V342" s="176"/>
      <c r="W342" s="200">
        <v>500</v>
      </c>
    </row>
    <row r="343" spans="1:23">
      <c r="A343" s="129" t="s">
        <v>328</v>
      </c>
      <c r="B343" s="56" t="s">
        <v>731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181">
        <v>27642.867686790607</v>
      </c>
      <c r="R343" s="187">
        <v>27642.867686790607</v>
      </c>
      <c r="S343" s="177">
        <v>28748.58239426223</v>
      </c>
      <c r="T343" s="177">
        <v>29854.297101733857</v>
      </c>
      <c r="U343" s="178"/>
      <c r="V343" s="176"/>
      <c r="W343" s="186"/>
    </row>
    <row r="344" spans="1:23">
      <c r="A344" s="145" t="s">
        <v>329</v>
      </c>
      <c r="B344" s="56" t="s">
        <v>732</v>
      </c>
      <c r="C344" s="5">
        <v>1</v>
      </c>
      <c r="D344" s="5"/>
      <c r="E344" s="6"/>
      <c r="F344" s="6">
        <v>1</v>
      </c>
      <c r="G344" s="6"/>
      <c r="H344" s="6"/>
      <c r="I344" s="7">
        <v>2</v>
      </c>
      <c r="J344" s="7"/>
      <c r="K344" s="6"/>
      <c r="L344" s="6">
        <v>1</v>
      </c>
      <c r="M344" s="7"/>
      <c r="N344" s="59">
        <f t="shared" si="11"/>
        <v>5</v>
      </c>
      <c r="O344" s="60"/>
      <c r="P344" s="48"/>
      <c r="Q344" s="175" t="s">
        <v>1782</v>
      </c>
      <c r="R344" s="176">
        <v>20000</v>
      </c>
      <c r="S344" s="177">
        <v>20800</v>
      </c>
      <c r="T344" s="177">
        <v>21600</v>
      </c>
      <c r="U344" s="178"/>
      <c r="V344" s="176"/>
      <c r="W344" s="182">
        <v>250</v>
      </c>
    </row>
    <row r="345" spans="1:23">
      <c r="A345" s="145" t="s">
        <v>465</v>
      </c>
      <c r="B345" s="56" t="s">
        <v>733</v>
      </c>
      <c r="C345" s="5">
        <v>5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59">
        <f t="shared" si="11"/>
        <v>5</v>
      </c>
      <c r="O345" s="60"/>
      <c r="P345" s="48"/>
      <c r="Q345" s="181">
        <v>27642.867686790607</v>
      </c>
      <c r="R345" s="187">
        <v>27642.867686790607</v>
      </c>
      <c r="S345" s="177">
        <v>28748.58239426223</v>
      </c>
      <c r="T345" s="177">
        <v>29854.297101733857</v>
      </c>
      <c r="U345" s="178"/>
      <c r="V345" s="176"/>
      <c r="W345" s="186"/>
    </row>
    <row r="346" spans="1:23">
      <c r="A346" s="123" t="s">
        <v>1323</v>
      </c>
      <c r="B346" s="56" t="s">
        <v>1324</v>
      </c>
      <c r="C346" s="5">
        <v>7</v>
      </c>
      <c r="D346" s="5"/>
      <c r="E346" s="6"/>
      <c r="F346" s="6"/>
      <c r="G346" s="6"/>
      <c r="H346" s="6"/>
      <c r="I346" s="7"/>
      <c r="J346" s="7"/>
      <c r="K346" s="6"/>
      <c r="L346" s="6"/>
      <c r="M346" s="7"/>
      <c r="N346" s="59">
        <f t="shared" si="11"/>
        <v>7</v>
      </c>
      <c r="O346" s="60"/>
      <c r="P346" s="48"/>
      <c r="Q346" s="181">
        <v>54623.153160214708</v>
      </c>
      <c r="R346" s="192">
        <v>51891.995502203972</v>
      </c>
      <c r="S346" s="177">
        <v>53967.675322292132</v>
      </c>
      <c r="T346" s="177">
        <v>56043.355142380293</v>
      </c>
      <c r="U346" s="178"/>
      <c r="V346" s="176"/>
      <c r="W346" s="182">
        <v>250</v>
      </c>
    </row>
    <row r="347" spans="1:23">
      <c r="A347" s="123" t="s">
        <v>330</v>
      </c>
      <c r="B347" s="56" t="s">
        <v>734</v>
      </c>
      <c r="C347" s="5"/>
      <c r="D347" s="5"/>
      <c r="E347" s="6"/>
      <c r="F347" s="6">
        <v>1</v>
      </c>
      <c r="G347" s="6"/>
      <c r="H347" s="6"/>
      <c r="I347" s="7">
        <v>2</v>
      </c>
      <c r="J347" s="7">
        <v>1</v>
      </c>
      <c r="K347" s="6"/>
      <c r="L347" s="6">
        <v>2</v>
      </c>
      <c r="M347" s="7">
        <v>1</v>
      </c>
      <c r="N347" s="59">
        <f t="shared" si="11"/>
        <v>7</v>
      </c>
      <c r="O347" s="60"/>
      <c r="P347" s="48"/>
      <c r="Q347" s="175" t="s">
        <v>1782</v>
      </c>
      <c r="R347" s="176">
        <v>42000</v>
      </c>
      <c r="S347" s="177">
        <v>43680</v>
      </c>
      <c r="T347" s="177">
        <v>45360</v>
      </c>
      <c r="U347" s="178"/>
      <c r="V347" s="176"/>
      <c r="W347" s="179">
        <v>1000</v>
      </c>
    </row>
    <row r="348" spans="1:23">
      <c r="A348" s="123" t="s">
        <v>331</v>
      </c>
      <c r="B348" s="56" t="s">
        <v>735</v>
      </c>
      <c r="C348" s="5"/>
      <c r="D348" s="5"/>
      <c r="E348" s="6"/>
      <c r="F348" s="6"/>
      <c r="G348" s="6"/>
      <c r="H348" s="6"/>
      <c r="I348" s="7">
        <v>1</v>
      </c>
      <c r="J348" s="7">
        <v>1</v>
      </c>
      <c r="K348" s="6"/>
      <c r="L348" s="6">
        <v>2</v>
      </c>
      <c r="M348" s="7"/>
      <c r="N348" s="59">
        <f t="shared" si="11"/>
        <v>4</v>
      </c>
      <c r="O348" s="60"/>
      <c r="P348" s="48"/>
      <c r="Q348" s="175" t="s">
        <v>1782</v>
      </c>
      <c r="R348" s="176">
        <v>42000</v>
      </c>
      <c r="S348" s="177">
        <v>43680</v>
      </c>
      <c r="T348" s="177">
        <v>45360</v>
      </c>
      <c r="U348" s="178"/>
      <c r="V348" s="176"/>
      <c r="W348" s="179">
        <v>1000</v>
      </c>
    </row>
    <row r="349" spans="1:23">
      <c r="A349" s="127" t="s">
        <v>332</v>
      </c>
      <c r="B349" s="56" t="s">
        <v>736</v>
      </c>
      <c r="C349" s="5"/>
      <c r="D349" s="5"/>
      <c r="E349" s="6"/>
      <c r="F349" s="6"/>
      <c r="G349" s="6"/>
      <c r="H349" s="6"/>
      <c r="I349" s="7">
        <v>1</v>
      </c>
      <c r="J349" s="7"/>
      <c r="K349" s="6"/>
      <c r="L349" s="6"/>
      <c r="M349" s="7"/>
      <c r="N349" s="59">
        <f t="shared" si="11"/>
        <v>1</v>
      </c>
      <c r="O349" s="60"/>
      <c r="P349" s="48"/>
      <c r="Q349" s="175" t="s">
        <v>1782</v>
      </c>
      <c r="R349" s="176">
        <v>42000</v>
      </c>
      <c r="S349" s="177">
        <v>43680</v>
      </c>
      <c r="T349" s="177">
        <v>45360</v>
      </c>
      <c r="U349" s="178"/>
      <c r="V349" s="176"/>
      <c r="W349" s="179">
        <v>1000</v>
      </c>
    </row>
    <row r="350" spans="1:23">
      <c r="A350" s="127" t="s">
        <v>333</v>
      </c>
      <c r="B350" s="56" t="s">
        <v>1142</v>
      </c>
      <c r="C350" s="5">
        <v>1</v>
      </c>
      <c r="D350" s="5"/>
      <c r="E350" s="6"/>
      <c r="F350" s="6"/>
      <c r="G350" s="6"/>
      <c r="H350" s="6"/>
      <c r="I350" s="7"/>
      <c r="J350" s="7"/>
      <c r="K350" s="6"/>
      <c r="L350" s="6"/>
      <c r="M350" s="7"/>
      <c r="N350" s="59">
        <f t="shared" si="11"/>
        <v>1</v>
      </c>
      <c r="O350" s="60"/>
      <c r="P350" s="48"/>
      <c r="Q350" s="181">
        <v>49651.962852539102</v>
      </c>
      <c r="R350" s="187">
        <v>49651.962852539102</v>
      </c>
      <c r="S350" s="177">
        <v>51638.041366640668</v>
      </c>
      <c r="T350" s="177">
        <v>53624.119880742233</v>
      </c>
      <c r="U350" s="178"/>
      <c r="V350" s="176"/>
      <c r="W350" s="186"/>
    </row>
    <row r="351" spans="1:23">
      <c r="A351" s="123" t="s">
        <v>334</v>
      </c>
      <c r="B351" s="56" t="s">
        <v>737</v>
      </c>
      <c r="C351" s="5"/>
      <c r="D351" s="5"/>
      <c r="E351" s="6"/>
      <c r="F351" s="6"/>
      <c r="G351" s="6"/>
      <c r="H351" s="6"/>
      <c r="I351" s="7">
        <v>1</v>
      </c>
      <c r="J351" s="7"/>
      <c r="K351" s="6"/>
      <c r="L351" s="6"/>
      <c r="M351" s="7"/>
      <c r="N351" s="59">
        <f t="shared" si="11"/>
        <v>1</v>
      </c>
      <c r="O351" s="60"/>
      <c r="P351" s="48"/>
      <c r="Q351" s="175" t="s">
        <v>1782</v>
      </c>
      <c r="R351" s="176">
        <v>40000</v>
      </c>
      <c r="S351" s="177">
        <v>41600</v>
      </c>
      <c r="T351" s="177">
        <v>43200</v>
      </c>
      <c r="U351" s="178"/>
      <c r="V351" s="176"/>
      <c r="W351" s="179">
        <v>1000</v>
      </c>
    </row>
    <row r="352" spans="1:23">
      <c r="A352" s="157" t="s">
        <v>335</v>
      </c>
      <c r="B352" s="56" t="s">
        <v>738</v>
      </c>
      <c r="C352" s="5"/>
      <c r="D352" s="5"/>
      <c r="E352" s="6"/>
      <c r="F352" s="6"/>
      <c r="G352" s="6"/>
      <c r="H352" s="6"/>
      <c r="I352" s="7"/>
      <c r="J352" s="7"/>
      <c r="K352" s="6"/>
      <c r="L352" s="6">
        <v>1</v>
      </c>
      <c r="M352" s="7"/>
      <c r="N352" s="59">
        <f t="shared" si="11"/>
        <v>1</v>
      </c>
      <c r="O352" s="60"/>
      <c r="P352" s="48"/>
      <c r="Q352" s="175" t="s">
        <v>1782</v>
      </c>
      <c r="R352" s="176">
        <v>45000</v>
      </c>
      <c r="S352" s="177">
        <v>46800</v>
      </c>
      <c r="T352" s="177">
        <v>48600</v>
      </c>
      <c r="U352" s="178"/>
      <c r="V352" s="176"/>
      <c r="W352" s="179">
        <v>1000</v>
      </c>
    </row>
    <row r="353" spans="1:23">
      <c r="A353" s="139" t="s">
        <v>336</v>
      </c>
      <c r="B353" s="56" t="s">
        <v>738</v>
      </c>
      <c r="C353" s="5">
        <v>1</v>
      </c>
      <c r="D353" s="5"/>
      <c r="E353" s="6"/>
      <c r="F353" s="6">
        <v>2</v>
      </c>
      <c r="G353" s="6"/>
      <c r="H353" s="6"/>
      <c r="I353" s="7"/>
      <c r="J353" s="7">
        <v>1</v>
      </c>
      <c r="K353" s="6"/>
      <c r="L353" s="6"/>
      <c r="M353" s="7"/>
      <c r="N353" s="59">
        <f t="shared" si="11"/>
        <v>4</v>
      </c>
      <c r="O353" s="60"/>
      <c r="P353" s="48"/>
      <c r="Q353" s="181">
        <v>68141.189719030473</v>
      </c>
      <c r="R353" s="187">
        <v>68141.189719030473</v>
      </c>
      <c r="S353" s="177">
        <v>70866.837307791691</v>
      </c>
      <c r="T353" s="177">
        <v>73592.484896552909</v>
      </c>
      <c r="U353" s="178"/>
      <c r="V353" s="176"/>
      <c r="W353" s="182">
        <v>250</v>
      </c>
    </row>
    <row r="354" spans="1:23">
      <c r="A354" s="127" t="s">
        <v>338</v>
      </c>
      <c r="B354" s="56" t="s">
        <v>740</v>
      </c>
      <c r="C354" s="5">
        <v>1</v>
      </c>
      <c r="D354" s="5"/>
      <c r="E354" s="6"/>
      <c r="F354" s="6"/>
      <c r="G354" s="6"/>
      <c r="H354" s="6"/>
      <c r="I354" s="7"/>
      <c r="J354" s="7"/>
      <c r="K354" s="6">
        <v>1</v>
      </c>
      <c r="L354" s="6"/>
      <c r="M354" s="7"/>
      <c r="N354" s="59">
        <f t="shared" si="11"/>
        <v>2</v>
      </c>
      <c r="O354" s="60"/>
      <c r="P354" s="48"/>
      <c r="Q354" s="181">
        <v>54623.153160214708</v>
      </c>
      <c r="R354" s="187">
        <v>54623.153160214708</v>
      </c>
      <c r="S354" s="177">
        <v>56808.079286623295</v>
      </c>
      <c r="T354" s="177">
        <v>58993.005413031882</v>
      </c>
      <c r="U354" s="178"/>
      <c r="V354" s="176"/>
      <c r="W354" s="186"/>
    </row>
    <row r="355" spans="1:23">
      <c r="A355" s="157" t="s">
        <v>1319</v>
      </c>
      <c r="B355" s="56" t="s">
        <v>1749</v>
      </c>
      <c r="C355" s="5"/>
      <c r="D355" s="5"/>
      <c r="E355" s="6"/>
      <c r="F355" s="6"/>
      <c r="G355" s="6"/>
      <c r="H355" s="6"/>
      <c r="I355" s="7"/>
      <c r="J355" s="7"/>
      <c r="K355" s="6"/>
      <c r="L355" s="6"/>
      <c r="M355" s="7"/>
      <c r="N355" s="59">
        <f t="shared" si="11"/>
        <v>0</v>
      </c>
      <c r="O355" s="60">
        <v>2</v>
      </c>
      <c r="P355" s="48"/>
      <c r="Q355" s="195">
        <v>96577.07986836003</v>
      </c>
      <c r="R355" s="195">
        <v>86919.371881524028</v>
      </c>
      <c r="S355" s="177">
        <v>90396.14675678499</v>
      </c>
      <c r="T355" s="177">
        <v>93872.921632045953</v>
      </c>
      <c r="U355" s="178"/>
      <c r="V355" s="176"/>
      <c r="W355" s="186"/>
    </row>
    <row r="356" spans="1:23">
      <c r="A356" s="157" t="s">
        <v>340</v>
      </c>
      <c r="B356" s="56" t="s">
        <v>742</v>
      </c>
      <c r="C356" s="5"/>
      <c r="D356" s="5"/>
      <c r="E356" s="6"/>
      <c r="F356" s="6"/>
      <c r="G356" s="6"/>
      <c r="H356" s="6"/>
      <c r="I356" s="7">
        <v>1</v>
      </c>
      <c r="J356" s="7"/>
      <c r="K356" s="6"/>
      <c r="L356" s="6">
        <v>3</v>
      </c>
      <c r="M356" s="7"/>
      <c r="N356" s="59">
        <f t="shared" si="11"/>
        <v>4</v>
      </c>
      <c r="O356" s="60"/>
      <c r="P356" s="48"/>
      <c r="Q356" s="175" t="s">
        <v>1782</v>
      </c>
      <c r="R356" s="176">
        <v>40000</v>
      </c>
      <c r="S356" s="177">
        <v>41600</v>
      </c>
      <c r="T356" s="177">
        <v>43200</v>
      </c>
      <c r="U356" s="178"/>
      <c r="V356" s="176"/>
      <c r="W356" s="179">
        <v>1000</v>
      </c>
    </row>
    <row r="357" spans="1:23">
      <c r="A357" s="127" t="s">
        <v>341</v>
      </c>
      <c r="B357" s="56" t="s">
        <v>743</v>
      </c>
      <c r="C357" s="5">
        <v>2</v>
      </c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 t="shared" si="11"/>
        <v>2</v>
      </c>
      <c r="O357" s="60"/>
      <c r="P357" s="48"/>
      <c r="Q357" s="175" t="s">
        <v>1782</v>
      </c>
      <c r="R357" s="176">
        <v>100000</v>
      </c>
      <c r="S357" s="177">
        <v>104000</v>
      </c>
      <c r="T357" s="177">
        <v>108000</v>
      </c>
      <c r="U357" s="178"/>
      <c r="V357" s="176"/>
      <c r="W357" s="182">
        <v>250</v>
      </c>
    </row>
    <row r="358" spans="1:23">
      <c r="A358" s="127" t="s">
        <v>339</v>
      </c>
      <c r="B358" s="56" t="s">
        <v>741</v>
      </c>
      <c r="C358" s="5"/>
      <c r="D358" s="5"/>
      <c r="E358" s="6"/>
      <c r="F358" s="6">
        <v>1</v>
      </c>
      <c r="G358" s="6"/>
      <c r="H358" s="6"/>
      <c r="I358" s="7"/>
      <c r="J358" s="7"/>
      <c r="K358" s="6"/>
      <c r="L358" s="6"/>
      <c r="M358" s="7"/>
      <c r="N358" s="59">
        <f t="shared" ref="N358:N359" si="12">M358+K358+L358+J358+I358+H358+G358+F358+E358+D358+C358</f>
        <v>1</v>
      </c>
      <c r="O358" s="60"/>
      <c r="P358" s="48"/>
      <c r="Q358" s="175" t="s">
        <v>1782</v>
      </c>
      <c r="R358" s="176">
        <v>35000</v>
      </c>
      <c r="S358" s="177">
        <v>36400</v>
      </c>
      <c r="T358" s="177">
        <v>37800</v>
      </c>
      <c r="U358" s="178"/>
      <c r="V358" s="176"/>
      <c r="W358" s="179">
        <v>1000</v>
      </c>
    </row>
    <row r="359" spans="1:23">
      <c r="A359" s="127" t="s">
        <v>337</v>
      </c>
      <c r="B359" s="56" t="s">
        <v>739</v>
      </c>
      <c r="C359" s="5">
        <v>2</v>
      </c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59">
        <f t="shared" si="12"/>
        <v>2</v>
      </c>
      <c r="O359" s="60"/>
      <c r="P359" s="48"/>
      <c r="Q359" s="175" t="s">
        <v>1782</v>
      </c>
      <c r="R359" s="204">
        <v>30000</v>
      </c>
      <c r="S359" s="177">
        <v>31200</v>
      </c>
      <c r="T359" s="177">
        <v>32400</v>
      </c>
      <c r="U359" s="178"/>
      <c r="V359" s="176"/>
      <c r="W359" s="182">
        <v>250</v>
      </c>
    </row>
    <row r="360" spans="1:23" ht="34.5" customHeight="1">
      <c r="A360" s="158" t="s">
        <v>342</v>
      </c>
      <c r="B360" s="56" t="s">
        <v>1849</v>
      </c>
      <c r="C360" s="5"/>
      <c r="D360" s="5"/>
      <c r="E360" s="6"/>
      <c r="F360" s="6"/>
      <c r="G360" s="6"/>
      <c r="H360" s="6"/>
      <c r="I360" s="7"/>
      <c r="J360" s="7"/>
      <c r="K360" s="6"/>
      <c r="L360" s="6"/>
      <c r="M360" s="7"/>
      <c r="N360" s="59">
        <f>SUM(N300:N359)</f>
        <v>357</v>
      </c>
      <c r="O360" s="60"/>
      <c r="P360" s="6"/>
      <c r="Q360" s="175"/>
      <c r="R360" s="176"/>
      <c r="S360" s="177"/>
      <c r="T360" s="177"/>
      <c r="U360" s="178"/>
      <c r="V360" s="176"/>
      <c r="W360" s="186"/>
    </row>
    <row r="361" spans="1:23">
      <c r="A361" s="123" t="s">
        <v>343</v>
      </c>
      <c r="B361" s="56" t="s">
        <v>744</v>
      </c>
      <c r="C361" s="5">
        <v>15</v>
      </c>
      <c r="D361" s="5"/>
      <c r="E361" s="6"/>
      <c r="F361" s="6"/>
      <c r="G361" s="6"/>
      <c r="H361" s="6"/>
      <c r="I361" s="7">
        <v>1</v>
      </c>
      <c r="J361" s="7">
        <v>1</v>
      </c>
      <c r="K361" s="6">
        <v>1</v>
      </c>
      <c r="L361" s="6">
        <v>1</v>
      </c>
      <c r="M361" s="7">
        <v>1</v>
      </c>
      <c r="N361" s="59">
        <f t="shared" ref="N361:N366" si="13">M361+K361+L361+J361+I361+H361+G361+F361+E361+D361+C361</f>
        <v>20</v>
      </c>
      <c r="O361" s="60"/>
      <c r="P361" s="48"/>
      <c r="Q361" s="181">
        <v>26926.899614470331</v>
      </c>
      <c r="R361" s="192">
        <v>25580.554633746815</v>
      </c>
      <c r="S361" s="177">
        <v>26603.776819096689</v>
      </c>
      <c r="T361" s="177">
        <v>27626.999004446559</v>
      </c>
      <c r="U361" s="178"/>
      <c r="V361" s="176"/>
      <c r="W361" s="186"/>
    </row>
    <row r="362" spans="1:23">
      <c r="A362" s="123" t="s">
        <v>344</v>
      </c>
      <c r="B362" s="56" t="s">
        <v>745</v>
      </c>
      <c r="C362" s="5">
        <v>5</v>
      </c>
      <c r="D362" s="5"/>
      <c r="E362" s="6"/>
      <c r="F362" s="6">
        <v>2</v>
      </c>
      <c r="G362" s="6"/>
      <c r="H362" s="6"/>
      <c r="I362" s="7">
        <v>2</v>
      </c>
      <c r="J362" s="7"/>
      <c r="K362" s="6"/>
      <c r="L362" s="6"/>
      <c r="M362" s="7"/>
      <c r="N362" s="59">
        <f t="shared" si="13"/>
        <v>9</v>
      </c>
      <c r="O362" s="60">
        <v>6</v>
      </c>
      <c r="P362" s="48"/>
      <c r="Q362" s="181">
        <v>33549.396465393293</v>
      </c>
      <c r="R362" s="192">
        <v>31871.926642123628</v>
      </c>
      <c r="S362" s="177">
        <v>33146.803707808576</v>
      </c>
      <c r="T362" s="177">
        <v>34421.680773493521</v>
      </c>
      <c r="U362" s="178"/>
      <c r="V362" s="176"/>
      <c r="W362" s="186"/>
    </row>
    <row r="363" spans="1:23">
      <c r="A363" s="123" t="s">
        <v>345</v>
      </c>
      <c r="B363" s="56" t="s">
        <v>746</v>
      </c>
      <c r="C363" s="5">
        <v>6</v>
      </c>
      <c r="D363" s="5"/>
      <c r="E363" s="6"/>
      <c r="F363" s="6">
        <v>1</v>
      </c>
      <c r="G363" s="6"/>
      <c r="H363" s="6"/>
      <c r="I363" s="7"/>
      <c r="J363" s="7"/>
      <c r="K363" s="6"/>
      <c r="L363" s="6"/>
      <c r="M363" s="7"/>
      <c r="N363" s="59">
        <f t="shared" si="13"/>
        <v>7</v>
      </c>
      <c r="O363" s="60"/>
      <c r="P363" s="48"/>
      <c r="Q363" s="181">
        <v>33595.221318182215</v>
      </c>
      <c r="R363" s="192">
        <v>31915.460252273104</v>
      </c>
      <c r="S363" s="177">
        <v>33192.078662364031</v>
      </c>
      <c r="T363" s="177">
        <v>34468.697072454954</v>
      </c>
      <c r="U363" s="178"/>
      <c r="V363" s="176"/>
      <c r="W363" s="186"/>
    </row>
    <row r="364" spans="1:23">
      <c r="A364" s="123" t="s">
        <v>346</v>
      </c>
      <c r="B364" s="56" t="s">
        <v>747</v>
      </c>
      <c r="C364" s="5"/>
      <c r="D364" s="5"/>
      <c r="E364" s="6"/>
      <c r="F364" s="6">
        <v>2</v>
      </c>
      <c r="G364" s="6"/>
      <c r="H364" s="6"/>
      <c r="I364" s="7">
        <v>1</v>
      </c>
      <c r="J364" s="7"/>
      <c r="K364" s="6"/>
      <c r="L364" s="6"/>
      <c r="M364" s="7"/>
      <c r="N364" s="59">
        <f t="shared" si="13"/>
        <v>3</v>
      </c>
      <c r="O364" s="60"/>
      <c r="P364" s="48"/>
      <c r="Q364" s="175" t="s">
        <v>1782</v>
      </c>
      <c r="R364" s="187">
        <v>52000</v>
      </c>
      <c r="S364" s="177">
        <v>54080</v>
      </c>
      <c r="T364" s="177">
        <v>56160</v>
      </c>
      <c r="U364" s="178"/>
      <c r="V364" s="176"/>
      <c r="W364" s="179">
        <v>1000</v>
      </c>
    </row>
    <row r="365" spans="1:23">
      <c r="A365" s="123" t="s">
        <v>347</v>
      </c>
      <c r="B365" s="56" t="s">
        <v>748</v>
      </c>
      <c r="C365" s="5">
        <v>3</v>
      </c>
      <c r="D365" s="5"/>
      <c r="E365" s="6"/>
      <c r="F365" s="6">
        <v>1</v>
      </c>
      <c r="G365" s="6"/>
      <c r="H365" s="6"/>
      <c r="I365" s="7"/>
      <c r="J365" s="7"/>
      <c r="K365" s="6"/>
      <c r="L365" s="6"/>
      <c r="M365" s="7"/>
      <c r="N365" s="59">
        <f t="shared" si="13"/>
        <v>4</v>
      </c>
      <c r="O365" s="60"/>
      <c r="P365" s="48"/>
      <c r="Q365" s="181">
        <v>64596.554616845155</v>
      </c>
      <c r="R365" s="187">
        <v>64596.554616845155</v>
      </c>
      <c r="S365" s="177">
        <v>67180.416801518964</v>
      </c>
      <c r="T365" s="177">
        <v>69764.278986192774</v>
      </c>
      <c r="U365" s="178"/>
      <c r="V365" s="176"/>
      <c r="W365" s="186"/>
    </row>
    <row r="366" spans="1:23">
      <c r="A366" s="123" t="s">
        <v>1689</v>
      </c>
      <c r="B366" s="56" t="s">
        <v>1690</v>
      </c>
      <c r="C366" s="5">
        <v>1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3"/>
        <v>1</v>
      </c>
      <c r="O366" s="60"/>
      <c r="P366" s="48"/>
      <c r="Q366" s="181">
        <v>34759.589937808785</v>
      </c>
      <c r="R366" s="187">
        <v>34759.589937808785</v>
      </c>
      <c r="S366" s="177">
        <v>36149.973535321136</v>
      </c>
      <c r="T366" s="177">
        <v>37540.357132833487</v>
      </c>
      <c r="U366" s="178"/>
      <c r="V366" s="176"/>
      <c r="W366" s="186"/>
    </row>
    <row r="367" spans="1:23" ht="30">
      <c r="A367" s="158" t="s">
        <v>348</v>
      </c>
      <c r="B367" s="56" t="s">
        <v>1849</v>
      </c>
      <c r="C367" s="5"/>
      <c r="D367" s="5"/>
      <c r="E367" s="6"/>
      <c r="F367" s="6"/>
      <c r="G367" s="6"/>
      <c r="H367" s="6"/>
      <c r="I367" s="7"/>
      <c r="J367" s="7"/>
      <c r="K367" s="6"/>
      <c r="L367" s="6"/>
      <c r="M367" s="7"/>
      <c r="N367" s="59">
        <f>SUM(N361:N366)</f>
        <v>44</v>
      </c>
      <c r="O367" s="60"/>
      <c r="P367" s="6"/>
      <c r="Q367" s="175"/>
      <c r="R367" s="176"/>
      <c r="S367" s="177"/>
      <c r="T367" s="177"/>
      <c r="U367" s="178"/>
      <c r="V367" s="176"/>
      <c r="W367" s="186"/>
    </row>
    <row r="368" spans="1:23">
      <c r="A368" s="123" t="s">
        <v>349</v>
      </c>
      <c r="B368" s="56" t="s">
        <v>749</v>
      </c>
      <c r="C368" s="5">
        <v>16</v>
      </c>
      <c r="D368" s="5"/>
      <c r="E368" s="6">
        <v>1</v>
      </c>
      <c r="F368" s="6"/>
      <c r="G368" s="6"/>
      <c r="H368" s="6"/>
      <c r="I368" s="7">
        <v>1</v>
      </c>
      <c r="J368" s="7">
        <v>1</v>
      </c>
      <c r="K368" s="6"/>
      <c r="L368" s="6"/>
      <c r="M368" s="7">
        <v>1</v>
      </c>
      <c r="N368" s="59">
        <f t="shared" ref="N368:N377" si="14">M368+K368+L368+J368+I368+H368+G368+F368+E368+D368+C368</f>
        <v>20</v>
      </c>
      <c r="O368" s="60">
        <v>10</v>
      </c>
      <c r="P368" s="48"/>
      <c r="Q368" s="181">
        <v>26949.038630997122</v>
      </c>
      <c r="R368" s="192">
        <v>25601.586699447267</v>
      </c>
      <c r="S368" s="177">
        <v>26625.650167425159</v>
      </c>
      <c r="T368" s="177">
        <v>27649.713635403048</v>
      </c>
      <c r="U368" s="178"/>
      <c r="V368" s="176"/>
      <c r="W368" s="186"/>
    </row>
    <row r="369" spans="1:24">
      <c r="A369" s="124" t="s">
        <v>350</v>
      </c>
      <c r="B369" s="56" t="s">
        <v>750</v>
      </c>
      <c r="C369" s="5">
        <v>2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2</v>
      </c>
      <c r="O369" s="60"/>
      <c r="P369" s="48"/>
      <c r="Q369" s="181">
        <v>86372.610344239802</v>
      </c>
      <c r="R369" s="187">
        <v>86372.610344239802</v>
      </c>
      <c r="S369" s="177">
        <v>89827.514758009391</v>
      </c>
      <c r="T369" s="177">
        <v>93282.41917177898</v>
      </c>
      <c r="U369" s="178"/>
      <c r="V369" s="176"/>
      <c r="W369" s="182">
        <v>250</v>
      </c>
    </row>
    <row r="370" spans="1:24">
      <c r="A370" s="124" t="s">
        <v>351</v>
      </c>
      <c r="B370" s="56" t="s">
        <v>751</v>
      </c>
      <c r="C370" s="5"/>
      <c r="D370" s="5">
        <v>1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1</v>
      </c>
      <c r="O370" s="60"/>
      <c r="P370" s="48"/>
      <c r="Q370" s="195">
        <v>98810.13083642222</v>
      </c>
      <c r="R370" s="195">
        <v>88929.117752780003</v>
      </c>
      <c r="S370" s="177">
        <v>92486.282462891206</v>
      </c>
      <c r="T370" s="177">
        <v>96043.447173002409</v>
      </c>
      <c r="U370" s="178"/>
      <c r="V370" s="176"/>
      <c r="W370" s="179">
        <v>500</v>
      </c>
    </row>
    <row r="371" spans="1:24">
      <c r="A371" s="124" t="s">
        <v>352</v>
      </c>
      <c r="B371" s="56" t="s">
        <v>751</v>
      </c>
      <c r="C371" s="5"/>
      <c r="D371" s="5">
        <v>1</v>
      </c>
      <c r="E371" s="6"/>
      <c r="F371" s="6"/>
      <c r="G371" s="6"/>
      <c r="H371" s="6">
        <v>1</v>
      </c>
      <c r="I371" s="7"/>
      <c r="J371" s="7"/>
      <c r="K371" s="6"/>
      <c r="L371" s="6"/>
      <c r="M371" s="7"/>
      <c r="N371" s="59">
        <f t="shared" si="14"/>
        <v>2</v>
      </c>
      <c r="O371" s="60"/>
      <c r="P371" s="48"/>
      <c r="Q371" s="175" t="s">
        <v>1782</v>
      </c>
      <c r="R371" s="193">
        <v>105000</v>
      </c>
      <c r="S371" s="177">
        <v>109200</v>
      </c>
      <c r="T371" s="177">
        <v>113400</v>
      </c>
      <c r="U371" s="178"/>
      <c r="V371" s="176"/>
      <c r="W371" s="179">
        <v>500</v>
      </c>
    </row>
    <row r="372" spans="1:24">
      <c r="A372" s="124" t="s">
        <v>1790</v>
      </c>
      <c r="B372" s="56" t="s">
        <v>755</v>
      </c>
      <c r="C372" s="5">
        <v>1</v>
      </c>
      <c r="D372" s="5"/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1</v>
      </c>
      <c r="O372" s="60"/>
      <c r="P372" s="48"/>
      <c r="Q372" s="181">
        <v>109323.72862805334</v>
      </c>
      <c r="R372" s="187">
        <v>109323.72862805334</v>
      </c>
      <c r="S372" s="177">
        <v>113696.67777317548</v>
      </c>
      <c r="T372" s="177">
        <v>118069.62691829761</v>
      </c>
      <c r="U372" s="178"/>
      <c r="V372" s="176"/>
      <c r="W372" s="182"/>
    </row>
    <row r="373" spans="1:24">
      <c r="A373" s="124" t="s">
        <v>1750</v>
      </c>
      <c r="B373" s="56" t="s">
        <v>756</v>
      </c>
      <c r="C373" s="5"/>
      <c r="D373" s="5">
        <v>2</v>
      </c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195">
        <v>87960.712736329777</v>
      </c>
      <c r="R373" s="195">
        <v>79164.641462696804</v>
      </c>
      <c r="S373" s="177">
        <v>82331.227121204676</v>
      </c>
      <c r="T373" s="177">
        <v>85497.812779712549</v>
      </c>
      <c r="U373" s="178"/>
      <c r="V373" s="176"/>
      <c r="W373" s="182"/>
    </row>
    <row r="374" spans="1:24">
      <c r="A374" s="123" t="s">
        <v>356</v>
      </c>
      <c r="B374" s="56" t="s">
        <v>1144</v>
      </c>
      <c r="C374" s="5"/>
      <c r="D374" s="5"/>
      <c r="E374" s="6"/>
      <c r="F374" s="6">
        <v>1</v>
      </c>
      <c r="G374" s="6"/>
      <c r="H374" s="6"/>
      <c r="I374" s="7"/>
      <c r="J374" s="7">
        <v>1</v>
      </c>
      <c r="K374" s="6"/>
      <c r="L374" s="6">
        <v>1</v>
      </c>
      <c r="M374" s="7"/>
      <c r="N374" s="59">
        <f t="shared" si="14"/>
        <v>3</v>
      </c>
      <c r="O374" s="60"/>
      <c r="P374" s="48"/>
      <c r="Q374" s="181">
        <v>114748.16313013737</v>
      </c>
      <c r="R374" s="174">
        <v>109010.75497363051</v>
      </c>
      <c r="S374" s="177">
        <v>113371.18517257573</v>
      </c>
      <c r="T374" s="177">
        <v>117731.61537152095</v>
      </c>
      <c r="U374" s="178"/>
      <c r="V374" s="176"/>
      <c r="W374" s="182">
        <v>250</v>
      </c>
    </row>
    <row r="375" spans="1:24">
      <c r="A375" s="123" t="s">
        <v>1504</v>
      </c>
      <c r="B375" s="56" t="s">
        <v>1508</v>
      </c>
      <c r="C375" s="5"/>
      <c r="D375" s="5">
        <v>2</v>
      </c>
      <c r="E375" s="6"/>
      <c r="F375" s="6"/>
      <c r="G375" s="6"/>
      <c r="H375" s="6"/>
      <c r="I375" s="7"/>
      <c r="J375" s="7"/>
      <c r="K375" s="6"/>
      <c r="L375" s="6"/>
      <c r="M375" s="7"/>
      <c r="N375" s="59">
        <f t="shared" si="14"/>
        <v>2</v>
      </c>
      <c r="O375" s="60"/>
      <c r="P375" s="48"/>
      <c r="Q375" s="195">
        <v>146639.19559058829</v>
      </c>
      <c r="R375" s="195">
        <v>131975.27603152947</v>
      </c>
      <c r="S375" s="177">
        <v>137254.28707279064</v>
      </c>
      <c r="T375" s="177">
        <v>142533.29811405184</v>
      </c>
      <c r="U375" s="178"/>
      <c r="V375" s="176"/>
      <c r="W375" s="179">
        <v>500</v>
      </c>
    </row>
    <row r="376" spans="1:24">
      <c r="A376" s="124" t="s">
        <v>357</v>
      </c>
      <c r="B376" s="56" t="s">
        <v>753</v>
      </c>
      <c r="C376" s="5">
        <v>3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14"/>
        <v>3</v>
      </c>
      <c r="O376" s="60"/>
      <c r="P376" s="48"/>
      <c r="Q376" s="181">
        <v>123158.86741556809</v>
      </c>
      <c r="R376" s="187">
        <v>123158.86741556809</v>
      </c>
      <c r="S376" s="177">
        <v>128085.22211219082</v>
      </c>
      <c r="T376" s="177">
        <v>133011.57680881355</v>
      </c>
      <c r="U376" s="178"/>
      <c r="V376" s="176"/>
      <c r="W376" s="182">
        <v>250</v>
      </c>
    </row>
    <row r="377" spans="1:24">
      <c r="A377" s="123" t="s">
        <v>1553</v>
      </c>
      <c r="B377" s="56" t="s">
        <v>1555</v>
      </c>
      <c r="C377" s="5">
        <v>1</v>
      </c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 t="shared" si="14"/>
        <v>1</v>
      </c>
      <c r="O377" s="60">
        <v>1</v>
      </c>
      <c r="P377" s="48"/>
      <c r="Q377" s="181">
        <v>63473.534289984025</v>
      </c>
      <c r="R377" s="187">
        <v>63473.534289984025</v>
      </c>
      <c r="S377" s="177">
        <v>66012.47566158339</v>
      </c>
      <c r="T377" s="177">
        <v>68551.417033182748</v>
      </c>
      <c r="U377" s="178"/>
      <c r="V377" s="176"/>
      <c r="W377" s="186"/>
    </row>
    <row r="378" spans="1:24" ht="36">
      <c r="A378" s="159" t="s">
        <v>471</v>
      </c>
      <c r="B378" s="56" t="s">
        <v>1849</v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SUM(N368:N377)</f>
        <v>37</v>
      </c>
      <c r="O378" s="60"/>
      <c r="P378" s="6"/>
      <c r="Q378" s="175"/>
      <c r="R378" s="176"/>
      <c r="S378" s="177"/>
      <c r="T378" s="177"/>
      <c r="U378" s="178"/>
      <c r="V378" s="176"/>
      <c r="W378" s="186"/>
    </row>
    <row r="379" spans="1:24">
      <c r="A379" s="123" t="s">
        <v>463</v>
      </c>
      <c r="B379" s="56" t="s">
        <v>754</v>
      </c>
      <c r="C379" s="5">
        <v>1</v>
      </c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59">
        <f>M379+K379+L379+J379+I379+H379+G379+F379+E379+D379+C379</f>
        <v>1</v>
      </c>
      <c r="O379" s="60"/>
      <c r="P379" s="48"/>
      <c r="Q379" s="181">
        <v>98476.826388502217</v>
      </c>
      <c r="R379" s="187">
        <v>98476.826388502217</v>
      </c>
      <c r="S379" s="177">
        <v>102415.89944404231</v>
      </c>
      <c r="T379" s="177">
        <v>106354.97249958239</v>
      </c>
      <c r="U379" s="178"/>
      <c r="V379" s="176"/>
      <c r="W379" s="182">
        <v>250</v>
      </c>
    </row>
    <row r="380" spans="1:24">
      <c r="A380" s="123" t="s">
        <v>355</v>
      </c>
      <c r="B380" s="56" t="s">
        <v>754</v>
      </c>
      <c r="C380" s="5"/>
      <c r="D380" s="5"/>
      <c r="E380" s="6"/>
      <c r="F380" s="6"/>
      <c r="G380" s="6">
        <v>1</v>
      </c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/>
      <c r="P380" s="48"/>
      <c r="Q380" s="175" t="s">
        <v>1782</v>
      </c>
      <c r="R380" s="176">
        <v>80000</v>
      </c>
      <c r="S380" s="177">
        <v>83200</v>
      </c>
      <c r="T380" s="177">
        <v>86400</v>
      </c>
      <c r="U380" s="178"/>
      <c r="V380" s="176"/>
      <c r="W380" s="179">
        <v>1000</v>
      </c>
    </row>
    <row r="381" spans="1:24">
      <c r="A381" s="123" t="s">
        <v>462</v>
      </c>
      <c r="B381" s="56" t="s">
        <v>755</v>
      </c>
      <c r="C381" s="5">
        <v>1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>M381+K381+L381+J381+I381+H381+G381+F381+E381+D381+C381</f>
        <v>1</v>
      </c>
      <c r="O381" s="60"/>
      <c r="P381" s="48"/>
      <c r="Q381" s="181">
        <v>118828.46204442343</v>
      </c>
      <c r="R381" s="187">
        <v>118828.46204442343</v>
      </c>
      <c r="S381" s="177">
        <v>123581.60052620037</v>
      </c>
      <c r="T381" s="177">
        <v>128334.7390079773</v>
      </c>
      <c r="U381" s="178"/>
      <c r="V381" s="176"/>
      <c r="W381" s="182">
        <v>250</v>
      </c>
    </row>
    <row r="382" spans="1:24">
      <c r="A382" s="123" t="s">
        <v>354</v>
      </c>
      <c r="B382" s="56" t="s">
        <v>756</v>
      </c>
      <c r="C382" s="5"/>
      <c r="D382" s="5">
        <v>3</v>
      </c>
      <c r="E382" s="6"/>
      <c r="F382" s="6"/>
      <c r="G382" s="6"/>
      <c r="H382" s="6">
        <v>1</v>
      </c>
      <c r="I382" s="7"/>
      <c r="J382" s="7"/>
      <c r="K382" s="6"/>
      <c r="L382" s="6"/>
      <c r="M382" s="7"/>
      <c r="N382" s="59">
        <f>M382+K382+L382+J382+I382+H382+G382+F382+E382+D382+C382</f>
        <v>4</v>
      </c>
      <c r="O382" s="60"/>
      <c r="P382" s="48"/>
      <c r="Q382" s="195">
        <v>151194.10707865038</v>
      </c>
      <c r="R382" s="195">
        <v>136074.69637078536</v>
      </c>
      <c r="S382" s="177">
        <v>141517.68422561677</v>
      </c>
      <c r="T382" s="177">
        <v>146960.67208044819</v>
      </c>
      <c r="U382" s="178"/>
      <c r="V382" s="176"/>
      <c r="W382" s="182">
        <v>500</v>
      </c>
    </row>
    <row r="383" spans="1:24" s="12" customFormat="1" ht="31.5">
      <c r="A383" s="147" t="s">
        <v>358</v>
      </c>
      <c r="B383" s="56" t="s">
        <v>1849</v>
      </c>
      <c r="C383" s="5"/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59"/>
      <c r="O383" s="60"/>
      <c r="P383" s="6"/>
      <c r="Q383" s="175"/>
      <c r="R383" s="176"/>
      <c r="S383" s="177"/>
      <c r="T383" s="177"/>
      <c r="U383" s="178"/>
      <c r="V383" s="205"/>
      <c r="W383" s="186"/>
      <c r="X383" s="180"/>
    </row>
    <row r="384" spans="1:24">
      <c r="A384" s="160" t="s">
        <v>1845</v>
      </c>
      <c r="B384" s="56" t="s">
        <v>1848</v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>
        <f t="shared" ref="N384:N418" si="15">M384+K384+L384+J384+I384+H384+G384+F384+E384+D384+C384</f>
        <v>0</v>
      </c>
      <c r="O384" s="60"/>
      <c r="P384" s="48" t="s">
        <v>1846</v>
      </c>
      <c r="Q384" s="181">
        <v>29423</v>
      </c>
      <c r="R384" s="176">
        <v>29423</v>
      </c>
      <c r="S384" s="177">
        <v>30599.919999999998</v>
      </c>
      <c r="T384" s="177">
        <v>31776.84</v>
      </c>
      <c r="U384" s="178"/>
      <c r="V384" s="176"/>
      <c r="W384" s="179"/>
    </row>
    <row r="385" spans="1:24">
      <c r="A385" s="160" t="s">
        <v>1847</v>
      </c>
      <c r="B385" s="56" t="s">
        <v>1848</v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59">
        <f t="shared" si="15"/>
        <v>0</v>
      </c>
      <c r="O385" s="60"/>
      <c r="P385" s="48" t="s">
        <v>1846</v>
      </c>
      <c r="Q385" s="181">
        <v>31810</v>
      </c>
      <c r="R385" s="176">
        <v>31810</v>
      </c>
      <c r="S385" s="177">
        <v>33082.400000000001</v>
      </c>
      <c r="T385" s="177">
        <v>34354.800000000003</v>
      </c>
      <c r="U385" s="178"/>
      <c r="V385" s="176"/>
      <c r="W385" s="179"/>
    </row>
    <row r="386" spans="1:24">
      <c r="A386" s="124" t="s">
        <v>359</v>
      </c>
      <c r="B386" s="56" t="s">
        <v>757</v>
      </c>
      <c r="C386" s="5"/>
      <c r="D386" s="5"/>
      <c r="E386" s="6"/>
      <c r="F386" s="6"/>
      <c r="G386" s="6"/>
      <c r="H386" s="6"/>
      <c r="I386" s="7"/>
      <c r="J386" s="7"/>
      <c r="K386" s="6"/>
      <c r="L386" s="6">
        <v>1</v>
      </c>
      <c r="M386" s="7"/>
      <c r="N386" s="59">
        <f t="shared" si="15"/>
        <v>1</v>
      </c>
      <c r="O386" s="60"/>
      <c r="P386" s="48"/>
      <c r="Q386" s="175" t="s">
        <v>1782</v>
      </c>
      <c r="R386" s="176">
        <v>120000</v>
      </c>
      <c r="S386" s="177">
        <v>124800</v>
      </c>
      <c r="T386" s="177">
        <v>129600</v>
      </c>
      <c r="U386" s="178"/>
      <c r="V386" s="176"/>
      <c r="W386" s="179">
        <v>1000</v>
      </c>
    </row>
    <row r="387" spans="1:24">
      <c r="A387" s="124" t="s">
        <v>360</v>
      </c>
      <c r="B387" s="56" t="s">
        <v>758</v>
      </c>
      <c r="C387" s="5"/>
      <c r="D387" s="5"/>
      <c r="E387" s="6"/>
      <c r="F387" s="6">
        <v>1</v>
      </c>
      <c r="G387" s="6"/>
      <c r="H387" s="6"/>
      <c r="I387" s="7"/>
      <c r="J387" s="7"/>
      <c r="K387" s="6"/>
      <c r="L387" s="6"/>
      <c r="M387" s="7"/>
      <c r="N387" s="59">
        <f t="shared" si="15"/>
        <v>1</v>
      </c>
      <c r="O387" s="60"/>
      <c r="P387" s="48"/>
      <c r="Q387" s="181">
        <v>165596.65974594664</v>
      </c>
      <c r="R387" s="187">
        <v>165596.65974594664</v>
      </c>
      <c r="S387" s="177">
        <v>172220.52613578452</v>
      </c>
      <c r="T387" s="177">
        <v>178844.39252562239</v>
      </c>
      <c r="U387" s="178"/>
      <c r="V387" s="176"/>
      <c r="W387" s="179">
        <v>1000</v>
      </c>
    </row>
    <row r="388" spans="1:24">
      <c r="A388" s="124" t="s">
        <v>361</v>
      </c>
      <c r="B388" s="56" t="s">
        <v>759</v>
      </c>
      <c r="C388" s="5"/>
      <c r="D388" s="5">
        <v>5</v>
      </c>
      <c r="E388" s="6"/>
      <c r="F388" s="6"/>
      <c r="G388" s="6"/>
      <c r="H388" s="6">
        <v>1</v>
      </c>
      <c r="I388" s="7"/>
      <c r="J388" s="7"/>
      <c r="K388" s="6"/>
      <c r="L388" s="6"/>
      <c r="M388" s="7"/>
      <c r="N388" s="59">
        <f t="shared" si="15"/>
        <v>6</v>
      </c>
      <c r="O388" s="60"/>
      <c r="P388" s="48"/>
      <c r="Q388" s="195">
        <v>186210.56655393163</v>
      </c>
      <c r="R388" s="195">
        <v>167589.50989853847</v>
      </c>
      <c r="S388" s="177">
        <v>174293.09029448</v>
      </c>
      <c r="T388" s="177">
        <v>180996.67069042154</v>
      </c>
      <c r="U388" s="178"/>
      <c r="V388" s="176"/>
      <c r="W388" s="182">
        <v>500</v>
      </c>
    </row>
    <row r="389" spans="1:24">
      <c r="A389" s="127" t="s">
        <v>362</v>
      </c>
      <c r="B389" s="56" t="s">
        <v>760</v>
      </c>
      <c r="C389" s="5"/>
      <c r="D389" s="5"/>
      <c r="E389" s="6"/>
      <c r="F389" s="6"/>
      <c r="G389" s="6"/>
      <c r="H389" s="6"/>
      <c r="I389" s="7">
        <v>5</v>
      </c>
      <c r="J389" s="7">
        <v>2</v>
      </c>
      <c r="K389" s="6"/>
      <c r="L389" s="6">
        <v>2</v>
      </c>
      <c r="M389" s="7">
        <v>3</v>
      </c>
      <c r="N389" s="59">
        <f t="shared" si="15"/>
        <v>12</v>
      </c>
      <c r="O389" s="60">
        <v>1</v>
      </c>
      <c r="P389" s="48"/>
      <c r="Q389" s="181">
        <v>30821</v>
      </c>
      <c r="R389" s="187">
        <v>30821</v>
      </c>
      <c r="S389" s="177">
        <v>32053.84</v>
      </c>
      <c r="T389" s="177">
        <v>33286.68</v>
      </c>
      <c r="U389" s="178">
        <v>6746.38</v>
      </c>
      <c r="W389" s="182">
        <v>500</v>
      </c>
      <c r="X389" s="205">
        <v>29990</v>
      </c>
    </row>
    <row r="390" spans="1:24">
      <c r="A390" s="127" t="s">
        <v>363</v>
      </c>
      <c r="B390" s="56" t="s">
        <v>761</v>
      </c>
      <c r="C390" s="5"/>
      <c r="D390" s="5"/>
      <c r="E390" s="6"/>
      <c r="F390" s="6"/>
      <c r="G390" s="6"/>
      <c r="H390" s="6"/>
      <c r="I390" s="7"/>
      <c r="J390" s="7"/>
      <c r="K390" s="6">
        <v>1</v>
      </c>
      <c r="L390" s="6"/>
      <c r="M390" s="7"/>
      <c r="N390" s="59">
        <f t="shared" si="15"/>
        <v>1</v>
      </c>
      <c r="O390" s="60"/>
      <c r="P390" s="48"/>
      <c r="Q390" s="175" t="s">
        <v>1782</v>
      </c>
      <c r="R390" s="176">
        <v>40000</v>
      </c>
      <c r="S390" s="177">
        <v>41600</v>
      </c>
      <c r="T390" s="177">
        <v>43200</v>
      </c>
      <c r="U390" s="178"/>
      <c r="W390" s="182">
        <v>500</v>
      </c>
      <c r="X390" s="176"/>
    </row>
    <row r="391" spans="1:24">
      <c r="A391" s="127" t="s">
        <v>364</v>
      </c>
      <c r="B391" s="56" t="s">
        <v>762</v>
      </c>
      <c r="C391" s="5"/>
      <c r="D391" s="5"/>
      <c r="E391" s="6"/>
      <c r="F391" s="6">
        <v>1</v>
      </c>
      <c r="G391" s="6"/>
      <c r="H391" s="6"/>
      <c r="I391" s="7"/>
      <c r="J391" s="7">
        <v>1</v>
      </c>
      <c r="K391" s="6"/>
      <c r="L391" s="6"/>
      <c r="M391" s="7">
        <v>1</v>
      </c>
      <c r="N391" s="59">
        <f t="shared" si="15"/>
        <v>3</v>
      </c>
      <c r="O391" s="60"/>
      <c r="P391" s="48"/>
      <c r="Q391" s="175" t="s">
        <v>1782</v>
      </c>
      <c r="R391" s="176">
        <v>40000</v>
      </c>
      <c r="S391" s="177">
        <v>41600</v>
      </c>
      <c r="T391" s="177">
        <v>43200</v>
      </c>
      <c r="U391" s="178"/>
      <c r="W391" s="182">
        <v>500</v>
      </c>
      <c r="X391" s="176"/>
    </row>
    <row r="392" spans="1:24">
      <c r="A392" s="127" t="s">
        <v>365</v>
      </c>
      <c r="B392" s="56" t="s">
        <v>763</v>
      </c>
      <c r="C392" s="5">
        <v>51</v>
      </c>
      <c r="D392" s="5"/>
      <c r="E392" s="6"/>
      <c r="F392" s="6">
        <v>8</v>
      </c>
      <c r="G392" s="6"/>
      <c r="H392" s="6"/>
      <c r="I392" s="7">
        <v>5</v>
      </c>
      <c r="J392" s="7"/>
      <c r="K392" s="6"/>
      <c r="L392" s="6">
        <v>2</v>
      </c>
      <c r="M392" s="7">
        <v>2</v>
      </c>
      <c r="N392" s="59">
        <f t="shared" si="15"/>
        <v>68</v>
      </c>
      <c r="O392" s="60">
        <v>1</v>
      </c>
      <c r="P392" s="48"/>
      <c r="Q392" s="181">
        <v>46150.533752817057</v>
      </c>
      <c r="R392" s="187">
        <v>46150.533752817057</v>
      </c>
      <c r="S392" s="177">
        <v>47996.555102929742</v>
      </c>
      <c r="T392" s="177">
        <v>49842.57645304242</v>
      </c>
      <c r="U392" s="178">
        <v>8429.2000000000007</v>
      </c>
      <c r="W392" s="182">
        <v>500</v>
      </c>
      <c r="X392" s="205">
        <v>46990</v>
      </c>
    </row>
    <row r="393" spans="1:24">
      <c r="A393" s="127" t="s">
        <v>366</v>
      </c>
      <c r="B393" s="56" t="s">
        <v>764</v>
      </c>
      <c r="C393" s="5">
        <v>31</v>
      </c>
      <c r="D393" s="5"/>
      <c r="E393" s="6"/>
      <c r="F393" s="6">
        <v>27</v>
      </c>
      <c r="G393" s="6"/>
      <c r="H393" s="6"/>
      <c r="I393" s="7"/>
      <c r="J393" s="7">
        <v>1</v>
      </c>
      <c r="K393" s="6">
        <v>1</v>
      </c>
      <c r="L393" s="6">
        <v>1</v>
      </c>
      <c r="M393" s="7">
        <v>3</v>
      </c>
      <c r="N393" s="59">
        <f t="shared" si="15"/>
        <v>64</v>
      </c>
      <c r="O393" s="60">
        <v>1</v>
      </c>
      <c r="P393" s="48"/>
      <c r="Q393" s="181">
        <v>49964.129333174926</v>
      </c>
      <c r="R393" s="187">
        <v>49964.129333174926</v>
      </c>
      <c r="S393" s="177">
        <v>51962.694506501924</v>
      </c>
      <c r="T393" s="177">
        <v>53961.259679828916</v>
      </c>
      <c r="U393" s="178">
        <v>9834.5400000000009</v>
      </c>
      <c r="W393" s="182">
        <v>500</v>
      </c>
      <c r="X393" s="205">
        <v>49990</v>
      </c>
    </row>
    <row r="394" spans="1:24">
      <c r="A394" s="123" t="s">
        <v>367</v>
      </c>
      <c r="B394" s="56" t="s">
        <v>765</v>
      </c>
      <c r="C394" s="5"/>
      <c r="D394" s="5"/>
      <c r="E394" s="6"/>
      <c r="F394" s="6"/>
      <c r="G394" s="6"/>
      <c r="H394" s="6"/>
      <c r="I394" s="7">
        <v>1</v>
      </c>
      <c r="J394" s="7"/>
      <c r="K394" s="6"/>
      <c r="L394" s="6">
        <v>2</v>
      </c>
      <c r="M394" s="7"/>
      <c r="N394" s="59">
        <f t="shared" si="15"/>
        <v>3</v>
      </c>
      <c r="O394" s="60"/>
      <c r="P394" s="48"/>
      <c r="Q394" s="175" t="s">
        <v>1782</v>
      </c>
      <c r="R394" s="176">
        <v>40000</v>
      </c>
      <c r="S394" s="177">
        <v>41600</v>
      </c>
      <c r="T394" s="177">
        <v>43200</v>
      </c>
      <c r="U394" s="178"/>
      <c r="W394" s="182">
        <v>500</v>
      </c>
      <c r="X394" s="176"/>
    </row>
    <row r="395" spans="1:24">
      <c r="A395" s="123" t="s">
        <v>368</v>
      </c>
      <c r="B395" s="56" t="s">
        <v>766</v>
      </c>
      <c r="C395" s="5"/>
      <c r="D395" s="5"/>
      <c r="E395" s="6"/>
      <c r="F395" s="6"/>
      <c r="G395" s="6"/>
      <c r="H395" s="6"/>
      <c r="I395" s="7"/>
      <c r="J395" s="7">
        <v>1</v>
      </c>
      <c r="K395" s="6"/>
      <c r="L395" s="6">
        <v>2</v>
      </c>
      <c r="M395" s="7">
        <v>1</v>
      </c>
      <c r="N395" s="59">
        <f t="shared" si="15"/>
        <v>4</v>
      </c>
      <c r="O395" s="60"/>
      <c r="P395" s="48"/>
      <c r="Q395" s="175" t="s">
        <v>1782</v>
      </c>
      <c r="R395" s="176">
        <v>40000</v>
      </c>
      <c r="S395" s="177">
        <v>41600</v>
      </c>
      <c r="T395" s="177">
        <v>43200</v>
      </c>
      <c r="U395" s="178"/>
      <c r="W395" s="186">
        <v>500</v>
      </c>
      <c r="X395" s="176"/>
    </row>
    <row r="396" spans="1:24">
      <c r="A396" s="123" t="s">
        <v>369</v>
      </c>
      <c r="B396" s="56" t="s">
        <v>767</v>
      </c>
      <c r="C396" s="5"/>
      <c r="D396" s="5"/>
      <c r="E396" s="6"/>
      <c r="F396" s="6">
        <v>7</v>
      </c>
      <c r="G396" s="6"/>
      <c r="H396" s="6"/>
      <c r="I396" s="7">
        <v>1</v>
      </c>
      <c r="J396" s="7"/>
      <c r="K396" s="6"/>
      <c r="L396" s="6">
        <v>5</v>
      </c>
      <c r="M396" s="7">
        <v>1</v>
      </c>
      <c r="N396" s="59">
        <f t="shared" si="15"/>
        <v>14</v>
      </c>
      <c r="O396" s="60"/>
      <c r="P396" s="48"/>
      <c r="Q396" s="175" t="s">
        <v>1782</v>
      </c>
      <c r="R396" s="176">
        <v>65000</v>
      </c>
      <c r="S396" s="177">
        <v>67600</v>
      </c>
      <c r="T396" s="177">
        <v>70200</v>
      </c>
      <c r="U396" s="178"/>
      <c r="W396" s="186">
        <v>500</v>
      </c>
      <c r="X396" s="176"/>
    </row>
    <row r="397" spans="1:24">
      <c r="A397" s="123" t="s">
        <v>370</v>
      </c>
      <c r="B397" s="56" t="s">
        <v>768</v>
      </c>
      <c r="C397" s="5"/>
      <c r="D397" s="5"/>
      <c r="E397" s="6"/>
      <c r="F397" s="6">
        <v>2</v>
      </c>
      <c r="G397" s="6"/>
      <c r="H397" s="6"/>
      <c r="I397" s="7">
        <v>1</v>
      </c>
      <c r="J397" s="7">
        <v>1</v>
      </c>
      <c r="K397" s="6"/>
      <c r="L397" s="6">
        <v>2</v>
      </c>
      <c r="M397" s="7">
        <v>1</v>
      </c>
      <c r="N397" s="59">
        <f t="shared" si="15"/>
        <v>7</v>
      </c>
      <c r="O397" s="60"/>
      <c r="P397" s="48"/>
      <c r="Q397" s="175" t="s">
        <v>1782</v>
      </c>
      <c r="R397" s="176">
        <v>65000</v>
      </c>
      <c r="S397" s="177">
        <v>67600</v>
      </c>
      <c r="T397" s="177">
        <v>70200</v>
      </c>
      <c r="U397" s="178"/>
      <c r="W397" s="186">
        <v>500</v>
      </c>
      <c r="X397" s="176"/>
    </row>
    <row r="398" spans="1:24">
      <c r="A398" s="160" t="s">
        <v>371</v>
      </c>
      <c r="B398" s="56" t="s">
        <v>769</v>
      </c>
      <c r="C398" s="5"/>
      <c r="D398" s="5"/>
      <c r="E398" s="6"/>
      <c r="F398" s="6">
        <v>2</v>
      </c>
      <c r="G398" s="6"/>
      <c r="H398" s="6"/>
      <c r="I398" s="7">
        <v>2</v>
      </c>
      <c r="J398" s="7">
        <v>1</v>
      </c>
      <c r="K398" s="6"/>
      <c r="L398" s="6">
        <v>1</v>
      </c>
      <c r="M398" s="7"/>
      <c r="N398" s="59">
        <f t="shared" si="15"/>
        <v>6</v>
      </c>
      <c r="O398" s="60"/>
      <c r="P398" s="48"/>
      <c r="Q398" s="175" t="s">
        <v>1782</v>
      </c>
      <c r="R398" s="206">
        <v>25000</v>
      </c>
      <c r="S398" s="177">
        <v>26000</v>
      </c>
      <c r="T398" s="177">
        <v>27000</v>
      </c>
      <c r="U398" s="178"/>
      <c r="W398" s="186">
        <v>500</v>
      </c>
      <c r="X398" s="176"/>
    </row>
    <row r="399" spans="1:24">
      <c r="A399" s="160" t="s">
        <v>372</v>
      </c>
      <c r="B399" s="56" t="s">
        <v>769</v>
      </c>
      <c r="C399" s="5"/>
      <c r="D399" s="5"/>
      <c r="E399" s="6"/>
      <c r="F399" s="6">
        <v>4</v>
      </c>
      <c r="G399" s="6"/>
      <c r="H399" s="6"/>
      <c r="I399" s="7"/>
      <c r="J399" s="7">
        <v>1</v>
      </c>
      <c r="K399" s="6"/>
      <c r="L399" s="6"/>
      <c r="M399" s="7">
        <v>1</v>
      </c>
      <c r="N399" s="59">
        <f t="shared" si="15"/>
        <v>6</v>
      </c>
      <c r="O399" s="60"/>
      <c r="P399" s="48"/>
      <c r="Q399" s="175" t="s">
        <v>1782</v>
      </c>
      <c r="R399" s="176">
        <v>28000</v>
      </c>
      <c r="S399" s="177">
        <v>29120</v>
      </c>
      <c r="T399" s="177">
        <v>30240</v>
      </c>
      <c r="U399" s="178"/>
      <c r="W399" s="186">
        <v>500</v>
      </c>
      <c r="X399" s="176"/>
    </row>
    <row r="400" spans="1:24">
      <c r="A400" s="161" t="s">
        <v>373</v>
      </c>
      <c r="B400" s="56" t="s">
        <v>770</v>
      </c>
      <c r="C400" s="5"/>
      <c r="D400" s="5"/>
      <c r="E400" s="6"/>
      <c r="F400" s="6">
        <v>1</v>
      </c>
      <c r="G400" s="6"/>
      <c r="H400" s="6"/>
      <c r="I400" s="7">
        <v>1</v>
      </c>
      <c r="J400" s="7"/>
      <c r="K400" s="6"/>
      <c r="L400" s="6">
        <v>1</v>
      </c>
      <c r="M400" s="7">
        <v>1</v>
      </c>
      <c r="N400" s="59">
        <f t="shared" si="15"/>
        <v>4</v>
      </c>
      <c r="O400" s="60"/>
      <c r="P400" s="48"/>
      <c r="Q400" s="175" t="s">
        <v>1782</v>
      </c>
      <c r="R400" s="176">
        <v>25000</v>
      </c>
      <c r="S400" s="177">
        <v>26000</v>
      </c>
      <c r="T400" s="177">
        <v>27000</v>
      </c>
      <c r="U400" s="178"/>
      <c r="W400" s="186">
        <v>500</v>
      </c>
      <c r="X400" s="176"/>
    </row>
    <row r="401" spans="1:24">
      <c r="A401" s="161" t="s">
        <v>374</v>
      </c>
      <c r="B401" s="56" t="s">
        <v>771</v>
      </c>
      <c r="C401" s="5"/>
      <c r="D401" s="5"/>
      <c r="E401" s="6"/>
      <c r="F401" s="6">
        <v>1</v>
      </c>
      <c r="G401" s="6"/>
      <c r="H401" s="6"/>
      <c r="I401" s="7"/>
      <c r="J401" s="7"/>
      <c r="K401" s="6"/>
      <c r="L401" s="6"/>
      <c r="M401" s="7">
        <v>1</v>
      </c>
      <c r="N401" s="59">
        <f t="shared" si="15"/>
        <v>2</v>
      </c>
      <c r="O401" s="60"/>
      <c r="P401" s="48"/>
      <c r="Q401" s="175" t="s">
        <v>1782</v>
      </c>
      <c r="R401" s="176">
        <v>30000</v>
      </c>
      <c r="S401" s="177">
        <v>31200</v>
      </c>
      <c r="T401" s="177">
        <v>32400</v>
      </c>
      <c r="U401" s="178"/>
      <c r="W401" s="186">
        <v>500</v>
      </c>
      <c r="X401" s="176"/>
    </row>
    <row r="402" spans="1:24">
      <c r="A402" s="162" t="s">
        <v>375</v>
      </c>
      <c r="B402" s="56" t="s">
        <v>772</v>
      </c>
      <c r="C402" s="5">
        <v>14</v>
      </c>
      <c r="D402" s="5"/>
      <c r="E402" s="6"/>
      <c r="F402" s="6">
        <v>16</v>
      </c>
      <c r="G402" s="6"/>
      <c r="H402" s="6"/>
      <c r="I402" s="7">
        <v>2</v>
      </c>
      <c r="J402" s="7"/>
      <c r="K402" s="6"/>
      <c r="L402" s="6">
        <v>1</v>
      </c>
      <c r="M402" s="7">
        <v>1</v>
      </c>
      <c r="N402" s="59">
        <f t="shared" si="15"/>
        <v>34</v>
      </c>
      <c r="O402" s="60"/>
      <c r="P402" s="48"/>
      <c r="Q402" s="181">
        <v>40793.307112641975</v>
      </c>
      <c r="R402" s="187">
        <v>40793.307112641975</v>
      </c>
      <c r="S402" s="177">
        <v>42425.039397147651</v>
      </c>
      <c r="T402" s="177">
        <v>44056.771681653336</v>
      </c>
      <c r="U402" s="178">
        <v>8691.24</v>
      </c>
      <c r="W402" s="186">
        <v>500</v>
      </c>
      <c r="X402" s="205">
        <v>39990</v>
      </c>
    </row>
    <row r="403" spans="1:24">
      <c r="A403" s="162" t="s">
        <v>376</v>
      </c>
      <c r="B403" s="56" t="s">
        <v>773</v>
      </c>
      <c r="C403" s="5">
        <v>146</v>
      </c>
      <c r="D403" s="5"/>
      <c r="E403" s="6"/>
      <c r="F403" s="6">
        <v>33</v>
      </c>
      <c r="G403" s="6"/>
      <c r="H403" s="6"/>
      <c r="I403" s="7">
        <v>7</v>
      </c>
      <c r="J403" s="7">
        <v>4</v>
      </c>
      <c r="K403" s="6">
        <v>1</v>
      </c>
      <c r="L403" s="6">
        <v>1</v>
      </c>
      <c r="M403" s="7">
        <v>3</v>
      </c>
      <c r="N403" s="59">
        <f t="shared" si="15"/>
        <v>195</v>
      </c>
      <c r="O403" s="60">
        <v>14</v>
      </c>
      <c r="P403" s="48"/>
      <c r="Q403" s="181">
        <v>32099.651498472376</v>
      </c>
      <c r="R403" s="187">
        <v>32099.651498472376</v>
      </c>
      <c r="S403" s="177">
        <v>33383.637558411268</v>
      </c>
      <c r="T403" s="177">
        <v>34667.623618350168</v>
      </c>
      <c r="U403" s="178">
        <v>6419.61</v>
      </c>
      <c r="W403" s="186">
        <v>500</v>
      </c>
      <c r="X403" s="205">
        <v>31990</v>
      </c>
    </row>
    <row r="404" spans="1:24">
      <c r="A404" s="124" t="s">
        <v>1810</v>
      </c>
      <c r="B404" s="56" t="s">
        <v>1825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59">
        <f t="shared" si="15"/>
        <v>0</v>
      </c>
      <c r="O404" s="60">
        <v>5</v>
      </c>
      <c r="P404" s="48"/>
      <c r="Q404" s="181">
        <v>39763.772727272728</v>
      </c>
      <c r="R404" s="187">
        <v>39763.772727272728</v>
      </c>
      <c r="S404" s="177">
        <v>41354.323636363639</v>
      </c>
      <c r="T404" s="177">
        <v>42944.874545454542</v>
      </c>
      <c r="U404" s="178"/>
      <c r="V404" s="176"/>
      <c r="W404" s="186">
        <v>500</v>
      </c>
    </row>
    <row r="405" spans="1:24">
      <c r="A405" s="124" t="s">
        <v>1808</v>
      </c>
      <c r="B405" s="56" t="s">
        <v>1822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15"/>
        <v>0</v>
      </c>
      <c r="O405" s="60">
        <v>5</v>
      </c>
      <c r="P405" s="48"/>
      <c r="Q405" s="181">
        <v>42150.13636363636</v>
      </c>
      <c r="R405" s="187">
        <v>42150.13636363636</v>
      </c>
      <c r="S405" s="177">
        <v>43836.141818181815</v>
      </c>
      <c r="T405" s="177">
        <v>45522.14727272727</v>
      </c>
      <c r="U405" s="178"/>
      <c r="V405" s="176"/>
      <c r="W405" s="186">
        <v>500</v>
      </c>
    </row>
    <row r="406" spans="1:24">
      <c r="A406" s="143" t="s">
        <v>1809</v>
      </c>
      <c r="B406" s="56" t="s">
        <v>1823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59">
        <f t="shared" si="15"/>
        <v>0</v>
      </c>
      <c r="O406" s="60">
        <v>5</v>
      </c>
      <c r="P406" s="48"/>
      <c r="Q406" s="181">
        <v>45331.954545454544</v>
      </c>
      <c r="R406" s="187">
        <v>45331.954545454544</v>
      </c>
      <c r="S406" s="177">
        <v>47145.232727272727</v>
      </c>
      <c r="T406" s="177">
        <v>48958.51090909091</v>
      </c>
      <c r="U406" s="178"/>
      <c r="V406" s="176"/>
      <c r="W406" s="186">
        <v>500</v>
      </c>
    </row>
    <row r="407" spans="1:24">
      <c r="A407" s="160" t="s">
        <v>377</v>
      </c>
      <c r="B407" s="56" t="s">
        <v>774</v>
      </c>
      <c r="C407" s="5"/>
      <c r="D407" s="5"/>
      <c r="E407" s="6"/>
      <c r="F407" s="6">
        <v>1</v>
      </c>
      <c r="G407" s="6"/>
      <c r="H407" s="6"/>
      <c r="I407" s="7"/>
      <c r="J407" s="7"/>
      <c r="K407" s="6"/>
      <c r="L407" s="6"/>
      <c r="M407" s="7"/>
      <c r="N407" s="59">
        <f t="shared" si="15"/>
        <v>1</v>
      </c>
      <c r="O407" s="60"/>
      <c r="P407" s="48"/>
      <c r="Q407" s="175" t="s">
        <v>1782</v>
      </c>
      <c r="R407" s="176">
        <v>45000</v>
      </c>
      <c r="S407" s="177">
        <v>46800</v>
      </c>
      <c r="T407" s="177">
        <v>48600</v>
      </c>
      <c r="U407" s="178"/>
      <c r="V407" s="176"/>
      <c r="W407" s="186">
        <v>500</v>
      </c>
    </row>
    <row r="408" spans="1:24">
      <c r="A408" s="161" t="s">
        <v>379</v>
      </c>
      <c r="B408" s="56" t="s">
        <v>774</v>
      </c>
      <c r="C408" s="5">
        <v>13</v>
      </c>
      <c r="D408" s="5"/>
      <c r="E408" s="6"/>
      <c r="F408" s="6">
        <v>7</v>
      </c>
      <c r="G408" s="6"/>
      <c r="H408" s="6"/>
      <c r="I408" s="7"/>
      <c r="J408" s="7">
        <v>1</v>
      </c>
      <c r="K408" s="6">
        <v>1</v>
      </c>
      <c r="L408" s="6"/>
      <c r="M408" s="7">
        <v>3</v>
      </c>
      <c r="N408" s="59">
        <f t="shared" si="15"/>
        <v>25</v>
      </c>
      <c r="O408" s="60"/>
      <c r="P408" s="48"/>
      <c r="Q408" s="181">
        <v>52494.176938714467</v>
      </c>
      <c r="R408" s="187">
        <v>52494.176938714467</v>
      </c>
      <c r="S408" s="177">
        <v>54593.944016263049</v>
      </c>
      <c r="T408" s="177">
        <v>56693.711093811624</v>
      </c>
      <c r="U408" s="178"/>
      <c r="V408" s="176"/>
      <c r="W408" s="186">
        <v>500</v>
      </c>
    </row>
    <row r="409" spans="1:24">
      <c r="A409" s="123" t="s">
        <v>380</v>
      </c>
      <c r="B409" s="56" t="s">
        <v>775</v>
      </c>
      <c r="C409" s="5"/>
      <c r="D409" s="5"/>
      <c r="E409" s="6"/>
      <c r="F409" s="6"/>
      <c r="G409" s="6"/>
      <c r="H409" s="6"/>
      <c r="I409" s="7">
        <v>1</v>
      </c>
      <c r="J409" s="7"/>
      <c r="K409" s="6">
        <v>1</v>
      </c>
      <c r="L409" s="6">
        <v>1</v>
      </c>
      <c r="M409" s="7">
        <v>1</v>
      </c>
      <c r="N409" s="59">
        <f t="shared" si="15"/>
        <v>4</v>
      </c>
      <c r="O409" s="60"/>
      <c r="P409" s="48"/>
      <c r="Q409" s="175" t="s">
        <v>1782</v>
      </c>
      <c r="R409" s="176">
        <v>40000</v>
      </c>
      <c r="S409" s="177">
        <v>41600</v>
      </c>
      <c r="T409" s="177">
        <v>43200</v>
      </c>
      <c r="U409" s="178"/>
      <c r="V409" s="176"/>
      <c r="W409" s="186">
        <v>500</v>
      </c>
    </row>
    <row r="410" spans="1:24">
      <c r="A410" s="143" t="s">
        <v>381</v>
      </c>
      <c r="B410" s="56" t="s">
        <v>776</v>
      </c>
      <c r="C410" s="5"/>
      <c r="D410" s="5"/>
      <c r="E410" s="6"/>
      <c r="F410" s="6">
        <v>1</v>
      </c>
      <c r="G410" s="6"/>
      <c r="H410" s="6"/>
      <c r="I410" s="7">
        <v>1</v>
      </c>
      <c r="J410" s="7">
        <v>1</v>
      </c>
      <c r="K410" s="6"/>
      <c r="L410" s="6">
        <v>1</v>
      </c>
      <c r="M410" s="7">
        <v>1</v>
      </c>
      <c r="N410" s="59">
        <f t="shared" si="15"/>
        <v>5</v>
      </c>
      <c r="O410" s="60"/>
      <c r="P410" s="48"/>
      <c r="Q410" s="175" t="s">
        <v>1782</v>
      </c>
      <c r="R410" s="176">
        <v>40000</v>
      </c>
      <c r="S410" s="177">
        <v>41600</v>
      </c>
      <c r="T410" s="177">
        <v>43200</v>
      </c>
      <c r="U410" s="178"/>
      <c r="V410" s="176"/>
      <c r="W410" s="186">
        <v>500</v>
      </c>
    </row>
    <row r="411" spans="1:24">
      <c r="A411" s="163" t="s">
        <v>382</v>
      </c>
      <c r="B411" s="56" t="s">
        <v>777</v>
      </c>
      <c r="C411" s="5"/>
      <c r="D411" s="5"/>
      <c r="E411" s="6"/>
      <c r="F411" s="6"/>
      <c r="G411" s="6">
        <v>1</v>
      </c>
      <c r="H411" s="6"/>
      <c r="I411" s="7"/>
      <c r="J411" s="7">
        <v>1</v>
      </c>
      <c r="K411" s="6"/>
      <c r="L411" s="6"/>
      <c r="M411" s="7"/>
      <c r="N411" s="59">
        <f t="shared" si="15"/>
        <v>2</v>
      </c>
      <c r="O411" s="60"/>
      <c r="P411" s="48"/>
      <c r="Q411" s="175" t="s">
        <v>1782</v>
      </c>
      <c r="R411" s="176">
        <v>50000</v>
      </c>
      <c r="S411" s="177">
        <v>52000</v>
      </c>
      <c r="T411" s="177">
        <v>54000</v>
      </c>
      <c r="U411" s="178"/>
      <c r="V411" s="176"/>
      <c r="W411" s="186">
        <v>500</v>
      </c>
    </row>
    <row r="412" spans="1:24">
      <c r="A412" s="163" t="s">
        <v>383</v>
      </c>
      <c r="B412" s="56" t="s">
        <v>778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>
        <v>1</v>
      </c>
      <c r="N412" s="59">
        <f t="shared" si="15"/>
        <v>1</v>
      </c>
      <c r="O412" s="60"/>
      <c r="P412" s="48"/>
      <c r="Q412" s="181">
        <v>56989.324165687103</v>
      </c>
      <c r="R412" s="192">
        <v>54139.857957402746</v>
      </c>
      <c r="S412" s="177">
        <v>56305.452275698859</v>
      </c>
      <c r="T412" s="177">
        <v>58471.046593994964</v>
      </c>
      <c r="U412" s="178"/>
      <c r="V412" s="176"/>
      <c r="W412" s="186">
        <v>500</v>
      </c>
    </row>
    <row r="413" spans="1:24">
      <c r="A413" s="123" t="s">
        <v>384</v>
      </c>
      <c r="B413" s="56" t="s">
        <v>779</v>
      </c>
      <c r="C413" s="5">
        <v>19</v>
      </c>
      <c r="D413" s="5"/>
      <c r="E413" s="6"/>
      <c r="F413" s="6">
        <v>2</v>
      </c>
      <c r="G413" s="6"/>
      <c r="H413" s="6"/>
      <c r="I413" s="7">
        <v>1</v>
      </c>
      <c r="J413" s="7"/>
      <c r="K413" s="6"/>
      <c r="L413" s="6">
        <v>1</v>
      </c>
      <c r="M413" s="7">
        <v>1</v>
      </c>
      <c r="N413" s="59">
        <f t="shared" si="15"/>
        <v>24</v>
      </c>
      <c r="O413" s="60"/>
      <c r="P413" s="48"/>
      <c r="Q413" s="181">
        <v>80886.471339026728</v>
      </c>
      <c r="R413" s="187">
        <v>80886.471339026728</v>
      </c>
      <c r="S413" s="177">
        <v>84121.930192587795</v>
      </c>
      <c r="T413" s="177">
        <v>87357.389046148863</v>
      </c>
      <c r="U413" s="178"/>
      <c r="V413" s="176"/>
      <c r="W413" s="186">
        <v>500</v>
      </c>
    </row>
    <row r="414" spans="1:24">
      <c r="A414" s="123" t="s">
        <v>385</v>
      </c>
      <c r="B414" s="56" t="s">
        <v>780</v>
      </c>
      <c r="C414" s="5">
        <v>11</v>
      </c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59">
        <f t="shared" si="15"/>
        <v>12</v>
      </c>
      <c r="O414" s="60"/>
      <c r="P414" s="48"/>
      <c r="Q414" s="181">
        <v>101776.37741443558</v>
      </c>
      <c r="R414" s="187">
        <v>101776.37741443558</v>
      </c>
      <c r="S414" s="177">
        <v>105847.432511013</v>
      </c>
      <c r="T414" s="177">
        <v>109918.48760759043</v>
      </c>
      <c r="U414" s="178"/>
      <c r="V414" s="176"/>
      <c r="W414" s="186">
        <v>500</v>
      </c>
    </row>
    <row r="415" spans="1:24">
      <c r="A415" s="143" t="s">
        <v>386</v>
      </c>
      <c r="B415" s="56" t="s">
        <v>781</v>
      </c>
      <c r="C415" s="5">
        <v>1</v>
      </c>
      <c r="D415" s="5"/>
      <c r="E415" s="6"/>
      <c r="F415" s="6"/>
      <c r="G415" s="6">
        <v>1</v>
      </c>
      <c r="H415" s="6"/>
      <c r="I415" s="7">
        <v>1</v>
      </c>
      <c r="J415" s="7">
        <v>1</v>
      </c>
      <c r="K415" s="6"/>
      <c r="L415" s="6">
        <v>1</v>
      </c>
      <c r="M415" s="7"/>
      <c r="N415" s="59">
        <f t="shared" si="15"/>
        <v>5</v>
      </c>
      <c r="O415" s="60"/>
      <c r="P415" s="48"/>
      <c r="Q415" s="175" t="s">
        <v>1782</v>
      </c>
      <c r="R415" s="176">
        <v>30000</v>
      </c>
      <c r="S415" s="177">
        <v>31200</v>
      </c>
      <c r="T415" s="177">
        <v>32400</v>
      </c>
      <c r="U415" s="178"/>
      <c r="V415" s="176"/>
      <c r="W415" s="186">
        <v>500</v>
      </c>
    </row>
    <row r="416" spans="1:24">
      <c r="A416" s="143" t="s">
        <v>1497</v>
      </c>
      <c r="B416" s="56" t="s">
        <v>781</v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 t="shared" si="15"/>
        <v>0</v>
      </c>
      <c r="O416" s="60"/>
      <c r="P416" s="48"/>
      <c r="Q416" s="195">
        <v>54976.288557568034</v>
      </c>
      <c r="R416" s="176">
        <v>54431</v>
      </c>
      <c r="S416" s="177">
        <v>56608.24</v>
      </c>
      <c r="T416" s="177">
        <v>58785.479999999996</v>
      </c>
      <c r="U416" s="178"/>
      <c r="V416" s="176"/>
      <c r="W416" s="186">
        <v>500</v>
      </c>
    </row>
    <row r="417" spans="1:23">
      <c r="A417" s="153" t="s">
        <v>387</v>
      </c>
      <c r="B417" s="56" t="s">
        <v>782</v>
      </c>
      <c r="C417" s="5">
        <v>1</v>
      </c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59">
        <f t="shared" si="15"/>
        <v>1</v>
      </c>
      <c r="O417" s="60"/>
      <c r="P417" s="48"/>
      <c r="Q417" s="175" t="s">
        <v>1782</v>
      </c>
      <c r="R417" s="176">
        <v>30000</v>
      </c>
      <c r="S417" s="177">
        <v>31200</v>
      </c>
      <c r="T417" s="177">
        <v>32400</v>
      </c>
      <c r="U417" s="178"/>
      <c r="V417" s="176"/>
      <c r="W417" s="186">
        <v>500</v>
      </c>
    </row>
    <row r="418" spans="1:23">
      <c r="A418" s="153" t="s">
        <v>388</v>
      </c>
      <c r="B418" s="56" t="s">
        <v>783</v>
      </c>
      <c r="C418" s="5"/>
      <c r="D418" s="5">
        <v>1</v>
      </c>
      <c r="E418" s="6"/>
      <c r="F418" s="6"/>
      <c r="G418" s="6"/>
      <c r="H418" s="6">
        <v>1</v>
      </c>
      <c r="I418" s="7"/>
      <c r="J418" s="7"/>
      <c r="K418" s="6"/>
      <c r="L418" s="6"/>
      <c r="M418" s="7"/>
      <c r="N418" s="59">
        <f t="shared" si="15"/>
        <v>2</v>
      </c>
      <c r="O418" s="60"/>
      <c r="P418" s="48"/>
      <c r="Q418" s="175" t="s">
        <v>1782</v>
      </c>
      <c r="R418" s="176">
        <v>30000</v>
      </c>
      <c r="S418" s="177">
        <v>31200</v>
      </c>
      <c r="T418" s="177">
        <v>32400</v>
      </c>
      <c r="U418" s="178"/>
      <c r="V418" s="176"/>
      <c r="W418" s="186">
        <v>500</v>
      </c>
    </row>
    <row r="419" spans="1:23" ht="40.5" customHeight="1">
      <c r="A419" s="164" t="s">
        <v>391</v>
      </c>
      <c r="B419" s="56" t="s">
        <v>1849</v>
      </c>
      <c r="C419" s="5"/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59">
        <f>SUM(N386:N418)</f>
        <v>513</v>
      </c>
      <c r="O419" s="60"/>
      <c r="P419" s="48"/>
      <c r="R419" s="176"/>
      <c r="S419" s="177"/>
      <c r="T419" s="177"/>
      <c r="U419" s="171"/>
      <c r="V419" s="176"/>
      <c r="W419" s="71"/>
    </row>
    <row r="420" spans="1:23">
      <c r="A420" s="127" t="s">
        <v>392</v>
      </c>
      <c r="B420" s="56" t="s">
        <v>784</v>
      </c>
      <c r="C420" s="5">
        <v>43</v>
      </c>
      <c r="D420" s="5"/>
      <c r="E420" s="6"/>
      <c r="F420" s="6">
        <v>196</v>
      </c>
      <c r="G420" s="6"/>
      <c r="H420" s="6"/>
      <c r="I420" s="7">
        <v>17</v>
      </c>
      <c r="J420" s="7">
        <v>3</v>
      </c>
      <c r="K420" s="6">
        <v>1</v>
      </c>
      <c r="L420" s="6">
        <v>22</v>
      </c>
      <c r="M420" s="7">
        <v>5</v>
      </c>
      <c r="N420" s="59">
        <f t="shared" ref="N420:N436" si="16">M420+K420+L420+J420+I420+H420+G420+F420+E420+D420+C420</f>
        <v>287</v>
      </c>
      <c r="O420" s="60"/>
      <c r="P420" s="48"/>
      <c r="Q420" s="181">
        <v>16035.596808446544</v>
      </c>
      <c r="R420" s="174">
        <v>16035.596808446544</v>
      </c>
      <c r="S420" s="207">
        <v>16677.020680784404</v>
      </c>
      <c r="T420" s="207">
        <v>17318.444553122266</v>
      </c>
      <c r="U420" s="178">
        <v>3199.58</v>
      </c>
      <c r="V420" s="176"/>
      <c r="W420" s="200">
        <v>500</v>
      </c>
    </row>
    <row r="421" spans="1:23">
      <c r="A421" s="127" t="s">
        <v>393</v>
      </c>
      <c r="B421" s="56" t="s">
        <v>785</v>
      </c>
      <c r="C421" s="5">
        <v>45</v>
      </c>
      <c r="D421" s="5"/>
      <c r="E421" s="6"/>
      <c r="F421" s="6">
        <v>106</v>
      </c>
      <c r="G421" s="6"/>
      <c r="H421" s="6"/>
      <c r="I421" s="7">
        <v>1</v>
      </c>
      <c r="J421" s="7">
        <v>2</v>
      </c>
      <c r="K421" s="6">
        <v>2</v>
      </c>
      <c r="L421" s="6">
        <v>2</v>
      </c>
      <c r="M421" s="7">
        <v>4</v>
      </c>
      <c r="N421" s="59">
        <f t="shared" si="16"/>
        <v>162</v>
      </c>
      <c r="O421" s="60"/>
      <c r="P421" s="48"/>
      <c r="Q421" s="181">
        <v>21917.208728307571</v>
      </c>
      <c r="R421" s="174">
        <v>21917.208728307571</v>
      </c>
      <c r="S421" s="207">
        <v>22793.897077439873</v>
      </c>
      <c r="T421" s="207">
        <v>23670.585426572175</v>
      </c>
      <c r="U421" s="178">
        <v>5067.4399999999996</v>
      </c>
      <c r="V421" s="176"/>
      <c r="W421" s="200">
        <v>500</v>
      </c>
    </row>
    <row r="422" spans="1:23">
      <c r="A422" s="127" t="s">
        <v>394</v>
      </c>
      <c r="B422" s="56" t="s">
        <v>786</v>
      </c>
      <c r="C422" s="5">
        <v>70</v>
      </c>
      <c r="D422" s="5"/>
      <c r="E422" s="6"/>
      <c r="F422" s="6">
        <v>147</v>
      </c>
      <c r="G422" s="6"/>
      <c r="H422" s="6"/>
      <c r="I422" s="7">
        <v>5</v>
      </c>
      <c r="J422" s="7">
        <v>4</v>
      </c>
      <c r="K422" s="6"/>
      <c r="L422" s="6">
        <v>1</v>
      </c>
      <c r="M422" s="7">
        <v>3</v>
      </c>
      <c r="N422" s="59">
        <f t="shared" si="16"/>
        <v>230</v>
      </c>
      <c r="O422" s="60"/>
      <c r="P422" s="48"/>
      <c r="Q422" s="181">
        <v>22889.510310267811</v>
      </c>
      <c r="R422" s="174">
        <v>22889.510310267811</v>
      </c>
      <c r="S422" s="207">
        <v>23805.090722678524</v>
      </c>
      <c r="T422" s="207">
        <v>24720.671135089236</v>
      </c>
      <c r="U422" s="178">
        <v>5236.99</v>
      </c>
      <c r="V422" s="176"/>
      <c r="W422" s="200">
        <v>500</v>
      </c>
    </row>
    <row r="423" spans="1:23">
      <c r="A423" s="127" t="s">
        <v>395</v>
      </c>
      <c r="B423" s="56" t="s">
        <v>787</v>
      </c>
      <c r="C423" s="5"/>
      <c r="D423" s="5"/>
      <c r="E423" s="6"/>
      <c r="F423" s="6"/>
      <c r="G423" s="6">
        <v>1</v>
      </c>
      <c r="H423" s="6"/>
      <c r="I423" s="7">
        <v>3</v>
      </c>
      <c r="J423" s="7"/>
      <c r="K423" s="6"/>
      <c r="L423" s="6"/>
      <c r="M423" s="7"/>
      <c r="N423" s="59">
        <f t="shared" si="16"/>
        <v>4</v>
      </c>
      <c r="O423" s="60"/>
      <c r="P423" s="48"/>
      <c r="Q423" s="181">
        <v>7199.9210291256977</v>
      </c>
      <c r="R423" s="176">
        <v>7199.9210291256977</v>
      </c>
      <c r="S423" s="177">
        <v>7487.9178702907257</v>
      </c>
      <c r="T423" s="177">
        <v>7775.9147114557536</v>
      </c>
      <c r="U423" s="178"/>
      <c r="V423" s="176"/>
      <c r="W423" s="200">
        <v>500</v>
      </c>
    </row>
    <row r="424" spans="1:23">
      <c r="A424" s="127" t="s">
        <v>396</v>
      </c>
      <c r="B424" s="56" t="s">
        <v>788</v>
      </c>
      <c r="C424" s="5"/>
      <c r="D424" s="5"/>
      <c r="E424" s="6"/>
      <c r="F424" s="6">
        <v>21</v>
      </c>
      <c r="G424" s="6"/>
      <c r="H424" s="6"/>
      <c r="I424" s="7">
        <v>1</v>
      </c>
      <c r="J424" s="7"/>
      <c r="K424" s="6"/>
      <c r="L424" s="6"/>
      <c r="M424" s="7">
        <v>3</v>
      </c>
      <c r="N424" s="59">
        <f t="shared" si="16"/>
        <v>25</v>
      </c>
      <c r="O424" s="60"/>
      <c r="P424" s="48"/>
      <c r="Q424" s="181">
        <v>7890.0382904480366</v>
      </c>
      <c r="R424" s="176">
        <v>7890.0382904480366</v>
      </c>
      <c r="S424" s="177">
        <v>8205.6398220659576</v>
      </c>
      <c r="T424" s="177">
        <v>8521.2413536838794</v>
      </c>
      <c r="U424" s="178"/>
      <c r="V424" s="176"/>
      <c r="W424" s="200">
        <v>500</v>
      </c>
    </row>
    <row r="425" spans="1:23">
      <c r="A425" s="128" t="s">
        <v>397</v>
      </c>
      <c r="B425" s="56" t="s">
        <v>789</v>
      </c>
      <c r="C425" s="5"/>
      <c r="D425" s="5"/>
      <c r="E425" s="6"/>
      <c r="F425" s="6">
        <v>4</v>
      </c>
      <c r="G425" s="6"/>
      <c r="H425" s="6"/>
      <c r="I425" s="7">
        <v>1</v>
      </c>
      <c r="J425" s="7">
        <v>3</v>
      </c>
      <c r="K425" s="6"/>
      <c r="L425" s="6">
        <v>2</v>
      </c>
      <c r="M425" s="7">
        <v>1</v>
      </c>
      <c r="N425" s="59">
        <f t="shared" si="16"/>
        <v>11</v>
      </c>
      <c r="O425" s="60"/>
      <c r="P425" s="48"/>
      <c r="Q425" s="175" t="s">
        <v>1782</v>
      </c>
      <c r="R425" s="185">
        <v>6599</v>
      </c>
      <c r="S425" s="177">
        <v>6862.96</v>
      </c>
      <c r="T425" s="177">
        <v>7126.92</v>
      </c>
      <c r="U425" s="178"/>
      <c r="V425" s="176"/>
      <c r="W425" s="200">
        <v>500</v>
      </c>
    </row>
    <row r="426" spans="1:23">
      <c r="A426" s="128" t="s">
        <v>398</v>
      </c>
      <c r="B426" s="56" t="s">
        <v>790</v>
      </c>
      <c r="C426" s="5"/>
      <c r="D426" s="5"/>
      <c r="E426" s="6"/>
      <c r="F426" s="6"/>
      <c r="G426" s="6"/>
      <c r="H426" s="6"/>
      <c r="I426" s="7"/>
      <c r="J426" s="7"/>
      <c r="K426" s="6"/>
      <c r="L426" s="6"/>
      <c r="M426" s="7">
        <v>1</v>
      </c>
      <c r="N426" s="59">
        <f t="shared" si="16"/>
        <v>1</v>
      </c>
      <c r="O426" s="60"/>
      <c r="P426" s="48"/>
      <c r="Q426" s="175" t="s">
        <v>1782</v>
      </c>
      <c r="R426" s="176">
        <v>5999</v>
      </c>
      <c r="S426" s="177">
        <v>6238.96</v>
      </c>
      <c r="T426" s="177">
        <v>6478.92</v>
      </c>
      <c r="U426" s="178"/>
      <c r="V426" s="176"/>
      <c r="W426" s="200">
        <v>500</v>
      </c>
    </row>
    <row r="427" spans="1:23">
      <c r="A427" s="127" t="s">
        <v>399</v>
      </c>
      <c r="B427" s="56" t="s">
        <v>791</v>
      </c>
      <c r="C427" s="5"/>
      <c r="D427" s="5"/>
      <c r="E427" s="6"/>
      <c r="F427" s="6">
        <v>2</v>
      </c>
      <c r="G427" s="6">
        <v>5</v>
      </c>
      <c r="H427" s="6"/>
      <c r="I427" s="7">
        <v>2</v>
      </c>
      <c r="J427" s="7">
        <v>3</v>
      </c>
      <c r="K427" s="6">
        <v>2</v>
      </c>
      <c r="L427" s="6">
        <v>2</v>
      </c>
      <c r="M427" s="7">
        <v>2</v>
      </c>
      <c r="N427" s="59">
        <f t="shared" si="16"/>
        <v>18</v>
      </c>
      <c r="O427" s="60"/>
      <c r="P427" s="48"/>
      <c r="Q427" s="181">
        <v>17385.606197683526</v>
      </c>
      <c r="R427" s="181">
        <v>17385.606197683526</v>
      </c>
      <c r="S427" s="177">
        <v>18081.030445590866</v>
      </c>
      <c r="T427" s="177">
        <v>18776.45469349821</v>
      </c>
      <c r="U427" s="178"/>
      <c r="V427" s="176"/>
      <c r="W427" s="200">
        <v>500</v>
      </c>
    </row>
    <row r="428" spans="1:23">
      <c r="A428" s="127" t="s">
        <v>400</v>
      </c>
      <c r="B428" s="56" t="s">
        <v>792</v>
      </c>
      <c r="C428" s="5"/>
      <c r="D428" s="5"/>
      <c r="E428" s="6"/>
      <c r="F428" s="6"/>
      <c r="G428" s="6"/>
      <c r="H428" s="6"/>
      <c r="I428" s="7">
        <v>1</v>
      </c>
      <c r="J428" s="7"/>
      <c r="K428" s="6"/>
      <c r="L428" s="6"/>
      <c r="M428" s="7">
        <v>1</v>
      </c>
      <c r="N428" s="59">
        <f t="shared" si="16"/>
        <v>2</v>
      </c>
      <c r="O428" s="60"/>
      <c r="P428" s="48"/>
      <c r="Q428" s="175" t="s">
        <v>1782</v>
      </c>
      <c r="R428" s="176">
        <v>10999</v>
      </c>
      <c r="S428" s="177">
        <v>11438.96</v>
      </c>
      <c r="T428" s="177">
        <v>11878.92</v>
      </c>
      <c r="U428" s="178"/>
      <c r="V428" s="176"/>
      <c r="W428" s="200">
        <v>500</v>
      </c>
    </row>
    <row r="429" spans="1:23">
      <c r="A429" s="127" t="s">
        <v>401</v>
      </c>
      <c r="B429" s="56" t="s">
        <v>793</v>
      </c>
      <c r="C429" s="5">
        <v>4</v>
      </c>
      <c r="D429" s="5"/>
      <c r="E429" s="6"/>
      <c r="F429" s="6">
        <v>8</v>
      </c>
      <c r="G429" s="6"/>
      <c r="H429" s="6"/>
      <c r="I429" s="7">
        <v>2</v>
      </c>
      <c r="J429" s="7">
        <v>3</v>
      </c>
      <c r="K429" s="6">
        <v>2</v>
      </c>
      <c r="L429" s="6"/>
      <c r="M429" s="7">
        <v>3</v>
      </c>
      <c r="N429" s="59">
        <f t="shared" si="16"/>
        <v>22</v>
      </c>
      <c r="O429" s="60"/>
      <c r="P429" s="48"/>
      <c r="Q429" s="181">
        <v>12473.574901724722</v>
      </c>
      <c r="R429" s="181">
        <v>12473.574901724722</v>
      </c>
      <c r="S429" s="177">
        <v>12972.51789779371</v>
      </c>
      <c r="T429" s="177">
        <v>13471.460893862699</v>
      </c>
      <c r="U429" s="178"/>
      <c r="V429" s="176"/>
      <c r="W429" s="200">
        <v>500</v>
      </c>
    </row>
    <row r="430" spans="1:23">
      <c r="A430" s="123" t="s">
        <v>402</v>
      </c>
      <c r="B430" s="56" t="s">
        <v>794</v>
      </c>
      <c r="C430" s="5">
        <v>1</v>
      </c>
      <c r="D430" s="5"/>
      <c r="E430" s="6"/>
      <c r="F430" s="6">
        <v>34</v>
      </c>
      <c r="G430" s="6"/>
      <c r="H430" s="6"/>
      <c r="I430" s="7">
        <v>4</v>
      </c>
      <c r="J430" s="7">
        <v>1</v>
      </c>
      <c r="K430" s="6">
        <v>2</v>
      </c>
      <c r="L430" s="6">
        <v>19</v>
      </c>
      <c r="M430" s="7">
        <v>2</v>
      </c>
      <c r="N430" s="59">
        <f t="shared" si="16"/>
        <v>63</v>
      </c>
      <c r="O430" s="60"/>
      <c r="P430" s="48"/>
      <c r="Q430" s="181">
        <v>9014.0958506441748</v>
      </c>
      <c r="R430" s="181">
        <v>9014.0958506441748</v>
      </c>
      <c r="S430" s="177">
        <v>9374.6596846699413</v>
      </c>
      <c r="T430" s="177">
        <v>9735.2235186957096</v>
      </c>
      <c r="U430" s="178"/>
      <c r="V430" s="176"/>
      <c r="W430" s="200">
        <v>500</v>
      </c>
    </row>
    <row r="431" spans="1:23">
      <c r="A431" s="123" t="s">
        <v>403</v>
      </c>
      <c r="B431" s="56" t="s">
        <v>795</v>
      </c>
      <c r="C431" s="5">
        <v>9</v>
      </c>
      <c r="D431" s="5"/>
      <c r="E431" s="6"/>
      <c r="F431" s="6">
        <v>23</v>
      </c>
      <c r="G431" s="6"/>
      <c r="H431" s="6"/>
      <c r="I431" s="7">
        <v>1</v>
      </c>
      <c r="J431" s="7">
        <v>3</v>
      </c>
      <c r="K431" s="6">
        <v>2</v>
      </c>
      <c r="L431" s="6">
        <v>3</v>
      </c>
      <c r="M431" s="7">
        <v>1</v>
      </c>
      <c r="N431" s="59">
        <f t="shared" si="16"/>
        <v>42</v>
      </c>
      <c r="O431" s="60"/>
      <c r="P431" s="48"/>
      <c r="Q431" s="181">
        <v>11340.828006656646</v>
      </c>
      <c r="R431" s="181">
        <v>11340.828006656646</v>
      </c>
      <c r="S431" s="177">
        <v>11794.461126922912</v>
      </c>
      <c r="T431" s="177">
        <v>12248.094247189178</v>
      </c>
      <c r="U431" s="178"/>
      <c r="V431" s="176"/>
      <c r="W431" s="200">
        <v>500</v>
      </c>
    </row>
    <row r="432" spans="1:23">
      <c r="A432" s="123" t="s">
        <v>404</v>
      </c>
      <c r="B432" s="56" t="s">
        <v>796</v>
      </c>
      <c r="C432" s="5">
        <v>35</v>
      </c>
      <c r="D432" s="5"/>
      <c r="E432" s="6"/>
      <c r="F432" s="6">
        <v>10</v>
      </c>
      <c r="G432" s="6"/>
      <c r="H432" s="6"/>
      <c r="I432" s="7">
        <v>1</v>
      </c>
      <c r="J432" s="7">
        <v>3</v>
      </c>
      <c r="K432" s="6">
        <v>1</v>
      </c>
      <c r="L432" s="6">
        <v>4</v>
      </c>
      <c r="M432" s="7">
        <v>3</v>
      </c>
      <c r="N432" s="59">
        <f t="shared" si="16"/>
        <v>57</v>
      </c>
      <c r="O432" s="60"/>
      <c r="P432" s="48"/>
      <c r="Q432" s="181">
        <v>9537.7576196999089</v>
      </c>
      <c r="R432" s="181">
        <v>9537.7576196999089</v>
      </c>
      <c r="S432" s="177">
        <v>9919.2679244879055</v>
      </c>
      <c r="T432" s="177">
        <v>10300.778229275902</v>
      </c>
      <c r="U432" s="178"/>
      <c r="V432" s="176"/>
      <c r="W432" s="200">
        <v>500</v>
      </c>
    </row>
    <row r="433" spans="1:23">
      <c r="A433" s="123" t="s">
        <v>405</v>
      </c>
      <c r="B433" s="56" t="s">
        <v>797</v>
      </c>
      <c r="C433" s="5"/>
      <c r="D433" s="5"/>
      <c r="E433" s="6"/>
      <c r="F433" s="6">
        <v>1</v>
      </c>
      <c r="G433" s="6"/>
      <c r="H433" s="6"/>
      <c r="I433" s="7">
        <v>1</v>
      </c>
      <c r="J433" s="7"/>
      <c r="K433" s="6"/>
      <c r="L433" s="6">
        <v>2</v>
      </c>
      <c r="M433" s="7"/>
      <c r="N433" s="59">
        <f t="shared" si="16"/>
        <v>4</v>
      </c>
      <c r="O433" s="60"/>
      <c r="P433" s="48"/>
      <c r="Q433" s="175" t="s">
        <v>1782</v>
      </c>
      <c r="R433" s="185">
        <v>6500</v>
      </c>
      <c r="S433" s="177">
        <v>6760</v>
      </c>
      <c r="T433" s="177">
        <v>7020</v>
      </c>
      <c r="U433" s="178"/>
      <c r="V433" s="176"/>
      <c r="W433" s="200">
        <v>500</v>
      </c>
    </row>
    <row r="434" spans="1:23">
      <c r="A434" s="123" t="s">
        <v>406</v>
      </c>
      <c r="B434" s="56" t="s">
        <v>798</v>
      </c>
      <c r="C434" s="5">
        <v>66</v>
      </c>
      <c r="D434" s="5"/>
      <c r="E434" s="6"/>
      <c r="F434" s="6">
        <v>41</v>
      </c>
      <c r="G434" s="6"/>
      <c r="H434" s="6"/>
      <c r="I434" s="7">
        <v>11</v>
      </c>
      <c r="J434" s="7">
        <v>1</v>
      </c>
      <c r="K434" s="6">
        <v>1</v>
      </c>
      <c r="L434" s="6">
        <v>3</v>
      </c>
      <c r="M434" s="7">
        <v>4</v>
      </c>
      <c r="N434" s="59">
        <f t="shared" si="16"/>
        <v>127</v>
      </c>
      <c r="O434" s="60"/>
      <c r="P434" s="48"/>
      <c r="Q434" s="181">
        <v>12397.26916737494</v>
      </c>
      <c r="R434" s="192">
        <v>11777.405709006192</v>
      </c>
      <c r="S434" s="177">
        <v>12248.50193736644</v>
      </c>
      <c r="T434" s="177">
        <v>12719.598165726688</v>
      </c>
      <c r="U434" s="178"/>
      <c r="V434" s="176"/>
      <c r="W434" s="200">
        <v>500</v>
      </c>
    </row>
    <row r="435" spans="1:23">
      <c r="A435" s="123" t="s">
        <v>407</v>
      </c>
      <c r="B435" s="56" t="s">
        <v>799</v>
      </c>
      <c r="C435" s="5"/>
      <c r="D435" s="5"/>
      <c r="E435" s="6"/>
      <c r="F435" s="6"/>
      <c r="G435" s="6"/>
      <c r="H435" s="6"/>
      <c r="I435" s="7">
        <v>1</v>
      </c>
      <c r="J435" s="7"/>
      <c r="K435" s="6"/>
      <c r="L435" s="6"/>
      <c r="M435" s="7"/>
      <c r="N435" s="59">
        <f t="shared" si="16"/>
        <v>1</v>
      </c>
      <c r="O435" s="60"/>
      <c r="P435" s="48"/>
      <c r="Q435" s="175" t="s">
        <v>1782</v>
      </c>
      <c r="R435" s="176">
        <v>4999</v>
      </c>
      <c r="S435" s="177">
        <v>5198.96</v>
      </c>
      <c r="T435" s="177">
        <v>5398.92</v>
      </c>
      <c r="U435" s="178"/>
      <c r="V435" s="176"/>
      <c r="W435" s="200">
        <v>500</v>
      </c>
    </row>
    <row r="436" spans="1:23">
      <c r="A436" s="123" t="s">
        <v>408</v>
      </c>
      <c r="B436" s="56" t="s">
        <v>800</v>
      </c>
      <c r="C436" s="5"/>
      <c r="D436" s="5"/>
      <c r="E436" s="6"/>
      <c r="F436" s="6">
        <v>33</v>
      </c>
      <c r="G436" s="6"/>
      <c r="H436" s="6"/>
      <c r="I436" s="7">
        <v>6</v>
      </c>
      <c r="J436" s="7">
        <v>13</v>
      </c>
      <c r="K436" s="6">
        <v>3</v>
      </c>
      <c r="L436" s="6">
        <v>8</v>
      </c>
      <c r="M436" s="7">
        <v>4</v>
      </c>
      <c r="N436" s="59">
        <f t="shared" si="16"/>
        <v>67</v>
      </c>
      <c r="O436" s="60"/>
      <c r="P436" s="48"/>
      <c r="Q436" s="181">
        <v>21734.966643145952</v>
      </c>
      <c r="R436" s="192">
        <v>20648.218310988654</v>
      </c>
      <c r="S436" s="177">
        <v>21474.147043428198</v>
      </c>
      <c r="T436" s="177">
        <v>22300.075775867746</v>
      </c>
      <c r="U436" s="178"/>
      <c r="V436" s="176"/>
      <c r="W436" s="200">
        <v>500</v>
      </c>
    </row>
    <row r="437" spans="1:23" ht="36.75" customHeight="1">
      <c r="A437" s="164" t="s">
        <v>411</v>
      </c>
      <c r="B437" s="56" t="s">
        <v>1849</v>
      </c>
      <c r="C437" s="5"/>
      <c r="D437" s="5"/>
      <c r="E437" s="6"/>
      <c r="F437" s="6"/>
      <c r="G437" s="6"/>
      <c r="H437" s="6"/>
      <c r="I437" s="7"/>
      <c r="J437" s="7"/>
      <c r="K437" s="6"/>
      <c r="L437" s="6"/>
      <c r="M437" s="7"/>
      <c r="N437" s="59">
        <f>SUM(N420:N436)</f>
        <v>1123</v>
      </c>
      <c r="O437" s="60"/>
      <c r="P437" s="6"/>
      <c r="R437" s="176"/>
      <c r="S437" s="177"/>
      <c r="T437" s="177"/>
      <c r="U437" s="178"/>
      <c r="V437" s="176"/>
      <c r="W437" s="186"/>
    </row>
    <row r="438" spans="1:23">
      <c r="A438" s="127" t="s">
        <v>414</v>
      </c>
      <c r="B438" s="56" t="s">
        <v>808</v>
      </c>
      <c r="C438" s="5"/>
      <c r="D438" s="5"/>
      <c r="E438" s="6"/>
      <c r="F438" s="6">
        <v>2</v>
      </c>
      <c r="G438" s="6"/>
      <c r="H438" s="6"/>
      <c r="I438" s="7">
        <v>2</v>
      </c>
      <c r="J438" s="7">
        <v>4</v>
      </c>
      <c r="K438" s="6">
        <v>1</v>
      </c>
      <c r="L438" s="6">
        <v>7</v>
      </c>
      <c r="M438" s="7">
        <v>2</v>
      </c>
      <c r="N438" s="59">
        <f t="shared" ref="N438:N470" si="17">M438+K438+L438+J438+I438+H438+G438+F438+E438+D438+C438</f>
        <v>18</v>
      </c>
      <c r="O438" s="60">
        <v>1</v>
      </c>
      <c r="P438" s="48"/>
      <c r="Q438" s="181">
        <v>12742.288591412163</v>
      </c>
      <c r="R438" s="181">
        <v>14016.51745055338</v>
      </c>
      <c r="S438" s="177">
        <v>14577.178148575515</v>
      </c>
      <c r="T438" s="177">
        <v>15137.83884659765</v>
      </c>
      <c r="U438" s="178"/>
      <c r="V438" s="176"/>
      <c r="W438" s="200">
        <v>500</v>
      </c>
    </row>
    <row r="439" spans="1:23">
      <c r="A439" s="127" t="s">
        <v>415</v>
      </c>
      <c r="B439" s="56" t="s">
        <v>809</v>
      </c>
      <c r="C439" s="5">
        <v>9</v>
      </c>
      <c r="D439" s="5"/>
      <c r="E439" s="6"/>
      <c r="F439" s="6"/>
      <c r="G439" s="6"/>
      <c r="H439" s="6"/>
      <c r="I439" s="7"/>
      <c r="J439" s="7">
        <v>1</v>
      </c>
      <c r="K439" s="6"/>
      <c r="L439" s="6">
        <v>4</v>
      </c>
      <c r="M439" s="7">
        <v>1</v>
      </c>
      <c r="N439" s="59">
        <f t="shared" si="17"/>
        <v>15</v>
      </c>
      <c r="O439" s="60">
        <v>1</v>
      </c>
      <c r="P439" s="48"/>
      <c r="Q439" s="181">
        <v>18551.443860048468</v>
      </c>
      <c r="R439" s="181">
        <v>20406.588246053314</v>
      </c>
      <c r="S439" s="177">
        <v>21222.851775895448</v>
      </c>
      <c r="T439" s="177">
        <v>22039.115305737578</v>
      </c>
      <c r="U439" s="178"/>
      <c r="V439" s="176"/>
      <c r="W439" s="200">
        <v>500</v>
      </c>
    </row>
    <row r="440" spans="1:23">
      <c r="A440" s="127" t="s">
        <v>416</v>
      </c>
      <c r="B440" s="56" t="s">
        <v>810</v>
      </c>
      <c r="C440" s="5">
        <v>26</v>
      </c>
      <c r="D440" s="5"/>
      <c r="E440" s="6"/>
      <c r="F440" s="6">
        <v>7</v>
      </c>
      <c r="G440" s="6"/>
      <c r="H440" s="6"/>
      <c r="I440" s="7">
        <v>1</v>
      </c>
      <c r="J440" s="7"/>
      <c r="K440" s="6">
        <v>1</v>
      </c>
      <c r="L440" s="6">
        <v>2</v>
      </c>
      <c r="M440" s="7">
        <v>1</v>
      </c>
      <c r="N440" s="59">
        <f t="shared" si="17"/>
        <v>38</v>
      </c>
      <c r="O440" s="60">
        <v>1</v>
      </c>
      <c r="P440" s="48"/>
      <c r="Q440" s="181">
        <v>18330.864713595052</v>
      </c>
      <c r="R440" s="181">
        <v>20163.951184954556</v>
      </c>
      <c r="S440" s="177">
        <v>20970.509232352739</v>
      </c>
      <c r="T440" s="177">
        <v>21777.067279750921</v>
      </c>
      <c r="U440" s="178"/>
      <c r="V440" s="176"/>
      <c r="W440" s="200">
        <v>500</v>
      </c>
    </row>
    <row r="441" spans="1:23">
      <c r="A441" s="127" t="s">
        <v>417</v>
      </c>
      <c r="B441" s="56" t="s">
        <v>811</v>
      </c>
      <c r="C441" s="5">
        <v>29</v>
      </c>
      <c r="D441" s="5"/>
      <c r="E441" s="6"/>
      <c r="F441" s="6">
        <v>1</v>
      </c>
      <c r="G441" s="6"/>
      <c r="H441" s="6"/>
      <c r="I441" s="7">
        <v>2</v>
      </c>
      <c r="J441" s="7">
        <v>2</v>
      </c>
      <c r="K441" s="6">
        <v>1</v>
      </c>
      <c r="L441" s="6">
        <v>5</v>
      </c>
      <c r="M441" s="7">
        <v>1</v>
      </c>
      <c r="N441" s="59">
        <f t="shared" si="17"/>
        <v>41</v>
      </c>
      <c r="O441" s="60">
        <v>1</v>
      </c>
      <c r="P441" s="48"/>
      <c r="Q441" s="181">
        <v>16970.174539831067</v>
      </c>
      <c r="R441" s="181">
        <v>18667.191993814173</v>
      </c>
      <c r="S441" s="177">
        <v>19413.879673566738</v>
      </c>
      <c r="T441" s="177">
        <v>20160.567353319308</v>
      </c>
      <c r="U441" s="178"/>
      <c r="V441" s="176"/>
      <c r="W441" s="200">
        <v>500</v>
      </c>
    </row>
    <row r="442" spans="1:23">
      <c r="A442" s="127" t="s">
        <v>418</v>
      </c>
      <c r="B442" s="56" t="s">
        <v>812</v>
      </c>
      <c r="C442" s="5">
        <v>32</v>
      </c>
      <c r="D442" s="5"/>
      <c r="E442" s="6"/>
      <c r="F442" s="6">
        <v>1</v>
      </c>
      <c r="G442" s="6"/>
      <c r="H442" s="6"/>
      <c r="I442" s="7"/>
      <c r="J442" s="7">
        <v>1</v>
      </c>
      <c r="K442" s="6"/>
      <c r="L442" s="6">
        <v>1</v>
      </c>
      <c r="M442" s="7"/>
      <c r="N442" s="59">
        <f t="shared" si="17"/>
        <v>35</v>
      </c>
      <c r="O442" s="60"/>
      <c r="P442" s="48"/>
      <c r="Q442" s="181">
        <v>19431.285771511419</v>
      </c>
      <c r="R442" s="181">
        <v>21374.414348662562</v>
      </c>
      <c r="S442" s="177">
        <v>22229.390922609065</v>
      </c>
      <c r="T442" s="177">
        <v>23084.367496555566</v>
      </c>
      <c r="U442" s="178"/>
      <c r="V442" s="176"/>
      <c r="W442" s="200">
        <v>500</v>
      </c>
    </row>
    <row r="443" spans="1:23">
      <c r="A443" s="153" t="s">
        <v>389</v>
      </c>
      <c r="B443" s="56" t="s">
        <v>801</v>
      </c>
      <c r="C443" s="5"/>
      <c r="D443" s="5"/>
      <c r="E443" s="6"/>
      <c r="F443" s="6">
        <v>66</v>
      </c>
      <c r="G443" s="6"/>
      <c r="H443" s="6"/>
      <c r="I443" s="7">
        <v>37</v>
      </c>
      <c r="J443" s="7">
        <v>26</v>
      </c>
      <c r="K443" s="6">
        <v>4</v>
      </c>
      <c r="L443" s="6">
        <v>12</v>
      </c>
      <c r="M443" s="7">
        <v>13</v>
      </c>
      <c r="N443" s="59">
        <f t="shared" si="17"/>
        <v>158</v>
      </c>
      <c r="O443" s="60"/>
      <c r="P443" s="48"/>
      <c r="Q443" s="181">
        <v>480</v>
      </c>
      <c r="R443" s="176">
        <v>650</v>
      </c>
      <c r="S443" s="177">
        <v>700</v>
      </c>
      <c r="T443" s="177">
        <v>800</v>
      </c>
      <c r="U443" s="178"/>
      <c r="V443" s="176"/>
      <c r="W443" s="186">
        <v>50</v>
      </c>
    </row>
    <row r="444" spans="1:23">
      <c r="A444" s="153" t="s">
        <v>390</v>
      </c>
      <c r="B444" s="56" t="s">
        <v>802</v>
      </c>
      <c r="C444" s="5"/>
      <c r="D444" s="5"/>
      <c r="E444" s="6"/>
      <c r="F444" s="6"/>
      <c r="G444" s="6"/>
      <c r="H444" s="6"/>
      <c r="I444" s="7">
        <v>41</v>
      </c>
      <c r="J444" s="7">
        <v>2</v>
      </c>
      <c r="K444" s="6">
        <v>2</v>
      </c>
      <c r="L444" s="6">
        <v>9</v>
      </c>
      <c r="M444" s="7">
        <v>13</v>
      </c>
      <c r="N444" s="59">
        <f t="shared" si="17"/>
        <v>67</v>
      </c>
      <c r="O444" s="60"/>
      <c r="P444" s="48"/>
      <c r="Q444" s="181">
        <v>480</v>
      </c>
      <c r="R444" s="176">
        <v>650</v>
      </c>
      <c r="S444" s="177">
        <v>700</v>
      </c>
      <c r="T444" s="177">
        <v>800</v>
      </c>
      <c r="U444" s="178"/>
      <c r="V444" s="176"/>
      <c r="W444" s="186">
        <v>50</v>
      </c>
    </row>
    <row r="445" spans="1:23">
      <c r="A445" s="123" t="s">
        <v>200</v>
      </c>
      <c r="B445" s="56" t="s">
        <v>803</v>
      </c>
      <c r="C445" s="5">
        <v>21</v>
      </c>
      <c r="D445" s="5"/>
      <c r="E445" s="6"/>
      <c r="F445" s="6"/>
      <c r="G445" s="6">
        <v>12</v>
      </c>
      <c r="H445" s="6"/>
      <c r="I445" s="7">
        <v>3</v>
      </c>
      <c r="J445" s="7">
        <v>6</v>
      </c>
      <c r="K445" s="6">
        <v>2</v>
      </c>
      <c r="L445" s="6">
        <v>9</v>
      </c>
      <c r="M445" s="7">
        <v>3</v>
      </c>
      <c r="N445" s="59">
        <f t="shared" si="17"/>
        <v>56</v>
      </c>
      <c r="O445" s="60">
        <v>26</v>
      </c>
      <c r="P445" s="48"/>
      <c r="Q445" s="195">
        <v>344</v>
      </c>
      <c r="R445" s="176">
        <v>700</v>
      </c>
      <c r="S445" s="177">
        <v>700</v>
      </c>
      <c r="T445" s="177">
        <v>800</v>
      </c>
      <c r="U445" s="178"/>
      <c r="V445" s="176"/>
      <c r="W445" s="200">
        <v>100</v>
      </c>
    </row>
    <row r="446" spans="1:23">
      <c r="A446" s="123" t="s">
        <v>201</v>
      </c>
      <c r="B446" s="56" t="s">
        <v>804</v>
      </c>
      <c r="C446" s="5">
        <v>2</v>
      </c>
      <c r="D446" s="5"/>
      <c r="E446" s="6"/>
      <c r="F446" s="6"/>
      <c r="G446" s="6"/>
      <c r="H446" s="6"/>
      <c r="I446" s="7"/>
      <c r="J446" s="7"/>
      <c r="K446" s="6"/>
      <c r="L446" s="6"/>
      <c r="M446" s="7"/>
      <c r="N446" s="59">
        <f t="shared" si="17"/>
        <v>2</v>
      </c>
      <c r="O446" s="60"/>
      <c r="P446" s="48"/>
      <c r="Q446" s="181">
        <v>420</v>
      </c>
      <c r="R446" s="176">
        <v>750</v>
      </c>
      <c r="S446" s="177">
        <v>850</v>
      </c>
      <c r="T446" s="177">
        <v>900</v>
      </c>
      <c r="U446" s="178"/>
      <c r="V446" s="176"/>
      <c r="W446" s="200">
        <v>100</v>
      </c>
    </row>
    <row r="447" spans="1:23">
      <c r="A447" s="123" t="s">
        <v>409</v>
      </c>
      <c r="B447" s="56" t="s">
        <v>805</v>
      </c>
      <c r="C447" s="5"/>
      <c r="D447" s="5"/>
      <c r="E447" s="6"/>
      <c r="F447" s="6"/>
      <c r="G447" s="6"/>
      <c r="H447" s="6"/>
      <c r="I447" s="7">
        <v>6</v>
      </c>
      <c r="J447" s="7"/>
      <c r="K447" s="6"/>
      <c r="L447" s="6"/>
      <c r="M447" s="7"/>
      <c r="N447" s="59">
        <f t="shared" si="17"/>
        <v>6</v>
      </c>
      <c r="O447" s="60"/>
      <c r="P447" s="48"/>
      <c r="R447" s="176">
        <v>550</v>
      </c>
      <c r="S447" s="177">
        <v>600</v>
      </c>
      <c r="T447" s="177">
        <v>650</v>
      </c>
      <c r="U447" s="178"/>
      <c r="V447" s="176"/>
      <c r="W447" s="200">
        <v>100</v>
      </c>
    </row>
    <row r="448" spans="1:23">
      <c r="A448" s="123" t="s">
        <v>410</v>
      </c>
      <c r="B448" s="56" t="s">
        <v>806</v>
      </c>
      <c r="C448" s="5">
        <v>2</v>
      </c>
      <c r="D448" s="5"/>
      <c r="E448" s="6"/>
      <c r="F448" s="6"/>
      <c r="G448" s="6"/>
      <c r="H448" s="6"/>
      <c r="I448" s="7">
        <v>62</v>
      </c>
      <c r="J448" s="7">
        <v>49</v>
      </c>
      <c r="K448" s="6">
        <v>54</v>
      </c>
      <c r="L448" s="6">
        <v>4</v>
      </c>
      <c r="M448" s="7">
        <v>42</v>
      </c>
      <c r="N448" s="59">
        <f t="shared" si="17"/>
        <v>213</v>
      </c>
      <c r="O448" s="60"/>
      <c r="P448" s="48"/>
      <c r="Q448" s="181">
        <v>328</v>
      </c>
      <c r="R448" s="176">
        <v>550</v>
      </c>
      <c r="S448" s="177">
        <v>600</v>
      </c>
      <c r="T448" s="177">
        <v>650</v>
      </c>
      <c r="U448" s="178"/>
      <c r="V448" s="176"/>
      <c r="W448" s="200">
        <v>100</v>
      </c>
    </row>
    <row r="449" spans="1:23">
      <c r="A449" s="123" t="s">
        <v>412</v>
      </c>
      <c r="B449" s="56" t="s">
        <v>807</v>
      </c>
      <c r="C449" s="5"/>
      <c r="D449" s="5"/>
      <c r="E449" s="6"/>
      <c r="F449" s="6"/>
      <c r="G449" s="6"/>
      <c r="H449" s="6"/>
      <c r="I449" s="7"/>
      <c r="J449" s="7"/>
      <c r="K449" s="6"/>
      <c r="L449" s="6">
        <v>1</v>
      </c>
      <c r="M449" s="7"/>
      <c r="N449" s="59">
        <f t="shared" si="17"/>
        <v>1</v>
      </c>
      <c r="O449" s="60"/>
      <c r="P449" s="48"/>
      <c r="R449" s="176">
        <v>39999</v>
      </c>
      <c r="S449" s="177">
        <v>41598.959999999999</v>
      </c>
      <c r="T449" s="177">
        <v>43198.92</v>
      </c>
      <c r="U449" s="178"/>
      <c r="V449" s="176"/>
      <c r="W449" s="182">
        <v>250</v>
      </c>
    </row>
    <row r="450" spans="1:23">
      <c r="A450" s="123" t="s">
        <v>413</v>
      </c>
      <c r="B450" s="56" t="s">
        <v>807</v>
      </c>
      <c r="C450" s="5"/>
      <c r="D450" s="5"/>
      <c r="E450" s="6"/>
      <c r="F450" s="6"/>
      <c r="G450" s="6">
        <v>1</v>
      </c>
      <c r="H450" s="6"/>
      <c r="I450" s="7"/>
      <c r="J450" s="7"/>
      <c r="K450" s="6"/>
      <c r="L450" s="6"/>
      <c r="M450" s="7"/>
      <c r="N450" s="59">
        <f t="shared" si="17"/>
        <v>1</v>
      </c>
      <c r="O450" s="60"/>
      <c r="P450" s="48"/>
      <c r="R450" s="176">
        <v>49999</v>
      </c>
      <c r="S450" s="177">
        <v>51998.96</v>
      </c>
      <c r="T450" s="177">
        <v>53998.92</v>
      </c>
      <c r="U450" s="178"/>
      <c r="V450" s="176"/>
      <c r="W450" s="182">
        <v>250</v>
      </c>
    </row>
    <row r="451" spans="1:23">
      <c r="A451" s="123" t="s">
        <v>419</v>
      </c>
      <c r="B451" s="56" t="s">
        <v>813</v>
      </c>
      <c r="C451" s="5"/>
      <c r="D451" s="5"/>
      <c r="E451" s="6"/>
      <c r="F451" s="6"/>
      <c r="G451" s="6"/>
      <c r="H451" s="6"/>
      <c r="I451" s="7">
        <v>3</v>
      </c>
      <c r="J451" s="7">
        <v>1</v>
      </c>
      <c r="K451" s="6"/>
      <c r="L451" s="6">
        <v>1</v>
      </c>
      <c r="M451" s="7">
        <v>1</v>
      </c>
      <c r="N451" s="59">
        <f t="shared" si="17"/>
        <v>6</v>
      </c>
      <c r="O451" s="60"/>
      <c r="P451" s="48"/>
      <c r="R451" s="176">
        <v>3999</v>
      </c>
      <c r="S451" s="177">
        <v>4158.96</v>
      </c>
      <c r="T451" s="177">
        <v>4318.92</v>
      </c>
      <c r="U451" s="178"/>
      <c r="V451" s="176"/>
      <c r="W451" s="182">
        <v>50</v>
      </c>
    </row>
    <row r="452" spans="1:23">
      <c r="A452" s="123" t="s">
        <v>420</v>
      </c>
      <c r="B452" s="56" t="s">
        <v>814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59">
        <f t="shared" si="17"/>
        <v>1</v>
      </c>
      <c r="O452" s="60"/>
      <c r="P452" s="48"/>
      <c r="R452" s="176">
        <v>4999</v>
      </c>
      <c r="S452" s="177">
        <v>5198.96</v>
      </c>
      <c r="T452" s="177">
        <v>5398.92</v>
      </c>
      <c r="U452" s="178"/>
      <c r="V452" s="176"/>
      <c r="W452" s="182">
        <v>50</v>
      </c>
    </row>
    <row r="453" spans="1:23">
      <c r="A453" s="123" t="s">
        <v>421</v>
      </c>
      <c r="B453" s="56" t="s">
        <v>815</v>
      </c>
      <c r="C453" s="5"/>
      <c r="D453" s="5"/>
      <c r="E453" s="6"/>
      <c r="F453" s="6"/>
      <c r="G453" s="6"/>
      <c r="H453" s="6"/>
      <c r="I453" s="7">
        <v>2</v>
      </c>
      <c r="J453" s="7"/>
      <c r="K453" s="6"/>
      <c r="L453" s="6"/>
      <c r="M453" s="7"/>
      <c r="N453" s="59">
        <f t="shared" si="17"/>
        <v>2</v>
      </c>
      <c r="O453" s="60"/>
      <c r="P453" s="48"/>
      <c r="R453" s="176">
        <v>1999</v>
      </c>
      <c r="S453" s="177">
        <v>2078.96</v>
      </c>
      <c r="T453" s="177">
        <v>2158.92</v>
      </c>
      <c r="U453" s="178"/>
      <c r="V453" s="176"/>
      <c r="W453" s="182">
        <v>50</v>
      </c>
    </row>
    <row r="454" spans="1:23">
      <c r="A454" s="123" t="s">
        <v>422</v>
      </c>
      <c r="B454" s="56" t="s">
        <v>816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176">
        <v>2499</v>
      </c>
      <c r="S454" s="177">
        <v>2598.96</v>
      </c>
      <c r="T454" s="177">
        <v>2698.92</v>
      </c>
      <c r="U454" s="178"/>
      <c r="V454" s="176"/>
      <c r="W454" s="182">
        <v>50</v>
      </c>
    </row>
    <row r="455" spans="1:23">
      <c r="A455" s="123" t="s">
        <v>423</v>
      </c>
      <c r="B455" s="56" t="s">
        <v>817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59">
        <f t="shared" si="17"/>
        <v>2</v>
      </c>
      <c r="O455" s="60"/>
      <c r="P455" s="48"/>
      <c r="R455" s="176">
        <v>1999</v>
      </c>
      <c r="S455" s="177">
        <v>2078.96</v>
      </c>
      <c r="T455" s="177">
        <v>2158.92</v>
      </c>
      <c r="U455" s="178"/>
      <c r="V455" s="176"/>
      <c r="W455" s="182">
        <v>50</v>
      </c>
    </row>
    <row r="456" spans="1:23">
      <c r="A456" s="123" t="s">
        <v>425</v>
      </c>
      <c r="B456" s="56" t="s">
        <v>819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59">
        <f t="shared" si="17"/>
        <v>1</v>
      </c>
      <c r="O456" s="60"/>
      <c r="P456" s="48"/>
      <c r="R456" s="176">
        <v>999</v>
      </c>
      <c r="S456" s="177">
        <v>1038.96</v>
      </c>
      <c r="T456" s="177">
        <v>1078.92</v>
      </c>
      <c r="U456" s="178"/>
      <c r="V456" s="176"/>
      <c r="W456" s="182">
        <v>50</v>
      </c>
    </row>
    <row r="457" spans="1:23">
      <c r="A457" s="123" t="s">
        <v>426</v>
      </c>
      <c r="B457" s="56" t="s">
        <v>820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59">
        <f t="shared" si="17"/>
        <v>1</v>
      </c>
      <c r="O457" s="60"/>
      <c r="P457" s="48"/>
      <c r="R457" s="176">
        <v>1499</v>
      </c>
      <c r="S457" s="177">
        <v>1558.96</v>
      </c>
      <c r="T457" s="177">
        <v>1618.92</v>
      </c>
      <c r="U457" s="178"/>
      <c r="V457" s="176"/>
      <c r="W457" s="182">
        <v>50</v>
      </c>
    </row>
    <row r="458" spans="1:23">
      <c r="A458" s="123" t="s">
        <v>427</v>
      </c>
      <c r="B458" s="56" t="s">
        <v>821</v>
      </c>
      <c r="C458" s="5"/>
      <c r="D458" s="5"/>
      <c r="E458" s="6"/>
      <c r="F458" s="6"/>
      <c r="G458" s="6"/>
      <c r="H458" s="6"/>
      <c r="I458" s="7">
        <v>3</v>
      </c>
      <c r="J458" s="7"/>
      <c r="K458" s="6"/>
      <c r="L458" s="6"/>
      <c r="M458" s="7"/>
      <c r="N458" s="59">
        <f t="shared" si="17"/>
        <v>3</v>
      </c>
      <c r="O458" s="60"/>
      <c r="P458" s="48"/>
      <c r="R458" s="176">
        <v>2999</v>
      </c>
      <c r="S458" s="177">
        <v>3118.96</v>
      </c>
      <c r="T458" s="177">
        <v>3238.92</v>
      </c>
      <c r="U458" s="178"/>
      <c r="V458" s="176"/>
      <c r="W458" s="182">
        <v>50</v>
      </c>
    </row>
    <row r="459" spans="1:23">
      <c r="A459" s="123" t="s">
        <v>431</v>
      </c>
      <c r="B459" s="56" t="s">
        <v>825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>
        <v>4</v>
      </c>
      <c r="M459" s="7"/>
      <c r="N459" s="59">
        <f t="shared" si="17"/>
        <v>5</v>
      </c>
      <c r="O459" s="60"/>
      <c r="P459" s="48"/>
      <c r="R459" s="176">
        <v>24999</v>
      </c>
      <c r="S459" s="177">
        <v>25998.959999999999</v>
      </c>
      <c r="T459" s="177">
        <v>26998.92</v>
      </c>
      <c r="U459" s="178"/>
      <c r="V459" s="176"/>
      <c r="W459" s="182">
        <v>250</v>
      </c>
    </row>
    <row r="460" spans="1:23">
      <c r="A460" s="123" t="s">
        <v>432</v>
      </c>
      <c r="B460" s="56" t="s">
        <v>826</v>
      </c>
      <c r="C460" s="5"/>
      <c r="D460" s="5"/>
      <c r="E460" s="6"/>
      <c r="F460" s="6"/>
      <c r="G460" s="6"/>
      <c r="H460" s="6"/>
      <c r="I460" s="7"/>
      <c r="J460" s="7">
        <v>1</v>
      </c>
      <c r="K460" s="6"/>
      <c r="L460" s="6">
        <v>1</v>
      </c>
      <c r="M460" s="7"/>
      <c r="N460" s="59">
        <f t="shared" si="17"/>
        <v>2</v>
      </c>
      <c r="O460" s="60"/>
      <c r="P460" s="48"/>
      <c r="R460" s="176">
        <v>6148.9750000000004</v>
      </c>
      <c r="S460" s="177">
        <v>6394.9340000000002</v>
      </c>
      <c r="T460" s="177">
        <v>6640.893</v>
      </c>
      <c r="U460" s="178"/>
      <c r="V460" s="176"/>
      <c r="W460" s="182">
        <v>250</v>
      </c>
    </row>
    <row r="461" spans="1:23">
      <c r="A461" s="123" t="s">
        <v>433</v>
      </c>
      <c r="B461" s="56" t="s">
        <v>826</v>
      </c>
      <c r="C461" s="5">
        <v>5</v>
      </c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59">
        <f t="shared" si="17"/>
        <v>9</v>
      </c>
      <c r="O461" s="60"/>
      <c r="P461" s="48" t="s">
        <v>1544</v>
      </c>
      <c r="Q461" s="195">
        <v>8867.3785891660682</v>
      </c>
      <c r="R461" s="193">
        <v>7980.6407302494617</v>
      </c>
      <c r="S461" s="177">
        <v>8299.86635945944</v>
      </c>
      <c r="T461" s="177">
        <v>8619.0919886694192</v>
      </c>
      <c r="U461" s="178"/>
      <c r="V461" s="176"/>
      <c r="W461" s="182">
        <v>500</v>
      </c>
    </row>
    <row r="462" spans="1:23">
      <c r="A462" s="123" t="s">
        <v>434</v>
      </c>
      <c r="B462" s="56" t="s">
        <v>827</v>
      </c>
      <c r="C462" s="5"/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17"/>
        <v>4</v>
      </c>
      <c r="O462" s="60"/>
      <c r="P462" s="48" t="s">
        <v>1544</v>
      </c>
      <c r="Q462" s="195">
        <v>3521.1995943386523</v>
      </c>
      <c r="R462" s="193">
        <v>3169.0796349047869</v>
      </c>
      <c r="S462" s="177">
        <v>3295.8428203009785</v>
      </c>
      <c r="T462" s="177">
        <v>3422.6060056971696</v>
      </c>
      <c r="U462" s="178"/>
      <c r="V462" s="176"/>
      <c r="W462" s="182">
        <v>500</v>
      </c>
    </row>
    <row r="463" spans="1:23">
      <c r="A463" s="123" t="s">
        <v>435</v>
      </c>
      <c r="B463" s="56" t="s">
        <v>825</v>
      </c>
      <c r="C463" s="5">
        <v>1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59">
        <f t="shared" si="17"/>
        <v>1</v>
      </c>
      <c r="O463" s="60"/>
      <c r="P463" s="48" t="s">
        <v>1544</v>
      </c>
      <c r="Q463" s="195">
        <v>2510.3949651838452</v>
      </c>
      <c r="R463" s="187">
        <v>2510.3949651838452</v>
      </c>
      <c r="S463" s="177">
        <v>2610.810763791199</v>
      </c>
      <c r="T463" s="177">
        <v>2711.2265623985527</v>
      </c>
      <c r="U463" s="178"/>
      <c r="V463" s="176"/>
      <c r="W463" s="182">
        <v>250</v>
      </c>
    </row>
    <row r="464" spans="1:23">
      <c r="A464" s="127" t="s">
        <v>436</v>
      </c>
      <c r="B464" s="56" t="s">
        <v>828</v>
      </c>
      <c r="C464" s="5"/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59">
        <f t="shared" si="17"/>
        <v>3</v>
      </c>
      <c r="O464" s="60"/>
      <c r="P464" s="48" t="s">
        <v>1544</v>
      </c>
      <c r="Q464" s="195">
        <v>6515.7970471358785</v>
      </c>
      <c r="R464" s="193">
        <v>5864.217342422291</v>
      </c>
      <c r="S464" s="177">
        <v>6098.7860361191824</v>
      </c>
      <c r="T464" s="177">
        <v>6333.3547298160747</v>
      </c>
      <c r="U464" s="178"/>
      <c r="V464" s="176"/>
      <c r="W464" s="182">
        <v>500</v>
      </c>
    </row>
    <row r="465" spans="1:24">
      <c r="A465" s="127" t="s">
        <v>437</v>
      </c>
      <c r="B465" s="56" t="s">
        <v>829</v>
      </c>
      <c r="C465" s="5">
        <v>4</v>
      </c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59">
        <f t="shared" si="17"/>
        <v>7</v>
      </c>
      <c r="O465" s="60"/>
      <c r="P465" s="48" t="s">
        <v>1544</v>
      </c>
      <c r="Q465" s="195">
        <v>12864.686900934046</v>
      </c>
      <c r="R465" s="193">
        <v>11578.218210840641</v>
      </c>
      <c r="S465" s="177">
        <v>12041.346939274266</v>
      </c>
      <c r="T465" s="177">
        <v>12504.475667707893</v>
      </c>
      <c r="U465" s="178"/>
      <c r="V465" s="176"/>
      <c r="W465" s="182">
        <v>500</v>
      </c>
    </row>
    <row r="466" spans="1:24">
      <c r="A466" s="123" t="s">
        <v>438</v>
      </c>
      <c r="B466" s="56" t="s">
        <v>830</v>
      </c>
      <c r="C466" s="5">
        <v>5</v>
      </c>
      <c r="D466" s="5">
        <v>2</v>
      </c>
      <c r="E466" s="6"/>
      <c r="F466" s="6"/>
      <c r="G466" s="6"/>
      <c r="H466" s="6"/>
      <c r="I466" s="7"/>
      <c r="J466" s="7">
        <v>1</v>
      </c>
      <c r="K466" s="6"/>
      <c r="L466" s="6">
        <v>1</v>
      </c>
      <c r="M466" s="7"/>
      <c r="N466" s="59">
        <f t="shared" si="17"/>
        <v>9</v>
      </c>
      <c r="O466" s="60"/>
      <c r="P466" s="48" t="s">
        <v>1544</v>
      </c>
      <c r="Q466" s="195">
        <v>18868.450592859805</v>
      </c>
      <c r="R466" s="193">
        <v>16981.605533573824</v>
      </c>
      <c r="S466" s="177">
        <v>17660.869754916777</v>
      </c>
      <c r="T466" s="177">
        <v>18340.133976259731</v>
      </c>
      <c r="U466" s="178"/>
      <c r="V466" s="176"/>
      <c r="W466" s="182">
        <v>500</v>
      </c>
    </row>
    <row r="467" spans="1:24">
      <c r="A467" s="123" t="s">
        <v>439</v>
      </c>
      <c r="B467" s="56" t="s">
        <v>831</v>
      </c>
      <c r="C467" s="5">
        <v>4</v>
      </c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4</v>
      </c>
      <c r="O467" s="60"/>
      <c r="P467" s="48" t="s">
        <v>1544</v>
      </c>
      <c r="R467" s="176"/>
      <c r="S467" s="177"/>
      <c r="T467" s="177"/>
      <c r="U467" s="178"/>
      <c r="V467" s="176"/>
      <c r="W467" s="182"/>
    </row>
    <row r="468" spans="1:24">
      <c r="A468" s="123" t="s">
        <v>440</v>
      </c>
      <c r="B468" s="56" t="s">
        <v>831</v>
      </c>
      <c r="C468" s="5">
        <v>2</v>
      </c>
      <c r="D468" s="5">
        <v>1</v>
      </c>
      <c r="E468" s="6"/>
      <c r="F468" s="6"/>
      <c r="G468" s="6"/>
      <c r="H468" s="6">
        <v>2</v>
      </c>
      <c r="I468" s="7"/>
      <c r="J468" s="7"/>
      <c r="K468" s="6"/>
      <c r="L468" s="6"/>
      <c r="M468" s="7"/>
      <c r="N468" s="59">
        <f t="shared" si="17"/>
        <v>5</v>
      </c>
      <c r="O468" s="60"/>
      <c r="P468" s="48" t="s">
        <v>1544</v>
      </c>
      <c r="Q468" s="175" t="s">
        <v>1782</v>
      </c>
      <c r="R468" s="208">
        <v>5000</v>
      </c>
      <c r="S468" s="177">
        <v>5200</v>
      </c>
      <c r="T468" s="177">
        <v>5400</v>
      </c>
      <c r="U468" s="178"/>
      <c r="V468" s="176"/>
      <c r="W468" s="182">
        <v>500</v>
      </c>
    </row>
    <row r="469" spans="1:24">
      <c r="A469" s="123" t="s">
        <v>441</v>
      </c>
      <c r="B469" s="56" t="s">
        <v>832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59">
        <f t="shared" si="17"/>
        <v>1</v>
      </c>
      <c r="O469" s="60"/>
      <c r="P469" s="48" t="s">
        <v>1544</v>
      </c>
      <c r="Q469" s="195">
        <v>2251.7843805077478</v>
      </c>
      <c r="R469" s="193">
        <v>2026.605942456973</v>
      </c>
      <c r="S469" s="177">
        <v>2097.5371504429672</v>
      </c>
      <c r="T469" s="177">
        <v>2188.7344178535309</v>
      </c>
      <c r="U469" s="178"/>
      <c r="V469" s="176"/>
      <c r="W469" s="182">
        <v>500</v>
      </c>
    </row>
    <row r="470" spans="1:24">
      <c r="A470" s="123" t="s">
        <v>442</v>
      </c>
      <c r="B470" s="56" t="s">
        <v>833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7"/>
        <v>1</v>
      </c>
      <c r="O470" s="60"/>
      <c r="P470" s="48" t="s">
        <v>1544</v>
      </c>
      <c r="Q470" s="195">
        <v>10600.401058527552</v>
      </c>
      <c r="R470" s="193">
        <v>9540.3609526747969</v>
      </c>
      <c r="S470" s="177">
        <v>9874.2735860184148</v>
      </c>
      <c r="T470" s="177">
        <v>10303.58982888878</v>
      </c>
      <c r="U470" s="178"/>
      <c r="V470" s="176"/>
      <c r="W470" s="182">
        <v>500</v>
      </c>
    </row>
    <row r="471" spans="1:24">
      <c r="A471" s="142" t="s">
        <v>1557</v>
      </c>
      <c r="B471" s="56" t="s">
        <v>1849</v>
      </c>
      <c r="C471" s="5"/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59"/>
      <c r="O471" s="60"/>
      <c r="P471" s="48"/>
      <c r="R471" s="209"/>
      <c r="S471" s="177"/>
      <c r="T471" s="177"/>
      <c r="U471" s="178"/>
      <c r="V471" s="176"/>
      <c r="W471" s="182"/>
    </row>
    <row r="472" spans="1:24">
      <c r="A472" s="131" t="s">
        <v>443</v>
      </c>
      <c r="B472" s="56" t="s">
        <v>834</v>
      </c>
      <c r="C472" s="5">
        <v>5</v>
      </c>
      <c r="D472" s="5"/>
      <c r="E472" s="6"/>
      <c r="F472" s="6"/>
      <c r="G472" s="6"/>
      <c r="H472" s="6"/>
      <c r="I472" s="7">
        <v>1</v>
      </c>
      <c r="J472" s="7"/>
      <c r="K472" s="6"/>
      <c r="L472" s="6"/>
      <c r="M472" s="7"/>
      <c r="N472" s="59">
        <f t="shared" ref="N472:N489" si="18">M472+K472+L472+J472+I472+H472+G472+F472+E472+D472+C472</f>
        <v>6</v>
      </c>
      <c r="O472" s="60"/>
      <c r="P472" s="48" t="s">
        <v>1544</v>
      </c>
      <c r="Q472" s="181">
        <v>16020.74074189603</v>
      </c>
      <c r="R472" s="210">
        <v>18000</v>
      </c>
      <c r="S472" s="177">
        <v>18630</v>
      </c>
      <c r="T472" s="177">
        <v>19440</v>
      </c>
      <c r="U472" s="178"/>
      <c r="V472" s="176"/>
      <c r="W472" s="182">
        <v>250</v>
      </c>
    </row>
    <row r="473" spans="1:24">
      <c r="A473" s="131" t="s">
        <v>444</v>
      </c>
      <c r="B473" s="56" t="s">
        <v>835</v>
      </c>
      <c r="C473" s="5">
        <v>6</v>
      </c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59">
        <f t="shared" si="18"/>
        <v>6</v>
      </c>
      <c r="O473" s="60"/>
      <c r="P473" s="48" t="s">
        <v>1544</v>
      </c>
      <c r="Q473" s="181">
        <v>24031.111112844046</v>
      </c>
      <c r="R473" s="210">
        <v>26000</v>
      </c>
      <c r="S473" s="177">
        <v>26910</v>
      </c>
      <c r="T473" s="177">
        <v>28080</v>
      </c>
      <c r="U473" s="178"/>
      <c r="V473" s="176"/>
      <c r="W473" s="182"/>
    </row>
    <row r="474" spans="1:24">
      <c r="A474" s="165" t="s">
        <v>445</v>
      </c>
      <c r="B474" s="56" t="s">
        <v>836</v>
      </c>
      <c r="C474" s="5"/>
      <c r="D474" s="5"/>
      <c r="E474" s="6"/>
      <c r="F474" s="6"/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1</v>
      </c>
      <c r="O474" s="60"/>
      <c r="P474" s="49" t="s">
        <v>1544</v>
      </c>
      <c r="Q474" s="211"/>
      <c r="R474" s="212">
        <v>15000</v>
      </c>
      <c r="S474" s="213">
        <v>15525</v>
      </c>
      <c r="T474" s="177">
        <v>16200</v>
      </c>
      <c r="U474" s="178"/>
      <c r="V474" s="176"/>
      <c r="W474" s="182">
        <v>250</v>
      </c>
    </row>
    <row r="475" spans="1:24">
      <c r="A475" s="165" t="s">
        <v>446</v>
      </c>
      <c r="B475" s="56" t="s">
        <v>837</v>
      </c>
      <c r="C475" s="5">
        <v>1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1</v>
      </c>
      <c r="O475" s="60"/>
      <c r="P475" s="49" t="s">
        <v>1544</v>
      </c>
      <c r="Q475" s="211"/>
      <c r="R475" s="212">
        <v>20000</v>
      </c>
      <c r="S475" s="213">
        <v>20700</v>
      </c>
      <c r="T475" s="177">
        <v>21600</v>
      </c>
      <c r="U475" s="178"/>
      <c r="V475" s="176"/>
      <c r="W475" s="182"/>
    </row>
    <row r="476" spans="1:24">
      <c r="A476" s="166" t="s">
        <v>447</v>
      </c>
      <c r="B476" s="56" t="s">
        <v>836</v>
      </c>
      <c r="C476" s="5"/>
      <c r="D476" s="5"/>
      <c r="E476" s="6"/>
      <c r="F476" s="6">
        <v>1</v>
      </c>
      <c r="G476" s="6"/>
      <c r="H476" s="6"/>
      <c r="I476" s="7">
        <v>1</v>
      </c>
      <c r="J476" s="7"/>
      <c r="K476" s="6"/>
      <c r="L476" s="6"/>
      <c r="M476" s="7"/>
      <c r="N476" s="59">
        <f t="shared" si="18"/>
        <v>2</v>
      </c>
      <c r="O476" s="60"/>
      <c r="P476" s="48" t="s">
        <v>1544</v>
      </c>
      <c r="Q476" s="181">
        <v>17599.318782707702</v>
      </c>
      <c r="R476" s="210">
        <v>19000</v>
      </c>
      <c r="S476" s="177">
        <v>19665</v>
      </c>
      <c r="T476" s="177">
        <v>20520</v>
      </c>
      <c r="U476" s="178"/>
      <c r="V476" s="176"/>
      <c r="W476" s="182">
        <v>250</v>
      </c>
    </row>
    <row r="477" spans="1:24">
      <c r="A477" s="166" t="s">
        <v>448</v>
      </c>
      <c r="B477" s="56" t="s">
        <v>837</v>
      </c>
      <c r="C477" s="5"/>
      <c r="D477" s="5"/>
      <c r="E477" s="6"/>
      <c r="F477" s="6">
        <v>1</v>
      </c>
      <c r="G477" s="6"/>
      <c r="H477" s="6"/>
      <c r="I477" s="7"/>
      <c r="J477" s="7"/>
      <c r="K477" s="6"/>
      <c r="L477" s="6">
        <v>1</v>
      </c>
      <c r="M477" s="7"/>
      <c r="N477" s="59">
        <f t="shared" si="18"/>
        <v>2</v>
      </c>
      <c r="O477" s="60"/>
      <c r="P477" s="48" t="s">
        <v>1544</v>
      </c>
      <c r="Q477" s="181">
        <v>26398.978174061547</v>
      </c>
      <c r="R477" s="210">
        <v>28000</v>
      </c>
      <c r="S477" s="177">
        <v>28980</v>
      </c>
      <c r="T477" s="177">
        <v>30240</v>
      </c>
      <c r="U477" s="178"/>
      <c r="V477" s="176"/>
      <c r="W477" s="182"/>
    </row>
    <row r="478" spans="1:24">
      <c r="A478" s="167" t="s">
        <v>449</v>
      </c>
      <c r="B478" s="56" t="s">
        <v>838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9">
        <f t="shared" si="18"/>
        <v>2</v>
      </c>
      <c r="O478" s="60"/>
      <c r="P478" s="49" t="s">
        <v>1544</v>
      </c>
      <c r="Q478" s="211">
        <v>19638.932436439351</v>
      </c>
      <c r="R478" s="210">
        <v>22000</v>
      </c>
      <c r="S478" s="213">
        <v>22770</v>
      </c>
      <c r="T478" s="177">
        <v>23760</v>
      </c>
      <c r="U478" s="178"/>
      <c r="V478" s="176"/>
      <c r="W478" s="182">
        <v>250</v>
      </c>
    </row>
    <row r="479" spans="1:24">
      <c r="A479" s="167" t="s">
        <v>450</v>
      </c>
      <c r="B479" s="56" t="s">
        <v>837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2</v>
      </c>
      <c r="O479" s="60"/>
      <c r="P479" s="49" t="s">
        <v>1544</v>
      </c>
      <c r="Q479" s="211">
        <v>29458.398654659028</v>
      </c>
      <c r="R479" s="210">
        <v>32000</v>
      </c>
      <c r="S479" s="213">
        <v>33120</v>
      </c>
      <c r="T479" s="177">
        <v>34560</v>
      </c>
      <c r="U479" s="178"/>
      <c r="V479" s="176"/>
      <c r="W479" s="182"/>
    </row>
    <row r="480" spans="1:24" s="8" customFormat="1">
      <c r="A480" s="166" t="s">
        <v>451</v>
      </c>
      <c r="B480" s="56" t="s">
        <v>839</v>
      </c>
      <c r="C480" s="5">
        <v>5</v>
      </c>
      <c r="D480" s="5"/>
      <c r="E480" s="6"/>
      <c r="F480" s="6"/>
      <c r="G480" s="6"/>
      <c r="H480" s="6"/>
      <c r="I480" s="7">
        <v>1</v>
      </c>
      <c r="J480" s="7"/>
      <c r="K480" s="6"/>
      <c r="L480" s="6">
        <v>2</v>
      </c>
      <c r="M480" s="7"/>
      <c r="N480" s="59">
        <f t="shared" si="18"/>
        <v>8</v>
      </c>
      <c r="O480" s="60"/>
      <c r="P480" s="48" t="s">
        <v>1544</v>
      </c>
      <c r="Q480" s="181"/>
      <c r="R480" s="176">
        <v>22000</v>
      </c>
      <c r="S480" s="177">
        <v>22770</v>
      </c>
      <c r="T480" s="177">
        <v>23760</v>
      </c>
      <c r="U480" s="178"/>
      <c r="V480" s="176"/>
      <c r="W480" s="182">
        <v>250</v>
      </c>
      <c r="X480" s="180"/>
    </row>
    <row r="481" spans="1:24" s="8" customFormat="1">
      <c r="A481" s="166" t="s">
        <v>452</v>
      </c>
      <c r="B481" s="56" t="s">
        <v>840</v>
      </c>
      <c r="C481" s="5">
        <v>7</v>
      </c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8</v>
      </c>
      <c r="O481" s="60"/>
      <c r="P481" s="48" t="s">
        <v>1544</v>
      </c>
      <c r="Q481" s="181"/>
      <c r="R481" s="176">
        <v>35000</v>
      </c>
      <c r="S481" s="177">
        <v>36225</v>
      </c>
      <c r="T481" s="177">
        <v>37800</v>
      </c>
      <c r="U481" s="178"/>
      <c r="V481" s="176"/>
      <c r="W481" s="182"/>
      <c r="X481" s="180"/>
    </row>
    <row r="482" spans="1:24">
      <c r="A482" s="167" t="s">
        <v>453</v>
      </c>
      <c r="B482" s="56" t="s">
        <v>841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9">
        <f t="shared" si="18"/>
        <v>1</v>
      </c>
      <c r="O482" s="60"/>
      <c r="P482" s="49" t="s">
        <v>1544</v>
      </c>
      <c r="Q482" s="211">
        <v>27721.370472790273</v>
      </c>
      <c r="R482" s="210">
        <v>30000</v>
      </c>
      <c r="S482" s="213">
        <v>31050</v>
      </c>
      <c r="T482" s="177">
        <v>32400</v>
      </c>
      <c r="U482" s="178"/>
      <c r="V482" s="176"/>
      <c r="W482" s="182">
        <v>250</v>
      </c>
    </row>
    <row r="483" spans="1:24">
      <c r="A483" s="167" t="s">
        <v>454</v>
      </c>
      <c r="B483" s="56" t="s">
        <v>840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1</v>
      </c>
      <c r="O483" s="60"/>
      <c r="P483" s="49" t="s">
        <v>1544</v>
      </c>
      <c r="Q483" s="211">
        <v>41582.055709185406</v>
      </c>
      <c r="R483" s="210">
        <v>44000</v>
      </c>
      <c r="S483" s="213">
        <v>45540</v>
      </c>
      <c r="T483" s="177">
        <v>47520</v>
      </c>
      <c r="U483" s="178"/>
      <c r="V483" s="176"/>
      <c r="W483" s="182"/>
    </row>
    <row r="484" spans="1:24" s="8" customFormat="1">
      <c r="A484" s="123" t="s">
        <v>455</v>
      </c>
      <c r="B484" s="56" t="s">
        <v>842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59">
        <f t="shared" si="18"/>
        <v>1</v>
      </c>
      <c r="O484" s="60"/>
      <c r="P484" s="48"/>
      <c r="Q484" s="181"/>
      <c r="R484" s="176">
        <v>25000</v>
      </c>
      <c r="S484" s="177">
        <v>25875</v>
      </c>
      <c r="T484" s="177">
        <v>27000</v>
      </c>
      <c r="U484" s="178"/>
      <c r="V484" s="176"/>
      <c r="W484" s="182">
        <v>250</v>
      </c>
      <c r="X484" s="180"/>
    </row>
    <row r="485" spans="1:24" s="8" customFormat="1">
      <c r="A485" s="123" t="s">
        <v>456</v>
      </c>
      <c r="B485" s="56" t="s">
        <v>843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59">
        <f t="shared" si="18"/>
        <v>1</v>
      </c>
      <c r="O485" s="60"/>
      <c r="P485" s="48"/>
      <c r="Q485" s="181"/>
      <c r="R485" s="176">
        <v>36000</v>
      </c>
      <c r="S485" s="177">
        <v>37260</v>
      </c>
      <c r="T485" s="177">
        <v>38880</v>
      </c>
      <c r="U485" s="178"/>
      <c r="V485" s="176"/>
      <c r="W485" s="182"/>
      <c r="X485" s="180"/>
    </row>
    <row r="486" spans="1:24" s="8" customFormat="1">
      <c r="A486" s="168" t="s">
        <v>1476</v>
      </c>
      <c r="B486" s="56" t="s">
        <v>842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59">
        <f t="shared" si="18"/>
        <v>3</v>
      </c>
      <c r="O486" s="72"/>
      <c r="P486" s="49"/>
      <c r="Q486" s="211">
        <v>30075.909952049711</v>
      </c>
      <c r="R486" s="210">
        <v>35000</v>
      </c>
      <c r="S486" s="213">
        <v>36225</v>
      </c>
      <c r="T486" s="177">
        <v>37800</v>
      </c>
      <c r="U486" s="178"/>
      <c r="V486" s="176"/>
      <c r="W486" s="182">
        <v>250</v>
      </c>
      <c r="X486" s="180"/>
    </row>
    <row r="487" spans="1:24" s="8" customFormat="1">
      <c r="A487" s="168" t="s">
        <v>1477</v>
      </c>
      <c r="B487" s="56" t="s">
        <v>843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59">
        <f t="shared" si="18"/>
        <v>3</v>
      </c>
      <c r="O487" s="72"/>
      <c r="P487" s="49"/>
      <c r="Q487" s="211">
        <v>45113.864928074559</v>
      </c>
      <c r="R487" s="210">
        <v>50000</v>
      </c>
      <c r="S487" s="213">
        <v>51750</v>
      </c>
      <c r="T487" s="177">
        <v>54000</v>
      </c>
      <c r="U487" s="178"/>
      <c r="V487" s="176"/>
      <c r="W487" s="182"/>
      <c r="X487" s="180"/>
    </row>
    <row r="488" spans="1:24">
      <c r="A488" s="123" t="s">
        <v>1313</v>
      </c>
      <c r="B488" s="56" t="s">
        <v>472</v>
      </c>
      <c r="C488" s="5"/>
      <c r="D488" s="5"/>
      <c r="E488" s="6"/>
      <c r="F488" s="6"/>
      <c r="G488" s="6"/>
      <c r="H488" s="6"/>
      <c r="I488" s="7">
        <v>2</v>
      </c>
      <c r="J488" s="7">
        <v>3</v>
      </c>
      <c r="K488" s="6"/>
      <c r="L488" s="6"/>
      <c r="M488" s="7"/>
      <c r="N488" s="59">
        <f t="shared" si="18"/>
        <v>5</v>
      </c>
      <c r="O488" s="60"/>
      <c r="P488" s="49" t="s">
        <v>1544</v>
      </c>
      <c r="Q488" s="181">
        <v>520</v>
      </c>
      <c r="R488" s="185">
        <v>850</v>
      </c>
      <c r="S488" s="16">
        <v>879.75</v>
      </c>
      <c r="T488" s="177">
        <v>918</v>
      </c>
      <c r="U488" s="178"/>
      <c r="V488" s="176"/>
      <c r="W488" s="214">
        <v>100</v>
      </c>
    </row>
    <row r="489" spans="1:24">
      <c r="A489" s="123" t="s">
        <v>1314</v>
      </c>
      <c r="B489" s="56" t="s">
        <v>473</v>
      </c>
      <c r="C489" s="5"/>
      <c r="D489" s="5"/>
      <c r="E489" s="6"/>
      <c r="F489" s="6"/>
      <c r="G489" s="6"/>
      <c r="H489" s="6"/>
      <c r="I489" s="7">
        <v>8</v>
      </c>
      <c r="J489" s="7">
        <v>14</v>
      </c>
      <c r="K489" s="6">
        <v>3</v>
      </c>
      <c r="L489" s="6"/>
      <c r="M489" s="7">
        <v>19</v>
      </c>
      <c r="N489" s="59">
        <f t="shared" si="18"/>
        <v>44</v>
      </c>
      <c r="O489" s="60"/>
      <c r="P489" s="49" t="s">
        <v>1544</v>
      </c>
      <c r="Q489" s="181">
        <v>520</v>
      </c>
      <c r="R489" s="215">
        <v>850</v>
      </c>
      <c r="S489" s="16">
        <v>879.75</v>
      </c>
      <c r="T489" s="177">
        <v>918</v>
      </c>
      <c r="U489" s="178"/>
      <c r="V489" s="176"/>
      <c r="W489" s="214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91" t="s">
        <v>1830</v>
      </c>
      <c r="H3" s="112" t="s">
        <v>466</v>
      </c>
      <c r="I3" s="113"/>
    </row>
    <row r="4" spans="3:9" ht="35.25" customHeight="1" thickBot="1">
      <c r="G4" s="92"/>
      <c r="H4" s="114"/>
      <c r="I4" s="115"/>
    </row>
    <row r="5" spans="3:9" ht="34.5" customHeight="1">
      <c r="C5" s="91" t="s">
        <v>1831</v>
      </c>
      <c r="D5" s="94" t="s">
        <v>1832</v>
      </c>
      <c r="E5" s="95"/>
      <c r="G5" s="92"/>
      <c r="H5" s="100" t="s">
        <v>1783</v>
      </c>
      <c r="I5" s="101"/>
    </row>
    <row r="6" spans="3:9" ht="34.5" customHeight="1">
      <c r="C6" s="92"/>
      <c r="D6" s="96"/>
      <c r="E6" s="97"/>
      <c r="G6" s="92"/>
      <c r="H6" s="102"/>
      <c r="I6" s="103"/>
    </row>
    <row r="7" spans="3:9" ht="34.5" customHeight="1">
      <c r="C7" s="92"/>
      <c r="D7" s="96"/>
      <c r="E7" s="97"/>
      <c r="G7" s="92"/>
      <c r="H7" s="102"/>
      <c r="I7" s="103"/>
    </row>
    <row r="8" spans="3:9" ht="35.25" customHeight="1" thickBot="1">
      <c r="C8" s="92"/>
      <c r="D8" s="96"/>
      <c r="E8" s="97"/>
      <c r="G8" s="92"/>
      <c r="H8" s="104"/>
      <c r="I8" s="105"/>
    </row>
    <row r="9" spans="3:9" ht="34.5" customHeight="1">
      <c r="C9" s="92"/>
      <c r="D9" s="96"/>
      <c r="E9" s="97"/>
      <c r="G9" s="92"/>
      <c r="H9" s="116" t="s">
        <v>1833</v>
      </c>
      <c r="I9" s="117"/>
    </row>
    <row r="10" spans="3:9" ht="34.5" customHeight="1">
      <c r="C10" s="92"/>
      <c r="D10" s="96"/>
      <c r="E10" s="97"/>
      <c r="G10" s="92"/>
      <c r="H10" s="118"/>
      <c r="I10" s="119"/>
    </row>
    <row r="11" spans="3:9" ht="34.5" customHeight="1">
      <c r="C11" s="92"/>
      <c r="D11" s="96"/>
      <c r="E11" s="97"/>
      <c r="G11" s="92"/>
      <c r="H11" s="118"/>
      <c r="I11" s="119"/>
    </row>
    <row r="12" spans="3:9" ht="35.25" customHeight="1" thickBot="1">
      <c r="C12" s="93"/>
      <c r="D12" s="98"/>
      <c r="E12" s="99"/>
      <c r="G12" s="92"/>
      <c r="H12" s="118"/>
      <c r="I12" s="119"/>
    </row>
    <row r="13" spans="3:9" ht="15">
      <c r="C13" s="85"/>
      <c r="D13" s="82"/>
      <c r="E13" s="82"/>
      <c r="G13" s="92"/>
      <c r="H13" s="118"/>
      <c r="I13" s="119"/>
    </row>
    <row r="14" spans="3:9" ht="35.25" customHeight="1" thickBot="1">
      <c r="G14" s="93"/>
      <c r="H14" s="120"/>
      <c r="I14" s="121"/>
    </row>
    <row r="16" spans="3:9" ht="15" thickBot="1"/>
    <row r="17" spans="3:29" ht="34.5" customHeight="1">
      <c r="G17" s="91" t="s">
        <v>1834</v>
      </c>
      <c r="H17" s="112" t="s">
        <v>467</v>
      </c>
      <c r="I17" s="113"/>
    </row>
    <row r="18" spans="3:29" ht="35.25" customHeight="1" thickBot="1">
      <c r="G18" s="92"/>
      <c r="H18" s="114"/>
      <c r="I18" s="115"/>
    </row>
    <row r="19" spans="3:29" ht="34.5" customHeight="1">
      <c r="C19" s="91" t="s">
        <v>1835</v>
      </c>
      <c r="D19" s="94" t="s">
        <v>1836</v>
      </c>
      <c r="E19" s="95"/>
      <c r="G19" s="92"/>
      <c r="H19" s="100" t="s">
        <v>1784</v>
      </c>
      <c r="I19" s="101"/>
    </row>
    <row r="20" spans="3:29" ht="34.5" customHeight="1">
      <c r="C20" s="92"/>
      <c r="D20" s="96"/>
      <c r="E20" s="97"/>
      <c r="G20" s="92"/>
      <c r="H20" s="102"/>
      <c r="I20" s="103"/>
    </row>
    <row r="21" spans="3:29" ht="34.5" customHeight="1">
      <c r="C21" s="92"/>
      <c r="D21" s="96"/>
      <c r="E21" s="97"/>
      <c r="G21" s="92"/>
      <c r="H21" s="102"/>
      <c r="I21" s="103"/>
    </row>
    <row r="22" spans="3:29" ht="35.25" customHeight="1" thickBot="1">
      <c r="C22" s="92"/>
      <c r="D22" s="96"/>
      <c r="E22" s="97"/>
      <c r="G22" s="92"/>
      <c r="H22" s="104"/>
      <c r="I22" s="105"/>
    </row>
    <row r="23" spans="3:29" ht="34.5" customHeight="1">
      <c r="C23" s="92"/>
      <c r="D23" s="96"/>
      <c r="E23" s="97"/>
      <c r="G23" s="92"/>
      <c r="H23" s="106" t="s">
        <v>1837</v>
      </c>
      <c r="I23" s="107"/>
    </row>
    <row r="24" spans="3:29" ht="34.5" customHeight="1">
      <c r="C24" s="92"/>
      <c r="D24" s="96"/>
      <c r="E24" s="97"/>
      <c r="G24" s="92"/>
      <c r="H24" s="108"/>
      <c r="I24" s="109"/>
    </row>
    <row r="25" spans="3:29" ht="34.5" customHeight="1">
      <c r="C25" s="92"/>
      <c r="D25" s="96"/>
      <c r="E25" s="97"/>
      <c r="G25" s="92"/>
      <c r="H25" s="108"/>
      <c r="I25" s="109"/>
      <c r="AC25" s="50"/>
    </row>
    <row r="26" spans="3:29" ht="34.5" customHeight="1" thickBot="1">
      <c r="C26" s="93"/>
      <c r="D26" s="98"/>
      <c r="E26" s="99"/>
      <c r="G26" s="92"/>
      <c r="H26" s="108"/>
      <c r="I26" s="109"/>
      <c r="AC26" s="50"/>
    </row>
    <row r="27" spans="3:29" ht="34.5" customHeight="1">
      <c r="G27" s="92"/>
      <c r="H27" s="108"/>
      <c r="I27" s="109"/>
      <c r="AC27" s="50"/>
    </row>
    <row r="28" spans="3:29" ht="35.25" customHeight="1" thickBot="1">
      <c r="G28" s="93"/>
      <c r="H28" s="110"/>
      <c r="I28" s="111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A639" sqref="A639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1845</v>
      </c>
      <c r="B637" t="s">
        <v>1848</v>
      </c>
      <c r="D637" s="44" t="s">
        <v>1616</v>
      </c>
      <c r="E637" s="44" t="s">
        <v>1754</v>
      </c>
    </row>
    <row r="638" spans="1:5">
      <c r="A638" s="44" t="s">
        <v>1847</v>
      </c>
      <c r="B638" t="s">
        <v>1848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29:A1048576 A618:A627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HESAPLAYICI</vt:lpstr>
      <vt:lpstr>FİYAT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2026-09-10T10:30:00Z</dcterms:modified>
</cp:coreProperties>
</file>