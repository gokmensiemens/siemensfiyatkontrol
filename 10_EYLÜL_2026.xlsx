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3102" documentId="8_{04D112BD-6BD0-48D2-BCD0-B02DB0158664}" xr6:coauthVersionLast="47" xr6:coauthVersionMax="47" xr10:uidLastSave="{C556E12B-B6A6-4EB8-8FDF-865260EAE1C1}"/>
  <bookViews>
    <workbookView xWindow="-120" yWindow="-120" windowWidth="29040" windowHeight="15720" xr2:uid="{1E52CA65-F887-4B64-9670-ADEB1436F142}"/>
  </bookViews>
  <sheets>
    <sheet name="Sayfa1" sheetId="13" r:id="rId1"/>
    <sheet name="HESAPLAYICI" sheetId="2" r:id="rId2"/>
    <sheet name="Bundle Kampanya" sheetId="12" r:id="rId3"/>
    <sheet name="ÜRÜNLER" sheetId="7" r:id="rId4"/>
  </sheets>
  <definedNames>
    <definedName name="_xlnm._FilterDatabase" localSheetId="0" hidden="1">Sayfa1!$A$1:$Z$487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" l="1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2" i="13"/>
  <c r="N489" i="13"/>
  <c r="N488" i="13"/>
  <c r="N487" i="13"/>
  <c r="N486" i="13"/>
  <c r="N485" i="13"/>
  <c r="N484" i="13"/>
  <c r="N483" i="13"/>
  <c r="N482" i="13"/>
  <c r="N481" i="13"/>
  <c r="N480" i="13"/>
  <c r="N479" i="13"/>
  <c r="N478" i="13"/>
  <c r="N477" i="13"/>
  <c r="N476" i="13"/>
  <c r="N475" i="13"/>
  <c r="N474" i="13"/>
  <c r="N473" i="13"/>
  <c r="N472" i="13"/>
  <c r="N470" i="13"/>
  <c r="N469" i="13"/>
  <c r="N468" i="13"/>
  <c r="N467" i="13"/>
  <c r="N466" i="13"/>
  <c r="N465" i="13"/>
  <c r="N464" i="13"/>
  <c r="N463" i="13"/>
  <c r="N462" i="13"/>
  <c r="N461" i="13"/>
  <c r="N460" i="13"/>
  <c r="N459" i="13"/>
  <c r="N458" i="13"/>
  <c r="N457" i="13"/>
  <c r="N456" i="13"/>
  <c r="N455" i="13"/>
  <c r="N454" i="13"/>
  <c r="N453" i="13"/>
  <c r="N452" i="13"/>
  <c r="N451" i="13"/>
  <c r="N450" i="13"/>
  <c r="N449" i="13"/>
  <c r="N448" i="13"/>
  <c r="N447" i="13"/>
  <c r="N446" i="13"/>
  <c r="N445" i="13"/>
  <c r="N444" i="13"/>
  <c r="N443" i="13"/>
  <c r="N442" i="13"/>
  <c r="N441" i="13"/>
  <c r="N440" i="13"/>
  <c r="N439" i="13"/>
  <c r="N438" i="13"/>
  <c r="N436" i="13"/>
  <c r="N435" i="13"/>
  <c r="N434" i="13"/>
  <c r="N433" i="13"/>
  <c r="N432" i="13"/>
  <c r="N431" i="13"/>
  <c r="N430" i="13"/>
  <c r="N429" i="13"/>
  <c r="N428" i="13"/>
  <c r="N427" i="13"/>
  <c r="N426" i="13"/>
  <c r="N425" i="13"/>
  <c r="N424" i="13"/>
  <c r="N423" i="13"/>
  <c r="N422" i="13"/>
  <c r="N421" i="13"/>
  <c r="N420" i="13"/>
  <c r="N437" i="13" s="1"/>
  <c r="N418" i="13"/>
  <c r="N417" i="13"/>
  <c r="N416" i="13"/>
  <c r="N415" i="13"/>
  <c r="N414" i="13"/>
  <c r="N413" i="13"/>
  <c r="N412" i="13"/>
  <c r="N411" i="13"/>
  <c r="N410" i="13"/>
  <c r="N409" i="13"/>
  <c r="N408" i="13"/>
  <c r="N407" i="13"/>
  <c r="N406" i="13"/>
  <c r="N405" i="13"/>
  <c r="N404" i="13"/>
  <c r="N403" i="13"/>
  <c r="N402" i="13"/>
  <c r="N401" i="13"/>
  <c r="N400" i="13"/>
  <c r="N399" i="13"/>
  <c r="N398" i="13"/>
  <c r="N397" i="13"/>
  <c r="N396" i="13"/>
  <c r="N395" i="13"/>
  <c r="N394" i="13"/>
  <c r="N393" i="13"/>
  <c r="N392" i="13"/>
  <c r="N391" i="13"/>
  <c r="N390" i="13"/>
  <c r="N389" i="13"/>
  <c r="N388" i="13"/>
  <c r="N387" i="13"/>
  <c r="N386" i="13"/>
  <c r="N419" i="13" s="1"/>
  <c r="N385" i="13"/>
  <c r="N384" i="13"/>
  <c r="N382" i="13"/>
  <c r="N381" i="13"/>
  <c r="N380" i="13"/>
  <c r="N379" i="13"/>
  <c r="N377" i="13"/>
  <c r="N376" i="13"/>
  <c r="N375" i="13"/>
  <c r="N374" i="13"/>
  <c r="N373" i="13"/>
  <c r="N372" i="13"/>
  <c r="N371" i="13"/>
  <c r="N370" i="13"/>
  <c r="N369" i="13"/>
  <c r="N368" i="13"/>
  <c r="N378" i="13" s="1"/>
  <c r="N366" i="13"/>
  <c r="N365" i="13"/>
  <c r="N364" i="13"/>
  <c r="N363" i="13"/>
  <c r="N362" i="13"/>
  <c r="N361" i="13"/>
  <c r="N367" i="13" s="1"/>
  <c r="N359" i="13"/>
  <c r="N358" i="13"/>
  <c r="N357" i="13"/>
  <c r="N356" i="13"/>
  <c r="N355" i="13"/>
  <c r="N354" i="13"/>
  <c r="N353" i="13"/>
  <c r="N352" i="13"/>
  <c r="N351" i="13"/>
  <c r="N350" i="13"/>
  <c r="N349" i="13"/>
  <c r="N348" i="13"/>
  <c r="N347" i="13"/>
  <c r="N346" i="13"/>
  <c r="N345" i="13"/>
  <c r="N344" i="13"/>
  <c r="N343" i="13"/>
  <c r="N342" i="13"/>
  <c r="N341" i="13"/>
  <c r="N340" i="13"/>
  <c r="N339" i="13"/>
  <c r="N338" i="13"/>
  <c r="N337" i="13"/>
  <c r="N336" i="13"/>
  <c r="N335" i="13"/>
  <c r="N334" i="13"/>
  <c r="N333" i="13"/>
  <c r="N332" i="13"/>
  <c r="N331" i="13"/>
  <c r="N330" i="13"/>
  <c r="N329" i="13"/>
  <c r="N328" i="13"/>
  <c r="N327" i="13"/>
  <c r="N326" i="13"/>
  <c r="N325" i="13"/>
  <c r="N324" i="13"/>
  <c r="N323" i="13"/>
  <c r="N322" i="13"/>
  <c r="N321" i="13"/>
  <c r="N320" i="13"/>
  <c r="N319" i="13"/>
  <c r="N318" i="13"/>
  <c r="N317" i="13"/>
  <c r="N316" i="13"/>
  <c r="N315" i="13"/>
  <c r="N314" i="13"/>
  <c r="N313" i="13"/>
  <c r="N312" i="13"/>
  <c r="N311" i="13"/>
  <c r="N310" i="13"/>
  <c r="N309" i="13"/>
  <c r="N308" i="13"/>
  <c r="N307" i="13"/>
  <c r="N306" i="13"/>
  <c r="N305" i="13"/>
  <c r="N304" i="13"/>
  <c r="N360" i="13" s="1"/>
  <c r="N303" i="13"/>
  <c r="N302" i="13"/>
  <c r="N301" i="13"/>
  <c r="N300" i="13"/>
  <c r="N299" i="13"/>
  <c r="N298" i="13"/>
  <c r="N297" i="13"/>
  <c r="N296" i="13"/>
  <c r="N295" i="13"/>
  <c r="N294" i="13"/>
  <c r="N292" i="13"/>
  <c r="N291" i="13"/>
  <c r="N290" i="13"/>
  <c r="N289" i="13"/>
  <c r="N288" i="13"/>
  <c r="N287" i="13"/>
  <c r="N286" i="13"/>
  <c r="N285" i="13"/>
  <c r="N284" i="13"/>
  <c r="N283" i="13"/>
  <c r="N282" i="13"/>
  <c r="N293" i="13" s="1"/>
  <c r="N280" i="13"/>
  <c r="N279" i="13"/>
  <c r="N278" i="13"/>
  <c r="N277" i="13"/>
  <c r="N276" i="13"/>
  <c r="N275" i="13"/>
  <c r="N274" i="13"/>
  <c r="N273" i="13"/>
  <c r="N272" i="13"/>
  <c r="N271" i="13"/>
  <c r="N270" i="13"/>
  <c r="N269" i="13"/>
  <c r="N268" i="13"/>
  <c r="N267" i="13"/>
  <c r="N266" i="13"/>
  <c r="N265" i="13"/>
  <c r="N264" i="13"/>
  <c r="N263" i="13"/>
  <c r="N262" i="13"/>
  <c r="N261" i="13"/>
  <c r="N260" i="13"/>
  <c r="N259" i="13"/>
  <c r="N258" i="13"/>
  <c r="N257" i="13"/>
  <c r="N256" i="13"/>
  <c r="N255" i="13"/>
  <c r="N254" i="13"/>
  <c r="N253" i="13"/>
  <c r="N252" i="13"/>
  <c r="N251" i="13"/>
  <c r="N250" i="13"/>
  <c r="N249" i="13"/>
  <c r="N248" i="13"/>
  <c r="N247" i="13"/>
  <c r="N246" i="13"/>
  <c r="N245" i="13"/>
  <c r="N244" i="13"/>
  <c r="N243" i="13"/>
  <c r="N242" i="13"/>
  <c r="N241" i="13"/>
  <c r="N240" i="13"/>
  <c r="N239" i="13"/>
  <c r="N238" i="13"/>
  <c r="N237" i="13"/>
  <c r="N236" i="13"/>
  <c r="N235" i="13"/>
  <c r="N234" i="13"/>
  <c r="N233" i="13"/>
  <c r="N232" i="13"/>
  <c r="N281" i="13" s="1"/>
  <c r="N231" i="13"/>
  <c r="N229" i="13"/>
  <c r="N228" i="13"/>
  <c r="N227" i="13"/>
  <c r="N226" i="13"/>
  <c r="N225" i="13"/>
  <c r="N224" i="13"/>
  <c r="N223" i="13"/>
  <c r="N222" i="13"/>
  <c r="N221" i="13"/>
  <c r="N220" i="13"/>
  <c r="N219" i="13"/>
  <c r="N218" i="13"/>
  <c r="N217" i="13"/>
  <c r="N216" i="13"/>
  <c r="N215" i="13"/>
  <c r="N214" i="13"/>
  <c r="N213" i="13"/>
  <c r="N212" i="13"/>
  <c r="N230" i="13" s="1"/>
  <c r="N210" i="13"/>
  <c r="N209" i="13"/>
  <c r="N208" i="13"/>
  <c r="N207" i="13"/>
  <c r="N206" i="13"/>
  <c r="N205" i="13"/>
  <c r="N204" i="13"/>
  <c r="N203" i="13"/>
  <c r="N202" i="13"/>
  <c r="N201" i="13"/>
  <c r="N200" i="13"/>
  <c r="N199" i="13"/>
  <c r="N198" i="13"/>
  <c r="N197" i="13"/>
  <c r="N196" i="13"/>
  <c r="N195" i="13"/>
  <c r="N194" i="13"/>
  <c r="N193" i="13"/>
  <c r="N192" i="13"/>
  <c r="N191" i="13"/>
  <c r="N190" i="13"/>
  <c r="N189" i="13"/>
  <c r="N188" i="13"/>
  <c r="N187" i="13"/>
  <c r="N186" i="13"/>
  <c r="N185" i="13"/>
  <c r="N184" i="13"/>
  <c r="N183" i="13"/>
  <c r="N182" i="13"/>
  <c r="N181" i="13"/>
  <c r="N180" i="13"/>
  <c r="N179" i="13"/>
  <c r="N178" i="13"/>
  <c r="N177" i="13"/>
  <c r="N176" i="13"/>
  <c r="N175" i="13"/>
  <c r="N174" i="13"/>
  <c r="N173" i="13"/>
  <c r="N172" i="13"/>
  <c r="N171" i="13"/>
  <c r="N211" i="13" s="1"/>
  <c r="N169" i="13"/>
  <c r="N168" i="13"/>
  <c r="N167" i="13"/>
  <c r="N166" i="13"/>
  <c r="N165" i="13"/>
  <c r="N164" i="13"/>
  <c r="N163" i="13"/>
  <c r="N162" i="13"/>
  <c r="N161" i="13"/>
  <c r="N160" i="13"/>
  <c r="N159" i="13"/>
  <c r="N158" i="13"/>
  <c r="N157" i="13"/>
  <c r="N156" i="13"/>
  <c r="N155" i="13"/>
  <c r="N154" i="13"/>
  <c r="N153" i="13"/>
  <c r="N152" i="13"/>
  <c r="N170" i="13" s="1"/>
  <c r="N151" i="13"/>
  <c r="N150" i="13"/>
  <c r="N149" i="13"/>
  <c r="N147" i="13"/>
  <c r="N146" i="13"/>
  <c r="N145" i="13"/>
  <c r="N144" i="13"/>
  <c r="N143" i="13"/>
  <c r="N142" i="13"/>
  <c r="N141" i="13"/>
  <c r="N140" i="13"/>
  <c r="N139" i="13"/>
  <c r="N138" i="13"/>
  <c r="N137" i="13"/>
  <c r="N136" i="13"/>
  <c r="N135" i="13"/>
  <c r="N134" i="13"/>
  <c r="N133" i="13"/>
  <c r="N132" i="13"/>
  <c r="N131" i="13"/>
  <c r="N130" i="13"/>
  <c r="N129" i="13"/>
  <c r="N128" i="13"/>
  <c r="N127" i="13"/>
  <c r="N126" i="13"/>
  <c r="N125" i="13"/>
  <c r="N124" i="13"/>
  <c r="N123" i="13"/>
  <c r="N122" i="13"/>
  <c r="N148" i="13" s="1"/>
  <c r="N120" i="13"/>
  <c r="N119" i="13"/>
  <c r="N118" i="13"/>
  <c r="N117" i="13"/>
  <c r="N116" i="13"/>
  <c r="N115" i="13"/>
  <c r="N114" i="13"/>
  <c r="N113" i="13"/>
  <c r="N112" i="13"/>
  <c r="N121" i="13" s="1"/>
  <c r="N111" i="13"/>
  <c r="N110" i="13"/>
  <c r="N109" i="13"/>
  <c r="N107" i="13"/>
  <c r="N106" i="13"/>
  <c r="N105" i="13"/>
  <c r="N104" i="13"/>
  <c r="N103" i="13"/>
  <c r="N102" i="13"/>
  <c r="N101" i="13"/>
  <c r="N100" i="13"/>
  <c r="N99" i="13"/>
  <c r="N98" i="13"/>
  <c r="N97" i="13"/>
  <c r="N96" i="13"/>
  <c r="N95" i="13"/>
  <c r="N94" i="13"/>
  <c r="N93" i="13"/>
  <c r="N92" i="13"/>
  <c r="N91" i="13"/>
  <c r="N90" i="13"/>
  <c r="N89" i="13"/>
  <c r="N88" i="13"/>
  <c r="N87" i="13"/>
  <c r="N86" i="13"/>
  <c r="N85" i="13"/>
  <c r="N84" i="13"/>
  <c r="N83" i="13"/>
  <c r="N82" i="13"/>
  <c r="N81" i="13"/>
  <c r="N80" i="13"/>
  <c r="N79" i="13"/>
  <c r="N78" i="13"/>
  <c r="N108" i="13" s="1"/>
  <c r="N77" i="13"/>
  <c r="N76" i="13"/>
  <c r="N74" i="13"/>
  <c r="N73" i="13"/>
  <c r="N72" i="13"/>
  <c r="N71" i="13"/>
  <c r="N70" i="13"/>
  <c r="N69" i="13"/>
  <c r="N68" i="13"/>
  <c r="N67" i="13"/>
  <c r="N66" i="13"/>
  <c r="N65" i="13"/>
  <c r="N64" i="13"/>
  <c r="N63" i="13"/>
  <c r="N62" i="13"/>
  <c r="N61" i="13"/>
  <c r="N75" i="13" s="1"/>
  <c r="N59" i="13"/>
  <c r="N58" i="13"/>
  <c r="N57" i="13"/>
  <c r="N56" i="13"/>
  <c r="N55" i="13"/>
  <c r="N54" i="13"/>
  <c r="N53" i="13"/>
  <c r="N52" i="13"/>
  <c r="N51" i="13"/>
  <c r="N50" i="13"/>
  <c r="N60" i="13" s="1"/>
  <c r="O49" i="13"/>
  <c r="N48" i="13"/>
  <c r="N47" i="13"/>
  <c r="N46" i="13"/>
  <c r="N45" i="13"/>
  <c r="N44" i="13"/>
  <c r="N43" i="13"/>
  <c r="N42" i="13"/>
  <c r="N41" i="13"/>
  <c r="N40" i="13"/>
  <c r="N39" i="13"/>
  <c r="N38" i="13"/>
  <c r="N37" i="13"/>
  <c r="N36" i="13"/>
  <c r="N35" i="13"/>
  <c r="N34" i="13"/>
  <c r="N33" i="13"/>
  <c r="N32" i="13"/>
  <c r="N31" i="13"/>
  <c r="N30" i="13"/>
  <c r="N29" i="13"/>
  <c r="N28" i="13"/>
  <c r="N27" i="13"/>
  <c r="N26" i="13"/>
  <c r="N25" i="13"/>
  <c r="N24" i="13"/>
  <c r="N23" i="13"/>
  <c r="N22" i="13"/>
  <c r="N21" i="13"/>
  <c r="N20" i="13"/>
  <c r="N19" i="13"/>
  <c r="N18" i="13"/>
  <c r="N17" i="13"/>
  <c r="N16" i="13"/>
  <c r="N15" i="13"/>
  <c r="N14" i="13"/>
  <c r="N13" i="13"/>
  <c r="N12" i="13"/>
  <c r="N11" i="13"/>
  <c r="N10" i="13"/>
  <c r="N9" i="13"/>
  <c r="N8" i="13"/>
  <c r="N7" i="13"/>
  <c r="N6" i="13"/>
  <c r="X5" i="13"/>
  <c r="N5" i="13"/>
  <c r="N4" i="13"/>
  <c r="N3" i="13"/>
  <c r="N2" i="13"/>
  <c r="N49" i="13" s="1"/>
  <c r="F15" i="2" l="1"/>
  <c r="E15" i="2"/>
  <c r="E13" i="2" l="1"/>
  <c r="E14" i="2"/>
  <c r="E12" i="2"/>
  <c r="F14" i="2"/>
  <c r="F13" i="2"/>
  <c r="F12" i="2"/>
  <c r="E16" i="2" l="1"/>
  <c r="E17" i="2" s="1"/>
  <c r="F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Sedat</author>
  </authors>
  <commentList>
    <comment ref="F364" authorId="0" shapeId="0" xr:uid="{B8E29AE8-4286-46E8-AED7-371C68A91909}">
      <text>
        <r>
          <rPr>
            <b/>
            <sz val="9"/>
            <color indexed="81"/>
            <rFont val="Tahoma"/>
            <family val="2"/>
            <charset val="162"/>
          </rPr>
          <t>Sedat:</t>
        </r>
        <r>
          <rPr>
            <sz val="9"/>
            <color indexed="81"/>
            <rFont val="Tahoma"/>
            <family val="2"/>
            <charset val="162"/>
          </rPr>
          <t xml:space="preserve">
KAPALI KUTU SAĞLAM</t>
        </r>
      </text>
    </comment>
  </commentList>
</comments>
</file>

<file path=xl/sharedStrings.xml><?xml version="1.0" encoding="utf-8"?>
<sst xmlns="http://schemas.openxmlformats.org/spreadsheetml/2006/main" count="4049" uniqueCount="1850">
  <si>
    <t>STOK KODU</t>
  </si>
  <si>
    <t>AÇIKLAMA</t>
  </si>
  <si>
    <t>STUDIO LINE CEPA</t>
  </si>
  <si>
    <t xml:space="preserve">ONE TOWER </t>
  </si>
  <si>
    <t xml:space="preserve">PANORA </t>
  </si>
  <si>
    <t>TOPLAM STOK</t>
  </si>
  <si>
    <t>HAVALE FİYATI</t>
  </si>
  <si>
    <t>TEK ÇEKİM FİYATI</t>
  </si>
  <si>
    <t>KA93NVL30N</t>
  </si>
  <si>
    <t>KF96RSBEA</t>
  </si>
  <si>
    <t>KF96NAXEA</t>
  </si>
  <si>
    <t>KF96NVPEA</t>
  </si>
  <si>
    <t>KD43NNWE0N</t>
  </si>
  <si>
    <t>KD55NNWE0N</t>
  </si>
  <si>
    <t>KD56NXWF1N</t>
  </si>
  <si>
    <t>KD76NAIE0N</t>
  </si>
  <si>
    <t>KD76NAIE1N</t>
  </si>
  <si>
    <t>KD76NHID1N</t>
  </si>
  <si>
    <t>KD76NXIE1N</t>
  </si>
  <si>
    <t>KD76NXWE1N</t>
  </si>
  <si>
    <t>KD86NAID1N</t>
  </si>
  <si>
    <t>KD86NAIE0N</t>
  </si>
  <si>
    <t>KD86NAWE0N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</si>
  <si>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</si>
  <si>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</si>
  <si>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</si>
  <si>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</si>
  <si>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</si>
  <si>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</si>
  <si>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</si>
  <si>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KG56NLBE0N</t>
  </si>
  <si>
    <t>KG56NQWF0N</t>
  </si>
  <si>
    <t>KG56NTEE0N</t>
  </si>
  <si>
    <t>KG56NTWE0N</t>
  </si>
  <si>
    <t>KG56NXWE0N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</si>
  <si>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</si>
  <si>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</si>
  <si>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</si>
  <si>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</si>
  <si>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</si>
  <si>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</si>
  <si>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</si>
  <si>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</si>
  <si>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</si>
  <si>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</si>
  <si>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</si>
  <si>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KG86PAXB0N</t>
  </si>
  <si>
    <t>KG86PAIC0N</t>
  </si>
  <si>
    <t>KG86PFIC0N</t>
  </si>
  <si>
    <t>KG86PFWC0N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</si>
  <si>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</si>
  <si>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</si>
  <si>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</si>
  <si>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</si>
  <si>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</si>
  <si>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</si>
  <si>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</si>
  <si>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GS36NVWF0N</t>
  </si>
  <si>
    <t>GS54NVWE0N</t>
  </si>
  <si>
    <t>CI24WP03</t>
  </si>
  <si>
    <t>CI30BP02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</si>
  <si>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</si>
  <si>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</si>
  <si>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</si>
  <si>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</si>
  <si>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</si>
  <si>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</si>
  <si>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</si>
  <si>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</si>
  <si>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</si>
  <si>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KB96NADD0</t>
  </si>
  <si>
    <t>ÇAMAŞIR MAKİNASI</t>
  </si>
  <si>
    <t>WA12LPH0TR</t>
  </si>
  <si>
    <t>WG42A1X2TR</t>
  </si>
  <si>
    <t>WG42A2X3TR</t>
  </si>
  <si>
    <t>WG42K2Z0TR</t>
  </si>
  <si>
    <t>WG42K2ZXTR</t>
  </si>
  <si>
    <t>WG44A2Z1TR</t>
  </si>
  <si>
    <t>WG44A2ZRTR</t>
  </si>
  <si>
    <t>WG44B2A0TR</t>
  </si>
  <si>
    <t>WG44K2Z0TR</t>
  </si>
  <si>
    <t>WG52A202TR</t>
  </si>
  <si>
    <t>WG52A2A0TR</t>
  </si>
  <si>
    <t>WG52A2F0TR</t>
  </si>
  <si>
    <t>WG52A2ZXTR</t>
  </si>
  <si>
    <t>WG52K2Z0TR</t>
  </si>
  <si>
    <t>WG52K2ZXTR</t>
  </si>
  <si>
    <t>WG54A2Z0TR</t>
  </si>
  <si>
    <t>WG54B2A1TR</t>
  </si>
  <si>
    <t>WG54B2ASTR</t>
  </si>
  <si>
    <t>WG64K2F0TR</t>
  </si>
  <si>
    <t>WG64K2Z0TR</t>
  </si>
  <si>
    <t>WG64K2ZRTR</t>
  </si>
  <si>
    <t>WM12N200TR</t>
  </si>
  <si>
    <t>WM14UP91TR</t>
  </si>
  <si>
    <t>WM14XE50TR</t>
  </si>
  <si>
    <t>WN54C2A0TR</t>
  </si>
  <si>
    <t>KURUTMA MAKİNASI</t>
  </si>
  <si>
    <t>WQ42J200TR</t>
  </si>
  <si>
    <t>WQ43J2C0TR</t>
  </si>
  <si>
    <t>WT00H201TR</t>
  </si>
  <si>
    <t>WQ41G2C0TR</t>
  </si>
  <si>
    <t>WQ42A201TR</t>
  </si>
  <si>
    <t>WQ44G2C1TR</t>
  </si>
  <si>
    <t>WQ45B2A0TR</t>
  </si>
  <si>
    <t>WQ45B2AXTR</t>
  </si>
  <si>
    <t>WQ51G200TR</t>
  </si>
  <si>
    <t>WQ52K200TR</t>
  </si>
  <si>
    <t>BULAŞIK MAK.</t>
  </si>
  <si>
    <t>SN25EI63MT</t>
  </si>
  <si>
    <t>SN15EW00KT</t>
  </si>
  <si>
    <t>SN15EI00KT</t>
  </si>
  <si>
    <t>SN15EC00NT</t>
  </si>
  <si>
    <t>SN216I00DT</t>
  </si>
  <si>
    <t>SN216W00DT</t>
  </si>
  <si>
    <t>SN23EW63KT</t>
  </si>
  <si>
    <t>SN23HB62MT</t>
  </si>
  <si>
    <t>SN23HW62MT</t>
  </si>
  <si>
    <t>SN23HY62MT</t>
  </si>
  <si>
    <t>SN23IC62MT</t>
  </si>
  <si>
    <t>SN23II62KT</t>
  </si>
  <si>
    <t>SN23II62MT</t>
  </si>
  <si>
    <t>SN23IW62KT</t>
  </si>
  <si>
    <t>SN23IW62MT</t>
  </si>
  <si>
    <t>SN23EI62KT</t>
  </si>
  <si>
    <t>SN23EW62KT</t>
  </si>
  <si>
    <t>SN25EI63KT</t>
  </si>
  <si>
    <t>SN25EW63KT</t>
  </si>
  <si>
    <t>SN25EI70MT</t>
  </si>
  <si>
    <t>SN25EI82AT</t>
  </si>
  <si>
    <t>SN25EW70MT</t>
  </si>
  <si>
    <t>SN25HW80MT</t>
  </si>
  <si>
    <t>SN25EI83CT</t>
  </si>
  <si>
    <t>SN27YI82DT</t>
  </si>
  <si>
    <t>SN515B01DT</t>
  </si>
  <si>
    <t>SN515W01DT</t>
  </si>
  <si>
    <t>SN515W00DT</t>
  </si>
  <si>
    <t>SN53IS62MT</t>
  </si>
  <si>
    <t>SN53IW50KT</t>
  </si>
  <si>
    <t>SN53IS50KT</t>
  </si>
  <si>
    <t>SN55ES80KT</t>
  </si>
  <si>
    <t>SN55ES82KT</t>
  </si>
  <si>
    <t>SN57ZS80DT</t>
  </si>
  <si>
    <t>SN57ZS82DT</t>
  </si>
  <si>
    <t>SN616X00DT</t>
  </si>
  <si>
    <t>SN63HX60MT</t>
  </si>
  <si>
    <t>SN63HX62MT</t>
  </si>
  <si>
    <t>SN75EX11CE</t>
  </si>
  <si>
    <t>SN97T801BE</t>
  </si>
  <si>
    <t>SN85E801BE</t>
  </si>
  <si>
    <t>SX95EX12CE</t>
  </si>
  <si>
    <t>ANKASTRE FIRIN / LDA</t>
  </si>
  <si>
    <t>HR232GEB3</t>
  </si>
  <si>
    <t>HJ852GYB0T</t>
  </si>
  <si>
    <t>HJ852GYW0T</t>
  </si>
  <si>
    <t>HJ852GYN0T</t>
  </si>
  <si>
    <t>HU717ABV0T</t>
  </si>
  <si>
    <t>HU717ABA0T</t>
  </si>
  <si>
    <t>HU717ABN0T</t>
  </si>
  <si>
    <t>HU736AEA0T</t>
  </si>
  <si>
    <t>HU736AEG0T</t>
  </si>
  <si>
    <t>HU736AEN0T</t>
  </si>
  <si>
    <t>HU736AEV0T</t>
  </si>
  <si>
    <t>HB012FBB1T</t>
  </si>
  <si>
    <t>HB012FBH1T</t>
  </si>
  <si>
    <t>HB012FBW1T</t>
  </si>
  <si>
    <t>HB134FES1T</t>
  </si>
  <si>
    <t>HB214FBS0T</t>
  </si>
  <si>
    <t>HB214FBW0T</t>
  </si>
  <si>
    <t>HB234FEH0T</t>
  </si>
  <si>
    <t>HB234FEH2T</t>
  </si>
  <si>
    <t>HB237FEG0T</t>
  </si>
  <si>
    <t>HB478G5B6</t>
  </si>
  <si>
    <t>HB237JES5T</t>
  </si>
  <si>
    <t>HB514FBR1T</t>
  </si>
  <si>
    <t>HB534FER0T</t>
  </si>
  <si>
    <t>HB557JEB6T</t>
  </si>
  <si>
    <t>HB557JYH0T</t>
  </si>
  <si>
    <t>HB557JYS0T</t>
  </si>
  <si>
    <t>HB557JYS5T</t>
  </si>
  <si>
    <t>HB557JYW5T</t>
  </si>
  <si>
    <t>HB655GNW1</t>
  </si>
  <si>
    <t>HB676G5S6</t>
  </si>
  <si>
    <t>HB734G1B1</t>
  </si>
  <si>
    <t>HB734G1W1</t>
  </si>
  <si>
    <t>HB776G1B1</t>
  </si>
  <si>
    <t>HB778G3B1</t>
  </si>
  <si>
    <t>HB876G8B6</t>
  </si>
  <si>
    <t>HI133FES0T</t>
  </si>
  <si>
    <t>HN678G4S6</t>
  </si>
  <si>
    <t>HR538ABS1</t>
  </si>
  <si>
    <t>HR776G3B1</t>
  </si>
  <si>
    <t>HS636GDS2</t>
  </si>
  <si>
    <t>HS858KXB6</t>
  </si>
  <si>
    <t>HB976GMB1</t>
  </si>
  <si>
    <t>HN978GQB1</t>
  </si>
  <si>
    <t>CM978GNB1</t>
  </si>
  <si>
    <t>CD634GAS0</t>
  </si>
  <si>
    <t>CD714GXB1</t>
  </si>
  <si>
    <t>CN838GRB6</t>
  </si>
  <si>
    <t>HZ429000</t>
  </si>
  <si>
    <t>HZ9VRUD0</t>
  </si>
  <si>
    <t xml:space="preserve">MİKRODALGA </t>
  </si>
  <si>
    <t>BE525LMB2</t>
  </si>
  <si>
    <t>BE525LMH2</t>
  </si>
  <si>
    <t>BE525LMG2</t>
  </si>
  <si>
    <t>BE525LMW2</t>
  </si>
  <si>
    <t>BE525LMS0</t>
  </si>
  <si>
    <t>BE555LMS0</t>
  </si>
  <si>
    <t>BE555LMB2</t>
  </si>
  <si>
    <t>BE732L1B1</t>
  </si>
  <si>
    <t>BF520LMA1</t>
  </si>
  <si>
    <t>BF520LMR0</t>
  </si>
  <si>
    <t>BF525LMS0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</si>
  <si>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</si>
  <si>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</si>
  <si>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</si>
  <si>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</si>
  <si>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</si>
  <si>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</si>
  <si>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</si>
  <si>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</si>
  <si>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</si>
  <si>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</si>
  <si>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LC64PCC20T</t>
  </si>
  <si>
    <t>LC64PCC50T</t>
  </si>
  <si>
    <t>LC64PCC60T</t>
  </si>
  <si>
    <t>LC63KPJ20T</t>
  </si>
  <si>
    <t>LC63KPJ60T</t>
  </si>
  <si>
    <t>LC63KPJ61T</t>
  </si>
  <si>
    <t>LC65BBC50T</t>
  </si>
  <si>
    <t>LC66BBM50</t>
  </si>
  <si>
    <t>LC65FCJ20T</t>
  </si>
  <si>
    <t>LC65FCJ60T</t>
  </si>
  <si>
    <t>LC65KA670T</t>
  </si>
  <si>
    <t>LC65KAJ60T</t>
  </si>
  <si>
    <t>LC64KPJ20T</t>
  </si>
  <si>
    <t>LC64KPJ60T</t>
  </si>
  <si>
    <t>LC64KPJ70T</t>
  </si>
  <si>
    <t>LC66KPJ20T</t>
  </si>
  <si>
    <t>LC66KPJ60T</t>
  </si>
  <si>
    <t>LC66KPJ70T</t>
  </si>
  <si>
    <t>LC67BBK20T</t>
  </si>
  <si>
    <t>LC67BBK60T</t>
  </si>
  <si>
    <t>LC65FCJ00T</t>
  </si>
  <si>
    <t>LC67FCK20T</t>
  </si>
  <si>
    <t>LC67FCK60T</t>
  </si>
  <si>
    <t>LC67KPJ60T</t>
  </si>
  <si>
    <t>LC67KPJ70T</t>
  </si>
  <si>
    <t>LC68KAK60T</t>
  </si>
  <si>
    <t>LC67KPJ20T</t>
  </si>
  <si>
    <t>LC67KPJ30T</t>
  </si>
  <si>
    <t>LC77BHM50</t>
  </si>
  <si>
    <t>LC91KLT60</t>
  </si>
  <si>
    <t>LC91KLT65</t>
  </si>
  <si>
    <t>LC95BBC50T</t>
  </si>
  <si>
    <t>LC95FCJ00T</t>
  </si>
  <si>
    <t>LC95FCJ20T</t>
  </si>
  <si>
    <t>LC95FCJ70T</t>
  </si>
  <si>
    <t>LC95KA270T</t>
  </si>
  <si>
    <t>LC97BBM50T</t>
  </si>
  <si>
    <t>LC97FQP60</t>
  </si>
  <si>
    <t>LC97FVP60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</si>
  <si>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</si>
  <si>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</si>
  <si>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</si>
  <si>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</si>
  <si>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</si>
  <si>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</si>
  <si>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</si>
  <si>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LR18HLT65</t>
  </si>
  <si>
    <t>LD88WMM65</t>
  </si>
  <si>
    <t>LF97BBM50</t>
  </si>
  <si>
    <t>LF98BIR55</t>
  </si>
  <si>
    <t>LI63TCA11T</t>
  </si>
  <si>
    <t>LI63TCA21T</t>
  </si>
  <si>
    <t>LB56NAC50</t>
  </si>
  <si>
    <t>LB53NAA30</t>
  </si>
  <si>
    <t>LB88NPC60</t>
  </si>
  <si>
    <t>LB87NAC50</t>
  </si>
  <si>
    <t>ANKASTRE OCAK / MDA</t>
  </si>
  <si>
    <t>EB0C2PB82O</t>
  </si>
  <si>
    <t>EB0C5PB82O</t>
  </si>
  <si>
    <t>EB6C2PB82O</t>
  </si>
  <si>
    <t>EB6C5YB82L</t>
  </si>
  <si>
    <t>EB6C6PB82O</t>
  </si>
  <si>
    <t>EC6A5HB90</t>
  </si>
  <si>
    <t>EG6B5HB60O</t>
  </si>
  <si>
    <t>EG6B5PO51</t>
  </si>
  <si>
    <t>EN6B2NP40O</t>
  </si>
  <si>
    <t>EN6B8NP40O</t>
  </si>
  <si>
    <t>EN6C6HO12O</t>
  </si>
  <si>
    <t>EN6C8PO12O</t>
  </si>
  <si>
    <t>EN6C9PO12O</t>
  </si>
  <si>
    <t>EO6C2PB11O</t>
  </si>
  <si>
    <t>EO6C2PP30O</t>
  </si>
  <si>
    <t>EO6C6PB11O</t>
  </si>
  <si>
    <t>EO6C6PO90O</t>
  </si>
  <si>
    <t>EO6C6PO92O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</si>
  <si>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</si>
  <si>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</si>
  <si>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</si>
  <si>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</si>
  <si>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</si>
  <si>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</si>
  <si>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</si>
  <si>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</si>
  <si>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</si>
  <si>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</si>
  <si>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</si>
  <si>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</si>
  <si>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</si>
  <si>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</si>
  <si>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</si>
  <si>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</si>
  <si>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</si>
  <si>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</si>
  <si>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</si>
  <si>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</si>
  <si>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</si>
  <si>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</si>
  <si>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EP6A8HI40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</si>
  <si>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</si>
  <si>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</si>
  <si>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</si>
  <si>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</si>
  <si>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</si>
  <si>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</si>
  <si>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</si>
  <si>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</si>
  <si>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</si>
  <si>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</si>
  <si>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</si>
  <si>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</si>
  <si>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</si>
  <si>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</si>
  <si>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</si>
  <si>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ER3A6AB70</t>
  </si>
  <si>
    <t>EP7A6QI40O</t>
  </si>
  <si>
    <t>ER3A6BB70</t>
  </si>
  <si>
    <t>ER6A6PD70</t>
  </si>
  <si>
    <t>ET475FYB1E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</si>
  <si>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</si>
  <si>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</si>
  <si>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</si>
  <si>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</si>
  <si>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</si>
  <si>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</si>
  <si>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İNDÜKSİYONLU OCAK</t>
  </si>
  <si>
    <t>EU611AGA5E</t>
  </si>
  <si>
    <t>EX675LYV1E</t>
  </si>
  <si>
    <t>EX807NYV6E</t>
  </si>
  <si>
    <t>EX808LYV5E</t>
  </si>
  <si>
    <t>EZ877KZY1E</t>
  </si>
  <si>
    <t>EX877NX68E</t>
  </si>
  <si>
    <t>EH811BE15E</t>
  </si>
  <si>
    <t>EH975LVC1E</t>
  </si>
  <si>
    <t>EX975LXC1E</t>
  </si>
  <si>
    <t>KAHVE MAKİNASI</t>
  </si>
  <si>
    <t>CT636LES6</t>
  </si>
  <si>
    <t>CT718L1B0</t>
  </si>
  <si>
    <t>CT918L1B0</t>
  </si>
  <si>
    <t>TE651209RW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</si>
  <si>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</si>
  <si>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</si>
  <si>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</si>
  <si>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</si>
  <si>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</si>
  <si>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</si>
  <si>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</si>
  <si>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</si>
  <si>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</si>
  <si>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</si>
  <si>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</si>
  <si>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</si>
  <si>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</si>
  <si>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</si>
  <si>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TP703R09</t>
  </si>
  <si>
    <t>TP703R19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</si>
  <si>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</si>
  <si>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</si>
  <si>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</si>
  <si>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</si>
  <si>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</si>
  <si>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</si>
  <si>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</si>
  <si>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</si>
  <si>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BI630CNW1</t>
  </si>
  <si>
    <t>BI830CNB1</t>
  </si>
  <si>
    <t>TZ80001A</t>
  </si>
  <si>
    <t>TZ80002A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</si>
  <si>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</si>
  <si>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</si>
  <si>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</si>
  <si>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</si>
  <si>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</si>
  <si>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</si>
  <si>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</si>
  <si>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</si>
  <si>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</si>
  <si>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</si>
  <si>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</si>
  <si>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</si>
  <si>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</si>
  <si>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</si>
  <si>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</si>
  <si>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</si>
  <si>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</si>
  <si>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</si>
  <si>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VZ41AFP</t>
  </si>
  <si>
    <t>VZ41FGALL</t>
  </si>
  <si>
    <t>DİĞER</t>
  </si>
  <si>
    <t>DE2124407M</t>
  </si>
  <si>
    <t>DE21307M</t>
  </si>
  <si>
    <t>DW15701</t>
  </si>
  <si>
    <t>DW15702</t>
  </si>
  <si>
    <t>DW15703</t>
  </si>
  <si>
    <t>DW15704</t>
  </si>
  <si>
    <t>WB13CPB0N</t>
  </si>
  <si>
    <t>TA22005</t>
  </si>
  <si>
    <t>TC86505</t>
  </si>
  <si>
    <t>MQ66120</t>
  </si>
  <si>
    <t>MQ66155</t>
  </si>
  <si>
    <t>MQ67110</t>
  </si>
  <si>
    <t>MQ67185</t>
  </si>
  <si>
    <t>MQ955PE</t>
  </si>
  <si>
    <t>MQ96400</t>
  </si>
  <si>
    <t>MQ96580</t>
  </si>
  <si>
    <t>MR008B1</t>
  </si>
  <si>
    <t>TT86103</t>
  </si>
  <si>
    <t>TW3A0103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</si>
  <si>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</si>
  <si>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</si>
  <si>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</si>
  <si>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</si>
  <si>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</si>
  <si>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</si>
  <si>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</si>
  <si>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</si>
  <si>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</si>
  <si>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</si>
  <si>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</si>
  <si>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</si>
  <si>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</si>
  <si>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</si>
  <si>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</si>
  <si>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</si>
  <si>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</si>
  <si>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</si>
  <si>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</si>
  <si>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</si>
  <si>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</si>
  <si>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</si>
  <si>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</si>
  <si>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</si>
  <si>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</si>
  <si>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</si>
  <si>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Toplam Satış Fiyatı</t>
  </si>
  <si>
    <t>BİP İndirimi</t>
  </si>
  <si>
    <t>Satılabilir Minimum Fiyat</t>
  </si>
  <si>
    <t>Toplam Bundle İndirimi</t>
  </si>
  <si>
    <t>Toplam Bundle İndirim Tutarını Aşağıya Yaz</t>
  </si>
  <si>
    <t>EX875LX67E</t>
  </si>
  <si>
    <t>ED811BS16E</t>
  </si>
  <si>
    <t>Hakedişler LİSTE FİYATINDAN SATILIRSA geçerli olacak</t>
  </si>
  <si>
    <t>EN7B8QP30O</t>
  </si>
  <si>
    <t>Geçerli  Ankastre Fırınlar</t>
  </si>
  <si>
    <t>Geçerli  Ankastre Setler</t>
  </si>
  <si>
    <t>WQ52G201TR</t>
  </si>
  <si>
    <t>SN45EB01NT</t>
  </si>
  <si>
    <t>SN45EY01NT</t>
  </si>
  <si>
    <t>DAVLUMBAZ ENTEGRELİ İNDÜKSİYONLU OCAK</t>
  </si>
  <si>
    <t>SHAZA Akım Korumalı Akıllı Priz (Beyaz)</t>
  </si>
  <si>
    <t>SHAZA Akım Korumalı Üçlü Priz (Beyaz)</t>
  </si>
  <si>
    <t>iQ300 Gardırop Tipi Buzdolabı, 90.8cm, Inox</t>
  </si>
  <si>
    <t>iQ700 Gardırop Tipi Buzdolabı, Cam Kapı, Alkol Çekmeceli, 90.5cm, Siyah</t>
  </si>
  <si>
    <t>iQ300 Gardırop Tipi Buzdolabı, 90.5cm, BlackSteel</t>
  </si>
  <si>
    <t>iQ300 Gardırop Tipi Buzdolabı, 90.5cm, Inox</t>
  </si>
  <si>
    <t>iQ100 Üstten Donduruculu Kulpsuz Buzdolabı, 70cm, Beyaz</t>
  </si>
  <si>
    <t>iQ300 Üstten Donduruculu Kulpsuz Buzdolabı, 70cm, Beyaz</t>
  </si>
  <si>
    <t>iQ500 Üstten Donduruculu Kulplu Buzdolabı, 75cm, Inox</t>
  </si>
  <si>
    <t>iQ500 Üstten Donduruculu Kulpsuz Buzdolabı, 75cm, Inox</t>
  </si>
  <si>
    <t>iQ300 Üstten Donduruculu, Kulpsuz Buzdolabı, 75cm, Beyaz</t>
  </si>
  <si>
    <t>iQ500 Üstten Donduruculu Kulplu Buzdolabı, 86cm, Inox</t>
  </si>
  <si>
    <t>iQ500 Üstten Donduruculu Kulplu Buzdolabı, 86cm, Beyaz</t>
  </si>
  <si>
    <t>iQ100 Alttan Donduruculu Kulpsuz Buzdolabı, 60cm, Inox</t>
  </si>
  <si>
    <t>iQ300 Alttan Donduruculu Kulpsuz Buzdolabı, 70cm, Inox</t>
  </si>
  <si>
    <t>iQ300 Alttan Donduruculu Kulpsuz Buzdolabı, 70cm, Beyaz</t>
  </si>
  <si>
    <t>iQ500 Alttan Donduruculu Kulpsuz Buzdolabı, 70cm, Parlak Siyah</t>
  </si>
  <si>
    <t>iQ500 Alttan Donduruculu Kulpsuz Buzdolabı, 70cm, Seramik Desen</t>
  </si>
  <si>
    <t>iQ500 Alttan Donduruculu Kulpsuz Buzdolabı, 70cm, Mat Siyah</t>
  </si>
  <si>
    <t>iQ700 Alttan Donduruculu Kulplu Buzdolabı, 75cm, Inox</t>
  </si>
  <si>
    <t>iQ500 Alttan Donduruculu Kulplu Buzdolabı, 75cm, Inox</t>
  </si>
  <si>
    <t>iQ500 Alttan Donduruculu Kulplu Buzdolabı, 75cm, Beyaz</t>
  </si>
  <si>
    <t>iQ500 Alttan Donduruculu Kulpsuz Buzdolabı, 75cm, darkSteel</t>
  </si>
  <si>
    <t>iQ300 Alttan Donduruculu Kulpsuz Buzdolabı, 75cm, Inox</t>
  </si>
  <si>
    <t>iQ300 Alttan Donduruculu Kulpsuz Buzdolabı, 75cm, Beyaz</t>
  </si>
  <si>
    <t>iQ700 Alttan Donduruculu Kulplu Buzdolabı, 75cm, Beyaz</t>
  </si>
  <si>
    <t>iQ500 Alttan Donduruculu Kulplu Buzdolabı, 86cm, Inox</t>
  </si>
  <si>
    <t>iQ500 Alttan Donduruculu Kulplu Buzdolabı, 86cm, Beyaz</t>
  </si>
  <si>
    <t>iQ500 Alttan Donduruculu Kulpsuz Buzdolabı, 86cm, Beyaz</t>
  </si>
  <si>
    <t>iQ700 Alttan Donduruculu Kulpsuz Buzdolabı, 86cm, darkSteel</t>
  </si>
  <si>
    <t>iQ700 Alttan Donduruculu Kulplu Buzdolabı, 86cm, Inox</t>
  </si>
  <si>
    <t>iQ300 Derin Dondurucu, 146x60cm, Statik, Beyaz</t>
  </si>
  <si>
    <t>iQ300 Derin Dondurucu, 161x60cm, No-Frost, Beyaz</t>
  </si>
  <si>
    <t>iQ300 Derin Dondurucu, 161x60cm, Statik, Beyaz</t>
  </si>
  <si>
    <t>iQ300 Derin Dondurucu, 176x60cm, Statik, Inox</t>
  </si>
  <si>
    <t>iQ300 Derin Dondurucu, 176x60cm, Statik, Beyaz</t>
  </si>
  <si>
    <t>iQ300 Derin Dondurucu, 186x60cm, No-Frost, Beyaz</t>
  </si>
  <si>
    <t>iQ300 Derin Dondurucu, 176x70cm, No-Frost, Beyaz</t>
  </si>
  <si>
    <t>iQ700 studioLine Ankastre Şarap Soğutucu, 212.5x60.3cm</t>
  </si>
  <si>
    <t>iQ700 studioLine Alttan Donduruculu Ankastre Buzdolabı, 212.5x75.6cm, Düz Menteşe</t>
  </si>
  <si>
    <t>iQ700 studioLine Ankastre Buzdolabı, 212.5x75.6cm, Düz Menteşe</t>
  </si>
  <si>
    <t>iQ700 Alttan Donduruculu Ankastre Buzdolabı, 212.5x90.8cm, Düz Menteşe</t>
  </si>
  <si>
    <t>iQ700 Ankastre Derin Dondurucu, 212.5x60.3cm, Düz Menteşe</t>
  </si>
  <si>
    <t>iQ500 Tezgah Altı Ankastre Buzdolabı, 82x59.8cm, softClosing Düz Menteşe</t>
  </si>
  <si>
    <t>iQ500 Ankastre Şarap Soğutucu, 81.8x59.8cm</t>
  </si>
  <si>
    <t>iQ500 Derin Donduruculu Ankastre Buzdolabı, 177.2x55.8cm, softClosing Düz Menteşe</t>
  </si>
  <si>
    <t>iQ500 Alttan Donduruculu Ankastre Buzdolabı, 177.2x55.8cm, softClosing Düz Menteşe</t>
  </si>
  <si>
    <t>iQ500 Alttan Donduruculu Ankastre Buzdolabı, 177.2x55.8cm, Düz Menteşe</t>
  </si>
  <si>
    <t>iQ500 Alttan Donduruculu Ankastre Buzdolabı, 193.5x70.8cm, softClosing Düz Menteşe</t>
  </si>
  <si>
    <t>iQ500 Çamaşır Makinesi, 10kg/1200devir, i-dos, Beyaz</t>
  </si>
  <si>
    <t>iQ300 Çamaşır Makinesi, 9kg/1200devir, Beyaz</t>
  </si>
  <si>
    <t>iQ500 Çamaşır Makinesi, 9kg/1200devir, Beyaz</t>
  </si>
  <si>
    <t>iQ500 Çamaşır Makinesi, 9kg/1200devir, Gümüş</t>
  </si>
  <si>
    <t>iQ300 Çamaşır Makinesi, 9kg/1400devir, Beyaz</t>
  </si>
  <si>
    <t>iQ300 Çamaşır Makinesi, 9kg/1400devir, Antrasit/Dark</t>
  </si>
  <si>
    <t>iQ700 Çamaşır Makinesi, 9kg/1400devir, i-dos, Beyaz</t>
  </si>
  <si>
    <t>iQ500 Çamaşır Makinesi, 9kg/1400devir, Beyaz</t>
  </si>
  <si>
    <t>iQ300 Çamaşır Makinesi, 10kg/1200devir, Beyaz</t>
  </si>
  <si>
    <t>iQ300 Çamaşır Makinesi, 10kg/1200devir, Gümüş</t>
  </si>
  <si>
    <t>iQ500 Çamaşır Makinesi, 10kg/1200devir, Beyaz</t>
  </si>
  <si>
    <t>iQ500 Çamaşır Makinesi, 10kg/1200devir, Gümüş</t>
  </si>
  <si>
    <t>iQ300 Çamaşır Makinesi, 10kg/1400devir, Beyaz</t>
  </si>
  <si>
    <t>iQ700 Çamaşır Makinesi, 10kg/1400devir, i-dos, Beyaz</t>
  </si>
  <si>
    <t>iQ700 Çamaşır Makinesi, 10kg/1400devir, i-dos, Gümüş</t>
  </si>
  <si>
    <t>iQ500 Çamaşır Makinesi, 11kg/1400devir, i-dos, Beyaz</t>
  </si>
  <si>
    <t>iQ500 Çamaşır Makinesi, 11kg/1400devir, Beyaz</t>
  </si>
  <si>
    <t>iQ500 Çamaşır Makinesi, 9kg/1400devir, i-dos, Beyaz</t>
  </si>
  <si>
    <t>iQ700 Kurutmalı Çamaşır Makinesi, 10.5kg/6kg/1400devir, i-dos, Beyaz</t>
  </si>
  <si>
    <t>iQ500 Isı Pompalı Kurutma Makinesi, 9kg, Beyaz</t>
  </si>
  <si>
    <t>iQ300 Isı Pompalı Kurutma Makinesi, 8kg, Beyaz</t>
  </si>
  <si>
    <t>iQ300 Isı Pompalı Kurutma Makinesi, 9kg, Beyaz</t>
  </si>
  <si>
    <t>iQ500 Isı Pompalı Kurutma Makinesi, 9kg, SelfClean, Beyaz</t>
  </si>
  <si>
    <t>iQ700 Isı Pompalı Kurutma Makinesi, 9kg, Beyaz</t>
  </si>
  <si>
    <t>iQ700 Isı Pompalı Kurutma Makinesi, 9kg, Gümüş</t>
  </si>
  <si>
    <t>iQ300 Isı Pompalı Kurutma Makinesi, 10kg, Beyaz</t>
  </si>
  <si>
    <t>iQ500 Isı Pompalı Kurutma Makinesi, 10kg, Beyaz</t>
  </si>
  <si>
    <t>iQ500 Solo Bulaşık Makinesi, autoOpen dry, Üstten Sepetli, Inox</t>
  </si>
  <si>
    <t>iQ500 Solo Bulaşık Makinesi, autoOpen dry, Beyaz</t>
  </si>
  <si>
    <t>iQ500 Solo Bulaşık Makinesi, autoOpen dry, Inox</t>
  </si>
  <si>
    <t>iQ100 Solo Bulaşık Makinesi, Inox</t>
  </si>
  <si>
    <t>iQ100 Solo Bulaşık Makinesi, Beyaz</t>
  </si>
  <si>
    <t>iQ300 Solo Bulaşık Makinesi, autoOpen dry, Beyaz</t>
  </si>
  <si>
    <t>iQ500 Solo Bulaşık Makinesi, Üstten Sepetli, Siyah Cam</t>
  </si>
  <si>
    <t>iQ500 Solo Bulaşık Makinesi, Üstten Sepetli, Beyaz Cam</t>
  </si>
  <si>
    <t>iQ500 Solo Bulaşık Makinesi, Üstten Sepetli, Antrasit Cam</t>
  </si>
  <si>
    <t>iQ300 Solo Bulaşık Makinesi, Üstten Sepetli, darkSteel</t>
  </si>
  <si>
    <t>iQ300 Solo Bulaşık Makinesi, Inox</t>
  </si>
  <si>
    <t>iQ300 Solo Bulaşık Makinesi, Üstten Sepetli, Inox</t>
  </si>
  <si>
    <t>iQ300 Solo Bulaşık Makinesi, Beyaz</t>
  </si>
  <si>
    <t>iQ300 Solo Bulaşık Makinesi, Üstten Sepetli, Beyaz</t>
  </si>
  <si>
    <t>iQ500 Solo Bulaşık Makinesi, autoOpen dry, Üstten Sepetli, Beyaz</t>
  </si>
  <si>
    <t>iQ500 Solo Bulaşık Makinesi, Üstten Sepetli, Beyaz</t>
  </si>
  <si>
    <t>iQ700 Solo Bulaşık Makinesi, Zeolith dry, glassZone, Inox</t>
  </si>
  <si>
    <t>iQ100 Yarı Ankastre Bulaşık Makinesi, Siyah</t>
  </si>
  <si>
    <t>iQ100 Yarı Ankastre Bulaşık Makinesi, Beyaz</t>
  </si>
  <si>
    <t>iQ500 Yarı Ankastre Bulaşık Makinesi, Üstten Sepetli, Inox</t>
  </si>
  <si>
    <t>iQ300 Yarı Ankastre Bulaşık Makinesi, Beyaz/Inox</t>
  </si>
  <si>
    <t>iQ300 Yarı Ankastre Bulaşık Makinesi, Siyah/Inox</t>
  </si>
  <si>
    <t>iQ500 Yarı Ankastre Bulaşık Makinesi, autoOpen dry, Siyah/Inox</t>
  </si>
  <si>
    <t>iQ700 Yarı Ankastre Bulaşık Makinesi, Zeolith dry, Siyah/Inox</t>
  </si>
  <si>
    <t>iQ100 Tam Ankastre Bulaşık Makinesi</t>
  </si>
  <si>
    <t>iQ300 Tam Ankastre Bulaşık Makinesi, Üstten Sepetli</t>
  </si>
  <si>
    <t>iQ500 Tam Ankastre Bulaşık Makinesi, Üstten Sepetli</t>
  </si>
  <si>
    <t>iQ500 Tam Ankastre Bulaşık Makinesi, autoOpen dry, glassZone, Üstten Sepetli</t>
  </si>
  <si>
    <t>iQ500 studioLine Tam Ankastre Bulaşık Makinesi, autoOpen dry, glassZone</t>
  </si>
  <si>
    <t>iQ700 studioLine Tam Ankastre Bulaşık Makinesi, Zeolith dry, glassZone</t>
  </si>
  <si>
    <t>iQ300 Buhar Destekli Ankastre Fırın, 1 Teleskopik Ray, Arkası Kendini Temizler, Siyah/Dark Inox</t>
  </si>
  <si>
    <t>iQ500 Ankastre Fırın, 2 Teleskopik Ray, Komple Kendini Temizler, Siyah</t>
  </si>
  <si>
    <t>iQ500 Ankastre Fırın, 2 Teleskopik Ray, Komple Kendini Temizler, Beyaz</t>
  </si>
  <si>
    <t>iQ500 Ankastre Fırın, 2 Teleskopik Ray, Komple Kendini Temizler, Antrasit</t>
  </si>
  <si>
    <t>iQ300 Buhar Destekli Ankastre Fırın, Beyaz</t>
  </si>
  <si>
    <t>iQ300 Buhar Destekli Ankastre Fırın, Siyah</t>
  </si>
  <si>
    <t>iQ300 Buhar Destekli Ankastre Fırın, Antrasit</t>
  </si>
  <si>
    <t>iQ300 Ankastre Fırın, 1 Teleskopik Ray, Arkası Kendini Temizler, Siyah</t>
  </si>
  <si>
    <t>iQ300 Buhar Destekli Ankastre Fırın, 1 Teleskopik Ray, Arkası Kendini Temizler, darkSteel Line</t>
  </si>
  <si>
    <t>iQ300 Ankastre Fırın, 1 Teleskopik Ray, Arkası Kendini Temizler, Antrasit</t>
  </si>
  <si>
    <t>iQ300 Buhar Destekli Ankastre Fırın, 1 Teleskopik Ray, Arkası Kendini Temizler, Beyaz</t>
  </si>
  <si>
    <t>iQ100 Ankastre Fırın, Siyah</t>
  </si>
  <si>
    <t>iQ100 Ankastre Fırın, Antrasit</t>
  </si>
  <si>
    <t>iQ100 Ankastre Fırın, Beyaz</t>
  </si>
  <si>
    <t>iQ300 Ankastre Fırın, Siyah/Inox</t>
  </si>
  <si>
    <t>iQ300 Ankastre Fırın, Beyaz/Inox</t>
  </si>
  <si>
    <t>iQ300 Ankastre Fırın, 1 Teleskopik Ray, Arkası Kendini Temizler, Gri</t>
  </si>
  <si>
    <t>iQ500 Ankastre Fırın, 1 Teleskopik Ray, Arkası Kendini Temizler, darkSteel Line</t>
  </si>
  <si>
    <t>iQ500 studioLine Ankastre Fırın, 1 Teleskopik Ray, Komple Kendini Temizler, Siyah</t>
  </si>
  <si>
    <t>iQ500 Ankastre Fırın, 1 Teleskopik Ray, Arkası Kendini Temizler, Siyah</t>
  </si>
  <si>
    <t>iQ300 Ankastre Fırın, 1 Teleskopik Ray, Arkası Kendini Temizler, Siyah/Inox</t>
  </si>
  <si>
    <t>iQ500 Ankastre Fırın, 1 Teleskopik Ray, Komple Kendini Temizler, Siyah</t>
  </si>
  <si>
    <t>iQ500 Ankastre Fırın, 2 Teleskopik Ray, Komple Kendini Temizler, Titanyum Gri</t>
  </si>
  <si>
    <t>iQ700 Ankastre Fırın, 1 Teleskopik Ray, Komple Kendini Temizler, Beyaz</t>
  </si>
  <si>
    <t>iQ700 Ankastre Fırın, 3 Teleskopik Ray, Komple Kendini Temizler, Siyah/Inox</t>
  </si>
  <si>
    <t>iQ700 Ankastre Fırın, Arkası Kendini Temizler, Siyah</t>
  </si>
  <si>
    <t>iQ700 Ankastre Fırın, Arkası Kendini Temizler, Beyaz</t>
  </si>
  <si>
    <t>iQ700 Ankastre Fırın, Siyah</t>
  </si>
  <si>
    <t>iQ700 Ankastre Fırın, Komple Kendini Temizler, Siyah</t>
  </si>
  <si>
    <t>iQ700 studioLine Ankastre Fırın, 3 Teleskopik Ray, Komple Kendini Temizler, Siyah</t>
  </si>
  <si>
    <t>iQ300 Buhar Destekli Ankastre Fırın, 1 Teleskopik Ray, Arkası Kendini Temizler, Siyah/Inox</t>
  </si>
  <si>
    <t>iQ700 Mikrodalga Fonksiyonlu Ankastre Fırın, Komple Kendini Temizler, Siyah/Inox</t>
  </si>
  <si>
    <t>iQ500 Buhar Destekli Ankastre Fırın, Arkası Kendini Temizler, Siyah/Inox</t>
  </si>
  <si>
    <t>iQ700 Buhar Destekli Ankastre Fırın, Arkası Kendini Temizler, Siyah/Inox</t>
  </si>
  <si>
    <t>iQ700 studioLine Buhar Destekli Ankastre Fırın, 3 Teleskopik Ray, Komple Kendini Temizler, Siyah</t>
  </si>
  <si>
    <t>iQ700 studioLine Ankastre Fırın, 1 Teleskopik Ray, Komple Kendini Temizler, Siyah</t>
  </si>
  <si>
    <t>iQ700 studioLine Buhar ve Mikrodalga Fonksiyonlu Ankastre Fırın, Komple Kendini Temizler, Siyah</t>
  </si>
  <si>
    <t>iQ700 studioLine Mikrodalga Fonksiyonlu Kompakt Ankastre Fırın, Komple Kendini Temizler, Siyah</t>
  </si>
  <si>
    <t>iQ700 Buhar Destekli Kompakt Ankastre Fırın, Siyah/Inox</t>
  </si>
  <si>
    <t>iQ700 Buhar Destekli Kompakt Ankastre Fırın, Siyah</t>
  </si>
  <si>
    <t>iQ700 studioLine Mikrodalga Fonksiyonlu Kompakt Ankastre Fırın, Arkası Kendini Temizler, Siyah</t>
  </si>
  <si>
    <t>iQ500 Ankastre Mikrodalga, Izgaralı, Siyah</t>
  </si>
  <si>
    <t>iQ500 Ankastre Mikrodalga, Izgara Fonksiyonlu, 20L, Siyah/darkSteel</t>
  </si>
  <si>
    <t>iQ500 Ankastre Mikrodalga, Izgaralı, Anstrasit</t>
  </si>
  <si>
    <t>iQ500 Ankastre Mikrodalga, Izgara Fonksiyonlu, 20L, Beyaz</t>
  </si>
  <si>
    <t>iQ500 Ankastre Mikrodalga, Izgara Fonksiyonlu, 20L, Siyah/Inox</t>
  </si>
  <si>
    <t>iQ500 Ankastre Mikrodalga, Izgara Fonksiyonlu, 25L, Siyah/Inox</t>
  </si>
  <si>
    <t>iQ700 Ankastre Mikrodalga, Izgara Fonksiyonlu, 21L, Siyah</t>
  </si>
  <si>
    <t>iQ300 Ankastre Mikrodalga, 20L, Siyah</t>
  </si>
  <si>
    <t>iQ300 Ankastre Mikrodalga, 20L, Siyah/Inox</t>
  </si>
  <si>
    <t>iQ500 Ankastre Mikrodalga, 20L, Beyaz/Inox</t>
  </si>
  <si>
    <t>iQ300 Ankastre Mikrodalga, 20L, Antrasit/Titanyum Gri</t>
  </si>
  <si>
    <t>iQ300 Ankastre Mikrodalga, Inox</t>
  </si>
  <si>
    <t>iQ300 Ankastre Mikrodalga, 20L, Beyaz</t>
  </si>
  <si>
    <t>iQ700 studioLine Ankastre Mikrodalga, 21L, Siyah</t>
  </si>
  <si>
    <t>iQ300 Solo Mikrodalga, 20L, Siyah</t>
  </si>
  <si>
    <t>iQ300 Solo Mikrodalga, 20L, Beyaz</t>
  </si>
  <si>
    <t>iQ300 Solo Mikrodalga, 20L, Siyah/Inox</t>
  </si>
  <si>
    <t>iQ100 Düz Davlumbaz, 60cm, 380m3, Beyaz</t>
  </si>
  <si>
    <t>iQ100 Düz Davlumbaz, 60cm, 380m3, Inox</t>
  </si>
  <si>
    <t>iQ100 Düz Davlumbaz, 60cm, 380m3, Siyah</t>
  </si>
  <si>
    <t>iQ100 Eğimli Davlumbaz, 59cm, 360m3, Beyaz Cam</t>
  </si>
  <si>
    <t>iQ100 Eğimli Davlumbaz, 59cm, 360m3, Siyah Cam</t>
  </si>
  <si>
    <t>iQ100 Düz Davlumbaz, 60cm, 612m3, Paslanmaz Çelik</t>
  </si>
  <si>
    <t>iQ300 Düz Davlumbaz, 60cm, 368m3, Inox</t>
  </si>
  <si>
    <t>iQ300 Düz Davlumbaz, 60cm, 649m3, Beyaz Cam</t>
  </si>
  <si>
    <t>iQ300 Düz Davlumbaz, 60cm, 649m3, Siyah Cam</t>
  </si>
  <si>
    <t>iQ300 Eğimli Davlumbaz, 60cm, 593m3, Siyah Cam</t>
  </si>
  <si>
    <t>iQ300 Eğimli Davlumbaz, 60cm, 616m3, Siyah Cam</t>
  </si>
  <si>
    <t>iQ100 Eğimli Davlumbaz, 60cm, 400m3, Beyaz Cam</t>
  </si>
  <si>
    <t>iQ100 Eğimli Davlumbaz, 60cm, 400m3, Siyah Cam</t>
  </si>
  <si>
    <t>iQ100 Eğimli Davlumbaz, 60cm, 400m3, Antrasit Gri Cam</t>
  </si>
  <si>
    <t>iQ300 Eğimli Davlumbaz, 60cm, 510m3, Beyaz Cam</t>
  </si>
  <si>
    <t>iQ300 Eğimli Davlumbaz, 60cm, 510m3, Siyah Cam</t>
  </si>
  <si>
    <t>iQ300 Eğimli Davlumbaz, 60cm, 510m3, Antrasit Gri Cam</t>
  </si>
  <si>
    <t>iQ300 Düz Davlumbaz, 60cm, 582m3, Beyaz/Inox</t>
  </si>
  <si>
    <t>iQ300 Düz Davlumbaz, 60cm, 582m3, Siyah/Inox</t>
  </si>
  <si>
    <t>iQ300 Düz Davlumbaz, 60cm, 649m3, Antrasit Gri Cam</t>
  </si>
  <si>
    <t>iQ500 Düz Davlumbaz, 60cm, 645m3, Beyaz Cam</t>
  </si>
  <si>
    <t>iQ500 Düz Davlumbaz, 60cm, 645m3, Siyah Cam</t>
  </si>
  <si>
    <t>iQ500 Eğimli Davlumbaz, 60cm, 510m3, Siyah Cam</t>
  </si>
  <si>
    <t>iQ500 Eğimli Davlumbaz, 60cm, 510m3, Antrasit Gri Cam</t>
  </si>
  <si>
    <t>iQ500 Eğimli Davlumbaz, 60cm, 578m3, Siyah Cam</t>
  </si>
  <si>
    <t>iQ500 Eğimli Davlumbaz, 60cm, 510m3, Beyaz Cam</t>
  </si>
  <si>
    <t>iQ500 Eğimli Davlumbaz, 60cm, 700m3, Siyah Cam</t>
  </si>
  <si>
    <t>iQ300 Düz Davlumbaz, 75cm, 454m3, Siyah/Inox</t>
  </si>
  <si>
    <t>iQ700 Eğimli Davlumbaz, 90cm, 441m3, Siyah Cam</t>
  </si>
  <si>
    <t>iQ700 studioLine Eğimli Davlumbaz, 90cm, 441m3, Siyah Cam</t>
  </si>
  <si>
    <t>iQ100 Düz Davlumbaz, 90cm, 616m3, Inox</t>
  </si>
  <si>
    <t>iQ300 Düz Davlumbaz, 90cm, 649m3, Antrasit Gri Cam</t>
  </si>
  <si>
    <t>iQ300 Düz Davlumbaz, 90cm, 649m3, Beyaz Cam</t>
  </si>
  <si>
    <t>iQ300 Düz Davlumbaz, 90cm, 649m3, Titanyum Gri Cam</t>
  </si>
  <si>
    <t>iQ300 Eğimli Davlumbaz, 90cm, 629m3, Beyaz Cam</t>
  </si>
  <si>
    <t>iQ300 Düz Davlumbaz, 90cm, 468m3, Inox</t>
  </si>
  <si>
    <t>iQ500 Düz Davlumbaz, 90cm, 394m3, Siyah Cam</t>
  </si>
  <si>
    <t>iQ700 Düz Davlumbaz, 90cm, 394m3, Siyah Cam</t>
  </si>
  <si>
    <t>iQ500 Eğimli Davlumbaz, 90cm, 510m3, Beyaz Cam</t>
  </si>
  <si>
    <t>iQ500 Eğimli Davlumbaz, 90cm, 510m3, Siyah Cam</t>
  </si>
  <si>
    <t>iQ500 Eğimli Davlumbaz, 90cm, 510m3, Antrasit Gri Cam</t>
  </si>
  <si>
    <t>iQ500 Düz Davlumbaz, 90cm, 430m3, Inox</t>
  </si>
  <si>
    <t>iQ500 Eğimli Davlumbaz, 90cm, 370m3, Cam Dekorlu Inox</t>
  </si>
  <si>
    <t>iQ500 Eğimli Davlumbaz, 90cm, 468m3, Siyah Cam</t>
  </si>
  <si>
    <t>iQ700 studioLine Tavan Tipi Davlumbaz, 105cm, Siyah</t>
  </si>
  <si>
    <t>iQ700 studioLine Tezgaha Entegre Davlumbaz, 80cm, Siyah/Cam</t>
  </si>
  <si>
    <t>iQ300 Ada Tipi Davlumbaz, 90cm, 438m3, Inox</t>
  </si>
  <si>
    <t>iQ500 studioLine Ada Tipi Davlumbaz, 90cm, Inox</t>
  </si>
  <si>
    <t>iQ100 Teleskopik Aspiratör, 60cm, 310m3, Gümüş</t>
  </si>
  <si>
    <t>iQ100 Teleskopik Aspiratör, 60cm, 310m3, Beyaz</t>
  </si>
  <si>
    <t>iQ500 Gömme Aspiratör, 52cm, 570m3, Inox</t>
  </si>
  <si>
    <t>iQ100 Gömme Aspiratör, 53cm, 302m3, Gri</t>
  </si>
  <si>
    <t>iQ700 Gömme Aspiratör, 86cm, 595m3, Siyah</t>
  </si>
  <si>
    <t>iQ500 Gömme Aspiratör, 86cm, 600m3, Inox</t>
  </si>
  <si>
    <t>iQ100 Set Üstü Gazlı Ocak, 60cm, Beyaz</t>
  </si>
  <si>
    <t>iQ100 Set Üstü Gazlı Ocak, 60cm, Inox</t>
  </si>
  <si>
    <t>iQ100 Gazlı Ocak, 60cm, Emaye, Beyaz</t>
  </si>
  <si>
    <t>iQ100 Gazlı/Elektrikli Ocak, 60cm, Inox</t>
  </si>
  <si>
    <t>iQ100 Gazlı Ocak, 60cm, Emaye, Siyah</t>
  </si>
  <si>
    <t>iQ500 Gazlı Ocak, 60cm, Inox, Döküm</t>
  </si>
  <si>
    <t>iQ300 Gazlı Ocak, 60cm, Inox, Döküm, Wok</t>
  </si>
  <si>
    <t>iQ300 Gazlı Ocak, 60cm, Inox, Döküm</t>
  </si>
  <si>
    <t>iQ300 Gazlı Ocak, 60cm, Sert Cam, Beyaz, Döküm</t>
  </si>
  <si>
    <t>iQ300 Gazlı Ocak, 60cm, Sert Cam, Antrasit Gri, Döküm</t>
  </si>
  <si>
    <t>iQ100 Gazlı Ocak, 60cm, Sert Cam, Siyah, Wok</t>
  </si>
  <si>
    <t>iQ100 Gazlı Ocak, 60cm, Sert Cam, Titanyum Gri</t>
  </si>
  <si>
    <t>iQ100 Gazlı Ocak, 60cm, Sert Cam, Antrasit Gri</t>
  </si>
  <si>
    <t>iQ300 Gazlı Ocak, 60cm, Sert Cam, Beyaz</t>
  </si>
  <si>
    <t>iQ300 Gazlı Ocak, 60cm, Sert Cam, Beyaz</t>
  </si>
  <si>
    <t>iQ300 Gazlı Ocak, 60cm, Sert Cam, Siyah</t>
  </si>
  <si>
    <t>iQ100 Gazlı Ocak, 60cm, Sert Cam, Siyah, Döküm</t>
  </si>
  <si>
    <t>iQ300 Gazlı Ocak, 60cm, Sert Cam, Siyah</t>
  </si>
  <si>
    <t>iQ100 Gazlı Ocak, 60cm, Sert Cam, Titanyum Gri, Döküm</t>
  </si>
  <si>
    <t>iQ300 Gazlı Ocak, 60cm, Sert Cam, Antrasit</t>
  </si>
  <si>
    <t>iQ300 Gazlı Ocak, 60cm, Sert Cam, Antrasit Gri</t>
  </si>
  <si>
    <t>iQ300 Gazlı Ocak, 67cm, Sert Cam, Beyaz, Wok</t>
  </si>
  <si>
    <t>iQ300 Gazlı Ocak, 67cm, Sert Cam, Beyaz</t>
  </si>
  <si>
    <t>iQ100 Gazlı Ocak, 67cm, Sert Cam, Beyaz</t>
  </si>
  <si>
    <t>iQ300 Gazlı Ocak, 67cm, Sert Cam, Beyaz</t>
  </si>
  <si>
    <t>iQ300 Gazlı Ocak, 67cm, Sert Cam, Siyah, Wok</t>
  </si>
  <si>
    <t>iQ300 Gazlı Ocak, 67cm, Sert Cam, Siyah, Wok</t>
  </si>
  <si>
    <t>iQ300 Gazlı Ocak, 67cm, Sert Cam, Siyah</t>
  </si>
  <si>
    <t>iQ300 Gazlı Ocak, 67cm, Sert Cam, Siyah</t>
  </si>
  <si>
    <t>iQ300 Gazlı Ocak, 67cm, Sert Cam, Antrasit Gri, Wok</t>
  </si>
  <si>
    <t>iQ100 Gazlı Ocak, 67cm, Sert Cam, Titanyum Gri</t>
  </si>
  <si>
    <t>iQ300 Gazlı Ocak, 67cm, Sert Cam, Antrasit Gri</t>
  </si>
  <si>
    <t>iQ300 Gazlı Ocak, 67cm, Sert Cam, Dark Silver</t>
  </si>
  <si>
    <t>iQ500 Gazlı Ocak, 60cm, Sert Cam, Siyah, Döküm, Wok</t>
  </si>
  <si>
    <t>iQ500 Gazlı Ocak, 60cm, Sert Cam, Siyah, Döküm</t>
  </si>
  <si>
    <t>iQ500 Gazlı Ocak, 60cm, Sert Cam, Beyaz, Döküm</t>
  </si>
  <si>
    <t>iQ500 Gazlı Ocak, 60cm, Sert Cam, Antrasit Gri, Döküm, Wok</t>
  </si>
  <si>
    <t>iQ500 Gazlı Ocak, 60cm, Sert Cam, Titanyum Gri, Döküm, Wok</t>
  </si>
  <si>
    <t>iQ300 Gazlı Ocak, 60cm, Sert Cam, Siyah, Döküm</t>
  </si>
  <si>
    <t>iQ300 Gazlı Ocak, 75cm, 4 Gözlü, Sert Cam, Beyaz</t>
  </si>
  <si>
    <t>iQ300 Gazlı Ocak, 75cm, 5 Gözlü, Sert Cam, Beyaz, Wok</t>
  </si>
  <si>
    <t>iQ300 Gazlı Ocak, 75cm, 5 Gözlü, Sert Cam, Siyah, Wok</t>
  </si>
  <si>
    <t>iQ300 Gazlı Ocak, 75cm, 5 Gözlü, Sert Cam, Titanyum Gri, Wok</t>
  </si>
  <si>
    <t>iQ300 Gazlı Ocak, 75cm, Sert Cam, Antrasit, Wok</t>
  </si>
  <si>
    <t>iQ500 Gazlı Ocak, 75cm, 5 Gözlü, Sert Cam, Beyaz, Döküm, Wok</t>
  </si>
  <si>
    <t>iQ500 Gazlı Ocak, 75cm, 5 Gözlü, Sert Cam, Siyah, Wok</t>
  </si>
  <si>
    <t>iQ500 Gazlı Ocak, 75cm, 5 Gözlü, Sert Cam, Siyah, Döküm, Wok</t>
  </si>
  <si>
    <t>iQ500 Gazlı Ocak, 75cm, 5 Gözlü, Inox, Döküm, Wok</t>
  </si>
  <si>
    <t>iQ500 Gazlı Ocak, 90cm, 5 Gözlü, Sert Cam, Siyah, Döküm, Wok</t>
  </si>
  <si>
    <t>iQ700 Gazlı Domino Ocak, 30cm, Tek Gözlü, Seramik, Siyah, Wok</t>
  </si>
  <si>
    <t>iQ500 Gazlı Ocak, 67cm, Sert Cam, Siyah, Wok, Döküm</t>
  </si>
  <si>
    <t>iQ700 Gazlı Domino Ocak, 30cm, 2 Gözlü, Seramik, Siyah</t>
  </si>
  <si>
    <t>iQ700 Gazlı Ocak, 60cm, Seramik, Siyah, Döküm</t>
  </si>
  <si>
    <t>iQ500 Moduler Teppanyaki, 40cm, Inox</t>
  </si>
  <si>
    <t>iQ100 Elektrikli Ocak, 60cm, Çerçevesiz, Siyah</t>
  </si>
  <si>
    <t>iQ100 Elektrikli Ocak, 60cm, Çerçevesiz, Beyaz</t>
  </si>
  <si>
    <t>iQ300 Elektrikli Ocak, 60cm, Çerçevesiz, Siyah</t>
  </si>
  <si>
    <t>iQ300 Elektrikli Ocak, 70cm, Çerçeveli, Siyah</t>
  </si>
  <si>
    <t>iQ500 Elektrikli Ocak, 80cm, Çerçeveli, Siyah</t>
  </si>
  <si>
    <t>iQ100 İndüksiyonlu Ocak, 60cm, Çerçevesiz, Siyah</t>
  </si>
  <si>
    <t>iQ700 İndüksiyonlu Ocak, 60cm, Çerçeveli, Siyah</t>
  </si>
  <si>
    <t>iQ700 studioLine İndüksiyonlu Ocak, 80cm, FlushMount, Siyah</t>
  </si>
  <si>
    <t>iQ700 studioLine İndüksiyonlu Ocak, 80cm, Çerçeveli, Siyah</t>
  </si>
  <si>
    <t>iQ700 İndüksiyonlu Ocak, 90cm, Çerçeveli, Siyah</t>
  </si>
  <si>
    <t>iQ300 Davlumbaz Entegreli İndüksiyonlu Ocak, 80cm, Çerçevesiz, Siyah</t>
  </si>
  <si>
    <t>iQ700 Davlumbaz Entegreli İndüksiyonlu Ocak, 80cm, Çerçeveli, Siyah</t>
  </si>
  <si>
    <t>iQ700 studioLine Davlumbaz Entegreli İndüksiyonlu Ocak, 80cm, Çerçeveli, Siyah</t>
  </si>
  <si>
    <t>iQ700 Ankastre Tam Otomatik Kahve Makinesi, Siyah/Inox</t>
  </si>
  <si>
    <t>iQ700 Ankastre Tam Otomatik Kahve Makinesi, Siyah</t>
  </si>
  <si>
    <t>iQ700 studioLine Ankastre Tam Otomatik Kahve Makinesi, Siyah</t>
  </si>
  <si>
    <t>EQ6 plus s100 Tam Otomatik Kahve Makinesi, Metalik Elmas Titanyum</t>
  </si>
  <si>
    <t>EQ6 plus s100 Tam Otomatik Kahve Makinesi, Metalik Safir Siyahı</t>
  </si>
  <si>
    <t>EQ6 plus s300 Tam Otomatik Kahve Makinesi, Gümüş</t>
  </si>
  <si>
    <t>EQ6 plus s500 Tam Otomatik Kahve Makinesi, Sabah Sisi Grisi</t>
  </si>
  <si>
    <t>EQ6 plus s700 Tam Otomatik Kahve Makinesi, DarkInox/Siyah</t>
  </si>
  <si>
    <t>EQ300 Tam Otomatik Kahve Makinesi, Siyah</t>
  </si>
  <si>
    <t>EQ300 Tam Otomatik Kahve Makinesi, Şampanya/Siyah</t>
  </si>
  <si>
    <t>EQ9 s300 Tam Otomatik Kahve Makinesi, Siyah</t>
  </si>
  <si>
    <t>EQ9 plus connect s500 Tam Otomatik Kahve Makinesi, Siyah</t>
  </si>
  <si>
    <t>EQ500 classic Tam Otomatik Kahve Makinesi, Piyano Siyahı</t>
  </si>
  <si>
    <t>EQ500 classic Tam Otomatik Kahve Makinesi, Metalik Inox/Gümüş</t>
  </si>
  <si>
    <t>EQ500 classic Tam Otomatik Kahve Makinesi, Sabah Sisi Grisi</t>
  </si>
  <si>
    <t>EQ500 classic connect Tam Otomatik Kahve Makinesi, Inox/Siyah</t>
  </si>
  <si>
    <t>EQ500 classic Tam Otomatik Kahve Makinesi, Inox/Siyah</t>
  </si>
  <si>
    <t>EQ700 classic Tam Otomatik Kahve Makinesi, Piyano Siyahı</t>
  </si>
  <si>
    <t>EQ500 integral Tam Otomatik Kahve Makinesi, Metalik Safir Siyahı</t>
  </si>
  <si>
    <t>EQ500 integral Tam Otomatik Kahve Makinesi, Inox</t>
  </si>
  <si>
    <t>EQ700 integral Tam Otomatik Kahve Makinesi, Metalik Inox/Gümüş</t>
  </si>
  <si>
    <t>EQ700 Tam Otomatik Kahve Makinesi, Paslanmaz Çelik</t>
  </si>
  <si>
    <t>EQ900 Tam Otomatik Kahve Makinesi, Paslanmaz Çelik</t>
  </si>
  <si>
    <t>EQ900 plus Tam Otomatik Kahve Makinesi, Inox</t>
  </si>
  <si>
    <t>iQ700 Sıcak Tutma Çekmecesi, 60x14cm, Siyah</t>
  </si>
  <si>
    <t>iQ700 Sıcak Tutma Çekmecesi, 60x14cm, Beyaz</t>
  </si>
  <si>
    <t>iQ700 studioLine Sıcak Tutma Çekmecesi, 60x14cm, Siyah</t>
  </si>
  <si>
    <t>iQ500 Dik Şarjlı Elektrik Süpürgesi</t>
  </si>
  <si>
    <t>iQ500 Dik Şarjlı Elektrik Süpürgesi, Çift Bataryalı</t>
  </si>
  <si>
    <t>iQ500 Dik Şarjlı 2'li Süpürme&amp;Silme Elektrik Süpürgesi</t>
  </si>
  <si>
    <t>Toz torbalı Süpürge synchropower, 600w, Mavi</t>
  </si>
  <si>
    <t>iQ300 Toz Torbalı Süpürge, 600w, Kırmızı</t>
  </si>
  <si>
    <t>iQ300 Toz Torbalı Süpürge, 600w, Mavi</t>
  </si>
  <si>
    <t>iQ300 Toz Torbalı Süpürge, 600w, Açık Mavi</t>
  </si>
  <si>
    <t>iQ700 Toz Torbalı Süpürge, 650w, Beyaz</t>
  </si>
  <si>
    <t>iQ700 Toz Torbalı Süpürge, 650w, Kırmızı</t>
  </si>
  <si>
    <t>iQ300 Plus Limited Edition Toz Torbalı Elektrik Süpürgesi, 750w, Kırmızı</t>
  </si>
  <si>
    <t>iQ300 Toz Torbasız Süpürge, 550w, Kırmızı</t>
  </si>
  <si>
    <t>iQ300 Toz Torbasız Süpürge, 750w, Mavi</t>
  </si>
  <si>
    <t>iQ500 Toz Torbasız Süpürge, 550w, Kırmızı</t>
  </si>
  <si>
    <t>iQ500 Toz Torbasız Süpürge, 550w, Mavi</t>
  </si>
  <si>
    <t>iQ500 Toz Torbasız Elektrik Süpürgesi, 750w, Siyah</t>
  </si>
  <si>
    <t>Siemens Toz Torbasız Süpürge, 600w, Kırmızı</t>
  </si>
  <si>
    <t>iQ700 Toz Torbasız Elektrik Süpürgesi, 850w, Siyah</t>
  </si>
  <si>
    <t>Temizleme Tableti</t>
  </si>
  <si>
    <t>Kireç Temizleme Tableti</t>
  </si>
  <si>
    <t>3D Fry Tepsi</t>
  </si>
  <si>
    <t>Siemens starter kit unducted recirculation</t>
  </si>
  <si>
    <t>Siemens Elektrikli Süpürgeler için Toz Torbası (P Tip) 4'lü Paket</t>
  </si>
  <si>
    <t>Elektrik Süpürgesi Toz Torbası 4'lü</t>
  </si>
  <si>
    <t>Siemens Trifaze Ani Su Isıtıcı</t>
  </si>
  <si>
    <t>Soğuk Su Sebili, Gri</t>
  </si>
  <si>
    <t>Soğuk Su Sebili, Siyah/Gri, Dokunmatik</t>
  </si>
  <si>
    <t>Soğuk Su Sebili, Siyah/Gri</t>
  </si>
  <si>
    <t>Sıcak/Soğuk Su Sebili, Beyaz</t>
  </si>
  <si>
    <t>Soğuk Su Sebili, Siyah/Gri, Sensörlü</t>
  </si>
  <si>
    <t>Siemens Çay Makinesi</t>
  </si>
  <si>
    <t>Siemens Filtre Kahve Makinesi</t>
  </si>
  <si>
    <t>Siemens El Blenderı ergonomicEdition, 600w, Beyaz/Mavi</t>
  </si>
  <si>
    <t>Siemens El Blenderı, 600w, Beyaz/Mavi</t>
  </si>
  <si>
    <t>Siemens El Blenderı FQ.1, 750w, Siyah/Gri</t>
  </si>
  <si>
    <t>El Blender Seti, 750w, Siyah</t>
  </si>
  <si>
    <t>Siemens El Mikseri, 450w, Beyaz/Antrasit</t>
  </si>
  <si>
    <t>Siemens El Mikseri, 450w, Beyaz/Mavi</t>
  </si>
  <si>
    <t>El Mikser Seti, 500w, Siyah</t>
  </si>
  <si>
    <t>Siemens Doğrayıcı, 400w, Siyah/Gri</t>
  </si>
  <si>
    <t>Siemens Ekmek Kızartma Makinesi, 860w, Siyah/Inox</t>
  </si>
  <si>
    <t>Siemens Kettle series300 Su Isıtıcı, 1.7L, Siyah</t>
  </si>
  <si>
    <t>Siemens Buzdolabı Kulpu 79cm, Inox</t>
  </si>
  <si>
    <t>Siemens Buzdolabı Kulpu</t>
  </si>
  <si>
    <t>Siemens studioLine Buzdolabı Kulpu</t>
  </si>
  <si>
    <t>Siemens studioLine Buzdolabı Kapı Paneli, 202.9x60.3cm</t>
  </si>
  <si>
    <t>Siemens Buzdolabı Kapı Paneli, 202.9x75.6cm</t>
  </si>
  <si>
    <t>Siemens Buzdolabı Kapı Paneli, 202.9x90.8cm</t>
  </si>
  <si>
    <t>Siemens Buzdolabı Bağlantı Seti</t>
  </si>
  <si>
    <t>Siemens studioLine Buzdolabı Çekmecesi</t>
  </si>
  <si>
    <t>Siemens studioLine 36'' Buzdolabı Kapı Paneli, Paslanmaz Çelik, 3 Kapı</t>
  </si>
  <si>
    <t>Siemens Ev Tipi Klima İç Ünite, 9.000BTU, Beyaz</t>
  </si>
  <si>
    <t>Siemens Ev Tipi Klima Dış Ünite, 9.000BTU, Beyaz</t>
  </si>
  <si>
    <t>Siemens Ev Tipi Klima İç Ünite, 12.000BTU, Beyaz</t>
  </si>
  <si>
    <t>Siemens Ev Tipi Klima Dış Ünite, 12.000BTU, Beyaz</t>
  </si>
  <si>
    <t>Siemens Ev Tipi Klima İç Ünite, 12.000BTU, Siyah</t>
  </si>
  <si>
    <t>Siemens Ev Tipi Klima İç Ünite, 18.000BTU, Beyaz</t>
  </si>
  <si>
    <t>Siemens Ev Tipi Klima Dış Ünite, 18.000BTU, Beyaz</t>
  </si>
  <si>
    <t>Siemens Ev Tipi Klima İç Ünite, 18.000BTU, Siyah</t>
  </si>
  <si>
    <t>Siemens Ev Tipi Klima İç Ünite, 24.000BTU, Beyaz</t>
  </si>
  <si>
    <t>Siemens Ev Tipi Klima Dış Ünite, 24.000BTU, Beyaz</t>
  </si>
  <si>
    <t>Ürün No</t>
  </si>
  <si>
    <t>Ürün Adı</t>
  </si>
  <si>
    <t>Ürün Linki</t>
  </si>
  <si>
    <t>https://www.siemens-home.bsh-group.com/tr/tr/product/pisirme-grubu/firinlar/kompakt-firinlar/BE525LMB2</t>
  </si>
  <si>
    <t>https://www.siemens-home.bsh-group.com/tr/tr/product/pisirme-grubu/firinlar/kompakt-firinlar/BE525LMG2</t>
  </si>
  <si>
    <t>https://www.siemens-home.bsh-group.com/tr/tr/product/pisirme-grubu/firinlar/kompakt-firinlar/BE555LMB2</t>
  </si>
  <si>
    <t>iQ500 Ankastre Mikrodalga, Siyah/Inox</t>
  </si>
  <si>
    <t>https://www.siemens-home.bsh-group.com/tr/tr/product/BF525LMS0</t>
  </si>
  <si>
    <t>https://www.siemens-home.bsh-group.com/tr/tr/product/pisirme-grubu/firinlar/kompakt-firinlar/BF623LMS3</t>
  </si>
  <si>
    <t>https://www.siemens-home.bsh-group.com/tr/tr/product/su-sebilleri/DW15701</t>
  </si>
  <si>
    <t>https://www.siemens-home.bsh-group.com/tr/tr/product/su-sebilleri/DW15702</t>
  </si>
  <si>
    <t>https://www.siemens-home.bsh-group.com/tr/tr/product/su-sebilleri/DW15703</t>
  </si>
  <si>
    <t>https://www.siemens-home.bsh-group.com/tr/tr/product/su-sebilleri/DW15704</t>
  </si>
  <si>
    <t>https://www.siemens-home.bsh-group.com/tr/tr/product/su-sebilleri/WB13CPB0N</t>
  </si>
  <si>
    <t>https://www.siemens-home.bsh-group.com/tr/tr/product/MQ67185</t>
  </si>
  <si>
    <t>https://www.siemens-home.bsh-group.com/tr/tr/product/MQ96580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</si>
  <si>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</si>
  <si>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</si>
  <si>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https://www.siemens-home.bsh-group.com/tr/tr/product/buzdolaplari-ve-derin-dondurucular/solo-buzdolaplari-ve-derin-dondurucular/ustten-donduruculu-solo-buzdolaplari/KD76NXWE1N</t>
  </si>
  <si>
    <t>https://www.siemens-home.bsh-group.com/tr/tr/product/buzdolaplari-ve-derin-dondurucular/solo-buzdolaplari-ve-derin-dondurucular/alttan-donduruculu-solo-buzdolaplari/KF96NAXEA</t>
  </si>
  <si>
    <t>https://www.siemens-home.bsh-group.com/tr/tr/product/buzdolaplari-ve-derin-dondurucular/solo-buzdolaplari-ve-derin-dondurucular/alttan-donduruculu-solo-buzdolaplari/KF96NVPEA</t>
  </si>
  <si>
    <t>https://www.siemens-home.bsh-group.com/tr/tr/product/prsiemensfridge/KG36NNLE0N</t>
  </si>
  <si>
    <t>https://www.siemens-home.bsh-group.com/tr/tr/product/buzdolaplari-ve-derin-dondurucular/solo-buzdolaplari-ve-derin-dondurucular/alttan-donduruculu-solo-buzdolaplari/KG55NCIE0N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</si>
  <si>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</si>
  <si>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</si>
  <si>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</si>
  <si>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https://www.siemens-home.bsh-group.com/tr/tr/product/buzdolaplari-ve-derin-dondurucular/solo-buzdolaplari-ve-derin-dondurucular/alttan-donduruculu-solo-buzdolaplari/KG76NCIE0N</t>
  </si>
  <si>
    <t>https://www.siemens-home.bsh-group.com/tr/tr/product/buzdolaplari-ve-derin-dondurucular/solo-buzdolaplari-ve-derin-dondurucular/alttan-donduruculu-solo-buzdolaplari/KG76NCWE0N</t>
  </si>
  <si>
    <t>https://www.siemens-home.bsh-group.com/tr/tr/product/buzdolaplari-ve-derin-dondurucular/solo-buzdolaplari-ve-derin-dondurucular/alttan-donduruculu-solo-buzdolaplari/KG76NCXE0N</t>
  </si>
  <si>
    <t>https://www.siemens-home.bsh-group.com/tr/tr/product/buzdolaplari-ve-derin-dondurucular/solo-buzdolaplari-ve-derin-dondurucular/alttan-donduruculu-solo-buzdolaplari/KG76NVIE0N</t>
  </si>
  <si>
    <t>https://www.siemens-home.bsh-group.com/tr/tr/product/buzdolaplari-ve-derin-dondurucular/solo-buzdolaplari-ve-derin-dondurucular/alttan-donduruculu-solo-buzdolaplari/KG76PAIC0N</t>
  </si>
  <si>
    <t>https://www.siemens-home.bsh-group.com/tr/tr/product/buzdolaplari-ve-derin-dondurucular/solo-buzdolaplari-ve-derin-dondurucular/alttan-donduruculu-solo-buzdolaplari/KG76PAWC0N</t>
  </si>
  <si>
    <t>https://www.siemens-home.bsh-group.com/tr/tr/product/buzdolaplari-ve-derin-dondurucular/solo-buzdolaplari-ve-derin-dondurucular/alttan-donduruculu-solo-buzdolaplari/KG86NAID2N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</si>
  <si>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</si>
  <si>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</si>
  <si>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iQ700 Alttan Donduruculu Kulplu Buzdolabı, 86cm, Beyaz</t>
  </si>
  <si>
    <t>https://www.siemens-home.bsh-group.com/tr/tr/product/buzdolaplari-ve-derin-dondurucular/solo-buzdolaplari-ve-derin-dondurucular/alttan-donduruculu-solo-buzdolaplari/KG86PFWC0N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</si>
  <si>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</si>
  <si>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</si>
  <si>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</si>
  <si>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</si>
  <si>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</si>
  <si>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</si>
  <si>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https://www.siemens-home.bsh-group.com/tr/tr/product/bulasik-makineleri/solo-bulasik-makineleri/tam-ebatli-bulasik-makineleri-60cm/SN216I00DT</t>
  </si>
  <si>
    <t>https://www.siemens-home.bsh-group.com/tr/tr/product/bulasik-makineleri/solo-bulasik-makineleri/tam-ebatli-bulasik-makineleri-60cm/SN23EW62KT</t>
  </si>
  <si>
    <t>https://www.siemens-home.bsh-group.com/tr/tr/product/bulasik-makineleri/solo-bulasik-makineleri/tam-ebatli-bulasik-makineleri-60cm/SN23EW63KT</t>
  </si>
  <si>
    <t>https://www.siemens-home.bsh-group.com/tr/tr/product/bulasik-makineleri/solo-bulasik-makineleri/tam-ebatli-bulasik-makineleri-60cm/SN23IC62MT</t>
  </si>
  <si>
    <t>https://www.siemens-home.bsh-group.com/tr/tr/product/bulasik-makineleri/solo-bulasik-makineleri/tam-ebatli-bulasik-makineleri-60cm/SN23II62KT</t>
  </si>
  <si>
    <t>https://www.siemens-home.bsh-group.com/tr/tr/product/bulasik-makineleri/solo-bulasik-makineleri/tam-ebatli-bulasik-makineleri-60cm/SN23II62MT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</si>
  <si>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</si>
  <si>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</si>
  <si>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</si>
  <si>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https://www.siemens-home.bsh-group.com/tr/tr/product/bulasik-makineleri/solo-bulasik-makineleri/tam-ebatli-bulasik-makineleri-60cm/SN27YI82DT</t>
  </si>
  <si>
    <t>https://www.siemens-home.bsh-group.com/tr/tr/product/bulasik-makineleri/ankastre-bulasik-makineleri/yari-ankastre-bulasik-makineleri/semi-integrated-dishwashers-60-cm-width/SN53IS62MT</t>
  </si>
  <si>
    <t>https://www.siemens-home.bsh-group.com/tr/tr/product/bulasik-makineleri/ankastre-bulasik-makineleri/tam-ankastre-bulasik-makineleri/fully-integrated-60-cm-width/SN616X00DT</t>
  </si>
  <si>
    <t>https://www.siemens-home.bsh-group.com/tr/tr/product/yikama-ve-utuleme-grubu/camasir-makineleri/solo-camasir-makineleri/WG42A2X3TR</t>
  </si>
  <si>
    <t>https://www.siemens-home.bsh-group.com/tr/tr/product/yikama-ve-utuleme-grubu/camasir-makineleri/solo-camasir-makineleri/WG42K2Z0TR</t>
  </si>
  <si>
    <t>https://www.siemens-home.bsh-group.com/tr/tr/product/yikama-ve-utuleme-grubu/camasir-makineleri/solo-camasir-makineleri/WG42K2ZXTR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</si>
  <si>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</si>
  <si>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</si>
  <si>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https://www.siemens-home.bsh-group.com/tr/tr/product/yikama-ve-utuleme-grubu/camasir-makineleri/solo-camasir-makineleri/WG52K2ZXTR</t>
  </si>
  <si>
    <t>https://www.siemens-home.bsh-group.com/tr/tr/product/yikama-ve-utuleme-grubu/camasir-makineleri/solo-camasir-makineleri/WG54B2A1TR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</si>
  <si>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</si>
  <si>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</si>
  <si>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</si>
  <si>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</si>
  <si>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</si>
  <si>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https://www.siemens-home.bsh-group.com/tr/tr/product/yikama-ve-utuleme-grubu/kurutma-makineleri/isi-pompali-kurutma-makineleri/WQ42A201TR</t>
  </si>
  <si>
    <t>https://www.siemens-home.bsh-group.com/tr/tr/product/yikama-ve-utuleme-grubu/kurutma-makineleri/isi-pompali-kurutma-makineleri/WQ42J200TR</t>
  </si>
  <si>
    <t>https://www.siemens-home.bsh-group.com/tr/tr/product/yikama-ve-utuleme-grubu/kurutma-makineleri/isi-pompali-kurutma-makineleri/WQ43J2C0TR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</si>
  <si>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</si>
  <si>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</si>
  <si>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</si>
  <si>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</si>
  <si>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https://www.siemens-home.bsh-group.com/tr/tr/product/yikama-ve-utuleme-grubu/kurutma-makineleri/isi-pompali-kurutma-makineleri/WQ45B2A0TR</t>
  </si>
  <si>
    <t>https://www.siemens-home.bsh-group.com/tr/tr/product/yikama-ve-utuleme-grubu/kurutma-makineleri/isi-pompali-kurutma-makineleri/WQ45B2AXTR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</si>
  <si>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</si>
  <si>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https://www.siemens-home.bsh-group.com/tr/tr/product/yikama-ve-utuleme-grubu/kurutma-makineleri/isi-pompali-kurutma-makineleri/WQ52K200TR</t>
  </si>
  <si>
    <t>https://www.siemens-home.bsh-group.com/tr/tr/product/yikama-ve-utuleme-grubu/kurutma-makineleri/isi-pompali-kurutma-makineleri/WT00H201TR</t>
  </si>
  <si>
    <t>https://www.siemens-home.bsh-group.com/tr/tr/product/KA93NVL30N</t>
  </si>
  <si>
    <t>https://www.siemens-home.bsh-group.com/tr/tr/product/buzdolaplari-ve-derin-dondurucular/solo-buzdolaplari-ve-derin-dondurucular/alttan-donduruculu-solo-buzdolaplari/KF96RSBEA</t>
  </si>
  <si>
    <t>https://www.siemens-home.bsh-group.com/tr/tr/product/buzdolaplari-ve-derin-dondurucular/solo-buzdolaplari-ve-derin-dondurucular/ustten-donduruculu-solo-buzdolaplari/KD43NNWE0N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</si>
  <si>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</si>
  <si>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</si>
  <si>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</si>
  <si>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</si>
  <si>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https://www.siemens-home.bsh-group.com/tr/tr/product/prsiemensfridge/KD76NHID1N</t>
  </si>
  <si>
    <t>https://www.siemens-home.bsh-group.com/tr/tr/product/buzdolaplari-ve-derin-dondurucular/solo-buzdolaplari-ve-derin-dondurucular/ustten-donduruculu-solo-buzdolaplari/KD76NXIE1N</t>
  </si>
  <si>
    <t>https://www.siemens-home.bsh-group.com/tr/tr/product/buzdolaplari-ve-derin-dondurucular/solo-buzdolaplari-ve-derin-dondurucular/ustten-donduruculu-solo-buzdolaplari/KD86NAID1N</t>
  </si>
  <si>
    <t>https://www.siemens-home.bsh-group.com/tr/tr/product/prsiemensfridge/KD86NAIE0N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</si>
  <si>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</si>
  <si>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</si>
  <si>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https://www.siemens-home.bsh-group.com/tr/tr/product/prsiemensfridge/KD86NHID1N</t>
  </si>
  <si>
    <t>https://www.siemens-home.bsh-group.com/tr/tr/product/buzdolaplari-ve-derin-dondurucular/solo-buzdolaplari-ve-derin-dondurucular/alttan-donduruculu-solo-buzdolaplari/KG56NLBE0N</t>
  </si>
  <si>
    <t>https://www.siemens-home.bsh-group.com/tr/tr/product/prsiemensfridge/KG56NQWF0N</t>
  </si>
  <si>
    <t>https://www.siemens-home.bsh-group.com/tr/tr/product/prsiemensfridge/KG56NTEE0N</t>
  </si>
  <si>
    <t>https://www.siemens-home.bsh-group.com/tr/tr/product/prsiemensfridge/KG56NTWE0N</t>
  </si>
  <si>
    <t>https://www.siemens-home.bsh-group.com/tr/tr/product/kampanyalar/set-kurutma-firsati/siemensbuiltinset3cooker/KG56NXWE0N</t>
  </si>
  <si>
    <t>https://www.siemens-home.bsh-group.com/tr/tr/product/buzdolaplari-ve-derin-dondurucular/solo-buzdolaplari-ve-derin-dondurucular/alttan-donduruculu-solo-buzdolaplari/KG76APIE0N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</si>
  <si>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</si>
  <si>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https://www.siemens-home.bsh-group.com/tr/tr/product/buzdolaplari-ve-derin-dondurucular/solo-buzdolaplari-ve-derin-dondurucular/alttan-donduruculu-solo-buzdolaplari/KG86NCWE0N</t>
  </si>
  <si>
    <t>https://www.siemens-home.bsh-group.com/tr/tr/product/buzdolaplari-ve-derin-dondurucular/solo-buzdolaplari-ve-derin-dondurucular/alttan-donduruculu-solo-buzdolaplari/KG86NVWE0N</t>
  </si>
  <si>
    <t>https://www.siemens-home.bsh-group.com/tr/tr/product/kampanyalar/supurge-hediye-firsati/KG86PAIC0N</t>
  </si>
  <si>
    <t>https://www.siemens-home.bsh-group.com/tr/tr/product/buzdolaplari-ve-derin-dondurucular/solo-buzdolaplari-ve-derin-dondurucular/solo-derin-dondurucular/GS24VVWE0N</t>
  </si>
  <si>
    <t>https://www.siemens-home.bsh-group.com/tr/tr/product/GS24VVWF0N</t>
  </si>
  <si>
    <t>https://www.siemens-home.bsh-group.com/tr/tr/product/ldaset2ref/GS29NVWE0N</t>
  </si>
  <si>
    <t>https://www.siemens-home.bsh-group.com/tr/tr/product/ldaset2ref/GS29VVWE0N</t>
  </si>
  <si>
    <t>https://www.siemens-home.bsh-group.com/tr/tr/product/ldaset2ref/GS33VVIE0N</t>
  </si>
  <si>
    <t>https://www.siemens-home.bsh-group.com/tr/tr/product/ldaset2ref/GS33VVWE0N</t>
  </si>
  <si>
    <t>https://www.siemens-home.bsh-group.com/tr/tr/product/GS36NVWF0N</t>
  </si>
  <si>
    <t>https://www.siemens-home.bsh-group.com/tr/tr/product/ldaset2ref/GS54NVWE0N</t>
  </si>
  <si>
    <t>https://www.siemens-home.bsh-group.com/tr/tr/product/ankastre/ankastre-buzdolaplari-ve-sogutucular/CI24WP03</t>
  </si>
  <si>
    <t>https://www.siemens-home.bsh-group.com/tr/tr/product/ankastre/ankastre-buzdolaplari-ve-sogutucular/CI30BP02</t>
  </si>
  <si>
    <t>https://www.siemens-home.bsh-group.com/tr/tr/product/ankastre/ankastre-buzdolaplari-ve-sogutucular/CI30RP02</t>
  </si>
  <si>
    <t>https://www.siemens-home.bsh-group.com/tr/tr/product/ankastre/ankastre-buzdolaplari-ve-sogutucular/CI36TP02</t>
  </si>
  <si>
    <t>https://www.siemens-home.bsh-group.com/tr/tr/product/studioline/FI24NP32</t>
  </si>
  <si>
    <t>https://www.siemens-home.bsh-group.com/tr/tr/product/buzdolaplari-ve-derin-dondurucular/ankastre-buzdolaplari-ve-derin-dondurucular/ankastre-derin-dondurucular/FI24NP33</t>
  </si>
  <si>
    <t>https://www.siemens-home.bsh-group.com/tr/tr/product/buzdolaplari-ve-derin-dondurucular/ankastre-buzdolaplari-ve-derin-dondurucular/ankastre-buzdolaplari/KU21RADE0</t>
  </si>
  <si>
    <t>https://www.siemens-home.bsh-group.com/tr/tr/product/ankastre/ankastre-buzdolaplari-ve-sogutucular/KU21WAHG0</t>
  </si>
  <si>
    <t>https://www.siemens-home.bsh-group.com/tr/tr/product/ankastre/ankastre-buzdolaplari-ve-sogutucular/KI86NHDF0</t>
  </si>
  <si>
    <t>https://www.siemens-home.bsh-group.com/tr/tr/product/ankastre/ankastre-buzdolaplari-ve-sogutucular/KI87SAFE0N</t>
  </si>
  <si>
    <t>https://www.siemens-home.bsh-group.com/tr/tr/product/buzdolaplari-ve-derin-dondurucular/ankastre-buzdolaplari-ve-derin-dondurucular/alttan-donduruculu-ankastre-buzdolaplari/KB96NADD0</t>
  </si>
  <si>
    <t>https://www.siemens-home.bsh-group.com/tr/tr/product/prsiemenswm/WA12LPH0TR</t>
  </si>
  <si>
    <t>https://www.siemens-home.bsh-group.com/tr/tr/product/yikama-ve-utuleme-grubu/camasir-makineleri/solo-camasir-makineleri/WG42A1X2TR</t>
  </si>
  <si>
    <t>https://www.siemens-home.bsh-group.com/tr/tr/product/yikama-ve-utuleme-grubu/camasir-makineleri/solo-camasir-makineleri/WG44A2Z1TR</t>
  </si>
  <si>
    <t>https://www.siemens-home.bsh-group.com/tr/tr/product/yikama-ve-utuleme-grubu/camasir-makineleri/solo-camasir-makineleri/WG44A2ZRTR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</si>
  <si>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</si>
  <si>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</si>
  <si>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</si>
  <si>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</si>
  <si>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</si>
  <si>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https://www.siemens-home.bsh-group.com/tr/tr/product/yikama-ve-utuleme-grubu/camasir-makineleri/solo-camasir-makineleri/WG54A2Z0TR</t>
  </si>
  <si>
    <t>https://www.siemens-home.bsh-group.com/tr/tr/product/yikama-ve-utuleme-grubu/camasir-makineleri/solo-camasir-makineleri/WM12N200TR</t>
  </si>
  <si>
    <t>https://www.siemens-home.bsh-group.com/tr/tr/product/ldaset2wm/WM14UP91TR</t>
  </si>
  <si>
    <t>https://www.siemens-home.bsh-group.com/tr/tr/product/prsiemenswm/WM14XE50TR</t>
  </si>
  <si>
    <t>https://www.siemens-home.bsh-group.com/tr/tr/product/yikama-ve-utuleme-grubu/kurutmali-camasir-makineleri/wash-dryers/WN54C2A0TR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</si>
  <si>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</si>
  <si>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https://www.siemens-home.bsh-group.com/tr/tr/product/yikama-ve-utuleme-grubu/kurutma-makineleri/isi-pompali-kurutma-makineleri/WQ52G201TR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</si>
  <si>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</si>
  <si>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https://www.siemens-home.bsh-group.com/tr/tr/product/bulasik-makineleri/solo-bulasik-makineleri/tam-ebatli-bulasik-makineleri-60cm/SN216W00DT</t>
  </si>
  <si>
    <t>https://www.siemens-home.bsh-group.com/tr/tr/product/bulasik-makineleri/solo-bulasik-makineleri/tam-ebatli-bulasik-makineleri-60cm/SN23HB62MT</t>
  </si>
  <si>
    <t>https://www.siemens-home.bsh-group.com/tr/tr/product/bulasik-makineleri/solo-bulasik-makineleri/tam-ebatli-bulasik-makineleri-60cm/SN23HW62MT</t>
  </si>
  <si>
    <t>https://www.siemens-home.bsh-group.com/tr/tr/product/bulasik-makineleri/solo-bulasik-makineleri/tam-ebatli-bulasik-makineleri-60cm/SN23HY62MT</t>
  </si>
  <si>
    <t>https://www.siemens-home.bsh-group.com/tr/tr/product/bulasik-makineleri/solo-bulasik-makineleri/tam-ebatli-bulasik-makineleri-60cm/SN23EI62KT</t>
  </si>
  <si>
    <t>https://www.siemens-home.bsh-group.com/tr/tr/product/bulasik-makineleri/solo-bulasik-makineleri/tam-ebatli-bulasik-makineleri-60cm/SN25EW63KT</t>
  </si>
  <si>
    <t>https://www.siemens-home.bsh-group.com/tr/tr/product/bulasik-makineleri/solo-bulasik-makineleri/tam-ebatli-bulasik-makineleri-60cm/SN25EI70MT</t>
  </si>
  <si>
    <t>https://www.siemens-home.bsh-group.com/tr/tr/product/bulasik-makineleri/solo-bulasik-makineleri/tam-ebatli-bulasik-makineleri-60cm/SN25EI82AT</t>
  </si>
  <si>
    <t>https://www.siemens-home.bsh-group.com/tr/tr/product/bulasik-makineleri/solo-bulasik-makineleri/tam-ebatli-bulasik-makineleri-60cm/SN25EW70MT</t>
  </si>
  <si>
    <t>https://www.siemens-home.bsh-group.com/tr/tr/product/prsiemensdw/SN25HW80MT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</si>
  <si>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</si>
  <si>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</si>
  <si>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https://www.siemens-home.bsh-group.com/tr/tr/product/ankastre/ankastre-bulasik-makineleri/SN515B01DT</t>
  </si>
  <si>
    <t>https://www.siemens-home.bsh-group.com/tr/tr/product/ankastre/ankastre-bulasik-makineleri/SN515W01DT</t>
  </si>
  <si>
    <t>https://www.siemens-home.bsh-group.com/tr/tr/product/SN515W00DT</t>
  </si>
  <si>
    <t>https://www.siemens-home.bsh-group.com/tr/tr/product/bulasik-makineleri/ankastre-bulasik-makineleri/yari-ankastre-bulasik-makineleri/semi-integrated-dishwashers-60-cm-width/SN53IW50KT</t>
  </si>
  <si>
    <t>https://www.siemens-home.bsh-group.com/tr/tr/product/bulasik-makineleri/ankastre-bulasik-makineleri/yari-ankastre-bulasik-makineleri/semi-integrated-dishwashers-60-cm-width/SN53IS50KT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</si>
  <si>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</si>
  <si>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</si>
  <si>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</si>
  <si>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</si>
  <si>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https://www.siemens-home.bsh-group.com/tr/tr/product/SN63HX60MT</t>
  </si>
  <si>
    <t>https://www.siemens-home.bsh-group.com/tr/tr/product/bulasik-makineleri/ankastre-bulasik-makineleri/tam-ankastre-bulasik-makineleri/fully-integrated-60-cm-width/SN63HX62MT</t>
  </si>
  <si>
    <t>https://www.siemens-home.bsh-group.com/tr/tr/product/bulasik-makineleri/ankastre-bulasik-makineleri/tam-ankastre-bulasik-makineleri/fully-integrated-60-cm-width/SN75EX11CE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</si>
  <si>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</si>
  <si>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https://www.siemens-home.bsh-group.com/tr/tr/product/bulasik-makineleri/ankastre-bulasik-makineleri/tam-ankastre-bulasik-makineleri/fully-integrated-60-cm-width/SN97T801BE</t>
  </si>
  <si>
    <t>https://www.siemens-home.bsh-group.com/tr/tr/product/bulasik-makineleri/ankastre-bulasik-makineleri/tam-ankastre-bulasik-makineleri/fully-integrated-60-cm-width/SX95EX12CE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</si>
  <si>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</si>
  <si>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</si>
  <si>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</si>
  <si>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</si>
  <si>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https://www.siemens-home.bsh-group.com/tr/tr/product/pisirme-grubu/firinlar/ankastre-firinlar/HB012FBW1T</t>
  </si>
  <si>
    <t>HB237FEG5T</t>
  </si>
  <si>
    <t>iQ500 Ankastre Fırın, 1 Teleskopik Ray, darkSteel</t>
  </si>
  <si>
    <t>https://www.siemens-home.bsh-group.com/tr/tr/product/pisirme-grubu/firinlar/ankastre-firinlar/HB237FEG5T</t>
  </si>
  <si>
    <t>HB514FBH0T</t>
  </si>
  <si>
    <t>iQ300 Ankastre Fırın, Titanyum Gri</t>
  </si>
  <si>
    <t>https://www.siemens-home.bsh-group.com/tr/tr/product/3d-airfry-ankastre-firinlar/HB514FBH0T</t>
  </si>
  <si>
    <t>HB534FER3T</t>
  </si>
  <si>
    <t>https://www.siemens-home.bsh-group.com/tr/tr/product/pisirme-grubu/firinlar/ankastre-firinlar/HB534FER3T</t>
  </si>
  <si>
    <t>https://www.siemens-home.bsh-group.com/tr/tr/product/pisirme-grubu/firinlar/ankastre-firinlar/HB557JYS5T</t>
  </si>
  <si>
    <t>https://www.siemens-home.bsh-group.com/tr/tr/product/pisirme-grubu/firinlar/ankastre-firinlar/HB776G1B1</t>
  </si>
  <si>
    <t>https://www.siemens-home.bsh-group.com/tr/tr/product/pisirme-grubu/firinlar/ankastre-firinlar/HJ852GYB0T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</si>
  <si>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</si>
  <si>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</si>
  <si>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</si>
  <si>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</si>
  <si>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https://www.siemens-home.bsh-group.com/tr/tr/product/pisirme-grubu/buharli-firinlar/buharli-firinlar/HU717ABA0T</t>
  </si>
  <si>
    <t>https://www.siemens-home.bsh-group.com/tr/tr/product/pisirme-grubu/buharli-firinlar/buharli-firinlar/HU717ABV0T</t>
  </si>
  <si>
    <t>https://www.siemens-home.bsh-group.com/tr/tr/product/pisirme-grubu/buharli-firinlar/buharli-firinlar/HU736AEA0T</t>
  </si>
  <si>
    <t>https://www.siemens-home.bsh-group.com/tr/tr/product/pisirme-grubu/buharli-firinlar/buharli-firinlar/HU736AEN0T</t>
  </si>
  <si>
    <t>https://www.siemens-home.bsh-group.com/tr/tr/product/pisirme-grubu/aksesuarlar/HZ429000</t>
  </si>
  <si>
    <t>https://www.siemens-home.bsh-group.com/tr/tr/product/pisirme-grubu/buharli-firinlar/buharli-firinlar/HR232GEB3</t>
  </si>
  <si>
    <t>https://www.siemens-home.bsh-group.com/tr/tr/product/pisirme-grubu/buharli-firinlar/buharli-firinlar/HU717ABN0T</t>
  </si>
  <si>
    <t>https://www.siemens-home.bsh-group.com/tr/tr/product/pisirme-grubu/buharli-firinlar/buharli-firinlar/HU736AEG0T</t>
  </si>
  <si>
    <t>https://www.siemens-home.bsh-group.com/tr/tr/product/pisirme-grubu/buharli-firinlar/buharli-firinlar/HU736AEV0T</t>
  </si>
  <si>
    <t>https://www.siemens-home.bsh-group.com/tr/tr/product/pisirme-grubu/firinlar/ankastre-firinlar/HB012FBB1T</t>
  </si>
  <si>
    <t>https://www.siemens-home.bsh-group.com/tr/tr/product/pisirme-grubu/firinlar/ankastre-firinlar/HB012FBH1T</t>
  </si>
  <si>
    <t>https://www.siemens-home.bsh-group.com/tr/tr/product/ankastre/ankastre-firinlar/HB134FES1T</t>
  </si>
  <si>
    <t>https://www.siemens-home.bsh-group.com/tr/tr/product/3d-airfry-ankastre-firinlar/HB214FBS0T</t>
  </si>
  <si>
    <t>https://www.siemens-home.bsh-group.com/tr/tr/product/3d-airfry-ankastre-firinlar/HB214FBW0T</t>
  </si>
  <si>
    <t>https://www.siemens-home.bsh-group.com/tr/tr/product/3d-airfry-ankastre-firinlar/HB234FEH0T</t>
  </si>
  <si>
    <t>https://www.siemens-home.bsh-group.com/tr/tr/product/pisirme-grubu/firinlar/ankastre-firinlar/HB234FEH2T</t>
  </si>
  <si>
    <t>http://siemens-home.bsh-group.com/tr/tr/product/ankastre/ankastre-firinlar/HB237FEG0T</t>
  </si>
  <si>
    <t>https://www.siemens-home.bsh-group.com/tr/tr/product/ankastre/ankastre-firinlar/HB478G5B6</t>
  </si>
  <si>
    <t>https://www.siemens-home.bsh-group.com/tr/tr/product/pisirme-grubu/firinlar/ankastre-firinlar/HB237JES5T</t>
  </si>
  <si>
    <t>https://www.siemens-home.bsh-group.com/tr/tr/product/ankastre/ankastre-firinlar/HB514FBR1T</t>
  </si>
  <si>
    <t>https://www.siemens-home.bsh-group.com/tr/tr/product/ankastre/ankastre-firinlar/HB534FER0T</t>
  </si>
  <si>
    <t>https://www.siemens-home.bsh-group.com/tr/tr/product/pisirme-grubu/firinlar/ankastre-firinlar/HB557JEB6T</t>
  </si>
  <si>
    <t>https://www.siemens-home.bsh-group.com/tr/tr/product/ankastre/ankastre-firinlar/HB557JYH0T</t>
  </si>
  <si>
    <t>https://www.siemens-home.bsh-group.com/tr/tr/product/prsiemensovenaddedvalue/HB557JYS0T</t>
  </si>
  <si>
    <t>https://www.siemens-home.bsh-group.com/tr/tr/product/pisirme-grubu/firinlar/ankastre-firinlar/HB557JYW5T</t>
  </si>
  <si>
    <t>https://www.siemens-home.bsh-group.com/tr/tr/product/arsiv/HB655GNW1</t>
  </si>
  <si>
    <t>https://www.siemens-home.bsh-group.com/tr/tr/product/ankastre/ankastre-firinlar/HB676G5S6</t>
  </si>
  <si>
    <t>https://www.siemens-home.bsh-group.com/tr/tr/product/pisirme-grubu/firinlar/ankastre-firinlar/HB734G1B1</t>
  </si>
  <si>
    <t>https://www.siemens-home.bsh-group.com/tr/tr/product/ankastre/ankastre-firinlar/HB734G1W1</t>
  </si>
  <si>
    <t>https://www.siemens-home.bsh-group.com/tr/tr/product/ankastre/ankastre-firinlar/HB778G3B1</t>
  </si>
  <si>
    <t>https://www.siemens-home.bsh-group.com/tr/tr/product/ankastre/ankastre-firinlar/HB876G8B6</t>
  </si>
  <si>
    <t>https://www.siemens-home.bsh-group.com/tr/tr/product/3d-airfry-ankastre-firinlar/HI133FES0T</t>
  </si>
  <si>
    <t>https://www.siemens-home.bsh-group.com/tr/tr/product/3d-airfry-ankastre-firinlar/HN678G4S6</t>
  </si>
  <si>
    <t>https://www.siemens-home.bsh-group.com/tr/tr/product/3d-airfry-ankastre-firinlar/HS636GDS2</t>
  </si>
  <si>
    <t>https://www.siemens-home.bsh-group.com/tr/tr/product/ankastre/ankastre-firinlar/HS858KXB6</t>
  </si>
  <si>
    <t>https://www.siemens-home.bsh-group.com/tr/tr/product/pisirme-grubu/firinlar/ankastre-firinlar/HB976GMB1</t>
  </si>
  <si>
    <t>https://www.siemens-home.bsh-group.com/tr/tr/product/pisirme-grubu/firinlar/mikrodalgali-firinlar/HN978GQB1</t>
  </si>
  <si>
    <t>https://www.siemens-home.bsh-group.com/tr/tr/product/pisirme-grubu/firinlar/kompakt-firinlar/CM978GNB1</t>
  </si>
  <si>
    <t>https://www.siemens-home.bsh-group.com/tr/tr/product/ankastre/ankastre-firinlar/CD634GAS0</t>
  </si>
  <si>
    <t>https://www.siemens-home.bsh-group.com/tr/tr/product/pisirme-grubu/buharli-firinlar/buharli-pisirici/CD714GXB1</t>
  </si>
  <si>
    <t>https://www.siemens-home.bsh-group.com/tr/tr/product/ankastre/ankastre-firinlar/CN838GRB6</t>
  </si>
  <si>
    <t>https://www.siemens-home.bsh-group.com/tr/tr/product/pisirme-grubu/firinlar/kompakt-firinlar/BE525LMH2</t>
  </si>
  <si>
    <t>https://www.siemens-home.bsh-group.com/tr/tr/product/pisirme-grubu/firinlar/kompakt-firinlar/BE525LMW2</t>
  </si>
  <si>
    <t>https://www.siemens-home.bsh-group.com/tr/tr/product/BE525LMS0</t>
  </si>
  <si>
    <t>https://www.siemens-home.bsh-group.com/tr/tr/product/BE555LMS0</t>
  </si>
  <si>
    <t>https://www.siemens-home.bsh-group.com/tr/tr/product/pisirme-grubu/firinlar/kompakt-firinlar/BE732L1B1</t>
  </si>
  <si>
    <t>https://www.siemens-home.bsh-group.com/tr/supportdetail/product/BF520LMA1/01</t>
  </si>
  <si>
    <t>https://www.siemens-home.bsh-group.com/tr/tr/product/BF520LMR0</t>
  </si>
  <si>
    <t>https://www.siemens-home.bsh-group.com/tr/tr/product/BF525LMW0</t>
  </si>
  <si>
    <t>https://www.siemens-home.bsh-group.com/tr/tr/product/pisirme-grubu/firinlar/kompakt-firinlar/BF623LMG3</t>
  </si>
  <si>
    <t>https://www.siemens-home.bsh-group.com/tr/tr/product/pisirme-grubu/firinlar/kompakt-firinlar/BF623LMW3</t>
  </si>
  <si>
    <t>https://www.siemens-home.bsh-group.com/tr/tr/product/studioline/BF834LGB1</t>
  </si>
  <si>
    <t>https://www.siemens-home.bsh-group.com/tr/tr/product/pisirme-grubu/firinlar/kompakt-firinlar/BF922L1B1</t>
  </si>
  <si>
    <t>https://www.siemens-home.bsh-group.com/tr/tr/product/FF020LMB2</t>
  </si>
  <si>
    <t>https://www.siemens-home.bsh-group.com/tr/tr/product/FF020LMW0</t>
  </si>
  <si>
    <t>https://www.siemens-home.bsh-group.com/tr/tr/product/FF023LMS1</t>
  </si>
  <si>
    <t>https://www.siemens-home.bsh-group.com/tr/tr/product/ankastre/ankastre-davlumbazlar/LC65BBC50T</t>
  </si>
  <si>
    <t>https://www.siemens-home.bsh-group.com/tr/tr/product/ankastre/ankastre-davlumbazlar/LC65KA670T</t>
  </si>
  <si>
    <t>https://www.siemens-home.bsh-group.com/tr/tr/product/pisirme-grubu/davlumbazlar-ve-aspiratorler/duvar-tipi-davlumbazlar/egimli-duvar-tipi-davlumbazlar/LC66KPJ20T</t>
  </si>
  <si>
    <t>https://www.siemens-home.bsh-group.com/tr/tr/product/pisirme-grubu/davlumbazlar-ve-aspiratorler/duvar-tipi-davlumbazlar/egimli-duvar-tipi-davlumbazlar/LC66KPJ60T</t>
  </si>
  <si>
    <t>https://www.siemens-home.bsh-group.com/tr/tr/product/pisirme-grubu/davlumbazlar-ve-aspiratorler/duvar-tipi-davlumbazlar/egimli-duvar-tipi-davlumbazlar/LC66KPJ70T</t>
  </si>
  <si>
    <t>https://www.siemens-home.bsh-group.com/tr/tr/product/kampanyalar/ankastre-set-indirim/davlumbazlar/LC67BBK60T</t>
  </si>
  <si>
    <t>https://www.siemens-home.bsh-group.com/tr/tr/product/ankastre/ankastre-davlumbazlar/LC77BHM50</t>
  </si>
  <si>
    <t>https://www.siemens-home.bsh-group.com/tr/tr/product/ankastre/ankastre-davlumbazlar/LC64PCC20T</t>
  </si>
  <si>
    <t>https://www.siemens-home.bsh-group.com/tr/tr/product/ankastre/ankastre-davlumbazlar/LC64PCC50T</t>
  </si>
  <si>
    <t>https://www.siemens-home.bsh-group.com/tr/tr/product/ankastre/ankastre-davlumbazlar/LC64PCC60T</t>
  </si>
  <si>
    <t>https://www.siemens-home.bsh-group.com/tr/tr/product/pisirme-grubu/davlumbazlar-ve-aspiratorler/duvar-tipi-davlumbazlar/egimli-duvar-tipi-davlumbazlar/LC63KPJ20T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</si>
  <si>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</si>
  <si>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</si>
  <si>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https://www.siemens-home.bsh-group.com/tr/tr/product/LC66BBM50</t>
  </si>
  <si>
    <t>https://www.siemens-home.bsh-group.com/tr/tr/product/ankastre/ankastre-davlumbazlar/LC65FCJ20T</t>
  </si>
  <si>
    <t>https://www.siemens-home.bsh-group.com/tr/tr/product/ankastre/ankastre-davlumbazlar/LC65FCJ60T</t>
  </si>
  <si>
    <t>https://www.siemens-home.bsh-group.com/tr/tr/product/ankastre/ankastre-davlumbazlar/LC65KAJ60T</t>
  </si>
  <si>
    <t>https://www.siemens-home.bsh-group.com/tr/tr/product/pisirme-grubu/davlumbazlar-ve-aspiratorler/duvar-tipi-davlumbazlar/egimli-duvar-tipi-davlumbazlar/LC64KPJ20T</t>
  </si>
  <si>
    <t>https://www.siemens-home.bsh-group.com/tr/tr/product/pisirme-grubu/davlumbazlar-ve-aspiratorler/duvar-tipi-davlumbazlar/egimli-duvar-tipi-davlumbazlar/LC64KPJ60T</t>
  </si>
  <si>
    <t>https://www.siemens-home.bsh-group.com/tr/tr/product/pisirme-grubu/davlumbazlar-ve-aspiratorler/duvar-tipi-davlumbazlar/egimli-duvar-tipi-davlumbazlar/LC64KPJ70T</t>
  </si>
  <si>
    <t>https://www.siemens-home.bsh-group.com/tr/tr/product/ankastre/ankastre-davlumbazlar/LC67BBK20T</t>
  </si>
  <si>
    <t>https://www.siemens-home.bsh-group.com/tr/tr/product/pisirme-grubu/davlumbazlar-ve-aspiratorler/duvar-tipi-davlumbazlar/duz-duvar-tipi-davlumbaz/LC65FCJ00T</t>
  </si>
  <si>
    <t>https://www.siemens-home.bsh-group.com/tr/tr/product/ankastre/ankastre-davlumbazlar/LC67FCK20T</t>
  </si>
  <si>
    <t>https://www.siemens-home.bsh-group.com/tr/tr/product/ankastre/ankastre-davlumbazlar/LC67FCK60T</t>
  </si>
  <si>
    <t>https://www.siemens-home.bsh-group.com/tr/tr/product/pisirme-grubu/davlumbazlar-ve-aspiratorler/duvar-tipi-davlumbazlar/egimli-duvar-tipi-davlumbazlar/LC67KPJ60T</t>
  </si>
  <si>
    <t>https://www.siemens-home.bsh-group.com/tr/tr/product/pisirme-grubu/davlumbazlar-ve-aspiratorler/duvar-tipi-davlumbazlar/egimli-duvar-tipi-davlumbazlar/LC67KPJ70T</t>
  </si>
  <si>
    <t>https://www.siemens-home.bsh-group.com/tr/tr/product/ankastre/ankastre-davlumbazlar/LC68KAK60T</t>
  </si>
  <si>
    <t>https://www.siemens-home.bsh-group.com/tr/tr/product/pisirme-grubu/davlumbazlar-ve-aspiratorler/duvar-tipi-davlumbazlar/egimli-duvar-tipi-davlumbazlar/LC67KPJ20T</t>
  </si>
  <si>
    <t>https://www.siemens-home.bsh-group.com/tr/tr/product/pisirme-grubu/davlumbazlar-ve-aspiratorler/duvar-tipi-davlumbazlar/egimli-duvar-tipi-davlumbazlar/LC67KPJ30T</t>
  </si>
  <si>
    <t>https://www.siemens-home.bsh-group.com/tr/tr/product/pisirme-grubu/davlumbazlar-ve-aspiratorler/duvar-tipi-davlumbazlar/egimli-duvar-tipi-davlumbazlar/LC91KLT60</t>
  </si>
  <si>
    <t>https://www.siemens-home.bsh-group.com/tr/tr/product/pisirme-grubu/davlumbazlar-ve-aspiratorler/duvar-tipi-davlumbazlar/egimli-duvar-tipi-davlumbazlar/LC91KLT65</t>
  </si>
  <si>
    <t>https://www.siemens-home.bsh-group.com/tr/tr/product/ankastre/ankastre-davlumbazlar/LC95BBC50T</t>
  </si>
  <si>
    <t>https://www.siemens-home.bsh-group.com/tr/tr/product/pisirme-grubu/davlumbazlar-ve-aspiratorler/duvar-tipi-davlumbazlar/duz-duvar-tipi-davlumbaz/LC95FCJ00T</t>
  </si>
  <si>
    <t>https://www.siemens-home.bsh-group.com/tr/tr/product/ankastre/ankastre-davlumbazlar/LC95FCJ20T</t>
  </si>
  <si>
    <t>https://www.siemens-home.bsh-group.com/tr/tr/product/ankastre/ankastre-davlumbazlar/LC95FCJ70T</t>
  </si>
  <si>
    <t>https://www.siemens-home.bsh-group.com/tr/tr/product/ankastre/ankastre-davlumbazlar/LC95KA270T</t>
  </si>
  <si>
    <t>https://www.siemens-home.bsh-group.com/tr/tr/product/ankastre/ankastre-davlumbazlar/LC97BBM50T</t>
  </si>
  <si>
    <t>https://www.siemens-home.bsh-group.com/tr/tr/product/LC97FQP60</t>
  </si>
  <si>
    <t>https://www.siemens-home.bsh-group.com/tr/tr/product/LC97FVP60</t>
  </si>
  <si>
    <t>https://www.siemens-home.bsh-group.com/tr/tr/product/ankastre/ankastre-davlumbazlar/LC97FVW60</t>
  </si>
  <si>
    <t>https://www.siemens-home.bsh-group.com/tr/tr/product/pisirme-grubu/davlumbazlar-ve-aspiratorler/duvar-tipi-davlumbazlar/egimli-duvar-tipi-davlumbazlar/LC97KPJ20T</t>
  </si>
  <si>
    <t>https://www.siemens-home.bsh-group.com/tr/tr/product/pisirme-grubu/davlumbazlar-ve-aspiratorler/duvar-tipi-davlumbazlar/egimli-duvar-tipi-davlumbazlar/LC97KPJ60T</t>
  </si>
  <si>
    <t>https://www.siemens-home.bsh-group.com/tr/tr/product/pisirme-grubu/davlumbazlar-ve-aspiratorler/duvar-tipi-davlumbazlar/egimli-duvar-tipi-davlumbazlar/LC97KPJ70T</t>
  </si>
  <si>
    <t>https://www.siemens-home.bsh-group.com/tr/tr/product/LC98GA542</t>
  </si>
  <si>
    <t>https://www.siemens-home.bsh-group.com/tr/tr/product/LC98KC542</t>
  </si>
  <si>
    <t>https://www.siemens-home.bsh-group.com/tr/tr/product/ankastre/ankastre-davlumbazlar/LC98KLR61S</t>
  </si>
  <si>
    <t>https://www.siemens-home.bsh-group.com/tr/tr/product/ankastre/ankastre-davlumbazlar/LR18HLT65</t>
  </si>
  <si>
    <t>https://www.siemens-home.bsh-group.com/tr/tr/product/pisirme-grubu/davlumbazlar-ve-aspiratorler/tezgah-havalandirma-cozumleri/downdraftair-sistemi/LD88WMM65</t>
  </si>
  <si>
    <t>https://www.siemens-home.bsh-group.com/tr/tr/product/pisirme-grubu/davlumbazlar-ve-aspiratorler/ada-ve-tavan-tipi-davlumbazlar/ada-tipi-bacali-davlumbazlar/LF97BBM50</t>
  </si>
  <si>
    <t>https://www.siemens-home.bsh-group.com/tr/tr/product/pisirme-grubu/davlumbazlar-ve-aspiratorler/ada-ve-tavan-tipi-davlumbazlar/ada-tipi-bacali-davlumbazlar/LF98BIR55</t>
  </si>
  <si>
    <t>https://www.siemens-home.bsh-group.com/tr/tr/product/ankastre/ankastre-davlumbazlar/LI63TCA11T</t>
  </si>
  <si>
    <t>https://www.siemens-home.bsh-group.com/tr/tr/product/ankastre/ankastre-davlumbazlar/LI63TCA21T</t>
  </si>
  <si>
    <t>https://www.siemens-home.bsh-group.com/tr/tr/product/pisirme-grubu/davlumbazlar-ve-aspiratorler/entegre-ankastre-davlumbazlar/surgulu-aspiratorler/LB56NAC50</t>
  </si>
  <si>
    <t>https://www.siemens-home.bsh-group.com/tr/tr/product/ankastre/ankastre-davlumbazlar/LB53NAA30</t>
  </si>
  <si>
    <t>https://www.siemens-home.bsh-group.com/tr/tr/product/pisirme-grubu/davlumbazlar-ve-aspiratorler/entegre-ankastre-davlumbazlar/surgulu-aspiratorler/LB88NPC60</t>
  </si>
  <si>
    <t>https://www.siemens-home.bsh-group.com/tr/tr/product/pisirme-grubu/davlumbazlar-ve-aspiratorler/entegre-ankastre-davlumbazlar/surgulu-aspiratorler/LB87NAC50</t>
  </si>
  <si>
    <t>iQ500 Gazlı Ocak, 75cm, 5 Gözlü, Inox, Döküm, Wok</t>
  </si>
  <si>
    <t>https://www.siemens-home.bsh-group.com/tr/tr/product/pisirme-grubu/ocaklar/gazli-ocaklar/EC7A5RI90</t>
  </si>
  <si>
    <t>iQ300 İndüksiyonlu Ocak, 90cm, Çerçeveli, Siyah</t>
  </si>
  <si>
    <t>https://www.siemens-home.bsh-group.com/tr/tr/product/pisirme-grubu/ocaklar/induksiyonlu-ocaklar/EH975LVC1E</t>
  </si>
  <si>
    <t>https://www.siemens-home.bsh-group.com/tr/tr/product/pisirme-grubu/ocaklar/gazli-ocaklar/EN6B6NP40R</t>
  </si>
  <si>
    <t>https://www.siemens-home.bsh-group.com/tr/tr/product/pisirme-grubu/ocaklar/gazli-ocaklar/EN7B8QP30O</t>
  </si>
  <si>
    <t>https://www.siemens-home.bsh-group.com/tr/tr/product/pisirme-grubu/ocaklar/gazli-ocaklar/EO6C2PP30O</t>
  </si>
  <si>
    <t>https://www.siemens-home.bsh-group.com/tr/tr/product/pisirme-grubu/ocaklar/gazli-ocaklar/EO6C6PP30O</t>
  </si>
  <si>
    <t>https://www.siemens-home.bsh-group.com/tr/tr/product/pisirme-grubu/ocaklar/gazli-ocaklar/EO6C8PP30O</t>
  </si>
  <si>
    <t>https://www.siemens-home.bsh-group.com/tr/tr/product/pisirme-grubu/ocaklar/gazli-ocaklar/EO7C2PP30O</t>
  </si>
  <si>
    <t>https://www.siemens-home.bsh-group.com/tr/tr/product/pisirme-grubu/ocaklar/gazli-ocaklar/EO7C6HP30O</t>
  </si>
  <si>
    <t>https://www.siemens-home.bsh-group.com/tr/tr/product/pisirme-grubu/ocaklar/gazli-ocaklar/EO7C6PP30O</t>
  </si>
  <si>
    <t>https://www.siemens-home.bsh-group.com/tr/tr/product/pisirme-grubu/ocaklar/gazli-ocaklar/EP7A6QI40O</t>
  </si>
  <si>
    <t>https://www.siemens-home.bsh-group.com/tr/tr/product/pisirme-grubu/ocaklar/seramik-ocaklar/ET611HE17E</t>
  </si>
  <si>
    <t>https://www.siemens-home.bsh-group.com/tr/tr/product/ankastre/ankastre-ocaklar/EU611AGA5E</t>
  </si>
  <si>
    <t>https://www.siemens-home.bsh-group.com/tr/tr/product/pisirme-grubu/ocaklar/induksiyonlu-ocaklar/EX675LYV1E</t>
  </si>
  <si>
    <t>https://www.siemens-home.bsh-group.com/tr/tr/product/EB0C2PB82O</t>
  </si>
  <si>
    <t>https://www.siemens-home.bsh-group.com/tr/tr/product/EB0C5PB82O</t>
  </si>
  <si>
    <t>https://www.siemens-home.bsh-group.com/tr/tr/product/ankastre/ankastre-ocaklar/EB6C2PB82O</t>
  </si>
  <si>
    <t>https://www.siemens-home.bsh-group.com/tr/tr/product/EB6C5YB82L</t>
  </si>
  <si>
    <t>https://www.siemens-home.bsh-group.com/tr/tr/product/ankastre/ankastre-ocaklar/EB6C6PB82O</t>
  </si>
  <si>
    <t>https://www.siemens-home.bsh-group.com/tr/tr/product/pisirme-grubu/ocaklar/gazli-ocaklar/EC6A5HB90</t>
  </si>
  <si>
    <t>https://www.siemens-home.bsh-group.com/tr/tr/product/EG6B5HB60O</t>
  </si>
  <si>
    <t>https://www.siemens-home.bsh-group.com/tr/tr/product/EG6B5PO51</t>
  </si>
  <si>
    <t>https://www.siemens-home.bsh-group.com/tr/tr/product/pisirme-grubu/ocaklar/gazli-ocaklar/EN6B2NP40O</t>
  </si>
  <si>
    <t>https://www.siemens-home.bsh-group.com/tr/tr/product/pisirme-grubu/ocaklar/gazli-ocaklar/EN6B8NP40O</t>
  </si>
  <si>
    <t>https://www.siemens-home.bsh-group.com/tr/tr/product/ankastre/ankastre-ocaklar/EN6C6HO12O</t>
  </si>
  <si>
    <t>https://www.siemens-home.bsh-group.com/tr/tr/product/ankastre/ankastre-ocaklar/EN6C8PO12O</t>
  </si>
  <si>
    <t>https://www.siemens-home.bsh-group.com/tr/tr/product/ankastre/ankastre-ocaklar/EN6C9PO12O</t>
  </si>
  <si>
    <t>https://www.siemens-home.bsh-group.com/tr/tr/product/ankastre/ankastre-ocaklar/EO6C2PB11O</t>
  </si>
  <si>
    <t>https://www.siemens-home.bsh-group.com/tr/tr/product/ankastre/ankastre-ocaklar/EO6C6PB11O</t>
  </si>
  <si>
    <t>https://www.siemens-home.bsh-group.com/tr/tr/product/EO6C6PO90O</t>
  </si>
  <si>
    <t>https://www.siemens-home.bsh-group.com/tr/tr/product/EO6C6PO92O</t>
  </si>
  <si>
    <t>https://www.siemens-home.bsh-group.com/tr/tr/product/ankastre/ankastre-ocaklar/EO6C8PO00O</t>
  </si>
  <si>
    <t>https://www.siemens-home.bsh-group.com/tr/tr/product/EO6C8PO92O</t>
  </si>
  <si>
    <t>https://www.siemens-home.bsh-group.com/tr/tr/product/pisirme-grubu/ocaklar/gazli-ocaklar/EO6C9PO00O</t>
  </si>
  <si>
    <t>https://www.siemens-home.bsh-group.com/tr/tr/product/pisirme-grubu/ocaklar/gazli-ocaklar/EO7C2HP30O</t>
  </si>
  <si>
    <t>https://www.siemens-home.bsh-group.com/tr/tr/product/EO7C2PO10O</t>
  </si>
  <si>
    <t>https://www.siemens-home.bsh-group.com/tr/tr/product/ankastre/ankastre-ocaklar/EO7C2PO12O</t>
  </si>
  <si>
    <t>https://www.siemens-home.bsh-group.com/tr/tr/product/ankastre/ankastre-ocaklar/EO7C6HO12O</t>
  </si>
  <si>
    <t>https://www.siemens-home.bsh-group.com/tr/tr/product/ankastre/ankastre-ocaklar/EO7C6PO12O</t>
  </si>
  <si>
    <t>https://www.siemens-home.bsh-group.com/tr/tr/product/pisirme-grubu/ocaklar/gazli-ocaklar/EO7C8HP30O</t>
  </si>
  <si>
    <t>https://www.siemens-home.bsh-group.com/tr/tr/product/ankastre/ankastre-ocaklar/EO7C8PO12O</t>
  </si>
  <si>
    <t>https://www.siemens-home.bsh-group.com/tr/tr/product/pisirme-grubu/ocaklar/gazli-ocaklar/EO7C8PP30O</t>
  </si>
  <si>
    <t>https://www.siemens-home.bsh-group.com/tr/tr/product/pisirme-grubu/ocaklar/gazli-ocaklar/EO7C9PO12O</t>
  </si>
  <si>
    <t>https://www.siemens-home.bsh-group.com/tr/tr/product/pisirme-grubu/ocaklar/gazli-ocaklar/EP6A6HI40O</t>
  </si>
  <si>
    <t>https://www.siemens-home.bsh-group.com/tr/tr/product/pisirme-grubu/ocaklar/gazli-ocaklar/EP6A6PI40O</t>
  </si>
  <si>
    <t>https://www.siemens-home.bsh-group.com/tr/tr/product/ankastre/ankastre-ocaklar/EP6A2PB20O</t>
  </si>
  <si>
    <t>https://www.siemens-home.bsh-group.com/tr/tr/product/pisirme-grubu/ocaklar/gazli-ocaklar/EP6A6HB20</t>
  </si>
  <si>
    <t>https://www.siemens-home.bsh-group.com/tr/tr/product/ankastre/ankastre-ocaklar/EP6A6PB20</t>
  </si>
  <si>
    <t>https://www.siemens-home.bsh-group.com/tr/tr/product/pisirme-grubu/ocaklar/gazli-ocaklar/EP6A8HI40</t>
  </si>
  <si>
    <t>https://www.siemens-home.bsh-group.com/tr/tr/product/ankastre/ankastre-ocaklar/EP6A8HB20</t>
  </si>
  <si>
    <t>https://www.siemens-home.bsh-group.com/tr/tr/product/EN7B2PO10O</t>
  </si>
  <si>
    <t>https://www.siemens-home.bsh-group.com/tr/tr/product/ankastre/ankastre-ocaklar/EN7B2QO12O</t>
  </si>
  <si>
    <t>https://www.siemens-home.bsh-group.com/tr/tr/product/pisirme-grubu/ocaklar/gazli-ocaklar/EN7B2QP30O</t>
  </si>
  <si>
    <t>https://www.siemens-home.bsh-group.com/tr/tr/product/ankastre/ankastre-ocaklar/EN7B6QO12O</t>
  </si>
  <si>
    <t>https://www.siemens-home.bsh-group.com/tr/tr/product/pisirme-grubu/ocaklar/gazli-ocaklar/EN7B6QP30O</t>
  </si>
  <si>
    <t>https://www.siemens-home.bsh-group.com/tr/tr/product/ankastre/ankastre-ocaklar/EN7B8QO12O</t>
  </si>
  <si>
    <t>https://www.siemens-home.bsh-group.com/tr/tr/product/ankastre/ankastre-ocaklar/EP7A2QB20</t>
  </si>
  <si>
    <t>https://www.siemens-home.bsh-group.com/tr/tr/product/ankastre/ankastre-ocaklar/EP7A6QB10</t>
  </si>
  <si>
    <t>https://www.siemens-home.bsh-group.com/tr/tr/product/ankastre/ankastre-ocaklar/EP7A6QB20</t>
  </si>
  <si>
    <t>https://www.siemens-home.bsh-group.com/tr/tr/product/pisirme-grubu/ocaklar/gazli-ocaklar/EC7A5RB90</t>
  </si>
  <si>
    <t>https://www.siemens-home.bsh-group.com/tr/tr/product/pisirme-grubu/ocaklar/gazli-ocaklar/EP9A6QB90</t>
  </si>
  <si>
    <t>https://www.siemens-home.bsh-group.com/tr/tr/product/pisirme-grubu/ocaklar/gazli-ocaklar/EP9A6QI40</t>
  </si>
  <si>
    <t>https://www.siemens-home.bsh-group.com/tr/tr/product/pisirme-grubu/ocaklar/domino-ocaklar/ER3A6AB70</t>
  </si>
  <si>
    <t>https://www.siemens-home.bsh-group.com/tr/tr/product/pisirme-grubu/ocaklar/domino-ocaklar/ER3A6BB70</t>
  </si>
  <si>
    <t>https://www.siemens-home.bsh-group.com/tr/tr/product/ER6A6PD70</t>
  </si>
  <si>
    <t>https://www.siemens-home.bsh-group.com/tr/tr/product/ankastre/ankastre-ocaklar/ET475FYB1E</t>
  </si>
  <si>
    <t>https://www.siemens-home.bsh-group.com/tr/tr/product/pisirme-grubu/ocaklar/seramik-ocaklar/ET612FEA1E</t>
  </si>
  <si>
    <t>https://www.siemens-home.bsh-group.com/tr/tr/product/pisirme-grubu/ocaklar/seramik-ocaklar/ET651FFP2E</t>
  </si>
  <si>
    <t>https://www.siemens-home.bsh-group.com/tr/tr/product/ankastre/ankastre-ocaklar/ET775FGP1E</t>
  </si>
  <si>
    <t>https://www.siemens-home.bsh-group.com/tr/tr/product/pisirme-grubu/ocaklar/seramik-ocaklar/ET875LMP1D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</si>
  <si>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</si>
  <si>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</si>
  <si>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https://www.siemens-home.bsh-group.com/tr/tr/product/pisirme-grubu/ocaklar/induksiyonlu-ocaklar/EZ877KZY1E</t>
  </si>
  <si>
    <t>https://www.siemens-home.bsh-group.com/tr/tr/product/pisirme-grubu/ocaklar/induksiyonlu-ocaklar/EX975LXC1E</t>
  </si>
  <si>
    <t>https://www.siemens-home.bsh-group.com/tr/tr/product/pisirme-grubu/davlumbazlar-ve-aspiratorler/tezgah-havalandirma-cozumleri/davlumbaz-entegreli-ocak/ED811BS16E</t>
  </si>
  <si>
    <t>https://www.siemens-home.bsh-group.com/tr/tr/product/ankastre/ankastre-ocaklar/EH811BE15E</t>
  </si>
  <si>
    <t>https://www.siemens-home.bsh-group.com/tr/tr/product/ankastre/ankastre-ocaklar/EX875LX67E</t>
  </si>
  <si>
    <t>https://www.siemens-home.bsh-group.com/tr/tr/product/pisirme-grubu/davlumbazlar-ve-aspiratorler/tezgah-havalandirma-cozumleri/davlumbaz-entegreli-ocak/EX877NX68E</t>
  </si>
  <si>
    <t>https://www.siemens-home.bsh-group.com/tr/tr/product/kahve-makineleri/tam-otomatik-kahve-makineleri/eq6-plus-tam-otomatik-kahve-makineleri/TE651209RW</t>
  </si>
  <si>
    <t>https://www.siemens-home.bsh-group.com/tr/tr/product/kucuk-ev-aletleri/TE651319RW</t>
  </si>
  <si>
    <t>https://www.siemens-home.bsh-group.com/tr/tr/product/kucuk-ev-aletleri/TI351209RW</t>
  </si>
  <si>
    <t>https://www.siemens-home.bsh-group.com/tr/tr/product/kahve-makineleri/tam-otomatik-kahve-makineleri/eq700/TQ713R03</t>
  </si>
  <si>
    <t>https://www.siemens-home.bsh-group.com/tr/tr/product/kahve-makineleri/tam-otomatik-kahve-makineleri/eq900/TQ905R03</t>
  </si>
  <si>
    <t>https://www.siemens-home.bsh-group.com/tr/tr/product/kahve-makineleri/aksesuarlar/TZ80001A</t>
  </si>
  <si>
    <t>https://www.siemens-home.bsh-group.com/tr/tr/product/kahve-makineleri/aksesuarlar/TZ80002A</t>
  </si>
  <si>
    <t>https://www.siemens-home.bsh-group.com/tr/tr/product/CT636LES6</t>
  </si>
  <si>
    <t>https://www.siemens-home.bsh-group.com/tr/tr/product/kahve-makineleri/ankastre-tam-otomatik-kahve-makineleri/CT718L1B0</t>
  </si>
  <si>
    <t>https://www.siemens-home.bsh-group.com/tr/tr/product/kahve-makineleri/ankastre-tam-otomatik-kahve-makineleri/CT918L1B0</t>
  </si>
  <si>
    <t>https://www.siemens-home.bsh-group.com/tr/tr/product/TE653311RW</t>
  </si>
  <si>
    <t>https://www.siemens-home.bsh-group.com/tr/tr/product/kampanyalar/online-ozel-kahve-makineleri/TE655203RW</t>
  </si>
  <si>
    <t>https://www.siemens-home.bsh-group.com/tr/tr/product/kahve-makineleri/tam-otomatik-kahve-makineleri/eq6-plus-tam-otomatik-kahve-makineleri/TE657319RW</t>
  </si>
  <si>
    <t>https://www.siemens-home.bsh-group.com/tr/tr/product/TI353204RW</t>
  </si>
  <si>
    <t>https://www.siemens-home.bsh-group.com/tr/tr/product/TI923309RW</t>
  </si>
  <si>
    <t>https://www.siemens-home.bsh-group.com/tr/tr/product/TI9553X9RW</t>
  </si>
  <si>
    <t>https://www.siemens-home.bsh-group.com/tr/tr/product/kucuk-ev-aletleri/TP501R09</t>
  </si>
  <si>
    <t>https://www.siemens-home.bsh-group.com/tr/tr/product/kucuk-ev-aletleri/TP503R09</t>
  </si>
  <si>
    <t>https://www.siemens-home.bsh-group.com/tr/tr/product/kucuk-ev-aletleri/TP505R01</t>
  </si>
  <si>
    <t>https://www.siemens-home.bsh-group.com/tr/tr/product/TP507R04</t>
  </si>
  <si>
    <t>https://www.siemens-home.bsh-group.com/tr/tr/product/kahve-makineleri/tam-otomatik-kahve-makineleri/eq500-tam-otomatik-kahve-makineleri/TP516RX3</t>
  </si>
  <si>
    <t>https://www.siemens-home.bsh-group.com/tr/tr/product/kahve-makineleri/tam-otomatik-kahve-makineleri/eq500-tam-otomatik-kahve-makineleri/TP517R03</t>
  </si>
  <si>
    <t>https://www.siemens-home.bsh-group.com/tr/tr/product/kucuk-ev-aletleri/TP703R09</t>
  </si>
  <si>
    <t>https://www.siemens-home.bsh-group.com/tr/tr/product/kucuk-ev-aletleri/TP703R19</t>
  </si>
  <si>
    <t>https://www.siemens-home.bsh-group.com/tr/tr/product/kahve-makineleri/tam-otomatik-kahve-makineleri/eq700/TP713R19</t>
  </si>
  <si>
    <t>https://www.siemens-home.bsh-group.com/tr/tr/product/kucuk-ev-aletleri/TQ505R09</t>
  </si>
  <si>
    <t>https://www.siemens-home.bsh-group.com/tr/tr/product/TQ507R02</t>
  </si>
  <si>
    <t>https://www.siemens-home.bsh-group.com/tr/tr/product/kucuk-ev-aletleri/TQ703R07</t>
  </si>
  <si>
    <t>https://www.siemens-home.bsh-group.com/tr/tr/product/kahve-makineleri/tam-otomatik-kahve-makineleri/eq900/TQ907RZ3</t>
  </si>
  <si>
    <t>https://www.siemens-home.bsh-group.com/tr/tr/product/BI630CNS1</t>
  </si>
  <si>
    <t>https://www.siemens-home.bsh-group.com/tr/tr/product/BI630CNW1</t>
  </si>
  <si>
    <t>https://www.siemens-home.bsh-group.com/tr/tr/product/studioline/BI830CNB1</t>
  </si>
  <si>
    <t>https://www.siemens-home.bsh-group.com/tr/tr/product/elektrikli-supurgeler/toz-torbali-torbasiz-elektrikli-supurgeler/VSC3A330</t>
  </si>
  <si>
    <t>https://www.siemens-home.bsh-group.com/tr/tr/product/elektrikli-supurgeler/toz-torbali-torbasiz-elektrikli-supurgeler/VSC7SIL1</t>
  </si>
  <si>
    <t>https://www.siemens-home.bsh-group.com/tr/tr/product/elektrikli-supurgeler/sarjli-supurgeler/VSM120B</t>
  </si>
  <si>
    <t>https://www.siemens-home.bsh-group.com/tr/tr/product/elektrikli-supurgeler/sarjli-supurgeler/VSM120HYG</t>
  </si>
  <si>
    <t>https://www.siemens-home.bsh-group.com/tr/tr/product/elektrikli-supurgeler/sarjli-supurgeler/VSM120XXL</t>
  </si>
  <si>
    <t>https://www.siemens-home.bsh-group.com/tr/tr/product/elektrikli-supurgeler/toz-torbali-torbasiz-elektrikli-supurgeler/VSP3AAAA</t>
  </si>
  <si>
    <t>https://www.siemens-home.bsh-group.com/tr/tr/product/elektrikli-supurgeler/toz-torbali-torbasiz-elektrikli-supurgeler/VSX41XTRM</t>
  </si>
  <si>
    <t>https://www.siemens-home.bsh-group.com/tr/tr/product/elektrikli-supurgeler/toz-torbali-torbasiz-elektrikli-supurgeler/VSX7XTRM</t>
  </si>
  <si>
    <t>https://www.siemens-home.bsh-group.com/tr/tr/product/VZ41FGALL</t>
  </si>
  <si>
    <t>https://www.siemens-home.bsh-group.com/tr/tr/product/elektrikli-supurgeler/toz-torbali-torbasiz-elektrikli-supurgeler/VS06B1110</t>
  </si>
  <si>
    <t>https://www.siemens-home.bsh-group.com/tr/tr/product/elektrikli-supurgeler/toz-torbali-torbasiz-elektrikli-supurgeler/VSC3A210</t>
  </si>
  <si>
    <t>https://www.siemens-home.bsh-group.com/tr/tr/product/VSC3A330A</t>
  </si>
  <si>
    <t>https://www.siemens-home.bsh-group.com/tr/tr/product/kucuk-ev-aletleri/VSC7X300</t>
  </si>
  <si>
    <t>https://www.siemens-home.bsh-group.com/tr/tr/product/elektrikli-supurgeler/toz-torbali-torbasiz-elektrikli-supurgeler/VSX21A300</t>
  </si>
  <si>
    <t>https://www.siemens-home.bsh-group.com/tr/tr/product/elektrikli-supurgeler/toz-torbali-torbasiz-elektrikli-supurgeler/VSX21A320</t>
  </si>
  <si>
    <t>https://www.siemens-home.bsh-group.com/tr/tr/product/elektrikli-supurgeler/toz-torbali-torbasiz-elektrikli-supurgeler/VSX41A300</t>
  </si>
  <si>
    <t>https://www.siemens-home.bsh-group.com/tr/tr/product/supurgeler/VSX41A322</t>
  </si>
  <si>
    <t>https://www.siemens-home.bsh-group.com/tr/tr/product/VSX4A212</t>
  </si>
  <si>
    <t>https://www.siemens-home.bsh-group.com/tr/tr/product/HZ9VRUD0</t>
  </si>
  <si>
    <t>https://www.siemens-home.bsh-group.com/tr/tr/product/VZ41AFP</t>
  </si>
  <si>
    <t>https://www.siemens-home.bsh-group.com/tr/tr/product/DE2124407M</t>
  </si>
  <si>
    <t>https://www.siemens-home.bsh-group.com/tr/tr/product/DE21307M</t>
  </si>
  <si>
    <t>https://www.siemens-home.bsh-group.com/tr/tr/product/TA22005</t>
  </si>
  <si>
    <t>https://www.siemens-home.bsh-group.com/tr/tr/product/TC86505</t>
  </si>
  <si>
    <t>https://www.siemens-home.bsh-group.com/tr/tr/product/MQ66120</t>
  </si>
  <si>
    <t>https://www.siemens-home.bsh-group.com/tr/tr/product/MQ66155</t>
  </si>
  <si>
    <t>https://www.siemens-home.bsh-group.com/tr/tr/product/MQ67110</t>
  </si>
  <si>
    <t>https://www.siemens-home.bsh-group.com/tr/tr/product/MQ955PE</t>
  </si>
  <si>
    <t>https://www.siemens-home.bsh-group.com/tr/tr/product/MQ96400</t>
  </si>
  <si>
    <t>https://www.siemens-home.bsh-group.com/tr/tr/product/MR008B1</t>
  </si>
  <si>
    <t>https://www.siemens-home.bsh-group.com/tr/tr/product/TT86103</t>
  </si>
  <si>
    <t>https://www.siemens-home.bsh-group.com/tr/tr/product/TW3A0103</t>
  </si>
  <si>
    <t>https://www.siemens-home.bsh-group.com/tr/tr/product/CI10Z090</t>
  </si>
  <si>
    <t>https://www.siemens-home.bsh-group.com/tr/tr/product/CI10Z490</t>
  </si>
  <si>
    <t>https://www.siemens-home.bsh-group.com/tr/tr/product/CI10Z491</t>
  </si>
  <si>
    <t>https://www.siemens-home.bsh-group.com/tr/tr/product/CI10Z591</t>
  </si>
  <si>
    <t>https://www.siemens-home.bsh-group.com/tr/tr/product/CI10ZH10</t>
  </si>
  <si>
    <t>https://www.siemens-home.bsh-group.com/tr/tr/product/buzdolaplari-ve-derin-dondurucular/aksesuarlar/FI24Z090</t>
  </si>
  <si>
    <t>https://www.siemens-home.bsh-group.com/tr/tr/product/buzdolaplari-ve-derin-dondurucular/aksesuarlar/FI30Z090</t>
  </si>
  <si>
    <t>https://www.siemens-home.bsh-group.com/tr/tr/product/CI36Z490</t>
  </si>
  <si>
    <t>https://www.siemens-home.bsh-group.com/tr/tr/product/arsiv/CI60Z000</t>
  </si>
  <si>
    <t>https://www.siemens-home.bsh-group.com/tr/tr/product/arsiv/CI60Z200</t>
  </si>
  <si>
    <t>https://www.siemens-home.bsh-group.com/tr/tr/product/CI60ZBL1</t>
  </si>
  <si>
    <t>https://www.siemens-home.bsh-group.com/tr/supportdetail/product/CI30ZSETB2(00)</t>
  </si>
  <si>
    <t>https://www.siemens-home.bsh-group.com/tr/tr/product/klimalar/AS09XVW32N</t>
  </si>
  <si>
    <t>https://www.siemens-home.bsh-group.com/tr/tr/product/klimalar/AS12XVW32N</t>
  </si>
  <si>
    <t>https://www.siemens-home.bsh-group.com/tr/tr/product/klimalar/AS12XXB32N</t>
  </si>
  <si>
    <t>https://www.siemens-home.bsh-group.com/tr/tr/product/klimalar/AS18XVW32N</t>
  </si>
  <si>
    <t>https://www.siemens-home.bsh-group.com/tr/tr/product/klimalar/AS18XXB32N</t>
  </si>
  <si>
    <t>https://www.siemens-home.bsh-group.com/tr/tr/product/klimalar/AS24XVW32N</t>
  </si>
  <si>
    <t>https://shaza.com.tr/shaza-akim-korumali-akilli-priz</t>
  </si>
  <si>
    <t>https://shaza.com.tr/shaza-akim-korumali-uclu-priz</t>
  </si>
  <si>
    <t>PhaseOut İndirimi</t>
  </si>
  <si>
    <t>ANKAMALL</t>
  </si>
  <si>
    <t>WQ52J20RTR</t>
  </si>
  <si>
    <t>iQ500 Isı Pompalı Kurutma Makinesi, 10kg, Antrasit/Dark</t>
  </si>
  <si>
    <t>https://www.siemens-home.bsh-group.com/tr/tr/product/yikama-ve-utuleme-grubu/kurutma-makineleri/isi-pompali-kurutma-makineleri/WQ52J20RTR</t>
  </si>
  <si>
    <t>WQ41G20TTR</t>
  </si>
  <si>
    <t>HI133FEW0T</t>
  </si>
  <si>
    <t>SA9001/WT</t>
  </si>
  <si>
    <t>SA9002/WT</t>
  </si>
  <si>
    <t>https://www.siemens-home.bsh-group.com/tr/tr/product/yikama-ve-utuleme-grubu/kurutma-makineleri/isi-pompali-kurutma-makineleri/WQ41G20TTR</t>
  </si>
  <si>
    <t>iQ300 Isı Pompalı Kurutma Makinesi, 9kg, Gümüş</t>
  </si>
  <si>
    <t>iQ300 Ankastre Fırın, 1 Teleskopik Ray, Arkası Kendini Temizler, Beyaz</t>
  </si>
  <si>
    <t>https://www.siemens-home.bsh-group.com/tr/tr/product/3d-airfry-ankastre-firinlar/HI133FEW0T</t>
  </si>
  <si>
    <t>ER9A6SH40</t>
  </si>
  <si>
    <t>https://www.siemens-home.bsh-group.com/tr/tr/product/pisirme-grubu/ocaklar/gazli-ocaklar/ER9A6SH40</t>
  </si>
  <si>
    <t>KD76NXWE0N</t>
  </si>
  <si>
    <t>HB214FBW1T</t>
  </si>
  <si>
    <t>EP7A2QI40</t>
  </si>
  <si>
    <t>iQ500 Gazlı Ocak, 75cm, 5 Gözlü, Sert Cam, Beyaz, Wok</t>
  </si>
  <si>
    <t>https://www.siemens-home.bsh-group.com/tr/tr/product/pisirme-grubu/ocaklar/gazli-ocaklar/EP7A2QI40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</si>
  <si>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</si>
  <si>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</si>
  <si>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https://www.siemens-home.bsh-group.com/tr/tr/product/ankastre/ankastre-firinlar/HB214FBW1T</t>
  </si>
  <si>
    <t>iQ300 Ankastre Fırın, Beyaz</t>
  </si>
  <si>
    <t>KD55NNLE0N</t>
  </si>
  <si>
    <t>GS36NVIEP</t>
  </si>
  <si>
    <t>https://www.siemens-home.bsh-group.com/tr/tr/product/buzdolaplari-ve-derin-dondurucular/solo-buzdolaplari-ve-derin-dondurucular/solo-derin-dondurucular/GS36NVIEP</t>
  </si>
  <si>
    <t>iQ300 Derin Dondurucu, 186x60cm, No-Frost, Inox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</si>
  <si>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</si>
  <si>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</si>
  <si>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iQ500 Ankastre Fırın, 2 Teleskopik Ray, Siyah/Inox</t>
  </si>
  <si>
    <t>Satılabilir Minimum Taksitli Fiyat</t>
  </si>
  <si>
    <t>CAM OFİS</t>
  </si>
  <si>
    <t>WQ42J20XTR</t>
  </si>
  <si>
    <t>SN515S01DT</t>
  </si>
  <si>
    <t>HB013FBS1T</t>
  </si>
  <si>
    <t>HB214FBS1T</t>
  </si>
  <si>
    <t>HB634GBS1</t>
  </si>
  <si>
    <t>HB656GHW1</t>
  </si>
  <si>
    <t>https://www.siemens-home.bsh-group.com/tr/tr/product/3d-airfry-ankastre-firinlar/HB634GBS1</t>
  </si>
  <si>
    <t>https://www.siemens-home.bsh-group.com/tr/tr/product/3d-airfry-ankastre-firinlar/HB656GHW1</t>
  </si>
  <si>
    <t>https://www.siemens-home.bsh-group.com/tr/tr/product/3d-airfry-ankastre-firinlar/HB214FBS1T</t>
  </si>
  <si>
    <t>https://www.siemens-home.bsh-group.com/tr/tr/product/ankastre/ankastre-firinlar/HB013FBS1T</t>
  </si>
  <si>
    <t>iQ100 Yarı Ankastre Bulaşık Makinesi, Inox</t>
  </si>
  <si>
    <t>https://www.siemens-home.bsh-group.com/tr/tr/product/ankastre/ankastre-bulasik-makineleri/SN515S01DT</t>
  </si>
  <si>
    <t>iQ500 Isı Pompalı Kurutma Makinesi, 9kg, Gümüş</t>
  </si>
  <si>
    <t>https://www.siemens-home.bsh-group.com/tr/tr/product/yikama-ve-utuleme-grubu/kurutma-makineleri/isi-pompali-kurutma-makineleri/WQ42J20XTR</t>
  </si>
  <si>
    <t>EB0C2PK80O</t>
  </si>
  <si>
    <t>iQ100 Set Üstü Gazlı Ocak, 60cm, Beyaz</t>
  </si>
  <si>
    <t>https://www.siemens-home.bsh-group.com/tr/tr/product/pisirme-grubu/ocaklar/gazli-ocaklar/EB0C2PK80O</t>
  </si>
  <si>
    <t>EC9A5TB90</t>
  </si>
  <si>
    <t>iQ500 Gazlı Ocak, 90cm, 6 Gözlü, Inox, Döküm, Çift Wok</t>
  </si>
  <si>
    <t>https://www.siemens-home.bsh-group.com/tr/tr/product/ankastre/ankastre-ocaklar/EC9A5TB90</t>
  </si>
  <si>
    <t>EN6C2PO12O</t>
  </si>
  <si>
    <t>iQ100 Gazlı Ocak, 60cm, Sert Cam, Beyaz</t>
  </si>
  <si>
    <t>https://www.siemens-home.bsh-group.com/tr/tr/product/ankastre/ankastre-ocaklar/EN6C2PO12O</t>
  </si>
  <si>
    <t>EN6C9HO12O</t>
  </si>
  <si>
    <t>iQ100 Gazlı Ocak, 60cm, Sert Cam, Antrasit, Wok</t>
  </si>
  <si>
    <t>https://www.siemens-home.bsh-group.com/tr/tr/product/ankastre/ankastre-ocaklar/EN6C9HO12O</t>
  </si>
  <si>
    <t>EO6C2PO92O</t>
  </si>
  <si>
    <t>iQ100 Gazlı Ocak, 60cm, Sert Cam, Beyaz, Döküm</t>
  </si>
  <si>
    <t>https://www.siemens-home.bsh-group.com/tr/tr/product/EO6C2PO92O</t>
  </si>
  <si>
    <t>EO7C9HO12O</t>
  </si>
  <si>
    <t>iQ300 Gazlı Ocak, 67cm, Sert Cam, Antrasit, Wok</t>
  </si>
  <si>
    <t>https://www.siemens-home.bsh-group.com/tr/tr/product/ankastre/ankastre-ocaklar/EO7C9HO12O</t>
  </si>
  <si>
    <t>ET875LMV1D</t>
  </si>
  <si>
    <t>iQ500 Elektrikli Ocak, 80cm, Çerçeveli, Siyah</t>
  </si>
  <si>
    <t>https://www.siemens-home.bsh-group.com/tr/tr/product/ankastre/ankastre-ocaklar/ET875LMV1D</t>
  </si>
  <si>
    <t>EU611BEB1E</t>
  </si>
  <si>
    <t>https://www.siemens-home.bsh-group.com/tr/tr/product/EU611BEB1E</t>
  </si>
  <si>
    <t>EX675FXC1E</t>
  </si>
  <si>
    <t>https://www.siemens-home.bsh-group.com/tr/tr/product/ankastre/ankastre-ocaklar/EX675FXC1E</t>
  </si>
  <si>
    <t>EX777NEV6E</t>
  </si>
  <si>
    <t>iQ700 İndüksiyonlu Ocak, 70cm, Çerçeveli, Siyah</t>
  </si>
  <si>
    <t>https://www.siemens-home.bsh-group.com/tr/tr/product/ankastre/ankastre-ocaklar/EX777NEV6E</t>
  </si>
  <si>
    <t>HB010FBR1T</t>
  </si>
  <si>
    <t>iQ100 Ankastre Fırın, Siyah/Inox</t>
  </si>
  <si>
    <t>https://www.siemens-home.bsh-group.com/tr/tr/product/ankastre/ankastre-firinlar/HB010FBR1T</t>
  </si>
  <si>
    <t>HB013FBW1T</t>
  </si>
  <si>
    <t>https://www.siemens-home.bsh-group.com/tr/tr/product/3d-airfry-ankastre-firinlar/HB013FBW1T</t>
  </si>
  <si>
    <t>HB237JES0T</t>
  </si>
  <si>
    <t>https://www.siemens-home.bsh-group.com/tr/tr/product/ankastre/ankastre-firinlar/HB237JES0T</t>
  </si>
  <si>
    <t>HB514FBH2T</t>
  </si>
  <si>
    <t>https://www.siemens-home.bsh-group.com/tr/tr/product/ankastre/ankastre-firinlar/HB514FBH2T</t>
  </si>
  <si>
    <t>HB557JYH2T</t>
  </si>
  <si>
    <t>https://www.siemens-home.bsh-group.com/tr/tr/product/ankastre/ankastre-firinlar/HB557JYH2T</t>
  </si>
  <si>
    <t>HI133FEW3T</t>
  </si>
  <si>
    <t>https://www.siemens-home.bsh-group.com/tr/tr/product/ankastre/ankastre-firinlar/HI133FEW3T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</si>
  <si>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</si>
  <si>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</si>
  <si>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</si>
  <si>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KG86PAWC0N</t>
  </si>
  <si>
    <t>https://www.siemens-home.bsh-group.com/tr/tr/product/kampanyalar/supurge-hediye-firsati/KG86PAWC0N</t>
  </si>
  <si>
    <t>LC65KAJ30T</t>
  </si>
  <si>
    <t>iQ300 Eğimli Davlumbaz, 60cm, 638m3, Siyah Cam</t>
  </si>
  <si>
    <t>https://www.siemens-home.bsh-group.com/tr/tr/product/ankastre/ankastre-davlumbazlar/LC65KAJ30T</t>
  </si>
  <si>
    <t>LC67BBK70T</t>
  </si>
  <si>
    <t>iQ300 Düz Davlumbaz, 60cm, 582m3, Titanyum Gri/Inox</t>
  </si>
  <si>
    <t>https://www.siemens-home.bsh-group.com/tr/tr/product/ankastre/ankastre-davlumbazlar/LC67BBK70T</t>
  </si>
  <si>
    <t>LC68KAK20T</t>
  </si>
  <si>
    <t>iQ500 Eğimli Davlumbaz, 60cm, 578m3, Inox/Beyaz Cam</t>
  </si>
  <si>
    <t>https://www.siemens-home.bsh-group.com/tr/tr/product/ankastre/ankastre-davlumbazlar/LC68KAK20T</t>
  </si>
  <si>
    <t>LC95KA670T</t>
  </si>
  <si>
    <t>iQ300 Eğimli Davlumbaz, 90cm, 629m3, Siyah Cam</t>
  </si>
  <si>
    <t>https://www.siemens-home.bsh-group.com/tr/tr/product/ankastre/ankastre-davlumbazlar/LC95KA670T</t>
  </si>
  <si>
    <t>SN234I01DT</t>
  </si>
  <si>
    <t>https://www.siemens-home.bsh-group.com/tr/tr/product/prsiemensdw/SN234I01DT</t>
  </si>
  <si>
    <t>SN23HW60MT</t>
  </si>
  <si>
    <t>https://www.siemens-home.bsh-group.com/tr/tr/product/prsiemensdw/SN23HW60MT</t>
  </si>
  <si>
    <t>SN23II51KT</t>
  </si>
  <si>
    <t>https://www.siemens-home.bsh-group.com/tr/tr/product/bulasik-makineleri/siemens-finish-isbirligi-bulasik-makineleri/SN23II51KT</t>
  </si>
  <si>
    <t>SN615X01DT</t>
  </si>
  <si>
    <t>https://www.siemens-home.bsh-group.com/tr/tr/product/ankastre/ankastre-bulasik-makineleri/SN615X01DT</t>
  </si>
  <si>
    <t>SN61IX01KT</t>
  </si>
  <si>
    <t>https://www.siemens-home.bsh-group.com/tr/tr/product/ankastre/ankastre-bulasik-makineleri/SN61IX01KT</t>
  </si>
  <si>
    <t>SN63IX62MT</t>
  </si>
  <si>
    <t>https://www.siemens-home.bsh-group.com/tr/tr/product/ankastre/ankastre-bulasik-makineleri/SN63IX62MT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</si>
  <si>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</si>
  <si>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</si>
  <si>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</si>
  <si>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VCH6XTRM</t>
  </si>
  <si>
    <t>Siemens Dikey Şarjlı Süpürge, Siyah</t>
  </si>
  <si>
    <t>https://www.siemens-home.bsh-group.com/tr/tr/product/VCH6XTRM</t>
  </si>
  <si>
    <t>WG42A1ZXTR</t>
  </si>
  <si>
    <t>iQ300 Çamaşır Makinesi, 9kg/1200devir, Gümüş</t>
  </si>
  <si>
    <t>https://www.siemens-home.bsh-group.com/tr/tr/product/ldaset2wm/WG42A1ZXTR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</si>
  <si>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</si>
  <si>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</si>
  <si>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</si>
  <si>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</si>
  <si>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WG52A203TR</t>
  </si>
  <si>
    <t>WG52A2XVTR</t>
  </si>
  <si>
    <t>https://www.siemens-home.bsh-group.com/tr/tr/product/evlilik-kampanyasi-camasir-makineleri/WG52A2XVTR</t>
  </si>
  <si>
    <t>WG52A2Z0TR</t>
  </si>
  <si>
    <t>https://www.siemens-home.bsh-group.com/tr/tr/product/yikama-ve-utuleme-grubu/camasir-makineleri/iq300-camasir-makineleri/WG52A2Z0TR</t>
  </si>
  <si>
    <t>WG52K2Z1TR</t>
  </si>
  <si>
    <t>WG54A200TR</t>
  </si>
  <si>
    <t>https://www.siemens-home.bsh-group.com/tr/tr/product/prsiemenswm/WG54A200TR</t>
  </si>
  <si>
    <t>WG54B2A0TR</t>
  </si>
  <si>
    <t>https://www.siemens-home.bsh-group.com/tr/tr/product/yikama-ve-utuleme-grubu/camasir-makineleri/iq700-camasir-makineleri/WG54B2A0TR</t>
  </si>
  <si>
    <t>WG54B2AXTR</t>
  </si>
  <si>
    <t>https://www.siemens-home.bsh-group.com/tr/tr/product/yikama-ve-utuleme-grubu/camasir-makineleri/iq700-camasir-makineleri/WG54B2AXTR</t>
  </si>
  <si>
    <t>WG54K2Y0TR</t>
  </si>
  <si>
    <t>iQ500 Çamaşır Makinesi, 10kg/1400devir, i-dos, Beyaz</t>
  </si>
  <si>
    <t>WG64K2Y0TR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</si>
  <si>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</si>
  <si>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</si>
  <si>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</si>
  <si>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WM14VKH0TR</t>
  </si>
  <si>
    <t>https://www.siemens-home.bsh-group.com/tr/tr/product/evlilik-kampanyasi-camasir-makineleri/WM14VKH0TR</t>
  </si>
  <si>
    <t>WN54A2X1TR</t>
  </si>
  <si>
    <t>iQ300 Kurutmalı Çamaşır Makinesi, 10kg/6kg/1400devir, i-dos, Beyaz</t>
  </si>
  <si>
    <t>https://www.siemens-home.bsh-group.com/tr/tr/product/WN54A2X1TR</t>
  </si>
  <si>
    <t>WQ41G200TR</t>
  </si>
  <si>
    <t>https://www.siemens-home.bsh-group.com/tr/tr/product/prsiemensdryer/WQ41G200TR</t>
  </si>
  <si>
    <t>WQ42G20RTR</t>
  </si>
  <si>
    <t>iQ500 Isı Pompalı Kurutma Makinesi, 9kg, Antrasit/Dark</t>
  </si>
  <si>
    <t>https://www.siemens-home.bsh-group.com/tr/tr/product/ldaset2wm/WQ42G20RTR</t>
  </si>
  <si>
    <t>WT00H200TR</t>
  </si>
  <si>
    <t>https://www.siemens-home.bsh-group.com/tr/tr/product/ldaset2wm/WT00H200TR</t>
  </si>
  <si>
    <t>WT45W41STR</t>
  </si>
  <si>
    <t>iQ700 Isı Pompalı Kurutma Makinesi, 8kg, Gümüş</t>
  </si>
  <si>
    <t>https://www.siemens-home.bsh-group.com/tr/tr/product/prsiemensdryer/WT45W41STR</t>
  </si>
  <si>
    <t>WT47XK80TR</t>
  </si>
  <si>
    <t>https://www.siemens-home.bsh-group.com/tr/tr/product/prsiemensdryer/WT47XK80TR</t>
  </si>
  <si>
    <t>WG44B200TR</t>
  </si>
  <si>
    <t>https://www.siemens-home.bsh-group.com/tr/tr/product/prsiemenswm/WG44B200TR</t>
  </si>
  <si>
    <t>iQ700 Çamaşır Makinesi, 9kg/1400devir, Beyaz</t>
  </si>
  <si>
    <t>https://www.siemens-home.bsh-group.com/tr/tr/product/yikama-ve-utuleme-grubu/camasir-makineleri/solo-camasir-makineleri/WG54K2Y0TR</t>
  </si>
  <si>
    <t>https://www.siemens-home.bsh-group.com/tr/tr/product/yikama-ve-utuleme-grubu/camasir-makineleri/solo-camasir-makineleri/WG64K2Y0TR</t>
  </si>
  <si>
    <t>AS24IVW32N</t>
  </si>
  <si>
    <t>AS24OVW32N</t>
  </si>
  <si>
    <t>PHLTVLED/</t>
  </si>
  <si>
    <t>PHLTVLED/021</t>
  </si>
  <si>
    <t>PHLTVLED/027</t>
  </si>
  <si>
    <t>PHLTVLED/030</t>
  </si>
  <si>
    <t>PHLTVLED/031</t>
  </si>
  <si>
    <t>PHLTVLED/032</t>
  </si>
  <si>
    <t>50PUS8009/62</t>
  </si>
  <si>
    <t>KB96NSDD0</t>
  </si>
  <si>
    <t>SZ36RB04</t>
  </si>
  <si>
    <t>https://www.siemens-home.bsh-group.com/tr/tr/productservice/SZ36RB04(00)</t>
  </si>
  <si>
    <t>Siemens Bulaşık Makinesi 3. Tepsi</t>
  </si>
  <si>
    <t>EO7C2PP30L</t>
  </si>
  <si>
    <t>https://www.siemens-home.bsh-group.com/tr/tr/product/ankastre/ankastre-buzdolaplari-ve-sogutucular/KB96NSDD0</t>
  </si>
  <si>
    <t>iQ500 studioLine Alttan Donduruculu Ankastre Buzdolabı, 193.5x70.8cm, Düz Menteşe</t>
  </si>
  <si>
    <t>https://www.siemens-home.bsh-group.com/tr/tr/product/pisirme-grubu/ocaklar/gazli-ocaklar/EO7C2PP30L</t>
  </si>
  <si>
    <t>https://www.siemens-home.bsh-group.com/tr/tr/product/AS24IVW32N</t>
  </si>
  <si>
    <t>https://www.siemens-home.bsh-group.com/tr/tr/product/AS24OVW32N</t>
  </si>
  <si>
    <t xml:space="preserve"> DONDURUCU</t>
  </si>
  <si>
    <t>A.DOLAP</t>
  </si>
  <si>
    <t>BI910C1B1</t>
  </si>
  <si>
    <t>https://www.siemens-home.bsh-group.com/tr/tr/product/pisirme-grubu/sicak-tutma-cekmecesi/isitma-cekmeceleri/BI910C1B1</t>
  </si>
  <si>
    <t>https://www.siemens-home.bsh-group.com/tr/tr/product/yikama-ve-utuleme-grubu/camasir-makineleri/solo-camasir-makineleri/WG52A203TR</t>
  </si>
  <si>
    <t>https://www.siemens-home.bsh-group.com/tr/tr/product/yikama-ve-utuleme-grubu/camasir-makineleri/solo-camasir-makineleri/WG52K2Z1TR</t>
  </si>
  <si>
    <t>iQ500 Tam Ankastre Bulaşık Makinesi, autoOpen dry, glassZone, XXL 86,5 - 92,5cm</t>
  </si>
  <si>
    <t>SN85E803BE</t>
  </si>
  <si>
    <t>LC68KPK60T</t>
  </si>
  <si>
    <t>EX907NXV6E</t>
  </si>
  <si>
    <t>https://www.philips.com.tr/c-p/50PUS8009_62/led-50pus8009-4k-ambilight-tv</t>
  </si>
  <si>
    <t>EN6B6PO10O</t>
  </si>
  <si>
    <t>https://www.siemens-home.bsh-group.com/tr/tr/product/EN6B6PO10O</t>
  </si>
  <si>
    <t>iQ700 studioLine İndüksiyonlu Ocak, 90cm, FlushMount, Siyah</t>
  </si>
  <si>
    <t>https://www.siemens-home.bsh-group.com/tr/tr/product/pisirme-grubu/ocaklar/induksiyonlu-ocaklar/EX907NXV6E</t>
  </si>
  <si>
    <t>EX975KXV1E</t>
  </si>
  <si>
    <t>https://www.siemens-home.bsh-group.com/tr/tr/product/EX975KXV1E</t>
  </si>
  <si>
    <t>HB234FEW0T</t>
  </si>
  <si>
    <t>https://www.siemens-home.bsh-group.com/tr/tr/product/3d-airfry-ankastre-firinlar/HB234FEW0T</t>
  </si>
  <si>
    <t>HB234FEW3T</t>
  </si>
  <si>
    <t>https://www.siemens-home.bsh-group.com/tr/tr/product/ankastre/ankastre-firinlar/HB234FEW3T</t>
  </si>
  <si>
    <t>LB75565</t>
  </si>
  <si>
    <t>iQ300 Gömme Aspiratör, 75cm, 379m3, Metalik Gümüş</t>
  </si>
  <si>
    <t>https://www.siemens-home.bsh-group.com/tr/tr/product/ankastre/ankastre-davlumbazlar/LB75565</t>
  </si>
  <si>
    <t>iQ700 Eğimli Davlumbaz, 60cm, 616m3, Siyah Cam</t>
  </si>
  <si>
    <t>https://www.siemens-home.bsh-group.com/tr/tr/product/LC68KPK60T</t>
  </si>
  <si>
    <t>LC95FCJ60T</t>
  </si>
  <si>
    <t>https://www.siemens-home.bsh-group.com/tr/tr/product/ankastre/ankastre-davlumbazlar/LC95FCJ60T</t>
  </si>
  <si>
    <t>https://www.epey.com/televizyon/philips-65pus8548.html</t>
  </si>
  <si>
    <t>SE23IW60MT</t>
  </si>
  <si>
    <t>https://www.siemens-home.bsh-group.com/tr/tr/product/SE23IW60MT</t>
  </si>
  <si>
    <t>SN23II60KT</t>
  </si>
  <si>
    <t>https://www.siemens-home.bsh-group.com/tr/tr/product/SN23II60KT</t>
  </si>
  <si>
    <t>SN85E800BE</t>
  </si>
  <si>
    <t>https://www.siemens-home.bsh-group.com/tr/tr/product/ankastre/ankastre-bulasik-makineleri/SN85E800BE</t>
  </si>
  <si>
    <t>https://www.siemens-home.bsh-group.com/tr/tr/product/bulasik-makineleri/ankastre-bulasik-makineleri/tam-ankastre-bulasik-makineleri/fully-integrated-60-cm-width/SN85E803BE</t>
  </si>
  <si>
    <t>SX95EX22CE</t>
  </si>
  <si>
    <t>https://www.siemens-home.bsh-group.com/tr/tr/product/SX95EX22CE</t>
  </si>
  <si>
    <t>VSZ2V210</t>
  </si>
  <si>
    <t>Siemens Toz torbalı Süpürge Z2.0 Mavi</t>
  </si>
  <si>
    <t>https://www.siemens-home.bsh-group.com/tr/tr/product/VSZ2V210</t>
  </si>
  <si>
    <t>WG44A2Z0TR</t>
  </si>
  <si>
    <t>https://www.siemens-home.bsh-group.com/tr/tr/product/prsiemenswm/WG44A2Z0TR</t>
  </si>
  <si>
    <t>WG44A2ZXTR</t>
  </si>
  <si>
    <t>iQ300 Çamaşır Makinesi, 9kg/1400devir, Gümüş</t>
  </si>
  <si>
    <t>https://www.siemens-home.bsh-group.com/tr/tr/product/prsiemenswm/WG44A2ZXTR</t>
  </si>
  <si>
    <t>WG52K2ZSTR</t>
  </si>
  <si>
    <t>https://www.siemens-home.bsh-group.com/tr/tr/product/yikama-ve-utuleme-grubu/camasir-makineleri/solo-camasir-makineleri/WG52K2ZSTR</t>
  </si>
  <si>
    <t>PRİM HARİÇ ÜRÜN</t>
  </si>
  <si>
    <t>PRİM HARİÇ</t>
  </si>
  <si>
    <t>GİRİŞ SET</t>
  </si>
  <si>
    <t>KD76NAWE1N</t>
  </si>
  <si>
    <t>ANKASTRE BULAŞIK / LDA</t>
  </si>
  <si>
    <t>https://www.siemens-home.bsh-group.com/tr/tr/product/KD76NAWE1N</t>
  </si>
  <si>
    <t>WG44A2X0TR</t>
  </si>
  <si>
    <t>https://www.siemens-home.bsh-group.com/tr/tr/product/prsiemenswm/WG44A2X0TR</t>
  </si>
  <si>
    <t>SN75EX23CE</t>
  </si>
  <si>
    <t>https://www.siemens-home.bsh-group.com/tr/tr/product/buzdolaplari-ve-derin-dondurucular/ankastre-buzdolaplari-ve-derin-dondurucular/ankastre-buzdolaplari/KI82LADD0</t>
  </si>
  <si>
    <t>ED65KHQB1E</t>
  </si>
  <si>
    <t>https://www.siemens-home.bsh-group.com/tr/tr/product/pisirme-grubu/ocaklar/induksiyonlu-ocaklar/ED65KHQB1E</t>
  </si>
  <si>
    <t>iQ500 İndüksiyonlu Ocak, 60cm, Çerçevesiz, Siyah</t>
  </si>
  <si>
    <t>BİP KOŞULU</t>
  </si>
  <si>
    <t>KLİMA</t>
  </si>
  <si>
    <t>Philips 50" 4K Ambilight LED TV (Titan OS) (50PUS8009/62)</t>
  </si>
  <si>
    <t>Philips 65" 4K Ambilight LED TV (Titan OS) (65PUS8609/62)</t>
  </si>
  <si>
    <t>https://www.philips.com.tr/c-p/65PUS8609_62/led-65pus8609-4k-ambilight-tv</t>
  </si>
  <si>
    <t>Philips 50" 4K Ambilight LED TV (Android) (50PUS8057/62)</t>
  </si>
  <si>
    <t>https://www.philips.com.tr/c-p/50PUS8057_62/8000-series-4k-uhd-android-tv</t>
  </si>
  <si>
    <t>Philips 55" 4K Ambilight LED TV (Smart) (55PUS8118/62)</t>
  </si>
  <si>
    <t>https://www.epey.com/televizyon/philips-55pus8118.html</t>
  </si>
  <si>
    <t>Philips 55" 4K Ambilight LED TV (Android) (55PUS8548/62)</t>
  </si>
  <si>
    <t>https://www.philips.com.tr/c-p/55PUS8548_62/the-one-4k-ambilight-tv</t>
  </si>
  <si>
    <t>Philips 65" 4K Ambilight LED TV (65PUS8548/62) (Android)</t>
  </si>
  <si>
    <t>Philips 55" 4K Ambilight LED TV (Android) (55PUS8848/62)</t>
  </si>
  <si>
    <t>https://www.epey.com/televizyon/philips-55pus8848.html</t>
  </si>
  <si>
    <t>https://www.siemens-home.bsh-group.com/tr/tr/productservice/SN75EX23CE-66</t>
  </si>
  <si>
    <t>Ürün Grubu</t>
  </si>
  <si>
    <t>Televizyon</t>
  </si>
  <si>
    <t>Klima</t>
  </si>
  <si>
    <t>Ankastre Mikrodalga</t>
  </si>
  <si>
    <t>studioLine</t>
  </si>
  <si>
    <t>Fırın</t>
  </si>
  <si>
    <t>CEPKASK 299</t>
  </si>
  <si>
    <t>Teknopaket +3 Yıl (0 - 10.000TL)</t>
  </si>
  <si>
    <t>https://lura.cepkask.com/basket/57</t>
  </si>
  <si>
    <t>CepKask</t>
  </si>
  <si>
    <t>CEPKASK 300</t>
  </si>
  <si>
    <t>Teknopaket +3 Yıl (10.000 - 20.000TL)</t>
  </si>
  <si>
    <t>https://lura.cepkask.com/basket/58</t>
  </si>
  <si>
    <t>CEPKASK 301</t>
  </si>
  <si>
    <t>Teknopaket +3 Yıl (20.000 - 40.000TL)</t>
  </si>
  <si>
    <t>https://lura.cepkask.com/basket/59</t>
  </si>
  <si>
    <t>CEPKASK 302</t>
  </si>
  <si>
    <t>Teknopaket +3 Yıl (40.000 - 60.000TL)</t>
  </si>
  <si>
    <t>https://lura.cepkask.com/basket/60</t>
  </si>
  <si>
    <t>CEPKASK 303</t>
  </si>
  <si>
    <t>Teknopaket +3 Yıl (60.000 - 80.000TL)</t>
  </si>
  <si>
    <t>https://lura.cepkask.com/basket/61</t>
  </si>
  <si>
    <t>CEPKASK 304</t>
  </si>
  <si>
    <t>Teknopaket +3 Yıl (80.000 - 100.000TL)</t>
  </si>
  <si>
    <t>https://lura.cepkask.com/basket/62</t>
  </si>
  <si>
    <t>CEPKASK 306</t>
  </si>
  <si>
    <t>Teknopaket +3 Yıl (100.000 - 150.000TL)</t>
  </si>
  <si>
    <t>https://lura.cepkask.com/basket/63</t>
  </si>
  <si>
    <t>CEPKASK 307</t>
  </si>
  <si>
    <t>Teknopaket +3 Yıl (150.000 - 200.000TL)</t>
  </si>
  <si>
    <t>https://lura.cepkask.com/basket/65</t>
  </si>
  <si>
    <t>CEPKASK 308</t>
  </si>
  <si>
    <t>Teknopaket +3 Yıl (200.000 - 250.000TL)</t>
  </si>
  <si>
    <t>https://lura.cepkask.com/basket/66</t>
  </si>
  <si>
    <t>CEPKASK 309</t>
  </si>
  <si>
    <t>Teknopaket +3 Yıl (250.000 - 300.000TL)</t>
  </si>
  <si>
    <t>https://lura.cepkask.com/basket/67</t>
  </si>
  <si>
    <t>CEPKASK 310</t>
  </si>
  <si>
    <t>Teknopaket +3 Yıl (300.000 - 350.000TL)</t>
  </si>
  <si>
    <t>https://lura.cepkask.com/basket/68</t>
  </si>
  <si>
    <t>CEPKASK 311</t>
  </si>
  <si>
    <t>Teknopaket +3 Yıl (350.000 - 400.000TL)</t>
  </si>
  <si>
    <t>https://lura.cepkask.com/basket/69</t>
  </si>
  <si>
    <t>Aksesuar</t>
  </si>
  <si>
    <t>Ankastre Buzdolabı</t>
  </si>
  <si>
    <t>Kahve Makinesi</t>
  </si>
  <si>
    <t>Küçük Ev Aletleri</t>
  </si>
  <si>
    <t>Sebil</t>
  </si>
  <si>
    <t>Ocak</t>
  </si>
  <si>
    <t>Mikrodalga</t>
  </si>
  <si>
    <t>Ankastre Derin Dondurucu</t>
  </si>
  <si>
    <t>Derin Dondurucu</t>
  </si>
  <si>
    <t>HI133FES3T</t>
  </si>
  <si>
    <t>https://www.siemens-home.bsh-group.com/tr/tr/product/ankastre/ankastre-firinlar/HI133FES3T</t>
  </si>
  <si>
    <t>Buzdolabı</t>
  </si>
  <si>
    <t>Davlumbaz/Aspiratör</t>
  </si>
  <si>
    <t>Bulaşık Makinesi</t>
  </si>
  <si>
    <t>Ankastre Bulaşık Makinesi</t>
  </si>
  <si>
    <t>Süpürge</t>
  </si>
  <si>
    <t>Çamaşır Makinesi</t>
  </si>
  <si>
    <t>Kurutma Makinesi</t>
  </si>
  <si>
    <t>WG44A2XSTR</t>
  </si>
  <si>
    <t>HB011FBA1T</t>
  </si>
  <si>
    <t>HB134FES3T</t>
  </si>
  <si>
    <t>LC67BBK00T</t>
  </si>
  <si>
    <t>LB73NAA30</t>
  </si>
  <si>
    <t>EB6C2PB80O</t>
  </si>
  <si>
    <t>EN6C2HO12O</t>
  </si>
  <si>
    <t>EO6C6HB11O</t>
  </si>
  <si>
    <t>https://www.siemens-home.bsh-group.com/tr/tr/product/EB6C2PB80O</t>
  </si>
  <si>
    <t>iQ100 Ankastre Gazlı Ocak, 60cm, Emaye, Beyaz</t>
  </si>
  <si>
    <t>iQ100 Ankastre Gazlı Ocak, 60cm, Sert Cam, Beyaz</t>
  </si>
  <si>
    <t>https://www.siemens-home.bsh-group.com/tr/tr/product/ankastre/ankastre-ocaklar/EN6C2HO12O</t>
  </si>
  <si>
    <t>https://www.siemens-home.bsh-group.com/tr/tr/product/EO6C6HB11O</t>
  </si>
  <si>
    <t>KG56NNWD0N</t>
  </si>
  <si>
    <t>iQ100 Alttan Donduruculu Kulpsuz Buzdolabı, 70cm, Beyaz (Wi-Fi)</t>
  </si>
  <si>
    <t>https://www.siemens-home.bsh-group.com/tr/tr/product/buzdolaplari-ve-derin-dondurucular/solo-buzdolaplari-ve-derin-dondurucular/alttan-donduruculu-solo-buzdolaplari/KG56NNWD0N</t>
  </si>
  <si>
    <t>KG56NVWD0N</t>
  </si>
  <si>
    <t>iQ300 Alttan Donduruculu Kulpsuz Buzdolabı, 70cm, Beyaz (Wi-Fi)</t>
  </si>
  <si>
    <t>https://www.siemens-home.bsh-group.com/tr/tr/product/buzdolaplari-ve-derin-dondurucular/solo-buzdolaplari-ve-derin-dondurucular/alttan-donduruculu-solo-buzdolaplari/KG56NVWD0N</t>
  </si>
  <si>
    <t>KG56NVPD0N</t>
  </si>
  <si>
    <t>iQ300 Alttan Donduruculu Kulpsuz Buzdolabı, 70cm, Inox (Wi-Fi)</t>
  </si>
  <si>
    <t>https://www.siemens-home.bsh-group.com/tr/tr/product/buzdolaplari-ve-derin-dondurucular/solo-buzdolaplari-ve-derin-dondurucular/alttan-donduruculu-solo-buzdolaplari/KG56NVPD0N</t>
  </si>
  <si>
    <t>iQ100 Gömme Aspiratör, 73cm, 302m3, Gri</t>
  </si>
  <si>
    <t>https://www.siemens-home.bsh-group.com/tr/tr/product/pisirme-grubu/davlumbazlar-ve-aspiratorler/entegre-ankastre-davlumbazlar/surgulu-aspiratorler/LB73NAA30</t>
  </si>
  <si>
    <t>https://www.siemens-home.bsh-group.com/tr/tr/product/ankastre/ankastre-davlumbazlar/LC67BBK00T</t>
  </si>
  <si>
    <t>iQ300 Düz Davlumbaz, 60cm, 582m3, Magnet Silver</t>
  </si>
  <si>
    <t>https://www.siemens-home.bsh-group.com/tr/tr/product/pisirme-grubu/firinlar/ankastre-firinlar/HB011FBA1T</t>
  </si>
  <si>
    <t>https://www.siemens-home.bsh-group.com/tr/tr/product/ankastre/ankastre-firinlar/HB134FES3T</t>
  </si>
  <si>
    <t>https://www.siemens-home.bsh-group.com/tr/tr/product/prsiemenswm/WG44A2XSTR</t>
  </si>
  <si>
    <t>TAKSİTLİ FİYATI 3/6 TAKSİT</t>
  </si>
  <si>
    <t>55PUS8349/62</t>
  </si>
  <si>
    <t>Philips 55" 4K Ambilight LED TV (Titan OS) (55PUS8349/62)</t>
  </si>
  <si>
    <t>https://www.philips.com.tr/c-p/55PUS8349_62/led-55pus8349-4k-ambilight-tv</t>
  </si>
  <si>
    <t>WT45W420TR</t>
  </si>
  <si>
    <t>https://www.siemens-home.bsh-group.com/tr/tr/product/prsiemensdryer/WT45W420TR</t>
  </si>
  <si>
    <t>WG44A2F0TR</t>
  </si>
  <si>
    <t>https://www.siemens-home.bsh-group.com/tr/tr/product/ldaset2wm/WG44A2F0TR</t>
  </si>
  <si>
    <t>HS736G1B2</t>
  </si>
  <si>
    <t>iQ700 Buhar Destekli Ankastre Fırın, Arkası Kendini Temizler, Siyah</t>
  </si>
  <si>
    <t>https://www.siemens-home.bsh-group.com/tr/tr/product/pisirme-grubu/buharli-firinlar/buharli-firinlar/HS736G1B2</t>
  </si>
  <si>
    <t>LB55565</t>
  </si>
  <si>
    <t>iQ300 Gömme Aspiratör, 53cm, 363m3, Metalik Gümüş</t>
  </si>
  <si>
    <t>https://www.siemens-home.bsh-group.com/tr/tr/product/ankastre/ankastre-davlumbazlar/LB55565</t>
  </si>
  <si>
    <t>KG86NAWF0N</t>
  </si>
  <si>
    <t>https://www.siemens-home.bsh-group.com/tr/tr/product/prsiemensfridge/KG86NAWF0N</t>
  </si>
  <si>
    <t>SN25EI80AT</t>
  </si>
  <si>
    <t>https://www.siemens-home.bsh-group.com/tr/tr/product/prsiemensdw/SN25EI80AT</t>
  </si>
  <si>
    <t>EB6C5PB82O</t>
  </si>
  <si>
    <t>iQ100 Gazlı Ocak, 60cm, Inox</t>
  </si>
  <si>
    <t>https://www.siemens-home.bsh-group.com/tr/tr/product/ankastre/ankastre-ocaklar/EB6C5PB82O</t>
  </si>
  <si>
    <t>SN53IS60MT</t>
  </si>
  <si>
    <t>https://www.siemens-home.bsh-group.com/tr/tr/product/SN53IS60MT</t>
  </si>
  <si>
    <t>LC67BHM50</t>
  </si>
  <si>
    <t>iQ300 Düz Davlumbaz, 60cm, 459m3, Inox</t>
  </si>
  <si>
    <t>https://www.siemens-home.bsh-group.com/tr/tr/product/LC67BHM50</t>
  </si>
  <si>
    <t>KI82LADE0</t>
  </si>
  <si>
    <t>https://www.siemens-home.bsh-group.com/tr/tr/product/ankastre/ankastre-buzdolaplari-ve-sogutucular/KI82LADE0</t>
  </si>
  <si>
    <t>ET375CFA1E</t>
  </si>
  <si>
    <t>iQ300 Elektrikli Domino Ocak, 30cm, 2 Gözlü, Siyah</t>
  </si>
  <si>
    <t>https://www.siemens-home.bsh-group.com/tr/tr/product/ankastre/ankastre-ocaklar/ET375CFA1E</t>
  </si>
  <si>
    <t>DG50016TR</t>
  </si>
  <si>
    <t>Siemens Termosifon, 50L, Beyaz</t>
  </si>
  <si>
    <t>https://www.siemens-home.bsh-group.com/tr/tr/product/DG50016TR</t>
  </si>
  <si>
    <t>EB6C6PB80O</t>
  </si>
  <si>
    <t>iQ100 Gazlı Ocak, 60cm, Siyah</t>
  </si>
  <si>
    <t>LC65KAJ20T</t>
  </si>
  <si>
    <t>iQ300 Eğimli Davlumbaz, 60cm, 616m3, Beyaz</t>
  </si>
  <si>
    <t>https://www.siemens-home.bsh-group.com/tr/tr/product/ankastre/ankastre-davlumbazlar/LC65KAJ20T</t>
  </si>
  <si>
    <t>KD86NAWF1N</t>
  </si>
  <si>
    <t>https://www.siemens-home.bsh-group.com/tr/tr/product/prsiemensfridge/KD86NAWF1N</t>
  </si>
  <si>
    <t>LC65KA270T</t>
  </si>
  <si>
    <t>iQ300 Eğimli Davlumbaz, 60cm, 593m3, Beyaz</t>
  </si>
  <si>
    <t>https://www.siemens-home.bsh-group.com/tr/tr/product/ankastre/ankastre-davlumbazlar/LC65KA270T</t>
  </si>
  <si>
    <t>LC65KAJ00T</t>
  </si>
  <si>
    <t>iQ300 Eğimli Davlumbaz, 60cm, 616m3, Antrasit</t>
  </si>
  <si>
    <t>https://www.siemens-home.bsh-group.com/tr/tr/product/ankastre/ankastre-davlumbazlar/LC65KAJ00T</t>
  </si>
  <si>
    <t>WD14U561TR</t>
  </si>
  <si>
    <t>iQ500 Kurutmalı Çamaşır Makinesi, 10kg/6kg/1400devir, i-dos, Beyaz</t>
  </si>
  <si>
    <t>https://www.siemens-home.bsh-group.com/tr/tr/product/evlilik-kampanyasi-camasir-makineleri/WD14U561TR</t>
  </si>
  <si>
    <t>SN23IW60MT</t>
  </si>
  <si>
    <t>https://www.siemens-home.bsh-group.com/tr/tr/product/prsiemensdw/SN23IW60MT</t>
  </si>
  <si>
    <t>KD55NNLF1N</t>
  </si>
  <si>
    <t>https://www.siemens-home.bsh-group.com/tr/tr/product/prsiemensfridge/KD55NNLF1N</t>
  </si>
  <si>
    <t>SN515B00DT</t>
  </si>
  <si>
    <t>https://www.siemens-home.bsh-group.com/tr/tr/product/SN515B00DT</t>
  </si>
  <si>
    <t>LB88574</t>
  </si>
  <si>
    <t>iQ500 Gömme Aspiratör, 86cm, 630m3, Inox</t>
  </si>
  <si>
    <t>https://www.siemens-home.bsh-group.com/tr/tr/product/ankastre/ankastre-davlumbazlar/LB88574</t>
  </si>
  <si>
    <t>SN25HI80MT</t>
  </si>
  <si>
    <t>iQ500 Solo Bulaşık Makinesi, Üstten Sepetli, Inox</t>
  </si>
  <si>
    <t>https://www.siemens-home.bsh-group.com/tr/tr/product/prsiemensdw/SN25HI80MT</t>
  </si>
  <si>
    <t>LB57574</t>
  </si>
  <si>
    <t>iQ500 Gömme Aspiratör, 52cm, 560m3, Inox</t>
  </si>
  <si>
    <t>https://www.siemens-home.bsh-group.com/tr/tr/product/ankastre/ankastre-davlumbazlar/LB57574</t>
  </si>
  <si>
    <t>CM724G1B1</t>
  </si>
  <si>
    <t>iQ700 studioLine Mikrodalga Fonksiyonlu Kompakt Ankastre Fırın, Siyah</t>
  </si>
  <si>
    <t>https://www.siemens-home.bsh-group.com/tr/tr/product/pisirme-grubu/firinlar/kompakt-firinlar/CM724G1B1</t>
  </si>
  <si>
    <t>DG65016TR</t>
  </si>
  <si>
    <t>Siemens Termosifon, 65L, Beyaz</t>
  </si>
  <si>
    <t>https://www.siemens-home.bsh-group.com/tr/tr/product/DG65016TR</t>
  </si>
  <si>
    <t>HZ629070</t>
  </si>
  <si>
    <t>https://www.siemens-home.bsh-group.com/tr/tr/product/pisirme-grubu/aksesuarlar/HZ629070</t>
  </si>
  <si>
    <t>HB557JYW0T</t>
  </si>
  <si>
    <t>iQ500 Ankastre Fırın, 1 Teleskopik Ray, Komple Kendini Temizler, Beyaz</t>
  </si>
  <si>
    <t>https://www.siemens-home.bsh-group.com/tr/tr/product/ankastre/ankastre-firinlar/HB557JYW0T</t>
  </si>
  <si>
    <t>HB514FBR0T</t>
  </si>
  <si>
    <t>https://www.siemens-home.bsh-group.com/tr/tr/product/3d-airfry-ankastre-firinlar/HB514FBR0T</t>
  </si>
  <si>
    <t>LJ65BCC60</t>
  </si>
  <si>
    <t>iQ300 Tam Entegre Davlumbaz, 60cm, 582m3, Cam Dekor, Mat Siyah</t>
  </si>
  <si>
    <t>https://www.siemens-home.bsh-group.com/tr/tr/product/pisirme-grubu/davlumbazlar-ve-aspiratorler/entegre-ankastre-davlumbazlar/integrated-design-hood/LJ65BCC60</t>
  </si>
  <si>
    <t>LJ67BDP60</t>
  </si>
  <si>
    <t>iQ500 Tam Entegre Davlumbaz, 60cm, 433m3, Cam Dekor, Mat Siyah</t>
  </si>
  <si>
    <t>https://www.siemens-home.bsh-group.com/tr/tr/product/pisirme-grubu/davlumbazlar-ve-aspiratorler/entegre-ankastre-davlumbazlar/integrated-design-hood/LJ67BDP60</t>
  </si>
  <si>
    <t>LJ85BCC60</t>
  </si>
  <si>
    <t>iQ300 Tam Entegre Davlumbaz, 80cm, 582m3, Cam Dekor, Mat Siyah</t>
  </si>
  <si>
    <t>https://www.siemens-home.bsh-group.com/tr/tr/product/pisirme-grubu/davlumbazlar-ve-aspiratorler/entegre-ankastre-davlumbazlar/integrated-design-hood/LJ85BCC60</t>
  </si>
  <si>
    <t>ASPİRATÖR</t>
  </si>
  <si>
    <t>iQ700 studioLine Gazlı Ocak, 90cm, 5 Gözlü, Sert Cam, Siyah, Döküm, Wok</t>
  </si>
  <si>
    <t>EX877NVV6E</t>
  </si>
  <si>
    <t>https://www.siemens-home.bsh-group.com/tr/tr/product/pisirme-grubu/ocaklar/induksiyonlu-ocaklar/EX877NVV6E</t>
  </si>
  <si>
    <t>Marka</t>
  </si>
  <si>
    <t>Philips</t>
  </si>
  <si>
    <t>Siemens</t>
  </si>
  <si>
    <t>AS18IVW32N</t>
  </si>
  <si>
    <t>https://www.siemens-home.bsh-group.com/tr/tr/product/AS18IVW32N</t>
  </si>
  <si>
    <t>AS18OVW32N</t>
  </si>
  <si>
    <t>https://www.siemens-home.bsh-group.com/tr/tr/product/AS18OVW32N</t>
  </si>
  <si>
    <t>EN7B9QO12O</t>
  </si>
  <si>
    <t>https://www.siemens-home.bsh-group.com/tr/tr/product/ankastre/ankastre-ocaklar/EN7B9QO12O</t>
  </si>
  <si>
    <t>EO7C6PO10O</t>
  </si>
  <si>
    <t>https://www.siemens-home.bsh-group.com/tr/tr/product/EO7C6PO10O</t>
  </si>
  <si>
    <t>EO7C8PO10O</t>
  </si>
  <si>
    <t>https://www.siemens-home.bsh-group.com/tr/tr/product/EO7C8PO10O</t>
  </si>
  <si>
    <t>KG56NAWF0N</t>
  </si>
  <si>
    <t>https://www.siemens-home.bsh-group.com/tr/tr/product/KG56NAWF0N</t>
  </si>
  <si>
    <t>LC66GCD60T</t>
  </si>
  <si>
    <t>iQ300 Düz Davlumbaz, 60cm, 620m3, Siyah/Cam</t>
  </si>
  <si>
    <t>https://www.siemens-home.bsh-group.com/tr/tr/product/LC66GCD60T</t>
  </si>
  <si>
    <t>Shaza</t>
  </si>
  <si>
    <t>WG42A1XSTR</t>
  </si>
  <si>
    <t>https://www.siemens-home.bsh-group.com/tr/tr/product/evlilik-kampanyasi-camasir-makineleri/WG42A1XSTR</t>
  </si>
  <si>
    <t>WT47XK8XTR</t>
  </si>
  <si>
    <t>https://www.siemens-home.bsh-group.com/tr/tr/product/prsiemensdryer/WT47XK8XTR</t>
  </si>
  <si>
    <t>CAM OFİS TEŞHİR</t>
  </si>
  <si>
    <t>SN53ES63MT</t>
  </si>
  <si>
    <t>SN65EX62MT</t>
  </si>
  <si>
    <t>https://www.siemens-home.bsh-group.com/tr/tr/product/bulasik-makineleri/ankastre-bulasik-makineleri/yari-ankastre-bulasik-makineleri/semi-integrated-dishwashers-60-cm-width/SN53ES63MT</t>
  </si>
  <si>
    <t>https://www.siemens-home.bsh-group.com/tr/tr/product/bulasik-makineleri/ankastre-bulasik-makineleri/tam-ankastre-bulasik-makineleri/fully-integrated-60-cm-width/SN65EX62MT</t>
  </si>
  <si>
    <t xml:space="preserve">OPTIMUM </t>
  </si>
  <si>
    <t>ONLINE FİYATI</t>
  </si>
  <si>
    <t>devamı yok</t>
  </si>
  <si>
    <t xml:space="preserve">HB012FBH1T, HB012FBB1T, HB012FBW1T + (phase out iQ300 ve iQ500 segment modeller) Ankastre fırınlarda geçerlidir. </t>
  </si>
  <si>
    <t>HB557JEB6T, HB734G1B1, HB776G1B1, HB778G3B1, HR776G3B1, HS736G1B2, VB558C0S0, CM724G1B1, HJ852GYB0T, HJ852GYN0T, HJ852GYW0T, HU736AEN0T, HU736AEA0T, HU736AEV0T, HU736AEG0T, HR232GEB3, HU717ABN0T, HU717ABA0T, HU717ABV0T, CD714GXB1</t>
  </si>
  <si>
    <t>ER6A6PH40</t>
  </si>
  <si>
    <t>ER3A6AI10</t>
  </si>
  <si>
    <t>ER3A6BI40</t>
  </si>
  <si>
    <t>EC9A5RI90</t>
  </si>
  <si>
    <t>EP6A2PI40O</t>
  </si>
  <si>
    <t>EX801LYC1E</t>
  </si>
  <si>
    <t>KB96NADD1</t>
  </si>
  <si>
    <t>KD76NNWE0N</t>
  </si>
  <si>
    <t>KG56NCID0N</t>
  </si>
  <si>
    <t>KG56NCWD0N</t>
  </si>
  <si>
    <t>KG56NCXD0N</t>
  </si>
  <si>
    <t>WG64B2AXTR</t>
  </si>
  <si>
    <t>iQ700 Çamaşır Makinesi, 11kg/1400devir, intelligentDosingPlus, Gümüş</t>
  </si>
  <si>
    <t>https://www.siemens-home.bsh-group.com/tr/tr/product/WG64B2AXTR</t>
  </si>
  <si>
    <t>WG64B2A0TR</t>
  </si>
  <si>
    <t>iQ700 Çamaşır Makinesi, 11kg/1400devir, intelligentDosing, Beyaz</t>
  </si>
  <si>
    <t>https://www.siemens-home.bsh-group.com/tr/tr/product/WG64B2A0TR</t>
  </si>
  <si>
    <t>iQ300 Alttan Donduruculu Kulpsuz Buzdolabı, 70cm, Black Inox (Wi-Fi)</t>
  </si>
  <si>
    <t>WG54B200TR</t>
  </si>
  <si>
    <t>iQ700 Çamaşır Makinesi, 10kg/1400devir, intelligentDosing, Beyaz</t>
  </si>
  <si>
    <t>https://www.siemens-home.bsh-group.com/tr/tr/product/WG54B200TR</t>
  </si>
  <si>
    <t>https://www.siemens-home.bsh-group.com/tr/tr/product/buzdolaplari-ve-derin-dondurucular/solo-buzdolaplari-ve-derin-dondurucular/ustten-donduruculu-solo-buzdolaplari/KD76NNWE0N</t>
  </si>
  <si>
    <t>https://www.siemens-home.bsh-group.com/tr/tr/product/pisirme-grubu/ocaklar/induksiyonlu-ocaklar/EX801LYC1E</t>
  </si>
  <si>
    <t>TP605EM3</t>
  </si>
  <si>
    <t>TP607ET5</t>
  </si>
  <si>
    <t>TP601E01</t>
  </si>
  <si>
    <t>https://www.siemens-home.bsh-group.com/tr/tr/product/buzdolaplari-ve-derin-dondurucular/solo-buzdolaplari-ve-derin-dondurucular/alttan-donduruculu-solo-buzdolaplari/KG56NCID0N</t>
  </si>
  <si>
    <t>https://www.siemens-home.bsh-group.com/tr/tr/product/buzdolaplari-ve-derin-dondurucular/solo-buzdolaplari-ve-derin-dondurucular/alttan-donduruculu-solo-buzdolaplari/KG56NCXD0N</t>
  </si>
  <si>
    <t>https://www.siemens-home.bsh-group.com/tr/tr/product/buzdolaplari-ve-derin-dondurucular/solo-buzdolaplari-ve-derin-dondurucular/alttan-donduruculu-solo-buzdolaplari/KG56NCWD0N</t>
  </si>
  <si>
    <t>https://www.siemens-home.bsh-group.com/tr/tr/product/buzdolaplari-ve-derin-dondurucular/ankastre-buzdolaplari-ve-derin-dondurucular/alttan-donduruculu-ankastre-buzdolaplari/KB96NADD1</t>
  </si>
  <si>
    <t>iQ700 Gazlı Ocak, 60cm, Sert Cam, Siyah, Döküm</t>
  </si>
  <si>
    <t>https://www.siemens-home.bsh-group.com/tr/tr/product/pisirme-grubu/ocaklar/gazli-ocaklar/ER6A6PH40</t>
  </si>
  <si>
    <t>https://www.siemens-home.bsh-group.com/tr/tr/product/pisirme-grubu/ocaklar/domino-ocaklar/ER3A6AI10</t>
  </si>
  <si>
    <t>https://www.siemens-home.bsh-group.com/tr/tr/product/pisirme-grubu/ocaklar/domino-ocaklar/ER3A6BI40</t>
  </si>
  <si>
    <t>iQ500 Gazlı Ocak, 90cm, 5 Gözlü, Inox, Döküm, Wok</t>
  </si>
  <si>
    <t>https://www.siemens-home.bsh-group.com/tr/tr/product/pisirme-grubu/ocaklar/gazli-ocaklar/EC9A5RI90</t>
  </si>
  <si>
    <t>https://www.siemens-home.bsh-group.com/tr/tr/product/pisirme-grubu/ocaklar/gazli-ocaklar/EP6A2PI40O</t>
  </si>
  <si>
    <t>EQ600 iAroma Tam Otomatik Kahve Makinesi, Siyah/Inox</t>
  </si>
  <si>
    <t>EQ600 iAroma Tam Otomatik Kahve Makinesi, Siyah/Dark Inox</t>
  </si>
  <si>
    <t>https://www.siemens-home.bsh-group.com/tr/tr/product/kahve-makineleri/tam-otomatik-kahve-makineleri/coffeemachinesautomatedfreestandingeq600/TP607ET5</t>
  </si>
  <si>
    <t>EQ600 iAroma Tam Otomatik Kahve Makinesi, Sabah Sisi Grisi</t>
  </si>
  <si>
    <t>https://www.siemens-home.bsh-group.com/tr/tr/product/kahve-makineleri/tam-otomatik-kahve-makineleri/coffeemachinesautomatedfreestandingeq600/TP601E01</t>
  </si>
  <si>
    <t>01 EYLÜL  BEKLEYEN</t>
  </si>
  <si>
    <t>EYLÜL  TOPTAN</t>
  </si>
  <si>
    <t>EYLÜL  BİP</t>
  </si>
  <si>
    <t>Seçili Ankastre Set Alımına 5.000 TL İndirim!</t>
  </si>
  <si>
    <t>2'li LDA alımında 5.000 TL İndirim!</t>
  </si>
  <si>
    <r>
      <t xml:space="preserve">2’li LDA alımında </t>
    </r>
    <r>
      <rPr>
        <b/>
        <u/>
        <sz val="11"/>
        <color theme="1"/>
        <rFont val="Siemens Progress"/>
      </rPr>
      <t>5.000 ₺</t>
    </r>
    <r>
      <rPr>
        <u/>
        <sz val="11"/>
        <color theme="1"/>
        <rFont val="Siemens Progress"/>
      </rPr>
      <t xml:space="preserve"> </t>
    </r>
    <r>
      <rPr>
        <sz val="11"/>
        <color theme="1"/>
        <rFont val="Siemens Progress"/>
      </rPr>
      <t>indirim uygulanır.</t>
    </r>
    <r>
      <rPr>
        <b/>
        <sz val="11"/>
        <color theme="1"/>
        <rFont val="Siemens Progress"/>
        <charset val="162"/>
      </rPr>
      <t xml:space="preserve">“diğer kampanyalar ile birleşemez”                           </t>
    </r>
    <r>
      <rPr>
        <sz val="11"/>
        <color theme="1"/>
        <rFont val="Siemens Progress"/>
      </rPr>
      <t xml:space="preserve"> </t>
    </r>
    <r>
      <rPr>
        <b/>
        <sz val="11"/>
        <color theme="1"/>
        <rFont val="Siemens Progress"/>
        <charset val="162"/>
      </rPr>
      <t>4.000</t>
    </r>
    <r>
      <rPr>
        <b/>
        <sz val="11"/>
        <color theme="1"/>
        <rFont val="Siemens Progress"/>
      </rPr>
      <t xml:space="preserve"> ₺</t>
    </r>
    <r>
      <rPr>
        <sz val="11"/>
        <color theme="1"/>
        <rFont val="Siemens Progress"/>
      </rPr>
      <t xml:space="preserve">  kdv dahil fiyat farkı hak edişi ödenecektir.                                                                      </t>
    </r>
    <r>
      <rPr>
        <b/>
        <sz val="11"/>
        <color theme="1"/>
        <rFont val="Siemens Progress"/>
        <charset val="162"/>
      </rPr>
      <t xml:space="preserve"> (Buzdolabı-Çamaşır-Bulaşık-Kurutma-Derin Dondurucu) (XL-XXL Buzdolapları hariç)</t>
    </r>
  </si>
  <si>
    <r>
      <t xml:space="preserve">Uygulama koşulları : Seçili ankastre fırınlar ile set </t>
    </r>
    <r>
      <rPr>
        <sz val="11"/>
        <rFont val="Siemens Progress"/>
      </rPr>
      <t>(fırın+ocak+dav.) set alana</t>
    </r>
    <r>
      <rPr>
        <b/>
        <sz val="11"/>
        <rFont val="Siemens Progress"/>
        <charset val="162"/>
      </rPr>
      <t xml:space="preserve"> 5.000 ₺</t>
    </r>
    <r>
      <rPr>
        <sz val="11"/>
        <rFont val="Siemens Progress"/>
      </rPr>
      <t xml:space="preserve"> indirim uygulanır.  Diğer fırınlarda geçerli değildir. KDV dahil </t>
    </r>
    <r>
      <rPr>
        <b/>
        <sz val="11"/>
        <rFont val="Siemens Progress"/>
        <charset val="162"/>
      </rPr>
      <t>3.700 ₺</t>
    </r>
    <r>
      <rPr>
        <sz val="11"/>
        <rFont val="Siemens Progress"/>
      </rPr>
      <t xml:space="preserve"> hak ediş ödenir. 
Giriş setlerde( HB011* ve giriş segment muadili fırın modelleri, EB6C5PK80O - EB6C5PB82O ocak, LC64PCC20T - LC64PCC50T - LC64PCC60T davlumbaz modelleri)  geçerli değildir.</t>
    </r>
  </si>
  <si>
    <t xml:space="preserve">Seçili Fırınlarla Ankastre set alana LC63KPJ60T Davlumbaz Hediye! </t>
  </si>
  <si>
    <t>Çamaşır + Kurutma alımında 10.000 TL İndirim!</t>
  </si>
  <si>
    <r>
      <t xml:space="preserve">Çamaşır ile Kurutma birlikte alımında </t>
    </r>
    <r>
      <rPr>
        <b/>
        <u/>
        <sz val="11"/>
        <color theme="1"/>
        <rFont val="Siemens Progress"/>
        <charset val="162"/>
      </rPr>
      <t>10.000</t>
    </r>
    <r>
      <rPr>
        <b/>
        <u/>
        <sz val="11"/>
        <color theme="1"/>
        <rFont val="Siemens Progress"/>
      </rPr>
      <t xml:space="preserve"> ₺</t>
    </r>
    <r>
      <rPr>
        <u/>
        <sz val="11"/>
        <color theme="1"/>
        <rFont val="Siemens Progress"/>
      </rPr>
      <t xml:space="preserve"> </t>
    </r>
    <r>
      <rPr>
        <sz val="11"/>
        <color theme="1"/>
        <rFont val="Siemens Progress"/>
      </rPr>
      <t>indirim uygulanır.</t>
    </r>
    <r>
      <rPr>
        <b/>
        <sz val="11"/>
        <color theme="1"/>
        <rFont val="Siemens Progress"/>
        <charset val="162"/>
      </rPr>
      <t xml:space="preserve">“diğer kampanyalar ile birleşemez” </t>
    </r>
    <r>
      <rPr>
        <sz val="11"/>
        <color theme="1"/>
        <rFont val="Siemens Progress"/>
      </rPr>
      <t xml:space="preserve"> </t>
    </r>
    <r>
      <rPr>
        <b/>
        <u/>
        <sz val="11"/>
        <color theme="1"/>
        <rFont val="Siemens Progress"/>
        <charset val="162"/>
      </rPr>
      <t>8.000 ₺</t>
    </r>
    <r>
      <rPr>
        <sz val="11"/>
        <color theme="1"/>
        <rFont val="Siemens Progress"/>
      </rPr>
      <t xml:space="preserve">  kdv dahil fiyat farkı hak edişi ödenecektir.                                                                      </t>
    </r>
    <r>
      <rPr>
        <b/>
        <sz val="11"/>
        <color theme="1"/>
        <rFont val="Siemens Progress"/>
        <charset val="162"/>
      </rPr>
      <t xml:space="preserve"> (Çamaşır + Kurutma)</t>
    </r>
  </si>
  <si>
    <r>
      <t xml:space="preserve">Uygulama koşulları : Seçili ankastre fırınlar ile set </t>
    </r>
    <r>
      <rPr>
        <sz val="11"/>
        <color theme="1"/>
        <rFont val="Siemens Progress"/>
        <charset val="162"/>
      </rPr>
      <t>(fırın+ocak+dav.) set alana</t>
    </r>
    <r>
      <rPr>
        <b/>
        <sz val="11"/>
        <color theme="1"/>
        <rFont val="Siemens Progress"/>
      </rPr>
      <t xml:space="preserve"> 12.800 ₺ </t>
    </r>
    <r>
      <rPr>
        <sz val="11"/>
        <color theme="1"/>
        <rFont val="Siemens Progress"/>
        <charset val="162"/>
      </rPr>
      <t>indirim uygulanır. KDV dahil</t>
    </r>
    <r>
      <rPr>
        <b/>
        <sz val="11"/>
        <color theme="1"/>
        <rFont val="Siemens Progress"/>
      </rPr>
      <t xml:space="preserve"> 9.800 ₺ </t>
    </r>
    <r>
      <rPr>
        <sz val="11"/>
        <color theme="1"/>
        <rFont val="Siemens Progress"/>
        <charset val="162"/>
      </rPr>
      <t>hak ediş ödenir.
Giriş setlerde( HB011* ve giriş segment muadili fırın modelleri, EB6C5PK80O - EB6C5PB82O ocak, LC64PCC20T - LC64PCC50T - LC64PCC60T davlumbaz modelleri)  geçerli değildir.</t>
    </r>
  </si>
  <si>
    <t>CEPA</t>
  </si>
  <si>
    <t>TEDARİK SORUNLU</t>
  </si>
  <si>
    <t>ileri teslim satılmayacak</t>
  </si>
  <si>
    <t>10 EYLÜL HOROZ</t>
  </si>
  <si>
    <t>10 EYLÜL STUDIOLINE HOROZ</t>
  </si>
  <si>
    <t>10 EYLÜL  YILDIZ DEPO</t>
  </si>
  <si>
    <t>30.09.2026 montaj zorunlu PHASE OUT</t>
  </si>
  <si>
    <t>TP551E19</t>
  </si>
  <si>
    <t>PRİM DAHİL</t>
  </si>
  <si>
    <t>TP553E05</t>
  </si>
  <si>
    <t>EQ500 iAroma Tam Otomatik Kahve Makinesi, Piano Black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</si>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</sst>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&quot;₺&quot;#,##0"/>
  </numFmts>
  <fonts count="60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charset val="16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1"/>
      <color rgb="FF00B0F0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10"/>
      <name val="Helv"/>
    </font>
    <font>
      <sz val="10"/>
      <name val="Arial"/>
      <family val="2"/>
      <charset val="162"/>
    </font>
    <font>
      <u/>
      <sz val="11"/>
      <color theme="10"/>
      <name val="Calibri"/>
      <family val="2"/>
      <charset val="162"/>
      <scheme val="minor"/>
    </font>
    <font>
      <b/>
      <sz val="12"/>
      <color rgb="FF7030A0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charset val="162"/>
      <scheme val="minor"/>
    </font>
    <font>
      <b/>
      <sz val="8"/>
      <name val="Calibri"/>
      <family val="2"/>
      <charset val="162"/>
      <scheme val="minor"/>
    </font>
    <font>
      <b/>
      <sz val="11"/>
      <color theme="1"/>
      <name val="Calibri"/>
      <family val="2"/>
      <charset val="162"/>
    </font>
    <font>
      <b/>
      <sz val="12"/>
      <name val="Calibri"/>
      <family val="2"/>
      <charset val="162"/>
      <scheme val="minor"/>
    </font>
    <font>
      <b/>
      <sz val="7"/>
      <name val="Calibri"/>
      <family val="2"/>
      <charset val="16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theme="4" tint="-0.249977111117893"/>
      <name val="Calibri"/>
      <family val="2"/>
      <charset val="162"/>
      <scheme val="minor"/>
    </font>
    <font>
      <sz val="11"/>
      <color theme="1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b/>
      <sz val="13"/>
      <color rgb="FFFF0000"/>
      <name val="Calibri"/>
      <family val="2"/>
      <charset val="162"/>
      <scheme val="minor"/>
    </font>
    <font>
      <b/>
      <sz val="13"/>
      <name val="Calibri"/>
      <family val="2"/>
      <charset val="162"/>
      <scheme val="minor"/>
    </font>
    <font>
      <b/>
      <sz val="11"/>
      <name val="Calibri"/>
      <family val="2"/>
      <charset val="162"/>
    </font>
    <font>
      <b/>
      <sz val="11"/>
      <name val="Aptos Narrow"/>
      <family val="2"/>
      <charset val="162"/>
    </font>
    <font>
      <sz val="7"/>
      <name val="Calibri"/>
      <family val="2"/>
      <charset val="162"/>
      <scheme val="minor"/>
    </font>
    <font>
      <b/>
      <sz val="16"/>
      <name val="Calibri"/>
      <family val="2"/>
      <charset val="162"/>
      <scheme val="minor"/>
    </font>
    <font>
      <b/>
      <sz val="8"/>
      <color rgb="FFFF0000"/>
      <name val="Calibri"/>
      <family val="2"/>
      <charset val="162"/>
      <scheme val="minor"/>
    </font>
    <font>
      <b/>
      <sz val="8"/>
      <color theme="4" tint="-0.499984740745262"/>
      <name val="Calibri"/>
      <family val="2"/>
      <charset val="162"/>
      <scheme val="minor"/>
    </font>
    <font>
      <sz val="11"/>
      <color theme="1"/>
      <name val="Siemens Progress"/>
    </font>
    <font>
      <b/>
      <sz val="11"/>
      <name val="Siemens Progress"/>
    </font>
    <font>
      <b/>
      <sz val="11"/>
      <color theme="1"/>
      <name val="Siemens Progress"/>
    </font>
    <font>
      <b/>
      <u/>
      <sz val="11"/>
      <color theme="1"/>
      <name val="Siemens Progress"/>
    </font>
    <font>
      <u/>
      <sz val="11"/>
      <color theme="1"/>
      <name val="Siemens Progress"/>
    </font>
    <font>
      <b/>
      <sz val="11"/>
      <color theme="1"/>
      <name val="Siemens Progress"/>
      <charset val="162"/>
    </font>
    <font>
      <sz val="11"/>
      <name val="Siemens Progress"/>
    </font>
    <font>
      <b/>
      <sz val="11"/>
      <name val="Siemens Progress"/>
      <charset val="162"/>
    </font>
    <font>
      <b/>
      <u/>
      <sz val="11"/>
      <color theme="1"/>
      <name val="Siemens Progress"/>
      <charset val="162"/>
    </font>
    <font>
      <sz val="11"/>
      <color theme="1"/>
      <name val="Siemens Progress"/>
      <charset val="162"/>
    </font>
    <font>
      <b/>
      <sz val="10"/>
      <color rgb="FFFF0000"/>
      <name val="Calibri"/>
      <family val="2"/>
      <charset val="16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BB1AB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79857783745845"/>
        <bgColor rgb="FFE8EAF6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57884456923126"/>
      </bottom>
      <diagonal/>
    </border>
  </borders>
  <cellStyleXfs count="14">
    <xf numFmtId="0" fontId="0" fillId="0" borderId="0"/>
    <xf numFmtId="44" fontId="1" fillId="0" borderId="0" applyFont="0" applyFill="0" applyBorder="0" applyAlignment="0" applyProtection="0"/>
    <xf numFmtId="0" fontId="16" fillId="0" borderId="0"/>
    <xf numFmtId="0" fontId="1" fillId="0" borderId="0"/>
    <xf numFmtId="0" fontId="26" fillId="0" borderId="0"/>
    <xf numFmtId="0" fontId="27" fillId="0" borderId="0"/>
    <xf numFmtId="0" fontId="16" fillId="0" borderId="0"/>
    <xf numFmtId="0" fontId="28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38" fillId="0" borderId="0"/>
    <xf numFmtId="0" fontId="28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216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7" fillId="0" borderId="0" xfId="0" applyFont="1"/>
    <xf numFmtId="0" fontId="19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13" fillId="0" borderId="0" xfId="0" applyFont="1"/>
    <xf numFmtId="49" fontId="0" fillId="0" borderId="0" xfId="0" applyNumberFormat="1"/>
    <xf numFmtId="0" fontId="28" fillId="0" borderId="0" xfId="7" applyAlignment="1">
      <alignment vertical="center"/>
    </xf>
    <xf numFmtId="0" fontId="0" fillId="0" borderId="0" xfId="0" applyAlignment="1">
      <alignment horizontal="left"/>
    </xf>
    <xf numFmtId="165" fontId="3" fillId="0" borderId="0" xfId="0" applyNumberFormat="1" applyFont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165" fontId="14" fillId="4" borderId="1" xfId="1" applyNumberFormat="1" applyFont="1" applyFill="1" applyBorder="1" applyAlignment="1" applyProtection="1">
      <alignment horizontal="center" vertical="center" wrapText="1"/>
    </xf>
    <xf numFmtId="165" fontId="11" fillId="0" borderId="1" xfId="1" applyNumberFormat="1" applyFont="1" applyFill="1" applyBorder="1" applyAlignment="1" applyProtection="1">
      <alignment horizontal="center" vertical="center" wrapText="1"/>
    </xf>
    <xf numFmtId="165" fontId="10" fillId="0" borderId="1" xfId="1" applyNumberFormat="1" applyFont="1" applyFill="1" applyBorder="1" applyAlignment="1" applyProtection="1">
      <alignment horizontal="center" vertical="center" wrapText="1"/>
    </xf>
    <xf numFmtId="165" fontId="25" fillId="5" borderId="1" xfId="1" applyNumberFormat="1" applyFont="1" applyFill="1" applyBorder="1" applyAlignment="1" applyProtection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164" fontId="29" fillId="10" borderId="1" xfId="1" applyNumberFormat="1" applyFont="1" applyFill="1" applyBorder="1" applyAlignment="1" applyProtection="1">
      <alignment horizontal="center" vertical="center" wrapText="1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165" fontId="3" fillId="11" borderId="0" xfId="0" applyNumberFormat="1" applyFont="1" applyFill="1" applyAlignment="1">
      <alignment horizontal="right" vertical="center"/>
    </xf>
    <xf numFmtId="165" fontId="3" fillId="22" borderId="0" xfId="0" applyNumberFormat="1" applyFont="1" applyFill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164" fontId="14" fillId="8" borderId="0" xfId="1" applyNumberFormat="1" applyFont="1" applyFill="1" applyAlignment="1">
      <alignment horizontal="center" vertical="center" wrapText="1"/>
    </xf>
    <xf numFmtId="0" fontId="1" fillId="0" borderId="0" xfId="9"/>
    <xf numFmtId="0" fontId="28" fillId="0" borderId="0" xfId="7"/>
    <xf numFmtId="49" fontId="1" fillId="0" borderId="0" xfId="9" applyNumberFormat="1"/>
    <xf numFmtId="0" fontId="1" fillId="0" borderId="0" xfId="9" applyAlignment="1">
      <alignment vertical="center"/>
    </xf>
    <xf numFmtId="49" fontId="28" fillId="0" borderId="0" xfId="7" applyNumberFormat="1"/>
    <xf numFmtId="0" fontId="30" fillId="0" borderId="0" xfId="0" applyFont="1" applyAlignment="1">
      <alignment horizontal="left"/>
    </xf>
    <xf numFmtId="164" fontId="7" fillId="10" borderId="1" xfId="1" applyNumberFormat="1" applyFont="1" applyFill="1" applyBorder="1" applyAlignment="1">
      <alignment horizontal="center" vertical="center" wrapText="1"/>
    </xf>
    <xf numFmtId="164" fontId="32" fillId="10" borderId="1" xfId="1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1" fillId="0" borderId="0" xfId="10"/>
    <xf numFmtId="49" fontId="1" fillId="0" borderId="0" xfId="10" applyNumberFormat="1"/>
    <xf numFmtId="0" fontId="1" fillId="0" borderId="0" xfId="10" applyAlignment="1">
      <alignment vertical="center"/>
    </xf>
    <xf numFmtId="0" fontId="34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1" fillId="0" borderId="0" xfId="6" applyFont="1"/>
    <xf numFmtId="0" fontId="33" fillId="25" borderId="12" xfId="9" applyFont="1" applyFill="1" applyBorder="1" applyAlignment="1">
      <alignment horizontal="center" vertical="center"/>
    </xf>
    <xf numFmtId="49" fontId="33" fillId="25" borderId="12" xfId="9" applyNumberFormat="1" applyFont="1" applyFill="1" applyBorder="1" applyAlignment="1">
      <alignment horizontal="center" vertical="center"/>
    </xf>
    <xf numFmtId="0" fontId="1" fillId="0" borderId="0" xfId="9" applyAlignment="1">
      <alignment horizontal="left"/>
    </xf>
    <xf numFmtId="0" fontId="1" fillId="0" borderId="0" xfId="10" applyAlignment="1">
      <alignment horizontal="left"/>
    </xf>
    <xf numFmtId="49" fontId="38" fillId="0" borderId="0" xfId="11" applyNumberFormat="1"/>
    <xf numFmtId="0" fontId="28" fillId="0" borderId="0" xfId="12"/>
    <xf numFmtId="49" fontId="28" fillId="0" borderId="0" xfId="12" applyNumberFormat="1"/>
    <xf numFmtId="0" fontId="28" fillId="0" borderId="0" xfId="12" applyAlignment="1">
      <alignment vertical="center"/>
    </xf>
    <xf numFmtId="0" fontId="41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1" fillId="0" borderId="0" xfId="0" applyFont="1"/>
    <xf numFmtId="0" fontId="22" fillId="0" borderId="0" xfId="0" applyFont="1"/>
    <xf numFmtId="0" fontId="1" fillId="0" borderId="0" xfId="0" applyFont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1" fillId="0" borderId="0" xfId="0" applyFont="1"/>
    <xf numFmtId="0" fontId="45" fillId="0" borderId="0" xfId="0" applyFont="1" applyAlignment="1">
      <alignment horizontal="center"/>
    </xf>
    <xf numFmtId="0" fontId="35" fillId="18" borderId="0" xfId="0" applyFont="1" applyFill="1" applyAlignment="1">
      <alignment horizontal="center" vertical="center"/>
    </xf>
    <xf numFmtId="0" fontId="12" fillId="0" borderId="0" xfId="0" applyFont="1" applyAlignment="1">
      <alignment horizontal="left"/>
    </xf>
    <xf numFmtId="0" fontId="35" fillId="6" borderId="0" xfId="0" applyFont="1" applyFill="1" applyAlignment="1">
      <alignment horizontal="center" vertical="center"/>
    </xf>
    <xf numFmtId="0" fontId="46" fillId="0" borderId="0" xfId="0" applyFont="1" applyAlignment="1">
      <alignment horizontal="left" vertical="center"/>
    </xf>
    <xf numFmtId="0" fontId="42" fillId="0" borderId="1" xfId="0" applyFont="1" applyBorder="1" applyAlignment="1">
      <alignment horizontal="center" vertical="center" wrapText="1"/>
    </xf>
    <xf numFmtId="0" fontId="41" fillId="0" borderId="0" xfId="0" applyFont="1"/>
    <xf numFmtId="0" fontId="42" fillId="0" borderId="0" xfId="0" applyFont="1"/>
    <xf numFmtId="0" fontId="10" fillId="0" borderId="0" xfId="0" applyFont="1" applyAlignment="1">
      <alignment horizontal="left"/>
    </xf>
    <xf numFmtId="0" fontId="32" fillId="0" borderId="1" xfId="0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 wrapText="1"/>
    </xf>
    <xf numFmtId="0" fontId="50" fillId="27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1" fillId="0" borderId="1" xfId="0" applyFont="1" applyBorder="1" applyAlignment="1">
      <alignment vertical="center" wrapText="1"/>
    </xf>
    <xf numFmtId="0" fontId="4" fillId="7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2" fillId="7" borderId="0" xfId="0" applyFont="1" applyFill="1" applyAlignment="1">
      <alignment vertical="center"/>
    </xf>
    <xf numFmtId="0" fontId="3" fillId="12" borderId="0" xfId="0" applyFont="1" applyFill="1" applyAlignment="1">
      <alignment vertical="center" wrapText="1"/>
    </xf>
    <xf numFmtId="0" fontId="13" fillId="0" borderId="0" xfId="0" applyFont="1" applyAlignment="1">
      <alignment vertical="center"/>
    </xf>
    <xf numFmtId="0" fontId="43" fillId="0" borderId="0" xfId="0" applyFont="1" applyAlignment="1">
      <alignment vertical="center" wrapText="1"/>
    </xf>
    <xf numFmtId="0" fontId="44" fillId="14" borderId="0" xfId="0" applyFont="1" applyFill="1" applyAlignment="1">
      <alignment vertical="center"/>
    </xf>
    <xf numFmtId="0" fontId="18" fillId="14" borderId="0" xfId="0" applyFont="1" applyFill="1" applyAlignment="1">
      <alignment vertical="center"/>
    </xf>
    <xf numFmtId="0" fontId="18" fillId="15" borderId="0" xfId="0" applyFont="1" applyFill="1" applyAlignment="1">
      <alignment vertical="center"/>
    </xf>
    <xf numFmtId="0" fontId="3" fillId="2" borderId="0" xfId="0" applyFont="1" applyFill="1" applyAlignment="1">
      <alignment vertical="center" wrapText="1"/>
    </xf>
    <xf numFmtId="0" fontId="1" fillId="0" borderId="0" xfId="8" applyAlignment="1">
      <alignment vertical="center"/>
    </xf>
    <xf numFmtId="0" fontId="44" fillId="0" borderId="0" xfId="0" applyFont="1" applyAlignment="1">
      <alignment vertical="center"/>
    </xf>
    <xf numFmtId="0" fontId="3" fillId="8" borderId="0" xfId="0" applyFont="1" applyFill="1" applyAlignment="1">
      <alignment vertical="center"/>
    </xf>
    <xf numFmtId="0" fontId="44" fillId="24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0" fontId="3" fillId="8" borderId="0" xfId="0" applyFont="1" applyFill="1" applyAlignment="1">
      <alignment vertical="center" wrapText="1"/>
    </xf>
    <xf numFmtId="0" fontId="20" fillId="7" borderId="0" xfId="0" applyFont="1" applyFill="1" applyAlignment="1">
      <alignment vertical="center"/>
    </xf>
    <xf numFmtId="0" fontId="0" fillId="17" borderId="0" xfId="0" applyFill="1" applyAlignment="1">
      <alignment vertical="center"/>
    </xf>
    <xf numFmtId="0" fontId="3" fillId="14" borderId="0" xfId="0" applyFont="1" applyFill="1" applyAlignment="1">
      <alignment vertical="center"/>
    </xf>
    <xf numFmtId="0" fontId="20" fillId="16" borderId="0" xfId="0" applyFont="1" applyFill="1" applyAlignment="1">
      <alignment vertical="center"/>
    </xf>
    <xf numFmtId="0" fontId="21" fillId="8" borderId="0" xfId="0" applyFont="1" applyFill="1" applyAlignment="1">
      <alignment vertical="center" wrapText="1"/>
    </xf>
    <xf numFmtId="0" fontId="36" fillId="0" borderId="0" xfId="0" applyFont="1" applyAlignment="1">
      <alignment vertical="center"/>
    </xf>
    <xf numFmtId="0" fontId="0" fillId="8" borderId="0" xfId="0" applyFill="1" applyAlignment="1">
      <alignment vertical="center"/>
    </xf>
    <xf numFmtId="0" fontId="3" fillId="19" borderId="0" xfId="0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3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4" fillId="16" borderId="0" xfId="0" applyFont="1" applyFill="1" applyAlignment="1">
      <alignment vertical="center"/>
    </xf>
    <xf numFmtId="0" fontId="3" fillId="20" borderId="0" xfId="0" applyFont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12" fillId="0" borderId="0" xfId="0" applyFont="1" applyAlignment="1">
      <alignment vertical="center"/>
    </xf>
    <xf numFmtId="0" fontId="12" fillId="3" borderId="0" xfId="0" applyFont="1" applyFill="1" applyAlignment="1">
      <alignment vertical="center"/>
    </xf>
    <xf numFmtId="0" fontId="14" fillId="0" borderId="0" xfId="3" applyFont="1" applyAlignment="1">
      <alignment vertical="center"/>
    </xf>
    <xf numFmtId="0" fontId="0" fillId="3" borderId="0" xfId="0" applyFill="1" applyAlignment="1">
      <alignment vertical="center"/>
    </xf>
    <xf numFmtId="0" fontId="19" fillId="8" borderId="0" xfId="0" applyFont="1" applyFill="1" applyAlignment="1">
      <alignment vertical="center"/>
    </xf>
    <xf numFmtId="0" fontId="31" fillId="0" borderId="1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" fillId="7" borderId="1" xfId="0" applyFont="1" applyFill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5" fillId="4" borderId="1" xfId="13" applyNumberFormat="1" applyFont="1" applyFill="1" applyBorder="1" applyAlignment="1">
      <alignment horizontal="center" vertical="center" wrapText="1"/>
    </xf>
    <xf numFmtId="164" fontId="25" fillId="0" borderId="1" xfId="13" applyNumberFormat="1" applyFont="1" applyFill="1" applyBorder="1" applyAlignment="1">
      <alignment horizontal="center" vertical="center" wrapText="1"/>
    </xf>
    <xf numFmtId="164" fontId="5" fillId="8" borderId="1" xfId="13" applyNumberFormat="1" applyFont="1" applyFill="1" applyBorder="1" applyAlignment="1">
      <alignment horizontal="center" vertical="center" wrapText="1"/>
    </xf>
    <xf numFmtId="164" fontId="32" fillId="18" borderId="0" xfId="13" applyNumberFormat="1" applyFont="1" applyFill="1" applyAlignment="1">
      <alignment horizontal="center" vertical="center" wrapText="1"/>
    </xf>
    <xf numFmtId="164" fontId="32" fillId="0" borderId="2" xfId="13" applyNumberFormat="1" applyFont="1" applyFill="1" applyBorder="1" applyAlignment="1">
      <alignment horizontal="center" vertical="center" wrapText="1"/>
    </xf>
    <xf numFmtId="164" fontId="10" fillId="10" borderId="0" xfId="13" applyNumberFormat="1" applyFont="1" applyFill="1" applyAlignment="1">
      <alignment horizontal="center" vertical="center" wrapText="1"/>
    </xf>
    <xf numFmtId="164" fontId="32" fillId="0" borderId="0" xfId="13" applyNumberFormat="1" applyFont="1" applyFill="1" applyAlignment="1">
      <alignment horizontal="center" vertical="center"/>
    </xf>
    <xf numFmtId="164" fontId="10" fillId="0" borderId="0" xfId="13" applyNumberFormat="1" applyFont="1" applyFill="1" applyAlignment="1">
      <alignment horizontal="center" vertical="center" wrapText="1"/>
    </xf>
    <xf numFmtId="164" fontId="13" fillId="0" borderId="0" xfId="13" applyNumberFormat="1" applyFont="1" applyFill="1" applyAlignment="1">
      <alignment horizontal="center" vertical="center" wrapText="1"/>
    </xf>
    <xf numFmtId="164" fontId="12" fillId="0" borderId="0" xfId="13" applyNumberFormat="1" applyFont="1" applyFill="1" applyAlignment="1">
      <alignment horizontal="left" vertical="center"/>
    </xf>
    <xf numFmtId="164" fontId="10" fillId="6" borderId="0" xfId="13" applyNumberFormat="1" applyFont="1" applyFill="1" applyAlignment="1">
      <alignment horizontal="left" vertical="center"/>
    </xf>
    <xf numFmtId="164" fontId="1" fillId="0" borderId="0" xfId="13" applyNumberFormat="1" applyFont="1"/>
    <xf numFmtId="164" fontId="12" fillId="0" borderId="0" xfId="13" applyNumberFormat="1" applyFont="1" applyFill="1" applyAlignment="1">
      <alignment horizontal="center" vertical="center"/>
    </xf>
    <xf numFmtId="164" fontId="10" fillId="0" borderId="0" xfId="13" applyNumberFormat="1" applyFont="1" applyFill="1" applyAlignment="1">
      <alignment horizontal="left" vertical="center"/>
    </xf>
    <xf numFmtId="164" fontId="10" fillId="6" borderId="0" xfId="13" applyNumberFormat="1" applyFont="1" applyFill="1" applyAlignment="1">
      <alignment horizontal="center" vertical="center" wrapText="1"/>
    </xf>
    <xf numFmtId="164" fontId="12" fillId="8" borderId="0" xfId="13" applyNumberFormat="1" applyFont="1" applyFill="1" applyAlignment="1">
      <alignment horizontal="center" vertical="center"/>
    </xf>
    <xf numFmtId="164" fontId="10" fillId="0" borderId="0" xfId="13" applyNumberFormat="1" applyFont="1" applyFill="1"/>
    <xf numFmtId="164" fontId="10" fillId="0" borderId="0" xfId="13" applyNumberFormat="1" applyFont="1" applyFill="1" applyAlignment="1">
      <alignment horizontal="left" vertical="center" wrapText="1"/>
    </xf>
    <xf numFmtId="164" fontId="10" fillId="0" borderId="0" xfId="13" applyNumberFormat="1" applyFont="1" applyFill="1" applyAlignment="1">
      <alignment horizontal="center" vertical="center"/>
    </xf>
    <xf numFmtId="164" fontId="13" fillId="6" borderId="0" xfId="13" applyNumberFormat="1" applyFont="1" applyFill="1" applyAlignment="1">
      <alignment horizontal="center" vertical="center" wrapText="1"/>
    </xf>
    <xf numFmtId="164" fontId="12" fillId="8" borderId="0" xfId="13" applyNumberFormat="1" applyFont="1" applyFill="1" applyAlignment="1">
      <alignment horizontal="center" vertical="center" wrapText="1"/>
    </xf>
    <xf numFmtId="164" fontId="3" fillId="0" borderId="0" xfId="13" applyNumberFormat="1" applyFont="1"/>
    <xf numFmtId="164" fontId="13" fillId="8" borderId="0" xfId="13" applyNumberFormat="1" applyFont="1" applyFill="1" applyAlignment="1">
      <alignment horizontal="center" vertical="center" wrapText="1"/>
    </xf>
    <xf numFmtId="164" fontId="10" fillId="10" borderId="0" xfId="13" applyNumberFormat="1" applyFont="1" applyFill="1" applyAlignment="1">
      <alignment horizontal="center" vertical="center"/>
    </xf>
    <xf numFmtId="164" fontId="10" fillId="20" borderId="0" xfId="13" applyNumberFormat="1" applyFont="1" applyFill="1" applyAlignment="1">
      <alignment horizontal="center" vertical="center" wrapText="1"/>
    </xf>
    <xf numFmtId="164" fontId="10" fillId="8" borderId="0" xfId="13" applyNumberFormat="1" applyFont="1" applyFill="1" applyAlignment="1">
      <alignment horizontal="left" vertical="center"/>
    </xf>
    <xf numFmtId="164" fontId="10" fillId="20" borderId="0" xfId="13" applyNumberFormat="1" applyFont="1" applyFill="1" applyAlignment="1">
      <alignment horizontal="center" vertical="center"/>
    </xf>
    <xf numFmtId="164" fontId="12" fillId="8" borderId="0" xfId="13" applyNumberFormat="1" applyFont="1" applyFill="1" applyAlignment="1">
      <alignment horizontal="left" vertical="center"/>
    </xf>
    <xf numFmtId="164" fontId="1" fillId="0" borderId="0" xfId="13" applyNumberFormat="1" applyFont="1" applyFill="1"/>
    <xf numFmtId="164" fontId="10" fillId="0" borderId="0" xfId="13" applyNumberFormat="1" applyFont="1" applyFill="1" applyAlignment="1">
      <alignment vertical="center"/>
    </xf>
    <xf numFmtId="164" fontId="10" fillId="2" borderId="0" xfId="13" applyNumberFormat="1" applyFont="1" applyFill="1" applyAlignment="1">
      <alignment horizontal="center" vertical="center" wrapText="1"/>
    </xf>
    <xf numFmtId="164" fontId="10" fillId="6" borderId="0" xfId="13" applyNumberFormat="1" applyFont="1" applyFill="1" applyAlignment="1">
      <alignment horizontal="left" vertical="center" wrapText="1"/>
    </xf>
    <xf numFmtId="164" fontId="10" fillId="20" borderId="0" xfId="13" applyNumberFormat="1" applyFont="1" applyFill="1" applyAlignment="1">
      <alignment vertical="center"/>
    </xf>
    <xf numFmtId="164" fontId="59" fillId="0" borderId="0" xfId="13" applyNumberFormat="1" applyFont="1" applyFill="1" applyAlignment="1">
      <alignment horizontal="left" vertical="center"/>
    </xf>
    <xf numFmtId="164" fontId="10" fillId="6" borderId="0" xfId="13" applyNumberFormat="1" applyFont="1" applyFill="1" applyAlignment="1">
      <alignment horizontal="center" vertical="center"/>
    </xf>
    <xf numFmtId="164" fontId="12" fillId="0" borderId="0" xfId="13" applyNumberFormat="1" applyFont="1" applyFill="1" applyAlignment="1">
      <alignment horizontal="center" vertical="center" wrapText="1"/>
    </xf>
    <xf numFmtId="164" fontId="10" fillId="18" borderId="0" xfId="13" applyNumberFormat="1" applyFont="1" applyFill="1" applyAlignment="1">
      <alignment horizontal="center" vertical="center" wrapText="1"/>
    </xf>
    <xf numFmtId="164" fontId="10" fillId="8" borderId="0" xfId="13" applyNumberFormat="1" applyFont="1" applyFill="1" applyAlignment="1">
      <alignment horizontal="center" vertical="center" wrapText="1"/>
    </xf>
    <xf numFmtId="164" fontId="13" fillId="10" borderId="0" xfId="13" applyNumberFormat="1" applyFont="1" applyFill="1" applyAlignment="1">
      <alignment horizontal="center" vertical="center" wrapText="1"/>
    </xf>
    <xf numFmtId="164" fontId="10" fillId="20" borderId="0" xfId="13" applyNumberFormat="1" applyFont="1" applyFill="1"/>
    <xf numFmtId="164" fontId="25" fillId="0" borderId="0" xfId="13" applyNumberFormat="1" applyFont="1" applyFill="1" applyBorder="1" applyAlignment="1">
      <alignment horizontal="center" vertical="center" wrapText="1"/>
    </xf>
    <xf numFmtId="164" fontId="10" fillId="8" borderId="1" xfId="13" applyNumberFormat="1" applyFont="1" applyFill="1" applyBorder="1" applyAlignment="1">
      <alignment horizontal="center" vertical="center" wrapText="1"/>
    </xf>
    <xf numFmtId="164" fontId="12" fillId="0" borderId="1" xfId="13" applyNumberFormat="1" applyFont="1" applyFill="1" applyBorder="1" applyAlignment="1">
      <alignment horizontal="center" vertical="center"/>
    </xf>
    <xf numFmtId="164" fontId="10" fillId="0" borderId="1" xfId="13" applyNumberFormat="1" applyFont="1" applyFill="1" applyBorder="1" applyAlignment="1">
      <alignment horizontal="center" vertical="center" wrapText="1"/>
    </xf>
    <xf numFmtId="164" fontId="13" fillId="0" borderId="1" xfId="13" applyNumberFormat="1" applyFont="1" applyFill="1" applyBorder="1" applyAlignment="1">
      <alignment horizontal="center" vertical="center" wrapText="1"/>
    </xf>
    <xf numFmtId="164" fontId="10" fillId="10" borderId="0" xfId="13" applyNumberFormat="1" applyFont="1" applyFill="1" applyAlignment="1">
      <alignment horizontal="left" vertical="center"/>
    </xf>
    <xf numFmtId="164" fontId="10" fillId="0" borderId="0" xfId="13" applyNumberFormat="1" applyFont="1"/>
    <xf numFmtId="0" fontId="3" fillId="23" borderId="0" xfId="0" applyFont="1" applyFill="1" applyAlignment="1">
      <alignment horizontal="right" vertical="center"/>
    </xf>
    <xf numFmtId="165" fontId="3" fillId="23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right" vertical="center"/>
    </xf>
    <xf numFmtId="165" fontId="24" fillId="9" borderId="1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50" fillId="26" borderId="4" xfId="0" applyFont="1" applyFill="1" applyBorder="1" applyAlignment="1">
      <alignment horizontal="center" vertical="center" wrapText="1"/>
    </xf>
    <xf numFmtId="0" fontId="50" fillId="26" borderId="6" xfId="0" applyFont="1" applyFill="1" applyBorder="1" applyAlignment="1">
      <alignment horizontal="center" vertical="center" wrapText="1"/>
    </xf>
    <xf numFmtId="0" fontId="50" fillId="26" borderId="11" xfId="0" applyFont="1" applyFill="1" applyBorder="1" applyAlignment="1">
      <alignment horizontal="center" vertical="center" wrapText="1"/>
    </xf>
    <xf numFmtId="0" fontId="49" fillId="0" borderId="3" xfId="0" applyFont="1" applyBorder="1" applyAlignment="1">
      <alignment horizontal="center" vertical="center" wrapText="1"/>
    </xf>
    <xf numFmtId="0" fontId="49" fillId="0" borderId="5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49" fillId="0" borderId="9" xfId="0" applyFont="1" applyBorder="1" applyAlignment="1">
      <alignment horizontal="center" vertical="center" wrapText="1"/>
    </xf>
    <xf numFmtId="0" fontId="49" fillId="0" borderId="10" xfId="0" applyFont="1" applyBorder="1" applyAlignment="1">
      <alignment horizontal="center" vertical="center" wrapText="1"/>
    </xf>
    <xf numFmtId="0" fontId="49" fillId="0" borderId="3" xfId="6" applyFont="1" applyBorder="1" applyAlignment="1">
      <alignment horizontal="center" vertical="center" wrapText="1"/>
    </xf>
    <xf numFmtId="0" fontId="49" fillId="0" borderId="5" xfId="6" applyFont="1" applyBorder="1" applyAlignment="1">
      <alignment horizontal="center" vertical="center" wrapText="1"/>
    </xf>
    <xf numFmtId="0" fontId="49" fillId="0" borderId="7" xfId="6" applyFont="1" applyBorder="1" applyAlignment="1">
      <alignment horizontal="center" vertical="center" wrapText="1"/>
    </xf>
    <xf numFmtId="0" fontId="49" fillId="0" borderId="8" xfId="6" applyFont="1" applyBorder="1" applyAlignment="1">
      <alignment horizontal="center" vertical="center" wrapText="1"/>
    </xf>
    <xf numFmtId="0" fontId="49" fillId="0" borderId="9" xfId="6" applyFont="1" applyBorder="1" applyAlignment="1">
      <alignment horizontal="center" vertical="center" wrapText="1"/>
    </xf>
    <xf numFmtId="0" fontId="49" fillId="0" borderId="10" xfId="6" applyFont="1" applyBorder="1" applyAlignment="1">
      <alignment horizontal="center" vertical="center" wrapText="1"/>
    </xf>
    <xf numFmtId="0" fontId="51" fillId="4" borderId="3" xfId="0" applyFont="1" applyFill="1" applyBorder="1" applyAlignment="1">
      <alignment horizontal="center" vertical="center" wrapText="1"/>
    </xf>
    <xf numFmtId="0" fontId="51" fillId="4" borderId="5" xfId="0" applyFont="1" applyFill="1" applyBorder="1" applyAlignment="1">
      <alignment horizontal="center" vertical="center" wrapText="1"/>
    </xf>
    <xf numFmtId="0" fontId="51" fillId="4" borderId="7" xfId="0" applyFont="1" applyFill="1" applyBorder="1" applyAlignment="1">
      <alignment horizontal="center" vertical="center" wrapText="1"/>
    </xf>
    <xf numFmtId="0" fontId="51" fillId="4" borderId="8" xfId="0" applyFont="1" applyFill="1" applyBorder="1" applyAlignment="1">
      <alignment horizontal="center" vertical="center" wrapText="1"/>
    </xf>
    <xf numFmtId="0" fontId="51" fillId="4" borderId="9" xfId="0" applyFont="1" applyFill="1" applyBorder="1" applyAlignment="1">
      <alignment horizontal="center" vertical="center" wrapText="1"/>
    </xf>
    <xf numFmtId="0" fontId="51" fillId="4" borderId="10" xfId="0" applyFont="1" applyFill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1" fillId="0" borderId="5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50" fillId="4" borderId="5" xfId="0" applyFont="1" applyFill="1" applyBorder="1" applyAlignment="1">
      <alignment horizontal="center" vertical="center" wrapText="1"/>
    </xf>
    <xf numFmtId="0" fontId="50" fillId="4" borderId="7" xfId="0" applyFont="1" applyFill="1" applyBorder="1" applyAlignment="1">
      <alignment horizontal="center" vertical="center" wrapText="1"/>
    </xf>
    <xf numFmtId="0" fontId="50" fillId="4" borderId="8" xfId="0" applyFont="1" applyFill="1" applyBorder="1" applyAlignment="1">
      <alignment horizontal="center" vertical="center" wrapText="1"/>
    </xf>
    <xf numFmtId="0" fontId="50" fillId="4" borderId="9" xfId="0" applyFont="1" applyFill="1" applyBorder="1" applyAlignment="1">
      <alignment horizontal="center" vertical="center" wrapText="1"/>
    </xf>
    <xf numFmtId="0" fontId="50" fillId="4" borderId="10" xfId="0" applyFont="1" applyFill="1" applyBorder="1" applyAlignment="1">
      <alignment horizontal="center" vertical="center" wrapText="1"/>
    </xf>
  </cellXfs>
  <cellStyles count="14">
    <cellStyle name="Köprü" xfId="12" builtinId="8"/>
    <cellStyle name="Köprü 2" xfId="7" xr:uid="{17D4328B-B3A7-4DE8-8947-B99071C2949F}"/>
    <cellStyle name="Normal" xfId="0" builtinId="0"/>
    <cellStyle name="Normal 10 3" xfId="5" xr:uid="{DCB79BD0-9087-41A2-97DA-EC702C5097B4}"/>
    <cellStyle name="Normal 2" xfId="9" xr:uid="{A5B37F71-4C4A-4FD5-B798-F5C641D18973}"/>
    <cellStyle name="Normal 3" xfId="10" xr:uid="{5FCC20BB-7516-41E5-916B-85B79CBD1026}"/>
    <cellStyle name="Normal 46" xfId="3" xr:uid="{37055469-FE73-407E-B0A7-D87D834E85AF}"/>
    <cellStyle name="Normal 5" xfId="6" xr:uid="{005558E6-ACE9-49F0-939E-3FAFED6CD61C}"/>
    <cellStyle name="Normal 67" xfId="2" xr:uid="{9E417F63-AB46-401E-86FF-494AF526B605}"/>
    <cellStyle name="Normal 72" xfId="8" xr:uid="{96944380-1624-46F9-8130-5198376F576B}"/>
    <cellStyle name="Normal 8" xfId="11" xr:uid="{48E3F657-97B9-49D4-ABAF-73DDC3A60F7D}"/>
    <cellStyle name="ParaBirimi" xfId="1" builtinId="4"/>
    <cellStyle name="ParaBirimi 2" xfId="13" xr:uid="{280E224D-0591-48B6-BB06-40D584DD3E1D}"/>
    <cellStyle name="Style 1 2" xfId="4" xr:uid="{0203CFEA-F795-474D-9573-A51510BEFF49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pisirme-grubu/ocaklar/gazli-ocaklar/EO6C2PP30O" TargetMode="External"/><Relationship Id="rId21" Type="http://schemas.openxmlformats.org/officeDocument/2006/relationships/hyperlink" Target="https://www.siemens-home.bsh-group.com/tr/tr/product/pisirme-grubu/firinlar/kompakt-firinlar/BE525LMG2" TargetMode="External"/><Relationship Id="rId324" Type="http://schemas.openxmlformats.org/officeDocument/2006/relationships/hyperlink" Target="https://www.siemens-home.bsh-group.com/tr/tr/product/ankastre/ankastre-davlumbazlar/LB53NAA30" TargetMode="External"/><Relationship Id="rId531" Type="http://schemas.openxmlformats.org/officeDocument/2006/relationships/hyperlink" Target="https://www.siemens-home.bsh-group.com/tr/tr/product/yikama-ve-utuleme-grubu/camasir-makineleri/solo-camasir-makineleri/WG42A2Z0TR" TargetMode="External"/><Relationship Id="rId629" Type="http://schemas.openxmlformats.org/officeDocument/2006/relationships/hyperlink" Target="https://www.siemens-home.bsh-group.com/tr/tr/product/DG65016TR" TargetMode="External"/><Relationship Id="rId170" Type="http://schemas.openxmlformats.org/officeDocument/2006/relationships/hyperlink" Target="https://www.siemens-home.bsh-group.com/tr/tr/product/pisirme-grubu/ocaklar/induksiyonlu-ocaklar/EX675LYV1E" TargetMode="External"/><Relationship Id="rId268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475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32" Type="http://schemas.openxmlformats.org/officeDocument/2006/relationships/hyperlink" Target="https://www.siemens-home.bsh-group.com/tr/tr/product/pisirme-grubu/firinlar/kompakt-firinlar/BF623LMG3" TargetMode="External"/><Relationship Id="rId128" Type="http://schemas.openxmlformats.org/officeDocument/2006/relationships/hyperlink" Target="https://www.siemens-home.bsh-group.com/tr/tr/product/ankastre/ankastre-ocaklar/EO7C2PO12O" TargetMode="External"/><Relationship Id="rId335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542" Type="http://schemas.openxmlformats.org/officeDocument/2006/relationships/hyperlink" Target="https://www.siemens-home.bsh-group.com/tr/tr/product/yikama-ve-utuleme-grubu/camasir-makineleri/solo-camasir-makineleri/WG44B2A0TR" TargetMode="External"/><Relationship Id="rId181" Type="http://schemas.openxmlformats.org/officeDocument/2006/relationships/hyperlink" Target="https://www.siemens-home.bsh-group.com/tr/tr/product/FF020LMW0" TargetMode="External"/><Relationship Id="rId402" Type="http://schemas.openxmlformats.org/officeDocument/2006/relationships/hyperlink" Target="https://www.philips.com.tr/c-p/55PUS8548_62/the-one-4k-ambilight-tv" TargetMode="External"/><Relationship Id="rId279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486" Type="http://schemas.openxmlformats.org/officeDocument/2006/relationships/hyperlink" Target="https://www.siemens-home.bsh-group.com/tr/tr/product/kucuk-ev-aletleri/TP505R01" TargetMode="External"/><Relationship Id="rId43" Type="http://schemas.openxmlformats.org/officeDocument/2006/relationships/hyperlink" Target="https://lura.cepkask.com/basket/57" TargetMode="External"/><Relationship Id="rId139" Type="http://schemas.openxmlformats.org/officeDocument/2006/relationships/hyperlink" Target="https://www.siemens-home.bsh-group.com/tr/tr/product/pisirme-grubu/ocaklar/gazli-ocaklar/EO7C9PO12O" TargetMode="External"/><Relationship Id="rId346" Type="http://schemas.openxmlformats.org/officeDocument/2006/relationships/hyperlink" Target="https://www.siemens-home.bsh-group.com/tr/tr/product/LC66BBM50" TargetMode="External"/><Relationship Id="rId553" Type="http://schemas.openxmlformats.org/officeDocument/2006/relationships/hyperlink" Target="https://www.siemens-home.bsh-group.com/tr/tr/product/yikama-ve-utuleme-grubu/camasir-makineleri/solo-camasir-makineleri/WG52K2ZSTR" TargetMode="External"/><Relationship Id="rId192" Type="http://schemas.openxmlformats.org/officeDocument/2006/relationships/hyperlink" Target="https://www.siemens-home.bsh-group.com/tr/tr/product/ldaset2ref/GS33VVWE0N" TargetMode="External"/><Relationship Id="rId206" Type="http://schemas.openxmlformats.org/officeDocument/2006/relationships/hyperlink" Target="https://www.siemens-home.bsh-group.com/tr/tr/product/3d-airfry-ankastre-firinlar/HB214FBW0T" TargetMode="External"/><Relationship Id="rId413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497" Type="http://schemas.openxmlformats.org/officeDocument/2006/relationships/hyperlink" Target="https://www.siemens-home.bsh-group.com/tr/tr/product/kahve-makineleri/tam-otomatik-kahve-makineleri/eq900/TQ905R03" TargetMode="External"/><Relationship Id="rId620" Type="http://schemas.openxmlformats.org/officeDocument/2006/relationships/hyperlink" Target="https://www.siemens-home.bsh-group.com/tr/tr/product/ankastre/ankastre-davlumbazlar/LC65KAJ00T" TargetMode="External"/><Relationship Id="rId357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54" Type="http://schemas.openxmlformats.org/officeDocument/2006/relationships/hyperlink" Target="https://lura.cepkask.com/basket/69" TargetMode="External"/><Relationship Id="rId217" Type="http://schemas.openxmlformats.org/officeDocument/2006/relationships/hyperlink" Target="https://www.siemens-home.bsh-group.com/tr/tr/product/pisirme-grubu/firinlar/ankastre-firinlar/HB237JES5T" TargetMode="External"/><Relationship Id="rId564" Type="http://schemas.openxmlformats.org/officeDocument/2006/relationships/hyperlink" Target="https://www.siemens-home.bsh-group.com/tr/tr/product/yikama-ve-utuleme-grubu/camasir-makineleri/solo-camasir-makineleri/WG64K2Z0TR" TargetMode="External"/><Relationship Id="rId424" Type="http://schemas.openxmlformats.org/officeDocument/2006/relationships/hyperlink" Target="https://www.siemens-home.bsh-group.com/tr/tr/product/bulasik-makineleri/siemens-finish-isbirligi-bulasik-makineleri/SN23II51KT" TargetMode="External"/><Relationship Id="rId631" Type="http://schemas.openxmlformats.org/officeDocument/2006/relationships/hyperlink" Target="https://www.siemens-home.bsh-group.com/tr/tr/product/ankastre/ankastre-firinlar/HB557JYW0T" TargetMode="External"/><Relationship Id="rId270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65" Type="http://schemas.openxmlformats.org/officeDocument/2006/relationships/hyperlink" Target="https://www.siemens-home.bsh-group.com/tr/tr/product/CI36Z490" TargetMode="External"/><Relationship Id="rId130" Type="http://schemas.openxmlformats.org/officeDocument/2006/relationships/hyperlink" Target="https://www.siemens-home.bsh-group.com/tr/tr/product/pisirme-grubu/ocaklar/gazli-ocaklar/EO7C2PP30O" TargetMode="External"/><Relationship Id="rId368" Type="http://schemas.openxmlformats.org/officeDocument/2006/relationships/hyperlink" Target="https://www.siemens-home.bsh-group.com/tr/tr/product/ankastre/ankastre-davlumbazlar/LC95FCJ60T" TargetMode="External"/><Relationship Id="rId575" Type="http://schemas.openxmlformats.org/officeDocument/2006/relationships/hyperlink" Target="https://www.siemens-home.bsh-group.com/tr/tr/product/yikama-ve-utuleme-grubu/kurutma-makineleri/isi-pompali-kurutma-makineleri/WQ41G20TTR" TargetMode="External"/><Relationship Id="rId228" Type="http://schemas.openxmlformats.org/officeDocument/2006/relationships/hyperlink" Target="https://www.siemens-home.bsh-group.com/tr/tr/product/pisirme-grubu/firinlar/ankastre-firinlar/HB557JYS5T" TargetMode="External"/><Relationship Id="rId435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642" Type="http://schemas.openxmlformats.org/officeDocument/2006/relationships/hyperlink" Target="https://www.siemens-home.bsh-group.com/tr/tr/product/prsiemensdryer/WT47XK8XTR" TargetMode="External"/><Relationship Id="rId281" Type="http://schemas.openxmlformats.org/officeDocument/2006/relationships/hyperlink" Target="https://www.siemens-home.bsh-group.com/tr/tr/product/prsiemensfridge/KD86NAIE0N" TargetMode="External"/><Relationship Id="rId502" Type="http://schemas.openxmlformats.org/officeDocument/2006/relationships/hyperlink" Target="https://www.siemens-home.bsh-group.com/tr/tr/product/kahve-makineleri/aksesuarlar/TZ80002A" TargetMode="External"/><Relationship Id="rId76" Type="http://schemas.openxmlformats.org/officeDocument/2006/relationships/hyperlink" Target="https://www.siemens-home.bsh-group.com/tr/tr/product/su-sebilleri/DW15701" TargetMode="External"/><Relationship Id="rId141" Type="http://schemas.openxmlformats.org/officeDocument/2006/relationships/hyperlink" Target="https://www.siemens-home.bsh-group.com/tr/tr/product/pisirme-grubu/ocaklar/gazli-ocaklar/EP6A6HB20" TargetMode="External"/><Relationship Id="rId379" Type="http://schemas.openxmlformats.org/officeDocument/2006/relationships/hyperlink" Target="https://www.siemens-home.bsh-group.com/tr/tr/product/LC98GA542" TargetMode="External"/><Relationship Id="rId586" Type="http://schemas.openxmlformats.org/officeDocument/2006/relationships/hyperlink" Target="https://www.siemens-home.bsh-group.com/tr/tr/product/yikama-ve-utuleme-grubu/kurutma-makineleri/isi-pompali-kurutma-makineleri/WQ45B2AXTR" TargetMode="External"/><Relationship Id="rId7" Type="http://schemas.openxmlformats.org/officeDocument/2006/relationships/hyperlink" Target="https://www.siemens-home.bsh-group.com/tr/tr/product/klimalar/AS12XVW32N" TargetMode="External"/><Relationship Id="rId239" Type="http://schemas.openxmlformats.org/officeDocument/2006/relationships/hyperlink" Target="https://www.siemens-home.bsh-group.com/tr/tr/product/ankastre/ankastre-firinlar/HB876G8B6" TargetMode="External"/><Relationship Id="rId446" Type="http://schemas.openxmlformats.org/officeDocument/2006/relationships/hyperlink" Target="https://www.siemens-home.bsh-group.com/tr/tr/product/ankastre/ankastre-bulasik-makineleri/SN515W01DT" TargetMode="External"/><Relationship Id="rId653" Type="http://schemas.openxmlformats.org/officeDocument/2006/relationships/hyperlink" Target="https://www.siemens-home.bsh-group.com/tr/tr/product/WG64B2A0TR" TargetMode="External"/><Relationship Id="rId292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306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87" Type="http://schemas.openxmlformats.org/officeDocument/2006/relationships/hyperlink" Target="https://www.siemens-home.bsh-group.com/tr/tr/product/pisirme-grubu/ocaklar/gazli-ocaklar/EC6A5HB90" TargetMode="External"/><Relationship Id="rId513" Type="http://schemas.openxmlformats.org/officeDocument/2006/relationships/hyperlink" Target="https://www.siemens-home.bsh-group.com/tr/tr/product/elektrikli-supurgeler/toz-torbali-torbasiz-elektrikli-supurgeler/VSP3AAAA" TargetMode="External"/><Relationship Id="rId597" Type="http://schemas.openxmlformats.org/officeDocument/2006/relationships/hyperlink" Target="https://www.siemens-home.bsh-group.com/tr/tr/product/EO6C6HB11O" TargetMode="External"/><Relationship Id="rId152" Type="http://schemas.openxmlformats.org/officeDocument/2006/relationships/hyperlink" Target="https://www.siemens-home.bsh-group.com/tr/tr/product/pisirme-grubu/ocaklar/gazli-ocaklar/EP9A6QB90" TargetMode="External"/><Relationship Id="rId457" Type="http://schemas.openxmlformats.org/officeDocument/2006/relationships/hyperlink" Target="https://www.siemens-home.bsh-group.com/tr/tr/product/SN63HX60MT" TargetMode="External"/><Relationship Id="rId664" Type="http://schemas.openxmlformats.org/officeDocument/2006/relationships/hyperlink" Target="https://www.siemens-home.bsh-group.com/tr/tr/product/buzdolaplari-ve-derin-dondurucular/solo-buzdolaplari-ve-derin-dondurucular/alttan-donduruculu-solo-buzdolaplari/KG56NCXD0N" TargetMode="External"/><Relationship Id="rId14" Type="http://schemas.openxmlformats.org/officeDocument/2006/relationships/hyperlink" Target="https://www.siemens-home.bsh-group.com/tr/tr/product/klimalar/AS18XVW32N" TargetMode="External"/><Relationship Id="rId317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524" Type="http://schemas.openxmlformats.org/officeDocument/2006/relationships/hyperlink" Target="https://www.siemens-home.bsh-group.com/tr/tr/product/VZ41AFP" TargetMode="External"/><Relationship Id="rId98" Type="http://schemas.openxmlformats.org/officeDocument/2006/relationships/hyperlink" Target="https://www.siemens-home.bsh-group.com/tr/tr/product/pisirme-grubu/ocaklar/gazli-ocaklar/EN6B2NP40O" TargetMode="External"/><Relationship Id="rId163" Type="http://schemas.openxmlformats.org/officeDocument/2006/relationships/hyperlink" Target="https://www.siemens-home.bsh-group.com/tr/tr/product/ankastre/ankastre-ocaklar/ET775FGP1E" TargetMode="External"/><Relationship Id="rId370" Type="http://schemas.openxmlformats.org/officeDocument/2006/relationships/hyperlink" Target="https://www.siemens-home.bsh-group.com/tr/tr/product/ankastre/ankastre-davlumbazlar/LC95KA270T" TargetMode="External"/><Relationship Id="rId230" Type="http://schemas.openxmlformats.org/officeDocument/2006/relationships/hyperlink" Target="https://www.siemens-home.bsh-group.com/tr/tr/product/3d-airfry-ankastre-firinlar/HB634GBS1" TargetMode="External"/><Relationship Id="rId468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25" Type="http://schemas.openxmlformats.org/officeDocument/2006/relationships/hyperlink" Target="https://www.siemens-home.bsh-group.com/tr/tr/product/pisirme-grubu/firinlar/kompakt-firinlar/BE555LMB2" TargetMode="External"/><Relationship Id="rId328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535" Type="http://schemas.openxmlformats.org/officeDocument/2006/relationships/hyperlink" Target="https://www.siemens-home.bsh-group.com/tr/tr/product/prsiemenswm/WG44A2X0TR" TargetMode="External"/><Relationship Id="rId174" Type="http://schemas.openxmlformats.org/officeDocument/2006/relationships/hyperlink" Target="https://www.siemens-home.bsh-group.com/tr/tr/product/ankastre/ankastre-ocaklar/EX875LX67E" TargetMode="External"/><Relationship Id="rId381" Type="http://schemas.openxmlformats.org/officeDocument/2006/relationships/hyperlink" Target="https://www.siemens-home.bsh-group.com/tr/tr/product/ankastre/ankastre-davlumbazlar/LC98KLR61S" TargetMode="External"/><Relationship Id="rId602" Type="http://schemas.openxmlformats.org/officeDocument/2006/relationships/hyperlink" Target="https://www.siemens-home.bsh-group.com/tr/tr/product/prsiemenswm/WG44A2XSTR" TargetMode="External"/><Relationship Id="rId241" Type="http://schemas.openxmlformats.org/officeDocument/2006/relationships/hyperlink" Target="https://www.siemens-home.bsh-group.com/tr/tr/product/3d-airfry-ankastre-firinlar/HI133FES0T" TargetMode="External"/><Relationship Id="rId479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36" Type="http://schemas.openxmlformats.org/officeDocument/2006/relationships/hyperlink" Target="https://www.siemens-home.bsh-group.com/tr/tr/product/pisirme-grubu/firinlar/kompakt-firinlar/BF922L1B1" TargetMode="External"/><Relationship Id="rId339" Type="http://schemas.openxmlformats.org/officeDocument/2006/relationships/hyperlink" Target="https://www.siemens-home.bsh-group.com/tr/tr/product/ankastre/ankastre-davlumbazlar/LC65BBC50T" TargetMode="External"/><Relationship Id="rId546" Type="http://schemas.openxmlformats.org/officeDocument/2006/relationships/hyperlink" Target="https://www.siemens-home.bsh-group.com/tr/tr/product/prsiemenswm/WG52A2A0TR" TargetMode="External"/><Relationship Id="rId101" Type="http://schemas.openxmlformats.org/officeDocument/2006/relationships/hyperlink" Target="https://www.siemens-home.bsh-group.com/tr/tr/product/pisirme-grubu/ocaklar/gazli-ocaklar/EN6B8NP40O" TargetMode="External"/><Relationship Id="rId185" Type="http://schemas.openxmlformats.org/officeDocument/2006/relationships/hyperlink" Target="https://www.siemens-home.bsh-group.com/tr/tr/product/buzdolaplari-ve-derin-dondurucular/aksesuarlar/FI24Z090" TargetMode="External"/><Relationship Id="rId406" Type="http://schemas.openxmlformats.org/officeDocument/2006/relationships/hyperlink" Target="https://shaza.com.tr/shaza-akim-korumali-akilli-priz" TargetMode="External"/><Relationship Id="rId392" Type="http://schemas.openxmlformats.org/officeDocument/2006/relationships/hyperlink" Target="https://www.siemens-home.bsh-group.com/tr/tr/product/MQ955PE" TargetMode="External"/><Relationship Id="rId613" Type="http://schemas.openxmlformats.org/officeDocument/2006/relationships/hyperlink" Target="https://www.siemens-home.bsh-group.com/tr/tr/product/ankastre/ankastre-buzdolaplari-ve-sogutucular/KI82LADE0" TargetMode="External"/><Relationship Id="rId252" Type="http://schemas.openxmlformats.org/officeDocument/2006/relationships/hyperlink" Target="https://www.siemens-home.bsh-group.com/tr/tr/product/ankastre/ankastre-firinlar/HR538ABS1" TargetMode="External"/><Relationship Id="rId47" Type="http://schemas.openxmlformats.org/officeDocument/2006/relationships/hyperlink" Target="https://lura.cepkask.com/basket/61" TargetMode="External"/><Relationship Id="rId112" Type="http://schemas.openxmlformats.org/officeDocument/2006/relationships/hyperlink" Target="https://www.siemens-home.bsh-group.com/tr/tr/product/pisirme-grubu/ocaklar/gazli-ocaklar/EN7B6QP30O" TargetMode="External"/><Relationship Id="rId557" Type="http://schemas.openxmlformats.org/officeDocument/2006/relationships/hyperlink" Target="https://www.siemens-home.bsh-group.com/tr/tr/product/yikama-ve-utuleme-grubu/camasir-makineleri/iq700-camasir-makineleri/WG54B2A0TR" TargetMode="External"/><Relationship Id="rId196" Type="http://schemas.openxmlformats.org/officeDocument/2006/relationships/hyperlink" Target="https://www.siemens-home.bsh-group.com/tr/tr/product/ldaset2ref/GS54NVWE0N" TargetMode="External"/><Relationship Id="rId417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624" Type="http://schemas.openxmlformats.org/officeDocument/2006/relationships/hyperlink" Target="https://www.siemens-home.bsh-group.com/tr/tr/product/SN515B00DT" TargetMode="External"/><Relationship Id="rId263" Type="http://schemas.openxmlformats.org/officeDocument/2006/relationships/hyperlink" Target="https://www.siemens-home.bsh-group.com/tr/tr/product/pisirme-grubu/aksesuarlar/HZ429000" TargetMode="External"/><Relationship Id="rId470" Type="http://schemas.openxmlformats.org/officeDocument/2006/relationships/hyperlink" Target="https://www.siemens-home.bsh-group.com/tr/tr/product/SX95EX22CE" TargetMode="External"/><Relationship Id="rId58" Type="http://schemas.openxmlformats.org/officeDocument/2006/relationships/hyperlink" Target="https://www.siemens-home.bsh-group.com/tr/tr/product/CI10Z591" TargetMode="External"/><Relationship Id="rId123" Type="http://schemas.openxmlformats.org/officeDocument/2006/relationships/hyperlink" Target="https://www.siemens-home.bsh-group.com/tr/tr/product/EO6C8PO92O" TargetMode="External"/><Relationship Id="rId330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568" Type="http://schemas.openxmlformats.org/officeDocument/2006/relationships/hyperlink" Target="https://www.siemens-home.bsh-group.com/tr/tr/product/ldaset2wm/WM14UP91TR" TargetMode="External"/><Relationship Id="rId428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635" Type="http://schemas.openxmlformats.org/officeDocument/2006/relationships/hyperlink" Target="https://www.siemens-home.bsh-group.com/tr/tr/product/pisirme-grubu/davlumbazlar-ve-aspiratorler/entegre-ankastre-davlumbazlar/integrated-design-hood/LJ85BCC60" TargetMode="External"/><Relationship Id="rId274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481" Type="http://schemas.openxmlformats.org/officeDocument/2006/relationships/hyperlink" Target="https://www.siemens-home.bsh-group.com/tr/tr/product/TI353204RW" TargetMode="External"/><Relationship Id="rId27" Type="http://schemas.openxmlformats.org/officeDocument/2006/relationships/hyperlink" Target="https://www.siemens-home.bsh-group.com/tr/tr/product/pisirme-grubu/firinlar/kompakt-firinlar/BE732L1B1" TargetMode="External"/><Relationship Id="rId69" Type="http://schemas.openxmlformats.org/officeDocument/2006/relationships/hyperlink" Target="https://www.siemens-home.bsh-group.com/tr/tr/product/pisirme-grubu/firinlar/kompakt-firinlar/CM978GNB1" TargetMode="External"/><Relationship Id="rId134" Type="http://schemas.openxmlformats.org/officeDocument/2006/relationships/hyperlink" Target="https://www.siemens-home.bsh-group.com/tr/tr/product/pisirme-grubu/ocaklar/gazli-ocaklar/EO7C6PP30O" TargetMode="External"/><Relationship Id="rId537" Type="http://schemas.openxmlformats.org/officeDocument/2006/relationships/hyperlink" Target="https://www.siemens-home.bsh-group.com/tr/tr/product/prsiemenswm/WG44A2Z0TR" TargetMode="External"/><Relationship Id="rId579" Type="http://schemas.openxmlformats.org/officeDocument/2006/relationships/hyperlink" Target="https://www.siemens-home.bsh-group.com/tr/tr/product/ldaset2wm/WQ42G20RTR" TargetMode="External"/><Relationship Id="rId80" Type="http://schemas.openxmlformats.org/officeDocument/2006/relationships/hyperlink" Target="https://www.siemens-home.bsh-group.com/tr/tr/product/EB0C2PB82O" TargetMode="External"/><Relationship Id="rId176" Type="http://schemas.openxmlformats.org/officeDocument/2006/relationships/hyperlink" Target="https://www.siemens-home.bsh-group.com/tr/tr/product/pisirme-grubu/ocaklar/induksiyonlu-ocaklar/EX907NXV6E" TargetMode="External"/><Relationship Id="rId341" Type="http://schemas.openxmlformats.org/officeDocument/2006/relationships/hyperlink" Target="https://www.siemens-home.bsh-group.com/tr/tr/product/ankastre/ankastre-davlumbazlar/LC65FCJ20T" TargetMode="External"/><Relationship Id="rId383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439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590" Type="http://schemas.openxmlformats.org/officeDocument/2006/relationships/hyperlink" Target="https://www.siemens-home.bsh-group.com/tr/tr/product/yikama-ve-utuleme-grubu/kurutma-makineleri/isi-pompali-kurutma-makineleri/WQ52K200TR" TargetMode="External"/><Relationship Id="rId604" Type="http://schemas.openxmlformats.org/officeDocument/2006/relationships/hyperlink" Target="https://www.siemens-home.bsh-group.com/tr/tr/product/prsiemensdryer/WT45W420TR" TargetMode="External"/><Relationship Id="rId646" Type="http://schemas.openxmlformats.org/officeDocument/2006/relationships/hyperlink" Target="https://www.siemens-home.bsh-group.com/tr/tr/product/KG56NAWF0N" TargetMode="External"/><Relationship Id="rId201" Type="http://schemas.openxmlformats.org/officeDocument/2006/relationships/hyperlink" Target="https://www.siemens-home.bsh-group.com/tr/tr/product/ankastre/ankastre-firinlar/HB013FBS1T" TargetMode="External"/><Relationship Id="rId243" Type="http://schemas.openxmlformats.org/officeDocument/2006/relationships/hyperlink" Target="https://www.siemens-home.bsh-group.com/tr/tr/product/3d-airfry-ankastre-firinlar/HI133FEW0T" TargetMode="External"/><Relationship Id="rId285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450" Type="http://schemas.openxmlformats.org/officeDocument/2006/relationships/hyperlink" Target="https://www.siemens-home.bsh-group.com/tr/tr/product/SN55ES80KT" TargetMode="External"/><Relationship Id="rId506" Type="http://schemas.openxmlformats.org/officeDocument/2006/relationships/hyperlink" Target="https://www.siemens-home.bsh-group.com/tr/tr/product/elektrikli-supurgeler/toz-torbali-torbasiz-elektrikli-supurgeler/VSC3A330" TargetMode="External"/><Relationship Id="rId38" Type="http://schemas.openxmlformats.org/officeDocument/2006/relationships/hyperlink" Target="https://www.siemens-home.bsh-group.com/tr/tr/product/BI630CNW1" TargetMode="External"/><Relationship Id="rId103" Type="http://schemas.openxmlformats.org/officeDocument/2006/relationships/hyperlink" Target="https://www.siemens-home.bsh-group.com/tr/tr/product/ankastre/ankastre-ocaklar/EN6C2PO12O" TargetMode="External"/><Relationship Id="rId310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492" Type="http://schemas.openxmlformats.org/officeDocument/2006/relationships/hyperlink" Target="https://www.siemens-home.bsh-group.com/tr/tr/product/kahve-makineleri/tam-otomatik-kahve-makineleri/eq700/TP713R19" TargetMode="External"/><Relationship Id="rId548" Type="http://schemas.openxmlformats.org/officeDocument/2006/relationships/hyperlink" Target="https://www.siemens-home.bsh-group.com/tr/tr/product/evlilik-kampanyasi-camasir-makineleri/WG52A2XVTR" TargetMode="External"/><Relationship Id="rId91" Type="http://schemas.openxmlformats.org/officeDocument/2006/relationships/hyperlink" Target="https://www.siemens-home.bsh-group.com/tr/tr/product/ankastre/ankastre-ocaklar/EC9A5TB90" TargetMode="External"/><Relationship Id="rId145" Type="http://schemas.openxmlformats.org/officeDocument/2006/relationships/hyperlink" Target="https://www.siemens-home.bsh-group.com/tr/tr/product/ankastre/ankastre-ocaklar/EP6A8HB20" TargetMode="External"/><Relationship Id="rId187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352" Type="http://schemas.openxmlformats.org/officeDocument/2006/relationships/hyperlink" Target="https://www.siemens-home.bsh-group.com/tr/tr/product/ankastre/ankastre-davlumbazlar/LC67BBK70T" TargetMode="External"/><Relationship Id="rId394" Type="http://schemas.openxmlformats.org/officeDocument/2006/relationships/hyperlink" Target="https://www.siemens-home.bsh-group.com/tr/tr/product/MQ96580" TargetMode="External"/><Relationship Id="rId408" Type="http://schemas.openxmlformats.org/officeDocument/2006/relationships/hyperlink" Target="https://www.siemens-home.bsh-group.com/tr/tr/product/SE23IW60MT" TargetMode="External"/><Relationship Id="rId615" Type="http://schemas.openxmlformats.org/officeDocument/2006/relationships/hyperlink" Target="https://www.siemens-home.bsh-group.com/tr/tr/product/DG50016TR" TargetMode="External"/><Relationship Id="rId212" Type="http://schemas.openxmlformats.org/officeDocument/2006/relationships/hyperlink" Target="https://www.siemens-home.bsh-group.com/tr/tr/product/ankastre/ankastre-firinlar/HB234FEW3T" TargetMode="External"/><Relationship Id="rId254" Type="http://schemas.openxmlformats.org/officeDocument/2006/relationships/hyperlink" Target="https://www.siemens-home.bsh-group.com/tr/tr/product/3d-airfry-ankastre-firinlar/HS636GDS2" TargetMode="External"/><Relationship Id="rId657" Type="http://schemas.openxmlformats.org/officeDocument/2006/relationships/hyperlink" Target="https://www.siemens-home.bsh-group.com/tr/tr/product/buzdolaplari-ve-derin-dondurucular/ankastre-buzdolaplari-ve-derin-dondurucular/alttan-donduruculu-ankastre-buzdolaplari/KB96NADD1" TargetMode="External"/><Relationship Id="rId49" Type="http://schemas.openxmlformats.org/officeDocument/2006/relationships/hyperlink" Target="https://lura.cepkask.com/basket/63" TargetMode="External"/><Relationship Id="rId114" Type="http://schemas.openxmlformats.org/officeDocument/2006/relationships/hyperlink" Target="https://www.siemens-home.bsh-group.com/tr/tr/product/pisirme-grubu/ocaklar/gazli-ocaklar/EN7B8QP30O" TargetMode="External"/><Relationship Id="rId296" Type="http://schemas.openxmlformats.org/officeDocument/2006/relationships/hyperlink" Target="https://www.siemens-home.bsh-group.com/tr/tr/product/prsiemensfridge/KG56NTWE0N" TargetMode="External"/><Relationship Id="rId461" Type="http://schemas.openxmlformats.org/officeDocument/2006/relationships/hyperlink" Target="https://www.siemens-home.bsh-group.com/tr/tr/productservice/SN75EX23CE-66" TargetMode="External"/><Relationship Id="rId517" Type="http://schemas.openxmlformats.org/officeDocument/2006/relationships/hyperlink" Target="https://www.siemens-home.bsh-group.com/tr/tr/product/supurgeler/VSX41A322" TargetMode="External"/><Relationship Id="rId559" Type="http://schemas.openxmlformats.org/officeDocument/2006/relationships/hyperlink" Target="https://www.siemens-home.bsh-group.com/tr/tr/product/yikama-ve-utuleme-grubu/camasir-makineleri/solo-camasir-makineleri/WG54B2ASTR" TargetMode="External"/><Relationship Id="rId60" Type="http://schemas.openxmlformats.org/officeDocument/2006/relationships/hyperlink" Target="https://www.siemens-home.bsh-group.com/tr/tr/product/ankastre/ankastre-buzdolaplari-ve-sogutucular/CI24WP03" TargetMode="External"/><Relationship Id="rId156" Type="http://schemas.openxmlformats.org/officeDocument/2006/relationships/hyperlink" Target="https://www.siemens-home.bsh-group.com/tr/tr/product/ER6A6PD70" TargetMode="External"/><Relationship Id="rId198" Type="http://schemas.openxmlformats.org/officeDocument/2006/relationships/hyperlink" Target="https://www.siemens-home.bsh-group.com/tr/tr/product/pisirme-grubu/firinlar/ankastre-firinlar/HB012FBB1T" TargetMode="External"/><Relationship Id="rId321" Type="http://schemas.openxmlformats.org/officeDocument/2006/relationships/hyperlink" Target="https://www.siemens-home.bsh-group.com/tr/tr/product/ankastre/ankastre-buzdolaplari-ve-sogutucular/KI87SAFE0N" TargetMode="External"/><Relationship Id="rId363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419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570" Type="http://schemas.openxmlformats.org/officeDocument/2006/relationships/hyperlink" Target="https://www.siemens-home.bsh-group.com/tr/tr/product/prsiemenswm/WM14XE50TR" TargetMode="External"/><Relationship Id="rId626" Type="http://schemas.openxmlformats.org/officeDocument/2006/relationships/hyperlink" Target="https://www.siemens-home.bsh-group.com/tr/tr/product/prsiemensdw/SN25HI80MT" TargetMode="External"/><Relationship Id="rId223" Type="http://schemas.openxmlformats.org/officeDocument/2006/relationships/hyperlink" Target="https://www.siemens-home.bsh-group.com/tr/tr/product/pisirme-grubu/firinlar/ankastre-firinlar/HB534FER3T" TargetMode="External"/><Relationship Id="rId430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668" Type="http://schemas.openxmlformats.org/officeDocument/2006/relationships/printerSettings" Target="../printerSettings/printerSettings2.bin"/><Relationship Id="rId18" Type="http://schemas.openxmlformats.org/officeDocument/2006/relationships/hyperlink" Target="https://www.siemens-home.bsh-group.com/tr/tr/product/klimalar/AS24XVW32N" TargetMode="External"/><Relationship Id="rId265" Type="http://schemas.openxmlformats.org/officeDocument/2006/relationships/hyperlink" Target="https://www.siemens-home.bsh-group.com/tr/tr/product/KA93NVL30N" TargetMode="External"/><Relationship Id="rId472" Type="http://schemas.openxmlformats.org/officeDocument/2006/relationships/hyperlink" Target="https://www.siemens-home.bsh-group.com/tr/tr/productservice/SZ36RB04(00)" TargetMode="External"/><Relationship Id="rId528" Type="http://schemas.openxmlformats.org/officeDocument/2006/relationships/hyperlink" Target="https://www.siemens-home.bsh-group.com/tr/tr/product/yikama-ve-utuleme-grubu/camasir-makineleri/solo-camasir-makineleri/WG42A1X2TR" TargetMode="External"/><Relationship Id="rId125" Type="http://schemas.openxmlformats.org/officeDocument/2006/relationships/hyperlink" Target="https://www.siemens-home.bsh-group.com/tr/tr/product/pisirme-grubu/ocaklar/gazli-ocaklar/EO6C9PO00O" TargetMode="External"/><Relationship Id="rId167" Type="http://schemas.openxmlformats.org/officeDocument/2006/relationships/hyperlink" Target="https://www.siemens-home.bsh-group.com/tr/tr/product/ankastre/ankastre-ocaklar/EU611AGA5E" TargetMode="External"/><Relationship Id="rId332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374" Type="http://schemas.openxmlformats.org/officeDocument/2006/relationships/hyperlink" Target="https://www.siemens-home.bsh-group.com/tr/tr/product/LC97FVP60" TargetMode="External"/><Relationship Id="rId581" Type="http://schemas.openxmlformats.org/officeDocument/2006/relationships/hyperlink" Target="https://www.siemens-home.bsh-group.com/tr/tr/product/yikama-ve-utuleme-grubu/kurutma-makineleri/isi-pompali-kurutma-makineleri/WQ42J20XTR" TargetMode="External"/><Relationship Id="rId71" Type="http://schemas.openxmlformats.org/officeDocument/2006/relationships/hyperlink" Target="https://www.siemens-home.bsh-group.com/tr/tr/product/CT636LES6" TargetMode="External"/><Relationship Id="rId234" Type="http://schemas.openxmlformats.org/officeDocument/2006/relationships/hyperlink" Target="https://www.siemens-home.bsh-group.com/tr/tr/product/ankastre/ankastre-firinlar/HB676G5S6" TargetMode="External"/><Relationship Id="rId637" Type="http://schemas.openxmlformats.org/officeDocument/2006/relationships/hyperlink" Target="https://www.siemens-home.bsh-group.com/tr/tr/product/pisirme-grubu/ocaklar/induksiyonlu-ocaklar/EX877NVV6E" TargetMode="External"/><Relationship Id="rId2" Type="http://schemas.openxmlformats.org/officeDocument/2006/relationships/hyperlink" Target="https://www.philips.com.tr/c-p/50PUS8009_62/led-50pus8009-4k-ambilight-tv" TargetMode="External"/><Relationship Id="rId29" Type="http://schemas.openxmlformats.org/officeDocument/2006/relationships/hyperlink" Target="https://www.siemens-home.bsh-group.com/tr/tr/product/BF520LMR0" TargetMode="External"/><Relationship Id="rId276" Type="http://schemas.openxmlformats.org/officeDocument/2006/relationships/hyperlink" Target="https://www.siemens-home.bsh-group.com/tr/tr/product/prsiemensfridge/KD76NHID1N" TargetMode="External"/><Relationship Id="rId441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83" Type="http://schemas.openxmlformats.org/officeDocument/2006/relationships/hyperlink" Target="https://www.siemens-home.bsh-group.com/tr/tr/product/TI9553X9RW" TargetMode="External"/><Relationship Id="rId539" Type="http://schemas.openxmlformats.org/officeDocument/2006/relationships/hyperlink" Target="https://www.siemens-home.bsh-group.com/tr/tr/product/yikama-ve-utuleme-grubu/camasir-makineleri/solo-camasir-makineleri/WG44A2ZRTR" TargetMode="External"/><Relationship Id="rId40" Type="http://schemas.openxmlformats.org/officeDocument/2006/relationships/hyperlink" Target="https://www.siemens-home.bsh-group.com/tr/tr/product/pisirme-grubu/sicak-tutma-cekmecesi/isitma-cekmeceleri/BI910C1B1" TargetMode="External"/><Relationship Id="rId136" Type="http://schemas.openxmlformats.org/officeDocument/2006/relationships/hyperlink" Target="https://www.siemens-home.bsh-group.com/tr/tr/product/ankastre/ankastre-ocaklar/EO7C8PO12O" TargetMode="External"/><Relationship Id="rId178" Type="http://schemas.openxmlformats.org/officeDocument/2006/relationships/hyperlink" Target="https://www.siemens-home.bsh-group.com/tr/tr/product/pisirme-grubu/ocaklar/induksiyonlu-ocaklar/EX975LXC1E" TargetMode="External"/><Relationship Id="rId301" Type="http://schemas.openxmlformats.org/officeDocument/2006/relationships/hyperlink" Target="https://www.siemens-home.bsh-group.com/tr/tr/product/buzdolaplari-ve-derin-dondurucular/solo-buzdolaplari-ve-derin-dondurucular/alttan-donduruculu-solo-buzdolaplari/KG56NVWD0N" TargetMode="External"/><Relationship Id="rId343" Type="http://schemas.openxmlformats.org/officeDocument/2006/relationships/hyperlink" Target="https://www.siemens-home.bsh-group.com/tr/tr/product/ankastre/ankastre-davlumbazlar/LC65KA670T" TargetMode="External"/><Relationship Id="rId550" Type="http://schemas.openxmlformats.org/officeDocument/2006/relationships/hyperlink" Target="https://www.siemens-home.bsh-group.com/tr/tr/product/yikama-ve-utuleme-grubu/camasir-makineleri/solo-camasir-makineleri/WG52A2ZXTR" TargetMode="External"/><Relationship Id="rId82" Type="http://schemas.openxmlformats.org/officeDocument/2006/relationships/hyperlink" Target="https://www.siemens-home.bsh-group.com/tr/tr/product/pisirme-grubu/ocaklar/gazli-ocaklar/EB0C2PK80O" TargetMode="External"/><Relationship Id="rId203" Type="http://schemas.openxmlformats.org/officeDocument/2006/relationships/hyperlink" Target="https://www.siemens-home.bsh-group.com/tr/tr/product/ankastre/ankastre-firinlar/HB134FES1T" TargetMode="External"/><Relationship Id="rId385" Type="http://schemas.openxmlformats.org/officeDocument/2006/relationships/hyperlink" Target="https://www.siemens-home.bsh-group.com/tr/tr/product/ankastre/ankastre-davlumbazlar/LI63TCA11T" TargetMode="External"/><Relationship Id="rId592" Type="http://schemas.openxmlformats.org/officeDocument/2006/relationships/hyperlink" Target="https://www.siemens-home.bsh-group.com/tr/tr/product/yikama-ve-utuleme-grubu/kurutma-makineleri/isi-pompali-kurutma-makineleri/WT00H201TR" TargetMode="External"/><Relationship Id="rId606" Type="http://schemas.openxmlformats.org/officeDocument/2006/relationships/hyperlink" Target="https://www.siemens-home.bsh-group.com/tr/tr/product/pisirme-grubu/buharli-firinlar/buharli-firinlar/HS736G1B2" TargetMode="External"/><Relationship Id="rId648" Type="http://schemas.openxmlformats.org/officeDocument/2006/relationships/hyperlink" Target="https://www.siemens-home.bsh-group.com/tr/tr/product/evlilik-kampanyasi-camasir-makineleri/WG42A1XSTR" TargetMode="External"/><Relationship Id="rId245" Type="http://schemas.openxmlformats.org/officeDocument/2006/relationships/hyperlink" Target="https://www.siemens-home.bsh-group.com/tr/tr/product/ankastre/ankastre-firinlar/HI133FEW3T" TargetMode="External"/><Relationship Id="rId287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410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452" Type="http://schemas.openxmlformats.org/officeDocument/2006/relationships/hyperlink" Target="https://www.siemens-home.bsh-group.com/tr/tr/product/SN57ZS80DT" TargetMode="External"/><Relationship Id="rId494" Type="http://schemas.openxmlformats.org/officeDocument/2006/relationships/hyperlink" Target="https://www.siemens-home.bsh-group.com/tr/tr/product/TQ507R02" TargetMode="External"/><Relationship Id="rId508" Type="http://schemas.openxmlformats.org/officeDocument/2006/relationships/hyperlink" Target="https://www.siemens-home.bsh-group.com/tr/tr/product/elektrikli-supurgeler/toz-torbali-torbasiz-elektrikli-supurgeler/VSC7SIL1" TargetMode="External"/><Relationship Id="rId105" Type="http://schemas.openxmlformats.org/officeDocument/2006/relationships/hyperlink" Target="https://www.siemens-home.bsh-group.com/tr/tr/product/ankastre/ankastre-ocaklar/EN6C8PO12O" TargetMode="External"/><Relationship Id="rId147" Type="http://schemas.openxmlformats.org/officeDocument/2006/relationships/hyperlink" Target="https://www.siemens-home.bsh-group.com/tr/tr/product/ankastre/ankastre-ocaklar/EP7A2QB20" TargetMode="External"/><Relationship Id="rId312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354" Type="http://schemas.openxmlformats.org/officeDocument/2006/relationships/hyperlink" Target="https://www.siemens-home.bsh-group.com/tr/tr/product/ankastre/ankastre-davlumbazlar/LC67FCK60T" TargetMode="External"/><Relationship Id="rId51" Type="http://schemas.openxmlformats.org/officeDocument/2006/relationships/hyperlink" Target="https://lura.cepkask.com/basket/66" TargetMode="External"/><Relationship Id="rId93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189" Type="http://schemas.openxmlformats.org/officeDocument/2006/relationships/hyperlink" Target="https://www.siemens-home.bsh-group.com/tr/tr/product/ldaset2ref/GS29NVWE0N" TargetMode="External"/><Relationship Id="rId396" Type="http://schemas.openxmlformats.org/officeDocument/2006/relationships/hyperlink" Target="https://www.philips.com.tr/c-p/65PUS8609_62/led-65pus8609-4k-ambilight-tv" TargetMode="External"/><Relationship Id="rId561" Type="http://schemas.openxmlformats.org/officeDocument/2006/relationships/hyperlink" Target="https://www.siemens-home.bsh-group.com/tr/tr/product/yikama-ve-utuleme-grubu/camasir-makineleri/solo-camasir-makineleri/WG54K2Y0TR" TargetMode="External"/><Relationship Id="rId617" Type="http://schemas.openxmlformats.org/officeDocument/2006/relationships/hyperlink" Target="https://www.siemens-home.bsh-group.com/tr/tr/product/ankastre/ankastre-davlumbazlar/LC65KAJ20T" TargetMode="External"/><Relationship Id="rId659" Type="http://schemas.openxmlformats.org/officeDocument/2006/relationships/hyperlink" Target="https://www.siemens-home.bsh-group.com/tr/tr/product/pisirme-grubu/ocaklar/domino-ocaklar/ER3A6AI10" TargetMode="External"/><Relationship Id="rId214" Type="http://schemas.openxmlformats.org/officeDocument/2006/relationships/hyperlink" Target="http://siemens-home.bsh-group.com/tr/tr/product/ankastre/ankastre-firinlar/HB237FEG0T" TargetMode="External"/><Relationship Id="rId256" Type="http://schemas.openxmlformats.org/officeDocument/2006/relationships/hyperlink" Target="https://www.siemens-home.bsh-group.com/tr/tr/product/pisirme-grubu/buharli-firinlar/buharli-firinlar/HU717ABA0T" TargetMode="External"/><Relationship Id="rId298" Type="http://schemas.openxmlformats.org/officeDocument/2006/relationships/hyperlink" Target="https://www.siemens-home.bsh-group.com/tr/tr/product/buzdolaplari-ve-derin-dondurucular/solo-buzdolaplari-ve-derin-dondurucular/alttan-donduruculu-solo-buzdolaplari/KG56NNWD0N" TargetMode="External"/><Relationship Id="rId421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463" Type="http://schemas.openxmlformats.org/officeDocument/2006/relationships/hyperlink" Target="https://www.siemens-home.bsh-group.com/tr/tr/product/ankastre/ankastre-bulasik-makineleri/SN85E800BE" TargetMode="External"/><Relationship Id="rId519" Type="http://schemas.openxmlformats.org/officeDocument/2006/relationships/hyperlink" Target="https://www.siemens-home.bsh-group.com/tr/tr/product/VSX4A212" TargetMode="External"/><Relationship Id="rId116" Type="http://schemas.openxmlformats.org/officeDocument/2006/relationships/hyperlink" Target="https://www.siemens-home.bsh-group.com/tr/tr/product/EO6C2PO92O" TargetMode="External"/><Relationship Id="rId158" Type="http://schemas.openxmlformats.org/officeDocument/2006/relationships/hyperlink" Target="https://www.siemens-home.bsh-group.com/tr/tr/product/pisirme-grubu/ocaklar/gazli-ocaklar/ER9A6SH40" TargetMode="External"/><Relationship Id="rId323" Type="http://schemas.openxmlformats.org/officeDocument/2006/relationships/hyperlink" Target="https://www.siemens-home.bsh-group.com/tr/tr/product/ankastre/ankastre-buzdolaplari-ve-sogutucular/KU21WAHG0" TargetMode="External"/><Relationship Id="rId530" Type="http://schemas.openxmlformats.org/officeDocument/2006/relationships/hyperlink" Target="https://www.siemens-home.bsh-group.com/tr/tr/product/yikama-ve-utuleme-grubu/camasir-makineleri/solo-camasir-makineleri/WG42A2X3TR" TargetMode="External"/><Relationship Id="rId20" Type="http://schemas.openxmlformats.org/officeDocument/2006/relationships/hyperlink" Target="https://www.siemens-home.bsh-group.com/tr/tr/product/pisirme-grubu/firinlar/kompakt-firinlar/BE525LMB2" TargetMode="External"/><Relationship Id="rId62" Type="http://schemas.openxmlformats.org/officeDocument/2006/relationships/hyperlink" Target="https://www.siemens-home.bsh-group.com/tr/tr/product/ankastre/ankastre-buzdolaplari-ve-sogutucular/CI30RP02" TargetMode="External"/><Relationship Id="rId365" Type="http://schemas.openxmlformats.org/officeDocument/2006/relationships/hyperlink" Target="https://www.siemens-home.bsh-group.com/tr/tr/product/ankastre/ankastre-davlumbazlar/LC95BBC50T" TargetMode="External"/><Relationship Id="rId572" Type="http://schemas.openxmlformats.org/officeDocument/2006/relationships/hyperlink" Target="https://www.siemens-home.bsh-group.com/tr/tr/product/WN54A2X1TR" TargetMode="External"/><Relationship Id="rId628" Type="http://schemas.openxmlformats.org/officeDocument/2006/relationships/hyperlink" Target="https://www.siemens-home.bsh-group.com/tr/tr/product/pisirme-grubu/firinlar/kompakt-firinlar/CM724G1B1" TargetMode="External"/><Relationship Id="rId225" Type="http://schemas.openxmlformats.org/officeDocument/2006/relationships/hyperlink" Target="https://www.siemens-home.bsh-group.com/tr/tr/product/ankastre/ankastre-firinlar/HB557JYH0T" TargetMode="External"/><Relationship Id="rId267" Type="http://schemas.openxmlformats.org/officeDocument/2006/relationships/hyperlink" Target="https://www.siemens-home.bsh-group.com/tr/tr/product/ankastre/ankastre-buzdolaplari-ve-sogutucular/CI36TP02" TargetMode="External"/><Relationship Id="rId432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474" Type="http://schemas.openxmlformats.org/officeDocument/2006/relationships/hyperlink" Target="https://www.siemens-home.bsh-group.com/tr/tr/product/TC86505" TargetMode="External"/><Relationship Id="rId127" Type="http://schemas.openxmlformats.org/officeDocument/2006/relationships/hyperlink" Target="https://www.siemens-home.bsh-group.com/tr/tr/product/EO7C2PO10O" TargetMode="External"/><Relationship Id="rId31" Type="http://schemas.openxmlformats.org/officeDocument/2006/relationships/hyperlink" Target="https://www.siemens-home.bsh-group.com/tr/tr/product/BF525LMW0" TargetMode="External"/><Relationship Id="rId73" Type="http://schemas.openxmlformats.org/officeDocument/2006/relationships/hyperlink" Target="https://www.siemens-home.bsh-group.com/tr/tr/product/kahve-makineleri/ankastre-tam-otomatik-kahve-makineleri/CT918L1B0" TargetMode="External"/><Relationship Id="rId169" Type="http://schemas.openxmlformats.org/officeDocument/2006/relationships/hyperlink" Target="https://www.siemens-home.bsh-group.com/tr/tr/product/ankastre/ankastre-ocaklar/EX675FXC1E" TargetMode="External"/><Relationship Id="rId334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376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541" Type="http://schemas.openxmlformats.org/officeDocument/2006/relationships/hyperlink" Target="https://www.siemens-home.bsh-group.com/tr/tr/product/prsiemenswm/WG44B200TR" TargetMode="External"/><Relationship Id="rId583" Type="http://schemas.openxmlformats.org/officeDocument/2006/relationships/hyperlink" Target="https://www.siemens-home.bsh-group.com/tr/tr/product/yikama-ve-utuleme-grubu/kurutma-makineleri/isi-pompali-kurutma-makineleri/WQ44G2C1TR" TargetMode="External"/><Relationship Id="rId639" Type="http://schemas.openxmlformats.org/officeDocument/2006/relationships/hyperlink" Target="https://www.siemens-home.bsh-group.com/tr/tr/product/ankastre/ankastre-ocaklar/EN7B9QO12O" TargetMode="External"/><Relationship Id="rId4" Type="http://schemas.openxmlformats.org/officeDocument/2006/relationships/hyperlink" Target="https://www.siemens-home.bsh-group.com/tr/tr/product/klimalar/AS09XVW32N" TargetMode="External"/><Relationship Id="rId180" Type="http://schemas.openxmlformats.org/officeDocument/2006/relationships/hyperlink" Target="https://www.siemens-home.bsh-group.com/tr/tr/product/FF020LMB2" TargetMode="External"/><Relationship Id="rId236" Type="http://schemas.openxmlformats.org/officeDocument/2006/relationships/hyperlink" Target="https://www.siemens-home.bsh-group.com/tr/tr/product/ankastre/ankastre-firinlar/HB734G1W1" TargetMode="External"/><Relationship Id="rId278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401" Type="http://schemas.openxmlformats.org/officeDocument/2006/relationships/hyperlink" Target="https://www.philips.com.tr/c-p/55PUS8548_62/the-one-4k-ambilight-tv" TargetMode="External"/><Relationship Id="rId443" Type="http://schemas.openxmlformats.org/officeDocument/2006/relationships/hyperlink" Target="https://www.siemens-home.bsh-group.com/tr/tr/product/ankastre/ankastre-bulasik-makineleri/SN515B01DT" TargetMode="External"/><Relationship Id="rId650" Type="http://schemas.openxmlformats.org/officeDocument/2006/relationships/hyperlink" Target="https://www.siemens-home.bsh-group.com/tr/tr/product/bulasik-makineleri/ankastre-bulasik-makineleri/tam-ankastre-bulasik-makineleri/fully-integrated-60-cm-width/SN65EX62MT" TargetMode="External"/><Relationship Id="rId303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485" Type="http://schemas.openxmlformats.org/officeDocument/2006/relationships/hyperlink" Target="https://www.siemens-home.bsh-group.com/tr/tr/product/kucuk-ev-aletleri/TP503R09" TargetMode="External"/><Relationship Id="rId42" Type="http://schemas.openxmlformats.org/officeDocument/2006/relationships/hyperlink" Target="https://www.siemens-home.bsh-group.com/tr/tr/product/pisirme-grubu/buharli-firinlar/buharli-pisirici/CD714GXB1" TargetMode="External"/><Relationship Id="rId84" Type="http://schemas.openxmlformats.org/officeDocument/2006/relationships/hyperlink" Target="https://www.siemens-home.bsh-group.com/tr/tr/product/ankastre/ankastre-ocaklar/EB6C2PB82O" TargetMode="External"/><Relationship Id="rId138" Type="http://schemas.openxmlformats.org/officeDocument/2006/relationships/hyperlink" Target="https://www.siemens-home.bsh-group.com/tr/tr/product/ankastre/ankastre-ocaklar/EO7C9HO12O" TargetMode="External"/><Relationship Id="rId345" Type="http://schemas.openxmlformats.org/officeDocument/2006/relationships/hyperlink" Target="https://www.siemens-home.bsh-group.com/tr/tr/product/ankastre/ankastre-davlumbazlar/LC65KAJ60T" TargetMode="External"/><Relationship Id="rId387" Type="http://schemas.openxmlformats.org/officeDocument/2006/relationships/hyperlink" Target="https://www.siemens-home.bsh-group.com/tr/tr/product/ankastre/ankastre-davlumbazlar/LR18HLT65" TargetMode="External"/><Relationship Id="rId510" Type="http://schemas.openxmlformats.org/officeDocument/2006/relationships/hyperlink" Target="https://www.siemens-home.bsh-group.com/tr/tr/product/elektrikli-supurgeler/sarjli-supurgeler/VSM120B" TargetMode="External"/><Relationship Id="rId552" Type="http://schemas.openxmlformats.org/officeDocument/2006/relationships/hyperlink" Target="https://www.siemens-home.bsh-group.com/tr/tr/product/yikama-ve-utuleme-grubu/camasir-makineleri/solo-camasir-makineleri/WG52K2Z1TR" TargetMode="External"/><Relationship Id="rId594" Type="http://schemas.openxmlformats.org/officeDocument/2006/relationships/hyperlink" Target="https://www.siemens-home.bsh-group.com/tr/tr/product/prsiemensdryer/WT47XK80TR" TargetMode="External"/><Relationship Id="rId608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191" Type="http://schemas.openxmlformats.org/officeDocument/2006/relationships/hyperlink" Target="https://www.siemens-home.bsh-group.com/tr/tr/product/ldaset2ref/GS33VVIE0N" TargetMode="External"/><Relationship Id="rId205" Type="http://schemas.openxmlformats.org/officeDocument/2006/relationships/hyperlink" Target="https://www.siemens-home.bsh-group.com/tr/tr/product/3d-airfry-ankastre-firinlar/HB214FBS1T" TargetMode="External"/><Relationship Id="rId247" Type="http://schemas.openxmlformats.org/officeDocument/2006/relationships/hyperlink" Target="https://www.siemens-home.bsh-group.com/tr/tr/product/pisirme-grubu/firinlar/ankastre-firinlar/HJ852GYN0T" TargetMode="External"/><Relationship Id="rId412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107" Type="http://schemas.openxmlformats.org/officeDocument/2006/relationships/hyperlink" Target="https://www.siemens-home.bsh-group.com/tr/tr/product/ankastre/ankastre-ocaklar/EN6C9PO12O" TargetMode="External"/><Relationship Id="rId289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454" Type="http://schemas.openxmlformats.org/officeDocument/2006/relationships/hyperlink" Target="https://www.siemens-home.bsh-group.com/tr/tr/product/ankastre/ankastre-bulasik-makineleri/SN615X01DT" TargetMode="External"/><Relationship Id="rId496" Type="http://schemas.openxmlformats.org/officeDocument/2006/relationships/hyperlink" Target="https://www.siemens-home.bsh-group.com/tr/tr/product/kahve-makineleri/tam-otomatik-kahve-makineleri/eq700/TQ713R03" TargetMode="External"/><Relationship Id="rId661" Type="http://schemas.openxmlformats.org/officeDocument/2006/relationships/hyperlink" Target="https://www.siemens-home.bsh-group.com/tr/tr/product/pisirme-grubu/ocaklar/gazli-ocaklar/EC9A5RI90" TargetMode="External"/><Relationship Id="rId11" Type="http://schemas.openxmlformats.org/officeDocument/2006/relationships/hyperlink" Target="https://www.siemens-home.bsh-group.com/tr/tr/product/klimalar/AS12XXB32N" TargetMode="External"/><Relationship Id="rId53" Type="http://schemas.openxmlformats.org/officeDocument/2006/relationships/hyperlink" Target="https://lura.cepkask.com/basket/68" TargetMode="External"/><Relationship Id="rId149" Type="http://schemas.openxmlformats.org/officeDocument/2006/relationships/hyperlink" Target="https://www.siemens-home.bsh-group.com/tr/tr/product/ankastre/ankastre-ocaklar/EP7A6QB10" TargetMode="External"/><Relationship Id="rId314" Type="http://schemas.openxmlformats.org/officeDocument/2006/relationships/hyperlink" Target="https://www.siemens-home.bsh-group.com/tr/tr/product/kampanyalar/supurge-hediye-firsati/KG86PAIC0N" TargetMode="External"/><Relationship Id="rId356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398" Type="http://schemas.openxmlformats.org/officeDocument/2006/relationships/hyperlink" Target="https://www.philips.com.tr/c-p/50PUS8057_62/8000-series-4k-uhd-android-tv" TargetMode="External"/><Relationship Id="rId521" Type="http://schemas.openxmlformats.org/officeDocument/2006/relationships/hyperlink" Target="https://www.siemens-home.bsh-group.com/tr/tr/product/elektrikli-supurgeler/toz-torbali-torbasiz-elektrikli-supurgeler/VSX7XTRM" TargetMode="External"/><Relationship Id="rId563" Type="http://schemas.openxmlformats.org/officeDocument/2006/relationships/hyperlink" Target="https://www.siemens-home.bsh-group.com/tr/tr/product/yikama-ve-utuleme-grubu/camasir-makineleri/solo-camasir-makineleri/WG64K2Y0TR" TargetMode="External"/><Relationship Id="rId619" Type="http://schemas.openxmlformats.org/officeDocument/2006/relationships/hyperlink" Target="https://www.siemens-home.bsh-group.com/tr/tr/product/ankastre/ankastre-davlumbazlar/LC65KA270T" TargetMode="External"/><Relationship Id="rId95" Type="http://schemas.openxmlformats.org/officeDocument/2006/relationships/hyperlink" Target="https://www.siemens-home.bsh-group.com/tr/tr/product/EG6B5PO51" TargetMode="External"/><Relationship Id="rId160" Type="http://schemas.openxmlformats.org/officeDocument/2006/relationships/hyperlink" Target="https://www.siemens-home.bsh-group.com/tr/tr/product/pisirme-grubu/ocaklar/seramik-ocaklar/ET611HE17E" TargetMode="External"/><Relationship Id="rId216" Type="http://schemas.openxmlformats.org/officeDocument/2006/relationships/hyperlink" Target="https://www.siemens-home.bsh-group.com/tr/tr/product/ankastre/ankastre-firinlar/HB237JES0T" TargetMode="External"/><Relationship Id="rId423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258" Type="http://schemas.openxmlformats.org/officeDocument/2006/relationships/hyperlink" Target="https://www.siemens-home.bsh-group.com/tr/tr/product/pisirme-grubu/buharli-firinlar/buharli-firinlar/HU717ABV0T" TargetMode="External"/><Relationship Id="rId465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630" Type="http://schemas.openxmlformats.org/officeDocument/2006/relationships/hyperlink" Target="https://www.siemens-home.bsh-group.com/tr/tr/product/pisirme-grubu/aksesuarlar/HZ629070" TargetMode="External"/><Relationship Id="rId22" Type="http://schemas.openxmlformats.org/officeDocument/2006/relationships/hyperlink" Target="https://www.siemens-home.bsh-group.com/tr/tr/product/pisirme-grubu/firinlar/kompakt-firinlar/BE525LMH2" TargetMode="External"/><Relationship Id="rId64" Type="http://schemas.openxmlformats.org/officeDocument/2006/relationships/hyperlink" Target="https://www.siemens-home.bsh-group.com/tr/tr/product/ankastre/ankastre-buzdolaplari-ve-sogutucular/CI36TP02" TargetMode="External"/><Relationship Id="rId118" Type="http://schemas.openxmlformats.org/officeDocument/2006/relationships/hyperlink" Target="https://www.siemens-home.bsh-group.com/tr/tr/product/ankastre/ankastre-ocaklar/EO6C6PB11O" TargetMode="External"/><Relationship Id="rId325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367" Type="http://schemas.openxmlformats.org/officeDocument/2006/relationships/hyperlink" Target="https://www.siemens-home.bsh-group.com/tr/tr/product/ankastre/ankastre-davlumbazlar/LC95FCJ20T" TargetMode="External"/><Relationship Id="rId532" Type="http://schemas.openxmlformats.org/officeDocument/2006/relationships/hyperlink" Target="https://www.siemens-home.bsh-group.com/tr/tr/product/yikama-ve-utuleme-grubu/camasir-makineleri/solo-camasir-makineleri/WG42A2ZXTR" TargetMode="External"/><Relationship Id="rId574" Type="http://schemas.openxmlformats.org/officeDocument/2006/relationships/hyperlink" Target="https://www.siemens-home.bsh-group.com/tr/tr/product/prsiemensdryer/WQ41G200TR" TargetMode="External"/><Relationship Id="rId171" Type="http://schemas.openxmlformats.org/officeDocument/2006/relationships/hyperlink" Target="https://www.siemens-home.bsh-group.com/tr/tr/product/ankastre/ankastre-ocaklar/EX777NEV6E" TargetMode="External"/><Relationship Id="rId227" Type="http://schemas.openxmlformats.org/officeDocument/2006/relationships/hyperlink" Target="https://www.siemens-home.bsh-group.com/tr/tr/product/prsiemensovenaddedvalue/HB557JYS0T" TargetMode="External"/><Relationship Id="rId269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434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476" Type="http://schemas.openxmlformats.org/officeDocument/2006/relationships/hyperlink" Target="https://www.siemens-home.bsh-group.com/tr/tr/product/kucuk-ev-aletleri/TE651319RW" TargetMode="External"/><Relationship Id="rId641" Type="http://schemas.openxmlformats.org/officeDocument/2006/relationships/hyperlink" Target="https://www.siemens-home.bsh-group.com/tr/tr/product/AS18OVW32N" TargetMode="External"/><Relationship Id="rId33" Type="http://schemas.openxmlformats.org/officeDocument/2006/relationships/hyperlink" Target="https://www.siemens-home.bsh-group.com/tr/tr/product/pisirme-grubu/firinlar/kompakt-firinlar/BF623LMS3" TargetMode="External"/><Relationship Id="rId129" Type="http://schemas.openxmlformats.org/officeDocument/2006/relationships/hyperlink" Target="https://www.siemens-home.bsh-group.com/tr/tr/product/pisirme-grubu/ocaklar/gazli-ocaklar/EO7C2PP30L" TargetMode="External"/><Relationship Id="rId280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336" Type="http://schemas.openxmlformats.org/officeDocument/2006/relationships/hyperlink" Target="https://www.siemens-home.bsh-group.com/tr/tr/product/ankastre/ankastre-davlumbazlar/LC64PCC20T" TargetMode="External"/><Relationship Id="rId501" Type="http://schemas.openxmlformats.org/officeDocument/2006/relationships/hyperlink" Target="https://www.siemens-home.bsh-group.com/tr/tr/product/kahve-makineleri/aksesuarlar/TZ80001A" TargetMode="External"/><Relationship Id="rId543" Type="http://schemas.openxmlformats.org/officeDocument/2006/relationships/hyperlink" Target="https://www.siemens-home.bsh-group.com/tr/tr/product/yikama-ve-utuleme-grubu/camasir-makineleri/solo-camasir-makineleri/WG44K2Z0TR" TargetMode="External"/><Relationship Id="rId75" Type="http://schemas.openxmlformats.org/officeDocument/2006/relationships/hyperlink" Target="https://www.siemens-home.bsh-group.com/tr/tr/product/DE21307M" TargetMode="External"/><Relationship Id="rId140" Type="http://schemas.openxmlformats.org/officeDocument/2006/relationships/hyperlink" Target="https://www.siemens-home.bsh-group.com/tr/tr/product/ankastre/ankastre-ocaklar/EP6A2PB20O" TargetMode="External"/><Relationship Id="rId182" Type="http://schemas.openxmlformats.org/officeDocument/2006/relationships/hyperlink" Target="https://www.siemens-home.bsh-group.com/tr/tr/product/FF023LMS1" TargetMode="External"/><Relationship Id="rId378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403" Type="http://schemas.openxmlformats.org/officeDocument/2006/relationships/hyperlink" Target="https://www.epey.com/televizyon/philips-65pus8548.html" TargetMode="External"/><Relationship Id="rId585" Type="http://schemas.openxmlformats.org/officeDocument/2006/relationships/hyperlink" Target="https://www.siemens-home.bsh-group.com/tr/tr/product/yikama-ve-utuleme-grubu/kurutma-makineleri/isi-pompali-kurutma-makineleri/WQ45B2A0TR" TargetMode="External"/><Relationship Id="rId6" Type="http://schemas.openxmlformats.org/officeDocument/2006/relationships/hyperlink" Target="https://www.siemens-home.bsh-group.com/tr/tr/product/klimalar/AS12XVW32N" TargetMode="External"/><Relationship Id="rId238" Type="http://schemas.openxmlformats.org/officeDocument/2006/relationships/hyperlink" Target="https://www.siemens-home.bsh-group.com/tr/tr/product/ankastre/ankastre-firinlar/HB778G3B1" TargetMode="External"/><Relationship Id="rId445" Type="http://schemas.openxmlformats.org/officeDocument/2006/relationships/hyperlink" Target="https://www.siemens-home.bsh-group.com/tr/tr/product/SN515W00DT" TargetMode="External"/><Relationship Id="rId487" Type="http://schemas.openxmlformats.org/officeDocument/2006/relationships/hyperlink" Target="https://www.siemens-home.bsh-group.com/tr/tr/product/TP507R04" TargetMode="External"/><Relationship Id="rId610" Type="http://schemas.openxmlformats.org/officeDocument/2006/relationships/hyperlink" Target="https://www.siemens-home.bsh-group.com/tr/tr/product/ankastre/ankastre-ocaklar/EB6C5PB82O" TargetMode="External"/><Relationship Id="rId652" Type="http://schemas.openxmlformats.org/officeDocument/2006/relationships/hyperlink" Target="https://www.siemens-home.bsh-group.com/tr/tr/product/WG64B2AXTR" TargetMode="External"/><Relationship Id="rId291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305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347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512" Type="http://schemas.openxmlformats.org/officeDocument/2006/relationships/hyperlink" Target="https://www.siemens-home.bsh-group.com/tr/tr/product/elektrikli-supurgeler/sarjli-supurgeler/VSM120XXL" TargetMode="External"/><Relationship Id="rId44" Type="http://schemas.openxmlformats.org/officeDocument/2006/relationships/hyperlink" Target="https://lura.cepkask.com/basket/58" TargetMode="External"/><Relationship Id="rId86" Type="http://schemas.openxmlformats.org/officeDocument/2006/relationships/hyperlink" Target="https://www.siemens-home.bsh-group.com/tr/tr/product/ankastre/ankastre-ocaklar/EB6C6PB82O" TargetMode="External"/><Relationship Id="rId151" Type="http://schemas.openxmlformats.org/officeDocument/2006/relationships/hyperlink" Target="https://www.siemens-home.bsh-group.com/tr/tr/product/pisirme-grubu/ocaklar/gazli-ocaklar/EP7A6QI40O" TargetMode="External"/><Relationship Id="rId389" Type="http://schemas.openxmlformats.org/officeDocument/2006/relationships/hyperlink" Target="https://www.siemens-home.bsh-group.com/tr/tr/product/MQ66155" TargetMode="External"/><Relationship Id="rId554" Type="http://schemas.openxmlformats.org/officeDocument/2006/relationships/hyperlink" Target="https://www.siemens-home.bsh-group.com/tr/tr/product/yikama-ve-utuleme-grubu/camasir-makineleri/solo-camasir-makineleri/WG52K2ZXTR" TargetMode="External"/><Relationship Id="rId596" Type="http://schemas.openxmlformats.org/officeDocument/2006/relationships/hyperlink" Target="https://www.siemens-home.bsh-group.com/tr/tr/product/ankastre/ankastre-ocaklar/EN6C2HO12O" TargetMode="External"/><Relationship Id="rId193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207" Type="http://schemas.openxmlformats.org/officeDocument/2006/relationships/hyperlink" Target="https://www.siemens-home.bsh-group.com/tr/tr/product/ankastre/ankastre-firinlar/HB214FBW1T" TargetMode="External"/><Relationship Id="rId249" Type="http://schemas.openxmlformats.org/officeDocument/2006/relationships/hyperlink" Target="https://www.siemens-home.bsh-group.com/tr/tr/product/3d-airfry-ankastre-firinlar/HN678G4S6" TargetMode="External"/><Relationship Id="rId414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456" Type="http://schemas.openxmlformats.org/officeDocument/2006/relationships/hyperlink" Target="https://www.siemens-home.bsh-group.com/tr/tr/product/ankastre/ankastre-bulasik-makineleri/SN61IX01KT" TargetMode="External"/><Relationship Id="rId498" Type="http://schemas.openxmlformats.org/officeDocument/2006/relationships/hyperlink" Target="https://www.siemens-home.bsh-group.com/tr/tr/product/kahve-makineleri/tam-otomatik-kahve-makineleri/eq900/TQ907RZ3" TargetMode="External"/><Relationship Id="rId621" Type="http://schemas.openxmlformats.org/officeDocument/2006/relationships/hyperlink" Target="https://www.siemens-home.bsh-group.com/tr/tr/product/evlilik-kampanyasi-camasir-makineleri/WD14U561TR" TargetMode="External"/><Relationship Id="rId663" Type="http://schemas.openxmlformats.org/officeDocument/2006/relationships/hyperlink" Target="https://www.siemens-home.bsh-group.com/tr/tr/product/buzdolaplari-ve-derin-dondurucular/solo-buzdolaplari-ve-derin-dondurucular/alttan-donduruculu-solo-buzdolaplari/KG56NCID0N" TargetMode="External"/><Relationship Id="rId13" Type="http://schemas.openxmlformats.org/officeDocument/2006/relationships/hyperlink" Target="https://www.siemens-home.bsh-group.com/tr/tr/product/klimalar/AS18XXB32N" TargetMode="External"/><Relationship Id="rId109" Type="http://schemas.openxmlformats.org/officeDocument/2006/relationships/hyperlink" Target="https://www.siemens-home.bsh-group.com/tr/tr/product/ankastre/ankastre-ocaklar/EN7B2QO12O" TargetMode="External"/><Relationship Id="rId260" Type="http://schemas.openxmlformats.org/officeDocument/2006/relationships/hyperlink" Target="https://www.siemens-home.bsh-group.com/tr/tr/product/pisirme-grubu/buharli-firinlar/buharli-firinlar/HU736AEG0T" TargetMode="External"/><Relationship Id="rId316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523" Type="http://schemas.openxmlformats.org/officeDocument/2006/relationships/hyperlink" Target="https://www.siemens-home.bsh-group.com/tr/tr/product/VSZ2V210" TargetMode="External"/><Relationship Id="rId55" Type="http://schemas.openxmlformats.org/officeDocument/2006/relationships/hyperlink" Target="https://www.siemens-home.bsh-group.com/tr/tr/product/CI10Z090" TargetMode="External"/><Relationship Id="rId97" Type="http://schemas.openxmlformats.org/officeDocument/2006/relationships/hyperlink" Target="https://www.siemens-home.bsh-group.com/tr/tr/product/pisirme-grubu/ocaklar/induksiyonlu-ocaklar/EH975LVC1E" TargetMode="External"/><Relationship Id="rId120" Type="http://schemas.openxmlformats.org/officeDocument/2006/relationships/hyperlink" Target="https://www.siemens-home.bsh-group.com/tr/tr/product/EO6C6PO92O" TargetMode="External"/><Relationship Id="rId358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565" Type="http://schemas.openxmlformats.org/officeDocument/2006/relationships/hyperlink" Target="https://www.siemens-home.bsh-group.com/tr/tr/product/yikama-ve-utuleme-grubu/camasir-makineleri/solo-camasir-makineleri/WG64K2ZRTR" TargetMode="External"/><Relationship Id="rId162" Type="http://schemas.openxmlformats.org/officeDocument/2006/relationships/hyperlink" Target="https://www.siemens-home.bsh-group.com/tr/tr/product/pisirme-grubu/ocaklar/seramik-ocaklar/ET651FFP2E" TargetMode="External"/><Relationship Id="rId218" Type="http://schemas.openxmlformats.org/officeDocument/2006/relationships/hyperlink" Target="https://www.siemens-home.bsh-group.com/tr/tr/product/ankastre/ankastre-firinlar/HB478G5B6" TargetMode="External"/><Relationship Id="rId425" Type="http://schemas.openxmlformats.org/officeDocument/2006/relationships/hyperlink" Target="https://www.siemens-home.bsh-group.com/tr/tr/product/SN23II60KT" TargetMode="External"/><Relationship Id="rId467" Type="http://schemas.openxmlformats.org/officeDocument/2006/relationships/hyperlink" Target="https://www.siemens-home.bsh-group.com/tr/tr/product/ankastre/ankastre-bulasik-makineleri/SN87Y800BE" TargetMode="External"/><Relationship Id="rId632" Type="http://schemas.openxmlformats.org/officeDocument/2006/relationships/hyperlink" Target="https://www.siemens-home.bsh-group.com/tr/tr/product/3d-airfry-ankastre-firinlar/HB514FBR0T" TargetMode="External"/><Relationship Id="rId271" Type="http://schemas.openxmlformats.org/officeDocument/2006/relationships/hyperlink" Target="https://www.siemens-home.bsh-group.com/tr/tr/product/prsiemensfridge/KD56NXWF1N" TargetMode="External"/><Relationship Id="rId24" Type="http://schemas.openxmlformats.org/officeDocument/2006/relationships/hyperlink" Target="https://www.siemens-home.bsh-group.com/tr/tr/product/pisirme-grubu/firinlar/kompakt-firinlar/BE525LMW2" TargetMode="External"/><Relationship Id="rId66" Type="http://schemas.openxmlformats.org/officeDocument/2006/relationships/hyperlink" Target="https://www.siemens-home.bsh-group.com/tr/tr/product/arsiv/CI60Z000" TargetMode="External"/><Relationship Id="rId131" Type="http://schemas.openxmlformats.org/officeDocument/2006/relationships/hyperlink" Target="https://www.siemens-home.bsh-group.com/tr/tr/product/ankastre/ankastre-ocaklar/EO7C6HO12O" TargetMode="External"/><Relationship Id="rId327" Type="http://schemas.openxmlformats.org/officeDocument/2006/relationships/hyperlink" Target="https://www.siemens-home.bsh-group.com/tr/tr/product/ankastre/ankastre-davlumbazlar/LB75565" TargetMode="External"/><Relationship Id="rId369" Type="http://schemas.openxmlformats.org/officeDocument/2006/relationships/hyperlink" Target="https://www.siemens-home.bsh-group.com/tr/tr/product/ankastre/ankastre-davlumbazlar/LC95FCJ70T" TargetMode="External"/><Relationship Id="rId534" Type="http://schemas.openxmlformats.org/officeDocument/2006/relationships/hyperlink" Target="https://www.siemens-home.bsh-group.com/tr/tr/product/yikama-ve-utuleme-grubu/camasir-makineleri/solo-camasir-makineleri/WG42K2ZXTR" TargetMode="External"/><Relationship Id="rId576" Type="http://schemas.openxmlformats.org/officeDocument/2006/relationships/hyperlink" Target="https://www.siemens-home.bsh-group.com/tr/tr/product/yikama-ve-utuleme-grubu/kurutma-makineleri/isi-pompali-kurutma-makineleri/WQ41G20TTR" TargetMode="External"/><Relationship Id="rId173" Type="http://schemas.openxmlformats.org/officeDocument/2006/relationships/hyperlink" Target="https://www.siemens-home.bsh-group.com/tr/tr/product/pisirme-grubu/ocaklar/induksiyonlu-ocaklar/EX808LYV5E" TargetMode="External"/><Relationship Id="rId229" Type="http://schemas.openxmlformats.org/officeDocument/2006/relationships/hyperlink" Target="https://www.siemens-home.bsh-group.com/tr/tr/product/pisirme-grubu/firinlar/ankastre-firinlar/HB557JYW5T" TargetMode="External"/><Relationship Id="rId380" Type="http://schemas.openxmlformats.org/officeDocument/2006/relationships/hyperlink" Target="https://www.siemens-home.bsh-group.com/tr/tr/product/LC98KC542" TargetMode="External"/><Relationship Id="rId436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601" Type="http://schemas.openxmlformats.org/officeDocument/2006/relationships/hyperlink" Target="https://www.siemens-home.bsh-group.com/tr/tr/product/ankastre/ankastre-firinlar/HB134FES3T" TargetMode="External"/><Relationship Id="rId643" Type="http://schemas.openxmlformats.org/officeDocument/2006/relationships/hyperlink" Target="https://www.siemens-home.bsh-group.com/tr/tr/product/prsiemensdryer/WT47XK8XTR" TargetMode="External"/><Relationship Id="rId240" Type="http://schemas.openxmlformats.org/officeDocument/2006/relationships/hyperlink" Target="https://www.siemens-home.bsh-group.com/tr/tr/product/pisirme-grubu/firinlar/ankastre-firinlar/HB976GMB1" TargetMode="External"/><Relationship Id="rId478" Type="http://schemas.openxmlformats.org/officeDocument/2006/relationships/hyperlink" Target="https://www.siemens-home.bsh-group.com/tr/tr/product/kampanyalar/online-ozel-kahve-makineleri/TE655203RW" TargetMode="External"/><Relationship Id="rId35" Type="http://schemas.openxmlformats.org/officeDocument/2006/relationships/hyperlink" Target="https://www.siemens-home.bsh-group.com/tr/tr/product/studioline/BF834LGB1" TargetMode="External"/><Relationship Id="rId77" Type="http://schemas.openxmlformats.org/officeDocument/2006/relationships/hyperlink" Target="https://www.siemens-home.bsh-group.com/tr/tr/product/su-sebilleri/DW15702" TargetMode="External"/><Relationship Id="rId100" Type="http://schemas.openxmlformats.org/officeDocument/2006/relationships/hyperlink" Target="https://www.siemens-home.bsh-group.com/tr/tr/product/EN6B6PO10O" TargetMode="External"/><Relationship Id="rId282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338" Type="http://schemas.openxmlformats.org/officeDocument/2006/relationships/hyperlink" Target="https://www.siemens-home.bsh-group.com/tr/tr/product/ankastre/ankastre-davlumbazlar/LC64PCC60T" TargetMode="External"/><Relationship Id="rId503" Type="http://schemas.openxmlformats.org/officeDocument/2006/relationships/hyperlink" Target="https://www.siemens-home.bsh-group.com/tr/tr/product/VCH6XTRM" TargetMode="External"/><Relationship Id="rId545" Type="http://schemas.openxmlformats.org/officeDocument/2006/relationships/hyperlink" Target="https://www.siemens-home.bsh-group.com/tr/tr/product/yikama-ve-utuleme-grubu/camasir-makineleri/solo-camasir-makineleri/WG52A203TR" TargetMode="External"/><Relationship Id="rId587" Type="http://schemas.openxmlformats.org/officeDocument/2006/relationships/hyperlink" Target="https://www.siemens-home.bsh-group.com/tr/tr/product/yikama-ve-utuleme-grubu/kurutma-makineleri/isi-pompali-kurutma-makineleri/WQ51G200TR" TargetMode="External"/><Relationship Id="rId8" Type="http://schemas.openxmlformats.org/officeDocument/2006/relationships/hyperlink" Target="https://www.siemens-home.bsh-group.com/tr/tr/product/klimalar/AS12XXB32N" TargetMode="External"/><Relationship Id="rId142" Type="http://schemas.openxmlformats.org/officeDocument/2006/relationships/hyperlink" Target="https://www.siemens-home.bsh-group.com/tr/tr/product/pisirme-grubu/ocaklar/gazli-ocaklar/EP6A6HI40O" TargetMode="External"/><Relationship Id="rId184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391" Type="http://schemas.openxmlformats.org/officeDocument/2006/relationships/hyperlink" Target="https://www.siemens-home.bsh-group.com/tr/tr/product/MQ67185" TargetMode="External"/><Relationship Id="rId405" Type="http://schemas.openxmlformats.org/officeDocument/2006/relationships/hyperlink" Target="https://www.epey.com/televizyon/philips-55pus8848.html" TargetMode="External"/><Relationship Id="rId447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612" Type="http://schemas.openxmlformats.org/officeDocument/2006/relationships/hyperlink" Target="https://www.siemens-home.bsh-group.com/tr/tr/product/LC67BHM50" TargetMode="External"/><Relationship Id="rId251" Type="http://schemas.openxmlformats.org/officeDocument/2006/relationships/hyperlink" Target="https://www.siemens-home.bsh-group.com/tr/tr/product/pisirme-grubu/buharli-firinlar/buharli-firinlar/HR232GEB3" TargetMode="External"/><Relationship Id="rId489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654" Type="http://schemas.openxmlformats.org/officeDocument/2006/relationships/hyperlink" Target="https://www.siemens-home.bsh-group.com/tr/tr/product/buzdolaplari-ve-derin-dondurucular/solo-buzdolaplari-ve-derin-dondurucular/ustten-donduruculu-solo-buzdolaplari/KD76NNWE0N" TargetMode="External"/><Relationship Id="rId46" Type="http://schemas.openxmlformats.org/officeDocument/2006/relationships/hyperlink" Target="https://lura.cepkask.com/basket/60" TargetMode="External"/><Relationship Id="rId293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307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349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514" Type="http://schemas.openxmlformats.org/officeDocument/2006/relationships/hyperlink" Target="https://www.siemens-home.bsh-group.com/tr/tr/product/elektrikli-supurgeler/toz-torbali-torbasiz-elektrikli-supurgeler/VSX21A300" TargetMode="External"/><Relationship Id="rId556" Type="http://schemas.openxmlformats.org/officeDocument/2006/relationships/hyperlink" Target="https://www.siemens-home.bsh-group.com/tr/tr/product/yikama-ve-utuleme-grubu/camasir-makineleri/solo-camasir-makineleri/WG54A2Z0TR" TargetMode="External"/><Relationship Id="rId88" Type="http://schemas.openxmlformats.org/officeDocument/2006/relationships/hyperlink" Target="https://www.siemens-home.bsh-group.com/tr/tr/product/pisirme-grubu/ocaklar/gazli-ocaklar/EC7A5RB90" TargetMode="External"/><Relationship Id="rId111" Type="http://schemas.openxmlformats.org/officeDocument/2006/relationships/hyperlink" Target="https://www.siemens-home.bsh-group.com/tr/tr/product/ankastre/ankastre-ocaklar/EN7B6QO12O" TargetMode="External"/><Relationship Id="rId153" Type="http://schemas.openxmlformats.org/officeDocument/2006/relationships/hyperlink" Target="https://www.siemens-home.bsh-group.com/tr/tr/product/pisirme-grubu/ocaklar/gazli-ocaklar/EP9A6QI40" TargetMode="External"/><Relationship Id="rId195" Type="http://schemas.openxmlformats.org/officeDocument/2006/relationships/hyperlink" Target="https://www.siemens-home.bsh-group.com/tr/tr/product/GS36NVWF0N" TargetMode="External"/><Relationship Id="rId209" Type="http://schemas.openxmlformats.org/officeDocument/2006/relationships/hyperlink" Target="https://www.siemens-home.bsh-group.com/tr/tr/product/pisirme-grubu/firinlar/ankastre-firinlar/HB234FEH2T" TargetMode="External"/><Relationship Id="rId360" Type="http://schemas.openxmlformats.org/officeDocument/2006/relationships/hyperlink" Target="https://www.siemens-home.bsh-group.com/tr/tr/product/ankastre/ankastre-davlumbazlar/LC68KAK60T" TargetMode="External"/><Relationship Id="rId416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598" Type="http://schemas.openxmlformats.org/officeDocument/2006/relationships/hyperlink" Target="https://www.siemens-home.bsh-group.com/tr/tr/product/pisirme-grubu/davlumbazlar-ve-aspiratorler/entegre-ankastre-davlumbazlar/surgulu-aspiratorler/LB73NAA30" TargetMode="External"/><Relationship Id="rId220" Type="http://schemas.openxmlformats.org/officeDocument/2006/relationships/hyperlink" Target="https://www.siemens-home.bsh-group.com/tr/tr/product/ankastre/ankastre-firinlar/HB514FBH2T" TargetMode="External"/><Relationship Id="rId458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623" Type="http://schemas.openxmlformats.org/officeDocument/2006/relationships/hyperlink" Target="https://www.siemens-home.bsh-group.com/tr/tr/product/prsiemensfridge/KD55NNLF1N" TargetMode="External"/><Relationship Id="rId665" Type="http://schemas.openxmlformats.org/officeDocument/2006/relationships/hyperlink" Target="https://www.siemens-home.bsh-group.com/tr/tr/product/buzdolaplari-ve-derin-dondurucular/solo-buzdolaplari-ve-derin-dondurucular/alttan-donduruculu-solo-buzdolaplari/KG56NCWD0N" TargetMode="External"/><Relationship Id="rId15" Type="http://schemas.openxmlformats.org/officeDocument/2006/relationships/hyperlink" Target="https://www.siemens-home.bsh-group.com/tr/tr/product/klimalar/AS18XXB32N" TargetMode="External"/><Relationship Id="rId57" Type="http://schemas.openxmlformats.org/officeDocument/2006/relationships/hyperlink" Target="https://www.siemens-home.bsh-group.com/tr/tr/product/CI10Z491" TargetMode="External"/><Relationship Id="rId262" Type="http://schemas.openxmlformats.org/officeDocument/2006/relationships/hyperlink" Target="https://www.siemens-home.bsh-group.com/tr/tr/product/pisirme-grubu/buharli-firinlar/buharli-firinlar/HU736AEV0T" TargetMode="External"/><Relationship Id="rId318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525" Type="http://schemas.openxmlformats.org/officeDocument/2006/relationships/hyperlink" Target="https://www.siemens-home.bsh-group.com/tr/tr/product/VZ41FGALL" TargetMode="External"/><Relationship Id="rId567" Type="http://schemas.openxmlformats.org/officeDocument/2006/relationships/hyperlink" Target="https://www.siemens-home.bsh-group.com/tr/tr/product/yikama-ve-utuleme-grubu/camasir-makineleri/solo-camasir-makineleri/WM12N200TR" TargetMode="External"/><Relationship Id="rId99" Type="http://schemas.openxmlformats.org/officeDocument/2006/relationships/hyperlink" Target="https://www.siemens-home.bsh-group.com/tr/tr/product/pisirme-grubu/ocaklar/gazli-ocaklar/EN6B6NP40R" TargetMode="External"/><Relationship Id="rId122" Type="http://schemas.openxmlformats.org/officeDocument/2006/relationships/hyperlink" Target="https://www.siemens-home.bsh-group.com/tr/tr/product/ankastre/ankastre-ocaklar/EO6C8PO00O" TargetMode="External"/><Relationship Id="rId164" Type="http://schemas.openxmlformats.org/officeDocument/2006/relationships/hyperlink" Target="https://www.siemens-home.bsh-group.com/tr/tr/product/pisirme-grubu/ocaklar/seramik-ocaklar/ET875LMP1D" TargetMode="External"/><Relationship Id="rId371" Type="http://schemas.openxmlformats.org/officeDocument/2006/relationships/hyperlink" Target="https://www.siemens-home.bsh-group.com/tr/tr/product/ankastre/ankastre-davlumbazlar/LC95KA670T" TargetMode="External"/><Relationship Id="rId427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469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634" Type="http://schemas.openxmlformats.org/officeDocument/2006/relationships/hyperlink" Target="https://www.siemens-home.bsh-group.com/tr/tr/product/pisirme-grubu/davlumbazlar-ve-aspiratorler/entegre-ankastre-davlumbazlar/integrated-design-hood/LJ67BDP60" TargetMode="External"/><Relationship Id="rId26" Type="http://schemas.openxmlformats.org/officeDocument/2006/relationships/hyperlink" Target="https://www.siemens-home.bsh-group.com/tr/tr/product/BE555LMS0" TargetMode="External"/><Relationship Id="rId231" Type="http://schemas.openxmlformats.org/officeDocument/2006/relationships/hyperlink" Target="https://www.siemens-home.bsh-group.com/tr/tr/product/3d-airfry-ankastre-firinlar/HB634GBS1" TargetMode="External"/><Relationship Id="rId273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329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480" Type="http://schemas.openxmlformats.org/officeDocument/2006/relationships/hyperlink" Target="https://www.siemens-home.bsh-group.com/tr/tr/product/kucuk-ev-aletleri/TI351209RW" TargetMode="External"/><Relationship Id="rId536" Type="http://schemas.openxmlformats.org/officeDocument/2006/relationships/hyperlink" Target="https://www.siemens-home.bsh-group.com/tr/tr/product/prsiemenswm/WG44A2X0TR" TargetMode="External"/><Relationship Id="rId68" Type="http://schemas.openxmlformats.org/officeDocument/2006/relationships/hyperlink" Target="https://www.siemens-home.bsh-group.com/tr/tr/product/CI60ZBL1" TargetMode="External"/><Relationship Id="rId133" Type="http://schemas.openxmlformats.org/officeDocument/2006/relationships/hyperlink" Target="https://www.siemens-home.bsh-group.com/tr/tr/product/ankastre/ankastre-ocaklar/EO7C6PO12O" TargetMode="External"/><Relationship Id="rId175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340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578" Type="http://schemas.openxmlformats.org/officeDocument/2006/relationships/hyperlink" Target="https://www.siemens-home.bsh-group.com/tr/tr/product/yikama-ve-utuleme-grubu/kurutma-makineleri/isi-pompali-kurutma-makineleri/WQ42A201TR" TargetMode="External"/><Relationship Id="rId200" Type="http://schemas.openxmlformats.org/officeDocument/2006/relationships/hyperlink" Target="https://www.siemens-home.bsh-group.com/tr/tr/product/pisirme-grubu/firinlar/ankastre-firinlar/HB012FBW1T" TargetMode="External"/><Relationship Id="rId382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438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603" Type="http://schemas.openxmlformats.org/officeDocument/2006/relationships/hyperlink" Target="https://www.siemens-home.bsh-group.com/tr/tr/product/prsiemensdryer/WT45W420TR" TargetMode="External"/><Relationship Id="rId645" Type="http://schemas.openxmlformats.org/officeDocument/2006/relationships/hyperlink" Target="https://www.siemens-home.bsh-group.com/tr/tr/product/EO7C8PO10O" TargetMode="External"/><Relationship Id="rId242" Type="http://schemas.openxmlformats.org/officeDocument/2006/relationships/hyperlink" Target="https://www.siemens-home.bsh-group.com/tr/tr/product/ankastre/ankastre-firinlar/HI133FES3T" TargetMode="External"/><Relationship Id="rId284" Type="http://schemas.openxmlformats.org/officeDocument/2006/relationships/hyperlink" Target="https://www.siemens-home.bsh-group.com/tr/tr/product/prsiemensfridge/KD86NHID1N" TargetMode="External"/><Relationship Id="rId491" Type="http://schemas.openxmlformats.org/officeDocument/2006/relationships/hyperlink" Target="https://www.siemens-home.bsh-group.com/tr/tr/product/kucuk-ev-aletleri/TP703R19" TargetMode="External"/><Relationship Id="rId505" Type="http://schemas.openxmlformats.org/officeDocument/2006/relationships/hyperlink" Target="https://www.siemens-home.bsh-group.com/tr/tr/product/elektrikli-supurgeler/toz-torbali-torbasiz-elektrikli-supurgeler/VSC3A210" TargetMode="External"/><Relationship Id="rId37" Type="http://schemas.openxmlformats.org/officeDocument/2006/relationships/hyperlink" Target="https://www.siemens-home.bsh-group.com/tr/tr/product/BI630CNS1" TargetMode="External"/><Relationship Id="rId79" Type="http://schemas.openxmlformats.org/officeDocument/2006/relationships/hyperlink" Target="https://www.siemens-home.bsh-group.com/tr/tr/product/su-sebilleri/DW15704" TargetMode="External"/><Relationship Id="rId102" Type="http://schemas.openxmlformats.org/officeDocument/2006/relationships/hyperlink" Target="https://www.siemens-home.bsh-group.com/tr/tr/product/ankastre/ankastre-ocaklar/EN6C2PO12O" TargetMode="External"/><Relationship Id="rId144" Type="http://schemas.openxmlformats.org/officeDocument/2006/relationships/hyperlink" Target="https://www.siemens-home.bsh-group.com/tr/tr/product/pisirme-grubu/ocaklar/gazli-ocaklar/EP6A6PI40O" TargetMode="External"/><Relationship Id="rId547" Type="http://schemas.openxmlformats.org/officeDocument/2006/relationships/hyperlink" Target="https://www.siemens-home.bsh-group.com/tr/tr/product/yikama-ve-utuleme-grubu/camasir-makineleri/solo-camasir-makineleri/WG52A2F0TR" TargetMode="External"/><Relationship Id="rId589" Type="http://schemas.openxmlformats.org/officeDocument/2006/relationships/hyperlink" Target="https://www.siemens-home.bsh-group.com/tr/tr/product/yikama-ve-utuleme-grubu/kurutma-makineleri/isi-pompali-kurutma-makineleri/WQ52J20RTR" TargetMode="External"/><Relationship Id="rId90" Type="http://schemas.openxmlformats.org/officeDocument/2006/relationships/hyperlink" Target="https://www.siemens-home.bsh-group.com/tr/tr/product/ankastre/ankastre-ocaklar/EC9A5TB90" TargetMode="External"/><Relationship Id="rId186" Type="http://schemas.openxmlformats.org/officeDocument/2006/relationships/hyperlink" Target="https://www.siemens-home.bsh-group.com/tr/tr/product/buzdolaplari-ve-derin-dondurucular/aksesuarlar/FI30Z090" TargetMode="External"/><Relationship Id="rId351" Type="http://schemas.openxmlformats.org/officeDocument/2006/relationships/hyperlink" Target="https://www.siemens-home.bsh-group.com/tr/tr/product/kampanyalar/ankastre-set-indirim/davlumbazlar/LC67BBK60T" TargetMode="External"/><Relationship Id="rId393" Type="http://schemas.openxmlformats.org/officeDocument/2006/relationships/hyperlink" Target="https://www.siemens-home.bsh-group.com/tr/tr/product/MQ96400" TargetMode="External"/><Relationship Id="rId407" Type="http://schemas.openxmlformats.org/officeDocument/2006/relationships/hyperlink" Target="https://shaza.com.tr/shaza-akim-korumali-uclu-priz" TargetMode="External"/><Relationship Id="rId449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614" Type="http://schemas.openxmlformats.org/officeDocument/2006/relationships/hyperlink" Target="https://www.siemens-home.bsh-group.com/tr/tr/product/ankastre/ankastre-ocaklar/ET375CFA1E" TargetMode="External"/><Relationship Id="rId656" Type="http://schemas.openxmlformats.org/officeDocument/2006/relationships/hyperlink" Target="https://www.siemens-home.bsh-group.com/tr/tr/product/pisirme-grubu/ocaklar/induksiyonlu-ocaklar/EX801LYC1E" TargetMode="External"/><Relationship Id="rId211" Type="http://schemas.openxmlformats.org/officeDocument/2006/relationships/hyperlink" Target="https://www.siemens-home.bsh-group.com/tr/tr/product/3d-airfry-ankastre-firinlar/HB234FEW0T" TargetMode="External"/><Relationship Id="rId253" Type="http://schemas.openxmlformats.org/officeDocument/2006/relationships/hyperlink" Target="https://www.siemens-home.bsh-group.com/tr/tr/product/pisirme-grubu/buharli-firinlar/buharli-firinlar/HR776G3B1" TargetMode="External"/><Relationship Id="rId295" Type="http://schemas.openxmlformats.org/officeDocument/2006/relationships/hyperlink" Target="https://www.siemens-home.bsh-group.com/tr/tr/product/prsiemensfridge/KG56NTEE0N" TargetMode="External"/><Relationship Id="rId309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460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516" Type="http://schemas.openxmlformats.org/officeDocument/2006/relationships/hyperlink" Target="https://www.siemens-home.bsh-group.com/tr/tr/product/elektrikli-supurgeler/toz-torbali-torbasiz-elektrikli-supurgeler/VSX41A300" TargetMode="External"/><Relationship Id="rId48" Type="http://schemas.openxmlformats.org/officeDocument/2006/relationships/hyperlink" Target="https://lura.cepkask.com/basket/62" TargetMode="External"/><Relationship Id="rId113" Type="http://schemas.openxmlformats.org/officeDocument/2006/relationships/hyperlink" Target="https://www.siemens-home.bsh-group.com/tr/tr/product/ankastre/ankastre-ocaklar/EN7B8QO12O" TargetMode="External"/><Relationship Id="rId320" Type="http://schemas.openxmlformats.org/officeDocument/2006/relationships/hyperlink" Target="https://www.siemens-home.bsh-group.com/tr/tr/product/ankastre/ankastre-buzdolaplari-ve-sogutucular/KI86NHDF0" TargetMode="External"/><Relationship Id="rId558" Type="http://schemas.openxmlformats.org/officeDocument/2006/relationships/hyperlink" Target="https://www.siemens-home.bsh-group.com/tr/tr/product/yikama-ve-utuleme-grubu/camasir-makineleri/solo-camasir-makineleri/WG54B2A1TR" TargetMode="External"/><Relationship Id="rId155" Type="http://schemas.openxmlformats.org/officeDocument/2006/relationships/hyperlink" Target="https://www.siemens-home.bsh-group.com/tr/tr/product/pisirme-grubu/ocaklar/domino-ocaklar/ER3A6BB70" TargetMode="External"/><Relationship Id="rId197" Type="http://schemas.openxmlformats.org/officeDocument/2006/relationships/hyperlink" Target="https://www.siemens-home.bsh-group.com/tr/tr/product/ankastre/ankastre-firinlar/HB010FBR1T" TargetMode="External"/><Relationship Id="rId362" Type="http://schemas.openxmlformats.org/officeDocument/2006/relationships/hyperlink" Target="https://www.siemens-home.bsh-group.com/tr/tr/product/ankastre/ankastre-davlumbazlar/LC77BHM50" TargetMode="External"/><Relationship Id="rId418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625" Type="http://schemas.openxmlformats.org/officeDocument/2006/relationships/hyperlink" Target="https://www.siemens-home.bsh-group.com/tr/tr/product/ankastre/ankastre-davlumbazlar/LB88574" TargetMode="External"/><Relationship Id="rId222" Type="http://schemas.openxmlformats.org/officeDocument/2006/relationships/hyperlink" Target="https://www.siemens-home.bsh-group.com/tr/tr/product/ankastre/ankastre-firinlar/HB534FER0T" TargetMode="External"/><Relationship Id="rId264" Type="http://schemas.openxmlformats.org/officeDocument/2006/relationships/hyperlink" Target="https://www.siemens-home.bsh-group.com/tr/tr/product/HZ9VRUD0" TargetMode="External"/><Relationship Id="rId471" Type="http://schemas.openxmlformats.org/officeDocument/2006/relationships/hyperlink" Target="https://www.siemens-home.bsh-group.com/tr/tr/productservice/SZ36RB04(00)" TargetMode="External"/><Relationship Id="rId667" Type="http://schemas.openxmlformats.org/officeDocument/2006/relationships/hyperlink" Target="https://www.siemens-home.bsh-group.com/tr/tr/product/kahve-makineleri/tam-otomatik-kahve-makineleri/coffeemachinesautomatedfreestandingeq600/TP601E01" TargetMode="External"/><Relationship Id="rId17" Type="http://schemas.openxmlformats.org/officeDocument/2006/relationships/hyperlink" Target="https://www.siemens-home.bsh-group.com/tr/tr/product/AS24IVW32N" TargetMode="External"/><Relationship Id="rId59" Type="http://schemas.openxmlformats.org/officeDocument/2006/relationships/hyperlink" Target="https://www.siemens-home.bsh-group.com/tr/tr/product/CI10ZH10" TargetMode="External"/><Relationship Id="rId124" Type="http://schemas.openxmlformats.org/officeDocument/2006/relationships/hyperlink" Target="https://www.siemens-home.bsh-group.com/tr/tr/product/pisirme-grubu/ocaklar/gazli-ocaklar/EO6C8PP30O" TargetMode="External"/><Relationship Id="rId527" Type="http://schemas.openxmlformats.org/officeDocument/2006/relationships/hyperlink" Target="https://www.siemens-home.bsh-group.com/tr/tr/product/su-sebilleri/WB13CPB0N" TargetMode="External"/><Relationship Id="rId569" Type="http://schemas.openxmlformats.org/officeDocument/2006/relationships/hyperlink" Target="https://www.siemens-home.bsh-group.com/tr/tr/product/evlilik-kampanyasi-camasir-makineleri/WM14VKH0TR" TargetMode="External"/><Relationship Id="rId70" Type="http://schemas.openxmlformats.org/officeDocument/2006/relationships/hyperlink" Target="https://www.siemens-home.bsh-group.com/tr/tr/product/ankastre/ankastre-firinlar/CN838GRB6" TargetMode="External"/><Relationship Id="rId166" Type="http://schemas.openxmlformats.org/officeDocument/2006/relationships/hyperlink" Target="https://www.siemens-home.bsh-group.com/tr/tr/product/ankastre/ankastre-ocaklar/ET875LMV1D" TargetMode="External"/><Relationship Id="rId331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373" Type="http://schemas.openxmlformats.org/officeDocument/2006/relationships/hyperlink" Target="https://www.siemens-home.bsh-group.com/tr/tr/product/LC97FQP60" TargetMode="External"/><Relationship Id="rId429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580" Type="http://schemas.openxmlformats.org/officeDocument/2006/relationships/hyperlink" Target="https://www.siemens-home.bsh-group.com/tr/tr/product/yikama-ve-utuleme-grubu/kurutma-makineleri/isi-pompali-kurutma-makineleri/WQ42J200TR" TargetMode="External"/><Relationship Id="rId636" Type="http://schemas.openxmlformats.org/officeDocument/2006/relationships/hyperlink" Target="https://www.siemens-home.bsh-group.com/tr/tr/product/pisirme-grubu/ocaklar/induksiyonlu-ocaklar/EX877NVV6E" TargetMode="External"/><Relationship Id="rId1" Type="http://schemas.openxmlformats.org/officeDocument/2006/relationships/hyperlink" Target="https://www.philips.com.tr/c-p/50PUS8009_62/led-50pus8009-4k-ambilight-tv" TargetMode="External"/><Relationship Id="rId233" Type="http://schemas.openxmlformats.org/officeDocument/2006/relationships/hyperlink" Target="https://www.siemens-home.bsh-group.com/tr/tr/product/3d-airfry-ankastre-firinlar/HB656GHW1" TargetMode="External"/><Relationship Id="rId440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28" Type="http://schemas.openxmlformats.org/officeDocument/2006/relationships/hyperlink" Target="https://www.siemens-home.bsh-group.com/tr/supportdetail/product/BF520LMA1/01" TargetMode="External"/><Relationship Id="rId275" Type="http://schemas.openxmlformats.org/officeDocument/2006/relationships/hyperlink" Target="https://www.siemens-home.bsh-group.com/tr/tr/product/KD76NAWE1N" TargetMode="External"/><Relationship Id="rId300" Type="http://schemas.openxmlformats.org/officeDocument/2006/relationships/hyperlink" Target="https://www.siemens-home.bsh-group.com/tr/tr/product/buzdolaplari-ve-derin-dondurucular/solo-buzdolaplari-ve-derin-dondurucular/alttan-donduruculu-solo-buzdolaplari/KG56NVWD0N" TargetMode="External"/><Relationship Id="rId482" Type="http://schemas.openxmlformats.org/officeDocument/2006/relationships/hyperlink" Target="https://www.siemens-home.bsh-group.com/tr/tr/product/TI923309RW" TargetMode="External"/><Relationship Id="rId538" Type="http://schemas.openxmlformats.org/officeDocument/2006/relationships/hyperlink" Target="https://www.siemens-home.bsh-group.com/tr/tr/product/yikama-ve-utuleme-grubu/camasir-makineleri/solo-camasir-makineleri/WG44A2Z1TR" TargetMode="External"/><Relationship Id="rId81" Type="http://schemas.openxmlformats.org/officeDocument/2006/relationships/hyperlink" Target="https://www.siemens-home.bsh-group.com/tr/tr/product/pisirme-grubu/ocaklar/gazli-ocaklar/EB0C2PK80O" TargetMode="External"/><Relationship Id="rId135" Type="http://schemas.openxmlformats.org/officeDocument/2006/relationships/hyperlink" Target="https://www.siemens-home.bsh-group.com/tr/tr/product/pisirme-grubu/ocaklar/gazli-ocaklar/EO7C8HP30O" TargetMode="External"/><Relationship Id="rId177" Type="http://schemas.openxmlformats.org/officeDocument/2006/relationships/hyperlink" Target="https://www.siemens-home.bsh-group.com/tr/tr/product/EX975KXV1E" TargetMode="External"/><Relationship Id="rId342" Type="http://schemas.openxmlformats.org/officeDocument/2006/relationships/hyperlink" Target="https://www.siemens-home.bsh-group.com/tr/tr/product/ankastre/ankastre-davlumbazlar/LC65FCJ60T" TargetMode="External"/><Relationship Id="rId384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591" Type="http://schemas.openxmlformats.org/officeDocument/2006/relationships/hyperlink" Target="https://www.siemens-home.bsh-group.com/tr/tr/product/ldaset2wm/WT00H200TR" TargetMode="External"/><Relationship Id="rId605" Type="http://schemas.openxmlformats.org/officeDocument/2006/relationships/hyperlink" Target="https://www.siemens-home.bsh-group.com/tr/tr/product/ldaset2wm/WG44A2F0TR" TargetMode="External"/><Relationship Id="rId202" Type="http://schemas.openxmlformats.org/officeDocument/2006/relationships/hyperlink" Target="https://www.siemens-home.bsh-group.com/tr/tr/product/3d-airfry-ankastre-firinlar/HB013FBW1T" TargetMode="External"/><Relationship Id="rId244" Type="http://schemas.openxmlformats.org/officeDocument/2006/relationships/hyperlink" Target="https://www.siemens-home.bsh-group.com/tr/tr/product/3d-airfry-ankastre-firinlar/HI133FEW0T" TargetMode="External"/><Relationship Id="rId647" Type="http://schemas.openxmlformats.org/officeDocument/2006/relationships/hyperlink" Target="https://www.siemens-home.bsh-group.com/tr/tr/product/LC66GCD60T" TargetMode="External"/><Relationship Id="rId39" Type="http://schemas.openxmlformats.org/officeDocument/2006/relationships/hyperlink" Target="https://www.siemens-home.bsh-group.com/tr/tr/product/studioline/BI830CNB1" TargetMode="External"/><Relationship Id="rId286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451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493" Type="http://schemas.openxmlformats.org/officeDocument/2006/relationships/hyperlink" Target="https://www.siemens-home.bsh-group.com/tr/tr/product/kucuk-ev-aletleri/TQ505R09" TargetMode="External"/><Relationship Id="rId507" Type="http://schemas.openxmlformats.org/officeDocument/2006/relationships/hyperlink" Target="https://www.siemens-home.bsh-group.com/tr/tr/product/VSC3A330A" TargetMode="External"/><Relationship Id="rId549" Type="http://schemas.openxmlformats.org/officeDocument/2006/relationships/hyperlink" Target="https://www.siemens-home.bsh-group.com/tr/tr/product/yikama-ve-utuleme-grubu/camasir-makineleri/iq300-camasir-makineleri/WG52A2Z0TR" TargetMode="External"/><Relationship Id="rId50" Type="http://schemas.openxmlformats.org/officeDocument/2006/relationships/hyperlink" Target="https://lura.cepkask.com/basket/65" TargetMode="External"/><Relationship Id="rId104" Type="http://schemas.openxmlformats.org/officeDocument/2006/relationships/hyperlink" Target="https://www.siemens-home.bsh-group.com/tr/tr/product/ankastre/ankastre-ocaklar/EN6C6HO12O" TargetMode="External"/><Relationship Id="rId146" Type="http://schemas.openxmlformats.org/officeDocument/2006/relationships/hyperlink" Target="https://www.siemens-home.bsh-group.com/tr/tr/product/pisirme-grubu/ocaklar/gazli-ocaklar/EP6A8HI40" TargetMode="External"/><Relationship Id="rId188" Type="http://schemas.openxmlformats.org/officeDocument/2006/relationships/hyperlink" Target="https://www.siemens-home.bsh-group.com/tr/tr/product/GS24VVWF0N" TargetMode="External"/><Relationship Id="rId311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353" Type="http://schemas.openxmlformats.org/officeDocument/2006/relationships/hyperlink" Target="https://www.siemens-home.bsh-group.com/tr/tr/product/ankastre/ankastre-davlumbazlar/LC67FCK20T" TargetMode="External"/><Relationship Id="rId395" Type="http://schemas.openxmlformats.org/officeDocument/2006/relationships/hyperlink" Target="https://www.siemens-home.bsh-group.com/tr/tr/product/MR008B1" TargetMode="External"/><Relationship Id="rId409" Type="http://schemas.openxmlformats.org/officeDocument/2006/relationships/hyperlink" Target="https://www.siemens-home.bsh-group.com/tr/tr/product/SE23IW60MT" TargetMode="External"/><Relationship Id="rId560" Type="http://schemas.openxmlformats.org/officeDocument/2006/relationships/hyperlink" Target="https://www.siemens-home.bsh-group.com/tr/tr/product/yikama-ve-utuleme-grubu/camasir-makineleri/iq700-camasir-makineleri/WG54B2AXTR" TargetMode="External"/><Relationship Id="rId92" Type="http://schemas.openxmlformats.org/officeDocument/2006/relationships/hyperlink" Target="https://www.siemens-home.bsh-group.com/tr/tr/product/pisirme-grubu/ocaklar/induksiyonlu-ocaklar/ED65KHQB1E" TargetMode="External"/><Relationship Id="rId213" Type="http://schemas.openxmlformats.org/officeDocument/2006/relationships/hyperlink" Target="https://www.siemens-home.bsh-group.com/tr/tr/product/ankastre/ankastre-firinlar/HB234FEW3T" TargetMode="External"/><Relationship Id="rId420" Type="http://schemas.openxmlformats.org/officeDocument/2006/relationships/hyperlink" Target="https://www.siemens-home.bsh-group.com/tr/tr/product/prsiemensdw/SN23HW60MT" TargetMode="External"/><Relationship Id="rId616" Type="http://schemas.openxmlformats.org/officeDocument/2006/relationships/hyperlink" Target="https://www.siemens-home.bsh-group.com/tr/tr/product/EB6C6PB80O" TargetMode="External"/><Relationship Id="rId658" Type="http://schemas.openxmlformats.org/officeDocument/2006/relationships/hyperlink" Target="https://www.siemens-home.bsh-group.com/tr/tr/product/pisirme-grubu/ocaklar/gazli-ocaklar/ER6A6PH40" TargetMode="External"/><Relationship Id="rId255" Type="http://schemas.openxmlformats.org/officeDocument/2006/relationships/hyperlink" Target="https://www.siemens-home.bsh-group.com/tr/tr/product/ankastre/ankastre-firinlar/HS858KXB6" TargetMode="External"/><Relationship Id="rId297" Type="http://schemas.openxmlformats.org/officeDocument/2006/relationships/hyperlink" Target="https://www.siemens-home.bsh-group.com/tr/tr/product/kampanyalar/set-kurutma-firsati/siemensbuiltinset3cooker/KG56NXWE0N" TargetMode="External"/><Relationship Id="rId462" Type="http://schemas.openxmlformats.org/officeDocument/2006/relationships/hyperlink" Target="https://www.siemens-home.bsh-group.com/tr/tr/productservice/SN75EX23CE-66" TargetMode="External"/><Relationship Id="rId518" Type="http://schemas.openxmlformats.org/officeDocument/2006/relationships/hyperlink" Target="https://www.siemens-home.bsh-group.com/tr/tr/product/elektrikli-supurgeler/toz-torbali-torbasiz-elektrikli-supurgeler/VSX41XTRM" TargetMode="External"/><Relationship Id="rId115" Type="http://schemas.openxmlformats.org/officeDocument/2006/relationships/hyperlink" Target="https://www.siemens-home.bsh-group.com/tr/tr/product/ankastre/ankastre-ocaklar/EO6C2PB11O" TargetMode="External"/><Relationship Id="rId157" Type="http://schemas.openxmlformats.org/officeDocument/2006/relationships/hyperlink" Target="https://www.siemens-home.bsh-group.com/tr/tr/product/pisirme-grubu/ocaklar/gazli-ocaklar/ER9A6SH40" TargetMode="External"/><Relationship Id="rId322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364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61" Type="http://schemas.openxmlformats.org/officeDocument/2006/relationships/hyperlink" Target="https://www.siemens-home.bsh-group.com/tr/tr/product/ankastre/ankastre-buzdolaplari-ve-sogutucular/CI30BP02" TargetMode="External"/><Relationship Id="rId199" Type="http://schemas.openxmlformats.org/officeDocument/2006/relationships/hyperlink" Target="https://www.siemens-home.bsh-group.com/tr/tr/product/pisirme-grubu/firinlar/ankastre-firinlar/HB012FBH1T" TargetMode="External"/><Relationship Id="rId571" Type="http://schemas.openxmlformats.org/officeDocument/2006/relationships/hyperlink" Target="https://www.siemens-home.bsh-group.com/tr/tr/product/WN54A2X1TR" TargetMode="External"/><Relationship Id="rId627" Type="http://schemas.openxmlformats.org/officeDocument/2006/relationships/hyperlink" Target="https://www.siemens-home.bsh-group.com/tr/tr/product/ankastre/ankastre-davlumbazlar/LB57574" TargetMode="External"/><Relationship Id="rId19" Type="http://schemas.openxmlformats.org/officeDocument/2006/relationships/hyperlink" Target="https://www.siemens-home.bsh-group.com/tr/tr/product/AS24OVW32N" TargetMode="External"/><Relationship Id="rId224" Type="http://schemas.openxmlformats.org/officeDocument/2006/relationships/hyperlink" Target="https://www.siemens-home.bsh-group.com/tr/tr/product/pisirme-grubu/firinlar/ankastre-firinlar/HB557JEB6T" TargetMode="External"/><Relationship Id="rId266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431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473" Type="http://schemas.openxmlformats.org/officeDocument/2006/relationships/hyperlink" Target="https://www.siemens-home.bsh-group.com/tr/tr/product/TA22005" TargetMode="External"/><Relationship Id="rId529" Type="http://schemas.openxmlformats.org/officeDocument/2006/relationships/hyperlink" Target="https://www.siemens-home.bsh-group.com/tr/tr/product/ldaset2wm/WG42A1ZXTR" TargetMode="External"/><Relationship Id="rId30" Type="http://schemas.openxmlformats.org/officeDocument/2006/relationships/hyperlink" Target="https://www.siemens-home.bsh-group.com/tr/tr/product/BF525LMS0" TargetMode="External"/><Relationship Id="rId126" Type="http://schemas.openxmlformats.org/officeDocument/2006/relationships/hyperlink" Target="https://www.siemens-home.bsh-group.com/tr/tr/product/pisirme-grubu/ocaklar/gazli-ocaklar/EO7C2HP30O" TargetMode="External"/><Relationship Id="rId168" Type="http://schemas.openxmlformats.org/officeDocument/2006/relationships/hyperlink" Target="https://www.siemens-home.bsh-group.com/tr/tr/product/EU611BEB1E" TargetMode="External"/><Relationship Id="rId333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540" Type="http://schemas.openxmlformats.org/officeDocument/2006/relationships/hyperlink" Target="https://www.siemens-home.bsh-group.com/tr/tr/product/prsiemenswm/WG44A2ZXTR" TargetMode="External"/><Relationship Id="rId72" Type="http://schemas.openxmlformats.org/officeDocument/2006/relationships/hyperlink" Target="https://www.siemens-home.bsh-group.com/tr/tr/product/kahve-makineleri/ankastre-tam-otomatik-kahve-makineleri/CT718L1B0" TargetMode="External"/><Relationship Id="rId375" Type="http://schemas.openxmlformats.org/officeDocument/2006/relationships/hyperlink" Target="https://www.siemens-home.bsh-group.com/tr/tr/product/ankastre/ankastre-davlumbazlar/LC97FVW60" TargetMode="External"/><Relationship Id="rId582" Type="http://schemas.openxmlformats.org/officeDocument/2006/relationships/hyperlink" Target="https://www.siemens-home.bsh-group.com/tr/tr/product/yikama-ve-utuleme-grubu/kurutma-makineleri/isi-pompali-kurutma-makineleri/WQ43J2C0TR" TargetMode="External"/><Relationship Id="rId638" Type="http://schemas.openxmlformats.org/officeDocument/2006/relationships/hyperlink" Target="https://www.siemens-home.bsh-group.com/tr/tr/product/buzdolaplari-ve-derin-dondurucular/solo-buzdolaplari-ve-derin-dondurucular/alttan-donduruculu-solo-buzdolaplari/KG56NVPD0N" TargetMode="External"/><Relationship Id="rId3" Type="http://schemas.openxmlformats.org/officeDocument/2006/relationships/hyperlink" Target="https://www.philips.com.tr/c-p/55PUS8349_62/led-55pus8349-4k-ambilight-tv" TargetMode="External"/><Relationship Id="rId235" Type="http://schemas.openxmlformats.org/officeDocument/2006/relationships/hyperlink" Target="https://www.siemens-home.bsh-group.com/tr/tr/product/pisirme-grubu/firinlar/ankastre-firinlar/HB734G1B1" TargetMode="External"/><Relationship Id="rId277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400" Type="http://schemas.openxmlformats.org/officeDocument/2006/relationships/hyperlink" Target="https://www.epey.com/televizyon/philips-55pus8118.html" TargetMode="External"/><Relationship Id="rId442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84" Type="http://schemas.openxmlformats.org/officeDocument/2006/relationships/hyperlink" Target="https://www.siemens-home.bsh-group.com/tr/tr/product/kucuk-ev-aletleri/TP501R09" TargetMode="External"/><Relationship Id="rId137" Type="http://schemas.openxmlformats.org/officeDocument/2006/relationships/hyperlink" Target="https://www.siemens-home.bsh-group.com/tr/tr/product/pisirme-grubu/ocaklar/gazli-ocaklar/EO7C8PP30O" TargetMode="External"/><Relationship Id="rId302" Type="http://schemas.openxmlformats.org/officeDocument/2006/relationships/hyperlink" Target="https://www.siemens-home.bsh-group.com/tr/tr/product/buzdolaplari-ve-derin-dondurucular/solo-buzdolaplari-ve-derin-dondurucular/alttan-donduruculu-solo-buzdolaplari/KG56NVPD0N" TargetMode="External"/><Relationship Id="rId344" Type="http://schemas.openxmlformats.org/officeDocument/2006/relationships/hyperlink" Target="https://www.siemens-home.bsh-group.com/tr/tr/product/ankastre/ankastre-davlumbazlar/LC65KAJ30T" TargetMode="External"/><Relationship Id="rId41" Type="http://schemas.openxmlformats.org/officeDocument/2006/relationships/hyperlink" Target="https://www.siemens-home.bsh-group.com/tr/tr/product/ankastre/ankastre-firinlar/CD634GAS0" TargetMode="External"/><Relationship Id="rId83" Type="http://schemas.openxmlformats.org/officeDocument/2006/relationships/hyperlink" Target="https://www.siemens-home.bsh-group.com/tr/tr/product/EB0C5PB82O" TargetMode="External"/><Relationship Id="rId179" Type="http://schemas.openxmlformats.org/officeDocument/2006/relationships/hyperlink" Target="https://www.siemens-home.bsh-group.com/tr/tr/product/pisirme-grubu/ocaklar/induksiyonlu-ocaklar/EZ877KZY1E" TargetMode="External"/><Relationship Id="rId386" Type="http://schemas.openxmlformats.org/officeDocument/2006/relationships/hyperlink" Target="https://www.siemens-home.bsh-group.com/tr/tr/product/ankastre/ankastre-davlumbazlar/LI63TCA21T" TargetMode="External"/><Relationship Id="rId551" Type="http://schemas.openxmlformats.org/officeDocument/2006/relationships/hyperlink" Target="https://www.siemens-home.bsh-group.com/tr/tr/product/yikama-ve-utuleme-grubu/camasir-makineleri/solo-camasir-makineleri/WG52K2Z0TR" TargetMode="External"/><Relationship Id="rId593" Type="http://schemas.openxmlformats.org/officeDocument/2006/relationships/hyperlink" Target="https://www.siemens-home.bsh-group.com/tr/tr/product/prsiemensdryer/WT45W41STR" TargetMode="External"/><Relationship Id="rId607" Type="http://schemas.openxmlformats.org/officeDocument/2006/relationships/hyperlink" Target="https://www.siemens-home.bsh-group.com/tr/tr/product/ankastre/ankastre-davlumbazlar/LB55565" TargetMode="External"/><Relationship Id="rId649" Type="http://schemas.openxmlformats.org/officeDocument/2006/relationships/hyperlink" Target="https://www.siemens-home.bsh-group.com/tr/tr/product/bulasik-makineleri/ankastre-bulasik-makineleri/yari-ankastre-bulasik-makineleri/semi-integrated-dishwashers-60-cm-width/SN53ES63MT" TargetMode="External"/><Relationship Id="rId190" Type="http://schemas.openxmlformats.org/officeDocument/2006/relationships/hyperlink" Target="https://www.siemens-home.bsh-group.com/tr/tr/product/ldaset2ref/GS29VVWE0N" TargetMode="External"/><Relationship Id="rId204" Type="http://schemas.openxmlformats.org/officeDocument/2006/relationships/hyperlink" Target="https://www.siemens-home.bsh-group.com/tr/tr/product/3d-airfry-ankastre-firinlar/HB214FBS0T" TargetMode="External"/><Relationship Id="rId246" Type="http://schemas.openxmlformats.org/officeDocument/2006/relationships/hyperlink" Target="https://www.siemens-home.bsh-group.com/tr/tr/product/pisirme-grubu/firinlar/ankastre-firinlar/HJ852GYB0T" TargetMode="External"/><Relationship Id="rId288" Type="http://schemas.openxmlformats.org/officeDocument/2006/relationships/hyperlink" Target="https://www.siemens-home.bsh-group.com/tr/tr/product/prsiemensfridge/KG36NNLE0N" TargetMode="External"/><Relationship Id="rId411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453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509" Type="http://schemas.openxmlformats.org/officeDocument/2006/relationships/hyperlink" Target="https://www.siemens-home.bsh-group.com/tr/tr/product/kucuk-ev-aletleri/VSC7X300" TargetMode="External"/><Relationship Id="rId660" Type="http://schemas.openxmlformats.org/officeDocument/2006/relationships/hyperlink" Target="https://www.siemens-home.bsh-group.com/tr/tr/product/pisirme-grubu/ocaklar/domino-ocaklar/ER3A6BI40" TargetMode="External"/><Relationship Id="rId106" Type="http://schemas.openxmlformats.org/officeDocument/2006/relationships/hyperlink" Target="https://www.siemens-home.bsh-group.com/tr/tr/product/ankastre/ankastre-ocaklar/EN6C9HO12O" TargetMode="External"/><Relationship Id="rId313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495" Type="http://schemas.openxmlformats.org/officeDocument/2006/relationships/hyperlink" Target="https://www.siemens-home.bsh-group.com/tr/tr/product/kucuk-ev-aletleri/TQ703R07" TargetMode="External"/><Relationship Id="rId10" Type="http://schemas.openxmlformats.org/officeDocument/2006/relationships/hyperlink" Target="https://www.siemens-home.bsh-group.com/tr/tr/product/klimalar/AS12XVW32N" TargetMode="External"/><Relationship Id="rId52" Type="http://schemas.openxmlformats.org/officeDocument/2006/relationships/hyperlink" Target="https://lura.cepkask.com/basket/67" TargetMode="External"/><Relationship Id="rId94" Type="http://schemas.openxmlformats.org/officeDocument/2006/relationships/hyperlink" Target="https://www.siemens-home.bsh-group.com/tr/tr/product/EG6B5HB60O" TargetMode="External"/><Relationship Id="rId148" Type="http://schemas.openxmlformats.org/officeDocument/2006/relationships/hyperlink" Target="https://www.siemens-home.bsh-group.com/tr/tr/product/pisirme-grubu/ocaklar/gazli-ocaklar/EP7A2QI40" TargetMode="External"/><Relationship Id="rId355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397" Type="http://schemas.openxmlformats.org/officeDocument/2006/relationships/hyperlink" Target="https://www.philips.com.tr/c-p/65PUS8609_62/led-65pus8609-4k-ambilight-tv" TargetMode="External"/><Relationship Id="rId520" Type="http://schemas.openxmlformats.org/officeDocument/2006/relationships/hyperlink" Target="https://www.siemens-home.bsh-group.com/tr/tr/product/VSX4A212" TargetMode="External"/><Relationship Id="rId562" Type="http://schemas.openxmlformats.org/officeDocument/2006/relationships/hyperlink" Target="https://www.siemens-home.bsh-group.com/tr/tr/product/yikama-ve-utuleme-grubu/camasir-makineleri/solo-camasir-makineleri/WG64K2F0TR" TargetMode="External"/><Relationship Id="rId618" Type="http://schemas.openxmlformats.org/officeDocument/2006/relationships/hyperlink" Target="https://www.siemens-home.bsh-group.com/tr/tr/product/prsiemensfridge/KD86NAWF1N" TargetMode="External"/><Relationship Id="rId215" Type="http://schemas.openxmlformats.org/officeDocument/2006/relationships/hyperlink" Target="https://www.siemens-home.bsh-group.com/tr/tr/product/pisirme-grubu/firinlar/ankastre-firinlar/HB237FEG5T" TargetMode="External"/><Relationship Id="rId257" Type="http://schemas.openxmlformats.org/officeDocument/2006/relationships/hyperlink" Target="https://www.siemens-home.bsh-group.com/tr/tr/product/pisirme-grubu/buharli-firinlar/buharli-firinlar/HU717ABN0T" TargetMode="External"/><Relationship Id="rId422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464" Type="http://schemas.openxmlformats.org/officeDocument/2006/relationships/hyperlink" Target="https://www.siemens-home.bsh-group.com/tr/tr/product/ankastre/ankastre-bulasik-makineleri/SN85E800BE" TargetMode="External"/><Relationship Id="rId299" Type="http://schemas.openxmlformats.org/officeDocument/2006/relationships/hyperlink" Target="https://www.siemens-home.bsh-group.com/tr/tr/product/buzdolaplari-ve-derin-dondurucular/solo-buzdolaplari-ve-derin-dondurucular/alttan-donduruculu-solo-buzdolaplari/KG56NNWD0N" TargetMode="External"/><Relationship Id="rId63" Type="http://schemas.openxmlformats.org/officeDocument/2006/relationships/hyperlink" Target="https://www.siemens-home.bsh-group.com/tr/supportdetail/product/CI30ZSETB2(00)" TargetMode="External"/><Relationship Id="rId159" Type="http://schemas.openxmlformats.org/officeDocument/2006/relationships/hyperlink" Target="https://www.siemens-home.bsh-group.com/tr/tr/product/ankastre/ankastre-ocaklar/ET475FYB1E" TargetMode="External"/><Relationship Id="rId366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573" Type="http://schemas.openxmlformats.org/officeDocument/2006/relationships/hyperlink" Target="https://www.siemens-home.bsh-group.com/tr/tr/product/yikama-ve-utuleme-grubu/kurutmali-camasir-makineleri/wash-dryers/WN54C2A0TR" TargetMode="External"/><Relationship Id="rId226" Type="http://schemas.openxmlformats.org/officeDocument/2006/relationships/hyperlink" Target="https://www.siemens-home.bsh-group.com/tr/tr/product/ankastre/ankastre-firinlar/HB557JYH2T" TargetMode="External"/><Relationship Id="rId433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640" Type="http://schemas.openxmlformats.org/officeDocument/2006/relationships/hyperlink" Target="https://www.siemens-home.bsh-group.com/tr/tr/product/AS18IVW32N" TargetMode="External"/><Relationship Id="rId74" Type="http://schemas.openxmlformats.org/officeDocument/2006/relationships/hyperlink" Target="https://www.siemens-home.bsh-group.com/tr/tr/product/DE2124407M" TargetMode="External"/><Relationship Id="rId377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500" Type="http://schemas.openxmlformats.org/officeDocument/2006/relationships/hyperlink" Target="https://www.siemens-home.bsh-group.com/tr/tr/product/TW3A0103" TargetMode="External"/><Relationship Id="rId584" Type="http://schemas.openxmlformats.org/officeDocument/2006/relationships/hyperlink" Target="https://www.siemens-home.bsh-group.com/tr/tr/product/prsiemensdryer/WQ44G2CTTR" TargetMode="External"/><Relationship Id="rId5" Type="http://schemas.openxmlformats.org/officeDocument/2006/relationships/hyperlink" Target="https://www.siemens-home.bsh-group.com/tr/tr/product/klimalar/AS09XVW32N" TargetMode="External"/><Relationship Id="rId237" Type="http://schemas.openxmlformats.org/officeDocument/2006/relationships/hyperlink" Target="https://www.siemens-home.bsh-group.com/tr/tr/product/pisirme-grubu/firinlar/ankastre-firinlar/HB776G1B1" TargetMode="External"/><Relationship Id="rId444" Type="http://schemas.openxmlformats.org/officeDocument/2006/relationships/hyperlink" Target="https://www.siemens-home.bsh-group.com/tr/tr/product/ankastre/ankastre-bulasik-makineleri/SN515S01DT" TargetMode="External"/><Relationship Id="rId651" Type="http://schemas.openxmlformats.org/officeDocument/2006/relationships/hyperlink" Target="https://www.siemens-home.bsh-group.com/tr/tr/product/WG54B200TR" TargetMode="External"/><Relationship Id="rId290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304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388" Type="http://schemas.openxmlformats.org/officeDocument/2006/relationships/hyperlink" Target="https://www.siemens-home.bsh-group.com/tr/tr/product/MQ66120" TargetMode="External"/><Relationship Id="rId511" Type="http://schemas.openxmlformats.org/officeDocument/2006/relationships/hyperlink" Target="https://www.siemens-home.bsh-group.com/tr/tr/product/elektrikli-supurgeler/sarjli-supurgeler/VSM120HYG" TargetMode="External"/><Relationship Id="rId609" Type="http://schemas.openxmlformats.org/officeDocument/2006/relationships/hyperlink" Target="https://www.siemens-home.bsh-group.com/tr/tr/product/prsiemensdw/SN25EI80AT" TargetMode="External"/><Relationship Id="rId85" Type="http://schemas.openxmlformats.org/officeDocument/2006/relationships/hyperlink" Target="https://www.siemens-home.bsh-group.com/tr/tr/product/EB6C5YB82L" TargetMode="External"/><Relationship Id="rId150" Type="http://schemas.openxmlformats.org/officeDocument/2006/relationships/hyperlink" Target="https://www.siemens-home.bsh-group.com/tr/tr/product/ankastre/ankastre-ocaklar/EP7A6QB20" TargetMode="External"/><Relationship Id="rId595" Type="http://schemas.openxmlformats.org/officeDocument/2006/relationships/hyperlink" Target="https://www.siemens-home.bsh-group.com/tr/tr/product/EB6C2PB80O" TargetMode="External"/><Relationship Id="rId248" Type="http://schemas.openxmlformats.org/officeDocument/2006/relationships/hyperlink" Target="https://www.siemens-home.bsh-group.com/tr/tr/product/pisirme-grubu/firinlar/ankastre-firinlar/HJ852GYW0T" TargetMode="External"/><Relationship Id="rId455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662" Type="http://schemas.openxmlformats.org/officeDocument/2006/relationships/hyperlink" Target="https://www.siemens-home.bsh-group.com/tr/tr/product/pisirme-grubu/ocaklar/gazli-ocaklar/EP6A2PI40O" TargetMode="External"/><Relationship Id="rId12" Type="http://schemas.openxmlformats.org/officeDocument/2006/relationships/hyperlink" Target="https://www.siemens-home.bsh-group.com/tr/tr/product/klimalar/AS18XVW32N" TargetMode="External"/><Relationship Id="rId108" Type="http://schemas.openxmlformats.org/officeDocument/2006/relationships/hyperlink" Target="https://www.siemens-home.bsh-group.com/tr/tr/product/EN7B2PO10O" TargetMode="External"/><Relationship Id="rId315" Type="http://schemas.openxmlformats.org/officeDocument/2006/relationships/hyperlink" Target="https://www.siemens-home.bsh-group.com/tr/tr/product/kampanyalar/supurge-hediye-firsati/KG86PAWC0N" TargetMode="External"/><Relationship Id="rId522" Type="http://schemas.openxmlformats.org/officeDocument/2006/relationships/hyperlink" Target="https://www.siemens-home.bsh-group.com/tr/tr/product/VSZ2V210" TargetMode="External"/><Relationship Id="rId96" Type="http://schemas.openxmlformats.org/officeDocument/2006/relationships/hyperlink" Target="https://www.siemens-home.bsh-group.com/tr/tr/product/ankastre/ankastre-ocaklar/EH811BE15E" TargetMode="External"/><Relationship Id="rId161" Type="http://schemas.openxmlformats.org/officeDocument/2006/relationships/hyperlink" Target="https://www.siemens-home.bsh-group.com/tr/tr/product/pisirme-grubu/ocaklar/seramik-ocaklar/ET612FEA1E" TargetMode="External"/><Relationship Id="rId399" Type="http://schemas.openxmlformats.org/officeDocument/2006/relationships/hyperlink" Target="https://www.epey.com/televizyon/philips-55pus8118.html" TargetMode="External"/><Relationship Id="rId259" Type="http://schemas.openxmlformats.org/officeDocument/2006/relationships/hyperlink" Target="https://www.siemens-home.bsh-group.com/tr/tr/product/pisirme-grubu/buharli-firinlar/buharli-firinlar/HU736AEA0T" TargetMode="External"/><Relationship Id="rId466" Type="http://schemas.openxmlformats.org/officeDocument/2006/relationships/hyperlink" Target="https://www.siemens-home.bsh-group.com/tr/tr/product/bulasik-makineleri/ankastre-bulasik-makineleri/tam-ankastre-bulasik-makineleri/fully-integrated-60-cm-width/SN85E803BE" TargetMode="External"/><Relationship Id="rId23" Type="http://schemas.openxmlformats.org/officeDocument/2006/relationships/hyperlink" Target="https://www.siemens-home.bsh-group.com/tr/tr/product/BE525LMS0" TargetMode="External"/><Relationship Id="rId119" Type="http://schemas.openxmlformats.org/officeDocument/2006/relationships/hyperlink" Target="https://www.siemens-home.bsh-group.com/tr/tr/product/EO6C6PO90O" TargetMode="External"/><Relationship Id="rId326" Type="http://schemas.openxmlformats.org/officeDocument/2006/relationships/hyperlink" Target="https://www.siemens-home.bsh-group.com/tr/tr/product/ankastre/ankastre-davlumbazlar/LB75565" TargetMode="External"/><Relationship Id="rId533" Type="http://schemas.openxmlformats.org/officeDocument/2006/relationships/hyperlink" Target="https://www.siemens-home.bsh-group.com/tr/tr/product/yikama-ve-utuleme-grubu/camasir-makineleri/solo-camasir-makineleri/WG42K2Z0TR" TargetMode="External"/><Relationship Id="rId172" Type="http://schemas.openxmlformats.org/officeDocument/2006/relationships/hyperlink" Target="https://www.siemens-home.bsh-group.com/tr/tr/product/pisirme-grubu/ocaklar/induksiyonlu-ocaklar/EX807NYV6E" TargetMode="External"/><Relationship Id="rId477" Type="http://schemas.openxmlformats.org/officeDocument/2006/relationships/hyperlink" Target="https://www.siemens-home.bsh-group.com/tr/tr/product/TE653311RW" TargetMode="External"/><Relationship Id="rId600" Type="http://schemas.openxmlformats.org/officeDocument/2006/relationships/hyperlink" Target="https://www.siemens-home.bsh-group.com/tr/tr/product/pisirme-grubu/firinlar/ankastre-firinlar/HB011FBA1T" TargetMode="External"/><Relationship Id="rId337" Type="http://schemas.openxmlformats.org/officeDocument/2006/relationships/hyperlink" Target="https://www.siemens-home.bsh-group.com/tr/tr/product/ankastre/ankastre-davlumbazlar/LC64PCC50T" TargetMode="External"/><Relationship Id="rId34" Type="http://schemas.openxmlformats.org/officeDocument/2006/relationships/hyperlink" Target="https://www.siemens-home.bsh-group.com/tr/tr/product/pisirme-grubu/firinlar/kompakt-firinlar/BF623LMW3" TargetMode="External"/><Relationship Id="rId544" Type="http://schemas.openxmlformats.org/officeDocument/2006/relationships/hyperlink" Target="https://www.siemens-home.bsh-group.com/tr/tr/product/yikama-ve-utuleme-grubu/camasir-makineleri/solo-camasir-makineleri/WG52A202TR" TargetMode="External"/><Relationship Id="rId183" Type="http://schemas.openxmlformats.org/officeDocument/2006/relationships/hyperlink" Target="https://www.siemens-home.bsh-group.com/tr/tr/product/studioline/FI24NP32" TargetMode="External"/><Relationship Id="rId390" Type="http://schemas.openxmlformats.org/officeDocument/2006/relationships/hyperlink" Target="https://www.siemens-home.bsh-group.com/tr/tr/product/MQ67110" TargetMode="External"/><Relationship Id="rId404" Type="http://schemas.openxmlformats.org/officeDocument/2006/relationships/hyperlink" Target="https://www.epey.com/televizyon/philips-65pus8548.html" TargetMode="External"/><Relationship Id="rId611" Type="http://schemas.openxmlformats.org/officeDocument/2006/relationships/hyperlink" Target="https://www.siemens-home.bsh-group.com/tr/tr/product/SN53IS60MT" TargetMode="External"/><Relationship Id="rId250" Type="http://schemas.openxmlformats.org/officeDocument/2006/relationships/hyperlink" Target="https://www.siemens-home.bsh-group.com/tr/tr/product/pisirme-grubu/firinlar/mikrodalgali-firinlar/HN978GQB1" TargetMode="External"/><Relationship Id="rId488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5" Type="http://schemas.openxmlformats.org/officeDocument/2006/relationships/hyperlink" Target="https://lura.cepkask.com/basket/59" TargetMode="External"/><Relationship Id="rId110" Type="http://schemas.openxmlformats.org/officeDocument/2006/relationships/hyperlink" Target="https://www.siemens-home.bsh-group.com/tr/tr/product/pisirme-grubu/ocaklar/gazli-ocaklar/EN7B2QP30O" TargetMode="External"/><Relationship Id="rId348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555" Type="http://schemas.openxmlformats.org/officeDocument/2006/relationships/hyperlink" Target="https://www.siemens-home.bsh-group.com/tr/tr/product/prsiemenswm/WG54A200TR" TargetMode="External"/><Relationship Id="rId194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208" Type="http://schemas.openxmlformats.org/officeDocument/2006/relationships/hyperlink" Target="https://www.siemens-home.bsh-group.com/tr/tr/product/3d-airfry-ankastre-firinlar/HB234FEH0T" TargetMode="External"/><Relationship Id="rId415" Type="http://schemas.openxmlformats.org/officeDocument/2006/relationships/hyperlink" Target="https://www.siemens-home.bsh-group.com/tr/tr/product/prsiemensdw/SN234I01DT" TargetMode="External"/><Relationship Id="rId622" Type="http://schemas.openxmlformats.org/officeDocument/2006/relationships/hyperlink" Target="https://www.siemens-home.bsh-group.com/tr/tr/product/prsiemensdw/SN23IW60MT" TargetMode="External"/><Relationship Id="rId261" Type="http://schemas.openxmlformats.org/officeDocument/2006/relationships/hyperlink" Target="https://www.siemens-home.bsh-group.com/tr/tr/product/pisirme-grubu/buharli-firinlar/buharli-firinlar/HU736AEN0T" TargetMode="External"/><Relationship Id="rId499" Type="http://schemas.openxmlformats.org/officeDocument/2006/relationships/hyperlink" Target="https://www.siemens-home.bsh-group.com/tr/tr/product/TT86103" TargetMode="External"/><Relationship Id="rId56" Type="http://schemas.openxmlformats.org/officeDocument/2006/relationships/hyperlink" Target="https://www.siemens-home.bsh-group.com/tr/tr/product/CI10Z490" TargetMode="External"/><Relationship Id="rId359" Type="http://schemas.openxmlformats.org/officeDocument/2006/relationships/hyperlink" Target="https://www.siemens-home.bsh-group.com/tr/tr/product/ankastre/ankastre-davlumbazlar/LC68KAK20T" TargetMode="External"/><Relationship Id="rId566" Type="http://schemas.openxmlformats.org/officeDocument/2006/relationships/hyperlink" Target="https://www.siemens-home.bsh-group.com/tr/tr/product/yikama-ve-utuleme-grubu/camasir-makineleri/solo-camasir-makineleri/WM12N180TR" TargetMode="External"/><Relationship Id="rId121" Type="http://schemas.openxmlformats.org/officeDocument/2006/relationships/hyperlink" Target="https://www.siemens-home.bsh-group.com/tr/tr/product/pisirme-grubu/ocaklar/gazli-ocaklar/EO6C6PP30O" TargetMode="External"/><Relationship Id="rId219" Type="http://schemas.openxmlformats.org/officeDocument/2006/relationships/hyperlink" Target="https://www.siemens-home.bsh-group.com/tr/tr/product/3d-airfry-ankastre-firinlar/HB514FBH0T" TargetMode="External"/><Relationship Id="rId426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633" Type="http://schemas.openxmlformats.org/officeDocument/2006/relationships/hyperlink" Target="https://www.siemens-home.bsh-group.com/tr/tr/product/pisirme-grubu/davlumbazlar-ve-aspiratorler/entegre-ankastre-davlumbazlar/integrated-design-hood/LJ65BCC60" TargetMode="External"/><Relationship Id="rId67" Type="http://schemas.openxmlformats.org/officeDocument/2006/relationships/hyperlink" Target="https://www.siemens-home.bsh-group.com/tr/tr/product/arsiv/CI60Z200" TargetMode="External"/><Relationship Id="rId272" Type="http://schemas.openxmlformats.org/officeDocument/2006/relationships/hyperlink" Target="https://www.siemens-home.bsh-group.com/tr/tr/product/kampanyalar/supurge-hediye-firsati/KD76NAIE0N" TargetMode="External"/><Relationship Id="rId577" Type="http://schemas.openxmlformats.org/officeDocument/2006/relationships/hyperlink" Target="https://www.siemens-home.bsh-group.com/tr/tr/product/kampanyalar/lda-kurutma-kampanyasi/WQ41G2C0TR" TargetMode="External"/><Relationship Id="rId132" Type="http://schemas.openxmlformats.org/officeDocument/2006/relationships/hyperlink" Target="https://www.siemens-home.bsh-group.com/tr/tr/product/pisirme-grubu/ocaklar/gazli-ocaklar/EO7C6HP30O" TargetMode="External"/><Relationship Id="rId437" Type="http://schemas.openxmlformats.org/officeDocument/2006/relationships/hyperlink" Target="https://www.siemens-home.bsh-group.com/tr/tr/product/prsiemensdw/SN25HW80MT" TargetMode="External"/><Relationship Id="rId644" Type="http://schemas.openxmlformats.org/officeDocument/2006/relationships/hyperlink" Target="https://www.siemens-home.bsh-group.com/tr/tr/product/EO7C6PO10O" TargetMode="External"/><Relationship Id="rId283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490" Type="http://schemas.openxmlformats.org/officeDocument/2006/relationships/hyperlink" Target="https://www.siemens-home.bsh-group.com/tr/tr/product/kucuk-ev-aletleri/TP703R09" TargetMode="External"/><Relationship Id="rId504" Type="http://schemas.openxmlformats.org/officeDocument/2006/relationships/hyperlink" Target="https://www.siemens-home.bsh-group.com/tr/tr/product/elektrikli-supurgeler/toz-torbali-torbasiz-elektrikli-supurgeler/VS06B1110" TargetMode="External"/><Relationship Id="rId78" Type="http://schemas.openxmlformats.org/officeDocument/2006/relationships/hyperlink" Target="https://www.siemens-home.bsh-group.com/tr/tr/product/su-sebilleri/DW15703" TargetMode="External"/><Relationship Id="rId143" Type="http://schemas.openxmlformats.org/officeDocument/2006/relationships/hyperlink" Target="https://www.siemens-home.bsh-group.com/tr/tr/product/ankastre/ankastre-ocaklar/EP6A6PB20" TargetMode="External"/><Relationship Id="rId350" Type="http://schemas.openxmlformats.org/officeDocument/2006/relationships/hyperlink" Target="https://www.siemens-home.bsh-group.com/tr/tr/product/ankastre/ankastre-davlumbazlar/LC67BBK20T" TargetMode="External"/><Relationship Id="rId588" Type="http://schemas.openxmlformats.org/officeDocument/2006/relationships/hyperlink" Target="https://www.siemens-home.bsh-group.com/tr/tr/product/yikama-ve-utuleme-grubu/kurutma-makineleri/isi-pompali-kurutma-makineleri/WQ52G201TR" TargetMode="External"/><Relationship Id="rId9" Type="http://schemas.openxmlformats.org/officeDocument/2006/relationships/hyperlink" Target="https://www.siemens-home.bsh-group.com/tr/tr/product/klimalar/AS12XVW32N" TargetMode="External"/><Relationship Id="rId210" Type="http://schemas.openxmlformats.org/officeDocument/2006/relationships/hyperlink" Target="https://www.siemens-home.bsh-group.com/tr/tr/product/3d-airfry-ankastre-firinlar/HB234FEW0T" TargetMode="External"/><Relationship Id="rId448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655" Type="http://schemas.openxmlformats.org/officeDocument/2006/relationships/hyperlink" Target="https://www.siemens-home.bsh-group.com/tr/tr/product/pisirme-grubu/ocaklar/induksiyonlu-ocaklar/EX801LYC1E" TargetMode="External"/><Relationship Id="rId294" Type="http://schemas.openxmlformats.org/officeDocument/2006/relationships/hyperlink" Target="https://www.siemens-home.bsh-group.com/tr/tr/product/prsiemensfridge/KG56NQWF0N" TargetMode="External"/><Relationship Id="rId308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515" Type="http://schemas.openxmlformats.org/officeDocument/2006/relationships/hyperlink" Target="https://www.siemens-home.bsh-group.com/tr/tr/product/elektrikli-supurgeler/toz-torbali-torbasiz-elektrikli-supurgeler/VSX21A320" TargetMode="External"/><Relationship Id="rId89" Type="http://schemas.openxmlformats.org/officeDocument/2006/relationships/hyperlink" Target="https://www.siemens-home.bsh-group.com/tr/tr/product/pisirme-grubu/ocaklar/gazli-ocaklar/EC7A5RI90" TargetMode="External"/><Relationship Id="rId154" Type="http://schemas.openxmlformats.org/officeDocument/2006/relationships/hyperlink" Target="https://www.siemens-home.bsh-group.com/tr/tr/product/pisirme-grubu/ocaklar/domino-ocaklar/ER3A6AB70" TargetMode="External"/><Relationship Id="rId361" Type="http://schemas.openxmlformats.org/officeDocument/2006/relationships/hyperlink" Target="https://www.siemens-home.bsh-group.com/tr/tr/product/LC68KPK60T" TargetMode="External"/><Relationship Id="rId599" Type="http://schemas.openxmlformats.org/officeDocument/2006/relationships/hyperlink" Target="https://www.siemens-home.bsh-group.com/tr/tr/product/ankastre/ankastre-davlumbazlar/LC67BBK00T" TargetMode="External"/><Relationship Id="rId459" Type="http://schemas.openxmlformats.org/officeDocument/2006/relationships/hyperlink" Target="https://www.siemens-home.bsh-group.com/tr/tr/product/ankastre/ankastre-bulasik-makineleri/SN63IX62MT" TargetMode="External"/><Relationship Id="rId666" Type="http://schemas.openxmlformats.org/officeDocument/2006/relationships/hyperlink" Target="https://www.siemens-home.bsh-group.com/tr/tr/product/kahve-makineleri/tam-otomatik-kahve-makineleri/coffeemachinesautomatedfreestandingeq600/TP607ET5" TargetMode="External"/><Relationship Id="rId16" Type="http://schemas.openxmlformats.org/officeDocument/2006/relationships/hyperlink" Target="https://www.siemens-home.bsh-group.com/tr/tr/product/klimalar/AS24XVW32N" TargetMode="External"/><Relationship Id="rId221" Type="http://schemas.openxmlformats.org/officeDocument/2006/relationships/hyperlink" Target="https://www.siemens-home.bsh-group.com/tr/tr/product/ankastre/ankastre-firinlar/HB514FBR1T" TargetMode="External"/><Relationship Id="rId319" Type="http://schemas.openxmlformats.org/officeDocument/2006/relationships/hyperlink" Target="https://www.siemens-home.bsh-group.com/tr/tr/product/buzdolaplari-ve-derin-dondurucular/ankastre-buzdolaplari-ve-derin-dondurucular/ankastre-buzdolaplari/KI82LADD0" TargetMode="External"/><Relationship Id="rId526" Type="http://schemas.openxmlformats.org/officeDocument/2006/relationships/hyperlink" Target="https://www.siemens-home.bsh-group.com/tr/tr/product/prsiemenswm/WA12LPH0TR" TargetMode="External"/><Relationship Id="rId165" Type="http://schemas.openxmlformats.org/officeDocument/2006/relationships/hyperlink" Target="https://www.siemens-home.bsh-group.com/tr/tr/product/ankastre/ankastre-ocaklar/ET875LMV1D" TargetMode="External"/><Relationship Id="rId372" Type="http://schemas.openxmlformats.org/officeDocument/2006/relationships/hyperlink" Target="https://www.siemens-home.bsh-group.com/tr/tr/product/ankastre/ankastre-davlumbazlar/LC97BBM50T" TargetMode="External"/><Relationship Id="rId232" Type="http://schemas.openxmlformats.org/officeDocument/2006/relationships/hyperlink" Target="https://www.siemens-home.bsh-group.com/tr/tr/product/arsiv/HB655GNW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7104-0579-4620-9E9B-E63FA435C55F}">
  <dimension ref="A1:Z489"/>
  <sheetViews>
    <sheetView tabSelected="1" zoomScale="90" zoomScaleNormal="90" workbookViewId="0">
      <pane ySplit="1" topLeftCell="A2" activePane="bottomLeft" state="frozen"/>
      <selection pane="bottomLeft" activeCell="A2" sqref="A2"/>
    </sheetView>
  </sheetViews>
  <sheetFormatPr defaultColWidth="17.85546875" defaultRowHeight="17.25"/>
  <cols>
    <col min="1" max="1" width="17.85546875" style="87"/>
    <col min="2" max="2" width="54.85546875" style="40" customWidth="1"/>
    <col min="3" max="3" width="7.5703125" style="13" customWidth="1"/>
    <col min="4" max="4" width="7" style="14" customWidth="1"/>
    <col min="5" max="5" width="6.42578125" style="15" bestFit="1" customWidth="1"/>
    <col min="6" max="6" width="4.28515625" style="15" bestFit="1" customWidth="1"/>
    <col min="7" max="7" width="5.42578125" style="15" bestFit="1" customWidth="1"/>
    <col min="8" max="8" width="6" style="15" customWidth="1"/>
    <col min="9" max="9" width="6.7109375" style="61" customWidth="1"/>
    <col min="10" max="10" width="4.7109375" style="61" bestFit="1" customWidth="1"/>
    <col min="11" max="11" width="5.85546875" style="16" customWidth="1"/>
    <col min="12" max="12" width="6.42578125" style="16" customWidth="1"/>
    <col min="13" max="13" width="7.140625" style="61" customWidth="1"/>
    <col min="14" max="14" width="6.85546875" style="73" customWidth="1"/>
    <col min="15" max="15" width="5.28515625" style="74" customWidth="1"/>
    <col min="16" max="16" width="11.5703125" style="67" bestFit="1" customWidth="1"/>
    <col min="17" max="17" width="10.28515625" style="145" customWidth="1"/>
    <col min="18" max="18" width="12" style="149" bestFit="1" customWidth="1"/>
    <col min="19" max="20" width="9.85546875" style="16" bestFit="1" customWidth="1"/>
    <col min="21" max="21" width="10.85546875" style="69" customWidth="1"/>
    <col min="22" max="22" width="8.85546875" style="15" bestFit="1" customWidth="1"/>
    <col min="23" max="23" width="13.140625" style="75" bestFit="1" customWidth="1"/>
    <col min="24" max="24" width="17.85546875" style="144"/>
    <col min="25" max="25" width="17.85546875" style="61"/>
  </cols>
  <sheetData>
    <row r="1" spans="1:26" s="4" customFormat="1" ht="61.5" customHeight="1">
      <c r="A1" s="89" t="s">
        <v>0</v>
      </c>
      <c r="B1" s="43" t="s">
        <v>1</v>
      </c>
      <c r="C1" s="2" t="s">
        <v>1841</v>
      </c>
      <c r="D1" s="76" t="s">
        <v>1842</v>
      </c>
      <c r="E1" s="77" t="s">
        <v>1843</v>
      </c>
      <c r="F1" s="2" t="s">
        <v>1338</v>
      </c>
      <c r="G1" s="78" t="s">
        <v>1775</v>
      </c>
      <c r="H1" s="78" t="s">
        <v>2</v>
      </c>
      <c r="I1" s="3" t="s">
        <v>1307</v>
      </c>
      <c r="J1" s="3" t="s">
        <v>1838</v>
      </c>
      <c r="K1" s="79" t="s">
        <v>1780</v>
      </c>
      <c r="L1" s="79" t="s">
        <v>3</v>
      </c>
      <c r="M1" s="3" t="s">
        <v>4</v>
      </c>
      <c r="N1" s="2" t="s">
        <v>5</v>
      </c>
      <c r="O1" s="80" t="s">
        <v>1827</v>
      </c>
      <c r="P1" s="81" t="s">
        <v>1543</v>
      </c>
      <c r="Q1" s="133" t="s">
        <v>1828</v>
      </c>
      <c r="R1" s="134" t="s">
        <v>6</v>
      </c>
      <c r="S1" s="134" t="s">
        <v>7</v>
      </c>
      <c r="T1" s="134" t="s">
        <v>1661</v>
      </c>
      <c r="U1" s="135" t="s">
        <v>1829</v>
      </c>
      <c r="V1" s="136" t="s">
        <v>1844</v>
      </c>
      <c r="W1" s="137" t="s">
        <v>464</v>
      </c>
      <c r="X1" s="138" t="s">
        <v>1781</v>
      </c>
      <c r="Y1" s="86"/>
    </row>
    <row r="2" spans="1:26">
      <c r="A2" s="88" t="s">
        <v>8</v>
      </c>
      <c r="B2" s="56" t="str">
        <f>IFERROR(HYPERLINK(VLOOKUP(A2,ÜRÜNLER!A:C,3,FALSE),VLOOKUP(A2,ÜRÜNLER!A:B,2,FALSE)),"")</f>
        <v>iQ300 Gardırop Tipi Buzdolabı, 90.8cm, Inox</v>
      </c>
      <c r="C2" s="5"/>
      <c r="D2" s="5"/>
      <c r="E2" s="6"/>
      <c r="F2" s="6"/>
      <c r="G2" s="6"/>
      <c r="H2" s="6"/>
      <c r="I2" s="7"/>
      <c r="J2" s="7">
        <v>1</v>
      </c>
      <c r="K2" s="6"/>
      <c r="L2" s="6">
        <v>1</v>
      </c>
      <c r="M2" s="7"/>
      <c r="N2" s="59">
        <f t="shared" ref="N2:N48" si="0">M2+K2+L2+J2+I2+H2+G2+F2+E2+D2+C2</f>
        <v>2</v>
      </c>
      <c r="O2" s="60"/>
      <c r="P2" s="48"/>
      <c r="Q2" s="139" t="s">
        <v>1782</v>
      </c>
      <c r="R2" s="140">
        <v>80000</v>
      </c>
      <c r="S2" s="141">
        <v>83200</v>
      </c>
      <c r="T2" s="141">
        <v>86400</v>
      </c>
      <c r="U2" s="142"/>
      <c r="V2" s="140"/>
      <c r="W2" s="143">
        <v>1000</v>
      </c>
    </row>
    <row r="3" spans="1:26">
      <c r="A3" s="90" t="s">
        <v>9</v>
      </c>
      <c r="B3" s="56" t="str">
        <f>IFERROR(HYPERLINK(VLOOKUP(A3,ÜRÜNLER!A:C,3,FALSE),VLOOKUP(A3,ÜRÜNLER!A:B,2,FALSE)),"")</f>
        <v>iQ700 Gardırop Tipi Buzdolabı, Cam Kapı, Alkol Çekmeceli, 90.5cm, Siyah</v>
      </c>
      <c r="C3" s="5">
        <v>4</v>
      </c>
      <c r="D3" s="5"/>
      <c r="E3" s="6"/>
      <c r="F3" s="6">
        <v>1</v>
      </c>
      <c r="G3" s="6"/>
      <c r="H3" s="6"/>
      <c r="I3" s="7">
        <v>1</v>
      </c>
      <c r="J3" s="7">
        <v>1</v>
      </c>
      <c r="K3" s="6"/>
      <c r="L3" s="6"/>
      <c r="M3" s="7">
        <v>1</v>
      </c>
      <c r="N3" s="59">
        <f t="shared" si="0"/>
        <v>8</v>
      </c>
      <c r="O3" s="60">
        <v>1</v>
      </c>
      <c r="P3" s="48"/>
      <c r="Q3" s="145">
        <v>215784.16717519649</v>
      </c>
      <c r="R3" s="138">
        <v>204994.95881643667</v>
      </c>
      <c r="S3" s="141">
        <v>213194.75716909414</v>
      </c>
      <c r="T3" s="141">
        <v>221394.55552175161</v>
      </c>
      <c r="U3" s="142">
        <v>6594.3523603817166</v>
      </c>
      <c r="V3" s="140"/>
      <c r="W3" s="146"/>
    </row>
    <row r="4" spans="1:26">
      <c r="A4" s="90" t="s">
        <v>10</v>
      </c>
      <c r="B4" s="56" t="str">
        <f>IFERROR(HYPERLINK(VLOOKUP(A4,ÜRÜNLER!A:C,3,FALSE),VLOOKUP(A4,ÜRÜNLER!A:B,2,FALSE)),"")</f>
        <v>iQ300 Gardırop Tipi Buzdolabı, 90.5cm, BlackSteel</v>
      </c>
      <c r="C4" s="5"/>
      <c r="D4" s="5"/>
      <c r="E4" s="6"/>
      <c r="F4" s="6"/>
      <c r="G4" s="6"/>
      <c r="H4" s="6"/>
      <c r="I4" s="7">
        <v>1</v>
      </c>
      <c r="J4" s="7">
        <v>1</v>
      </c>
      <c r="K4" s="6">
        <v>1</v>
      </c>
      <c r="L4" s="6">
        <v>2</v>
      </c>
      <c r="M4" s="7">
        <v>1</v>
      </c>
      <c r="N4" s="59">
        <f t="shared" si="0"/>
        <v>6</v>
      </c>
      <c r="O4" s="60">
        <v>11</v>
      </c>
      <c r="P4" s="48"/>
      <c r="Q4" s="145">
        <v>134806.50673133694</v>
      </c>
      <c r="R4" s="138">
        <v>128066.18139477009</v>
      </c>
      <c r="S4" s="141">
        <v>133188.8286505609</v>
      </c>
      <c r="T4" s="141">
        <v>138311.4759063517</v>
      </c>
      <c r="U4" s="142">
        <v>41230.11784244806</v>
      </c>
      <c r="V4" s="140"/>
      <c r="W4" s="146"/>
    </row>
    <row r="5" spans="1:26">
      <c r="A5" s="88" t="s">
        <v>11</v>
      </c>
      <c r="B5" s="56" t="str">
        <f>IFERROR(HYPERLINK(VLOOKUP(A5,ÜRÜNLER!A:C,3,FALSE),VLOOKUP(A5,ÜRÜNLER!A:B,2,FALSE)),"")</f>
        <v>iQ300 Gardırop Tipi Buzdolabı, 90.5cm, Inox</v>
      </c>
      <c r="C5" s="5">
        <v>20</v>
      </c>
      <c r="D5" s="5"/>
      <c r="E5" s="6"/>
      <c r="F5" s="6"/>
      <c r="G5" s="6"/>
      <c r="H5" s="6"/>
      <c r="I5" s="7">
        <v>1</v>
      </c>
      <c r="J5" s="7"/>
      <c r="K5" s="6"/>
      <c r="L5" s="6">
        <v>2</v>
      </c>
      <c r="M5" s="7"/>
      <c r="N5" s="59">
        <f t="shared" si="0"/>
        <v>23</v>
      </c>
      <c r="O5" s="60">
        <v>1</v>
      </c>
      <c r="P5" s="48"/>
      <c r="Q5" s="145">
        <v>118087.26901460295</v>
      </c>
      <c r="R5" s="147">
        <v>109821.16018358074</v>
      </c>
      <c r="S5" s="141">
        <v>114214.00659092396</v>
      </c>
      <c r="T5" s="141">
        <v>118606.85299826719</v>
      </c>
      <c r="U5" s="142">
        <v>26517.501572742476</v>
      </c>
      <c r="W5" s="143">
        <v>250</v>
      </c>
      <c r="X5" s="140">
        <f>R5-U5</f>
        <v>83303.658610838262</v>
      </c>
    </row>
    <row r="6" spans="1:26">
      <c r="A6" s="88" t="s">
        <v>12</v>
      </c>
      <c r="B6" s="56" t="str">
        <f>IFERROR(HYPERLINK(VLOOKUP(A6,ÜRÜNLER!A:C,3,FALSE),VLOOKUP(A6,ÜRÜNLER!A:B,2,FALSE)),"")</f>
        <v>iQ100 Üstten Donduruculu Kulpsuz Buzdolabı, 70cm, Beyaz</v>
      </c>
      <c r="C6" s="5">
        <v>1</v>
      </c>
      <c r="D6" s="5"/>
      <c r="E6" s="6"/>
      <c r="F6" s="6"/>
      <c r="G6" s="6"/>
      <c r="H6" s="6"/>
      <c r="I6" s="7"/>
      <c r="J6" s="7"/>
      <c r="K6" s="6"/>
      <c r="L6" s="6"/>
      <c r="M6" s="7"/>
      <c r="N6" s="59">
        <f t="shared" si="0"/>
        <v>1</v>
      </c>
      <c r="O6" s="60"/>
      <c r="P6" s="48" t="s">
        <v>1544</v>
      </c>
      <c r="Q6" s="145">
        <v>33700.891654252438</v>
      </c>
      <c r="R6" s="140">
        <v>34037.900570794962</v>
      </c>
      <c r="S6" s="141">
        <v>35399.41659362676</v>
      </c>
      <c r="T6" s="141">
        <v>36760.932616458558</v>
      </c>
      <c r="U6" s="142"/>
      <c r="V6" s="140"/>
      <c r="W6" s="146"/>
    </row>
    <row r="7" spans="1:26">
      <c r="A7" s="88" t="s">
        <v>13</v>
      </c>
      <c r="B7" s="56" t="str">
        <f>IFERROR(HYPERLINK(VLOOKUP(A7,ÜRÜNLER!A:C,3,FALSE),VLOOKUP(A7,ÜRÜNLER!A:B,2,FALSE)),"")</f>
        <v>iQ300 Üstten Donduruculu Kulpsuz Buzdolabı, 70cm, Beyaz</v>
      </c>
      <c r="C7" s="5">
        <v>1</v>
      </c>
      <c r="D7" s="5"/>
      <c r="E7" s="6"/>
      <c r="F7" s="6">
        <v>1</v>
      </c>
      <c r="G7" s="6"/>
      <c r="H7" s="6"/>
      <c r="I7" s="7"/>
      <c r="J7" s="7"/>
      <c r="K7" s="6"/>
      <c r="L7" s="6"/>
      <c r="M7" s="7"/>
      <c r="N7" s="59">
        <f t="shared" si="0"/>
        <v>2</v>
      </c>
      <c r="O7" s="60"/>
      <c r="P7" s="48" t="s">
        <v>1544</v>
      </c>
      <c r="Q7" s="145">
        <v>36619.942316379165</v>
      </c>
      <c r="R7" s="140">
        <v>36986.14173954296</v>
      </c>
      <c r="S7" s="141">
        <v>38465.587409124681</v>
      </c>
      <c r="T7" s="141">
        <v>39945.033078706394</v>
      </c>
      <c r="U7" s="142">
        <v>968.7795256814934</v>
      </c>
      <c r="V7" s="140"/>
      <c r="W7" s="146"/>
    </row>
    <row r="8" spans="1:26">
      <c r="A8" s="88" t="s">
        <v>1330</v>
      </c>
      <c r="B8" s="56" t="str">
        <f>IFERROR(HYPERLINK(VLOOKUP(A8,ÜRÜNLER!A:C,3,FALSE),VLOOKUP(A8,ÜRÜNLER!A:B,2,FALSE)),"")</f>
        <v>iQ300 Üstten Donduruculu Kulpsuz Buzdolabı, 70cm, Inox Görünümlü</v>
      </c>
      <c r="C8" s="5">
        <v>6</v>
      </c>
      <c r="D8" s="5"/>
      <c r="E8" s="6"/>
      <c r="F8" s="6"/>
      <c r="G8" s="6"/>
      <c r="H8" s="6"/>
      <c r="I8" s="7"/>
      <c r="J8" s="7"/>
      <c r="K8" s="6"/>
      <c r="L8" s="6"/>
      <c r="M8" s="7"/>
      <c r="N8" s="59">
        <f t="shared" si="0"/>
        <v>6</v>
      </c>
      <c r="O8" s="60"/>
      <c r="P8" s="48" t="s">
        <v>1544</v>
      </c>
      <c r="Q8" s="145">
        <v>43007.560271025679</v>
      </c>
      <c r="R8" s="148">
        <v>43670</v>
      </c>
      <c r="S8" s="141">
        <v>45416.800000000003</v>
      </c>
      <c r="T8" s="141">
        <v>47163.6</v>
      </c>
      <c r="U8" s="142">
        <v>4670.3509687000987</v>
      </c>
      <c r="V8" s="140"/>
      <c r="W8" s="146"/>
    </row>
    <row r="9" spans="1:26">
      <c r="A9" s="88" t="s">
        <v>14</v>
      </c>
      <c r="B9" s="56" t="str">
        <f>IFERROR(HYPERLINK(VLOOKUP(A9,ÜRÜNLER!A:C,3,FALSE),VLOOKUP(A9,ÜRÜNLER!A:B,2,FALSE)),"")</f>
        <v>iQ300 Üstten Donduruculu Kulpsuz Buzdolabı, 70cm, Beyaz</v>
      </c>
      <c r="C9" s="5"/>
      <c r="D9" s="5"/>
      <c r="E9" s="6"/>
      <c r="F9" s="6"/>
      <c r="G9" s="6"/>
      <c r="H9" s="6"/>
      <c r="I9" s="7"/>
      <c r="J9" s="7"/>
      <c r="K9" s="6"/>
      <c r="L9" s="6">
        <v>1</v>
      </c>
      <c r="M9" s="7"/>
      <c r="N9" s="59">
        <f t="shared" si="0"/>
        <v>1</v>
      </c>
      <c r="O9" s="60"/>
      <c r="P9" s="48"/>
      <c r="Q9" s="139" t="s">
        <v>1782</v>
      </c>
      <c r="R9" s="149">
        <v>40000</v>
      </c>
      <c r="S9" s="141">
        <v>41600</v>
      </c>
      <c r="T9" s="141">
        <v>43200</v>
      </c>
      <c r="U9" s="142"/>
      <c r="V9" s="140"/>
      <c r="W9" s="143">
        <v>500</v>
      </c>
      <c r="Y9" s="8"/>
      <c r="Z9" s="8"/>
    </row>
    <row r="10" spans="1:26">
      <c r="A10" s="91" t="s">
        <v>16</v>
      </c>
      <c r="B10" s="56" t="str">
        <f>IFERROR(HYPERLINK(VLOOKUP(A10,ÜRÜNLER!A:C,3,FALSE),VLOOKUP(A10,ÜRÜNLER!A:B,2,FALSE)),"")</f>
        <v>iQ500 Üstten Donduruculu Kulplu Buzdolabı, 75cm, Inox</v>
      </c>
      <c r="C10" s="5">
        <v>11</v>
      </c>
      <c r="D10" s="5"/>
      <c r="E10" s="6"/>
      <c r="F10" s="6"/>
      <c r="G10" s="6"/>
      <c r="H10" s="6"/>
      <c r="I10" s="7"/>
      <c r="J10" s="7"/>
      <c r="K10" s="6"/>
      <c r="L10" s="6"/>
      <c r="M10" s="7"/>
      <c r="N10" s="59">
        <f t="shared" si="0"/>
        <v>11</v>
      </c>
      <c r="O10" s="60"/>
      <c r="P10" s="48"/>
      <c r="Q10" s="145">
        <v>84535.624718473977</v>
      </c>
      <c r="R10" s="147">
        <v>78618.130988180797</v>
      </c>
      <c r="S10" s="141">
        <v>81762.856227708035</v>
      </c>
      <c r="T10" s="141">
        <v>84907.581467235257</v>
      </c>
      <c r="U10" s="142">
        <v>15186.787509171641</v>
      </c>
      <c r="V10" s="140"/>
      <c r="W10" s="146"/>
    </row>
    <row r="11" spans="1:26">
      <c r="A11" s="91" t="s">
        <v>1546</v>
      </c>
      <c r="B11" s="56" t="str">
        <f>IFERROR(HYPERLINK(VLOOKUP(A11,ÜRÜNLER!A:C,3,FALSE),VLOOKUP(A11,ÜRÜNLER!A:B,2,FALSE)),"")</f>
        <v>iQ500 Üstten Donduruculu Kulplu Buzdolabı, 75cm, Beyaz</v>
      </c>
      <c r="C11" s="5">
        <v>6</v>
      </c>
      <c r="D11" s="5"/>
      <c r="E11" s="6"/>
      <c r="F11" s="6"/>
      <c r="G11" s="6"/>
      <c r="H11" s="6"/>
      <c r="I11" s="7"/>
      <c r="J11" s="7"/>
      <c r="K11" s="6"/>
      <c r="L11" s="6"/>
      <c r="M11" s="7"/>
      <c r="N11" s="59">
        <f t="shared" si="0"/>
        <v>6</v>
      </c>
      <c r="O11" s="60"/>
      <c r="P11" s="48"/>
      <c r="Q11" s="145">
        <v>62949.551468023252</v>
      </c>
      <c r="R11" s="138">
        <v>59802.073894622088</v>
      </c>
      <c r="S11" s="141">
        <v>62194.156850406973</v>
      </c>
      <c r="T11" s="141">
        <v>64586.239806191857</v>
      </c>
      <c r="U11" s="142">
        <v>3123.9700726744122</v>
      </c>
      <c r="V11" s="140"/>
      <c r="W11" s="146"/>
    </row>
    <row r="12" spans="1:26">
      <c r="A12" s="92" t="s">
        <v>18</v>
      </c>
      <c r="B12" s="56" t="str">
        <f>IFERROR(HYPERLINK(VLOOKUP(A12,ÜRÜNLER!A:C,3,FALSE),VLOOKUP(A12,ÜRÜNLER!A:B,2,FALSE)),"")</f>
        <v>iQ500 Üstten Donduruculu Kulpsuz Buzdolabı, 75cm, Inox</v>
      </c>
      <c r="C12" s="5">
        <v>11</v>
      </c>
      <c r="D12" s="5"/>
      <c r="E12" s="6"/>
      <c r="F12" s="6"/>
      <c r="G12" s="6"/>
      <c r="H12" s="6"/>
      <c r="I12" s="7"/>
      <c r="J12" s="7"/>
      <c r="K12" s="6"/>
      <c r="L12" s="6"/>
      <c r="M12" s="7"/>
      <c r="N12" s="59">
        <f t="shared" si="0"/>
        <v>11</v>
      </c>
      <c r="O12" s="60"/>
      <c r="P12" s="48"/>
      <c r="Q12" s="145">
        <v>70136.480962004265</v>
      </c>
      <c r="R12" s="147">
        <v>65226.927294663968</v>
      </c>
      <c r="S12" s="141">
        <v>67836.004386450528</v>
      </c>
      <c r="T12" s="141">
        <v>70445.081478237087</v>
      </c>
      <c r="U12" s="142">
        <v>7950.4344503763496</v>
      </c>
      <c r="V12" s="140"/>
      <c r="W12" s="150"/>
    </row>
    <row r="13" spans="1:26">
      <c r="A13" s="92" t="s">
        <v>19</v>
      </c>
      <c r="B13" s="56" t="str">
        <f>IFERROR(HYPERLINK(VLOOKUP(A13,ÜRÜNLER!A:C,3,FALSE),VLOOKUP(A13,ÜRÜNLER!A:B,2,FALSE)),"")</f>
        <v>iQ300 Üstten Donduruculu, Kulpsuz Buzdolabı, 75cm, Beyaz</v>
      </c>
      <c r="C13" s="5"/>
      <c r="D13" s="5"/>
      <c r="E13" s="6"/>
      <c r="F13" s="6"/>
      <c r="G13" s="6"/>
      <c r="H13" s="6"/>
      <c r="I13" s="7">
        <v>1</v>
      </c>
      <c r="J13" s="7">
        <v>1</v>
      </c>
      <c r="K13" s="6"/>
      <c r="L13" s="6"/>
      <c r="M13" s="7">
        <v>1</v>
      </c>
      <c r="N13" s="59">
        <f t="shared" si="0"/>
        <v>3</v>
      </c>
      <c r="O13" s="60">
        <v>6</v>
      </c>
      <c r="P13" s="48"/>
      <c r="Q13" s="145">
        <v>64328.533377100357</v>
      </c>
      <c r="R13" s="151">
        <v>64328.533377100357</v>
      </c>
      <c r="S13" s="141">
        <v>66901.674712184365</v>
      </c>
      <c r="T13" s="141">
        <v>69474.816047268381</v>
      </c>
      <c r="U13" s="142">
        <v>13537.835702681754</v>
      </c>
      <c r="V13" s="140"/>
      <c r="W13" s="150"/>
    </row>
    <row r="14" spans="1:26">
      <c r="A14" s="92" t="s">
        <v>1321</v>
      </c>
      <c r="B14" s="56" t="str">
        <f>IFERROR(HYPERLINK(VLOOKUP(A14,ÜRÜNLER!A:C,3,FALSE),VLOOKUP(A14,ÜRÜNLER!A:B,2,FALSE)),"")</f>
        <v>iQ300 Üstten Donduruculu Kulpsuz Buzdolabı, 75cm, Beyaz</v>
      </c>
      <c r="C14" s="5"/>
      <c r="D14" s="5"/>
      <c r="E14" s="6"/>
      <c r="F14" s="6"/>
      <c r="G14" s="6"/>
      <c r="H14" s="6"/>
      <c r="I14" s="7"/>
      <c r="J14" s="7"/>
      <c r="K14" s="6"/>
      <c r="L14" s="6">
        <v>1</v>
      </c>
      <c r="M14" s="7"/>
      <c r="N14" s="59">
        <f t="shared" si="0"/>
        <v>1</v>
      </c>
      <c r="O14" s="60"/>
      <c r="P14" s="48"/>
      <c r="Q14" s="139" t="s">
        <v>1782</v>
      </c>
      <c r="R14" s="151">
        <v>55000</v>
      </c>
      <c r="S14" s="141">
        <v>57200</v>
      </c>
      <c r="T14" s="141">
        <v>59400</v>
      </c>
      <c r="U14" s="142"/>
      <c r="V14" s="140"/>
      <c r="W14" s="143">
        <v>500</v>
      </c>
    </row>
    <row r="15" spans="1:26">
      <c r="A15" s="92" t="s">
        <v>1792</v>
      </c>
      <c r="B15" s="56" t="str">
        <f>IFERROR(HYPERLINK(VLOOKUP(A15,ÜRÜNLER!A:C,3,FALSE),VLOOKUP(A15,ÜRÜNLER!A:B,2,FALSE)),"")</f>
        <v>iQ300 Üstten Donduruculu Kulpsuz Buzdolabı, 75cm, Beyaz</v>
      </c>
      <c r="C15" s="5">
        <v>3</v>
      </c>
      <c r="D15" s="5"/>
      <c r="E15" s="6"/>
      <c r="F15" s="6"/>
      <c r="G15" s="6"/>
      <c r="H15" s="6"/>
      <c r="I15" s="7"/>
      <c r="J15" s="7"/>
      <c r="K15" s="6"/>
      <c r="L15" s="6"/>
      <c r="M15" s="7"/>
      <c r="N15" s="59">
        <f t="shared" si="0"/>
        <v>3</v>
      </c>
      <c r="O15" s="60"/>
      <c r="P15" s="48"/>
      <c r="Q15" s="145">
        <v>56792.905181497161</v>
      </c>
      <c r="R15" s="151">
        <v>56793</v>
      </c>
      <c r="S15" s="141">
        <v>59064.72</v>
      </c>
      <c r="T15" s="141">
        <v>61336.44</v>
      </c>
      <c r="U15" s="142">
        <v>8118.4865768459931</v>
      </c>
      <c r="V15" s="140"/>
      <c r="W15" s="143"/>
    </row>
    <row r="16" spans="1:26">
      <c r="A16" s="88" t="s">
        <v>20</v>
      </c>
      <c r="B16" s="56" t="str">
        <f>IFERROR(HYPERLINK(VLOOKUP(A16,ÜRÜNLER!A:C,3,FALSE),VLOOKUP(A16,ÜRÜNLER!A:B,2,FALSE)),"")</f>
        <v>iQ500 Üstten Donduruculu Kulplu Buzdolabı, 86cm, Inox</v>
      </c>
      <c r="C16" s="5">
        <v>10</v>
      </c>
      <c r="D16" s="5"/>
      <c r="E16" s="6">
        <v>1</v>
      </c>
      <c r="F16" s="6"/>
      <c r="G16" s="6"/>
      <c r="H16" s="6"/>
      <c r="I16" s="7">
        <v>1</v>
      </c>
      <c r="J16" s="7">
        <v>1</v>
      </c>
      <c r="K16" s="6">
        <v>1</v>
      </c>
      <c r="L16" s="6"/>
      <c r="M16" s="7"/>
      <c r="N16" s="59">
        <f t="shared" si="0"/>
        <v>14</v>
      </c>
      <c r="O16" s="60"/>
      <c r="P16" s="48"/>
      <c r="Q16" s="145">
        <v>98053.757359079536</v>
      </c>
      <c r="R16" s="138">
        <v>93151.069491125556</v>
      </c>
      <c r="S16" s="141">
        <v>96877.11227077058</v>
      </c>
      <c r="T16" s="141">
        <v>100603.1550504156</v>
      </c>
      <c r="U16" s="142">
        <v>23170.03642884699</v>
      </c>
      <c r="V16" s="140"/>
      <c r="W16" s="146"/>
    </row>
    <row r="17" spans="1:26">
      <c r="A17" s="88" t="s">
        <v>23</v>
      </c>
      <c r="B17" s="56" t="str">
        <f>IFERROR(HYPERLINK(VLOOKUP(A17,ÜRÜNLER!A:C,3,FALSE),VLOOKUP(A17,ÜRÜNLER!A:B,2,FALSE)),"")</f>
        <v>iQ500 Üstten Donduruculu Kulplu Buzdolabı, 86cm, Beyaz</v>
      </c>
      <c r="C17" s="5"/>
      <c r="D17" s="5"/>
      <c r="E17" s="6"/>
      <c r="F17" s="6"/>
      <c r="G17" s="6"/>
      <c r="H17" s="6"/>
      <c r="I17" s="7"/>
      <c r="J17" s="7"/>
      <c r="K17" s="6"/>
      <c r="L17" s="6"/>
      <c r="M17" s="7"/>
      <c r="N17" s="59">
        <f t="shared" si="0"/>
        <v>0</v>
      </c>
      <c r="O17" s="60">
        <v>1</v>
      </c>
      <c r="P17" s="48"/>
      <c r="Q17" s="145">
        <v>85320.530544562032</v>
      </c>
      <c r="R17" s="151">
        <v>85320.530544562032</v>
      </c>
      <c r="S17" s="141">
        <v>88733.351766344509</v>
      </c>
      <c r="T17" s="141">
        <v>92146.172988127</v>
      </c>
      <c r="U17" s="142">
        <v>15971.693335259697</v>
      </c>
      <c r="V17" s="140"/>
      <c r="W17" s="146"/>
    </row>
    <row r="18" spans="1:26" s="8" customFormat="1">
      <c r="A18" s="88" t="s">
        <v>24</v>
      </c>
      <c r="B18" s="56" t="str">
        <f>IFERROR(HYPERLINK(VLOOKUP(A18,ÜRÜNLER!A:C,3,FALSE),VLOOKUP(A18,ÜRÜNLER!A:B,2,FALSE)),"")</f>
        <v>iQ500 Üstten Donduruculu Kulplu Buzdolabı, 86cm, Inox</v>
      </c>
      <c r="C18" s="5"/>
      <c r="D18" s="5"/>
      <c r="E18" s="6"/>
      <c r="F18" s="6"/>
      <c r="G18" s="6"/>
      <c r="H18" s="6"/>
      <c r="I18" s="7"/>
      <c r="J18" s="7"/>
      <c r="K18" s="6"/>
      <c r="L18" s="6">
        <v>1</v>
      </c>
      <c r="M18" s="7"/>
      <c r="N18" s="59">
        <f t="shared" si="0"/>
        <v>1</v>
      </c>
      <c r="O18" s="60"/>
      <c r="P18" s="48"/>
      <c r="Q18" s="139" t="s">
        <v>1782</v>
      </c>
      <c r="R18" s="149">
        <v>55000</v>
      </c>
      <c r="S18" s="141">
        <v>57200</v>
      </c>
      <c r="T18" s="141">
        <v>59400</v>
      </c>
      <c r="U18" s="142"/>
      <c r="V18" s="140"/>
      <c r="W18" s="143">
        <v>500</v>
      </c>
      <c r="X18" s="144"/>
      <c r="Y18" s="61"/>
      <c r="Z18"/>
    </row>
    <row r="19" spans="1:26">
      <c r="A19" s="92" t="s">
        <v>25</v>
      </c>
      <c r="B19" s="56" t="str">
        <f>IFERROR(HYPERLINK(VLOOKUP(A19,ÜRÜNLER!A:C,3,FALSE),VLOOKUP(A19,ÜRÜNLER!A:B,2,FALSE)),"")</f>
        <v>iQ100 Alttan Donduruculu Kulpsuz Buzdolabı, 60cm, Inox</v>
      </c>
      <c r="C19" s="5"/>
      <c r="D19" s="5"/>
      <c r="E19" s="6"/>
      <c r="F19" s="6">
        <v>1</v>
      </c>
      <c r="G19" s="6"/>
      <c r="H19" s="6"/>
      <c r="I19" s="7"/>
      <c r="J19" s="7"/>
      <c r="K19" s="6"/>
      <c r="L19" s="6"/>
      <c r="M19" s="7"/>
      <c r="N19" s="59">
        <f t="shared" si="0"/>
        <v>1</v>
      </c>
      <c r="O19" s="60"/>
      <c r="P19" s="48"/>
      <c r="Q19" s="139" t="s">
        <v>1782</v>
      </c>
      <c r="R19" s="149">
        <v>40000</v>
      </c>
      <c r="S19" s="141">
        <v>41600</v>
      </c>
      <c r="T19" s="141">
        <v>43200</v>
      </c>
      <c r="U19" s="142"/>
      <c r="V19" s="140"/>
      <c r="W19" s="143">
        <v>500</v>
      </c>
    </row>
    <row r="20" spans="1:26">
      <c r="A20" s="88" t="s">
        <v>26</v>
      </c>
      <c r="B20" s="56" t="str">
        <f>IFERROR(HYPERLINK(VLOOKUP(A20,ÜRÜNLER!A:C,3,FALSE),VLOOKUP(A20,ÜRÜNLER!A:B,2,FALSE)),"")</f>
        <v>iQ300 Alttan Donduruculu Kulpsuz Buzdolabı, 70cm, Inox</v>
      </c>
      <c r="C20" s="5">
        <v>74</v>
      </c>
      <c r="D20" s="5"/>
      <c r="E20" s="6">
        <v>4</v>
      </c>
      <c r="F20" s="6"/>
      <c r="G20" s="6"/>
      <c r="H20" s="6"/>
      <c r="I20" s="7">
        <v>1</v>
      </c>
      <c r="J20" s="7">
        <v>1</v>
      </c>
      <c r="K20" s="6"/>
      <c r="L20" s="6">
        <v>1</v>
      </c>
      <c r="M20" s="7">
        <v>1</v>
      </c>
      <c r="N20" s="59">
        <f t="shared" si="0"/>
        <v>82</v>
      </c>
      <c r="O20" s="60"/>
      <c r="P20" s="48"/>
      <c r="Q20" s="145">
        <v>65373.710842426284</v>
      </c>
      <c r="R20" s="138">
        <v>62105.025300304973</v>
      </c>
      <c r="S20" s="141">
        <v>64589.226312317172</v>
      </c>
      <c r="T20" s="141">
        <v>67073.427324329372</v>
      </c>
      <c r="U20" s="142">
        <v>14664.408516844887</v>
      </c>
      <c r="V20" s="140"/>
      <c r="W20" s="146"/>
    </row>
    <row r="21" spans="1:26">
      <c r="A21" s="88" t="s">
        <v>27</v>
      </c>
      <c r="B21" s="56" t="str">
        <f>IFERROR(HYPERLINK(VLOOKUP(A21,ÜRÜNLER!A:C,3,FALSE),VLOOKUP(A21,ÜRÜNLER!A:B,2,FALSE)),"")</f>
        <v>iQ300 Alttan Donduruculu Kulpsuz Buzdolabı, 70cm, Beyaz</v>
      </c>
      <c r="C21" s="5">
        <v>82</v>
      </c>
      <c r="D21" s="5"/>
      <c r="E21" s="6"/>
      <c r="F21" s="6"/>
      <c r="G21" s="6"/>
      <c r="H21" s="6"/>
      <c r="I21" s="7">
        <v>1</v>
      </c>
      <c r="J21" s="7"/>
      <c r="K21" s="6">
        <v>1</v>
      </c>
      <c r="L21" s="6">
        <v>2</v>
      </c>
      <c r="M21" s="7"/>
      <c r="N21" s="59">
        <f t="shared" si="0"/>
        <v>86</v>
      </c>
      <c r="O21" s="60"/>
      <c r="P21" s="48"/>
      <c r="Q21" s="145">
        <v>60461.404943148395</v>
      </c>
      <c r="R21" s="147">
        <v>54415.264448833557</v>
      </c>
      <c r="S21" s="152">
        <v>56591.875026786896</v>
      </c>
      <c r="T21" s="152">
        <v>58768.485604740243</v>
      </c>
      <c r="U21" s="142">
        <v>11705.590989660021</v>
      </c>
      <c r="V21" s="140"/>
      <c r="W21" s="146"/>
    </row>
    <row r="22" spans="1:26">
      <c r="A22" s="88" t="s">
        <v>28</v>
      </c>
      <c r="B22" s="56" t="str">
        <f>IFERROR(HYPERLINK(VLOOKUP(A22,ÜRÜNLER!A:C,3,FALSE),VLOOKUP(A22,ÜRÜNLER!A:B,2,FALSE)),"")</f>
        <v>iQ300 Alttan Donduruculu Kulpsuz Buzdolabı, 70cm, Inox</v>
      </c>
      <c r="C22" s="5">
        <v>1</v>
      </c>
      <c r="D22" s="5"/>
      <c r="E22" s="6">
        <v>1</v>
      </c>
      <c r="F22" s="6"/>
      <c r="G22" s="6"/>
      <c r="H22" s="6"/>
      <c r="I22" s="7"/>
      <c r="J22" s="7"/>
      <c r="K22" s="6"/>
      <c r="L22" s="6">
        <v>1</v>
      </c>
      <c r="M22" s="7"/>
      <c r="N22" s="59">
        <f t="shared" si="0"/>
        <v>3</v>
      </c>
      <c r="O22" s="60"/>
      <c r="P22" s="48"/>
      <c r="Q22" s="139" t="s">
        <v>1782</v>
      </c>
      <c r="R22" s="147">
        <v>50000</v>
      </c>
      <c r="S22" s="141">
        <v>52000</v>
      </c>
      <c r="T22" s="141">
        <v>54000</v>
      </c>
      <c r="U22" s="142">
        <v>8118.2662856856987</v>
      </c>
      <c r="V22" s="140"/>
      <c r="W22" s="146"/>
    </row>
    <row r="23" spans="1:26">
      <c r="A23" s="88" t="s">
        <v>29</v>
      </c>
      <c r="B23" s="56" t="str">
        <f>IFERROR(HYPERLINK(VLOOKUP(A23,ÜRÜNLER!A:C,3,FALSE),VLOOKUP(A23,ÜRÜNLER!A:B,2,FALSE)),"")</f>
        <v>iQ300 Alttan Donduruculu Kulpsuz Buzdolabı, 70cm, Beyaz</v>
      </c>
      <c r="C23" s="5"/>
      <c r="D23" s="5"/>
      <c r="E23" s="6">
        <v>1</v>
      </c>
      <c r="F23" s="6"/>
      <c r="G23" s="6"/>
      <c r="H23" s="6"/>
      <c r="I23" s="7">
        <v>1</v>
      </c>
      <c r="J23" s="7"/>
      <c r="K23" s="6"/>
      <c r="L23" s="6">
        <v>1</v>
      </c>
      <c r="M23" s="7"/>
      <c r="N23" s="59">
        <f t="shared" si="0"/>
        <v>3</v>
      </c>
      <c r="O23" s="60"/>
      <c r="P23" s="48"/>
      <c r="Q23" s="139" t="s">
        <v>1782</v>
      </c>
      <c r="R23" s="153">
        <v>44500</v>
      </c>
      <c r="S23" s="141">
        <v>46280</v>
      </c>
      <c r="T23" s="141">
        <v>48060</v>
      </c>
      <c r="U23" s="142">
        <v>4531.8971617670613</v>
      </c>
      <c r="V23" s="140"/>
      <c r="W23" s="143">
        <v>500</v>
      </c>
    </row>
    <row r="24" spans="1:26" s="62" customFormat="1">
      <c r="A24" s="91" t="s">
        <v>1793</v>
      </c>
      <c r="B24" s="56" t="str">
        <f>IFERROR(HYPERLINK(VLOOKUP(A24,ÜRÜNLER!A:C,3,FALSE),VLOOKUP(A24,ÜRÜNLER!A:B,2,FALSE)),"")</f>
        <v>iQ300 Alttan Donduruculu Kulpsuz Buzdolabı, 70cm, Inox (Wi-Fi)</v>
      </c>
      <c r="C24" s="5">
        <v>5</v>
      </c>
      <c r="D24" s="5"/>
      <c r="E24" s="6"/>
      <c r="F24" s="6"/>
      <c r="G24" s="6"/>
      <c r="H24" s="6"/>
      <c r="I24" s="7"/>
      <c r="J24" s="7"/>
      <c r="K24" s="6"/>
      <c r="L24" s="6"/>
      <c r="M24" s="7"/>
      <c r="N24" s="59">
        <f t="shared" si="0"/>
        <v>5</v>
      </c>
      <c r="O24" s="60"/>
      <c r="P24" s="48"/>
      <c r="Q24" s="145">
        <v>60254.001126083655</v>
      </c>
      <c r="R24" s="151">
        <v>60254.001126083655</v>
      </c>
      <c r="S24" s="140">
        <v>62664.161171127002</v>
      </c>
      <c r="T24" s="140">
        <v>65074.321216170349</v>
      </c>
      <c r="U24" s="142">
        <v>5800.5127539906316</v>
      </c>
      <c r="V24" s="140"/>
      <c r="W24" s="146"/>
      <c r="X24" s="154"/>
      <c r="Y24" s="8"/>
    </row>
    <row r="25" spans="1:26" s="62" customFormat="1">
      <c r="A25" s="91" t="s">
        <v>1794</v>
      </c>
      <c r="B25" s="56" t="str">
        <f>IFERROR(HYPERLINK(VLOOKUP(A25,ÜRÜNLER!A:C,3,FALSE),VLOOKUP(A25,ÜRÜNLER!A:B,2,FALSE)),"")</f>
        <v>iQ300 Alttan Donduruculu Kulpsuz Buzdolabı, 70cm, Beyaz (Wi-Fi)</v>
      </c>
      <c r="C25" s="5">
        <v>5</v>
      </c>
      <c r="D25" s="5"/>
      <c r="E25" s="6"/>
      <c r="F25" s="6"/>
      <c r="G25" s="6"/>
      <c r="H25" s="6"/>
      <c r="I25" s="7"/>
      <c r="J25" s="7"/>
      <c r="K25" s="6"/>
      <c r="L25" s="6"/>
      <c r="M25" s="7"/>
      <c r="N25" s="59">
        <f t="shared" si="0"/>
        <v>5</v>
      </c>
      <c r="O25" s="60"/>
      <c r="P25" s="48"/>
      <c r="Q25" s="145">
        <v>55360.410160065025</v>
      </c>
      <c r="R25" s="151">
        <v>55360.410160065025</v>
      </c>
      <c r="S25" s="140">
        <v>57574.826566467629</v>
      </c>
      <c r="T25" s="140">
        <v>59789.242972870226</v>
      </c>
      <c r="U25" s="142">
        <v>2941.8055089022309</v>
      </c>
      <c r="V25" s="140"/>
      <c r="W25" s="146"/>
      <c r="X25" s="154"/>
      <c r="Y25" s="8"/>
    </row>
    <row r="26" spans="1:26" s="62" customFormat="1">
      <c r="A26" s="93" t="s">
        <v>1795</v>
      </c>
      <c r="B26" s="56" t="str">
        <f>IFERROR(HYPERLINK(VLOOKUP(A26,ÜRÜNLER!A:C,3,FALSE),VLOOKUP(A26,ÜRÜNLER!A:B,2,FALSE)),"")</f>
        <v>iQ300 Alttan Donduruculu Kulpsuz Buzdolabı, 70cm, Black Inox (Wi-Fi)</v>
      </c>
      <c r="C26" s="5">
        <v>5</v>
      </c>
      <c r="D26" s="5"/>
      <c r="E26" s="6"/>
      <c r="F26" s="6"/>
      <c r="G26" s="6"/>
      <c r="H26" s="6"/>
      <c r="I26" s="7"/>
      <c r="J26" s="7"/>
      <c r="K26" s="6"/>
      <c r="L26" s="6"/>
      <c r="M26" s="7"/>
      <c r="N26" s="59">
        <f t="shared" si="0"/>
        <v>5</v>
      </c>
      <c r="O26" s="60"/>
      <c r="P26" s="48"/>
      <c r="Q26" s="145">
        <v>63899.365449394172</v>
      </c>
      <c r="R26" s="151">
        <v>63899.365449394172</v>
      </c>
      <c r="S26" s="140">
        <v>66455.340067369936</v>
      </c>
      <c r="T26" s="140">
        <v>69011.3146853457</v>
      </c>
      <c r="U26" s="142">
        <v>6597.039867998822</v>
      </c>
      <c r="V26" s="140"/>
      <c r="W26" s="146"/>
      <c r="X26" s="154"/>
      <c r="Y26" s="8"/>
    </row>
    <row r="27" spans="1:26" s="62" customFormat="1">
      <c r="A27" s="93" t="s">
        <v>30</v>
      </c>
      <c r="B27" s="56" t="str">
        <f>IFERROR(HYPERLINK(VLOOKUP(A27,ÜRÜNLER!A:C,3,FALSE),VLOOKUP(A27,ÜRÜNLER!A:B,2,FALSE)),"")</f>
        <v>iQ500 Alttan Donduruculu Kulpsuz Buzdolabı, 70cm, Parlak Siyah</v>
      </c>
      <c r="C27" s="5">
        <v>8</v>
      </c>
      <c r="D27" s="5"/>
      <c r="E27" s="6"/>
      <c r="F27" s="6">
        <v>1</v>
      </c>
      <c r="G27" s="6"/>
      <c r="H27" s="6"/>
      <c r="I27" s="7">
        <v>2</v>
      </c>
      <c r="J27" s="7">
        <v>1</v>
      </c>
      <c r="K27" s="6">
        <v>1</v>
      </c>
      <c r="L27" s="6"/>
      <c r="M27" s="7">
        <v>2</v>
      </c>
      <c r="N27" s="59">
        <f t="shared" si="0"/>
        <v>15</v>
      </c>
      <c r="O27" s="60"/>
      <c r="P27" s="48"/>
      <c r="Q27" s="145">
        <v>62632.698891451786</v>
      </c>
      <c r="R27" s="138">
        <v>59501.0639468792</v>
      </c>
      <c r="S27" s="140">
        <v>61881.106504754367</v>
      </c>
      <c r="T27" s="140">
        <v>64261.149062629534</v>
      </c>
      <c r="U27" s="142"/>
      <c r="V27" s="140"/>
      <c r="W27" s="146"/>
      <c r="X27" s="154"/>
      <c r="Y27" s="8"/>
    </row>
    <row r="28" spans="1:26" s="62" customFormat="1">
      <c r="A28" s="91" t="s">
        <v>1645</v>
      </c>
      <c r="B28" s="56" t="str">
        <f>IFERROR(HYPERLINK(VLOOKUP(A28,ÜRÜNLER!A:C,3,FALSE),VLOOKUP(A28,ÜRÜNLER!A:B,2,FALSE)),"")</f>
        <v>iQ100 Alttan Donduruculu Kulpsuz Buzdolabı, 70cm, Beyaz (Wi-Fi)</v>
      </c>
      <c r="C28" s="5">
        <v>47</v>
      </c>
      <c r="D28" s="5"/>
      <c r="E28" s="6"/>
      <c r="F28" s="6"/>
      <c r="G28" s="6"/>
      <c r="H28" s="6"/>
      <c r="I28" s="7"/>
      <c r="J28" s="7"/>
      <c r="K28" s="6"/>
      <c r="L28" s="6"/>
      <c r="M28" s="7"/>
      <c r="N28" s="59">
        <f t="shared" si="0"/>
        <v>47</v>
      </c>
      <c r="O28" s="60"/>
      <c r="P28" s="48"/>
      <c r="Q28" s="145">
        <v>44190.12324999999</v>
      </c>
      <c r="R28" s="138">
        <v>41980.617087499988</v>
      </c>
      <c r="S28" s="140">
        <v>43659.841770999985</v>
      </c>
      <c r="T28" s="140">
        <v>45339.066454499989</v>
      </c>
      <c r="U28" s="142"/>
      <c r="V28" s="140"/>
      <c r="W28" s="146"/>
      <c r="X28" s="154"/>
      <c r="Y28" s="8"/>
    </row>
    <row r="29" spans="1:26" s="62" customFormat="1">
      <c r="A29" s="91" t="s">
        <v>31</v>
      </c>
      <c r="B29" s="56" t="str">
        <f>IFERROR(HYPERLINK(VLOOKUP(A29,ÜRÜNLER!A:C,3,FALSE),VLOOKUP(A29,ÜRÜNLER!A:B,2,FALSE)),"")</f>
        <v>iQ500 Alttan Donduruculu Kulpsuz Buzdolabı, 70cm, Seramik Desen</v>
      </c>
      <c r="C29" s="5"/>
      <c r="D29" s="5"/>
      <c r="E29" s="6"/>
      <c r="F29" s="6"/>
      <c r="G29" s="6"/>
      <c r="H29" s="6"/>
      <c r="I29" s="7"/>
      <c r="J29" s="7">
        <v>1</v>
      </c>
      <c r="K29" s="6"/>
      <c r="L29" s="6"/>
      <c r="M29" s="7"/>
      <c r="N29" s="59">
        <f t="shared" si="0"/>
        <v>1</v>
      </c>
      <c r="O29" s="60"/>
      <c r="P29" s="48"/>
      <c r="Q29" s="139" t="s">
        <v>1782</v>
      </c>
      <c r="R29" s="140">
        <v>48000</v>
      </c>
      <c r="S29" s="140">
        <v>49920</v>
      </c>
      <c r="T29" s="140">
        <v>51840</v>
      </c>
      <c r="U29" s="142"/>
      <c r="V29" s="140"/>
      <c r="W29" s="143">
        <v>500</v>
      </c>
      <c r="X29" s="154"/>
      <c r="Y29" s="8"/>
    </row>
    <row r="30" spans="1:26" s="62" customFormat="1">
      <c r="A30" s="91" t="s">
        <v>32</v>
      </c>
      <c r="B30" s="56" t="str">
        <f>IFERROR(HYPERLINK(VLOOKUP(A30,ÜRÜNLER!A:C,3,FALSE),VLOOKUP(A30,ÜRÜNLER!A:B,2,FALSE)),"")</f>
        <v>iQ500 Alttan Donduruculu Kulpsuz Buzdolabı, 70cm, Mat Siyah</v>
      </c>
      <c r="C30" s="5"/>
      <c r="D30" s="5"/>
      <c r="E30" s="6"/>
      <c r="F30" s="6">
        <v>1</v>
      </c>
      <c r="G30" s="6"/>
      <c r="H30" s="6"/>
      <c r="I30" s="7"/>
      <c r="J30" s="7"/>
      <c r="K30" s="6"/>
      <c r="L30" s="6"/>
      <c r="M30" s="7"/>
      <c r="N30" s="59">
        <f t="shared" si="0"/>
        <v>1</v>
      </c>
      <c r="O30" s="60"/>
      <c r="P30" s="48"/>
      <c r="Q30" s="139" t="s">
        <v>1782</v>
      </c>
      <c r="R30" s="140">
        <v>48000</v>
      </c>
      <c r="S30" s="140">
        <v>49920</v>
      </c>
      <c r="T30" s="140">
        <v>51840</v>
      </c>
      <c r="U30" s="142"/>
      <c r="V30" s="140"/>
      <c r="W30" s="143">
        <v>500</v>
      </c>
      <c r="X30" s="154"/>
      <c r="Y30" s="8"/>
    </row>
    <row r="31" spans="1:26" s="62" customFormat="1">
      <c r="A31" s="91" t="s">
        <v>33</v>
      </c>
      <c r="B31" s="56" t="str">
        <f>IFERROR(HYPERLINK(VLOOKUP(A31,ÜRÜNLER!A:C,3,FALSE),VLOOKUP(A31,ÜRÜNLER!A:B,2,FALSE)),"")</f>
        <v>iQ500 Alttan Donduruculu Kulpsuz Buzdolabı, 70cm, Seramik Desen</v>
      </c>
      <c r="C31" s="5"/>
      <c r="D31" s="5"/>
      <c r="E31" s="6"/>
      <c r="F31" s="6"/>
      <c r="G31" s="6"/>
      <c r="H31" s="6"/>
      <c r="I31" s="7"/>
      <c r="J31" s="7"/>
      <c r="K31" s="6"/>
      <c r="L31" s="6">
        <v>1</v>
      </c>
      <c r="M31" s="7"/>
      <c r="N31" s="59">
        <f t="shared" si="0"/>
        <v>1</v>
      </c>
      <c r="O31" s="60"/>
      <c r="P31" s="48"/>
      <c r="Q31" s="139" t="s">
        <v>1782</v>
      </c>
      <c r="R31" s="140">
        <v>48000</v>
      </c>
      <c r="S31" s="140">
        <v>49920</v>
      </c>
      <c r="T31" s="140">
        <v>51840</v>
      </c>
      <c r="U31" s="142"/>
      <c r="V31" s="140"/>
      <c r="W31" s="143">
        <v>500</v>
      </c>
      <c r="X31" s="154"/>
      <c r="Y31" s="8"/>
    </row>
    <row r="32" spans="1:26" s="62" customFormat="1">
      <c r="A32" s="91" t="s">
        <v>1651</v>
      </c>
      <c r="B32" s="56" t="str">
        <f>IFERROR(HYPERLINK(VLOOKUP(A32,ÜRÜNLER!A:C,3,FALSE),VLOOKUP(A32,ÜRÜNLER!A:B,2,FALSE)),"")</f>
        <v>iQ300 Alttan Donduruculu Kulpsuz Buzdolabı, 70cm, Inox (Wi-Fi)</v>
      </c>
      <c r="C32" s="5">
        <v>31</v>
      </c>
      <c r="D32" s="5"/>
      <c r="E32" s="6"/>
      <c r="F32" s="6"/>
      <c r="G32" s="6"/>
      <c r="H32" s="6"/>
      <c r="I32" s="7">
        <v>1</v>
      </c>
      <c r="J32" s="7"/>
      <c r="K32" s="6"/>
      <c r="L32" s="6"/>
      <c r="M32" s="7"/>
      <c r="N32" s="59">
        <f t="shared" si="0"/>
        <v>32</v>
      </c>
      <c r="O32" s="60">
        <v>20</v>
      </c>
      <c r="P32" s="48"/>
      <c r="Q32" s="145">
        <v>50627.906976744176</v>
      </c>
      <c r="R32" s="138">
        <v>48096.51162790697</v>
      </c>
      <c r="S32" s="140">
        <v>50020.372093023252</v>
      </c>
      <c r="T32" s="140">
        <v>51944.232558139527</v>
      </c>
      <c r="U32" s="142"/>
      <c r="V32" s="140"/>
      <c r="W32" s="146"/>
      <c r="X32" s="154"/>
      <c r="Y32" s="8"/>
    </row>
    <row r="33" spans="1:25" s="62" customFormat="1">
      <c r="A33" s="91" t="s">
        <v>1648</v>
      </c>
      <c r="B33" s="56" t="str">
        <f>IFERROR(HYPERLINK(VLOOKUP(A33,ÜRÜNLER!A:C,3,FALSE),VLOOKUP(A33,ÜRÜNLER!A:B,2,FALSE)),"")</f>
        <v>iQ300 Alttan Donduruculu Kulpsuz Buzdolabı, 70cm, Beyaz (Wi-Fi)</v>
      </c>
      <c r="C33" s="5">
        <v>33</v>
      </c>
      <c r="D33" s="5"/>
      <c r="E33" s="6"/>
      <c r="F33" s="6"/>
      <c r="G33" s="6"/>
      <c r="H33" s="6"/>
      <c r="I33" s="7"/>
      <c r="J33" s="7"/>
      <c r="K33" s="6"/>
      <c r="L33" s="6"/>
      <c r="M33" s="7"/>
      <c r="N33" s="59">
        <f t="shared" si="0"/>
        <v>33</v>
      </c>
      <c r="O33" s="60">
        <v>21</v>
      </c>
      <c r="P33" s="48"/>
      <c r="Q33" s="145">
        <v>48309.397283562372</v>
      </c>
      <c r="R33" s="138">
        <v>45893.92741938425</v>
      </c>
      <c r="S33" s="140">
        <v>47729.684516159621</v>
      </c>
      <c r="T33" s="140">
        <v>49565.441612934992</v>
      </c>
      <c r="U33" s="142"/>
      <c r="V33" s="140"/>
      <c r="W33" s="146"/>
      <c r="X33" s="154"/>
      <c r="Y33" s="8"/>
    </row>
    <row r="34" spans="1:25">
      <c r="A34" s="88" t="s">
        <v>35</v>
      </c>
      <c r="B34" s="56" t="str">
        <f>IFERROR(HYPERLINK(VLOOKUP(A34,ÜRÜNLER!A:C,3,FALSE),VLOOKUP(A34,ÜRÜNLER!A:B,2,FALSE)),"")</f>
        <v>iQ700 Alttan Donduruculu Kulplu Buzdolabı, 75cm, Inox</v>
      </c>
      <c r="C34" s="5">
        <v>14</v>
      </c>
      <c r="D34" s="5"/>
      <c r="E34" s="6"/>
      <c r="F34" s="6"/>
      <c r="G34" s="6"/>
      <c r="H34" s="6"/>
      <c r="I34" s="7"/>
      <c r="J34" s="7"/>
      <c r="K34" s="6"/>
      <c r="L34" s="6"/>
      <c r="M34" s="7"/>
      <c r="N34" s="59">
        <f t="shared" si="0"/>
        <v>14</v>
      </c>
      <c r="O34" s="60"/>
      <c r="P34" s="48"/>
      <c r="Q34" s="145">
        <v>84646.164438751875</v>
      </c>
      <c r="R34" s="147">
        <v>76181.547994876688</v>
      </c>
      <c r="S34" s="152">
        <v>79228.809914671758</v>
      </c>
      <c r="T34" s="152">
        <v>82276.071834466828</v>
      </c>
      <c r="U34" s="142">
        <v>9762.4435085193254</v>
      </c>
      <c r="V34" s="140"/>
      <c r="W34" s="146"/>
    </row>
    <row r="35" spans="1:25">
      <c r="A35" s="88" t="s">
        <v>36</v>
      </c>
      <c r="B35" s="56" t="str">
        <f>IFERROR(HYPERLINK(VLOOKUP(A35,ÜRÜNLER!A:C,3,FALSE),VLOOKUP(A35,ÜRÜNLER!A:B,2,FALSE)),"")</f>
        <v>iQ500 Alttan Donduruculu Kulplu Buzdolabı, 75cm, Inox</v>
      </c>
      <c r="C35" s="5">
        <v>16</v>
      </c>
      <c r="D35" s="5"/>
      <c r="E35" s="6"/>
      <c r="F35" s="6"/>
      <c r="G35" s="6"/>
      <c r="H35" s="6"/>
      <c r="I35" s="7">
        <v>1</v>
      </c>
      <c r="J35" s="7">
        <v>1</v>
      </c>
      <c r="K35" s="6">
        <v>1</v>
      </c>
      <c r="L35" s="6">
        <v>3</v>
      </c>
      <c r="M35" s="7">
        <v>1</v>
      </c>
      <c r="N35" s="59">
        <f t="shared" si="0"/>
        <v>23</v>
      </c>
      <c r="O35" s="60"/>
      <c r="P35" s="48"/>
      <c r="Q35" s="145">
        <v>89337.569444670866</v>
      </c>
      <c r="R35" s="138">
        <v>84870.690972437325</v>
      </c>
      <c r="S35" s="141">
        <v>88265.518611334817</v>
      </c>
      <c r="T35" s="141">
        <v>91660.346250232309</v>
      </c>
      <c r="U35" s="142">
        <v>22186.406653973187</v>
      </c>
      <c r="V35" s="140"/>
      <c r="W35" s="146"/>
    </row>
    <row r="36" spans="1:25" s="9" customFormat="1">
      <c r="A36" s="88" t="s">
        <v>37</v>
      </c>
      <c r="B36" s="56" t="str">
        <f>IFERROR(HYPERLINK(VLOOKUP(A36,ÜRÜNLER!A:C,3,FALSE),VLOOKUP(A36,ÜRÜNLER!A:B,2,FALSE)),"")</f>
        <v>iQ500 Alttan Donduruculu Kulplu Buzdolabı, 75cm, Beyaz</v>
      </c>
      <c r="C36" s="5">
        <v>37</v>
      </c>
      <c r="D36" s="5"/>
      <c r="E36" s="6"/>
      <c r="F36" s="6"/>
      <c r="G36" s="6"/>
      <c r="H36" s="6"/>
      <c r="I36" s="7">
        <v>1</v>
      </c>
      <c r="J36" s="7"/>
      <c r="K36" s="6"/>
      <c r="L36" s="6">
        <v>1</v>
      </c>
      <c r="M36" s="7"/>
      <c r="N36" s="59">
        <f t="shared" si="0"/>
        <v>39</v>
      </c>
      <c r="O36" s="60"/>
      <c r="P36" s="48"/>
      <c r="Q36" s="145">
        <v>80897.295942227123</v>
      </c>
      <c r="R36" s="147">
        <v>75234.485226271223</v>
      </c>
      <c r="S36" s="141">
        <v>78243.864635322068</v>
      </c>
      <c r="T36" s="141">
        <v>81253.244044372928</v>
      </c>
      <c r="U36" s="142">
        <v>15211.249430599215</v>
      </c>
      <c r="V36" s="140"/>
      <c r="W36" s="146"/>
      <c r="X36" s="144"/>
      <c r="Y36" s="63"/>
    </row>
    <row r="37" spans="1:25">
      <c r="A37" s="90" t="s">
        <v>38</v>
      </c>
      <c r="B37" s="56" t="str">
        <f>IFERROR(HYPERLINK(VLOOKUP(A37,ÜRÜNLER!A:C,3,FALSE),VLOOKUP(A37,ÜRÜNLER!A:B,2,FALSE)),"")</f>
        <v>iQ500 Alttan Donduruculu Kulpsuz Buzdolabı, 75cm, darkSteel</v>
      </c>
      <c r="C37" s="5">
        <v>123</v>
      </c>
      <c r="D37" s="5"/>
      <c r="E37" s="6"/>
      <c r="F37" s="6"/>
      <c r="G37" s="6"/>
      <c r="H37" s="6"/>
      <c r="I37" s="7">
        <v>1</v>
      </c>
      <c r="J37" s="7">
        <v>1</v>
      </c>
      <c r="K37" s="6">
        <v>1</v>
      </c>
      <c r="L37" s="6"/>
      <c r="M37" s="7">
        <v>1</v>
      </c>
      <c r="N37" s="59">
        <f t="shared" si="0"/>
        <v>127</v>
      </c>
      <c r="O37" s="60"/>
      <c r="P37" s="48"/>
      <c r="Q37" s="145">
        <v>99433.899972588129</v>
      </c>
      <c r="R37" s="147">
        <v>90829</v>
      </c>
      <c r="S37" s="155">
        <v>94462.16</v>
      </c>
      <c r="T37" s="155">
        <v>98095.32</v>
      </c>
      <c r="U37" s="142">
        <v>26829.248809797431</v>
      </c>
      <c r="V37" s="140"/>
      <c r="W37" s="146"/>
    </row>
    <row r="38" spans="1:25">
      <c r="A38" s="88" t="s">
        <v>39</v>
      </c>
      <c r="B38" s="56" t="str">
        <f>IFERROR(HYPERLINK(VLOOKUP(A38,ÜRÜNLER!A:C,3,FALSE),VLOOKUP(A38,ÜRÜNLER!A:B,2,FALSE)),"")</f>
        <v>iQ300 Alttan Donduruculu Kulpsuz Buzdolabı, 75cm, Inox</v>
      </c>
      <c r="C38" s="5">
        <v>37</v>
      </c>
      <c r="D38" s="5"/>
      <c r="E38" s="6"/>
      <c r="F38" s="6"/>
      <c r="G38" s="6">
        <v>1</v>
      </c>
      <c r="H38" s="6"/>
      <c r="I38" s="7">
        <v>1</v>
      </c>
      <c r="J38" s="7"/>
      <c r="K38" s="6"/>
      <c r="L38" s="6">
        <v>2</v>
      </c>
      <c r="M38" s="7"/>
      <c r="N38" s="59">
        <f t="shared" si="0"/>
        <v>41</v>
      </c>
      <c r="O38" s="60"/>
      <c r="P38" s="48"/>
      <c r="Q38" s="145">
        <v>80743.425892217376</v>
      </c>
      <c r="R38" s="147">
        <v>73000</v>
      </c>
      <c r="S38" s="155">
        <v>75920</v>
      </c>
      <c r="T38" s="155">
        <v>78840</v>
      </c>
      <c r="U38" s="142">
        <v>16034.123566635979</v>
      </c>
      <c r="V38" s="140"/>
      <c r="W38" s="146"/>
    </row>
    <row r="39" spans="1:25">
      <c r="A39" s="88" t="s">
        <v>40</v>
      </c>
      <c r="B39" s="56" t="str">
        <f>IFERROR(HYPERLINK(VLOOKUP(A39,ÜRÜNLER!A:C,3,FALSE),VLOOKUP(A39,ÜRÜNLER!A:B,2,FALSE)),"")</f>
        <v>iQ300 Alttan Donduruculu Kulpsuz Buzdolabı, 75cm, Beyaz</v>
      </c>
      <c r="C39" s="5">
        <v>25</v>
      </c>
      <c r="D39" s="5"/>
      <c r="E39" s="6"/>
      <c r="F39" s="6"/>
      <c r="G39" s="6"/>
      <c r="H39" s="6"/>
      <c r="I39" s="7">
        <v>1</v>
      </c>
      <c r="J39" s="7">
        <v>1</v>
      </c>
      <c r="K39" s="6"/>
      <c r="L39" s="6"/>
      <c r="M39" s="7">
        <v>1</v>
      </c>
      <c r="N39" s="59">
        <f t="shared" si="0"/>
        <v>28</v>
      </c>
      <c r="O39" s="60"/>
      <c r="P39" s="48"/>
      <c r="Q39" s="145">
        <v>72507.334385134804</v>
      </c>
      <c r="R39" s="147">
        <v>67431.820978175369</v>
      </c>
      <c r="S39" s="141">
        <v>70129.09381730239</v>
      </c>
      <c r="T39" s="141">
        <v>72826.366656429396</v>
      </c>
      <c r="U39" s="142">
        <v>18216.6367107162</v>
      </c>
      <c r="V39" s="140"/>
      <c r="W39" s="146"/>
    </row>
    <row r="40" spans="1:25">
      <c r="A40" s="88" t="s">
        <v>41</v>
      </c>
      <c r="B40" s="56" t="str">
        <f>IFERROR(HYPERLINK(VLOOKUP(A40,ÜRÜNLER!A:C,3,FALSE),VLOOKUP(A40,ÜRÜNLER!A:B,2,FALSE)),"")</f>
        <v>iQ700 Alttan Donduruculu Kulplu Buzdolabı, 75cm, Inox</v>
      </c>
      <c r="C40" s="5">
        <v>41</v>
      </c>
      <c r="D40" s="5"/>
      <c r="E40" s="6">
        <v>2</v>
      </c>
      <c r="F40" s="6"/>
      <c r="G40" s="6"/>
      <c r="H40" s="6"/>
      <c r="I40" s="7">
        <v>1</v>
      </c>
      <c r="J40" s="7">
        <v>1</v>
      </c>
      <c r="K40" s="6"/>
      <c r="L40" s="6"/>
      <c r="M40" s="7">
        <v>1</v>
      </c>
      <c r="N40" s="59">
        <f t="shared" si="0"/>
        <v>46</v>
      </c>
      <c r="O40" s="60">
        <v>1</v>
      </c>
      <c r="P40" s="48"/>
      <c r="Q40" s="145">
        <v>93563.754304094517</v>
      </c>
      <c r="R40" s="147">
        <v>87014.291502807901</v>
      </c>
      <c r="S40" s="141">
        <v>90494.863162920214</v>
      </c>
      <c r="T40" s="141">
        <v>93975.434823032527</v>
      </c>
      <c r="U40" s="142">
        <v>14366.079885489862</v>
      </c>
      <c r="V40" s="140"/>
      <c r="W40" s="146"/>
    </row>
    <row r="41" spans="1:25">
      <c r="A41" s="88" t="s">
        <v>42</v>
      </c>
      <c r="B41" s="56" t="str">
        <f>IFERROR(HYPERLINK(VLOOKUP(A41,ÜRÜNLER!A:C,3,FALSE),VLOOKUP(A41,ÜRÜNLER!A:B,2,FALSE)),"")</f>
        <v>iQ700 Alttan Donduruculu Kulplu Buzdolabı, 75cm, Beyaz</v>
      </c>
      <c r="C41" s="5">
        <v>26</v>
      </c>
      <c r="D41" s="5"/>
      <c r="E41" s="6">
        <v>1</v>
      </c>
      <c r="F41" s="6"/>
      <c r="G41" s="6"/>
      <c r="H41" s="6"/>
      <c r="I41" s="7">
        <v>1</v>
      </c>
      <c r="J41" s="7"/>
      <c r="K41" s="6">
        <v>1</v>
      </c>
      <c r="L41" s="6">
        <v>3</v>
      </c>
      <c r="M41" s="7"/>
      <c r="N41" s="59">
        <f t="shared" si="0"/>
        <v>32</v>
      </c>
      <c r="O41" s="60">
        <v>1</v>
      </c>
      <c r="P41" s="64"/>
      <c r="Q41" s="145">
        <v>85858.484053583932</v>
      </c>
      <c r="R41" s="147">
        <v>78000</v>
      </c>
      <c r="S41" s="155">
        <v>81120</v>
      </c>
      <c r="T41" s="155">
        <v>84240</v>
      </c>
      <c r="U41" s="142">
        <v>12195.693355909521</v>
      </c>
      <c r="V41" s="140"/>
      <c r="W41" s="146"/>
    </row>
    <row r="42" spans="1:25" s="9" customFormat="1">
      <c r="A42" s="91" t="s">
        <v>43</v>
      </c>
      <c r="B42" s="56" t="str">
        <f>IFERROR(HYPERLINK(VLOOKUP(A42,ÜRÜNLER!A:C,3,FALSE),VLOOKUP(A42,ÜRÜNLER!A:B,2,FALSE)),"")</f>
        <v>iQ500 Alttan Donduruculu Kulplu Buzdolabı, 86cm, Inox</v>
      </c>
      <c r="C42" s="5">
        <v>96</v>
      </c>
      <c r="D42" s="5"/>
      <c r="E42" s="6">
        <v>1</v>
      </c>
      <c r="F42" s="6">
        <v>1</v>
      </c>
      <c r="G42" s="6"/>
      <c r="H42" s="6"/>
      <c r="I42" s="7">
        <v>1</v>
      </c>
      <c r="J42" s="7">
        <v>1</v>
      </c>
      <c r="K42" s="6">
        <v>1</v>
      </c>
      <c r="L42" s="6">
        <v>1</v>
      </c>
      <c r="M42" s="7">
        <v>1</v>
      </c>
      <c r="N42" s="59">
        <f t="shared" si="0"/>
        <v>103</v>
      </c>
      <c r="O42" s="60"/>
      <c r="P42" s="48"/>
      <c r="Q42" s="145">
        <v>104311.67380670749</v>
      </c>
      <c r="R42" s="147">
        <v>95000</v>
      </c>
      <c r="S42" s="155">
        <v>98800</v>
      </c>
      <c r="T42" s="155">
        <v>102600</v>
      </c>
      <c r="U42" s="142">
        <v>33090.743574149339</v>
      </c>
      <c r="V42" s="140"/>
      <c r="W42" s="146"/>
      <c r="X42" s="144"/>
      <c r="Y42" s="63"/>
    </row>
    <row r="43" spans="1:25" s="9" customFormat="1">
      <c r="A43" s="91" t="s">
        <v>44</v>
      </c>
      <c r="B43" s="56" t="str">
        <f>IFERROR(HYPERLINK(VLOOKUP(A43,ÜRÜNLER!A:C,3,FALSE),VLOOKUP(A43,ÜRÜNLER!A:B,2,FALSE)),"")</f>
        <v>iQ500 Alttan Donduruculu Kulplu Buzdolabı, 86cm, Beyaz</v>
      </c>
      <c r="C43" s="5">
        <v>9</v>
      </c>
      <c r="D43" s="5"/>
      <c r="E43" s="6"/>
      <c r="F43" s="6">
        <v>1</v>
      </c>
      <c r="G43" s="6"/>
      <c r="H43" s="6"/>
      <c r="I43" s="7">
        <v>1</v>
      </c>
      <c r="J43" s="7"/>
      <c r="K43" s="6">
        <v>1</v>
      </c>
      <c r="L43" s="6"/>
      <c r="M43" s="7"/>
      <c r="N43" s="59">
        <f t="shared" si="0"/>
        <v>12</v>
      </c>
      <c r="O43" s="60"/>
      <c r="P43" s="64"/>
      <c r="Q43" s="145">
        <v>89598.547283956679</v>
      </c>
      <c r="R43" s="138">
        <v>85118.619919758843</v>
      </c>
      <c r="S43" s="141">
        <v>88523.3647165492</v>
      </c>
      <c r="T43" s="141">
        <v>91928.109513339557</v>
      </c>
      <c r="U43" s="142">
        <v>22447.384493259</v>
      </c>
      <c r="V43" s="140"/>
      <c r="W43" s="146"/>
      <c r="X43" s="144"/>
      <c r="Y43" s="63"/>
    </row>
    <row r="44" spans="1:25" s="9" customFormat="1">
      <c r="A44" s="91" t="s">
        <v>45</v>
      </c>
      <c r="B44" s="56" t="str">
        <f>IFERROR(HYPERLINK(VLOOKUP(A44,ÜRÜNLER!A:C,3,FALSE),VLOOKUP(A44,ÜRÜNLER!A:B,2,FALSE)),"")</f>
        <v>iQ500 Alttan Donduruculu Kulpsuz Buzdolabı, 86cm, Beyaz</v>
      </c>
      <c r="C44" s="5">
        <v>43</v>
      </c>
      <c r="D44" s="5"/>
      <c r="E44" s="6"/>
      <c r="F44" s="6"/>
      <c r="G44" s="6"/>
      <c r="H44" s="6"/>
      <c r="I44" s="7"/>
      <c r="J44" s="7">
        <v>1</v>
      </c>
      <c r="K44" s="6"/>
      <c r="L44" s="6"/>
      <c r="M44" s="7"/>
      <c r="N44" s="59">
        <f t="shared" si="0"/>
        <v>44</v>
      </c>
      <c r="O44" s="60"/>
      <c r="P44" s="48"/>
      <c r="Q44" s="145">
        <v>79438.432781814583</v>
      </c>
      <c r="R44" s="147">
        <v>71500</v>
      </c>
      <c r="S44" s="155">
        <v>74360</v>
      </c>
      <c r="T44" s="155">
        <v>77220</v>
      </c>
      <c r="U44" s="142">
        <v>15054.711851582026</v>
      </c>
      <c r="V44" s="140"/>
      <c r="W44" s="146"/>
      <c r="X44" s="144"/>
      <c r="Y44" s="63"/>
    </row>
    <row r="45" spans="1:25" s="9" customFormat="1">
      <c r="A45" s="91" t="s">
        <v>47</v>
      </c>
      <c r="B45" s="56" t="str">
        <f>IFERROR(HYPERLINK(VLOOKUP(A45,ÜRÜNLER!A:C,3,FALSE),VLOOKUP(A45,ÜRÜNLER!A:B,2,FALSE)),"")</f>
        <v>iQ700 Alttan Donduruculu Kulplu Buzdolabı, 86cm, Inox</v>
      </c>
      <c r="C45" s="5">
        <v>2</v>
      </c>
      <c r="D45" s="5"/>
      <c r="E45" s="6"/>
      <c r="F45" s="6"/>
      <c r="G45" s="6"/>
      <c r="H45" s="6"/>
      <c r="I45" s="7"/>
      <c r="J45" s="7"/>
      <c r="K45" s="6"/>
      <c r="L45" s="6"/>
      <c r="M45" s="7"/>
      <c r="N45" s="59">
        <f t="shared" si="0"/>
        <v>2</v>
      </c>
      <c r="O45" s="60"/>
      <c r="P45" s="48"/>
      <c r="Q45" s="139" t="s">
        <v>1782</v>
      </c>
      <c r="R45" s="140">
        <v>80000</v>
      </c>
      <c r="S45" s="141">
        <v>83200</v>
      </c>
      <c r="T45" s="141">
        <v>86400</v>
      </c>
      <c r="U45" s="142"/>
      <c r="V45" s="140"/>
      <c r="W45" s="146"/>
      <c r="X45" s="144"/>
      <c r="Y45" s="63"/>
    </row>
    <row r="46" spans="1:25" s="9" customFormat="1">
      <c r="A46" s="93" t="s">
        <v>46</v>
      </c>
      <c r="B46" s="56" t="str">
        <f>IFERROR(HYPERLINK(VLOOKUP(A46,ÜRÜNLER!A:C,3,FALSE),VLOOKUP(A46,ÜRÜNLER!A:B,2,FALSE)),"")</f>
        <v>iQ700 Alttan Donduruculu Kulpsuz Buzdolabı, 86cm, darkSteel</v>
      </c>
      <c r="C46" s="5">
        <v>44</v>
      </c>
      <c r="D46" s="5"/>
      <c r="E46" s="6"/>
      <c r="F46" s="6"/>
      <c r="G46" s="6"/>
      <c r="H46" s="6"/>
      <c r="I46" s="7">
        <v>1</v>
      </c>
      <c r="J46" s="7"/>
      <c r="K46" s="6"/>
      <c r="L46" s="6"/>
      <c r="M46" s="7">
        <v>1</v>
      </c>
      <c r="N46" s="59">
        <f t="shared" si="0"/>
        <v>46</v>
      </c>
      <c r="O46" s="60"/>
      <c r="P46" s="48"/>
      <c r="Q46" s="145">
        <v>119402.30490978497</v>
      </c>
      <c r="R46" s="138">
        <v>113432.18966429573</v>
      </c>
      <c r="S46" s="141">
        <v>117969.47725086755</v>
      </c>
      <c r="T46" s="141">
        <v>122506.76483743939</v>
      </c>
      <c r="U46" s="142">
        <v>31658.118863273339</v>
      </c>
      <c r="V46" s="140"/>
      <c r="W46" s="146"/>
      <c r="X46" s="144"/>
      <c r="Y46" s="63"/>
    </row>
    <row r="47" spans="1:25" s="9" customFormat="1">
      <c r="A47" s="91" t="s">
        <v>48</v>
      </c>
      <c r="B47" s="56" t="str">
        <f>IFERROR(HYPERLINK(VLOOKUP(A47,ÜRÜNLER!A:C,3,FALSE),VLOOKUP(A47,ÜRÜNLER!A:B,2,FALSE)),"")</f>
        <v>iQ700 Alttan Donduruculu Kulplu Buzdolabı, 86cm, Inox</v>
      </c>
      <c r="C47" s="5">
        <v>127</v>
      </c>
      <c r="D47" s="5"/>
      <c r="E47" s="6"/>
      <c r="F47" s="6">
        <v>2</v>
      </c>
      <c r="G47" s="6"/>
      <c r="H47" s="6"/>
      <c r="I47" s="7">
        <v>1</v>
      </c>
      <c r="J47" s="7"/>
      <c r="K47" s="6">
        <v>1</v>
      </c>
      <c r="L47" s="6">
        <v>1</v>
      </c>
      <c r="M47" s="7">
        <v>1</v>
      </c>
      <c r="N47" s="59">
        <f t="shared" si="0"/>
        <v>133</v>
      </c>
      <c r="O47" s="60"/>
      <c r="P47" s="64"/>
      <c r="Q47" s="145">
        <v>113812.0276797781</v>
      </c>
      <c r="R47" s="147">
        <v>103000</v>
      </c>
      <c r="S47" s="155">
        <v>107120</v>
      </c>
      <c r="T47" s="155">
        <v>111240</v>
      </c>
      <c r="U47" s="142">
        <v>31846.911400708326</v>
      </c>
      <c r="V47" s="140"/>
      <c r="W47" s="146"/>
      <c r="X47" s="144"/>
      <c r="Y47" s="63"/>
    </row>
    <row r="48" spans="1:25">
      <c r="A48" s="91" t="s">
        <v>49</v>
      </c>
      <c r="B48" s="56" t="str">
        <f>IFERROR(HYPERLINK(VLOOKUP(A48,ÜRÜNLER!A:C,3,FALSE),VLOOKUP(A48,ÜRÜNLER!A:B,2,FALSE)),"")</f>
        <v>iQ700 Alttan Donduruculu Kulplu Buzdolabı, 86cm, Beyaz</v>
      </c>
      <c r="C48" s="5">
        <v>52</v>
      </c>
      <c r="D48" s="5"/>
      <c r="E48" s="6"/>
      <c r="F48" s="6"/>
      <c r="G48" s="6"/>
      <c r="H48" s="6"/>
      <c r="I48" s="7">
        <v>1</v>
      </c>
      <c r="J48" s="7">
        <v>1</v>
      </c>
      <c r="K48" s="6"/>
      <c r="L48" s="6"/>
      <c r="M48" s="7"/>
      <c r="N48" s="59">
        <f t="shared" si="0"/>
        <v>54</v>
      </c>
      <c r="O48" s="60"/>
      <c r="P48" s="48"/>
      <c r="Q48" s="145">
        <v>102827.95689172141</v>
      </c>
      <c r="R48" s="147">
        <v>95629.99990930091</v>
      </c>
      <c r="S48" s="141">
        <v>99455.19990567294</v>
      </c>
      <c r="T48" s="141">
        <v>103280.39990204498</v>
      </c>
      <c r="U48" s="142">
        <v>28107.026659163257</v>
      </c>
      <c r="V48" s="140"/>
      <c r="W48" s="146"/>
    </row>
    <row r="49" spans="1:23" ht="37.5" customHeight="1">
      <c r="A49" s="94" t="s">
        <v>1495</v>
      </c>
      <c r="B49" s="56" t="str">
        <f>IFERROR(HYPERLINK(VLOOKUP(A49,ÜRÜNLER!A:C,3,FALSE),VLOOKUP(A49,ÜRÜNLER!A:B,2,FALSE)),"")</f>
        <v/>
      </c>
      <c r="C49" s="5"/>
      <c r="D49" s="5"/>
      <c r="E49" s="6"/>
      <c r="F49" s="6"/>
      <c r="G49" s="6"/>
      <c r="H49" s="6"/>
      <c r="I49" s="7"/>
      <c r="J49" s="7"/>
      <c r="K49" s="6"/>
      <c r="L49" s="6"/>
      <c r="M49" s="7"/>
      <c r="N49" s="59">
        <f>SUM(N2:N48)</f>
        <v>1163</v>
      </c>
      <c r="O49" s="60">
        <f>SUM(O2:O48)</f>
        <v>63</v>
      </c>
      <c r="P49" s="6"/>
      <c r="Q49" s="139"/>
      <c r="R49" s="146"/>
      <c r="S49" s="141"/>
      <c r="T49" s="141"/>
      <c r="U49" s="142"/>
      <c r="V49" s="140"/>
      <c r="W49" s="146"/>
    </row>
    <row r="50" spans="1:23">
      <c r="A50" s="88" t="s">
        <v>50</v>
      </c>
      <c r="B50" s="56" t="str">
        <f>IFERROR(HYPERLINK(VLOOKUP(A50,ÜRÜNLER!A:C,3,FALSE),VLOOKUP(A50,ÜRÜNLER!A:B,2,FALSE)),"")</f>
        <v>iQ300 Derin Dondurucu, 146x60cm, Statik, Beyaz</v>
      </c>
      <c r="C50" s="5">
        <v>96</v>
      </c>
      <c r="D50" s="5"/>
      <c r="E50" s="6"/>
      <c r="F50" s="6">
        <v>1</v>
      </c>
      <c r="G50" s="6"/>
      <c r="H50" s="6"/>
      <c r="I50" s="7"/>
      <c r="J50" s="7"/>
      <c r="K50" s="6"/>
      <c r="L50" s="6"/>
      <c r="M50" s="7"/>
      <c r="N50" s="59">
        <f t="shared" ref="N50:N59" si="1">M50+K50+L50+J50+I50+H50+G50+F50+E50+D50+C50</f>
        <v>97</v>
      </c>
      <c r="O50" s="60"/>
      <c r="P50" s="48" t="s">
        <v>1544</v>
      </c>
      <c r="Q50" s="145">
        <v>24592.564804472826</v>
      </c>
      <c r="R50" s="138">
        <v>23000</v>
      </c>
      <c r="S50" s="141">
        <v>23920</v>
      </c>
      <c r="T50" s="141">
        <v>24840</v>
      </c>
      <c r="U50" s="142"/>
      <c r="V50" s="140"/>
      <c r="W50" s="146"/>
    </row>
    <row r="51" spans="1:23">
      <c r="A51" s="88" t="s">
        <v>51</v>
      </c>
      <c r="B51" s="56" t="str">
        <f>IFERROR(HYPERLINK(VLOOKUP(A51,ÜRÜNLER!A:C,3,FALSE),VLOOKUP(A51,ÜRÜNLER!A:B,2,FALSE)),"")</f>
        <v>iQ300 Derin Dondurucu, 146x60cm, Statik, Beyaz</v>
      </c>
      <c r="C51" s="5"/>
      <c r="D51" s="5"/>
      <c r="E51" s="6">
        <v>1</v>
      </c>
      <c r="F51" s="6"/>
      <c r="G51" s="6"/>
      <c r="H51" s="6"/>
      <c r="I51" s="7"/>
      <c r="J51" s="7"/>
      <c r="K51" s="6"/>
      <c r="L51" s="6">
        <v>1</v>
      </c>
      <c r="M51" s="7"/>
      <c r="N51" s="59">
        <f t="shared" si="1"/>
        <v>2</v>
      </c>
      <c r="O51" s="60"/>
      <c r="P51" s="48" t="s">
        <v>1544</v>
      </c>
      <c r="Q51" s="139" t="s">
        <v>1782</v>
      </c>
      <c r="R51" s="140">
        <v>20000</v>
      </c>
      <c r="S51" s="141">
        <v>20800</v>
      </c>
      <c r="T51" s="141">
        <v>21600</v>
      </c>
      <c r="U51" s="142"/>
      <c r="V51" s="140"/>
      <c r="W51" s="143">
        <v>500</v>
      </c>
    </row>
    <row r="52" spans="1:23">
      <c r="A52" s="95" t="s">
        <v>52</v>
      </c>
      <c r="B52" s="56" t="str">
        <f>IFERROR(HYPERLINK(VLOOKUP(A52,ÜRÜNLER!A:C,3,FALSE),VLOOKUP(A52,ÜRÜNLER!A:B,2,FALSE)),"")</f>
        <v>iQ300 Derin Dondurucu, 161x60cm, No-Frost, Beyaz</v>
      </c>
      <c r="C52" s="5">
        <v>14</v>
      </c>
      <c r="D52" s="5"/>
      <c r="E52" s="6"/>
      <c r="F52" s="6">
        <v>1</v>
      </c>
      <c r="G52" s="6"/>
      <c r="H52" s="6"/>
      <c r="I52" s="7"/>
      <c r="J52" s="7"/>
      <c r="K52" s="6"/>
      <c r="L52" s="6"/>
      <c r="M52" s="7"/>
      <c r="N52" s="59">
        <f t="shared" si="1"/>
        <v>15</v>
      </c>
      <c r="O52" s="60"/>
      <c r="P52" s="48" t="s">
        <v>1544</v>
      </c>
      <c r="Q52" s="145">
        <v>37824.325084093936</v>
      </c>
      <c r="R52" s="156">
        <v>39715.54133829863</v>
      </c>
      <c r="S52" s="141">
        <v>41304.162991830577</v>
      </c>
      <c r="T52" s="141">
        <v>42892.784645362517</v>
      </c>
      <c r="U52" s="142">
        <v>1794.9133193880625</v>
      </c>
      <c r="V52" s="140"/>
      <c r="W52" s="146"/>
    </row>
    <row r="53" spans="1:23">
      <c r="A53" s="95" t="s">
        <v>53</v>
      </c>
      <c r="B53" s="56" t="str">
        <f>IFERROR(HYPERLINK(VLOOKUP(A53,ÜRÜNLER!A:C,3,FALSE),VLOOKUP(A53,ÜRÜNLER!A:B,2,FALSE)),"")</f>
        <v>iQ300 Derin Dondurucu, 161x60cm, Statik, Beyaz</v>
      </c>
      <c r="C53" s="5">
        <v>103</v>
      </c>
      <c r="D53" s="5"/>
      <c r="E53" s="6"/>
      <c r="F53" s="6">
        <v>2</v>
      </c>
      <c r="G53" s="6"/>
      <c r="H53" s="6"/>
      <c r="I53" s="7">
        <v>1</v>
      </c>
      <c r="J53" s="7"/>
      <c r="K53" s="6">
        <v>1</v>
      </c>
      <c r="L53" s="6"/>
      <c r="M53" s="7"/>
      <c r="N53" s="59">
        <f t="shared" si="1"/>
        <v>107</v>
      </c>
      <c r="O53" s="60"/>
      <c r="P53" s="48" t="s">
        <v>1544</v>
      </c>
      <c r="Q53" s="145">
        <v>25437.803391758665</v>
      </c>
      <c r="R53" s="156">
        <v>26709.693561346598</v>
      </c>
      <c r="S53" s="141">
        <v>27778.08130380046</v>
      </c>
      <c r="T53" s="141">
        <v>28846.469046254326</v>
      </c>
      <c r="U53" s="142"/>
      <c r="V53" s="140"/>
      <c r="W53" s="146"/>
    </row>
    <row r="54" spans="1:23">
      <c r="A54" s="95" t="s">
        <v>54</v>
      </c>
      <c r="B54" s="56" t="str">
        <f>IFERROR(HYPERLINK(VLOOKUP(A54,ÜRÜNLER!A:C,3,FALSE),VLOOKUP(A54,ÜRÜNLER!A:B,2,FALSE)),"")</f>
        <v>iQ300 Derin Dondurucu, 176x60cm, Statik, Inox</v>
      </c>
      <c r="C54" s="5">
        <v>94</v>
      </c>
      <c r="D54" s="5"/>
      <c r="E54" s="6">
        <v>2</v>
      </c>
      <c r="F54" s="6">
        <v>5</v>
      </c>
      <c r="G54" s="6"/>
      <c r="H54" s="6"/>
      <c r="I54" s="7">
        <v>1</v>
      </c>
      <c r="J54" s="7"/>
      <c r="K54" s="6"/>
      <c r="L54" s="6">
        <v>1</v>
      </c>
      <c r="M54" s="7">
        <v>1</v>
      </c>
      <c r="N54" s="59">
        <f t="shared" si="1"/>
        <v>104</v>
      </c>
      <c r="O54" s="60"/>
      <c r="P54" s="48" t="s">
        <v>1544</v>
      </c>
      <c r="Q54" s="145">
        <v>31580.842639611688</v>
      </c>
      <c r="R54" s="156">
        <v>33159.884771592275</v>
      </c>
      <c r="S54" s="141">
        <v>34486.280162455965</v>
      </c>
      <c r="T54" s="141">
        <v>35812.675553319656</v>
      </c>
      <c r="U54" s="142"/>
      <c r="V54" s="140"/>
      <c r="W54" s="146"/>
    </row>
    <row r="55" spans="1:23">
      <c r="A55" s="95" t="s">
        <v>55</v>
      </c>
      <c r="B55" s="56" t="str">
        <f>IFERROR(HYPERLINK(VLOOKUP(A55,ÜRÜNLER!A:C,3,FALSE),VLOOKUP(A55,ÜRÜNLER!A:B,2,FALSE)),"")</f>
        <v>iQ300 Derin Dondurucu, 176x60cm, Statik, Beyaz</v>
      </c>
      <c r="C55" s="5">
        <v>112</v>
      </c>
      <c r="D55" s="5"/>
      <c r="E55" s="6">
        <v>5</v>
      </c>
      <c r="F55" s="6">
        <v>1</v>
      </c>
      <c r="G55" s="6"/>
      <c r="H55" s="6"/>
      <c r="I55" s="7">
        <v>1</v>
      </c>
      <c r="J55" s="7">
        <v>1</v>
      </c>
      <c r="K55" s="6"/>
      <c r="L55" s="6"/>
      <c r="M55" s="7"/>
      <c r="N55" s="59">
        <f t="shared" si="1"/>
        <v>120</v>
      </c>
      <c r="O55" s="60"/>
      <c r="P55" s="48" t="s">
        <v>1544</v>
      </c>
      <c r="Q55" s="145">
        <v>28432.702244249125</v>
      </c>
      <c r="R55" s="156">
        <v>29854.337356461583</v>
      </c>
      <c r="S55" s="141">
        <v>31048.510850720046</v>
      </c>
      <c r="T55" s="141">
        <v>32242.684344978508</v>
      </c>
      <c r="U55" s="142"/>
      <c r="V55" s="140"/>
      <c r="W55" s="146"/>
    </row>
    <row r="56" spans="1:23">
      <c r="A56" s="96" t="s">
        <v>56</v>
      </c>
      <c r="B56" s="56" t="str">
        <f>IFERROR(HYPERLINK(VLOOKUP(A56,ÜRÜNLER!A:C,3,FALSE),VLOOKUP(A56,ÜRÜNLER!A:B,2,FALSE)),"")</f>
        <v>iQ300 Derin Dondurucu, 186x60cm, No-Frost Inox</v>
      </c>
      <c r="C56" s="5"/>
      <c r="D56" s="5"/>
      <c r="E56" s="6"/>
      <c r="F56" s="6">
        <v>1</v>
      </c>
      <c r="G56" s="6"/>
      <c r="H56" s="6"/>
      <c r="I56" s="7"/>
      <c r="J56" s="7"/>
      <c r="K56" s="6"/>
      <c r="L56" s="6"/>
      <c r="M56" s="7"/>
      <c r="N56" s="59">
        <f t="shared" si="1"/>
        <v>1</v>
      </c>
      <c r="O56" s="60"/>
      <c r="P56" s="48" t="s">
        <v>1544</v>
      </c>
      <c r="Q56" s="139" t="s">
        <v>1782</v>
      </c>
      <c r="R56" s="140">
        <v>36000</v>
      </c>
      <c r="S56" s="141">
        <v>37440</v>
      </c>
      <c r="T56" s="141">
        <v>38880</v>
      </c>
      <c r="U56" s="142"/>
      <c r="V56" s="140"/>
      <c r="W56" s="143">
        <v>500</v>
      </c>
    </row>
    <row r="57" spans="1:23">
      <c r="A57" s="92" t="s">
        <v>1331</v>
      </c>
      <c r="B57" s="56" t="str">
        <f>IFERROR(HYPERLINK(VLOOKUP(A57,ÜRÜNLER!A:C,3,FALSE),VLOOKUP(A57,ÜRÜNLER!A:B,2,FALSE)),"")</f>
        <v>iQ300 Derin Dondurucu, 186x60cm, No-Frost, Inox</v>
      </c>
      <c r="C57" s="5"/>
      <c r="D57" s="5"/>
      <c r="E57" s="6"/>
      <c r="F57" s="6"/>
      <c r="G57" s="6"/>
      <c r="H57" s="6"/>
      <c r="I57" s="7"/>
      <c r="J57" s="7"/>
      <c r="K57" s="6"/>
      <c r="L57" s="6"/>
      <c r="M57" s="7"/>
      <c r="N57" s="59">
        <f t="shared" si="1"/>
        <v>0</v>
      </c>
      <c r="O57" s="60"/>
      <c r="P57" s="48" t="s">
        <v>1544</v>
      </c>
      <c r="Q57" s="145">
        <v>34578.68292151163</v>
      </c>
      <c r="R57" s="156">
        <v>36307.617067587213</v>
      </c>
      <c r="S57" s="141">
        <v>37759.921750290698</v>
      </c>
      <c r="T57" s="141">
        <v>39212.22643299419</v>
      </c>
      <c r="U57" s="142">
        <v>1658.6009542985194</v>
      </c>
      <c r="V57" s="140"/>
      <c r="W57" s="146"/>
    </row>
    <row r="58" spans="1:23">
      <c r="A58" s="92" t="s">
        <v>57</v>
      </c>
      <c r="B58" s="56" t="str">
        <f>IFERROR(HYPERLINK(VLOOKUP(A58,ÜRÜNLER!A:C,3,FALSE),VLOOKUP(A58,ÜRÜNLER!A:B,2,FALSE)),"")</f>
        <v>iQ300 Derin Dondurucu, 186x60cm, No-Frost, Beyaz</v>
      </c>
      <c r="C58" s="5"/>
      <c r="D58" s="5"/>
      <c r="E58" s="6"/>
      <c r="F58" s="6"/>
      <c r="G58" s="6"/>
      <c r="H58" s="6"/>
      <c r="I58" s="7"/>
      <c r="J58" s="7"/>
      <c r="K58" s="6"/>
      <c r="L58" s="6">
        <v>1</v>
      </c>
      <c r="M58" s="7"/>
      <c r="N58" s="59">
        <f t="shared" si="1"/>
        <v>1</v>
      </c>
      <c r="O58" s="60"/>
      <c r="P58" s="48" t="s">
        <v>1544</v>
      </c>
      <c r="Q58" s="139" t="s">
        <v>1782</v>
      </c>
      <c r="R58" s="140">
        <v>30000</v>
      </c>
      <c r="S58" s="141">
        <v>31200</v>
      </c>
      <c r="T58" s="141">
        <v>32400</v>
      </c>
      <c r="U58" s="142"/>
      <c r="V58" s="140"/>
      <c r="W58" s="143">
        <v>500</v>
      </c>
    </row>
    <row r="59" spans="1:23">
      <c r="A59" s="96" t="s">
        <v>58</v>
      </c>
      <c r="B59" s="56" t="str">
        <f>IFERROR(HYPERLINK(VLOOKUP(A59,ÜRÜNLER!A:C,3,FALSE),VLOOKUP(A59,ÜRÜNLER!A:B,2,FALSE)),"")</f>
        <v>iQ300 Derin Dondurucu, 176x70cm, No-Frost, Beyaz</v>
      </c>
      <c r="C59" s="5">
        <v>68</v>
      </c>
      <c r="D59" s="5"/>
      <c r="E59" s="6">
        <v>3</v>
      </c>
      <c r="F59" s="6">
        <v>1</v>
      </c>
      <c r="G59" s="6"/>
      <c r="H59" s="6"/>
      <c r="I59" s="7"/>
      <c r="J59" s="7"/>
      <c r="K59" s="6"/>
      <c r="L59" s="6"/>
      <c r="M59" s="7"/>
      <c r="N59" s="59">
        <f t="shared" si="1"/>
        <v>72</v>
      </c>
      <c r="O59" s="60"/>
      <c r="P59" s="48" t="s">
        <v>1544</v>
      </c>
      <c r="Q59" s="145">
        <v>41328.219470344258</v>
      </c>
      <c r="R59" s="156">
        <v>43394.630443861468</v>
      </c>
      <c r="S59" s="141">
        <v>45130.415661615923</v>
      </c>
      <c r="T59" s="141">
        <v>46866.200879370386</v>
      </c>
      <c r="U59" s="142">
        <v>1989.9841762266078</v>
      </c>
      <c r="V59" s="140"/>
      <c r="W59" s="146"/>
    </row>
    <row r="60" spans="1:23" ht="36" customHeight="1">
      <c r="A60" s="94" t="s">
        <v>1496</v>
      </c>
      <c r="B60" s="56" t="str">
        <f>IFERROR(HYPERLINK(VLOOKUP(A60,ÜRÜNLER!A:C,3,FALSE),VLOOKUP(A60,ÜRÜNLER!A:B,2,FALSE)),"")</f>
        <v/>
      </c>
      <c r="C60" s="5"/>
      <c r="D60" s="5"/>
      <c r="E60" s="6"/>
      <c r="F60" s="6"/>
      <c r="G60" s="6"/>
      <c r="H60" s="6"/>
      <c r="I60" s="7"/>
      <c r="J60" s="7"/>
      <c r="K60" s="6"/>
      <c r="L60" s="6"/>
      <c r="M60" s="7"/>
      <c r="N60" s="59">
        <f>SUM(N50:N59)</f>
        <v>519</v>
      </c>
      <c r="O60" s="60"/>
      <c r="P60" s="6"/>
      <c r="Q60" s="139"/>
      <c r="R60" s="146"/>
      <c r="S60" s="141"/>
      <c r="T60" s="141"/>
      <c r="U60" s="142"/>
      <c r="V60" s="140"/>
      <c r="W60" s="146"/>
    </row>
    <row r="61" spans="1:23">
      <c r="A61" s="88" t="s">
        <v>59</v>
      </c>
      <c r="B61" s="56" t="str">
        <f>IFERROR(HYPERLINK(VLOOKUP(A61,ÜRÜNLER!A:C,3,FALSE),VLOOKUP(A61,ÜRÜNLER!A:B,2,FALSE)),"")</f>
        <v>iQ700 studioLine Ankastre Şarap Soğutucu, 212.5x60.3cm</v>
      </c>
      <c r="C61" s="5"/>
      <c r="D61" s="5">
        <v>4</v>
      </c>
      <c r="E61" s="6"/>
      <c r="F61" s="6"/>
      <c r="G61" s="6"/>
      <c r="H61" s="6">
        <v>1</v>
      </c>
      <c r="I61" s="7"/>
      <c r="J61" s="7"/>
      <c r="K61" s="6"/>
      <c r="L61" s="6"/>
      <c r="M61" s="7"/>
      <c r="N61" s="59">
        <f t="shared" ref="N61:N74" si="2">M61+K61+L61+J61+I61+H61+G61+F61+E61+D61+C61</f>
        <v>5</v>
      </c>
      <c r="O61" s="60"/>
      <c r="P61" s="48"/>
      <c r="Q61" s="157">
        <v>320728.45808950713</v>
      </c>
      <c r="R61" s="157">
        <v>304692.03518503177</v>
      </c>
      <c r="S61" s="141">
        <v>316879.71659243305</v>
      </c>
      <c r="T61" s="141">
        <v>329067.39799983433</v>
      </c>
      <c r="U61" s="142"/>
      <c r="V61" s="140"/>
      <c r="W61" s="146">
        <v>250</v>
      </c>
    </row>
    <row r="62" spans="1:23">
      <c r="A62" s="88" t="s">
        <v>60</v>
      </c>
      <c r="B62" s="56" t="str">
        <f>IFERROR(HYPERLINK(VLOOKUP(A62,ÜRÜNLER!A:C,3,FALSE),VLOOKUP(A62,ÜRÜNLER!A:B,2,FALSE)),"")</f>
        <v>iQ700 studioLine Alttan Donduruculu Ankastre Buzdolabı, 212.5x75.6cm, Düz Menteşe</v>
      </c>
      <c r="C62" s="5"/>
      <c r="D62" s="5">
        <v>2</v>
      </c>
      <c r="E62" s="6"/>
      <c r="F62" s="6"/>
      <c r="G62" s="6"/>
      <c r="H62" s="6">
        <v>1</v>
      </c>
      <c r="I62" s="7"/>
      <c r="J62" s="7"/>
      <c r="K62" s="6"/>
      <c r="L62" s="6"/>
      <c r="M62" s="7"/>
      <c r="N62" s="59">
        <f t="shared" si="2"/>
        <v>3</v>
      </c>
      <c r="O62" s="60"/>
      <c r="P62" s="48"/>
      <c r="Q62" s="139" t="s">
        <v>1782</v>
      </c>
      <c r="R62" s="157">
        <v>375000</v>
      </c>
      <c r="S62" s="141">
        <v>390000</v>
      </c>
      <c r="T62" s="141">
        <v>405000</v>
      </c>
      <c r="U62" s="142"/>
      <c r="V62" s="140"/>
      <c r="W62" s="146">
        <v>250</v>
      </c>
    </row>
    <row r="63" spans="1:23">
      <c r="A63" s="87" t="s">
        <v>61</v>
      </c>
      <c r="B63" s="56" t="str">
        <f>IFERROR(HYPERLINK(VLOOKUP(A63,ÜRÜNLER!A:C,3,FALSE),VLOOKUP(A63,ÜRÜNLER!A:B,2,FALSE)),"")</f>
        <v>iQ700 studioLine Ankastre Buzdolabı, 212.5x75.6cm, Düz Menteşe</v>
      </c>
      <c r="C63" s="5"/>
      <c r="D63" s="5">
        <v>5</v>
      </c>
      <c r="E63" s="6"/>
      <c r="F63" s="6"/>
      <c r="G63" s="6">
        <v>1</v>
      </c>
      <c r="H63" s="6"/>
      <c r="I63" s="7"/>
      <c r="J63" s="7">
        <v>1</v>
      </c>
      <c r="K63" s="6"/>
      <c r="L63" s="6"/>
      <c r="M63" s="7"/>
      <c r="N63" s="59">
        <f t="shared" si="2"/>
        <v>7</v>
      </c>
      <c r="O63" s="60"/>
      <c r="P63" s="48"/>
      <c r="Q63" s="139" t="s">
        <v>1782</v>
      </c>
      <c r="R63" s="157">
        <v>400000</v>
      </c>
      <c r="S63" s="141">
        <v>416000</v>
      </c>
      <c r="T63" s="141">
        <v>432000</v>
      </c>
      <c r="U63" s="142"/>
      <c r="V63" s="140"/>
      <c r="W63" s="146">
        <v>250</v>
      </c>
    </row>
    <row r="64" spans="1:23">
      <c r="A64" s="88" t="s">
        <v>62</v>
      </c>
      <c r="B64" s="56" t="str">
        <f>IFERROR(HYPERLINK(VLOOKUP(A64,ÜRÜNLER!A:C,3,FALSE),VLOOKUP(A64,ÜRÜNLER!A:B,2,FALSE)),"")</f>
        <v>iQ700 Alttan Donduruculu Ankastre Buzdolabı, 212.5x90.8cm, Düz Menteşe</v>
      </c>
      <c r="C64" s="5"/>
      <c r="D64" s="5"/>
      <c r="E64" s="6">
        <v>1</v>
      </c>
      <c r="F64" s="6"/>
      <c r="G64" s="6"/>
      <c r="H64" s="6">
        <v>1</v>
      </c>
      <c r="I64" s="7"/>
      <c r="J64" s="7"/>
      <c r="K64" s="6"/>
      <c r="L64" s="6">
        <v>1</v>
      </c>
      <c r="M64" s="7"/>
      <c r="N64" s="59">
        <f t="shared" si="2"/>
        <v>3</v>
      </c>
      <c r="O64" s="60"/>
      <c r="P64" s="48"/>
      <c r="Q64" s="139" t="s">
        <v>1782</v>
      </c>
      <c r="R64" s="157">
        <v>325000</v>
      </c>
      <c r="S64" s="141">
        <v>338000</v>
      </c>
      <c r="T64" s="141">
        <v>351000</v>
      </c>
      <c r="U64" s="142"/>
      <c r="V64" s="140"/>
      <c r="W64" s="143">
        <v>1000</v>
      </c>
    </row>
    <row r="65" spans="1:25">
      <c r="A65" s="87" t="s">
        <v>63</v>
      </c>
      <c r="B65" s="56" t="str">
        <f>IFERROR(HYPERLINK(VLOOKUP(A65,ÜRÜNLER!A:C,3,FALSE),VLOOKUP(A65,ÜRÜNLER!A:B,2,FALSE)),"")</f>
        <v>iQ700 Ankastre Derin Dondurucu, 212.5x60.3cm, Düz Menteşe</v>
      </c>
      <c r="C65" s="5"/>
      <c r="D65" s="5"/>
      <c r="E65" s="6"/>
      <c r="F65" s="6">
        <v>1</v>
      </c>
      <c r="G65" s="6"/>
      <c r="H65" s="6"/>
      <c r="I65" s="7"/>
      <c r="J65" s="7">
        <v>1</v>
      </c>
      <c r="K65" s="6"/>
      <c r="L65" s="6">
        <v>1</v>
      </c>
      <c r="M65" s="7"/>
      <c r="N65" s="59">
        <f t="shared" si="2"/>
        <v>3</v>
      </c>
      <c r="O65" s="60"/>
      <c r="P65" s="48"/>
      <c r="Q65" s="139" t="s">
        <v>1782</v>
      </c>
      <c r="R65" s="157">
        <v>290000</v>
      </c>
      <c r="S65" s="141">
        <v>301600</v>
      </c>
      <c r="T65" s="141">
        <v>313200</v>
      </c>
      <c r="U65" s="142"/>
      <c r="V65" s="140"/>
      <c r="W65" s="143">
        <v>1000</v>
      </c>
    </row>
    <row r="66" spans="1:25">
      <c r="A66" s="87" t="s">
        <v>64</v>
      </c>
      <c r="B66" s="56" t="str">
        <f>IFERROR(HYPERLINK(VLOOKUP(A66,ÜRÜNLER!A:C,3,FALSE),VLOOKUP(A66,ÜRÜNLER!A:B,2,FALSE)),"")</f>
        <v>iQ700 Ankastre Derin Dondurucu, 212.5x60.3cm, Düz Menteşe</v>
      </c>
      <c r="C66" s="5">
        <v>1</v>
      </c>
      <c r="D66" s="5"/>
      <c r="E66" s="6"/>
      <c r="F66" s="6"/>
      <c r="G66" s="6"/>
      <c r="H66" s="6"/>
      <c r="I66" s="7"/>
      <c r="J66" s="7"/>
      <c r="K66" s="6"/>
      <c r="L66" s="6"/>
      <c r="M66" s="7"/>
      <c r="N66" s="59">
        <f t="shared" si="2"/>
        <v>1</v>
      </c>
      <c r="O66" s="60"/>
      <c r="P66" s="48"/>
      <c r="Q66" s="145">
        <v>323156.50178004295</v>
      </c>
      <c r="R66" s="151">
        <v>323156.50178004295</v>
      </c>
      <c r="S66" s="141">
        <v>336082.76185124466</v>
      </c>
      <c r="T66" s="141">
        <v>349009.02192244638</v>
      </c>
      <c r="U66" s="142"/>
      <c r="V66" s="140"/>
      <c r="W66" s="146"/>
    </row>
    <row r="67" spans="1:25">
      <c r="A67" s="87" t="s">
        <v>65</v>
      </c>
      <c r="B67" s="56" t="str">
        <f>IFERROR(HYPERLINK(VLOOKUP(A67,ÜRÜNLER!A:C,3,FALSE),VLOOKUP(A67,ÜRÜNLER!A:B,2,FALSE)),"")</f>
        <v>iQ500 Tezgah Altı Ankastre Buzdolabı, 82x59.8cm, softClosing Düz Menteşe</v>
      </c>
      <c r="C67" s="5"/>
      <c r="D67" s="5"/>
      <c r="E67" s="6"/>
      <c r="F67" s="6"/>
      <c r="G67" s="6"/>
      <c r="H67" s="6"/>
      <c r="I67" s="7"/>
      <c r="J67" s="7"/>
      <c r="K67" s="6"/>
      <c r="L67" s="6"/>
      <c r="M67" s="7"/>
      <c r="N67" s="59">
        <f t="shared" si="2"/>
        <v>0</v>
      </c>
      <c r="O67" s="60">
        <v>3</v>
      </c>
      <c r="P67" s="48"/>
      <c r="Q67" s="145">
        <v>66893.157793042163</v>
      </c>
      <c r="R67" s="151">
        <v>66893.157793042163</v>
      </c>
      <c r="S67" s="141">
        <v>69568.884104763856</v>
      </c>
      <c r="T67" s="141">
        <v>72244.610416485535</v>
      </c>
      <c r="U67" s="142"/>
      <c r="V67" s="140"/>
      <c r="W67" s="146"/>
    </row>
    <row r="68" spans="1:25">
      <c r="A68" s="87" t="s">
        <v>66</v>
      </c>
      <c r="B68" s="56" t="str">
        <f>IFERROR(HYPERLINK(VLOOKUP(A68,ÜRÜNLER!A:C,3,FALSE),VLOOKUP(A68,ÜRÜNLER!A:B,2,FALSE)),"")</f>
        <v>iQ500 Ankastre Şarap Soğutucu, 81.8x59.8cm</v>
      </c>
      <c r="C68" s="5"/>
      <c r="D68" s="5"/>
      <c r="E68" s="6"/>
      <c r="F68" s="6"/>
      <c r="G68" s="6"/>
      <c r="H68" s="6"/>
      <c r="I68" s="7"/>
      <c r="J68" s="7">
        <v>1</v>
      </c>
      <c r="K68" s="6"/>
      <c r="L68" s="6"/>
      <c r="M68" s="7">
        <v>1</v>
      </c>
      <c r="N68" s="59">
        <f t="shared" si="2"/>
        <v>2</v>
      </c>
      <c r="O68" s="60">
        <v>3</v>
      </c>
      <c r="P68" s="48"/>
      <c r="Q68" s="145">
        <v>102760.3448110442</v>
      </c>
      <c r="R68" s="151">
        <v>102760.3448110442</v>
      </c>
      <c r="S68" s="141">
        <v>106870.75860348597</v>
      </c>
      <c r="T68" s="141">
        <v>110981.17239592773</v>
      </c>
      <c r="U68" s="142"/>
      <c r="V68" s="140"/>
      <c r="W68" s="146"/>
    </row>
    <row r="69" spans="1:25">
      <c r="A69" s="95" t="s">
        <v>67</v>
      </c>
      <c r="B69" s="56" t="str">
        <f>IFERROR(HYPERLINK(VLOOKUP(A69,ÜRÜNLER!A:C,3,FALSE),VLOOKUP(A69,ÜRÜNLER!A:B,2,FALSE)),"")</f>
        <v>iQ500 Derin Donduruculu Ankastre Buzdolabı, 177.2x55.8cm, softClosing Düz Menteşe</v>
      </c>
      <c r="C69" s="5">
        <v>10</v>
      </c>
      <c r="D69" s="5"/>
      <c r="E69" s="6"/>
      <c r="F69" s="6">
        <v>1</v>
      </c>
      <c r="G69" s="6"/>
      <c r="H69" s="6"/>
      <c r="I69" s="7"/>
      <c r="J69" s="7"/>
      <c r="K69" s="6"/>
      <c r="L69" s="6"/>
      <c r="M69" s="7"/>
      <c r="N69" s="59">
        <f t="shared" si="2"/>
        <v>11</v>
      </c>
      <c r="O69" s="60"/>
      <c r="P69" s="48"/>
      <c r="Q69" s="145">
        <v>95992.543845008942</v>
      </c>
      <c r="R69" s="138">
        <v>91192.916652758489</v>
      </c>
      <c r="S69" s="141">
        <v>94840.63331886883</v>
      </c>
      <c r="T69" s="141">
        <v>98488.34998497917</v>
      </c>
      <c r="U69" s="142"/>
      <c r="V69" s="140"/>
      <c r="W69" s="146"/>
    </row>
    <row r="70" spans="1:25">
      <c r="A70" s="87" t="s">
        <v>68</v>
      </c>
      <c r="B70" s="56" t="str">
        <f>IFERROR(HYPERLINK(VLOOKUP(A70,ÜRÜNLER!A:C,3,FALSE),VLOOKUP(A70,ÜRÜNLER!A:B,2,FALSE)),"")</f>
        <v>iQ500 Alttan Donduruculu Ankastre Buzdolabı, 177.2x55.8cm, softClosing Düz Menteşe</v>
      </c>
      <c r="C70" s="5"/>
      <c r="D70" s="5"/>
      <c r="E70" s="6"/>
      <c r="F70" s="6"/>
      <c r="G70" s="6">
        <v>1</v>
      </c>
      <c r="H70" s="6"/>
      <c r="I70" s="7"/>
      <c r="J70" s="7"/>
      <c r="K70" s="6"/>
      <c r="L70" s="6"/>
      <c r="M70" s="7"/>
      <c r="N70" s="59">
        <f t="shared" si="2"/>
        <v>1</v>
      </c>
      <c r="O70" s="60"/>
      <c r="P70" s="48"/>
      <c r="Q70" s="139" t="s">
        <v>1782</v>
      </c>
      <c r="R70" s="140">
        <v>75000</v>
      </c>
      <c r="S70" s="141">
        <v>78000</v>
      </c>
      <c r="T70" s="141">
        <v>81000</v>
      </c>
      <c r="U70" s="142"/>
      <c r="V70" s="140"/>
      <c r="W70" s="158">
        <v>1000</v>
      </c>
    </row>
    <row r="71" spans="1:25">
      <c r="A71" s="88" t="s">
        <v>69</v>
      </c>
      <c r="B71" s="56" t="str">
        <f>IFERROR(HYPERLINK(VLOOKUP(A71,ÜRÜNLER!A:C,3,FALSE),VLOOKUP(A71,ÜRÜNLER!A:B,2,FALSE)),"")</f>
        <v>iQ500 Alttan Donduruculu Ankastre Buzdolabı, 177.2x55.8cm, Düz Menteşe</v>
      </c>
      <c r="C71" s="5"/>
      <c r="D71" s="5"/>
      <c r="E71" s="6">
        <v>2</v>
      </c>
      <c r="F71" s="6"/>
      <c r="G71" s="6"/>
      <c r="H71" s="6"/>
      <c r="I71" s="7"/>
      <c r="J71" s="7">
        <v>1</v>
      </c>
      <c r="K71" s="6"/>
      <c r="L71" s="6">
        <v>1</v>
      </c>
      <c r="M71" s="7"/>
      <c r="N71" s="59">
        <f t="shared" si="2"/>
        <v>4</v>
      </c>
      <c r="O71" s="60">
        <v>3</v>
      </c>
      <c r="P71" s="48"/>
      <c r="Q71" s="145">
        <v>97354.167416930461</v>
      </c>
      <c r="R71" s="151">
        <v>97354.167416930461</v>
      </c>
      <c r="S71" s="141">
        <v>101248.33411360768</v>
      </c>
      <c r="T71" s="141">
        <v>105142.5008102849</v>
      </c>
      <c r="U71" s="142"/>
      <c r="V71" s="140"/>
      <c r="W71" s="146"/>
    </row>
    <row r="72" spans="1:25">
      <c r="A72" s="88" t="s">
        <v>1791</v>
      </c>
      <c r="B72" s="56" t="str">
        <f>IFERROR(HYPERLINK(VLOOKUP(A72,ÜRÜNLER!A:C,3,FALSE),VLOOKUP(A72,ÜRÜNLER!A:B,2,FALSE)),"")</f>
        <v>iQ500 Alttan Donduruculu Ankastre Buzdolabı, 193.5x70.8cm, softClosing Düz Menteşe</v>
      </c>
      <c r="C72" s="5"/>
      <c r="D72" s="5"/>
      <c r="E72" s="6"/>
      <c r="F72" s="6"/>
      <c r="G72" s="6"/>
      <c r="H72" s="6"/>
      <c r="I72" s="7"/>
      <c r="J72" s="7"/>
      <c r="K72" s="6"/>
      <c r="L72" s="6"/>
      <c r="M72" s="7"/>
      <c r="N72" s="59">
        <f t="shared" si="2"/>
        <v>0</v>
      </c>
      <c r="O72" s="60">
        <v>4</v>
      </c>
      <c r="P72" s="48"/>
      <c r="Q72" s="145">
        <v>119995.99338721613</v>
      </c>
      <c r="R72" s="151">
        <v>119995.99338721613</v>
      </c>
      <c r="S72" s="141">
        <v>124795.83312270477</v>
      </c>
      <c r="T72" s="141">
        <v>129595.67285819343</v>
      </c>
      <c r="U72" s="142"/>
      <c r="V72" s="140"/>
      <c r="W72" s="146"/>
    </row>
    <row r="73" spans="1:25">
      <c r="A73" s="87" t="s">
        <v>70</v>
      </c>
      <c r="B73" s="56" t="str">
        <f>IFERROR(HYPERLINK(VLOOKUP(A73,ÜRÜNLER!A:C,3,FALSE),VLOOKUP(A73,ÜRÜNLER!A:B,2,FALSE)),"")</f>
        <v>iQ500 Alttan Donduruculu Ankastre Buzdolabı, 193.5x70.8cm, softClosing Düz Menteşe</v>
      </c>
      <c r="C73" s="5">
        <v>1</v>
      </c>
      <c r="D73" s="5"/>
      <c r="E73" s="6"/>
      <c r="F73" s="6"/>
      <c r="G73" s="6"/>
      <c r="H73" s="6"/>
      <c r="I73" s="7"/>
      <c r="J73" s="7"/>
      <c r="K73" s="6"/>
      <c r="L73" s="6"/>
      <c r="M73" s="7"/>
      <c r="N73" s="59">
        <f t="shared" si="2"/>
        <v>1</v>
      </c>
      <c r="O73" s="60"/>
      <c r="P73" s="48"/>
      <c r="Q73" s="145">
        <v>119995.99338721613</v>
      </c>
      <c r="R73" s="151">
        <v>119995.99338721613</v>
      </c>
      <c r="S73" s="141">
        <v>124795.83312270477</v>
      </c>
      <c r="T73" s="141">
        <v>129595.67285819343</v>
      </c>
      <c r="U73" s="142"/>
      <c r="V73" s="140"/>
      <c r="W73" s="146"/>
    </row>
    <row r="74" spans="1:25">
      <c r="A74" s="87" t="s">
        <v>1485</v>
      </c>
      <c r="B74" s="56" t="str">
        <f>IFERROR(HYPERLINK(VLOOKUP(A74,ÜRÜNLER!A:C,3,FALSE),VLOOKUP(A74,ÜRÜNLER!A:B,2,FALSE)),"")</f>
        <v>iQ500 studioLine Alttan Donduruculu Ankastre Buzdolabı, 193.5x70.8cm, Düz Menteşe</v>
      </c>
      <c r="C74" s="5"/>
      <c r="D74" s="5">
        <v>12</v>
      </c>
      <c r="E74" s="6"/>
      <c r="F74" s="6"/>
      <c r="G74" s="6"/>
      <c r="H74" s="6"/>
      <c r="I74" s="7"/>
      <c r="J74" s="7"/>
      <c r="K74" s="6"/>
      <c r="L74" s="6"/>
      <c r="M74" s="7"/>
      <c r="N74" s="59">
        <f t="shared" si="2"/>
        <v>12</v>
      </c>
      <c r="O74" s="60"/>
      <c r="P74" s="48"/>
      <c r="Q74" s="159">
        <v>145394.74836193025</v>
      </c>
      <c r="R74" s="159">
        <v>130855.27352573723</v>
      </c>
      <c r="S74" s="141">
        <v>136089.48446676671</v>
      </c>
      <c r="T74" s="141">
        <v>141323.69540779621</v>
      </c>
      <c r="U74" s="142"/>
      <c r="V74" s="140"/>
      <c r="W74" s="143">
        <v>500</v>
      </c>
    </row>
    <row r="75" spans="1:25" s="10" customFormat="1" ht="30">
      <c r="A75" s="94" t="s">
        <v>71</v>
      </c>
      <c r="B75" s="56" t="str">
        <f>IFERROR(HYPERLINK(VLOOKUP(A75,ÜRÜNLER!A:C,3,FALSE),VLOOKUP(A75,ÜRÜNLER!A:B,2,FALSE)),"")</f>
        <v/>
      </c>
      <c r="C75" s="5"/>
      <c r="D75" s="5"/>
      <c r="E75" s="6"/>
      <c r="F75" s="6"/>
      <c r="G75" s="6"/>
      <c r="H75" s="6"/>
      <c r="I75" s="7"/>
      <c r="J75" s="7"/>
      <c r="K75" s="6"/>
      <c r="L75" s="6"/>
      <c r="M75" s="7"/>
      <c r="N75" s="59">
        <f>SUM(N61:N74)</f>
        <v>53</v>
      </c>
      <c r="O75" s="60"/>
      <c r="P75" s="6"/>
      <c r="Q75" s="139"/>
      <c r="R75" s="139"/>
      <c r="S75" s="139"/>
      <c r="T75" s="141"/>
      <c r="U75" s="142"/>
      <c r="V75" s="140"/>
      <c r="W75" s="151"/>
      <c r="X75" s="144"/>
      <c r="Y75" s="65"/>
    </row>
    <row r="76" spans="1:25">
      <c r="A76" s="88" t="s">
        <v>1429</v>
      </c>
      <c r="B76" s="56" t="str">
        <f>IFERROR(HYPERLINK(VLOOKUP(A76,ÜRÜNLER!A:C,3,FALSE),VLOOKUP(A76,ÜRÜNLER!A:B,2,FALSE)),"")</f>
        <v>iQ300 Çamaşır Makinesi, 9kg/1200devir, Gümüş</v>
      </c>
      <c r="C76" s="5"/>
      <c r="D76" s="5"/>
      <c r="E76" s="6"/>
      <c r="F76" s="6"/>
      <c r="G76" s="6"/>
      <c r="H76" s="6"/>
      <c r="I76" s="7">
        <v>1</v>
      </c>
      <c r="J76" s="7"/>
      <c r="K76" s="6"/>
      <c r="L76" s="6"/>
      <c r="M76" s="7"/>
      <c r="N76" s="59">
        <f t="shared" ref="N76:N107" si="3">M76+K76+L76+J76+I76+H76+G76+F76+E76+D76+C76</f>
        <v>1</v>
      </c>
      <c r="O76" s="60"/>
      <c r="P76" s="48"/>
      <c r="Q76" s="139" t="s">
        <v>1782</v>
      </c>
      <c r="R76" s="151">
        <v>35000</v>
      </c>
      <c r="S76" s="141">
        <v>36400</v>
      </c>
      <c r="T76" s="141">
        <v>37800</v>
      </c>
      <c r="U76" s="142"/>
      <c r="V76" s="140"/>
      <c r="W76" s="143">
        <v>500</v>
      </c>
    </row>
    <row r="77" spans="1:25">
      <c r="A77" s="88" t="s">
        <v>1439</v>
      </c>
      <c r="B77" s="56" t="str">
        <f>IFERROR(HYPERLINK(VLOOKUP(A77,ÜRÜNLER!A:C,3,FALSE),VLOOKUP(A77,ÜRÜNLER!A:B,2,FALSE)),"")</f>
        <v>iQ500 Çamaşır Makinesi, 10kg/1200devir, Beyaz</v>
      </c>
      <c r="C77" s="5"/>
      <c r="D77" s="5"/>
      <c r="E77" s="6"/>
      <c r="F77" s="6"/>
      <c r="G77" s="6"/>
      <c r="H77" s="6"/>
      <c r="I77" s="7"/>
      <c r="J77" s="7"/>
      <c r="K77" s="6"/>
      <c r="L77" s="6">
        <v>1</v>
      </c>
      <c r="M77" s="7"/>
      <c r="N77" s="59">
        <f t="shared" si="3"/>
        <v>1</v>
      </c>
      <c r="O77" s="60"/>
      <c r="P77" s="48"/>
      <c r="Q77" s="139" t="s">
        <v>1782</v>
      </c>
      <c r="R77" s="151">
        <v>37000</v>
      </c>
      <c r="S77" s="141">
        <v>38480</v>
      </c>
      <c r="T77" s="141">
        <v>39960</v>
      </c>
      <c r="U77" s="142"/>
      <c r="V77" s="140">
        <v>3490</v>
      </c>
      <c r="W77" s="143">
        <v>500</v>
      </c>
    </row>
    <row r="78" spans="1:25">
      <c r="A78" s="91" t="s">
        <v>74</v>
      </c>
      <c r="B78" s="56" t="str">
        <f>IFERROR(HYPERLINK(VLOOKUP(A78,ÜRÜNLER!A:C,3,FALSE),VLOOKUP(A78,ÜRÜNLER!A:B,2,FALSE)),"")</f>
        <v>iQ300 Çamaşır Makinesi, 9kg/1200devir, Beyaz</v>
      </c>
      <c r="C78" s="5">
        <v>50</v>
      </c>
      <c r="D78" s="5"/>
      <c r="E78" s="6"/>
      <c r="F78" s="6"/>
      <c r="G78" s="6"/>
      <c r="H78" s="6"/>
      <c r="I78" s="7">
        <v>2</v>
      </c>
      <c r="J78" s="7">
        <v>2</v>
      </c>
      <c r="K78" s="6">
        <v>1</v>
      </c>
      <c r="L78" s="6"/>
      <c r="M78" s="7">
        <v>1</v>
      </c>
      <c r="N78" s="59">
        <f t="shared" si="3"/>
        <v>56</v>
      </c>
      <c r="O78" s="60"/>
      <c r="P78" s="64"/>
      <c r="Q78" s="145">
        <v>33951.071927080571</v>
      </c>
      <c r="R78" s="138">
        <v>32253.518330726543</v>
      </c>
      <c r="S78" s="141">
        <v>33543.659063955602</v>
      </c>
      <c r="T78" s="141">
        <v>34833.799797184663</v>
      </c>
      <c r="U78" s="142"/>
      <c r="V78" s="140"/>
      <c r="W78" s="146"/>
    </row>
    <row r="79" spans="1:25">
      <c r="A79" s="91" t="s">
        <v>75</v>
      </c>
      <c r="B79" s="56" t="str">
        <f>IFERROR(HYPERLINK(VLOOKUP(A79,ÜRÜNLER!A:C,3,FALSE),VLOOKUP(A79,ÜRÜNLER!A:B,2,FALSE)),"")</f>
        <v>iQ500 Çamaşır Makinesi, 9kg/1200devir, Beyaz</v>
      </c>
      <c r="C79" s="5">
        <v>33</v>
      </c>
      <c r="D79" s="5"/>
      <c r="E79" s="6"/>
      <c r="F79" s="6"/>
      <c r="G79" s="6"/>
      <c r="H79" s="6"/>
      <c r="I79" s="7">
        <v>1</v>
      </c>
      <c r="J79" s="7"/>
      <c r="K79" s="6"/>
      <c r="L79" s="6">
        <v>1</v>
      </c>
      <c r="M79" s="7"/>
      <c r="N79" s="59">
        <f t="shared" si="3"/>
        <v>35</v>
      </c>
      <c r="O79" s="60"/>
      <c r="P79" s="48"/>
      <c r="Q79" s="145">
        <v>43627.587009902316</v>
      </c>
      <c r="R79" s="147">
        <v>40573.655919209152</v>
      </c>
      <c r="S79" s="141">
        <v>42196.602155977518</v>
      </c>
      <c r="T79" s="141">
        <v>43819.548392745884</v>
      </c>
      <c r="U79" s="142"/>
      <c r="V79" s="140"/>
      <c r="W79" s="146"/>
    </row>
    <row r="80" spans="1:25">
      <c r="A80" s="97" t="s">
        <v>76</v>
      </c>
      <c r="B80" s="56" t="str">
        <f>IFERROR(HYPERLINK(VLOOKUP(A80,ÜRÜNLER!A:C,3,FALSE),VLOOKUP(A80,ÜRÜNLER!A:B,2,FALSE)),"")</f>
        <v>iQ500 Çamaşır Makinesi, 9kg/1200devir, Gümüş</v>
      </c>
      <c r="C80" s="5">
        <v>61</v>
      </c>
      <c r="D80" s="5"/>
      <c r="E80" s="6"/>
      <c r="F80" s="6"/>
      <c r="G80" s="6"/>
      <c r="H80" s="6"/>
      <c r="I80" s="7">
        <v>1</v>
      </c>
      <c r="J80" s="7">
        <v>1</v>
      </c>
      <c r="K80" s="6">
        <v>1</v>
      </c>
      <c r="L80" s="6"/>
      <c r="M80" s="7">
        <v>1</v>
      </c>
      <c r="N80" s="59">
        <f t="shared" si="3"/>
        <v>65</v>
      </c>
      <c r="O80" s="60"/>
      <c r="P80" s="64"/>
      <c r="Q80" s="145">
        <v>45494.72632684563</v>
      </c>
      <c r="R80" s="147">
        <v>42310.095483966434</v>
      </c>
      <c r="S80" s="140">
        <v>44002.499303325094</v>
      </c>
      <c r="T80" s="141">
        <v>45694.903122683747</v>
      </c>
      <c r="U80" s="142"/>
      <c r="V80" s="140"/>
      <c r="W80" s="146"/>
    </row>
    <row r="81" spans="1:25">
      <c r="A81" s="91" t="s">
        <v>77</v>
      </c>
      <c r="B81" s="56" t="str">
        <f>IFERROR(HYPERLINK(VLOOKUP(A81,ÜRÜNLER!A:C,3,FALSE),VLOOKUP(A81,ÜRÜNLER!A:B,2,FALSE)),"")</f>
        <v>iQ300 Çamaşır Makinesi, 9kg/1400devir, Beyaz</v>
      </c>
      <c r="C81" s="5"/>
      <c r="D81" s="5"/>
      <c r="E81" s="6"/>
      <c r="F81" s="6"/>
      <c r="G81" s="6"/>
      <c r="H81" s="6"/>
      <c r="I81" s="7">
        <v>1</v>
      </c>
      <c r="J81" s="7"/>
      <c r="K81" s="6"/>
      <c r="L81" s="6"/>
      <c r="M81" s="7"/>
      <c r="N81" s="59">
        <f t="shared" si="3"/>
        <v>1</v>
      </c>
      <c r="O81" s="60"/>
      <c r="P81" s="48"/>
      <c r="Q81" s="139" t="s">
        <v>1782</v>
      </c>
      <c r="R81" s="149">
        <v>32000</v>
      </c>
      <c r="S81" s="141">
        <v>33280</v>
      </c>
      <c r="T81" s="141">
        <v>34560</v>
      </c>
      <c r="U81" s="142"/>
      <c r="V81" s="140"/>
      <c r="W81" s="143">
        <v>500</v>
      </c>
    </row>
    <row r="82" spans="1:25">
      <c r="A82" s="91" t="s">
        <v>79</v>
      </c>
      <c r="B82" s="56" t="str">
        <f>IFERROR(HYPERLINK(VLOOKUP(A82,ÜRÜNLER!A:C,3,FALSE),VLOOKUP(A82,ÜRÜNLER!A:B,2,FALSE)),"")</f>
        <v>iQ700 Çamaşır Makinesi, 9kg/1400devir, i-dos, Beyaz</v>
      </c>
      <c r="C82" s="5"/>
      <c r="D82" s="5"/>
      <c r="E82" s="6"/>
      <c r="F82" s="6"/>
      <c r="G82" s="6"/>
      <c r="H82" s="6"/>
      <c r="I82" s="7"/>
      <c r="J82" s="7">
        <v>1</v>
      </c>
      <c r="K82" s="6"/>
      <c r="L82" s="6">
        <v>1</v>
      </c>
      <c r="M82" s="7">
        <v>1</v>
      </c>
      <c r="N82" s="59">
        <f t="shared" si="3"/>
        <v>3</v>
      </c>
      <c r="O82" s="60">
        <v>5</v>
      </c>
      <c r="P82" s="48"/>
      <c r="Q82" s="145">
        <v>50877.593851705358</v>
      </c>
      <c r="R82" s="151">
        <v>50878</v>
      </c>
      <c r="S82" s="141">
        <v>52913.120000000003</v>
      </c>
      <c r="T82" s="141">
        <v>54948.24</v>
      </c>
      <c r="U82" s="142"/>
      <c r="V82" s="140"/>
      <c r="W82" s="146"/>
    </row>
    <row r="83" spans="1:25">
      <c r="A83" s="91" t="s">
        <v>1471</v>
      </c>
      <c r="B83" s="56" t="str">
        <f>IFERROR(HYPERLINK(VLOOKUP(A83,ÜRÜNLER!A:C,3,FALSE),VLOOKUP(A83,ÜRÜNLER!A:B,2,FALSE)),"")</f>
        <v>iQ700 Çamaşır Makinesi, 9kg/1400devir, Beyaz</v>
      </c>
      <c r="C83" s="5"/>
      <c r="D83" s="5"/>
      <c r="E83" s="6"/>
      <c r="F83" s="6"/>
      <c r="G83" s="6"/>
      <c r="H83" s="6"/>
      <c r="I83" s="7">
        <v>1</v>
      </c>
      <c r="J83" s="7"/>
      <c r="K83" s="6"/>
      <c r="L83" s="6"/>
      <c r="M83" s="7"/>
      <c r="N83" s="59">
        <f t="shared" si="3"/>
        <v>1</v>
      </c>
      <c r="O83" s="60"/>
      <c r="P83" s="48"/>
      <c r="Q83" s="139" t="s">
        <v>1782</v>
      </c>
      <c r="R83" s="140">
        <v>46000</v>
      </c>
      <c r="S83" s="141">
        <v>47840</v>
      </c>
      <c r="T83" s="141">
        <v>49680</v>
      </c>
      <c r="U83" s="142"/>
      <c r="V83" s="140"/>
      <c r="W83" s="143">
        <v>500</v>
      </c>
    </row>
    <row r="84" spans="1:25">
      <c r="A84" s="91" t="s">
        <v>80</v>
      </c>
      <c r="B84" s="56" t="str">
        <f>IFERROR(HYPERLINK(VLOOKUP(A84,ÜRÜNLER!A:C,3,FALSE),VLOOKUP(A84,ÜRÜNLER!A:B,2,FALSE)),"")</f>
        <v>iQ500 Çamaşır Makinesi, 9kg/1400devir, Beyaz</v>
      </c>
      <c r="C84" s="5">
        <v>16</v>
      </c>
      <c r="D84" s="5"/>
      <c r="E84" s="6"/>
      <c r="F84" s="6">
        <v>1</v>
      </c>
      <c r="G84" s="6"/>
      <c r="H84" s="6"/>
      <c r="I84" s="7">
        <v>1</v>
      </c>
      <c r="J84" s="7">
        <v>1</v>
      </c>
      <c r="K84" s="6"/>
      <c r="L84" s="6"/>
      <c r="M84" s="7"/>
      <c r="N84" s="59">
        <f t="shared" si="3"/>
        <v>19</v>
      </c>
      <c r="O84" s="60"/>
      <c r="P84" s="48"/>
      <c r="Q84" s="145">
        <v>43297.575959808506</v>
      </c>
      <c r="R84" s="147">
        <v>40266.745642621914</v>
      </c>
      <c r="S84" s="141">
        <v>41877.415468326792</v>
      </c>
      <c r="T84" s="141">
        <v>43488.085294031669</v>
      </c>
      <c r="U84" s="142"/>
      <c r="V84" s="140"/>
      <c r="W84" s="146"/>
    </row>
    <row r="85" spans="1:25" s="11" customFormat="1">
      <c r="A85" s="88" t="s">
        <v>81</v>
      </c>
      <c r="B85" s="56" t="str">
        <f>IFERROR(HYPERLINK(VLOOKUP(A85,ÜRÜNLER!A:C,3,FALSE),VLOOKUP(A85,ÜRÜNLER!A:B,2,FALSE)),"")</f>
        <v>iQ300 Çamaşır Makinesi, 10kg/1200devir, Beyaz</v>
      </c>
      <c r="C85" s="5"/>
      <c r="D85" s="5"/>
      <c r="E85" s="6"/>
      <c r="F85" s="6"/>
      <c r="G85" s="6"/>
      <c r="H85" s="6"/>
      <c r="I85" s="7">
        <v>1</v>
      </c>
      <c r="J85" s="7">
        <v>1</v>
      </c>
      <c r="K85" s="6"/>
      <c r="L85" s="6">
        <v>1</v>
      </c>
      <c r="M85" s="7"/>
      <c r="N85" s="59">
        <f t="shared" si="3"/>
        <v>3</v>
      </c>
      <c r="O85" s="60"/>
      <c r="P85" s="48"/>
      <c r="Q85" s="139" t="s">
        <v>1782</v>
      </c>
      <c r="R85" s="140">
        <v>34557</v>
      </c>
      <c r="S85" s="155">
        <v>35939.279999999999</v>
      </c>
      <c r="T85" s="155">
        <v>37321.56</v>
      </c>
      <c r="U85" s="160">
        <v>1556.7337650080808</v>
      </c>
      <c r="V85" s="140"/>
      <c r="W85" s="143">
        <v>500</v>
      </c>
      <c r="X85" s="144"/>
      <c r="Y85" s="66"/>
    </row>
    <row r="86" spans="1:25" s="11" customFormat="1">
      <c r="A86" s="88" t="s">
        <v>1436</v>
      </c>
      <c r="B86" s="56" t="str">
        <f>IFERROR(HYPERLINK(VLOOKUP(A86,ÜRÜNLER!A:C,3,FALSE),VLOOKUP(A86,ÜRÜNLER!A:B,2,FALSE)),"")</f>
        <v>iQ300 Çamaşır Makinesi, 10kg/1200devir, Beyaz</v>
      </c>
      <c r="C86" s="5">
        <v>213</v>
      </c>
      <c r="D86" s="5"/>
      <c r="E86" s="6"/>
      <c r="F86" s="6"/>
      <c r="G86" s="6"/>
      <c r="H86" s="6"/>
      <c r="I86" s="7">
        <v>1</v>
      </c>
      <c r="J86" s="7">
        <v>1</v>
      </c>
      <c r="K86" s="6">
        <v>1</v>
      </c>
      <c r="L86" s="6"/>
      <c r="M86" s="7"/>
      <c r="N86" s="59">
        <f t="shared" si="3"/>
        <v>216</v>
      </c>
      <c r="O86" s="60"/>
      <c r="P86" s="48"/>
      <c r="Q86" s="145">
        <v>39308.306442639354</v>
      </c>
      <c r="R86" s="147">
        <v>36000</v>
      </c>
      <c r="S86" s="155">
        <v>37440</v>
      </c>
      <c r="T86" s="155">
        <v>38880</v>
      </c>
      <c r="U86" s="142"/>
      <c r="V86" s="140"/>
      <c r="W86" s="146"/>
      <c r="X86" s="161"/>
      <c r="Y86" s="66"/>
    </row>
    <row r="87" spans="1:25" s="11" customFormat="1">
      <c r="A87" s="98" t="s">
        <v>1541</v>
      </c>
      <c r="B87" s="56" t="str">
        <f>IFERROR(HYPERLINK(VLOOKUP(A87,ÜRÜNLER!A:C,3,FALSE),VLOOKUP(A87,ÜRÜNLER!A:B,2,FALSE)),"")</f>
        <v>iQ500 Çamaşır Makinesi, 10kg/1200devir, Gümüş</v>
      </c>
      <c r="C87" s="5">
        <v>6</v>
      </c>
      <c r="D87" s="5"/>
      <c r="E87" s="6"/>
      <c r="F87" s="6"/>
      <c r="G87" s="6"/>
      <c r="H87" s="6"/>
      <c r="I87" s="7">
        <v>1</v>
      </c>
      <c r="J87" s="7"/>
      <c r="K87" s="6"/>
      <c r="L87" s="6"/>
      <c r="M87" s="7"/>
      <c r="N87" s="59">
        <f t="shared" si="3"/>
        <v>7</v>
      </c>
      <c r="O87" s="60"/>
      <c r="P87" s="48"/>
      <c r="Q87" s="145">
        <v>49073.715895703179</v>
      </c>
      <c r="R87" s="151">
        <v>49073.715895703179</v>
      </c>
      <c r="S87" s="141">
        <v>51036.664531531307</v>
      </c>
      <c r="T87" s="141">
        <v>52999.613167359435</v>
      </c>
      <c r="U87" s="142"/>
      <c r="V87" s="140"/>
      <c r="W87" s="146"/>
      <c r="X87" s="144"/>
      <c r="Y87" s="66"/>
    </row>
    <row r="88" spans="1:25">
      <c r="A88" s="95" t="s">
        <v>82</v>
      </c>
      <c r="B88" s="56" t="str">
        <f>IFERROR(HYPERLINK(VLOOKUP(A88,ÜRÜNLER!A:C,3,FALSE),VLOOKUP(A88,ÜRÜNLER!A:B,2,FALSE)),"")</f>
        <v>iQ500 Çamaşır Makinesi, 10kg/1200devir, i-dos, Beyaz</v>
      </c>
      <c r="C88" s="5"/>
      <c r="D88" s="5"/>
      <c r="E88" s="6"/>
      <c r="F88" s="6"/>
      <c r="G88" s="6"/>
      <c r="H88" s="6"/>
      <c r="I88" s="7"/>
      <c r="J88" s="7"/>
      <c r="K88" s="6"/>
      <c r="L88" s="6">
        <v>1</v>
      </c>
      <c r="M88" s="7"/>
      <c r="N88" s="59">
        <f t="shared" si="3"/>
        <v>1</v>
      </c>
      <c r="O88" s="60"/>
      <c r="P88" s="48"/>
      <c r="Q88" s="139" t="s">
        <v>1782</v>
      </c>
      <c r="R88" s="140">
        <v>36000</v>
      </c>
      <c r="S88" s="141">
        <v>37440</v>
      </c>
      <c r="T88" s="141">
        <v>38880</v>
      </c>
      <c r="U88" s="142"/>
      <c r="V88" s="140"/>
      <c r="W88" s="143">
        <v>500</v>
      </c>
    </row>
    <row r="89" spans="1:25">
      <c r="A89" s="95" t="s">
        <v>83</v>
      </c>
      <c r="B89" s="56" t="str">
        <f>IFERROR(HYPERLINK(VLOOKUP(A89,ÜRÜNLER!A:C,3,FALSE),VLOOKUP(A89,ÜRÜNLER!A:B,2,FALSE)),"")</f>
        <v>iQ500 Çamaşır Makinesi, 10kg/1200devir, i-dos, Beyaz</v>
      </c>
      <c r="C89" s="5"/>
      <c r="D89" s="5"/>
      <c r="E89" s="6">
        <v>1</v>
      </c>
      <c r="F89" s="6"/>
      <c r="G89" s="6"/>
      <c r="H89" s="6"/>
      <c r="I89" s="7">
        <v>1</v>
      </c>
      <c r="J89" s="7">
        <v>1</v>
      </c>
      <c r="K89" s="6">
        <v>1</v>
      </c>
      <c r="L89" s="6">
        <v>1</v>
      </c>
      <c r="M89" s="7">
        <v>1</v>
      </c>
      <c r="N89" s="59">
        <f t="shared" si="3"/>
        <v>6</v>
      </c>
      <c r="O89" s="60"/>
      <c r="P89" s="48"/>
      <c r="Q89" s="139" t="s">
        <v>1782</v>
      </c>
      <c r="R89" s="149">
        <v>36000</v>
      </c>
      <c r="S89" s="141">
        <v>37440</v>
      </c>
      <c r="T89" s="141">
        <v>38880</v>
      </c>
      <c r="U89" s="142"/>
      <c r="V89" s="140"/>
      <c r="W89" s="143">
        <v>500</v>
      </c>
    </row>
    <row r="90" spans="1:25">
      <c r="A90" s="98" t="s">
        <v>84</v>
      </c>
      <c r="B90" s="56" t="str">
        <f>IFERROR(HYPERLINK(VLOOKUP(A90,ÜRÜNLER!A:C,3,FALSE),VLOOKUP(A90,ÜRÜNLER!A:B,2,FALSE)),"")</f>
        <v>iQ300 Çamaşır Makinesi, 10kg/1200devir, Gümüş</v>
      </c>
      <c r="C90" s="5"/>
      <c r="D90" s="5"/>
      <c r="E90" s="6">
        <v>1</v>
      </c>
      <c r="F90" s="6"/>
      <c r="G90" s="6"/>
      <c r="H90" s="6"/>
      <c r="I90" s="7"/>
      <c r="J90" s="7"/>
      <c r="K90" s="6"/>
      <c r="L90" s="6"/>
      <c r="M90" s="7"/>
      <c r="N90" s="59">
        <f t="shared" si="3"/>
        <v>1</v>
      </c>
      <c r="O90" s="60"/>
      <c r="P90" s="48"/>
      <c r="Q90" s="139" t="s">
        <v>1782</v>
      </c>
      <c r="R90" s="149">
        <v>36000</v>
      </c>
      <c r="S90" s="141">
        <v>37440</v>
      </c>
      <c r="T90" s="141">
        <v>38880</v>
      </c>
      <c r="U90" s="142"/>
      <c r="V90" s="140"/>
      <c r="W90" s="143">
        <v>500</v>
      </c>
    </row>
    <row r="91" spans="1:25">
      <c r="A91" s="99" t="s">
        <v>85</v>
      </c>
      <c r="B91" s="56" t="str">
        <f>IFERROR(HYPERLINK(VLOOKUP(A91,ÜRÜNLER!A:C,3,FALSE),VLOOKUP(A91,ÜRÜNLER!A:B,2,FALSE)),"")</f>
        <v>iQ500 Çamaşır Makinesi, 10kg/1200devir, Beyaz</v>
      </c>
      <c r="C91" s="5"/>
      <c r="D91" s="5"/>
      <c r="E91" s="6"/>
      <c r="F91" s="6">
        <v>1</v>
      </c>
      <c r="G91" s="6"/>
      <c r="H91" s="6"/>
      <c r="I91" s="7">
        <v>1</v>
      </c>
      <c r="J91" s="7">
        <v>1</v>
      </c>
      <c r="K91" s="6"/>
      <c r="L91" s="6"/>
      <c r="M91" s="7"/>
      <c r="N91" s="59">
        <f t="shared" si="3"/>
        <v>3</v>
      </c>
      <c r="O91" s="60"/>
      <c r="P91" s="48"/>
      <c r="Q91" s="139" t="s">
        <v>1782</v>
      </c>
      <c r="R91" s="140">
        <v>38000</v>
      </c>
      <c r="S91" s="141">
        <v>39520</v>
      </c>
      <c r="T91" s="141">
        <v>41040</v>
      </c>
      <c r="U91" s="142"/>
      <c r="V91" s="140"/>
      <c r="W91" s="143">
        <v>500</v>
      </c>
    </row>
    <row r="92" spans="1:25">
      <c r="A92" s="98" t="s">
        <v>86</v>
      </c>
      <c r="B92" s="56" t="str">
        <f>IFERROR(HYPERLINK(VLOOKUP(A92,ÜRÜNLER!A:C,3,FALSE),VLOOKUP(A92,ÜRÜNLER!A:B,2,FALSE)),"")</f>
        <v>iQ500 Çamaşır Makinesi, 10kg/1200devir, Gümüş</v>
      </c>
      <c r="C92" s="5"/>
      <c r="D92" s="5"/>
      <c r="E92" s="6"/>
      <c r="F92" s="6"/>
      <c r="G92" s="6"/>
      <c r="H92" s="6"/>
      <c r="I92" s="7"/>
      <c r="J92" s="7">
        <v>1</v>
      </c>
      <c r="K92" s="6"/>
      <c r="L92" s="6"/>
      <c r="M92" s="7"/>
      <c r="N92" s="59">
        <f t="shared" si="3"/>
        <v>1</v>
      </c>
      <c r="O92" s="60"/>
      <c r="P92" s="48"/>
      <c r="Q92" s="139" t="s">
        <v>1782</v>
      </c>
      <c r="R92" s="140">
        <v>40000</v>
      </c>
      <c r="S92" s="141">
        <v>41600</v>
      </c>
      <c r="T92" s="141">
        <v>43200</v>
      </c>
      <c r="U92" s="142"/>
      <c r="V92" s="140"/>
      <c r="W92" s="143">
        <v>500</v>
      </c>
    </row>
    <row r="93" spans="1:25">
      <c r="A93" s="88" t="s">
        <v>87</v>
      </c>
      <c r="B93" s="56" t="str">
        <f>IFERROR(HYPERLINK(VLOOKUP(A93,ÜRÜNLER!A:C,3,FALSE),VLOOKUP(A93,ÜRÜNLER!A:B,2,FALSE)),"")</f>
        <v>iQ300 Çamaşır Makinesi, 10kg/1400devir, Beyaz</v>
      </c>
      <c r="C93" s="5"/>
      <c r="D93" s="5"/>
      <c r="E93" s="6"/>
      <c r="F93" s="6"/>
      <c r="G93" s="6"/>
      <c r="H93" s="6"/>
      <c r="I93" s="7"/>
      <c r="J93" s="7"/>
      <c r="K93" s="6"/>
      <c r="L93" s="6">
        <v>1</v>
      </c>
      <c r="M93" s="7"/>
      <c r="N93" s="59">
        <f t="shared" si="3"/>
        <v>1</v>
      </c>
      <c r="O93" s="60"/>
      <c r="P93" s="48"/>
      <c r="Q93" s="139" t="s">
        <v>1782</v>
      </c>
      <c r="R93" s="149">
        <v>42000</v>
      </c>
      <c r="S93" s="141">
        <v>43680</v>
      </c>
      <c r="T93" s="141">
        <v>45360</v>
      </c>
      <c r="U93" s="142"/>
      <c r="V93" s="140"/>
      <c r="W93" s="143">
        <v>500</v>
      </c>
    </row>
    <row r="94" spans="1:25">
      <c r="A94" s="88" t="s">
        <v>1803</v>
      </c>
      <c r="B94" s="56" t="str">
        <f>IFERROR(HYPERLINK(VLOOKUP(A94,ÜRÜNLER!A:C,3,FALSE),VLOOKUP(A94,ÜRÜNLER!A:B,2,FALSE)),"")</f>
        <v>iQ700 Çamaşır Makinesi, 10kg/1400devir, intelligentDosing, Beyaz</v>
      </c>
      <c r="C94" s="5">
        <v>2</v>
      </c>
      <c r="D94" s="5"/>
      <c r="E94" s="6"/>
      <c r="F94" s="6"/>
      <c r="G94" s="6"/>
      <c r="H94" s="6"/>
      <c r="I94" s="7"/>
      <c r="J94" s="7"/>
      <c r="K94" s="6"/>
      <c r="L94" s="6"/>
      <c r="M94" s="7"/>
      <c r="N94" s="59">
        <f t="shared" si="3"/>
        <v>2</v>
      </c>
      <c r="O94" s="60"/>
      <c r="P94" s="48"/>
      <c r="Q94" s="145">
        <v>52561.488908400599</v>
      </c>
      <c r="R94" s="149">
        <v>52561.488908400599</v>
      </c>
      <c r="S94" s="141">
        <v>54663.948464736626</v>
      </c>
      <c r="T94" s="141">
        <v>56766.408021072646</v>
      </c>
      <c r="U94" s="142"/>
      <c r="V94" s="140"/>
      <c r="W94" s="140"/>
    </row>
    <row r="95" spans="1:25">
      <c r="A95" s="88" t="s">
        <v>88</v>
      </c>
      <c r="B95" s="56" t="str">
        <f>IFERROR(HYPERLINK(VLOOKUP(A95,ÜRÜNLER!A:C,3,FALSE),VLOOKUP(A95,ÜRÜNLER!A:B,2,FALSE)),"")</f>
        <v>iQ700 Çamaşır Makinesi, 10kg/1400devir, i-dos, Beyaz</v>
      </c>
      <c r="C95" s="5"/>
      <c r="D95" s="5"/>
      <c r="E95" s="6"/>
      <c r="F95" s="6"/>
      <c r="G95" s="6"/>
      <c r="H95" s="6"/>
      <c r="I95" s="7"/>
      <c r="J95" s="7"/>
      <c r="K95" s="6"/>
      <c r="L95" s="6">
        <v>1</v>
      </c>
      <c r="M95" s="7"/>
      <c r="N95" s="59">
        <f t="shared" si="3"/>
        <v>1</v>
      </c>
      <c r="O95" s="60"/>
      <c r="P95" s="48"/>
      <c r="Q95" s="139" t="s">
        <v>1782</v>
      </c>
      <c r="R95" s="149">
        <v>52000</v>
      </c>
      <c r="S95" s="141">
        <v>54080</v>
      </c>
      <c r="T95" s="141">
        <v>56160</v>
      </c>
      <c r="U95" s="142"/>
      <c r="V95" s="140"/>
      <c r="W95" s="143">
        <v>500</v>
      </c>
    </row>
    <row r="96" spans="1:25">
      <c r="A96" s="88" t="s">
        <v>1446</v>
      </c>
      <c r="B96" s="56" t="str">
        <f>IFERROR(HYPERLINK(VLOOKUP(A96,ÜRÜNLER!A:C,3,FALSE),VLOOKUP(A96,ÜRÜNLER!A:B,2,FALSE)),"")</f>
        <v>iQ700 Çamaşır Makinesi, 10kg/1400devir, i-dos, Gümüş</v>
      </c>
      <c r="C96" s="5"/>
      <c r="D96" s="5"/>
      <c r="E96" s="6"/>
      <c r="F96" s="6"/>
      <c r="G96" s="6"/>
      <c r="H96" s="6"/>
      <c r="I96" s="7"/>
      <c r="J96" s="7">
        <v>1</v>
      </c>
      <c r="K96" s="6"/>
      <c r="L96" s="6"/>
      <c r="M96" s="7"/>
      <c r="N96" s="59">
        <f t="shared" si="3"/>
        <v>1</v>
      </c>
      <c r="O96" s="60"/>
      <c r="P96" s="48"/>
      <c r="Q96" s="139" t="s">
        <v>1782</v>
      </c>
      <c r="R96" s="149">
        <v>55000</v>
      </c>
      <c r="S96" s="141">
        <v>57200</v>
      </c>
      <c r="T96" s="141">
        <v>59400</v>
      </c>
      <c r="U96" s="142"/>
      <c r="V96" s="140"/>
      <c r="W96" s="143">
        <v>500</v>
      </c>
    </row>
    <row r="97" spans="1:23">
      <c r="A97" s="87" t="s">
        <v>1441</v>
      </c>
      <c r="B97" s="56" t="str">
        <f>IFERROR(HYPERLINK(VLOOKUP(A97,ÜRÜNLER!A:C,3,FALSE),VLOOKUP(A97,ÜRÜNLER!A:B,2,FALSE)),"")</f>
        <v>iQ500 Çamaşır Makinesi, 10kg/1200devir, Beyaz</v>
      </c>
      <c r="C97" s="5">
        <v>14</v>
      </c>
      <c r="D97" s="5"/>
      <c r="E97" s="6"/>
      <c r="F97" s="6">
        <v>1</v>
      </c>
      <c r="G97" s="6"/>
      <c r="H97" s="6"/>
      <c r="I97" s="7">
        <v>1</v>
      </c>
      <c r="J97" s="7">
        <v>1</v>
      </c>
      <c r="K97" s="6">
        <v>1</v>
      </c>
      <c r="L97" s="6"/>
      <c r="M97" s="7"/>
      <c r="N97" s="59">
        <f t="shared" si="3"/>
        <v>18</v>
      </c>
      <c r="O97" s="60"/>
      <c r="P97" s="48"/>
      <c r="Q97" s="145">
        <v>47147.984595873975</v>
      </c>
      <c r="R97" s="138">
        <v>44790.585366080275</v>
      </c>
      <c r="S97" s="141">
        <v>46582.208780723486</v>
      </c>
      <c r="T97" s="141">
        <v>48373.832195366696</v>
      </c>
      <c r="U97" s="142"/>
      <c r="V97" s="140"/>
      <c r="W97" s="146"/>
    </row>
    <row r="98" spans="1:23">
      <c r="A98" s="87" t="s">
        <v>1448</v>
      </c>
      <c r="B98" s="56" t="str">
        <f>IFERROR(HYPERLINK(VLOOKUP(A98,ÜRÜNLER!A:C,3,FALSE),VLOOKUP(A98,ÜRÜNLER!A:B,2,FALSE)),"")</f>
        <v>iQ500 Çamaşır Makinesi, 10kg/1400devir, i-dos, Beyaz</v>
      </c>
      <c r="C98" s="5">
        <v>21</v>
      </c>
      <c r="D98" s="5"/>
      <c r="E98" s="6"/>
      <c r="F98" s="6"/>
      <c r="G98" s="6"/>
      <c r="H98" s="6"/>
      <c r="I98" s="7">
        <v>2</v>
      </c>
      <c r="J98" s="7"/>
      <c r="K98" s="6"/>
      <c r="L98" s="6"/>
      <c r="M98" s="7">
        <v>1</v>
      </c>
      <c r="N98" s="59">
        <f t="shared" si="3"/>
        <v>24</v>
      </c>
      <c r="O98" s="60"/>
      <c r="P98" s="48"/>
      <c r="Q98" s="145">
        <v>47289.815559320137</v>
      </c>
      <c r="R98" s="138">
        <v>44925.324781354131</v>
      </c>
      <c r="S98" s="141">
        <v>46722.337772608298</v>
      </c>
      <c r="T98" s="141">
        <v>48519.350763862458</v>
      </c>
      <c r="U98" s="142"/>
      <c r="V98" s="140"/>
      <c r="W98" s="146"/>
    </row>
    <row r="99" spans="1:23">
      <c r="A99" s="91" t="s">
        <v>1450</v>
      </c>
      <c r="B99" s="56" t="str">
        <f>IFERROR(HYPERLINK(VLOOKUP(A99,ÜRÜNLER!A:C,3,FALSE),VLOOKUP(A99,ÜRÜNLER!A:B,2,FALSE)),"")</f>
        <v>iQ500 Çamaşır Makinesi, 11kg/1400devir, i-dos, Beyaz</v>
      </c>
      <c r="C99" s="5">
        <v>7</v>
      </c>
      <c r="D99" s="5"/>
      <c r="E99" s="6"/>
      <c r="F99" s="6"/>
      <c r="G99" s="6"/>
      <c r="H99" s="6"/>
      <c r="I99" s="7"/>
      <c r="J99" s="7"/>
      <c r="K99" s="6"/>
      <c r="L99" s="6"/>
      <c r="M99" s="7"/>
      <c r="N99" s="59">
        <f t="shared" si="3"/>
        <v>7</v>
      </c>
      <c r="O99" s="60"/>
      <c r="P99" s="48"/>
      <c r="Q99" s="145">
        <v>50367.146466691978</v>
      </c>
      <c r="R99" s="138">
        <v>47848.789143357382</v>
      </c>
      <c r="S99" s="141">
        <v>49762.740709091675</v>
      </c>
      <c r="T99" s="141">
        <v>51676.692274825975</v>
      </c>
      <c r="U99" s="142"/>
      <c r="V99" s="140"/>
      <c r="W99" s="146"/>
    </row>
    <row r="100" spans="1:23">
      <c r="A100" s="92" t="s">
        <v>90</v>
      </c>
      <c r="B100" s="56" t="str">
        <f>IFERROR(HYPERLINK(VLOOKUP(A100,ÜRÜNLER!A:C,3,FALSE),VLOOKUP(A100,ÜRÜNLER!A:B,2,FALSE)),"")</f>
        <v>iQ500 Çamaşır Makinesi, 11kg/1400devir, i-dos, Beyaz</v>
      </c>
      <c r="C100" s="5"/>
      <c r="D100" s="5"/>
      <c r="E100" s="6"/>
      <c r="F100" s="6"/>
      <c r="G100" s="6"/>
      <c r="H100" s="6"/>
      <c r="I100" s="7"/>
      <c r="J100" s="7"/>
      <c r="K100" s="6"/>
      <c r="L100" s="6">
        <v>1</v>
      </c>
      <c r="M100" s="7"/>
      <c r="N100" s="59">
        <f t="shared" si="3"/>
        <v>1</v>
      </c>
      <c r="O100" s="60"/>
      <c r="P100" s="48"/>
      <c r="Q100" s="139" t="s">
        <v>1782</v>
      </c>
      <c r="R100" s="140">
        <v>40000</v>
      </c>
      <c r="S100" s="141">
        <v>41600</v>
      </c>
      <c r="T100" s="141">
        <v>43200</v>
      </c>
      <c r="U100" s="142"/>
      <c r="V100" s="140"/>
      <c r="W100" s="143">
        <v>500</v>
      </c>
    </row>
    <row r="101" spans="1:23">
      <c r="A101" s="92" t="s">
        <v>91</v>
      </c>
      <c r="B101" s="56" t="str">
        <f>IFERROR(HYPERLINK(VLOOKUP(A101,ÜRÜNLER!A:C,3,FALSE),VLOOKUP(A101,ÜRÜNLER!A:B,2,FALSE)),"")</f>
        <v>iQ500 Çamaşır Makinesi, 11kg/1400devir, Beyaz</v>
      </c>
      <c r="C101" s="5">
        <v>52</v>
      </c>
      <c r="D101" s="5"/>
      <c r="E101" s="6"/>
      <c r="F101" s="6"/>
      <c r="G101" s="6"/>
      <c r="H101" s="6"/>
      <c r="I101" s="7">
        <v>2</v>
      </c>
      <c r="J101" s="7">
        <v>1</v>
      </c>
      <c r="K101" s="6">
        <v>1</v>
      </c>
      <c r="L101" s="6">
        <v>1</v>
      </c>
      <c r="M101" s="7">
        <v>1</v>
      </c>
      <c r="N101" s="59">
        <f t="shared" si="3"/>
        <v>58</v>
      </c>
      <c r="O101" s="60"/>
      <c r="P101" s="48"/>
      <c r="Q101" s="145">
        <v>48992.310366043464</v>
      </c>
      <c r="R101" s="138">
        <v>46542.694847741288</v>
      </c>
      <c r="S101" s="141">
        <v>48404.402641650937</v>
      </c>
      <c r="T101" s="141">
        <v>50266.110435560593</v>
      </c>
      <c r="U101" s="142"/>
      <c r="V101" s="140"/>
      <c r="W101" s="146"/>
    </row>
    <row r="102" spans="1:23">
      <c r="A102" s="93" t="s">
        <v>92</v>
      </c>
      <c r="B102" s="56" t="str">
        <f>IFERROR(HYPERLINK(VLOOKUP(A102,ÜRÜNLER!A:C,3,FALSE),VLOOKUP(A102,ÜRÜNLER!A:B,2,FALSE)),"")</f>
        <v>iQ500 Çamaşır Makinesi, 11kg/1400devir, Antrasit/Dark</v>
      </c>
      <c r="C102" s="5">
        <v>69</v>
      </c>
      <c r="D102" s="5"/>
      <c r="E102" s="6"/>
      <c r="F102" s="6"/>
      <c r="G102" s="6"/>
      <c r="H102" s="6"/>
      <c r="I102" s="7">
        <v>1</v>
      </c>
      <c r="J102" s="7">
        <v>1</v>
      </c>
      <c r="K102" s="6">
        <v>1</v>
      </c>
      <c r="L102" s="6"/>
      <c r="M102" s="7">
        <v>1</v>
      </c>
      <c r="N102" s="59">
        <f t="shared" si="3"/>
        <v>73</v>
      </c>
      <c r="O102" s="60"/>
      <c r="P102" s="48"/>
      <c r="Q102" s="145">
        <v>52387.95330734842</v>
      </c>
      <c r="R102" s="138">
        <v>49768.555641981002</v>
      </c>
      <c r="S102" s="141">
        <v>51759.297867660243</v>
      </c>
      <c r="T102" s="141">
        <v>53750.040093339485</v>
      </c>
      <c r="U102" s="142"/>
      <c r="V102" s="140"/>
      <c r="W102" s="146"/>
    </row>
    <row r="103" spans="1:23">
      <c r="A103" s="92" t="s">
        <v>1796</v>
      </c>
      <c r="B103" s="56" t="str">
        <f>IFERROR(HYPERLINK(VLOOKUP(A103,ÜRÜNLER!A:C,3,FALSE),VLOOKUP(A103,ÜRÜNLER!A:B,2,FALSE)),"")</f>
        <v>iQ700 Çamaşır Makinesi, 11kg/1400devir, intelligentDosingPlus, Gümüş</v>
      </c>
      <c r="C103" s="5">
        <v>2</v>
      </c>
      <c r="D103" s="5"/>
      <c r="E103" s="6"/>
      <c r="F103" s="6"/>
      <c r="G103" s="6"/>
      <c r="H103" s="6"/>
      <c r="I103" s="7"/>
      <c r="J103" s="7"/>
      <c r="K103" s="6"/>
      <c r="L103" s="6"/>
      <c r="M103" s="7"/>
      <c r="N103" s="59">
        <f t="shared" si="3"/>
        <v>2</v>
      </c>
      <c r="O103" s="60"/>
      <c r="P103" s="48"/>
      <c r="Q103" s="145">
        <v>62780.288082804618</v>
      </c>
      <c r="R103" s="140">
        <v>62780.288082804618</v>
      </c>
      <c r="S103" s="141">
        <v>65291.499606116806</v>
      </c>
      <c r="T103" s="141">
        <v>67802.711129428993</v>
      </c>
      <c r="U103" s="142"/>
      <c r="V103" s="140"/>
      <c r="W103" s="146"/>
    </row>
    <row r="104" spans="1:23">
      <c r="A104" s="92" t="s">
        <v>1799</v>
      </c>
      <c r="B104" s="56" t="str">
        <f>IFERROR(HYPERLINK(VLOOKUP(A104,ÜRÜNLER!A:C,3,FALSE),VLOOKUP(A104,ÜRÜNLER!A:B,2,FALSE)),"")</f>
        <v>iQ700 Çamaşır Makinesi, 11kg/1400devir, intelligentDosing, Beyaz</v>
      </c>
      <c r="C104" s="5"/>
      <c r="D104" s="5"/>
      <c r="E104" s="6"/>
      <c r="F104" s="6"/>
      <c r="G104" s="6"/>
      <c r="H104" s="6"/>
      <c r="I104" s="7"/>
      <c r="J104" s="7"/>
      <c r="K104" s="6"/>
      <c r="L104" s="6"/>
      <c r="M104" s="7"/>
      <c r="N104" s="59">
        <f t="shared" si="3"/>
        <v>0</v>
      </c>
      <c r="O104" s="60">
        <v>2</v>
      </c>
      <c r="P104" s="48"/>
      <c r="Q104" s="145">
        <v>60958.457320099915</v>
      </c>
      <c r="R104" s="140">
        <v>60958.457320099915</v>
      </c>
      <c r="S104" s="141">
        <v>63396.795612903908</v>
      </c>
      <c r="T104" s="141">
        <v>65835.133905707902</v>
      </c>
      <c r="U104" s="142"/>
      <c r="V104" s="140"/>
      <c r="W104" s="146"/>
    </row>
    <row r="105" spans="1:23">
      <c r="A105" s="95" t="s">
        <v>94</v>
      </c>
      <c r="B105" s="56" t="str">
        <f>IFERROR(HYPERLINK(VLOOKUP(A105,ÜRÜNLER!A:C,3,FALSE),VLOOKUP(A105,ÜRÜNLER!A:B,2,FALSE)),"")</f>
        <v>iQ500 Çamaşır Makinesi, 9kg/1400devir, i-dos, Beyaz</v>
      </c>
      <c r="C105" s="5"/>
      <c r="D105" s="5"/>
      <c r="E105" s="6"/>
      <c r="F105" s="6"/>
      <c r="G105" s="6"/>
      <c r="H105" s="6"/>
      <c r="I105" s="7">
        <v>1</v>
      </c>
      <c r="J105" s="7"/>
      <c r="K105" s="6"/>
      <c r="L105" s="6">
        <v>1</v>
      </c>
      <c r="M105" s="7"/>
      <c r="N105" s="59">
        <f t="shared" si="3"/>
        <v>2</v>
      </c>
      <c r="O105" s="60"/>
      <c r="P105" s="48"/>
      <c r="Q105" s="139" t="s">
        <v>1782</v>
      </c>
      <c r="R105" s="140">
        <v>40000</v>
      </c>
      <c r="S105" s="141">
        <v>41600</v>
      </c>
      <c r="T105" s="141">
        <v>43200</v>
      </c>
      <c r="U105" s="142"/>
      <c r="V105" s="140"/>
      <c r="W105" s="143">
        <v>500</v>
      </c>
    </row>
    <row r="106" spans="1:23">
      <c r="A106" s="95" t="s">
        <v>95</v>
      </c>
      <c r="B106" s="56" t="str">
        <f>IFERROR(HYPERLINK(VLOOKUP(A106,ÜRÜNLER!A:C,3,FALSE),VLOOKUP(A106,ÜRÜNLER!A:B,2,FALSE)),"")</f>
        <v>iQ700 Çamaşır Makinesi, 10kg/1400devir, i-dos, Beyaz</v>
      </c>
      <c r="C106" s="5"/>
      <c r="D106" s="5"/>
      <c r="E106" s="6"/>
      <c r="F106" s="6"/>
      <c r="G106" s="6"/>
      <c r="H106" s="6"/>
      <c r="I106" s="7">
        <v>1</v>
      </c>
      <c r="J106" s="7"/>
      <c r="K106" s="6"/>
      <c r="L106" s="6"/>
      <c r="M106" s="7"/>
      <c r="N106" s="59">
        <f t="shared" si="3"/>
        <v>1</v>
      </c>
      <c r="O106" s="60"/>
      <c r="P106" s="48"/>
      <c r="Q106" s="139" t="s">
        <v>1782</v>
      </c>
      <c r="R106" s="140">
        <v>40000</v>
      </c>
      <c r="S106" s="141">
        <v>41600</v>
      </c>
      <c r="T106" s="141">
        <v>43200</v>
      </c>
      <c r="U106" s="142"/>
      <c r="V106" s="140"/>
      <c r="W106" s="143">
        <v>500</v>
      </c>
    </row>
    <row r="107" spans="1:23">
      <c r="A107" s="95" t="s">
        <v>96</v>
      </c>
      <c r="B107" s="56" t="str">
        <f>IFERROR(HYPERLINK(VLOOKUP(A107,ÜRÜNLER!A:C,3,FALSE),VLOOKUP(A107,ÜRÜNLER!A:B,2,FALSE)),"")</f>
        <v>iQ700 Kurutmalı Çamaşır Makinesi, 10.5kg/6kg/1400devir, i-dos, Beyaz</v>
      </c>
      <c r="C107" s="5">
        <v>2</v>
      </c>
      <c r="D107" s="5"/>
      <c r="E107" s="6"/>
      <c r="F107" s="6"/>
      <c r="G107" s="6"/>
      <c r="H107" s="6"/>
      <c r="I107" s="7"/>
      <c r="J107" s="7"/>
      <c r="K107" s="6"/>
      <c r="L107" s="6"/>
      <c r="M107" s="7"/>
      <c r="N107" s="59">
        <f t="shared" si="3"/>
        <v>2</v>
      </c>
      <c r="O107" s="60"/>
      <c r="P107" s="48"/>
      <c r="Q107" s="145">
        <v>83123.484182492699</v>
      </c>
      <c r="R107" s="151">
        <v>83123.484182492699</v>
      </c>
      <c r="S107" s="141">
        <v>86448.423549792409</v>
      </c>
      <c r="T107" s="141">
        <v>89773.362917092119</v>
      </c>
      <c r="U107" s="142"/>
      <c r="V107" s="140"/>
      <c r="W107" s="143">
        <v>500</v>
      </c>
    </row>
    <row r="108" spans="1:23" ht="30">
      <c r="A108" s="100" t="s">
        <v>97</v>
      </c>
      <c r="B108" s="56" t="str">
        <f>IFERROR(HYPERLINK(VLOOKUP(A108,ÜRÜNLER!A:C,3,FALSE),VLOOKUP(A108,ÜRÜNLER!A:B,2,FALSE)),"")</f>
        <v/>
      </c>
      <c r="C108" s="5"/>
      <c r="D108" s="5"/>
      <c r="E108" s="6"/>
      <c r="F108" s="6"/>
      <c r="G108" s="6"/>
      <c r="H108" s="6"/>
      <c r="I108" s="7"/>
      <c r="J108" s="7"/>
      <c r="K108" s="6"/>
      <c r="L108" s="6"/>
      <c r="M108" s="7"/>
      <c r="N108" s="59">
        <f>SUM(N78:N107)</f>
        <v>611</v>
      </c>
      <c r="O108" s="60"/>
      <c r="Q108" s="139"/>
      <c r="R108" s="146"/>
      <c r="S108" s="141"/>
      <c r="T108" s="141"/>
      <c r="U108" s="142"/>
      <c r="V108" s="140"/>
      <c r="W108" s="146"/>
    </row>
    <row r="109" spans="1:23">
      <c r="A109" s="88" t="s">
        <v>101</v>
      </c>
      <c r="B109" s="56" t="str">
        <f>IFERROR(HYPERLINK(VLOOKUP(A109,ÜRÜNLER!A:C,3,FALSE),VLOOKUP(A109,ÜRÜNLER!A:B,2,FALSE)),"")</f>
        <v>iQ500 Isı Pompalı Kurutma Makinesi, 9kg, Beyaz</v>
      </c>
      <c r="C109" s="5"/>
      <c r="D109" s="5"/>
      <c r="E109" s="6"/>
      <c r="F109" s="6"/>
      <c r="G109" s="6"/>
      <c r="H109" s="6"/>
      <c r="I109" s="7">
        <v>1</v>
      </c>
      <c r="J109" s="7"/>
      <c r="K109" s="6"/>
      <c r="L109" s="6"/>
      <c r="M109" s="7"/>
      <c r="N109" s="59">
        <f t="shared" ref="N109:N120" si="4">M109+K109+L109+J109+I109+H109+G109+F109+E109+D109+C109</f>
        <v>1</v>
      </c>
      <c r="O109" s="60"/>
      <c r="P109" s="48"/>
      <c r="Q109" s="139" t="s">
        <v>1782</v>
      </c>
      <c r="R109" s="162">
        <v>35000</v>
      </c>
      <c r="S109" s="141">
        <v>36400</v>
      </c>
      <c r="T109" s="141">
        <v>37800</v>
      </c>
      <c r="U109" s="142"/>
      <c r="V109" s="140"/>
      <c r="W109" s="143">
        <v>500</v>
      </c>
    </row>
    <row r="110" spans="1:23">
      <c r="A110" s="88" t="s">
        <v>102</v>
      </c>
      <c r="B110" s="56" t="str">
        <f>IFERROR(HYPERLINK(VLOOKUP(A110,ÜRÜNLER!A:C,3,FALSE),VLOOKUP(A110,ÜRÜNLER!A:B,2,FALSE)),"")</f>
        <v>iQ300 Isı Pompalı Kurutma Makinesi, 9kg, Beyaz</v>
      </c>
      <c r="C110" s="5">
        <v>310</v>
      </c>
      <c r="D110" s="5"/>
      <c r="E110" s="6"/>
      <c r="F110" s="6"/>
      <c r="G110" s="6"/>
      <c r="H110" s="6"/>
      <c r="I110" s="7">
        <v>1</v>
      </c>
      <c r="J110" s="7">
        <v>1</v>
      </c>
      <c r="K110" s="6">
        <v>1</v>
      </c>
      <c r="L110" s="6">
        <v>1</v>
      </c>
      <c r="M110" s="7">
        <v>1</v>
      </c>
      <c r="N110" s="59">
        <f t="shared" si="4"/>
        <v>315</v>
      </c>
      <c r="O110" s="60"/>
      <c r="P110" s="48"/>
      <c r="Q110" s="145">
        <v>40479.183630719002</v>
      </c>
      <c r="R110" s="163">
        <v>37645.640776568674</v>
      </c>
      <c r="S110" s="141">
        <v>39151.466407631422</v>
      </c>
      <c r="T110" s="141">
        <v>40657.29203869417</v>
      </c>
      <c r="U110" s="142"/>
      <c r="V110" s="140"/>
      <c r="W110" s="146"/>
    </row>
    <row r="111" spans="1:23">
      <c r="A111" s="101" t="s">
        <v>98</v>
      </c>
      <c r="B111" s="56" t="str">
        <f>IFERROR(HYPERLINK(VLOOKUP(A111,ÜRÜNLER!A:C,3,FALSE),VLOOKUP(A111,ÜRÜNLER!A:B,2,FALSE)),"")</f>
        <v>iQ500 Isı Pompalı Kurutma Makinesi, 9kg, Beyaz</v>
      </c>
      <c r="C111" s="5">
        <v>42</v>
      </c>
      <c r="D111" s="5"/>
      <c r="E111" s="6"/>
      <c r="F111" s="6"/>
      <c r="G111" s="6"/>
      <c r="H111" s="6"/>
      <c r="I111" s="7"/>
      <c r="J111" s="7">
        <v>1</v>
      </c>
      <c r="K111" s="6"/>
      <c r="L111" s="6"/>
      <c r="M111" s="7"/>
      <c r="N111" s="59">
        <f t="shared" si="4"/>
        <v>43</v>
      </c>
      <c r="O111" s="60">
        <v>13</v>
      </c>
      <c r="P111" s="48"/>
      <c r="Q111" s="145">
        <v>44577.292199844233</v>
      </c>
      <c r="R111" s="163">
        <v>41456.881745855135</v>
      </c>
      <c r="S111" s="141">
        <v>43115.157015689343</v>
      </c>
      <c r="T111" s="141">
        <v>44773.432285523544</v>
      </c>
      <c r="U111" s="142"/>
      <c r="V111" s="140"/>
      <c r="W111" s="146"/>
    </row>
    <row r="112" spans="1:23">
      <c r="A112" s="102" t="s">
        <v>1339</v>
      </c>
      <c r="B112" s="56" t="str">
        <f>IFERROR(HYPERLINK(VLOOKUP(A112,ÜRÜNLER!A:C,3,FALSE),VLOOKUP(A112,ÜRÜNLER!A:B,2,FALSE)),"")</f>
        <v>iQ500 Isı Pompalı Kurutma Makinesi, 9kg, Gümüş</v>
      </c>
      <c r="C112" s="5">
        <v>210</v>
      </c>
      <c r="D112" s="5"/>
      <c r="E112" s="6"/>
      <c r="F112" s="6"/>
      <c r="G112" s="6"/>
      <c r="H112" s="6"/>
      <c r="I112" s="7">
        <v>1</v>
      </c>
      <c r="J112" s="7">
        <v>1</v>
      </c>
      <c r="K112" s="6">
        <v>1</v>
      </c>
      <c r="L112" s="6"/>
      <c r="M112" s="7"/>
      <c r="N112" s="59">
        <f t="shared" si="4"/>
        <v>213</v>
      </c>
      <c r="O112" s="60"/>
      <c r="P112" s="48"/>
      <c r="Q112" s="145">
        <v>46009.017809057535</v>
      </c>
      <c r="R112" s="163">
        <v>42788.386562423511</v>
      </c>
      <c r="S112" s="141">
        <v>44499.922024920452</v>
      </c>
      <c r="T112" s="141">
        <v>46211.457487417392</v>
      </c>
      <c r="U112" s="142"/>
      <c r="V112" s="140"/>
      <c r="W112" s="146"/>
    </row>
    <row r="113" spans="1:25">
      <c r="A113" s="88" t="s">
        <v>99</v>
      </c>
      <c r="B113" s="56" t="str">
        <f>IFERROR(HYPERLINK(VLOOKUP(A113,ÜRÜNLER!A:C,3,FALSE),VLOOKUP(A113,ÜRÜNLER!A:B,2,FALSE)),"")</f>
        <v>iQ500 Isı Pompalı Kurutma Makinesi, 9kg, Beyaz</v>
      </c>
      <c r="C113" s="5">
        <v>142</v>
      </c>
      <c r="D113" s="5"/>
      <c r="E113" s="6"/>
      <c r="F113" s="6"/>
      <c r="G113" s="6"/>
      <c r="H113" s="6"/>
      <c r="I113" s="7">
        <v>1</v>
      </c>
      <c r="J113" s="7"/>
      <c r="K113" s="6">
        <v>1</v>
      </c>
      <c r="L113" s="6"/>
      <c r="M113" s="7">
        <v>1</v>
      </c>
      <c r="N113" s="59">
        <f t="shared" si="4"/>
        <v>145</v>
      </c>
      <c r="O113" s="60"/>
      <c r="P113" s="64"/>
      <c r="Q113" s="145">
        <v>47420.871814843675</v>
      </c>
      <c r="R113" s="163">
        <v>44101.41078780462</v>
      </c>
      <c r="S113" s="141">
        <v>45865.467219316808</v>
      </c>
      <c r="T113" s="141">
        <v>47629.523650828989</v>
      </c>
      <c r="U113" s="142"/>
      <c r="V113" s="140"/>
      <c r="W113" s="150"/>
    </row>
    <row r="114" spans="1:25">
      <c r="A114" s="88" t="s">
        <v>103</v>
      </c>
      <c r="B114" s="56" t="str">
        <f>IFERROR(HYPERLINK(VLOOKUP(A114,ÜRÜNLER!A:C,3,FALSE),VLOOKUP(A114,ÜRÜNLER!A:B,2,FALSE)),"")</f>
        <v>iQ500 Isı Pompalı Kurutma Makinesi, 9kg, SelfClean, Beyaz</v>
      </c>
      <c r="C114" s="5">
        <v>36</v>
      </c>
      <c r="D114" s="5"/>
      <c r="E114" s="6"/>
      <c r="F114" s="6"/>
      <c r="G114" s="6"/>
      <c r="H114" s="6"/>
      <c r="I114" s="7">
        <v>1</v>
      </c>
      <c r="J114" s="7">
        <v>1</v>
      </c>
      <c r="K114" s="6"/>
      <c r="L114" s="6">
        <v>1</v>
      </c>
      <c r="M114" s="7">
        <v>1</v>
      </c>
      <c r="N114" s="59">
        <f t="shared" si="4"/>
        <v>40</v>
      </c>
      <c r="O114" s="60"/>
      <c r="P114" s="48"/>
      <c r="Q114" s="139" t="s">
        <v>1782</v>
      </c>
      <c r="R114" s="140">
        <v>38000</v>
      </c>
      <c r="S114" s="141">
        <v>39520</v>
      </c>
      <c r="T114" s="141">
        <v>41040</v>
      </c>
      <c r="U114" s="142"/>
      <c r="V114" s="140"/>
      <c r="W114" s="146">
        <v>250</v>
      </c>
    </row>
    <row r="115" spans="1:25">
      <c r="A115" s="88" t="s">
        <v>104</v>
      </c>
      <c r="B115" s="56" t="str">
        <f>IFERROR(HYPERLINK(VLOOKUP(A115,ÜRÜNLER!A:C,3,FALSE),VLOOKUP(A115,ÜRÜNLER!A:B,2,FALSE)),"")</f>
        <v>iQ700 Isı Pompalı Kurutma Makinesi, 9kg, Beyaz</v>
      </c>
      <c r="C115" s="5">
        <v>163</v>
      </c>
      <c r="D115" s="5"/>
      <c r="E115" s="6"/>
      <c r="F115" s="6"/>
      <c r="G115" s="6"/>
      <c r="H115" s="6"/>
      <c r="I115" s="7">
        <v>2</v>
      </c>
      <c r="J115" s="7"/>
      <c r="K115" s="6"/>
      <c r="L115" s="6">
        <v>1</v>
      </c>
      <c r="M115" s="7"/>
      <c r="N115" s="59">
        <f t="shared" si="4"/>
        <v>166</v>
      </c>
      <c r="O115" s="60"/>
      <c r="P115" s="48"/>
      <c r="Q115" s="145">
        <v>63125.29318633354</v>
      </c>
      <c r="R115" s="163">
        <v>58706.52266329019</v>
      </c>
      <c r="S115" s="141">
        <v>61054.783569821797</v>
      </c>
      <c r="T115" s="141">
        <v>63403.044476353403</v>
      </c>
      <c r="U115" s="142"/>
      <c r="V115" s="140"/>
      <c r="W115" s="146"/>
    </row>
    <row r="116" spans="1:25">
      <c r="A116" s="102" t="s">
        <v>105</v>
      </c>
      <c r="B116" s="56" t="str">
        <f>IFERROR(HYPERLINK(VLOOKUP(A116,ÜRÜNLER!A:C,3,FALSE),VLOOKUP(A116,ÜRÜNLER!A:B,2,FALSE)),"")</f>
        <v>iQ700 Isı Pompalı Kurutma Makinesi, 9kg, Gümüş</v>
      </c>
      <c r="C116" s="5">
        <v>102</v>
      </c>
      <c r="D116" s="5"/>
      <c r="E116" s="6"/>
      <c r="F116" s="6">
        <v>1</v>
      </c>
      <c r="G116" s="6"/>
      <c r="H116" s="6"/>
      <c r="I116" s="7">
        <v>1</v>
      </c>
      <c r="J116" s="7">
        <v>1</v>
      </c>
      <c r="K116" s="6">
        <v>1</v>
      </c>
      <c r="L116" s="6"/>
      <c r="M116" s="7">
        <v>1</v>
      </c>
      <c r="N116" s="59">
        <f t="shared" si="4"/>
        <v>107</v>
      </c>
      <c r="O116" s="60">
        <v>5</v>
      </c>
      <c r="P116" s="48"/>
      <c r="Q116" s="145">
        <v>64173.815005360768</v>
      </c>
      <c r="R116" s="163">
        <v>59681.647954985514</v>
      </c>
      <c r="S116" s="141">
        <v>62068.913873184938</v>
      </c>
      <c r="T116" s="141">
        <v>64456.179791384355</v>
      </c>
      <c r="U116" s="142"/>
      <c r="V116" s="140"/>
      <c r="W116" s="146"/>
    </row>
    <row r="117" spans="1:25">
      <c r="A117" s="91" t="s">
        <v>468</v>
      </c>
      <c r="B117" s="56" t="str">
        <f>IFERROR(HYPERLINK(VLOOKUP(A117,ÜRÜNLER!A:C,3,FALSE),VLOOKUP(A117,ÜRÜNLER!A:B,2,FALSE)),"")</f>
        <v>iQ300 Isı Pompalı Kurutma Makinesi, 10kg, Beyaz</v>
      </c>
      <c r="C117" s="5">
        <v>345</v>
      </c>
      <c r="D117" s="5"/>
      <c r="E117" s="6"/>
      <c r="F117" s="6"/>
      <c r="G117" s="6"/>
      <c r="H117" s="6"/>
      <c r="I117" s="7"/>
      <c r="J117" s="7"/>
      <c r="K117" s="6"/>
      <c r="L117" s="6"/>
      <c r="M117" s="7">
        <v>1</v>
      </c>
      <c r="N117" s="59">
        <f t="shared" si="4"/>
        <v>346</v>
      </c>
      <c r="O117" s="60"/>
      <c r="P117" s="48"/>
      <c r="Q117" s="145">
        <v>44577.292199844233</v>
      </c>
      <c r="R117" s="163">
        <v>41456.881745855135</v>
      </c>
      <c r="S117" s="141">
        <v>43115.157015689343</v>
      </c>
      <c r="T117" s="141">
        <v>44773.432285523544</v>
      </c>
      <c r="U117" s="142"/>
      <c r="V117" s="140"/>
      <c r="W117" s="141"/>
    </row>
    <row r="118" spans="1:25">
      <c r="A118" s="93" t="s">
        <v>1308</v>
      </c>
      <c r="B118" s="56" t="str">
        <f>IFERROR(HYPERLINK(VLOOKUP(A118,ÜRÜNLER!A:C,3,FALSE),VLOOKUP(A118,ÜRÜNLER!A:B,2,FALSE)),"")</f>
        <v>iQ500 Isı Pompalı Kurutma Makinesi, 10kg, Antrasit/Dark</v>
      </c>
      <c r="C118" s="5">
        <v>129</v>
      </c>
      <c r="D118" s="5"/>
      <c r="E118" s="6"/>
      <c r="F118" s="6"/>
      <c r="G118" s="6"/>
      <c r="H118" s="6"/>
      <c r="I118" s="7">
        <v>1</v>
      </c>
      <c r="J118" s="7">
        <v>1</v>
      </c>
      <c r="K118" s="6">
        <v>1</v>
      </c>
      <c r="L118" s="6"/>
      <c r="M118" s="7">
        <v>1</v>
      </c>
      <c r="N118" s="59">
        <f t="shared" si="4"/>
        <v>133</v>
      </c>
      <c r="O118" s="60"/>
      <c r="P118" s="48"/>
      <c r="Q118" s="145">
        <v>49356.830997552024</v>
      </c>
      <c r="R118" s="163">
        <v>45901.852827723385</v>
      </c>
      <c r="S118" s="141">
        <v>47737.926940832323</v>
      </c>
      <c r="T118" s="141">
        <v>49574.001053941254</v>
      </c>
      <c r="U118" s="142"/>
      <c r="V118" s="140"/>
      <c r="W118" s="141"/>
    </row>
    <row r="119" spans="1:25">
      <c r="A119" s="91" t="s">
        <v>107</v>
      </c>
      <c r="B119" s="56" t="str">
        <f>IFERROR(HYPERLINK(VLOOKUP(A119,ÜRÜNLER!A:C,3,FALSE),VLOOKUP(A119,ÜRÜNLER!A:B,2,FALSE)),"")</f>
        <v>iQ500 Isı Pompalı Kurutma Makinesi, 10kg, Beyaz</v>
      </c>
      <c r="C119" s="5">
        <v>24</v>
      </c>
      <c r="D119" s="5"/>
      <c r="E119" s="6"/>
      <c r="F119" s="6"/>
      <c r="G119" s="6"/>
      <c r="H119" s="6"/>
      <c r="I119" s="7"/>
      <c r="J119" s="7">
        <v>1</v>
      </c>
      <c r="K119" s="6">
        <v>1</v>
      </c>
      <c r="L119" s="6"/>
      <c r="M119" s="7"/>
      <c r="N119" s="59">
        <f t="shared" si="4"/>
        <v>26</v>
      </c>
      <c r="O119" s="60">
        <v>1</v>
      </c>
      <c r="P119" s="48"/>
      <c r="Q119" s="145">
        <v>48902.5623757086</v>
      </c>
      <c r="R119" s="163">
        <v>45479.383009409001</v>
      </c>
      <c r="S119" s="141">
        <v>47298.558329785359</v>
      </c>
      <c r="T119" s="141">
        <v>49117.733650161725</v>
      </c>
      <c r="U119" s="142"/>
      <c r="V119" s="140"/>
      <c r="W119" s="146"/>
    </row>
    <row r="120" spans="1:25">
      <c r="A120" s="88" t="s">
        <v>100</v>
      </c>
      <c r="B120" s="56" t="str">
        <f>IFERROR(HYPERLINK(VLOOKUP(A120,ÜRÜNLER!A:C,3,FALSE),VLOOKUP(A120,ÜRÜNLER!A:B,2,FALSE)),"")</f>
        <v>iQ300 Isı Pompalı Kurutma Makinesi, 8kg, Beyaz</v>
      </c>
      <c r="C120" s="5"/>
      <c r="D120" s="5"/>
      <c r="E120" s="6"/>
      <c r="F120" s="6">
        <v>1</v>
      </c>
      <c r="G120" s="6"/>
      <c r="H120" s="6"/>
      <c r="I120" s="7"/>
      <c r="J120" s="7">
        <v>1</v>
      </c>
      <c r="K120" s="6"/>
      <c r="L120" s="6"/>
      <c r="M120" s="7">
        <v>1</v>
      </c>
      <c r="N120" s="59">
        <f t="shared" si="4"/>
        <v>3</v>
      </c>
      <c r="O120" s="60"/>
      <c r="P120" s="48"/>
      <c r="Q120" s="139" t="s">
        <v>1782</v>
      </c>
      <c r="R120" s="162">
        <v>35000</v>
      </c>
      <c r="S120" s="141">
        <v>36400</v>
      </c>
      <c r="T120" s="141">
        <v>37800</v>
      </c>
      <c r="U120" s="142"/>
      <c r="V120" s="140"/>
      <c r="W120" s="143">
        <v>1000</v>
      </c>
    </row>
    <row r="121" spans="1:25" s="10" customFormat="1" ht="34.5" customHeight="1">
      <c r="A121" s="103" t="s">
        <v>108</v>
      </c>
      <c r="B121" s="56" t="str">
        <f>IFERROR(HYPERLINK(VLOOKUP(A121,ÜRÜNLER!A:C,3,FALSE),VLOOKUP(A121,ÜRÜNLER!A:B,2,FALSE)),"")</f>
        <v/>
      </c>
      <c r="C121" s="5"/>
      <c r="D121" s="5"/>
      <c r="E121" s="6"/>
      <c r="F121" s="6"/>
      <c r="G121" s="6"/>
      <c r="H121" s="6"/>
      <c r="I121" s="7"/>
      <c r="J121" s="7"/>
      <c r="K121" s="6"/>
      <c r="L121" s="6"/>
      <c r="M121" s="7"/>
      <c r="N121" s="59">
        <f>SUM(N109:N120)</f>
        <v>1538</v>
      </c>
      <c r="O121" s="60"/>
      <c r="P121" s="48"/>
      <c r="Q121" s="139"/>
      <c r="R121" s="151"/>
      <c r="S121" s="141"/>
      <c r="T121" s="141"/>
      <c r="U121" s="142"/>
      <c r="V121" s="140"/>
      <c r="W121" s="151"/>
      <c r="X121" s="144"/>
      <c r="Y121" s="65"/>
    </row>
    <row r="122" spans="1:25">
      <c r="A122" s="88" t="s">
        <v>111</v>
      </c>
      <c r="B122" s="56" t="str">
        <f>IFERROR(HYPERLINK(VLOOKUP(A122,ÜRÜNLER!A:C,3,FALSE),VLOOKUP(A122,ÜRÜNLER!A:B,2,FALSE)),"")</f>
        <v>iQ500 Solo Bulaşık Makinesi, autoOpen dry, glassZone, Inox</v>
      </c>
      <c r="C122" s="5">
        <v>17</v>
      </c>
      <c r="D122" s="5"/>
      <c r="E122" s="6"/>
      <c r="F122" s="6"/>
      <c r="G122" s="6"/>
      <c r="H122" s="6"/>
      <c r="I122" s="7"/>
      <c r="J122" s="7"/>
      <c r="K122" s="6">
        <v>1</v>
      </c>
      <c r="L122" s="6"/>
      <c r="M122" s="7"/>
      <c r="N122" s="59">
        <f t="shared" ref="N122:N147" si="5">M122+K122+L122+J122+I122+H122+G122+F122+E122+D122+C122</f>
        <v>18</v>
      </c>
      <c r="O122" s="60">
        <v>1</v>
      </c>
      <c r="P122" s="48"/>
      <c r="Q122" s="145">
        <v>41657.630418962712</v>
      </c>
      <c r="R122" s="138">
        <v>39574.748898014579</v>
      </c>
      <c r="S122" s="141">
        <v>41157.73885393516</v>
      </c>
      <c r="T122" s="141">
        <v>42740.728809855747</v>
      </c>
      <c r="U122" s="142"/>
      <c r="V122" s="140"/>
      <c r="W122" s="146"/>
    </row>
    <row r="123" spans="1:25">
      <c r="A123" s="90" t="s">
        <v>112</v>
      </c>
      <c r="B123" s="56" t="str">
        <f>IFERROR(HYPERLINK(VLOOKUP(A123,ÜRÜNLER!A:C,3,FALSE),VLOOKUP(A123,ÜRÜNLER!A:B,2,FALSE)),"")</f>
        <v>iQ500 Solo Bulaşık Makinesi, autoOpen dry, glassZone, darkSteel</v>
      </c>
      <c r="C123" s="5">
        <v>101</v>
      </c>
      <c r="D123" s="5"/>
      <c r="E123" s="6"/>
      <c r="F123" s="6"/>
      <c r="G123" s="6"/>
      <c r="H123" s="6"/>
      <c r="I123" s="7">
        <v>1</v>
      </c>
      <c r="J123" s="7">
        <v>1</v>
      </c>
      <c r="K123" s="6">
        <v>1</v>
      </c>
      <c r="L123" s="6"/>
      <c r="M123" s="7">
        <v>1</v>
      </c>
      <c r="N123" s="59">
        <f t="shared" si="5"/>
        <v>105</v>
      </c>
      <c r="O123" s="60">
        <v>1</v>
      </c>
      <c r="P123" s="48"/>
      <c r="Q123" s="145">
        <v>43389.161947710978</v>
      </c>
      <c r="R123" s="163">
        <v>40351.920611371206</v>
      </c>
      <c r="S123" s="141">
        <v>41965.997435826052</v>
      </c>
      <c r="T123" s="141">
        <v>43580.074260280904</v>
      </c>
      <c r="U123" s="142"/>
      <c r="V123" s="140"/>
      <c r="W123" s="146"/>
    </row>
    <row r="124" spans="1:25">
      <c r="A124" s="88" t="s">
        <v>110</v>
      </c>
      <c r="B124" s="56" t="str">
        <f>IFERROR(HYPERLINK(VLOOKUP(A124,ÜRÜNLER!A:C,3,FALSE),VLOOKUP(A124,ÜRÜNLER!A:B,2,FALSE)),"")</f>
        <v>iQ500 Solo Bulaşık Makinesi, autoOpen dry, glassZone, Beyaz</v>
      </c>
      <c r="C124" s="5">
        <v>42</v>
      </c>
      <c r="D124" s="5"/>
      <c r="E124" s="6"/>
      <c r="F124" s="6"/>
      <c r="G124" s="6"/>
      <c r="H124" s="6"/>
      <c r="I124" s="7"/>
      <c r="J124" s="7"/>
      <c r="K124" s="6"/>
      <c r="L124" s="6"/>
      <c r="M124" s="7"/>
      <c r="N124" s="59">
        <f t="shared" si="5"/>
        <v>42</v>
      </c>
      <c r="O124" s="60"/>
      <c r="P124" s="48"/>
      <c r="Q124" s="145">
        <v>38654.881582706876</v>
      </c>
      <c r="R124" s="163">
        <v>35949.039871917397</v>
      </c>
      <c r="S124" s="141">
        <v>37387.001466794092</v>
      </c>
      <c r="T124" s="141">
        <v>38824.963061670787</v>
      </c>
      <c r="U124" s="142"/>
      <c r="V124" s="140"/>
      <c r="W124" s="146"/>
    </row>
    <row r="125" spans="1:25">
      <c r="A125" s="88" t="s">
        <v>113</v>
      </c>
      <c r="B125" s="56" t="str">
        <f>IFERROR(HYPERLINK(VLOOKUP(A125,ÜRÜNLER!A:C,3,FALSE),VLOOKUP(A125,ÜRÜNLER!A:B,2,FALSE)),"")</f>
        <v>iQ100 Solo Bulaşık Makinesi, Inox</v>
      </c>
      <c r="C125" s="5">
        <v>50</v>
      </c>
      <c r="D125" s="5"/>
      <c r="E125" s="6"/>
      <c r="F125" s="6"/>
      <c r="G125" s="6"/>
      <c r="H125" s="6"/>
      <c r="I125" s="7">
        <v>1</v>
      </c>
      <c r="J125" s="7">
        <v>1</v>
      </c>
      <c r="K125" s="6"/>
      <c r="L125" s="6">
        <v>1</v>
      </c>
      <c r="M125" s="7">
        <v>1</v>
      </c>
      <c r="N125" s="59">
        <f t="shared" si="5"/>
        <v>54</v>
      </c>
      <c r="O125" s="60"/>
      <c r="P125" s="68" t="s">
        <v>1544</v>
      </c>
      <c r="Q125" s="145">
        <v>28392.60538072262</v>
      </c>
      <c r="R125" s="151">
        <v>28500</v>
      </c>
      <c r="S125" s="141">
        <v>29640</v>
      </c>
      <c r="T125" s="141">
        <v>30780</v>
      </c>
      <c r="U125" s="142"/>
      <c r="V125" s="140"/>
      <c r="W125" s="146"/>
    </row>
    <row r="126" spans="1:25">
      <c r="A126" s="88" t="s">
        <v>114</v>
      </c>
      <c r="B126" s="56" t="str">
        <f>IFERROR(HYPERLINK(VLOOKUP(A126,ÜRÜNLER!A:C,3,FALSE),VLOOKUP(A126,ÜRÜNLER!A:B,2,FALSE)),"")</f>
        <v>iQ100 Solo Bulaşık Makinesi, Beyaz</v>
      </c>
      <c r="C126" s="5">
        <v>5</v>
      </c>
      <c r="D126" s="5"/>
      <c r="E126" s="6"/>
      <c r="F126" s="6"/>
      <c r="G126" s="6"/>
      <c r="H126" s="6"/>
      <c r="I126" s="7">
        <v>1</v>
      </c>
      <c r="J126" s="7">
        <v>1</v>
      </c>
      <c r="K126" s="6">
        <v>1</v>
      </c>
      <c r="L126" s="6">
        <v>2</v>
      </c>
      <c r="M126" s="7"/>
      <c r="N126" s="59">
        <f t="shared" si="5"/>
        <v>10</v>
      </c>
      <c r="O126" s="60"/>
      <c r="P126" s="68" t="s">
        <v>1544</v>
      </c>
      <c r="Q126" s="145">
        <v>27155.374846273568</v>
      </c>
      <c r="R126" s="151">
        <v>28500</v>
      </c>
      <c r="S126" s="141">
        <v>29640</v>
      </c>
      <c r="T126" s="141">
        <v>30780</v>
      </c>
      <c r="U126" s="142">
        <v>783.28182301775098</v>
      </c>
      <c r="V126" s="140"/>
      <c r="W126" s="146"/>
    </row>
    <row r="127" spans="1:25">
      <c r="A127" s="88" t="s">
        <v>1415</v>
      </c>
      <c r="B127" s="56" t="str">
        <f>IFERROR(HYPERLINK(VLOOKUP(A127,ÜRÜNLER!A:C,3,FALSE),VLOOKUP(A127,ÜRÜNLER!A:B,2,FALSE)),"")</f>
        <v>iQ300 Solo Bulaşık Makinesi, Inox</v>
      </c>
      <c r="C127" s="5"/>
      <c r="D127" s="5"/>
      <c r="E127" s="6"/>
      <c r="F127" s="6"/>
      <c r="G127" s="6"/>
      <c r="H127" s="6"/>
      <c r="I127" s="7"/>
      <c r="J127" s="7"/>
      <c r="K127" s="6"/>
      <c r="L127" s="6">
        <v>1</v>
      </c>
      <c r="M127" s="7"/>
      <c r="N127" s="59">
        <f t="shared" si="5"/>
        <v>1</v>
      </c>
      <c r="O127" s="60"/>
      <c r="P127" s="60"/>
      <c r="Q127" s="139" t="s">
        <v>1782</v>
      </c>
      <c r="R127" s="151">
        <v>30000</v>
      </c>
      <c r="S127" s="141">
        <v>31200</v>
      </c>
      <c r="T127" s="141">
        <v>32400</v>
      </c>
      <c r="U127" s="142"/>
      <c r="V127" s="140"/>
      <c r="W127" s="143">
        <v>1000</v>
      </c>
    </row>
    <row r="128" spans="1:25">
      <c r="A128" s="88" t="s">
        <v>124</v>
      </c>
      <c r="B128" s="56" t="str">
        <f>IFERROR(HYPERLINK(VLOOKUP(A128,ÜRÜNLER!A:C,3,FALSE),VLOOKUP(A128,ÜRÜNLER!A:B,2,FALSE)),"")</f>
        <v>iQ500 Solo Bulaşık Makinesi, autoOpen dry, Inox</v>
      </c>
      <c r="C128" s="5"/>
      <c r="D128" s="5"/>
      <c r="E128" s="6"/>
      <c r="F128" s="6"/>
      <c r="G128" s="6"/>
      <c r="H128" s="6"/>
      <c r="I128" s="7">
        <v>1</v>
      </c>
      <c r="J128" s="7"/>
      <c r="K128" s="6"/>
      <c r="L128" s="6"/>
      <c r="M128" s="7"/>
      <c r="N128" s="59">
        <f t="shared" si="5"/>
        <v>1</v>
      </c>
      <c r="O128" s="60"/>
      <c r="P128" s="48"/>
      <c r="Q128" s="139" t="s">
        <v>1782</v>
      </c>
      <c r="R128" s="149">
        <v>33624</v>
      </c>
      <c r="S128" s="141">
        <v>34968.959999999999</v>
      </c>
      <c r="T128" s="141">
        <v>36313.919999999998</v>
      </c>
      <c r="U128" s="142"/>
      <c r="V128" s="140">
        <v>7623.5399999999991</v>
      </c>
      <c r="W128" s="143">
        <v>500</v>
      </c>
    </row>
    <row r="129" spans="1:23">
      <c r="A129" s="88" t="s">
        <v>125</v>
      </c>
      <c r="B129" s="56" t="str">
        <f>IFERROR(HYPERLINK(VLOOKUP(A129,ÜRÜNLER!A:C,3,FALSE),VLOOKUP(A129,ÜRÜNLER!A:B,2,FALSE)),"")</f>
        <v>iQ500 Solo Bulaşık Makinesi, autoOpen dry, Beyaz</v>
      </c>
      <c r="C129" s="5"/>
      <c r="D129" s="5"/>
      <c r="E129" s="6"/>
      <c r="F129" s="6"/>
      <c r="G129" s="6"/>
      <c r="H129" s="6"/>
      <c r="I129" s="7">
        <v>1</v>
      </c>
      <c r="J129" s="7">
        <v>1</v>
      </c>
      <c r="K129" s="6"/>
      <c r="L129" s="6">
        <v>1</v>
      </c>
      <c r="M129" s="7"/>
      <c r="N129" s="59">
        <f t="shared" si="5"/>
        <v>3</v>
      </c>
      <c r="O129" s="60"/>
      <c r="P129" s="48"/>
      <c r="Q129" s="139" t="s">
        <v>1782</v>
      </c>
      <c r="R129" s="162">
        <v>35377</v>
      </c>
      <c r="S129" s="141">
        <v>36792.080000000002</v>
      </c>
      <c r="T129" s="141">
        <v>38207.160000000003</v>
      </c>
      <c r="U129" s="142"/>
      <c r="V129" s="140">
        <v>7376.8919999999998</v>
      </c>
      <c r="W129" s="143">
        <v>500</v>
      </c>
    </row>
    <row r="130" spans="1:23">
      <c r="A130" s="88" t="s">
        <v>115</v>
      </c>
      <c r="B130" s="56" t="str">
        <f>IFERROR(HYPERLINK(VLOOKUP(A130,ÜRÜNLER!A:C,3,FALSE),VLOOKUP(A130,ÜRÜNLER!A:B,2,FALSE)),"")</f>
        <v>iQ300 Solo Bulaşık Makinesi, autoOpen dry, Beyaz</v>
      </c>
      <c r="C130" s="5">
        <v>65</v>
      </c>
      <c r="D130" s="5"/>
      <c r="E130" s="6"/>
      <c r="F130" s="6">
        <v>2</v>
      </c>
      <c r="G130" s="6"/>
      <c r="H130" s="6"/>
      <c r="I130" s="7"/>
      <c r="J130" s="7"/>
      <c r="K130" s="6">
        <v>1</v>
      </c>
      <c r="L130" s="6"/>
      <c r="M130" s="7"/>
      <c r="N130" s="59">
        <f t="shared" si="5"/>
        <v>68</v>
      </c>
      <c r="O130" s="60">
        <v>1</v>
      </c>
      <c r="P130" s="48"/>
      <c r="Q130" s="145">
        <v>34609.794751972418</v>
      </c>
      <c r="R130" s="147">
        <v>31191</v>
      </c>
      <c r="S130" s="155">
        <v>32438.639999999999</v>
      </c>
      <c r="T130" s="155">
        <v>33686.28</v>
      </c>
      <c r="U130" s="142">
        <v>3191.1901008096283</v>
      </c>
      <c r="V130" s="140"/>
      <c r="W130" s="146"/>
    </row>
    <row r="131" spans="1:23">
      <c r="A131" s="93" t="s">
        <v>116</v>
      </c>
      <c r="B131" s="56" t="str">
        <f>IFERROR(HYPERLINK(VLOOKUP(A131,ÜRÜNLER!A:C,3,FALSE),VLOOKUP(A131,ÜRÜNLER!A:B,2,FALSE)),"")</f>
        <v>iQ500 Solo Bulaşık Makinesi, Üstten Sepetli, Siyah Cam</v>
      </c>
      <c r="C131" s="5"/>
      <c r="D131" s="5"/>
      <c r="E131" s="6"/>
      <c r="F131" s="6"/>
      <c r="G131" s="6"/>
      <c r="H131" s="6"/>
      <c r="I131" s="7"/>
      <c r="J131" s="7"/>
      <c r="K131" s="6"/>
      <c r="L131" s="6">
        <v>1</v>
      </c>
      <c r="M131" s="7"/>
      <c r="N131" s="59">
        <f t="shared" si="5"/>
        <v>1</v>
      </c>
      <c r="O131" s="60"/>
      <c r="P131" s="48"/>
      <c r="Q131" s="139" t="s">
        <v>1782</v>
      </c>
      <c r="R131" s="162">
        <v>44765</v>
      </c>
      <c r="S131" s="141">
        <v>46555.6</v>
      </c>
      <c r="T131" s="141">
        <v>48346.2</v>
      </c>
      <c r="U131" s="142"/>
      <c r="V131" s="140"/>
      <c r="W131" s="143">
        <v>1000</v>
      </c>
    </row>
    <row r="132" spans="1:23">
      <c r="A132" s="102" t="s">
        <v>117</v>
      </c>
      <c r="B132" s="56" t="str">
        <f>IFERROR(HYPERLINK(VLOOKUP(A132,ÜRÜNLER!A:C,3,FALSE),VLOOKUP(A132,ÜRÜNLER!A:B,2,FALSE)),"")</f>
        <v>iQ500 Solo Bulaşık Makinesi, Üstten Sepetli, Beyaz Cam</v>
      </c>
      <c r="C132" s="5">
        <v>1</v>
      </c>
      <c r="D132" s="5"/>
      <c r="E132" s="6"/>
      <c r="F132" s="6"/>
      <c r="G132" s="6"/>
      <c r="H132" s="6"/>
      <c r="I132" s="7"/>
      <c r="J132" s="7">
        <v>1</v>
      </c>
      <c r="K132" s="6"/>
      <c r="L132" s="6"/>
      <c r="M132" s="7"/>
      <c r="N132" s="59">
        <f t="shared" si="5"/>
        <v>2</v>
      </c>
      <c r="O132" s="60"/>
      <c r="P132" s="48"/>
      <c r="Q132" s="139" t="s">
        <v>1782</v>
      </c>
      <c r="R132" s="162">
        <v>43000</v>
      </c>
      <c r="S132" s="141">
        <v>44720</v>
      </c>
      <c r="T132" s="141">
        <v>46440</v>
      </c>
      <c r="U132" s="142"/>
      <c r="V132" s="140"/>
      <c r="W132" s="146"/>
    </row>
    <row r="133" spans="1:23">
      <c r="A133" s="104" t="s">
        <v>118</v>
      </c>
      <c r="B133" s="56" t="str">
        <f>IFERROR(HYPERLINK(VLOOKUP(A133,ÜRÜNLER!A:C,3,FALSE),VLOOKUP(A133,ÜRÜNLER!A:B,2,FALSE)),"")</f>
        <v>iQ500 Solo Bulaşık Makinesi, Üstten Sepetli, Antrasit Cam</v>
      </c>
      <c r="C133" s="5">
        <v>4</v>
      </c>
      <c r="D133" s="5"/>
      <c r="E133" s="6"/>
      <c r="F133" s="6"/>
      <c r="G133" s="6"/>
      <c r="H133" s="6"/>
      <c r="I133" s="7">
        <v>1</v>
      </c>
      <c r="J133" s="7"/>
      <c r="K133" s="6"/>
      <c r="L133" s="6">
        <v>1</v>
      </c>
      <c r="M133" s="7"/>
      <c r="N133" s="59">
        <f t="shared" si="5"/>
        <v>6</v>
      </c>
      <c r="O133" s="60"/>
      <c r="P133" s="48"/>
      <c r="Q133" s="145">
        <v>45858.498018909566</v>
      </c>
      <c r="R133" s="138">
        <v>43565.573117964086</v>
      </c>
      <c r="S133" s="141">
        <v>45308.196042682648</v>
      </c>
      <c r="T133" s="141">
        <v>47050.81896740121</v>
      </c>
      <c r="U133" s="142"/>
      <c r="V133" s="140"/>
      <c r="W133" s="146"/>
    </row>
    <row r="134" spans="1:23">
      <c r="A134" s="90" t="s">
        <v>119</v>
      </c>
      <c r="B134" s="56" t="str">
        <f>IFERROR(HYPERLINK(VLOOKUP(A134,ÜRÜNLER!A:C,3,FALSE),VLOOKUP(A134,ÜRÜNLER!A:B,2,FALSE)),"")</f>
        <v>iQ300 Solo Bulaşık Makinesi, Üstten Sepetli, darkSteel</v>
      </c>
      <c r="C134" s="5">
        <v>1</v>
      </c>
      <c r="D134" s="5"/>
      <c r="E134" s="6"/>
      <c r="F134" s="6"/>
      <c r="G134" s="6"/>
      <c r="H134" s="6"/>
      <c r="I134" s="7">
        <v>1</v>
      </c>
      <c r="J134" s="7">
        <v>1</v>
      </c>
      <c r="K134" s="6"/>
      <c r="L134" s="6">
        <v>1</v>
      </c>
      <c r="M134" s="7"/>
      <c r="N134" s="59">
        <f t="shared" si="5"/>
        <v>4</v>
      </c>
      <c r="O134" s="60"/>
      <c r="P134" s="48"/>
      <c r="Q134" s="139" t="s">
        <v>1782</v>
      </c>
      <c r="R134" s="162">
        <v>36000</v>
      </c>
      <c r="S134" s="141">
        <v>37440</v>
      </c>
      <c r="T134" s="141">
        <v>38880</v>
      </c>
      <c r="U134" s="142"/>
      <c r="V134" s="140"/>
      <c r="W134" s="143">
        <v>500</v>
      </c>
    </row>
    <row r="135" spans="1:23">
      <c r="A135" s="105" t="s">
        <v>120</v>
      </c>
      <c r="B135" s="56" t="str">
        <f>IFERROR(HYPERLINK(VLOOKUP(A135,ÜRÜNLER!A:C,3,FALSE),VLOOKUP(A135,ÜRÜNLER!A:B,2,FALSE)),"")</f>
        <v>iQ300 Solo Bulaşık Makinesi, Inox</v>
      </c>
      <c r="C135" s="5">
        <v>53</v>
      </c>
      <c r="D135" s="5"/>
      <c r="E135" s="6"/>
      <c r="F135" s="6"/>
      <c r="G135" s="6"/>
      <c r="H135" s="6"/>
      <c r="I135" s="7">
        <v>1</v>
      </c>
      <c r="J135" s="7">
        <v>1</v>
      </c>
      <c r="K135" s="6">
        <v>1</v>
      </c>
      <c r="L135" s="6">
        <v>1</v>
      </c>
      <c r="M135" s="7"/>
      <c r="N135" s="59">
        <f t="shared" si="5"/>
        <v>57</v>
      </c>
      <c r="O135" s="60"/>
      <c r="P135" s="64"/>
      <c r="Q135" s="145">
        <v>36240.481354441705</v>
      </c>
      <c r="R135" s="138">
        <v>34428.457286719618</v>
      </c>
      <c r="S135" s="141">
        <v>35805.595578188404</v>
      </c>
      <c r="T135" s="141">
        <v>37182.73386965719</v>
      </c>
      <c r="U135" s="142">
        <v>3682.3418195579834</v>
      </c>
      <c r="V135" s="140"/>
      <c r="W135" s="146"/>
    </row>
    <row r="136" spans="1:23">
      <c r="A136" s="105" t="s">
        <v>122</v>
      </c>
      <c r="B136" s="56" t="str">
        <f>IFERROR(HYPERLINK(VLOOKUP(A136,ÜRÜNLER!A:C,3,FALSE),VLOOKUP(A136,ÜRÜNLER!A:B,2,FALSE)),"")</f>
        <v>iQ300 Solo Bulaşık Makinesi, Beyaz</v>
      </c>
      <c r="C136" s="5">
        <v>120</v>
      </c>
      <c r="D136" s="5"/>
      <c r="E136" s="6"/>
      <c r="F136" s="6"/>
      <c r="G136" s="6"/>
      <c r="H136" s="6"/>
      <c r="I136" s="7">
        <v>2</v>
      </c>
      <c r="J136" s="7">
        <v>1</v>
      </c>
      <c r="K136" s="6">
        <v>1</v>
      </c>
      <c r="L136" s="6">
        <v>1</v>
      </c>
      <c r="M136" s="7">
        <v>1</v>
      </c>
      <c r="N136" s="59">
        <f t="shared" si="5"/>
        <v>126</v>
      </c>
      <c r="O136" s="60">
        <v>1</v>
      </c>
      <c r="P136" s="64"/>
      <c r="Q136" s="145">
        <v>33948.361891003922</v>
      </c>
      <c r="R136" s="163">
        <v>31571.976558633647</v>
      </c>
      <c r="S136" s="141">
        <v>32834.855620978989</v>
      </c>
      <c r="T136" s="141">
        <v>34097.734683324335</v>
      </c>
      <c r="U136" s="142">
        <v>3750.687472399266</v>
      </c>
      <c r="V136" s="140"/>
      <c r="W136" s="146"/>
    </row>
    <row r="137" spans="1:23">
      <c r="A137" s="105" t="s">
        <v>121</v>
      </c>
      <c r="B137" s="56" t="str">
        <f>IFERROR(HYPERLINK(VLOOKUP(A137,ÜRÜNLER!A:C,3,FALSE),VLOOKUP(A137,ÜRÜNLER!A:B,2,FALSE)),"")</f>
        <v>iQ300 Solo Bulaşık Makinesi, Üstten Sepetli, Inox</v>
      </c>
      <c r="C137" s="5">
        <v>2</v>
      </c>
      <c r="D137" s="5"/>
      <c r="E137" s="6"/>
      <c r="F137" s="6">
        <v>1</v>
      </c>
      <c r="G137" s="6"/>
      <c r="H137" s="6"/>
      <c r="I137" s="7">
        <v>1</v>
      </c>
      <c r="J137" s="7">
        <v>1</v>
      </c>
      <c r="K137" s="6"/>
      <c r="L137" s="6">
        <v>1</v>
      </c>
      <c r="M137" s="7"/>
      <c r="N137" s="59">
        <f t="shared" si="5"/>
        <v>6</v>
      </c>
      <c r="O137" s="60"/>
      <c r="P137" s="48"/>
      <c r="Q137" s="139" t="s">
        <v>1782</v>
      </c>
      <c r="R137" s="141">
        <v>33000</v>
      </c>
      <c r="S137" s="141">
        <v>34320</v>
      </c>
      <c r="T137" s="141">
        <v>35640</v>
      </c>
      <c r="U137" s="142"/>
      <c r="V137" s="140"/>
      <c r="W137" s="146"/>
    </row>
    <row r="138" spans="1:23">
      <c r="A138" s="88" t="s">
        <v>123</v>
      </c>
      <c r="B138" s="56" t="str">
        <f>IFERROR(HYPERLINK(VLOOKUP(A138,ÜRÜNLER!A:C,3,FALSE),VLOOKUP(A138,ÜRÜNLER!A:B,2,FALSE)),"")</f>
        <v>iQ300 Solo Bulaşık Makinesi, Üstten Sepetli, Beyaz</v>
      </c>
      <c r="C138" s="5">
        <v>5</v>
      </c>
      <c r="D138" s="5"/>
      <c r="E138" s="6"/>
      <c r="F138" s="6">
        <v>1</v>
      </c>
      <c r="G138" s="6"/>
      <c r="H138" s="6"/>
      <c r="I138" s="7">
        <v>1</v>
      </c>
      <c r="J138" s="7"/>
      <c r="K138" s="6">
        <v>1</v>
      </c>
      <c r="L138" s="6">
        <v>3</v>
      </c>
      <c r="M138" s="7"/>
      <c r="N138" s="59">
        <f t="shared" si="5"/>
        <v>11</v>
      </c>
      <c r="O138" s="60"/>
      <c r="P138" s="48"/>
      <c r="Q138" s="139" t="s">
        <v>1782</v>
      </c>
      <c r="R138" s="141">
        <v>31000</v>
      </c>
      <c r="S138" s="141">
        <v>32240</v>
      </c>
      <c r="T138" s="141">
        <v>33480</v>
      </c>
      <c r="U138" s="142"/>
      <c r="V138" s="140"/>
      <c r="W138" s="146"/>
    </row>
    <row r="139" spans="1:23">
      <c r="A139" s="88" t="s">
        <v>126</v>
      </c>
      <c r="B139" s="56" t="str">
        <f>IFERROR(HYPERLINK(VLOOKUP(A139,ÜRÜNLER!A:C,3,FALSE),VLOOKUP(A139,ÜRÜNLER!A:B,2,FALSE)),"")</f>
        <v>iQ500 Solo Bulaşık Makinesi, autoOpen dry, Inox</v>
      </c>
      <c r="C139" s="5">
        <v>9</v>
      </c>
      <c r="D139" s="5"/>
      <c r="E139" s="6"/>
      <c r="F139" s="6">
        <v>4</v>
      </c>
      <c r="G139" s="6"/>
      <c r="H139" s="6"/>
      <c r="I139" s="7"/>
      <c r="J139" s="7">
        <v>1</v>
      </c>
      <c r="K139" s="6"/>
      <c r="L139" s="6"/>
      <c r="M139" s="7"/>
      <c r="N139" s="59">
        <f t="shared" si="5"/>
        <v>14</v>
      </c>
      <c r="O139" s="60"/>
      <c r="P139" s="48"/>
      <c r="Q139" s="145">
        <v>40906.640308709808</v>
      </c>
      <c r="R139" s="138">
        <v>38861.30829327432</v>
      </c>
      <c r="S139" s="141">
        <v>40415.760625005292</v>
      </c>
      <c r="T139" s="141">
        <v>41970.212956736264</v>
      </c>
      <c r="U139" s="142"/>
      <c r="V139" s="140"/>
      <c r="W139" s="146"/>
    </row>
    <row r="140" spans="1:23">
      <c r="A140" s="88" t="s">
        <v>109</v>
      </c>
      <c r="B140" s="56" t="str">
        <f>IFERROR(HYPERLINK(VLOOKUP(A140,ÜRÜNLER!A:C,3,FALSE),VLOOKUP(A140,ÜRÜNLER!A:B,2,FALSE)),"")</f>
        <v>iQ500 Solo Bulaşık Makinesi, autoOpen dry, Üstten Sepetli, Inox</v>
      </c>
      <c r="C140" s="5">
        <v>17</v>
      </c>
      <c r="D140" s="5"/>
      <c r="E140" s="6"/>
      <c r="F140" s="6"/>
      <c r="G140" s="6"/>
      <c r="H140" s="6"/>
      <c r="I140" s="7"/>
      <c r="J140" s="7"/>
      <c r="K140" s="6"/>
      <c r="L140" s="6"/>
      <c r="M140" s="7"/>
      <c r="N140" s="59">
        <f t="shared" si="5"/>
        <v>17</v>
      </c>
      <c r="O140" s="60"/>
      <c r="P140" s="48"/>
      <c r="Q140" s="145">
        <v>42591.055237352906</v>
      </c>
      <c r="R140" s="138">
        <v>40461.502475485264</v>
      </c>
      <c r="S140" s="141">
        <v>42079.962574504672</v>
      </c>
      <c r="T140" s="141">
        <v>43698.422673524088</v>
      </c>
      <c r="U140" s="142"/>
      <c r="V140" s="140"/>
      <c r="W140" s="146"/>
    </row>
    <row r="141" spans="1:23">
      <c r="A141" s="105" t="s">
        <v>128</v>
      </c>
      <c r="B141" s="56" t="str">
        <f>IFERROR(HYPERLINK(VLOOKUP(A141,ÜRÜNLER!A:C,3,FALSE),VLOOKUP(A141,ÜRÜNLER!A:B,2,FALSE)),"")</f>
        <v>iQ500 Solo Bulaşık Makinesi, autoOpen dry, Üstten Sepetli, Inox</v>
      </c>
      <c r="C141" s="5">
        <v>3</v>
      </c>
      <c r="D141" s="5"/>
      <c r="E141" s="6"/>
      <c r="F141" s="6">
        <v>1</v>
      </c>
      <c r="G141" s="6"/>
      <c r="H141" s="6"/>
      <c r="I141" s="7">
        <v>1</v>
      </c>
      <c r="J141" s="7"/>
      <c r="K141" s="6"/>
      <c r="L141" s="6">
        <v>1</v>
      </c>
      <c r="M141" s="7"/>
      <c r="N141" s="59">
        <f t="shared" si="5"/>
        <v>6</v>
      </c>
      <c r="O141" s="60">
        <v>16</v>
      </c>
      <c r="P141" s="48"/>
      <c r="Q141" s="145">
        <v>48552.805622770371</v>
      </c>
      <c r="R141" s="138">
        <v>46125.165341631851</v>
      </c>
      <c r="S141" s="141">
        <v>47970.171955297126</v>
      </c>
      <c r="T141" s="141">
        <v>49815.178568962401</v>
      </c>
      <c r="U141" s="142"/>
      <c r="V141" s="140"/>
      <c r="W141" s="146"/>
    </row>
    <row r="142" spans="1:23">
      <c r="A142" s="105" t="s">
        <v>129</v>
      </c>
      <c r="B142" s="56" t="str">
        <f>IFERROR(HYPERLINK(VLOOKUP(A142,ÜRÜNLER!A:C,3,FALSE),VLOOKUP(A142,ÜRÜNLER!A:B,2,FALSE)),"")</f>
        <v>iQ500 Solo Bulaşık Makinesi, autoOpen dry, glassZone, Inox</v>
      </c>
      <c r="C142" s="5"/>
      <c r="D142" s="5"/>
      <c r="E142" s="6"/>
      <c r="F142" s="6"/>
      <c r="G142" s="6"/>
      <c r="H142" s="6"/>
      <c r="I142" s="7">
        <v>1</v>
      </c>
      <c r="J142" s="7"/>
      <c r="K142" s="6"/>
      <c r="L142" s="6"/>
      <c r="M142" s="7">
        <v>1</v>
      </c>
      <c r="N142" s="59">
        <f t="shared" si="5"/>
        <v>2</v>
      </c>
      <c r="O142" s="60"/>
      <c r="P142" s="48"/>
      <c r="Q142" s="139" t="s">
        <v>1782</v>
      </c>
      <c r="R142" s="162">
        <v>49000</v>
      </c>
      <c r="S142" s="141">
        <v>50960</v>
      </c>
      <c r="T142" s="141">
        <v>52920</v>
      </c>
      <c r="U142" s="142"/>
      <c r="V142" s="140"/>
      <c r="W142" s="143">
        <v>1000</v>
      </c>
    </row>
    <row r="143" spans="1:23">
      <c r="A143" s="91" t="s">
        <v>132</v>
      </c>
      <c r="B143" s="56" t="str">
        <f>IFERROR(HYPERLINK(VLOOKUP(A143,ÜRÜNLER!A:C,3,FALSE),VLOOKUP(A143,ÜRÜNLER!A:B,2,FALSE)),"")</f>
        <v>iQ500 Solo Bulaşık Makinesi, autoOpen dry, glassZone, Üstten Sepetli, Inox</v>
      </c>
      <c r="C143" s="5">
        <v>5</v>
      </c>
      <c r="D143" s="5"/>
      <c r="E143" s="6"/>
      <c r="F143" s="6"/>
      <c r="G143" s="6"/>
      <c r="H143" s="6"/>
      <c r="I143" s="7"/>
      <c r="J143" s="7"/>
      <c r="K143" s="6"/>
      <c r="L143" s="6"/>
      <c r="M143" s="7"/>
      <c r="N143" s="59">
        <f t="shared" si="5"/>
        <v>5</v>
      </c>
      <c r="O143" s="60"/>
      <c r="P143" s="48"/>
      <c r="Q143" s="145">
        <v>58104.846500596184</v>
      </c>
      <c r="R143" s="138">
        <v>55199.604175566375</v>
      </c>
      <c r="S143" s="141">
        <v>57407.588342589028</v>
      </c>
      <c r="T143" s="141">
        <v>59615.572509611688</v>
      </c>
      <c r="U143" s="142"/>
      <c r="V143" s="140"/>
      <c r="W143" s="146"/>
    </row>
    <row r="144" spans="1:23">
      <c r="A144" s="88" t="s">
        <v>127</v>
      </c>
      <c r="B144" s="56" t="str">
        <f>IFERROR(HYPERLINK(VLOOKUP(A144,ÜRÜNLER!A:C,3,FALSE),VLOOKUP(A144,ÜRÜNLER!A:B,2,FALSE)),"")</f>
        <v>iQ500 Solo Bulaşık Makinesi, autoOpen dry, Beyaz</v>
      </c>
      <c r="C144" s="5">
        <v>5</v>
      </c>
      <c r="D144" s="5"/>
      <c r="E144" s="6"/>
      <c r="F144" s="6"/>
      <c r="G144" s="6"/>
      <c r="H144" s="6"/>
      <c r="I144" s="7">
        <v>1</v>
      </c>
      <c r="J144" s="7"/>
      <c r="K144" s="6"/>
      <c r="L144" s="6"/>
      <c r="M144" s="7"/>
      <c r="N144" s="59">
        <f t="shared" si="5"/>
        <v>6</v>
      </c>
      <c r="O144" s="60"/>
      <c r="P144" s="48"/>
      <c r="Q144" s="145">
        <v>38471.959497051292</v>
      </c>
      <c r="R144" s="151">
        <v>38471.959497051292</v>
      </c>
      <c r="S144" s="141">
        <v>40010.837876933343</v>
      </c>
      <c r="T144" s="141">
        <v>41549.716256815394</v>
      </c>
      <c r="U144" s="142"/>
      <c r="V144" s="140"/>
      <c r="W144" s="146"/>
    </row>
    <row r="145" spans="1:24">
      <c r="A145" s="88" t="s">
        <v>130</v>
      </c>
      <c r="B145" s="56" t="str">
        <f>IFERROR(HYPERLINK(VLOOKUP(A145,ÜRÜNLER!A:C,3,FALSE),VLOOKUP(A145,ÜRÜNLER!A:B,2,FALSE)),"")</f>
        <v>iQ500 Solo Bulaşık Makinesi, autoOpen dry, Üstten Sepetli, Beyaz</v>
      </c>
      <c r="C145" s="5"/>
      <c r="D145" s="5"/>
      <c r="E145" s="6"/>
      <c r="F145" s="6">
        <v>1</v>
      </c>
      <c r="G145" s="6"/>
      <c r="H145" s="6"/>
      <c r="I145" s="7"/>
      <c r="J145" s="7"/>
      <c r="K145" s="6"/>
      <c r="L145" s="6"/>
      <c r="M145" s="7"/>
      <c r="N145" s="59">
        <f t="shared" si="5"/>
        <v>1</v>
      </c>
      <c r="O145" s="60"/>
      <c r="P145" s="48"/>
      <c r="Q145" s="139" t="s">
        <v>1782</v>
      </c>
      <c r="R145" s="162">
        <v>43000</v>
      </c>
      <c r="S145" s="141">
        <v>44720</v>
      </c>
      <c r="T145" s="141">
        <v>46440</v>
      </c>
      <c r="U145" s="142"/>
      <c r="V145" s="140"/>
      <c r="W145" s="164">
        <v>1000</v>
      </c>
    </row>
    <row r="146" spans="1:24">
      <c r="A146" s="88" t="s">
        <v>131</v>
      </c>
      <c r="B146" s="56" t="str">
        <f>IFERROR(HYPERLINK(VLOOKUP(A146,ÜRÜNLER!A:C,3,FALSE),VLOOKUP(A146,ÜRÜNLER!A:B,2,FALSE)),"")</f>
        <v>iQ500 Solo Bulaşık Makinesi, Üstten Sepetli, Beyaz</v>
      </c>
      <c r="C146" s="5"/>
      <c r="D146" s="5"/>
      <c r="E146" s="6"/>
      <c r="F146" s="6"/>
      <c r="G146" s="6"/>
      <c r="H146" s="6"/>
      <c r="I146" s="7"/>
      <c r="J146" s="7">
        <v>1</v>
      </c>
      <c r="K146" s="6"/>
      <c r="L146" s="6"/>
      <c r="M146" s="7"/>
      <c r="N146" s="59">
        <f t="shared" si="5"/>
        <v>1</v>
      </c>
      <c r="O146" s="60"/>
      <c r="P146" s="48"/>
      <c r="Q146" s="139" t="s">
        <v>1782</v>
      </c>
      <c r="R146" s="140">
        <v>44000</v>
      </c>
      <c r="S146" s="141">
        <v>45760</v>
      </c>
      <c r="T146" s="141">
        <v>47520</v>
      </c>
      <c r="U146" s="142"/>
      <c r="V146" s="140"/>
      <c r="W146" s="164">
        <v>1000</v>
      </c>
    </row>
    <row r="147" spans="1:24">
      <c r="A147" s="105" t="s">
        <v>133</v>
      </c>
      <c r="B147" s="56" t="str">
        <f>IFERROR(HYPERLINK(VLOOKUP(A147,ÜRÜNLER!A:C,3,FALSE),VLOOKUP(A147,ÜRÜNLER!A:B,2,FALSE)),"")</f>
        <v>iQ700 Solo Bulaşık Makinesi, Zeolith dry, glassZone, Inox</v>
      </c>
      <c r="C147" s="5">
        <v>25</v>
      </c>
      <c r="D147" s="5"/>
      <c r="E147" s="6"/>
      <c r="F147" s="6"/>
      <c r="G147" s="6"/>
      <c r="H147" s="6"/>
      <c r="I147" s="7">
        <v>1</v>
      </c>
      <c r="J147" s="7">
        <v>1</v>
      </c>
      <c r="K147" s="6">
        <v>1</v>
      </c>
      <c r="L147" s="6">
        <v>1</v>
      </c>
      <c r="M147" s="7">
        <v>1</v>
      </c>
      <c r="N147" s="59">
        <f t="shared" si="5"/>
        <v>30</v>
      </c>
      <c r="O147" s="60"/>
      <c r="P147" s="64"/>
      <c r="Q147" s="145">
        <v>63283.742233012534</v>
      </c>
      <c r="R147" s="163">
        <v>58853.880276701653</v>
      </c>
      <c r="S147" s="141">
        <v>61208.035487769717</v>
      </c>
      <c r="T147" s="141">
        <v>63562.190698837789</v>
      </c>
      <c r="U147" s="142"/>
      <c r="V147" s="140"/>
      <c r="W147" s="150"/>
    </row>
    <row r="148" spans="1:24" s="12" customFormat="1" ht="30">
      <c r="A148" s="106" t="s">
        <v>1547</v>
      </c>
      <c r="B148" s="56" t="str">
        <f>IFERROR(HYPERLINK(VLOOKUP(A148,ÜRÜNLER!A:C,3,FALSE),VLOOKUP(A148,ÜRÜNLER!A:B,2,FALSE)),"")</f>
        <v/>
      </c>
      <c r="C148" s="5"/>
      <c r="D148" s="5"/>
      <c r="E148" s="6"/>
      <c r="F148" s="6"/>
      <c r="G148" s="6"/>
      <c r="H148" s="6"/>
      <c r="I148" s="7"/>
      <c r="J148" s="7"/>
      <c r="K148" s="6"/>
      <c r="L148" s="6"/>
      <c r="M148" s="7"/>
      <c r="N148" s="59">
        <f>SUM(N122:N147)</f>
        <v>597</v>
      </c>
      <c r="O148" s="60"/>
      <c r="P148" s="48"/>
      <c r="Q148" s="139"/>
      <c r="R148" s="146"/>
      <c r="S148" s="141"/>
      <c r="T148" s="141"/>
      <c r="U148" s="142"/>
      <c r="V148" s="140"/>
      <c r="W148" s="146"/>
      <c r="X148" s="144"/>
    </row>
    <row r="149" spans="1:24">
      <c r="A149" s="87" t="s">
        <v>469</v>
      </c>
      <c r="B149" s="56" t="str">
        <f>IFERROR(HYPERLINK(VLOOKUP(A149,ÜRÜNLER!A:C,3,FALSE),VLOOKUP(A149,ÜRÜNLER!A:B,2,FALSE)),"")</f>
        <v>iQ500 Tezgah Altı Ankastre Kapaklı Bulaşık Makinesi, autoOpen dry, timeLight, 3 Sepetli, Siyah Cam</v>
      </c>
      <c r="C149" s="5">
        <v>18</v>
      </c>
      <c r="D149" s="5"/>
      <c r="E149" s="6"/>
      <c r="F149" s="6"/>
      <c r="G149" s="6"/>
      <c r="H149" s="6"/>
      <c r="I149" s="7">
        <v>1</v>
      </c>
      <c r="J149" s="7"/>
      <c r="K149" s="6">
        <v>1</v>
      </c>
      <c r="L149" s="6"/>
      <c r="M149" s="7"/>
      <c r="N149" s="59">
        <f t="shared" ref="N149:N169" si="6">M149+K149+L149+J149+I149+H149+G149+F149+E149+D149+C149</f>
        <v>20</v>
      </c>
      <c r="O149" s="60">
        <v>1</v>
      </c>
      <c r="P149" s="48"/>
      <c r="Q149" s="145">
        <v>46302.450187445836</v>
      </c>
      <c r="R149" s="163">
        <v>43061.278674324625</v>
      </c>
      <c r="S149" s="141">
        <v>44783.729821297609</v>
      </c>
      <c r="T149" s="141">
        <v>46506.180968270593</v>
      </c>
      <c r="U149" s="142"/>
      <c r="V149" s="140"/>
      <c r="W149" s="146"/>
    </row>
    <row r="150" spans="1:24">
      <c r="A150" s="87" t="s">
        <v>470</v>
      </c>
      <c r="B150" s="56" t="str">
        <f>IFERROR(HYPERLINK(VLOOKUP(A150,ÜRÜNLER!A:C,3,FALSE),VLOOKUP(A150,ÜRÜNLER!A:B,2,FALSE)),"")</f>
        <v>iQ500 Tezgah Altı Ankastre Kapaklı Bulaşık Makinesi, autoOpen dry, timeLight, 3 Sepetli, Antrasit Cam</v>
      </c>
      <c r="C150" s="5">
        <v>11</v>
      </c>
      <c r="D150" s="5"/>
      <c r="E150" s="6"/>
      <c r="F150" s="6"/>
      <c r="G150" s="6"/>
      <c r="H150" s="6"/>
      <c r="I150" s="7"/>
      <c r="J150" s="7"/>
      <c r="K150" s="6"/>
      <c r="L150" s="6"/>
      <c r="M150" s="7"/>
      <c r="N150" s="59">
        <f t="shared" si="6"/>
        <v>11</v>
      </c>
      <c r="O150" s="60"/>
      <c r="P150" s="48"/>
      <c r="Q150" s="145">
        <v>46302.450187445836</v>
      </c>
      <c r="R150" s="163">
        <v>43061.278674324625</v>
      </c>
      <c r="S150" s="141">
        <v>44783.729821297609</v>
      </c>
      <c r="T150" s="141">
        <v>46506.180968270593</v>
      </c>
      <c r="U150" s="142"/>
      <c r="V150" s="140"/>
      <c r="W150" s="146"/>
    </row>
    <row r="151" spans="1:24">
      <c r="A151" s="87" t="s">
        <v>136</v>
      </c>
      <c r="B151" s="56" t="str">
        <f>IFERROR(HYPERLINK(VLOOKUP(A151,ÜRÜNLER!A:C,3,FALSE),VLOOKUP(A151,ÜRÜNLER!A:B,2,FALSE)),"")</f>
        <v>iQ100 Yarı Ankastre Bulaşık Makinesi, Beyaz</v>
      </c>
      <c r="C151" s="5"/>
      <c r="D151" s="5"/>
      <c r="E151" s="6"/>
      <c r="F151" s="6"/>
      <c r="G151" s="6"/>
      <c r="H151" s="6"/>
      <c r="I151" s="7">
        <v>1</v>
      </c>
      <c r="J151" s="7"/>
      <c r="K151" s="6"/>
      <c r="L151" s="6"/>
      <c r="M151" s="7"/>
      <c r="N151" s="59">
        <f t="shared" si="6"/>
        <v>1</v>
      </c>
      <c r="O151" s="60"/>
      <c r="P151" s="48"/>
      <c r="Q151" s="139" t="s">
        <v>1782</v>
      </c>
      <c r="R151" s="140">
        <v>20000</v>
      </c>
      <c r="S151" s="141">
        <v>20800</v>
      </c>
      <c r="T151" s="141">
        <v>21600</v>
      </c>
      <c r="U151" s="142"/>
      <c r="V151" s="140"/>
      <c r="W151" s="143">
        <v>500</v>
      </c>
    </row>
    <row r="152" spans="1:24">
      <c r="A152" s="87" t="s">
        <v>135</v>
      </c>
      <c r="B152" s="56" t="str">
        <f>IFERROR(HYPERLINK(VLOOKUP(A152,ÜRÜNLER!A:C,3,FALSE),VLOOKUP(A152,ÜRÜNLER!A:B,2,FALSE)),"")</f>
        <v>iQ100 Yarı Ankastre Bulaşık Makinesi, Beyaz</v>
      </c>
      <c r="C152" s="5"/>
      <c r="D152" s="5"/>
      <c r="E152" s="6"/>
      <c r="F152" s="6">
        <v>1</v>
      </c>
      <c r="G152" s="6">
        <v>1</v>
      </c>
      <c r="H152" s="6"/>
      <c r="I152" s="7"/>
      <c r="J152" s="7"/>
      <c r="K152" s="6"/>
      <c r="L152" s="6"/>
      <c r="M152" s="7"/>
      <c r="N152" s="59">
        <f t="shared" si="6"/>
        <v>2</v>
      </c>
      <c r="O152" s="60"/>
      <c r="P152" s="48"/>
      <c r="Q152" s="139" t="s">
        <v>1782</v>
      </c>
      <c r="R152" s="140">
        <v>22140</v>
      </c>
      <c r="S152" s="141">
        <v>23025.599999999999</v>
      </c>
      <c r="T152" s="141">
        <v>23911.200000000001</v>
      </c>
      <c r="U152" s="142"/>
      <c r="V152" s="140">
        <v>2139.9119999999998</v>
      </c>
      <c r="W152" s="143">
        <v>500</v>
      </c>
    </row>
    <row r="153" spans="1:24">
      <c r="A153" s="87" t="s">
        <v>1776</v>
      </c>
      <c r="B153" s="56" t="str">
        <f>IFERROR(HYPERLINK(VLOOKUP(A153,ÜRÜNLER!A:C,3,FALSE),VLOOKUP(A153,ÜRÜNLER!A:B,2,FALSE)),"")</f>
        <v>iQ300 Yarı Ankastre Bulaşık Makinesi, Siyah/Inox</v>
      </c>
      <c r="C153" s="5"/>
      <c r="D153" s="5"/>
      <c r="E153" s="6"/>
      <c r="F153" s="6"/>
      <c r="G153" s="6"/>
      <c r="H153" s="6"/>
      <c r="I153" s="7"/>
      <c r="J153" s="7"/>
      <c r="K153" s="6"/>
      <c r="L153" s="6"/>
      <c r="M153" s="7"/>
      <c r="N153" s="59">
        <f t="shared" si="6"/>
        <v>0</v>
      </c>
      <c r="O153" s="60"/>
      <c r="P153" s="48"/>
      <c r="Q153" s="145">
        <v>39106.282627840912</v>
      </c>
      <c r="R153" s="151">
        <v>39106.282627840912</v>
      </c>
      <c r="S153" s="141">
        <v>40670.533932954546</v>
      </c>
      <c r="T153" s="141">
        <v>42234.785238068187</v>
      </c>
      <c r="U153" s="142"/>
      <c r="V153" s="140"/>
      <c r="W153" s="146"/>
    </row>
    <row r="154" spans="1:24">
      <c r="A154" s="87" t="s">
        <v>139</v>
      </c>
      <c r="B154" s="56" t="str">
        <f>IFERROR(HYPERLINK(VLOOKUP(A154,ÜRÜNLER!A:C,3,FALSE),VLOOKUP(A154,ÜRÜNLER!A:B,2,FALSE)),"")</f>
        <v>iQ300 Yarı Ankastre Bulaşık Makinesi, Siyah/Inox</v>
      </c>
      <c r="C154" s="5">
        <v>15</v>
      </c>
      <c r="D154" s="5"/>
      <c r="E154" s="6"/>
      <c r="F154" s="6">
        <v>1</v>
      </c>
      <c r="G154" s="6"/>
      <c r="H154" s="6"/>
      <c r="I154" s="7"/>
      <c r="J154" s="7"/>
      <c r="K154" s="6">
        <v>1</v>
      </c>
      <c r="L154" s="6"/>
      <c r="M154" s="7">
        <v>1</v>
      </c>
      <c r="N154" s="59">
        <f t="shared" si="6"/>
        <v>18</v>
      </c>
      <c r="O154" s="60"/>
      <c r="P154" s="48"/>
      <c r="Q154" s="145">
        <v>37178.88943312272</v>
      </c>
      <c r="R154" s="163">
        <v>34576.36717280413</v>
      </c>
      <c r="S154" s="141">
        <v>35959.421859716298</v>
      </c>
      <c r="T154" s="141">
        <v>37342.476546628459</v>
      </c>
      <c r="U154" s="142"/>
      <c r="V154" s="140"/>
      <c r="W154" s="146"/>
    </row>
    <row r="155" spans="1:24">
      <c r="A155" s="91" t="s">
        <v>137</v>
      </c>
      <c r="B155" s="56" t="str">
        <f>IFERROR(HYPERLINK(VLOOKUP(A155,ÜRÜNLER!A:C,3,FALSE),VLOOKUP(A155,ÜRÜNLER!A:B,2,FALSE)),"")</f>
        <v>iQ500 Yarı Ankastre Bulaşık Makinesi, Üstten Sepetli, Inox</v>
      </c>
      <c r="C155" s="5">
        <v>9</v>
      </c>
      <c r="D155" s="5"/>
      <c r="E155" s="6"/>
      <c r="F155" s="6">
        <v>1</v>
      </c>
      <c r="G155" s="6"/>
      <c r="H155" s="6"/>
      <c r="I155" s="7">
        <v>1</v>
      </c>
      <c r="J155" s="7">
        <v>1</v>
      </c>
      <c r="K155" s="6"/>
      <c r="L155" s="6">
        <v>1</v>
      </c>
      <c r="M155" s="7"/>
      <c r="N155" s="59">
        <f t="shared" si="6"/>
        <v>13</v>
      </c>
      <c r="O155" s="60">
        <v>1</v>
      </c>
      <c r="P155" s="48"/>
      <c r="Q155" s="145">
        <v>39113.386376596158</v>
      </c>
      <c r="R155" s="138">
        <v>37157.717057766349</v>
      </c>
      <c r="S155" s="141">
        <v>38644.025740077006</v>
      </c>
      <c r="T155" s="141">
        <v>40130.334422387656</v>
      </c>
      <c r="U155" s="142"/>
      <c r="V155" s="140"/>
      <c r="W155" s="146"/>
    </row>
    <row r="156" spans="1:24">
      <c r="A156" s="87" t="s">
        <v>138</v>
      </c>
      <c r="B156" s="56" t="str">
        <f>IFERROR(HYPERLINK(VLOOKUP(A156,ÜRÜNLER!A:C,3,FALSE),VLOOKUP(A156,ÜRÜNLER!A:B,2,FALSE)),"")</f>
        <v>iQ300 Yarı Ankastre Bulaşık Makinesi, Beyaz/Inox</v>
      </c>
      <c r="C156" s="5">
        <v>1</v>
      </c>
      <c r="D156" s="5"/>
      <c r="E156" s="6"/>
      <c r="F156" s="6"/>
      <c r="G156" s="6"/>
      <c r="H156" s="6"/>
      <c r="I156" s="7">
        <v>1</v>
      </c>
      <c r="J156" s="7">
        <v>1</v>
      </c>
      <c r="K156" s="6"/>
      <c r="L156" s="6"/>
      <c r="M156" s="7"/>
      <c r="N156" s="59">
        <f t="shared" si="6"/>
        <v>3</v>
      </c>
      <c r="O156" s="60"/>
      <c r="P156" s="48"/>
      <c r="Q156" s="139" t="s">
        <v>1782</v>
      </c>
      <c r="R156" s="162">
        <v>27756.046587678491</v>
      </c>
      <c r="S156" s="141">
        <v>28866.288451185632</v>
      </c>
      <c r="T156" s="141">
        <v>29976.530314692769</v>
      </c>
      <c r="U156" s="142"/>
      <c r="V156" s="140"/>
      <c r="W156" s="146"/>
    </row>
    <row r="157" spans="1:24">
      <c r="A157" s="107" t="s">
        <v>141</v>
      </c>
      <c r="B157" s="56" t="str">
        <f>IFERROR(HYPERLINK(VLOOKUP(A157,ÜRÜNLER!A:C,3,FALSE),VLOOKUP(A157,ÜRÜNLER!A:B,2,FALSE)),"")</f>
        <v>iQ500 Yarı Ankastre Bulaşık Makinesi, autoOpen dry, Siyah/Inox</v>
      </c>
      <c r="C157" s="5">
        <v>12</v>
      </c>
      <c r="D157" s="5"/>
      <c r="E157" s="6"/>
      <c r="F157" s="6">
        <v>2</v>
      </c>
      <c r="G157" s="6"/>
      <c r="H157" s="6"/>
      <c r="I157" s="7"/>
      <c r="J157" s="7"/>
      <c r="K157" s="6"/>
      <c r="L157" s="6">
        <v>1</v>
      </c>
      <c r="M157" s="7"/>
      <c r="N157" s="59">
        <f t="shared" si="6"/>
        <v>15</v>
      </c>
      <c r="O157" s="60"/>
      <c r="P157" s="48"/>
      <c r="Q157" s="145">
        <v>51145.09185598667</v>
      </c>
      <c r="R157" s="163">
        <v>47564.935426067605</v>
      </c>
      <c r="S157" s="141">
        <v>49467.532843110312</v>
      </c>
      <c r="T157" s="141">
        <v>51370.130260153011</v>
      </c>
      <c r="U157" s="142"/>
      <c r="V157" s="140"/>
      <c r="W157" s="146"/>
    </row>
    <row r="158" spans="1:24">
      <c r="A158" s="87" t="s">
        <v>142</v>
      </c>
      <c r="B158" s="56" t="str">
        <f>IFERROR(HYPERLINK(VLOOKUP(A158,ÜRÜNLER!A:C,3,FALSE),VLOOKUP(A158,ÜRÜNLER!A:B,2,FALSE)),"")</f>
        <v>iQ700 Yarı Ankastre Bulaşık Makinesi, Zeolith dry, Siyah/Inox</v>
      </c>
      <c r="C158" s="5"/>
      <c r="D158" s="5"/>
      <c r="E158" s="6"/>
      <c r="F158" s="6">
        <v>1</v>
      </c>
      <c r="G158" s="6"/>
      <c r="H158" s="6"/>
      <c r="I158" s="7"/>
      <c r="J158" s="7"/>
      <c r="K158" s="6"/>
      <c r="L158" s="6"/>
      <c r="M158" s="7"/>
      <c r="N158" s="59">
        <f t="shared" si="6"/>
        <v>1</v>
      </c>
      <c r="O158" s="60"/>
      <c r="P158" s="48"/>
      <c r="Q158" s="139" t="s">
        <v>1782</v>
      </c>
      <c r="R158" s="149">
        <v>50000</v>
      </c>
      <c r="S158" s="141">
        <v>52000</v>
      </c>
      <c r="T158" s="141">
        <v>54000</v>
      </c>
      <c r="U158" s="142"/>
      <c r="V158" s="140"/>
      <c r="W158" s="143">
        <v>500</v>
      </c>
    </row>
    <row r="159" spans="1:24">
      <c r="A159" s="107" t="s">
        <v>143</v>
      </c>
      <c r="B159" s="56" t="str">
        <f>IFERROR(HYPERLINK(VLOOKUP(A159,ÜRÜNLER!A:C,3,FALSE),VLOOKUP(A159,ÜRÜNLER!A:B,2,FALSE)),"")</f>
        <v>iQ700 Yarı Ankastre Bulaşık Makinesi, Zeolith dry, Siyah/Inox</v>
      </c>
      <c r="C159" s="5">
        <v>2</v>
      </c>
      <c r="D159" s="5"/>
      <c r="E159" s="6"/>
      <c r="F159" s="6"/>
      <c r="G159" s="6"/>
      <c r="H159" s="6"/>
      <c r="I159" s="7"/>
      <c r="J159" s="7"/>
      <c r="K159" s="6"/>
      <c r="L159" s="6"/>
      <c r="M159" s="7"/>
      <c r="N159" s="59">
        <f t="shared" si="6"/>
        <v>2</v>
      </c>
      <c r="O159" s="60"/>
      <c r="P159" s="48"/>
      <c r="Q159" s="145">
        <v>79339.839835346269</v>
      </c>
      <c r="R159" s="151">
        <v>79339.839835346269</v>
      </c>
      <c r="S159" s="141">
        <v>82513.433428760123</v>
      </c>
      <c r="T159" s="141">
        <v>85687.027022173977</v>
      </c>
      <c r="U159" s="142"/>
      <c r="V159" s="140"/>
      <c r="W159" s="146"/>
    </row>
    <row r="160" spans="1:24">
      <c r="A160" s="87" t="s">
        <v>144</v>
      </c>
      <c r="B160" s="56" t="str">
        <f>IFERROR(HYPERLINK(VLOOKUP(A160,ÜRÜNLER!A:C,3,FALSE),VLOOKUP(A160,ÜRÜNLER!A:B,2,FALSE)),"")</f>
        <v>iQ100 Tam Ankastre Bulaşık Makinesi</v>
      </c>
      <c r="C160" s="5">
        <v>6</v>
      </c>
      <c r="D160" s="5"/>
      <c r="E160" s="6"/>
      <c r="F160" s="6">
        <v>1</v>
      </c>
      <c r="G160" s="6"/>
      <c r="H160" s="6"/>
      <c r="I160" s="7">
        <v>1</v>
      </c>
      <c r="J160" s="7">
        <v>1</v>
      </c>
      <c r="K160" s="6"/>
      <c r="L160" s="6"/>
      <c r="M160" s="7"/>
      <c r="N160" s="59">
        <f t="shared" si="6"/>
        <v>9</v>
      </c>
      <c r="O160" s="60"/>
      <c r="P160" s="48"/>
      <c r="Q160" s="145">
        <v>38589.565951951226</v>
      </c>
      <c r="R160" s="151">
        <v>38589.565951951226</v>
      </c>
      <c r="S160" s="141">
        <v>40133.148590029276</v>
      </c>
      <c r="T160" s="141">
        <v>41676.731228107325</v>
      </c>
      <c r="U160" s="142"/>
      <c r="V160" s="140"/>
      <c r="W160" s="146"/>
    </row>
    <row r="161" spans="1:24">
      <c r="A161" s="93" t="s">
        <v>146</v>
      </c>
      <c r="B161" s="56" t="str">
        <f>IFERROR(HYPERLINK(VLOOKUP(A161,ÜRÜNLER!A:C,3,FALSE),VLOOKUP(A161,ÜRÜNLER!A:B,2,FALSE)),"")</f>
        <v>iQ500 Tam Ankastre Bulaşık Makinesi, Üstten Sepetli</v>
      </c>
      <c r="C161" s="5"/>
      <c r="D161" s="5"/>
      <c r="E161" s="6"/>
      <c r="F161" s="6"/>
      <c r="G161" s="6"/>
      <c r="H161" s="6"/>
      <c r="I161" s="7"/>
      <c r="J161" s="7"/>
      <c r="K161" s="6"/>
      <c r="L161" s="6"/>
      <c r="M161" s="7">
        <v>1</v>
      </c>
      <c r="N161" s="59">
        <f t="shared" si="6"/>
        <v>1</v>
      </c>
      <c r="O161" s="60"/>
      <c r="P161" s="48"/>
      <c r="Q161" s="139" t="s">
        <v>1782</v>
      </c>
      <c r="R161" s="140">
        <v>42000</v>
      </c>
      <c r="S161" s="141">
        <v>43680</v>
      </c>
      <c r="T161" s="141">
        <v>45360</v>
      </c>
      <c r="U161" s="142"/>
      <c r="V161" s="140"/>
      <c r="W161" s="143">
        <v>500</v>
      </c>
    </row>
    <row r="162" spans="1:24">
      <c r="A162" s="92" t="s">
        <v>1777</v>
      </c>
      <c r="B162" s="56" t="str">
        <f>IFERROR(HYPERLINK(VLOOKUP(A162,ÜRÜNLER!A:C,3,FALSE),VLOOKUP(A162,ÜRÜNLER!A:B,2,FALSE)),"")</f>
        <v>iQ500 Tam Ankastre Bulaşık Makinesi, Üstten Sepetli</v>
      </c>
      <c r="C162" s="5">
        <v>6</v>
      </c>
      <c r="D162" s="5"/>
      <c r="E162" s="6"/>
      <c r="F162" s="6"/>
      <c r="G162" s="6"/>
      <c r="H162" s="6"/>
      <c r="I162" s="7"/>
      <c r="J162" s="7"/>
      <c r="K162" s="6"/>
      <c r="L162" s="6"/>
      <c r="M162" s="7"/>
      <c r="N162" s="59">
        <f t="shared" si="6"/>
        <v>6</v>
      </c>
      <c r="O162" s="60"/>
      <c r="P162" s="48"/>
      <c r="Q162" s="145">
        <v>55691.582916666674</v>
      </c>
      <c r="R162" s="151">
        <v>55691.582916666674</v>
      </c>
      <c r="S162" s="141">
        <v>57919.246233333339</v>
      </c>
      <c r="T162" s="141">
        <v>60146.909550000011</v>
      </c>
      <c r="U162" s="142"/>
      <c r="V162" s="140"/>
      <c r="W162" s="146"/>
    </row>
    <row r="163" spans="1:24">
      <c r="A163" s="105" t="s">
        <v>1551</v>
      </c>
      <c r="B163" s="56" t="str">
        <f>IFERROR(HYPERLINK(VLOOKUP(A163,ÜRÜNLER!A:C,3,FALSE),VLOOKUP(A163,ÜRÜNLER!A:B,2,FALSE)),"")</f>
        <v>iQ500 Tam Ankastre Bulaşık Makinesi, autoOpen dry, glassZone, Üstten Sepetli</v>
      </c>
      <c r="C163" s="5">
        <v>1</v>
      </c>
      <c r="D163" s="5"/>
      <c r="E163" s="6"/>
      <c r="F163" s="6"/>
      <c r="G163" s="6"/>
      <c r="H163" s="6"/>
      <c r="I163" s="7"/>
      <c r="J163" s="7">
        <v>1</v>
      </c>
      <c r="K163" s="6"/>
      <c r="L163" s="6"/>
      <c r="M163" s="7"/>
      <c r="N163" s="59">
        <f t="shared" si="6"/>
        <v>2</v>
      </c>
      <c r="O163" s="60"/>
      <c r="P163" s="48"/>
      <c r="Q163" s="145">
        <v>63630.727610470603</v>
      </c>
      <c r="R163" s="151">
        <v>63630.727610470603</v>
      </c>
      <c r="S163" s="141">
        <v>66175.956714889428</v>
      </c>
      <c r="T163" s="141">
        <v>68721.185819308244</v>
      </c>
      <c r="U163" s="142"/>
      <c r="V163" s="140"/>
      <c r="W163" s="146"/>
    </row>
    <row r="164" spans="1:24">
      <c r="A164" s="91" t="s">
        <v>149</v>
      </c>
      <c r="B164" s="56" t="str">
        <f>IFERROR(HYPERLINK(VLOOKUP(A164,ÜRÜNLER!A:C,3,FALSE),VLOOKUP(A164,ÜRÜNLER!A:B,2,FALSE)),"")</f>
        <v>iQ500 studioLine Tam Ankastre Bulaşık Makinesi, autoOpen dry, glassZone</v>
      </c>
      <c r="C164" s="5"/>
      <c r="D164" s="5">
        <v>2</v>
      </c>
      <c r="E164" s="6"/>
      <c r="F164" s="6"/>
      <c r="G164" s="6"/>
      <c r="H164" s="6">
        <v>1</v>
      </c>
      <c r="I164" s="7"/>
      <c r="J164" s="7"/>
      <c r="K164" s="6"/>
      <c r="L164" s="6"/>
      <c r="M164" s="7"/>
      <c r="N164" s="59">
        <f t="shared" si="6"/>
        <v>3</v>
      </c>
      <c r="O164" s="60"/>
      <c r="P164" s="48"/>
      <c r="Q164" s="139" t="s">
        <v>1782</v>
      </c>
      <c r="R164" s="157">
        <v>80000</v>
      </c>
      <c r="S164" s="141">
        <v>83200</v>
      </c>
      <c r="T164" s="141">
        <v>86400</v>
      </c>
      <c r="U164" s="142"/>
      <c r="V164" s="140"/>
      <c r="W164" s="146">
        <v>250</v>
      </c>
    </row>
    <row r="165" spans="1:24">
      <c r="A165" s="91" t="s">
        <v>1502</v>
      </c>
      <c r="B165" s="56" t="str">
        <f>IFERROR(HYPERLINK(VLOOKUP(A165,ÜRÜNLER!A:C,3,FALSE),VLOOKUP(A165,ÜRÜNLER!A:B,2,FALSE)),"")</f>
        <v>iQ500 studioLine Tam Ankastre Bulaşık Makinesi, autoOpen dry, glassZone</v>
      </c>
      <c r="C165" s="5"/>
      <c r="D165" s="5">
        <v>2</v>
      </c>
      <c r="E165" s="6"/>
      <c r="F165" s="6"/>
      <c r="G165" s="6"/>
      <c r="H165" s="6"/>
      <c r="I165" s="7"/>
      <c r="J165" s="7"/>
      <c r="K165" s="6"/>
      <c r="L165" s="6"/>
      <c r="M165" s="7"/>
      <c r="N165" s="59">
        <f t="shared" si="6"/>
        <v>2</v>
      </c>
      <c r="O165" s="60"/>
      <c r="P165" s="48"/>
      <c r="Q165" s="159">
        <v>103804.65752271106</v>
      </c>
      <c r="R165" s="159">
        <v>93424.191770439953</v>
      </c>
      <c r="S165" s="141">
        <v>97161.15944125755</v>
      </c>
      <c r="T165" s="141">
        <v>100898.12711207515</v>
      </c>
      <c r="U165" s="142"/>
      <c r="V165" s="140"/>
      <c r="W165" s="146">
        <v>250</v>
      </c>
    </row>
    <row r="166" spans="1:24">
      <c r="A166" s="91" t="s">
        <v>148</v>
      </c>
      <c r="B166" s="56" t="str">
        <f>IFERROR(HYPERLINK(VLOOKUP(A166,ÜRÜNLER!A:C,3,FALSE),VLOOKUP(A166,ÜRÜNLER!A:B,2,FALSE)),"")</f>
        <v>iQ700 studioLine Tam Ankastre Bulaşık Makinesi, Zeolith dry, glassZone</v>
      </c>
      <c r="C166" s="5"/>
      <c r="D166" s="5">
        <v>3</v>
      </c>
      <c r="E166" s="6"/>
      <c r="F166" s="6"/>
      <c r="G166" s="6"/>
      <c r="H166" s="6"/>
      <c r="I166" s="7"/>
      <c r="J166" s="7"/>
      <c r="K166" s="6"/>
      <c r="L166" s="6"/>
      <c r="M166" s="7"/>
      <c r="N166" s="59">
        <f t="shared" si="6"/>
        <v>3</v>
      </c>
      <c r="O166" s="60"/>
      <c r="P166" s="48"/>
      <c r="Q166" s="159">
        <v>121390.24320547108</v>
      </c>
      <c r="R166" s="159">
        <v>109251.21888492398</v>
      </c>
      <c r="S166" s="141">
        <v>113621.26764032093</v>
      </c>
      <c r="T166" s="141">
        <v>117991.31639571789</v>
      </c>
      <c r="U166" s="142"/>
      <c r="V166" s="140"/>
      <c r="W166" s="146">
        <v>250</v>
      </c>
    </row>
    <row r="167" spans="1:24">
      <c r="A167" s="91" t="s">
        <v>150</v>
      </c>
      <c r="B167" s="56" t="str">
        <f>IFERROR(HYPERLINK(VLOOKUP(A167,ÜRÜNLER!A:C,3,FALSE),VLOOKUP(A167,ÜRÜNLER!A:B,2,FALSE)),"")</f>
        <v>iQ500 Tam Ankastre Bulaşık Makinesi, autoOpen dry, glassZone, XXL 86,5 - 92,5cm</v>
      </c>
      <c r="C167" s="5"/>
      <c r="D167" s="5"/>
      <c r="E167" s="6"/>
      <c r="F167" s="6"/>
      <c r="G167" s="6"/>
      <c r="H167" s="6"/>
      <c r="I167" s="7"/>
      <c r="J167" s="7">
        <v>1</v>
      </c>
      <c r="K167" s="6"/>
      <c r="L167" s="6">
        <v>1</v>
      </c>
      <c r="M167" s="7"/>
      <c r="N167" s="59">
        <f t="shared" si="6"/>
        <v>2</v>
      </c>
      <c r="O167" s="60"/>
      <c r="P167" s="48"/>
      <c r="Q167" s="139" t="s">
        <v>1782</v>
      </c>
      <c r="R167" s="162">
        <v>50000</v>
      </c>
      <c r="S167" s="141">
        <v>52000</v>
      </c>
      <c r="T167" s="141">
        <v>54000</v>
      </c>
      <c r="U167" s="142"/>
      <c r="V167" s="140"/>
      <c r="W167" s="143">
        <v>500</v>
      </c>
    </row>
    <row r="168" spans="1:24">
      <c r="A168" s="91" t="s">
        <v>1531</v>
      </c>
      <c r="B168" s="56" t="str">
        <f>IFERROR(HYPERLINK(VLOOKUP(A168,ÜRÜNLER!A:C,3,FALSE),VLOOKUP(A168,ÜRÜNLER!A:B,2,FALSE)),"")</f>
        <v>iQ500 Tam Ankastre Bulaşık Makinesi, autoOpen dry, glassZone, XXL 86,5 - 92,5cm</v>
      </c>
      <c r="C168" s="5">
        <v>1</v>
      </c>
      <c r="D168" s="5"/>
      <c r="E168" s="6"/>
      <c r="F168" s="6"/>
      <c r="G168" s="6"/>
      <c r="H168" s="6"/>
      <c r="I168" s="7"/>
      <c r="J168" s="7"/>
      <c r="K168" s="6"/>
      <c r="L168" s="6"/>
      <c r="M168" s="7"/>
      <c r="N168" s="59">
        <f t="shared" si="6"/>
        <v>1</v>
      </c>
      <c r="O168" s="60"/>
      <c r="P168" s="48"/>
      <c r="Q168" s="145">
        <v>65145.985451647073</v>
      </c>
      <c r="R168" s="151">
        <v>65145.985451647073</v>
      </c>
      <c r="S168" s="141">
        <v>67751.82486971296</v>
      </c>
      <c r="T168" s="141">
        <v>70357.66428777884</v>
      </c>
      <c r="U168" s="142"/>
      <c r="V168" s="140"/>
      <c r="W168" s="140"/>
    </row>
    <row r="169" spans="1:24">
      <c r="A169" s="91" t="s">
        <v>1486</v>
      </c>
      <c r="B169" s="56" t="str">
        <f>IFERROR(HYPERLINK(VLOOKUP(A169,ÜRÜNLER!A:C,3,FALSE),VLOOKUP(A169,ÜRÜNLER!A:B,2,FALSE)),"")</f>
        <v>Siemens Bulaşık Makinesi 3. Tepsi</v>
      </c>
      <c r="C169" s="5"/>
      <c r="D169" s="5">
        <v>14</v>
      </c>
      <c r="E169" s="6"/>
      <c r="F169" s="6"/>
      <c r="G169" s="6"/>
      <c r="H169" s="6"/>
      <c r="I169" s="7"/>
      <c r="J169" s="7"/>
      <c r="K169" s="6"/>
      <c r="L169" s="6"/>
      <c r="M169" s="7"/>
      <c r="N169" s="59">
        <f t="shared" si="6"/>
        <v>14</v>
      </c>
      <c r="O169" s="60"/>
      <c r="P169" s="48"/>
      <c r="Q169" s="139"/>
      <c r="R169" s="165">
        <v>1250</v>
      </c>
      <c r="S169" s="141">
        <v>1300</v>
      </c>
      <c r="T169" s="141">
        <v>1350</v>
      </c>
      <c r="U169" s="142"/>
      <c r="V169" s="140"/>
      <c r="W169" s="146"/>
    </row>
    <row r="170" spans="1:24" s="12" customFormat="1" ht="30">
      <c r="A170" s="106" t="s">
        <v>151</v>
      </c>
      <c r="B170" s="56" t="str">
        <f>IFERROR(HYPERLINK(VLOOKUP(A170,ÜRÜNLER!A:C,3,FALSE),VLOOKUP(A170,ÜRÜNLER!A:B,2,FALSE)),"")</f>
        <v/>
      </c>
      <c r="C170" s="5"/>
      <c r="D170" s="5"/>
      <c r="E170" s="6"/>
      <c r="F170" s="6"/>
      <c r="G170" s="6"/>
      <c r="H170" s="6"/>
      <c r="I170" s="7"/>
      <c r="J170" s="7"/>
      <c r="K170" s="6"/>
      <c r="L170" s="6"/>
      <c r="M170" s="7"/>
      <c r="N170" s="59">
        <f>SUM(N149:N169)</f>
        <v>129</v>
      </c>
      <c r="O170" s="60"/>
      <c r="P170" s="48"/>
      <c r="Q170" s="139"/>
      <c r="R170" s="146"/>
      <c r="S170" s="141"/>
      <c r="T170" s="141"/>
      <c r="U170" s="142"/>
      <c r="V170" s="140"/>
      <c r="W170" s="146"/>
      <c r="X170" s="144"/>
    </row>
    <row r="171" spans="1:24">
      <c r="A171" s="108" t="s">
        <v>197</v>
      </c>
      <c r="B171" s="56" t="str">
        <f>IFERROR(HYPERLINK(VLOOKUP(A171,ÜRÜNLER!A:C,3,FALSE),VLOOKUP(A171,ÜRÜNLER!A:B,2,FALSE)),"")</f>
        <v>iQ700 Buhar Destekli Kompakt Ankastre Fırın, Siyah/Inox</v>
      </c>
      <c r="C171" s="5"/>
      <c r="D171" s="5"/>
      <c r="E171" s="6"/>
      <c r="F171" s="6">
        <v>1</v>
      </c>
      <c r="G171" s="6"/>
      <c r="H171" s="6"/>
      <c r="I171" s="7"/>
      <c r="J171" s="7"/>
      <c r="K171" s="6"/>
      <c r="L171" s="6"/>
      <c r="M171" s="7"/>
      <c r="N171" s="59">
        <f t="shared" ref="N171:N210" si="7">M171+K171+L171+J171+I171+H171+G171+F171+E171+D171+C171</f>
        <v>1</v>
      </c>
      <c r="O171" s="60"/>
      <c r="P171" s="48"/>
      <c r="Q171" s="139" t="s">
        <v>1782</v>
      </c>
      <c r="R171" s="140">
        <v>70000</v>
      </c>
      <c r="S171" s="141">
        <v>72800</v>
      </c>
      <c r="T171" s="141">
        <v>75600</v>
      </c>
      <c r="U171" s="142"/>
      <c r="V171" s="140"/>
      <c r="W171" s="143">
        <v>1000</v>
      </c>
    </row>
    <row r="172" spans="1:24">
      <c r="A172" s="108" t="s">
        <v>198</v>
      </c>
      <c r="B172" s="56" t="str">
        <f>IFERROR(HYPERLINK(VLOOKUP(A172,ÜRÜNLER!A:C,3,FALSE),VLOOKUP(A172,ÜRÜNLER!A:B,2,FALSE)),"")</f>
        <v>iQ700 Buhar Destekli Kompakt Ankastre Fırın, Siyah</v>
      </c>
      <c r="C172" s="5">
        <v>3</v>
      </c>
      <c r="D172" s="5"/>
      <c r="E172" s="6"/>
      <c r="F172" s="6"/>
      <c r="G172" s="6"/>
      <c r="H172" s="6"/>
      <c r="I172" s="7"/>
      <c r="J172" s="7"/>
      <c r="K172" s="6"/>
      <c r="L172" s="6"/>
      <c r="M172" s="7"/>
      <c r="N172" s="59">
        <f t="shared" si="7"/>
        <v>3</v>
      </c>
      <c r="O172" s="60"/>
      <c r="P172" s="48"/>
      <c r="Q172" s="145">
        <v>87032.234439154243</v>
      </c>
      <c r="R172" s="138">
        <v>82680.622717196529</v>
      </c>
      <c r="S172" s="141">
        <v>85987.847625884388</v>
      </c>
      <c r="T172" s="141">
        <v>89295.072534572246</v>
      </c>
      <c r="U172" s="142"/>
      <c r="V172" s="140"/>
      <c r="W172" s="146">
        <v>250</v>
      </c>
    </row>
    <row r="173" spans="1:24">
      <c r="A173" s="87" t="s">
        <v>196</v>
      </c>
      <c r="B173" s="56" t="str">
        <f>IFERROR(HYPERLINK(VLOOKUP(A173,ÜRÜNLER!A:C,3,FALSE),VLOOKUP(A173,ÜRÜNLER!A:B,2,FALSE)),"")</f>
        <v>iQ700 studioLine Mikrodalga Fonksiyonlu Kompakt Ankastre Fırın, Komple Kendini Temizler, Siyah</v>
      </c>
      <c r="C173" s="5"/>
      <c r="D173" s="5">
        <v>2</v>
      </c>
      <c r="E173" s="6"/>
      <c r="F173" s="6"/>
      <c r="G173" s="6"/>
      <c r="H173" s="6"/>
      <c r="I173" s="7"/>
      <c r="J173" s="7"/>
      <c r="K173" s="6"/>
      <c r="L173" s="6"/>
      <c r="M173" s="7"/>
      <c r="N173" s="59">
        <f t="shared" si="7"/>
        <v>2</v>
      </c>
      <c r="O173" s="60"/>
      <c r="P173" s="48"/>
      <c r="Q173" s="159">
        <v>190222.05057268229</v>
      </c>
      <c r="R173" s="159">
        <v>171199.84551541405</v>
      </c>
      <c r="S173" s="141">
        <v>178047.83933603062</v>
      </c>
      <c r="T173" s="141">
        <v>184895.83315664719</v>
      </c>
      <c r="U173" s="142"/>
      <c r="V173" s="140"/>
      <c r="W173" s="146">
        <v>250</v>
      </c>
    </row>
    <row r="174" spans="1:24">
      <c r="A174" s="87" t="s">
        <v>199</v>
      </c>
      <c r="B174" s="56" t="str">
        <f>IFERROR(HYPERLINK(VLOOKUP(A174,ÜRÜNLER!A:C,3,FALSE),VLOOKUP(A174,ÜRÜNLER!A:B,2,FALSE)),"")</f>
        <v>iQ700 studioLine Mikrodalga Fonksiyonlu Kompakt Ankastre Fırın, Arkası Kendini Temizler, Siyah</v>
      </c>
      <c r="C174" s="5"/>
      <c r="D174" s="5">
        <v>3</v>
      </c>
      <c r="E174" s="6"/>
      <c r="F174" s="6"/>
      <c r="G174" s="6"/>
      <c r="H174" s="6">
        <v>1</v>
      </c>
      <c r="I174" s="7"/>
      <c r="J174" s="7"/>
      <c r="K174" s="6"/>
      <c r="L174" s="6"/>
      <c r="M174" s="7"/>
      <c r="N174" s="59">
        <f t="shared" si="7"/>
        <v>4</v>
      </c>
      <c r="O174" s="60"/>
      <c r="P174" s="48"/>
      <c r="Q174" s="139" t="s">
        <v>1782</v>
      </c>
      <c r="R174" s="140">
        <v>120000</v>
      </c>
      <c r="S174" s="141">
        <v>124800</v>
      </c>
      <c r="T174" s="141">
        <v>129600</v>
      </c>
      <c r="U174" s="142"/>
      <c r="V174" s="140"/>
      <c r="W174" s="146">
        <v>250</v>
      </c>
    </row>
    <row r="175" spans="1:24">
      <c r="A175" s="107" t="s">
        <v>163</v>
      </c>
      <c r="B175" s="56" t="str">
        <f>IFERROR(HYPERLINK(VLOOKUP(A175,ÜRÜNLER!A:C,3,FALSE),VLOOKUP(A175,ÜRÜNLER!A:B,2,FALSE)),"")</f>
        <v>iQ100 Ankastre Fırın, Siyah</v>
      </c>
      <c r="C175" s="5">
        <v>16</v>
      </c>
      <c r="D175" s="5"/>
      <c r="E175" s="6"/>
      <c r="F175" s="6"/>
      <c r="G175" s="6"/>
      <c r="H175" s="6"/>
      <c r="I175" s="7"/>
      <c r="J175" s="7">
        <v>1</v>
      </c>
      <c r="K175" s="6"/>
      <c r="L175" s="6"/>
      <c r="M175" s="7"/>
      <c r="N175" s="59">
        <f t="shared" si="7"/>
        <v>17</v>
      </c>
      <c r="O175" s="60"/>
      <c r="P175" s="47"/>
      <c r="Q175" s="145">
        <v>23753.656291101179</v>
      </c>
      <c r="R175" s="147">
        <v>21378.290661991061</v>
      </c>
      <c r="S175" s="141">
        <v>22233.422288470705</v>
      </c>
      <c r="T175" s="141">
        <v>23088.553914950346</v>
      </c>
      <c r="U175" s="142"/>
      <c r="V175" s="140"/>
      <c r="W175" s="146"/>
    </row>
    <row r="176" spans="1:24">
      <c r="A176" s="109" t="s">
        <v>164</v>
      </c>
      <c r="B176" s="56" t="str">
        <f>IFERROR(HYPERLINK(VLOOKUP(A176,ÜRÜNLER!A:C,3,FALSE),VLOOKUP(A176,ÜRÜNLER!A:B,2,FALSE)),"")</f>
        <v>iQ100 Ankastre Fırın, Antrasit</v>
      </c>
      <c r="C176" s="5">
        <v>55</v>
      </c>
      <c r="D176" s="5"/>
      <c r="E176" s="6"/>
      <c r="F176" s="6"/>
      <c r="G176" s="6"/>
      <c r="H176" s="6"/>
      <c r="I176" s="7">
        <v>1</v>
      </c>
      <c r="J176" s="7"/>
      <c r="K176" s="6">
        <v>1</v>
      </c>
      <c r="L176" s="6"/>
      <c r="M176" s="7">
        <v>1</v>
      </c>
      <c r="N176" s="59">
        <f t="shared" si="7"/>
        <v>58</v>
      </c>
      <c r="O176" s="60"/>
      <c r="P176" s="47"/>
      <c r="Q176" s="145">
        <v>23753.656291101179</v>
      </c>
      <c r="R176" s="147">
        <v>21378.290661991061</v>
      </c>
      <c r="S176" s="141">
        <v>22233.422288470705</v>
      </c>
      <c r="T176" s="141">
        <v>23088.553914950346</v>
      </c>
      <c r="U176" s="142"/>
      <c r="V176" s="140"/>
      <c r="W176" s="146"/>
    </row>
    <row r="177" spans="1:23">
      <c r="A177" s="87" t="s">
        <v>165</v>
      </c>
      <c r="B177" s="56" t="str">
        <f>IFERROR(HYPERLINK(VLOOKUP(A177,ÜRÜNLER!A:C,3,FALSE),VLOOKUP(A177,ÜRÜNLER!A:B,2,FALSE)),"")</f>
        <v>iQ100 Ankastre Fırın, Beyaz</v>
      </c>
      <c r="C177" s="5">
        <v>24</v>
      </c>
      <c r="D177" s="5"/>
      <c r="E177" s="6"/>
      <c r="F177" s="6"/>
      <c r="G177" s="6"/>
      <c r="H177" s="6"/>
      <c r="I177" s="7">
        <v>1</v>
      </c>
      <c r="J177" s="7">
        <v>1</v>
      </c>
      <c r="K177" s="6">
        <v>1</v>
      </c>
      <c r="L177" s="6"/>
      <c r="M177" s="7">
        <v>1</v>
      </c>
      <c r="N177" s="59">
        <f t="shared" si="7"/>
        <v>28</v>
      </c>
      <c r="O177" s="60"/>
      <c r="P177" s="47"/>
      <c r="Q177" s="145">
        <v>23753.656291101179</v>
      </c>
      <c r="R177" s="147">
        <v>21378.290661991061</v>
      </c>
      <c r="S177" s="141">
        <v>22233.422288470705</v>
      </c>
      <c r="T177" s="141">
        <v>23088.553914950346</v>
      </c>
      <c r="U177" s="142"/>
      <c r="V177" s="140"/>
      <c r="W177" s="146"/>
    </row>
    <row r="178" spans="1:23">
      <c r="A178" s="91" t="s">
        <v>1341</v>
      </c>
      <c r="B178" s="56" t="str">
        <f>IFERROR(HYPERLINK(VLOOKUP(A178,ÜRÜNLER!A:C,3,FALSE),VLOOKUP(A178,ÜRÜNLER!A:B,2,FALSE)),"")</f>
        <v>iQ100 Ankastre Fırın, Siyah</v>
      </c>
      <c r="C178" s="5"/>
      <c r="D178" s="5"/>
      <c r="E178" s="6"/>
      <c r="F178" s="6"/>
      <c r="G178" s="6"/>
      <c r="H178" s="6"/>
      <c r="I178" s="7"/>
      <c r="J178" s="7"/>
      <c r="K178" s="6">
        <v>1</v>
      </c>
      <c r="L178" s="6">
        <v>1</v>
      </c>
      <c r="M178" s="7"/>
      <c r="N178" s="59">
        <f t="shared" si="7"/>
        <v>2</v>
      </c>
      <c r="O178" s="60"/>
      <c r="P178" s="48"/>
      <c r="Q178" s="139" t="s">
        <v>1782</v>
      </c>
      <c r="R178" s="140">
        <v>17797</v>
      </c>
      <c r="S178" s="141">
        <v>18508.88</v>
      </c>
      <c r="T178" s="141">
        <v>19220.759999999998</v>
      </c>
      <c r="U178" s="142"/>
      <c r="V178" s="140">
        <v>2797.2959999999998</v>
      </c>
      <c r="W178" s="143">
        <v>500</v>
      </c>
    </row>
    <row r="179" spans="1:23">
      <c r="A179" s="109" t="s">
        <v>170</v>
      </c>
      <c r="B179" s="56" t="str">
        <f>IFERROR(HYPERLINK(VLOOKUP(A179,ÜRÜNLER!A:C,3,FALSE),VLOOKUP(A179,ÜRÜNLER!A:B,2,FALSE)),"")</f>
        <v>iQ300 Ankastre Fırın, 1 Teleskopik Ray, Arkası Kendini Temizler, Gri</v>
      </c>
      <c r="C179" s="5"/>
      <c r="D179" s="5"/>
      <c r="E179" s="6"/>
      <c r="F179" s="6"/>
      <c r="G179" s="6"/>
      <c r="H179" s="6"/>
      <c r="I179" s="7">
        <v>1</v>
      </c>
      <c r="J179" s="7"/>
      <c r="K179" s="6"/>
      <c r="L179" s="6"/>
      <c r="M179" s="7"/>
      <c r="N179" s="59">
        <f t="shared" si="7"/>
        <v>1</v>
      </c>
      <c r="O179" s="60"/>
      <c r="P179" s="48"/>
      <c r="Q179" s="139" t="s">
        <v>1782</v>
      </c>
      <c r="R179" s="140">
        <v>23000</v>
      </c>
      <c r="S179" s="141">
        <v>23920</v>
      </c>
      <c r="T179" s="141">
        <v>24840</v>
      </c>
      <c r="U179" s="142"/>
      <c r="V179" s="140">
        <v>3040.14</v>
      </c>
      <c r="W179" s="143">
        <v>500</v>
      </c>
    </row>
    <row r="180" spans="1:23">
      <c r="A180" s="107" t="s">
        <v>172</v>
      </c>
      <c r="B180" s="56" t="str">
        <f>IFERROR(HYPERLINK(VLOOKUP(A180,ÜRÜNLER!A:C,3,FALSE),VLOOKUP(A180,ÜRÜNLER!A:B,2,FALSE)),"")</f>
        <v>iQ500 studioLine Ankastre Fırın, 1 Teleskopik Ray, Komple Kendini Temizler, Siyah</v>
      </c>
      <c r="C180" s="5"/>
      <c r="D180" s="5">
        <v>2</v>
      </c>
      <c r="E180" s="6"/>
      <c r="F180" s="6"/>
      <c r="G180" s="6"/>
      <c r="H180" s="6">
        <v>1</v>
      </c>
      <c r="I180" s="7"/>
      <c r="J180" s="7"/>
      <c r="K180" s="6"/>
      <c r="L180" s="6"/>
      <c r="M180" s="7"/>
      <c r="N180" s="59">
        <f t="shared" si="7"/>
        <v>3</v>
      </c>
      <c r="O180" s="60"/>
      <c r="P180" s="48"/>
      <c r="Q180" s="139" t="s">
        <v>1782</v>
      </c>
      <c r="R180" s="157">
        <v>85000</v>
      </c>
      <c r="S180" s="141">
        <v>88400</v>
      </c>
      <c r="T180" s="141">
        <v>91800</v>
      </c>
      <c r="U180" s="142"/>
      <c r="V180" s="140"/>
      <c r="W180" s="146">
        <v>250</v>
      </c>
    </row>
    <row r="181" spans="1:23">
      <c r="A181" s="91" t="s">
        <v>1018</v>
      </c>
      <c r="B181" s="56" t="str">
        <f>IFERROR(HYPERLINK(VLOOKUP(A181,ÜRÜNLER!A:C,3,FALSE),VLOOKUP(A181,ÜRÜNLER!A:B,2,FALSE)),"")</f>
        <v>iQ300 Ankastre Fırın, Titanyum Gri</v>
      </c>
      <c r="C181" s="5"/>
      <c r="D181" s="5"/>
      <c r="E181" s="6">
        <v>1</v>
      </c>
      <c r="F181" s="6"/>
      <c r="G181" s="6"/>
      <c r="H181" s="6"/>
      <c r="I181" s="7"/>
      <c r="J181" s="7"/>
      <c r="K181" s="6"/>
      <c r="L181" s="6"/>
      <c r="M181" s="7"/>
      <c r="N181" s="59">
        <f t="shared" si="7"/>
        <v>1</v>
      </c>
      <c r="O181" s="60"/>
      <c r="P181" s="48"/>
      <c r="Q181" s="139" t="s">
        <v>1782</v>
      </c>
      <c r="R181" s="140">
        <v>17423</v>
      </c>
      <c r="S181" s="141">
        <v>18119.919999999998</v>
      </c>
      <c r="T181" s="141">
        <v>18816.84</v>
      </c>
      <c r="U181" s="142"/>
      <c r="V181" s="140">
        <v>1422.5519999999999</v>
      </c>
      <c r="W181" s="143">
        <v>500</v>
      </c>
    </row>
    <row r="182" spans="1:23">
      <c r="A182" s="107" t="s">
        <v>175</v>
      </c>
      <c r="B182" s="56" t="str">
        <f>IFERROR(HYPERLINK(VLOOKUP(A182,ÜRÜNLER!A:C,3,FALSE),VLOOKUP(A182,ÜRÜNLER!A:B,2,FALSE)),"")</f>
        <v>iQ300 Ankastre Fırın, 1 Teleskopik Ray, Arkası Kendini Temizler, Siyah/Inox</v>
      </c>
      <c r="C182" s="5"/>
      <c r="D182" s="5"/>
      <c r="E182" s="6">
        <v>1</v>
      </c>
      <c r="F182" s="6"/>
      <c r="G182" s="6"/>
      <c r="H182" s="6"/>
      <c r="I182" s="7"/>
      <c r="J182" s="7"/>
      <c r="K182" s="6"/>
      <c r="L182" s="6">
        <v>1</v>
      </c>
      <c r="M182" s="7">
        <v>1</v>
      </c>
      <c r="N182" s="59">
        <f t="shared" si="7"/>
        <v>3</v>
      </c>
      <c r="O182" s="60"/>
      <c r="P182" s="48"/>
      <c r="Q182" s="139" t="s">
        <v>1782</v>
      </c>
      <c r="R182" s="140">
        <v>18607</v>
      </c>
      <c r="S182" s="141">
        <v>19351.28</v>
      </c>
      <c r="T182" s="141">
        <v>20095.560000000001</v>
      </c>
      <c r="U182" s="142"/>
      <c r="V182" s="140">
        <v>1606.5839999999998</v>
      </c>
      <c r="W182" s="143">
        <v>500</v>
      </c>
    </row>
    <row r="183" spans="1:23">
      <c r="A183" s="107" t="s">
        <v>176</v>
      </c>
      <c r="B183" s="56" t="str">
        <f>IFERROR(HYPERLINK(VLOOKUP(A183,ÜRÜNLER!A:C,3,FALSE),VLOOKUP(A183,ÜRÜNLER!A:B,2,FALSE)),"")</f>
        <v>iQ500 Ankastre Fırın, 1 Teleskopik Ray, Komple Kendini Temizler, Siyah</v>
      </c>
      <c r="C183" s="5">
        <v>8</v>
      </c>
      <c r="D183" s="5"/>
      <c r="E183" s="6"/>
      <c r="F183" s="6"/>
      <c r="G183" s="6"/>
      <c r="H183" s="6"/>
      <c r="I183" s="7">
        <v>2</v>
      </c>
      <c r="J183" s="7">
        <v>1</v>
      </c>
      <c r="K183" s="6"/>
      <c r="L183" s="6"/>
      <c r="M183" s="7"/>
      <c r="N183" s="59">
        <f t="shared" si="7"/>
        <v>11</v>
      </c>
      <c r="O183" s="60">
        <v>3</v>
      </c>
      <c r="P183" s="48"/>
      <c r="Q183" s="145">
        <v>36485.916896663985</v>
      </c>
      <c r="R183" s="138">
        <v>34661.621051830785</v>
      </c>
      <c r="S183" s="141">
        <v>36048.085893904019</v>
      </c>
      <c r="T183" s="141">
        <v>37434.550735977245</v>
      </c>
      <c r="U183" s="142"/>
      <c r="V183" s="140"/>
      <c r="W183" s="146"/>
    </row>
    <row r="184" spans="1:23">
      <c r="A184" s="109" t="s">
        <v>177</v>
      </c>
      <c r="B184" s="56" t="str">
        <f>IFERROR(HYPERLINK(VLOOKUP(A184,ÜRÜNLER!A:C,3,FALSE),VLOOKUP(A184,ÜRÜNLER!A:B,2,FALSE)),"")</f>
        <v>iQ500 Ankastre Fırın, 2 Teleskopik Ray, Komple Kendini Temizler, Titanyum Gri</v>
      </c>
      <c r="C184" s="5"/>
      <c r="D184" s="5"/>
      <c r="E184" s="6">
        <v>2</v>
      </c>
      <c r="F184" s="6"/>
      <c r="G184" s="6"/>
      <c r="H184" s="6"/>
      <c r="I184" s="7"/>
      <c r="J184" s="7"/>
      <c r="K184" s="6"/>
      <c r="L184" s="6">
        <v>1</v>
      </c>
      <c r="M184" s="7"/>
      <c r="N184" s="59">
        <f t="shared" si="7"/>
        <v>3</v>
      </c>
      <c r="O184" s="60"/>
      <c r="P184" s="48"/>
      <c r="Q184" s="139" t="s">
        <v>1782</v>
      </c>
      <c r="R184" s="140">
        <v>20000</v>
      </c>
      <c r="S184" s="141">
        <v>20800</v>
      </c>
      <c r="T184" s="141">
        <v>21600</v>
      </c>
      <c r="U184" s="142"/>
      <c r="V184" s="140"/>
      <c r="W184" s="143">
        <v>500</v>
      </c>
    </row>
    <row r="185" spans="1:23">
      <c r="A185" s="107" t="s">
        <v>1633</v>
      </c>
      <c r="B185" s="56" t="str">
        <f>IFERROR(HYPERLINK(VLOOKUP(A185,ÜRÜNLER!A:C,3,FALSE),VLOOKUP(A185,ÜRÜNLER!A:B,2,FALSE)),"")</f>
        <v>iQ100 Ankastre Fırın, Siyah</v>
      </c>
      <c r="C185" s="5">
        <v>3</v>
      </c>
      <c r="D185" s="5"/>
      <c r="E185" s="6"/>
      <c r="F185" s="6"/>
      <c r="G185" s="6"/>
      <c r="H185" s="6"/>
      <c r="I185" s="7"/>
      <c r="J185" s="7"/>
      <c r="K185" s="6"/>
      <c r="L185" s="6"/>
      <c r="M185" s="7"/>
      <c r="N185" s="59">
        <f t="shared" si="7"/>
        <v>3</v>
      </c>
      <c r="O185" s="60"/>
      <c r="P185" s="48"/>
      <c r="Q185" s="145">
        <v>15307.657304072218</v>
      </c>
      <c r="R185" s="138">
        <v>14542.274438868608</v>
      </c>
      <c r="S185" s="141">
        <v>15123.965416423353</v>
      </c>
      <c r="T185" s="141">
        <v>15705.656393978097</v>
      </c>
      <c r="U185" s="142"/>
      <c r="V185" s="140"/>
      <c r="W185" s="146"/>
    </row>
    <row r="186" spans="1:23">
      <c r="A186" s="107" t="s">
        <v>1015</v>
      </c>
      <c r="B186" s="56" t="str">
        <f>IFERROR(HYPERLINK(VLOOKUP(A186,ÜRÜNLER!A:C,3,FALSE),VLOOKUP(A186,ÜRÜNLER!A:B,2,FALSE)),"")</f>
        <v>iQ500 Ankastre Fırın, 1 Teleskopik Ray, darkSteel</v>
      </c>
      <c r="C186" s="5">
        <v>4</v>
      </c>
      <c r="D186" s="5"/>
      <c r="E186" s="6"/>
      <c r="F186" s="6"/>
      <c r="G186" s="6"/>
      <c r="H186" s="6"/>
      <c r="I186" s="7"/>
      <c r="J186" s="7"/>
      <c r="K186" s="6"/>
      <c r="L186" s="6"/>
      <c r="M186" s="7"/>
      <c r="N186" s="59">
        <f t="shared" si="7"/>
        <v>4</v>
      </c>
      <c r="O186" s="60"/>
      <c r="P186" s="48"/>
      <c r="Q186" s="139" t="s">
        <v>1782</v>
      </c>
      <c r="R186" s="140">
        <v>21000</v>
      </c>
      <c r="S186" s="141">
        <v>21840</v>
      </c>
      <c r="T186" s="141">
        <v>22680</v>
      </c>
      <c r="U186" s="142"/>
      <c r="V186" s="140"/>
      <c r="W186" s="143">
        <v>500</v>
      </c>
    </row>
    <row r="187" spans="1:23">
      <c r="A187" s="91" t="s">
        <v>1343</v>
      </c>
      <c r="B187" s="56" t="str">
        <f>IFERROR(HYPERLINK(VLOOKUP(A187,ÜRÜNLER!A:C,3,FALSE),VLOOKUP(A187,ÜRÜNLER!A:B,2,FALSE)),"")</f>
        <v>iQ700 Ankastre Fırın, Siyah</v>
      </c>
      <c r="C187" s="5"/>
      <c r="D187" s="5"/>
      <c r="E187" s="6"/>
      <c r="F187" s="6"/>
      <c r="G187" s="6"/>
      <c r="H187" s="6"/>
      <c r="I187" s="7"/>
      <c r="J187" s="7"/>
      <c r="K187" s="6">
        <v>1</v>
      </c>
      <c r="L187" s="6"/>
      <c r="M187" s="7"/>
      <c r="N187" s="59">
        <f t="shared" si="7"/>
        <v>1</v>
      </c>
      <c r="O187" s="60"/>
      <c r="P187" s="48"/>
      <c r="Q187" s="139" t="s">
        <v>1782</v>
      </c>
      <c r="R187" s="140">
        <v>45000</v>
      </c>
      <c r="S187" s="141">
        <v>46800</v>
      </c>
      <c r="T187" s="141">
        <v>48600</v>
      </c>
      <c r="U187" s="142"/>
      <c r="V187" s="140"/>
      <c r="W187" s="143">
        <v>500</v>
      </c>
    </row>
    <row r="188" spans="1:23">
      <c r="A188" s="91" t="s">
        <v>1344</v>
      </c>
      <c r="B188" s="56" t="str">
        <f>IFERROR(HYPERLINK(VLOOKUP(A188,ÜRÜNLER!A:C,3,FALSE),VLOOKUP(A188,ÜRÜNLER!A:B,2,FALSE)),"")</f>
        <v>iQ700 Ankastre Fırın, 1 Teleskopik Ray, Komple Kendini Temizler, Beyaz</v>
      </c>
      <c r="C188" s="5"/>
      <c r="D188" s="5"/>
      <c r="E188" s="6"/>
      <c r="F188" s="6"/>
      <c r="G188" s="6"/>
      <c r="H188" s="6"/>
      <c r="I188" s="7">
        <v>1</v>
      </c>
      <c r="J188" s="7"/>
      <c r="K188" s="6"/>
      <c r="L188" s="6"/>
      <c r="M188" s="7"/>
      <c r="N188" s="59">
        <f t="shared" si="7"/>
        <v>1</v>
      </c>
      <c r="O188" s="60"/>
      <c r="P188" s="48"/>
      <c r="Q188" s="139" t="s">
        <v>1782</v>
      </c>
      <c r="R188" s="140">
        <v>45000</v>
      </c>
      <c r="S188" s="141">
        <v>46800</v>
      </c>
      <c r="T188" s="141">
        <v>48600</v>
      </c>
      <c r="U188" s="142"/>
      <c r="V188" s="140"/>
      <c r="W188" s="143">
        <v>500</v>
      </c>
    </row>
    <row r="189" spans="1:23">
      <c r="A189" s="87" t="s">
        <v>183</v>
      </c>
      <c r="B189" s="56" t="str">
        <f>IFERROR(HYPERLINK(VLOOKUP(A189,ÜRÜNLER!A:C,3,FALSE),VLOOKUP(A189,ÜRÜNLER!A:B,2,FALSE)),"")</f>
        <v>iQ700 Ankastre Fırın, Arkası Kendini Temizler, Siyah</v>
      </c>
      <c r="C189" s="5">
        <v>3</v>
      </c>
      <c r="D189" s="5"/>
      <c r="E189" s="6"/>
      <c r="F189" s="6"/>
      <c r="G189" s="6"/>
      <c r="H189" s="6"/>
      <c r="I189" s="7">
        <v>1</v>
      </c>
      <c r="J189" s="7">
        <v>1</v>
      </c>
      <c r="K189" s="6">
        <v>1</v>
      </c>
      <c r="L189" s="6">
        <v>1</v>
      </c>
      <c r="M189" s="7"/>
      <c r="N189" s="59">
        <f t="shared" si="7"/>
        <v>7</v>
      </c>
      <c r="O189" s="60"/>
      <c r="P189" s="48"/>
      <c r="Q189" s="145">
        <v>59668.107779510901</v>
      </c>
      <c r="R189" s="163">
        <v>55491.340234945135</v>
      </c>
      <c r="S189" s="141">
        <v>57710.993844342942</v>
      </c>
      <c r="T189" s="141">
        <v>59930.647453740748</v>
      </c>
      <c r="U189" s="142"/>
      <c r="V189" s="140"/>
      <c r="W189" s="143">
        <v>500</v>
      </c>
    </row>
    <row r="190" spans="1:23">
      <c r="A190" s="87" t="s">
        <v>184</v>
      </c>
      <c r="B190" s="56" t="str">
        <f>IFERROR(HYPERLINK(VLOOKUP(A190,ÜRÜNLER!A:C,3,FALSE),VLOOKUP(A190,ÜRÜNLER!A:B,2,FALSE)),"")</f>
        <v>iQ700 Ankastre Fırın, Arkası Kendini Temizler, Beyaz</v>
      </c>
      <c r="C190" s="5">
        <v>3</v>
      </c>
      <c r="D190" s="5"/>
      <c r="E190" s="6"/>
      <c r="F190" s="6"/>
      <c r="G190" s="6"/>
      <c r="H190" s="6"/>
      <c r="I190" s="7">
        <v>1</v>
      </c>
      <c r="J190" s="7"/>
      <c r="K190" s="6"/>
      <c r="L190" s="6"/>
      <c r="M190" s="7"/>
      <c r="N190" s="59">
        <f t="shared" si="7"/>
        <v>4</v>
      </c>
      <c r="O190" s="60"/>
      <c r="P190" s="48"/>
      <c r="Q190" s="139" t="s">
        <v>1782</v>
      </c>
      <c r="R190" s="140">
        <v>55000</v>
      </c>
      <c r="S190" s="141">
        <v>57200</v>
      </c>
      <c r="T190" s="141">
        <v>59400</v>
      </c>
      <c r="U190" s="142"/>
      <c r="V190" s="140"/>
      <c r="W190" s="143">
        <v>500</v>
      </c>
    </row>
    <row r="191" spans="1:23">
      <c r="A191" s="107" t="s">
        <v>185</v>
      </c>
      <c r="B191" s="56" t="str">
        <f>IFERROR(HYPERLINK(VLOOKUP(A191,ÜRÜNLER!A:C,3,FALSE),VLOOKUP(A191,ÜRÜNLER!A:B,2,FALSE)),"")</f>
        <v>iQ700 Ankastre Fırın, Siyah</v>
      </c>
      <c r="C191" s="5">
        <v>5</v>
      </c>
      <c r="D191" s="5"/>
      <c r="E191" s="6"/>
      <c r="F191" s="6">
        <v>2</v>
      </c>
      <c r="G191" s="6"/>
      <c r="H191" s="6"/>
      <c r="I191" s="7"/>
      <c r="J191" s="7">
        <v>1</v>
      </c>
      <c r="K191" s="6"/>
      <c r="L191" s="6"/>
      <c r="M191" s="7">
        <v>1</v>
      </c>
      <c r="N191" s="59">
        <f t="shared" si="7"/>
        <v>9</v>
      </c>
      <c r="O191" s="60">
        <v>4</v>
      </c>
      <c r="P191" s="48"/>
      <c r="Q191" s="145">
        <v>75874.260509748405</v>
      </c>
      <c r="R191" s="163">
        <v>70563.062274066018</v>
      </c>
      <c r="S191" s="141">
        <v>73385.58476502866</v>
      </c>
      <c r="T191" s="141">
        <v>76208.107255991301</v>
      </c>
      <c r="U191" s="142"/>
      <c r="V191" s="140"/>
      <c r="W191" s="146"/>
    </row>
    <row r="192" spans="1:23">
      <c r="A192" s="107" t="s">
        <v>186</v>
      </c>
      <c r="B192" s="56" t="str">
        <f>IFERROR(HYPERLINK(VLOOKUP(A192,ÜRÜNLER!A:C,3,FALSE),VLOOKUP(A192,ÜRÜNLER!A:B,2,FALSE)),"")</f>
        <v>iQ700 Ankastre Fırın, Komple Kendini Temizler, Siyah</v>
      </c>
      <c r="C192" s="5">
        <v>10</v>
      </c>
      <c r="D192" s="5"/>
      <c r="E192" s="6"/>
      <c r="F192" s="6"/>
      <c r="G192" s="6"/>
      <c r="H192" s="6"/>
      <c r="I192" s="7"/>
      <c r="J192" s="7"/>
      <c r="K192" s="6"/>
      <c r="L192" s="6"/>
      <c r="M192" s="7"/>
      <c r="N192" s="59">
        <f t="shared" si="7"/>
        <v>10</v>
      </c>
      <c r="O192" s="60">
        <v>3</v>
      </c>
      <c r="P192" s="48"/>
      <c r="Q192" s="145">
        <v>88231.927917319001</v>
      </c>
      <c r="R192" s="163">
        <v>82055.692963106674</v>
      </c>
      <c r="S192" s="141">
        <v>85337.920681630945</v>
      </c>
      <c r="T192" s="141">
        <v>88620.148400155202</v>
      </c>
      <c r="U192" s="142"/>
      <c r="V192" s="140"/>
      <c r="W192" s="146"/>
    </row>
    <row r="193" spans="1:23">
      <c r="A193" s="107" t="s">
        <v>187</v>
      </c>
      <c r="B193" s="56" t="str">
        <f>IFERROR(HYPERLINK(VLOOKUP(A193,ÜRÜNLER!A:C,3,FALSE),VLOOKUP(A193,ÜRÜNLER!A:B,2,FALSE)),"")</f>
        <v>iQ700 studioLine Ankastre Fırın, 3 Teleskopik Ray, Komple Kendini Temizler, Siyah</v>
      </c>
      <c r="C193" s="5"/>
      <c r="D193" s="5">
        <v>2</v>
      </c>
      <c r="E193" s="6"/>
      <c r="F193" s="6"/>
      <c r="G193" s="6"/>
      <c r="H193" s="6">
        <v>1</v>
      </c>
      <c r="I193" s="7"/>
      <c r="J193" s="7"/>
      <c r="K193" s="6"/>
      <c r="L193" s="6"/>
      <c r="M193" s="7"/>
      <c r="N193" s="59">
        <f t="shared" si="7"/>
        <v>3</v>
      </c>
      <c r="O193" s="60"/>
      <c r="P193" s="48"/>
      <c r="Q193" s="139" t="s">
        <v>1782</v>
      </c>
      <c r="R193" s="140">
        <v>90000</v>
      </c>
      <c r="S193" s="141">
        <v>93600</v>
      </c>
      <c r="T193" s="141">
        <v>97200</v>
      </c>
      <c r="U193" s="142"/>
      <c r="V193" s="140"/>
      <c r="W193" s="146">
        <v>250</v>
      </c>
    </row>
    <row r="194" spans="1:23">
      <c r="A194" s="107" t="s">
        <v>194</v>
      </c>
      <c r="B194" s="56" t="str">
        <f>IFERROR(HYPERLINK(VLOOKUP(A194,ÜRÜNLER!A:C,3,FALSE),VLOOKUP(A194,ÜRÜNLER!A:B,2,FALSE)),"")</f>
        <v>iQ700 studioLine Ankastre Fırın, 1 Teleskopik Ray, Komple Kendini Temizler, Siyah</v>
      </c>
      <c r="C194" s="5"/>
      <c r="D194" s="5">
        <v>4</v>
      </c>
      <c r="E194" s="6"/>
      <c r="F194" s="6"/>
      <c r="G194" s="6"/>
      <c r="H194" s="6"/>
      <c r="I194" s="7"/>
      <c r="J194" s="7"/>
      <c r="K194" s="6"/>
      <c r="L194" s="6"/>
      <c r="M194" s="7"/>
      <c r="N194" s="59">
        <f t="shared" si="7"/>
        <v>4</v>
      </c>
      <c r="O194" s="60"/>
      <c r="P194" s="48"/>
      <c r="Q194" s="159">
        <v>140764.31742378484</v>
      </c>
      <c r="R194" s="159">
        <v>126687.88568140636</v>
      </c>
      <c r="S194" s="141">
        <v>131755.40110866263</v>
      </c>
      <c r="T194" s="141">
        <v>136822.91653591886</v>
      </c>
      <c r="U194" s="142"/>
      <c r="V194" s="140"/>
      <c r="W194" s="146">
        <v>250</v>
      </c>
    </row>
    <row r="195" spans="1:23">
      <c r="A195" s="108" t="s">
        <v>1312</v>
      </c>
      <c r="B195" s="56" t="str">
        <f>IFERROR(HYPERLINK(VLOOKUP(A195,ÜRÜNLER!A:C,3,FALSE),VLOOKUP(A195,ÜRÜNLER!A:B,2,FALSE)),"")</f>
        <v>iQ300 Ankastre Fırın, 1 Teleskopik Ray, Arkası Kendini Temizler, Beyaz</v>
      </c>
      <c r="C195" s="5"/>
      <c r="D195" s="5"/>
      <c r="E195" s="6"/>
      <c r="F195" s="6"/>
      <c r="G195" s="6"/>
      <c r="H195" s="6"/>
      <c r="I195" s="7">
        <v>1</v>
      </c>
      <c r="J195" s="7"/>
      <c r="K195" s="6"/>
      <c r="L195" s="6"/>
      <c r="M195" s="7"/>
      <c r="N195" s="59">
        <f t="shared" si="7"/>
        <v>1</v>
      </c>
      <c r="O195" s="60"/>
      <c r="P195" s="48"/>
      <c r="Q195" s="139" t="s">
        <v>1782</v>
      </c>
      <c r="R195" s="140">
        <v>20000</v>
      </c>
      <c r="S195" s="141">
        <v>20800</v>
      </c>
      <c r="T195" s="141">
        <v>21600</v>
      </c>
      <c r="U195" s="142"/>
      <c r="V195" s="140"/>
      <c r="W195" s="143">
        <v>500</v>
      </c>
    </row>
    <row r="196" spans="1:23">
      <c r="A196" s="110" t="s">
        <v>153</v>
      </c>
      <c r="B196" s="56" t="str">
        <f>IFERROR(HYPERLINK(VLOOKUP(A196,ÜRÜNLER!A:C,3,FALSE),VLOOKUP(A196,ÜRÜNLER!A:B,2,FALSE)),"")</f>
        <v>iQ500 Ankastre Fırın, 2 Teleskopik Ray, Komple Kendini Temizler, Siyah</v>
      </c>
      <c r="C196" s="5">
        <v>63</v>
      </c>
      <c r="D196" s="5"/>
      <c r="E196" s="6"/>
      <c r="F196" s="6">
        <v>3</v>
      </c>
      <c r="G196" s="6"/>
      <c r="H196" s="6"/>
      <c r="I196" s="7">
        <v>1</v>
      </c>
      <c r="J196" s="7"/>
      <c r="K196" s="6"/>
      <c r="L196" s="6">
        <v>2</v>
      </c>
      <c r="M196" s="7">
        <v>1</v>
      </c>
      <c r="N196" s="59">
        <f t="shared" si="7"/>
        <v>70</v>
      </c>
      <c r="O196" s="60"/>
      <c r="P196" s="47"/>
      <c r="Q196" s="145">
        <v>35614.703467286046</v>
      </c>
      <c r="R196" s="138">
        <v>33833.968293921745</v>
      </c>
      <c r="S196" s="140">
        <v>35187.327025678613</v>
      </c>
      <c r="T196" s="140">
        <v>36540.685757435487</v>
      </c>
      <c r="U196" s="142"/>
      <c r="V196" s="140"/>
      <c r="W196" s="146"/>
    </row>
    <row r="197" spans="1:23">
      <c r="A197" s="109" t="s">
        <v>155</v>
      </c>
      <c r="B197" s="56" t="str">
        <f>IFERROR(HYPERLINK(VLOOKUP(A197,ÜRÜNLER!A:C,3,FALSE),VLOOKUP(A197,ÜRÜNLER!A:B,2,FALSE)),"")</f>
        <v>iQ500 Ankastre Fırın, 2 Teleskopik Ray, Komple Kendini Temizler, Antrasit</v>
      </c>
      <c r="C197" s="5">
        <v>32</v>
      </c>
      <c r="D197" s="5"/>
      <c r="E197" s="6"/>
      <c r="F197" s="6">
        <v>2</v>
      </c>
      <c r="G197" s="6"/>
      <c r="H197" s="6"/>
      <c r="I197" s="7"/>
      <c r="J197" s="7">
        <v>1</v>
      </c>
      <c r="K197" s="6"/>
      <c r="L197" s="6"/>
      <c r="M197" s="7"/>
      <c r="N197" s="59">
        <f t="shared" si="7"/>
        <v>35</v>
      </c>
      <c r="O197" s="60"/>
      <c r="P197" s="47"/>
      <c r="Q197" s="145">
        <v>35614.703467286046</v>
      </c>
      <c r="R197" s="138">
        <v>33833.968293921745</v>
      </c>
      <c r="S197" s="141">
        <v>35187.327025678613</v>
      </c>
      <c r="T197" s="141">
        <v>36540.685757435487</v>
      </c>
      <c r="U197" s="142"/>
      <c r="V197" s="140"/>
      <c r="W197" s="146"/>
    </row>
    <row r="198" spans="1:23">
      <c r="A198" s="87" t="s">
        <v>154</v>
      </c>
      <c r="B198" s="56" t="str">
        <f>IFERROR(HYPERLINK(VLOOKUP(A198,ÜRÜNLER!A:C,3,FALSE),VLOOKUP(A198,ÜRÜNLER!A:B,2,FALSE)),"")</f>
        <v>iQ500 Ankastre Fırın, 2 Teleskopik Ray, Komple Kendini Temizler, Beyaz</v>
      </c>
      <c r="C198" s="5">
        <v>14</v>
      </c>
      <c r="D198" s="5"/>
      <c r="E198" s="6"/>
      <c r="F198" s="6">
        <v>2</v>
      </c>
      <c r="G198" s="6">
        <v>1</v>
      </c>
      <c r="H198" s="6"/>
      <c r="I198" s="7">
        <v>1</v>
      </c>
      <c r="J198" s="7">
        <v>1</v>
      </c>
      <c r="K198" s="6">
        <v>1</v>
      </c>
      <c r="L198" s="6"/>
      <c r="M198" s="7"/>
      <c r="N198" s="59">
        <f t="shared" si="7"/>
        <v>20</v>
      </c>
      <c r="O198" s="60"/>
      <c r="P198" s="47"/>
      <c r="Q198" s="145">
        <v>35614.703467286046</v>
      </c>
      <c r="R198" s="138">
        <v>33833.968293921745</v>
      </c>
      <c r="S198" s="141">
        <v>35187.327025678613</v>
      </c>
      <c r="T198" s="141">
        <v>36540.685757435487</v>
      </c>
      <c r="U198" s="142"/>
      <c r="V198" s="140"/>
      <c r="W198" s="146"/>
    </row>
    <row r="199" spans="1:23">
      <c r="A199" s="87" t="s">
        <v>195</v>
      </c>
      <c r="B199" s="56" t="str">
        <f>IFERROR(HYPERLINK(VLOOKUP(A199,ÜRÜNLER!A:C,3,FALSE),VLOOKUP(A199,ÜRÜNLER!A:B,2,FALSE)),"")</f>
        <v>iQ700 studioLine Buhar ve Mikrodalga Fonksiyonlu Ankastre Fırın, Komple Kendini Temizler, Siyah</v>
      </c>
      <c r="C199" s="5"/>
      <c r="D199" s="5">
        <v>1</v>
      </c>
      <c r="E199" s="6"/>
      <c r="F199" s="6"/>
      <c r="G199" s="6"/>
      <c r="H199" s="6"/>
      <c r="I199" s="7"/>
      <c r="J199" s="7"/>
      <c r="K199" s="6"/>
      <c r="L199" s="6"/>
      <c r="M199" s="7"/>
      <c r="N199" s="59">
        <f t="shared" si="7"/>
        <v>1</v>
      </c>
      <c r="O199" s="60"/>
      <c r="P199" s="48"/>
      <c r="Q199" s="159">
        <v>243931.80602849839</v>
      </c>
      <c r="R199" s="159">
        <v>219538.62542564856</v>
      </c>
      <c r="S199" s="141">
        <v>228320.17044267448</v>
      </c>
      <c r="T199" s="141">
        <v>237101.71545970044</v>
      </c>
      <c r="U199" s="142"/>
      <c r="V199" s="140"/>
      <c r="W199" s="143">
        <v>500</v>
      </c>
    </row>
    <row r="200" spans="1:23">
      <c r="A200" s="110" t="s">
        <v>152</v>
      </c>
      <c r="B200" s="56" t="str">
        <f>IFERROR(HYPERLINK(VLOOKUP(A200,ÜRÜNLER!A:C,3,FALSE),VLOOKUP(A200,ÜRÜNLER!A:B,2,FALSE)),"")</f>
        <v>iQ300 Buhar Destekli Ankastre Fırın, 1 Teleskopik Ray, Arkası Kendini Temizler, Siyah/Dark Inox</v>
      </c>
      <c r="C200" s="5">
        <v>2</v>
      </c>
      <c r="D200" s="5"/>
      <c r="E200" s="6"/>
      <c r="F200" s="6"/>
      <c r="G200" s="6"/>
      <c r="H200" s="6"/>
      <c r="I200" s="7">
        <v>1</v>
      </c>
      <c r="J200" s="7"/>
      <c r="K200" s="6">
        <v>1</v>
      </c>
      <c r="L200" s="6">
        <v>1</v>
      </c>
      <c r="M200" s="7"/>
      <c r="N200" s="59">
        <f t="shared" si="7"/>
        <v>5</v>
      </c>
      <c r="O200" s="60">
        <v>1</v>
      </c>
      <c r="P200" s="48"/>
      <c r="Q200" s="145">
        <v>40202.335542884808</v>
      </c>
      <c r="R200" s="151">
        <v>40202.335542884808</v>
      </c>
      <c r="S200" s="141">
        <v>41810.4289646002</v>
      </c>
      <c r="T200" s="141">
        <v>43418.522386315592</v>
      </c>
      <c r="U200" s="142"/>
      <c r="V200" s="140"/>
      <c r="W200" s="146"/>
    </row>
    <row r="201" spans="1:23">
      <c r="A201" s="107" t="s">
        <v>190</v>
      </c>
      <c r="B201" s="56" t="str">
        <f>IFERROR(HYPERLINK(VLOOKUP(A201,ÜRÜNLER!A:C,3,FALSE),VLOOKUP(A201,ÜRÜNLER!A:B,2,FALSE)),"")</f>
        <v>iQ500 Buhar Destekli Ankastre Fırın, Arkası Kendini Temizler, Siyah/Inox</v>
      </c>
      <c r="C201" s="5">
        <v>3</v>
      </c>
      <c r="D201" s="5"/>
      <c r="E201" s="6"/>
      <c r="F201" s="6"/>
      <c r="G201" s="6"/>
      <c r="H201" s="6"/>
      <c r="I201" s="7">
        <v>1</v>
      </c>
      <c r="J201" s="7">
        <v>1</v>
      </c>
      <c r="K201" s="6">
        <v>1</v>
      </c>
      <c r="L201" s="6"/>
      <c r="M201" s="7">
        <v>1</v>
      </c>
      <c r="N201" s="59">
        <f t="shared" si="7"/>
        <v>7</v>
      </c>
      <c r="O201" s="60"/>
      <c r="P201" s="48"/>
      <c r="Q201" s="139" t="s">
        <v>1782</v>
      </c>
      <c r="R201" s="140">
        <v>26144</v>
      </c>
      <c r="S201" s="141">
        <v>27189.759999999998</v>
      </c>
      <c r="T201" s="141">
        <v>28235.52</v>
      </c>
      <c r="U201" s="142"/>
      <c r="V201" s="140"/>
      <c r="W201" s="146"/>
    </row>
    <row r="202" spans="1:23">
      <c r="A202" s="87" t="s">
        <v>191</v>
      </c>
      <c r="B202" s="56" t="str">
        <f>IFERROR(HYPERLINK(VLOOKUP(A202,ÜRÜNLER!A:C,3,FALSE),VLOOKUP(A202,ÜRÜNLER!A:B,2,FALSE)),"")</f>
        <v>iQ700 Ankastre Fırın, Siyah</v>
      </c>
      <c r="C202" s="5"/>
      <c r="D202" s="5"/>
      <c r="E202" s="6"/>
      <c r="F202" s="6"/>
      <c r="G202" s="6"/>
      <c r="H202" s="6"/>
      <c r="I202" s="7">
        <v>1</v>
      </c>
      <c r="J202" s="7">
        <v>1</v>
      </c>
      <c r="K202" s="6"/>
      <c r="L202" s="6">
        <v>1</v>
      </c>
      <c r="M202" s="7">
        <v>1</v>
      </c>
      <c r="N202" s="59">
        <f t="shared" si="7"/>
        <v>4</v>
      </c>
      <c r="O202" s="60">
        <v>12</v>
      </c>
      <c r="P202" s="48"/>
      <c r="Q202" s="145">
        <v>90714.373227096235</v>
      </c>
      <c r="R202" s="151">
        <v>90714.373227096235</v>
      </c>
      <c r="S202" s="141">
        <v>94342.948156180079</v>
      </c>
      <c r="T202" s="141">
        <v>97971.523085263936</v>
      </c>
      <c r="U202" s="142"/>
      <c r="V202" s="140"/>
      <c r="W202" s="150"/>
    </row>
    <row r="203" spans="1:23">
      <c r="A203" s="108" t="s">
        <v>192</v>
      </c>
      <c r="B203" s="56" t="str">
        <f>IFERROR(HYPERLINK(VLOOKUP(A203,ÜRÜNLER!A:C,3,FALSE),VLOOKUP(A203,ÜRÜNLER!A:B,2,FALSE)),"")</f>
        <v>iQ700 Buhar Destekli Ankastre Fırın, Arkası Kendini Temizler, Siyah/Inox</v>
      </c>
      <c r="C203" s="5">
        <v>1</v>
      </c>
      <c r="D203" s="5"/>
      <c r="E203" s="6"/>
      <c r="F203" s="6"/>
      <c r="G203" s="6"/>
      <c r="H203" s="6"/>
      <c r="I203" s="7">
        <v>1</v>
      </c>
      <c r="J203" s="7"/>
      <c r="K203" s="6"/>
      <c r="L203" s="6"/>
      <c r="M203" s="7"/>
      <c r="N203" s="59">
        <f t="shared" si="7"/>
        <v>2</v>
      </c>
      <c r="O203" s="60"/>
      <c r="P203" s="48"/>
      <c r="Q203" s="139" t="s">
        <v>1782</v>
      </c>
      <c r="R203" s="140">
        <v>66000</v>
      </c>
      <c r="S203" s="141">
        <v>68640</v>
      </c>
      <c r="T203" s="141">
        <v>71280</v>
      </c>
      <c r="U203" s="142"/>
      <c r="V203" s="140"/>
      <c r="W203" s="146"/>
    </row>
    <row r="204" spans="1:23">
      <c r="A204" s="110" t="s">
        <v>157</v>
      </c>
      <c r="B204" s="56" t="str">
        <f>IFERROR(HYPERLINK(VLOOKUP(A204,ÜRÜNLER!A:C,3,FALSE),VLOOKUP(A204,ÜRÜNLER!A:B,2,FALSE)),"")</f>
        <v>iQ300 Buhar Destekli Ankastre Fırın, Siyah</v>
      </c>
      <c r="C204" s="5">
        <v>30</v>
      </c>
      <c r="D204" s="5"/>
      <c r="E204" s="6"/>
      <c r="F204" s="6">
        <v>1</v>
      </c>
      <c r="G204" s="6"/>
      <c r="H204" s="6"/>
      <c r="I204" s="7">
        <v>1</v>
      </c>
      <c r="J204" s="7">
        <v>1</v>
      </c>
      <c r="K204" s="6"/>
      <c r="L204" s="6"/>
      <c r="M204" s="7"/>
      <c r="N204" s="59">
        <f t="shared" si="7"/>
        <v>33</v>
      </c>
      <c r="O204" s="60"/>
      <c r="P204" s="47"/>
      <c r="Q204" s="145">
        <v>26434.340759742558</v>
      </c>
      <c r="R204" s="138">
        <v>25112.62372175543</v>
      </c>
      <c r="S204" s="141">
        <v>26117.128670625647</v>
      </c>
      <c r="T204" s="141">
        <v>27121.633619495864</v>
      </c>
      <c r="U204" s="142"/>
      <c r="V204" s="140"/>
      <c r="W204" s="146"/>
    </row>
    <row r="205" spans="1:23">
      <c r="A205" s="109" t="s">
        <v>158</v>
      </c>
      <c r="B205" s="56" t="str">
        <f>IFERROR(HYPERLINK(VLOOKUP(A205,ÜRÜNLER!A:C,3,FALSE),VLOOKUP(A205,ÜRÜNLER!A:B,2,FALSE)),"")</f>
        <v>iQ300 Buhar Destekli Ankastre Fırın, Antrasit</v>
      </c>
      <c r="C205" s="5">
        <v>6</v>
      </c>
      <c r="D205" s="5"/>
      <c r="E205" s="6"/>
      <c r="F205" s="6"/>
      <c r="G205" s="6"/>
      <c r="H205" s="6"/>
      <c r="I205" s="7">
        <v>1</v>
      </c>
      <c r="J205" s="7">
        <v>1</v>
      </c>
      <c r="K205" s="6"/>
      <c r="L205" s="6"/>
      <c r="M205" s="7">
        <v>1</v>
      </c>
      <c r="N205" s="59">
        <f t="shared" si="7"/>
        <v>9</v>
      </c>
      <c r="O205" s="60"/>
      <c r="P205" s="47"/>
      <c r="Q205" s="145">
        <v>26434.340759742558</v>
      </c>
      <c r="R205" s="151">
        <v>26434.340759742558</v>
      </c>
      <c r="S205" s="141">
        <v>27491.71439013226</v>
      </c>
      <c r="T205" s="141">
        <v>28549.088020521962</v>
      </c>
      <c r="U205" s="142"/>
      <c r="V205" s="140"/>
      <c r="W205" s="146"/>
    </row>
    <row r="206" spans="1:23">
      <c r="A206" s="87" t="s">
        <v>156</v>
      </c>
      <c r="B206" s="56" t="str">
        <f>IFERROR(HYPERLINK(VLOOKUP(A206,ÜRÜNLER!A:C,3,FALSE),VLOOKUP(A206,ÜRÜNLER!A:B,2,FALSE)),"")</f>
        <v>iQ300 Buhar Destekli Ankastre Fırın, Beyaz</v>
      </c>
      <c r="C206" s="5"/>
      <c r="D206" s="5"/>
      <c r="E206" s="6"/>
      <c r="F206" s="6"/>
      <c r="G206" s="6"/>
      <c r="H206" s="6"/>
      <c r="I206" s="7">
        <v>1</v>
      </c>
      <c r="J206" s="7">
        <v>1</v>
      </c>
      <c r="K206" s="6">
        <v>1</v>
      </c>
      <c r="L206" s="6"/>
      <c r="M206" s="7"/>
      <c r="N206" s="59">
        <f t="shared" si="7"/>
        <v>3</v>
      </c>
      <c r="O206" s="60"/>
      <c r="P206" s="47"/>
      <c r="Q206" s="145">
        <v>26434.340759742558</v>
      </c>
      <c r="R206" s="138">
        <v>25112.62372175543</v>
      </c>
      <c r="S206" s="141">
        <v>26117.128670625647</v>
      </c>
      <c r="T206" s="141">
        <v>27121.633619495864</v>
      </c>
      <c r="U206" s="142"/>
      <c r="V206" s="140"/>
      <c r="W206" s="146"/>
    </row>
    <row r="207" spans="1:23">
      <c r="A207" s="110" t="s">
        <v>159</v>
      </c>
      <c r="B207" s="56" t="str">
        <f>IFERROR(HYPERLINK(VLOOKUP(A207,ÜRÜNLER!A:C,3,FALSE),VLOOKUP(A207,ÜRÜNLER!A:B,2,FALSE)),"")</f>
        <v>iQ300 Ankastre Fırın, 1 Teleskopik Ray, Arkası Kendini Temizler, Siyah</v>
      </c>
      <c r="C207" s="5">
        <v>25</v>
      </c>
      <c r="D207" s="5"/>
      <c r="E207" s="6"/>
      <c r="F207" s="6"/>
      <c r="G207" s="6"/>
      <c r="H207" s="6"/>
      <c r="I207" s="7"/>
      <c r="J207" s="7"/>
      <c r="K207" s="6"/>
      <c r="L207" s="6"/>
      <c r="M207" s="7">
        <v>1</v>
      </c>
      <c r="N207" s="59">
        <f t="shared" si="7"/>
        <v>26</v>
      </c>
      <c r="O207" s="60"/>
      <c r="P207" s="47"/>
      <c r="Q207" s="145">
        <v>29770.112012281617</v>
      </c>
      <c r="R207" s="147">
        <v>26793.100811053457</v>
      </c>
      <c r="S207" s="141">
        <v>27864.824843495597</v>
      </c>
      <c r="T207" s="141">
        <v>28936.548875937733</v>
      </c>
      <c r="U207" s="142"/>
      <c r="V207" s="140"/>
      <c r="W207" s="146"/>
    </row>
    <row r="208" spans="1:23">
      <c r="A208" s="110" t="s">
        <v>160</v>
      </c>
      <c r="B208" s="56" t="str">
        <f>IFERROR(HYPERLINK(VLOOKUP(A208,ÜRÜNLER!A:C,3,FALSE),VLOOKUP(A208,ÜRÜNLER!A:B,2,FALSE)),"")</f>
        <v>iQ300 Buhar Destekli Ankastre Fırın, 1 Teleskopik Ray, Arkası Kendini Temizler, darkSteel Line</v>
      </c>
      <c r="C208" s="5">
        <v>14</v>
      </c>
      <c r="D208" s="5"/>
      <c r="E208" s="6"/>
      <c r="F208" s="6"/>
      <c r="G208" s="6"/>
      <c r="H208" s="6"/>
      <c r="I208" s="7">
        <v>1</v>
      </c>
      <c r="J208" s="7"/>
      <c r="K208" s="6"/>
      <c r="L208" s="6"/>
      <c r="M208" s="7"/>
      <c r="N208" s="59">
        <f t="shared" si="7"/>
        <v>15</v>
      </c>
      <c r="O208" s="60"/>
      <c r="P208" s="47"/>
      <c r="Q208" s="145">
        <v>29770.112012281617</v>
      </c>
      <c r="R208" s="138">
        <v>28281.606411667537</v>
      </c>
      <c r="S208" s="141">
        <v>29412.870668134237</v>
      </c>
      <c r="T208" s="141">
        <v>30544.134924600941</v>
      </c>
      <c r="U208" s="142"/>
      <c r="V208" s="140"/>
      <c r="W208" s="146"/>
    </row>
    <row r="209" spans="1:24">
      <c r="A209" s="109" t="s">
        <v>161</v>
      </c>
      <c r="B209" s="56" t="str">
        <f>IFERROR(HYPERLINK(VLOOKUP(A209,ÜRÜNLER!A:C,3,FALSE),VLOOKUP(A209,ÜRÜNLER!A:B,2,FALSE)),"")</f>
        <v>iQ300 Ankastre Fırın, 1 Teleskopik Ray, Arkası Kendini Temizler, Antrasit</v>
      </c>
      <c r="C209" s="5">
        <v>8</v>
      </c>
      <c r="D209" s="5"/>
      <c r="E209" s="6"/>
      <c r="F209" s="6"/>
      <c r="G209" s="6"/>
      <c r="H209" s="6"/>
      <c r="I209" s="7"/>
      <c r="J209" s="7">
        <v>1</v>
      </c>
      <c r="K209" s="6">
        <v>1</v>
      </c>
      <c r="L209" s="6"/>
      <c r="M209" s="7">
        <v>1</v>
      </c>
      <c r="N209" s="59">
        <f t="shared" si="7"/>
        <v>11</v>
      </c>
      <c r="O209" s="60"/>
      <c r="P209" s="47"/>
      <c r="Q209" s="145">
        <v>29489.261898958212</v>
      </c>
      <c r="R209" s="138">
        <v>28014.798804010301</v>
      </c>
      <c r="S209" s="141">
        <v>29135.390756170713</v>
      </c>
      <c r="T209" s="141">
        <v>30255.982708331125</v>
      </c>
      <c r="U209" s="142"/>
      <c r="V209" s="140"/>
      <c r="W209" s="146"/>
    </row>
    <row r="210" spans="1:24">
      <c r="A210" s="87" t="s">
        <v>162</v>
      </c>
      <c r="B210" s="56" t="str">
        <f>IFERROR(HYPERLINK(VLOOKUP(A210,ÜRÜNLER!A:C,3,FALSE),VLOOKUP(A210,ÜRÜNLER!A:B,2,FALSE)),"")</f>
        <v>iQ300 Buhar Destekli Ankastre Fırın, 1 Teleskopik Ray, Arkası Kendini Temizler, Beyaz</v>
      </c>
      <c r="C210" s="5"/>
      <c r="D210" s="5"/>
      <c r="E210" s="6"/>
      <c r="F210" s="6">
        <v>1</v>
      </c>
      <c r="G210" s="6"/>
      <c r="H210" s="6"/>
      <c r="I210" s="7">
        <v>1</v>
      </c>
      <c r="J210" s="7">
        <v>1</v>
      </c>
      <c r="K210" s="6"/>
      <c r="L210" s="6"/>
      <c r="M210" s="7"/>
      <c r="N210" s="59">
        <f t="shared" si="7"/>
        <v>3</v>
      </c>
      <c r="O210" s="60"/>
      <c r="P210" s="47"/>
      <c r="Q210" s="145">
        <v>29770.112012281617</v>
      </c>
      <c r="R210" s="151">
        <v>29770.112012281617</v>
      </c>
      <c r="S210" s="141">
        <v>30960.916492772882</v>
      </c>
      <c r="T210" s="141">
        <v>32151.720973264146</v>
      </c>
      <c r="U210" s="142"/>
      <c r="V210" s="140"/>
      <c r="W210" s="146"/>
    </row>
    <row r="211" spans="1:24" s="12" customFormat="1" ht="40.5" customHeight="1">
      <c r="A211" s="111" t="s">
        <v>202</v>
      </c>
      <c r="B211" s="56" t="str">
        <f>IFERROR(HYPERLINK(VLOOKUP(A211,ÜRÜNLER!A:C,3,FALSE),VLOOKUP(A211,ÜRÜNLER!A:B,2,FALSE)),"")</f>
        <v/>
      </c>
      <c r="C211" s="5"/>
      <c r="D211" s="5"/>
      <c r="E211" s="6"/>
      <c r="F211" s="6"/>
      <c r="G211" s="6"/>
      <c r="H211" s="6"/>
      <c r="I211" s="7"/>
      <c r="J211" s="7"/>
      <c r="K211" s="6"/>
      <c r="L211" s="6"/>
      <c r="M211" s="7"/>
      <c r="N211" s="59">
        <f>SUM(N171:N210)</f>
        <v>428</v>
      </c>
      <c r="O211" s="60"/>
      <c r="P211" s="48"/>
      <c r="Q211" s="139"/>
      <c r="R211" s="139"/>
      <c r="S211" s="141"/>
      <c r="T211" s="141"/>
      <c r="U211" s="142"/>
      <c r="V211" s="140"/>
      <c r="W211" s="150"/>
      <c r="X211" s="144"/>
    </row>
    <row r="212" spans="1:24">
      <c r="A212" s="93" t="s">
        <v>203</v>
      </c>
      <c r="B212" s="56" t="str">
        <f>IFERROR(HYPERLINK(VLOOKUP(A212,ÜRÜNLER!A:C,3,FALSE),VLOOKUP(A212,ÜRÜNLER!A:B,2,FALSE)),"")</f>
        <v>iQ500 Ankastre Mikrodalga, Izgaralı, Siyah</v>
      </c>
      <c r="C212" s="5">
        <v>7</v>
      </c>
      <c r="D212" s="5"/>
      <c r="E212" s="6"/>
      <c r="F212" s="6"/>
      <c r="G212" s="6"/>
      <c r="H212" s="6"/>
      <c r="I212" s="7"/>
      <c r="J212" s="7"/>
      <c r="K212" s="6"/>
      <c r="L212" s="6"/>
      <c r="M212" s="7"/>
      <c r="N212" s="59">
        <f t="shared" ref="N212:N229" si="8">M212+K212+L212+J212+I212+H212+G212+F212+E212+D212+C212</f>
        <v>7</v>
      </c>
      <c r="O212" s="60"/>
      <c r="P212" s="48"/>
      <c r="Q212" s="145">
        <v>21982.812937232065</v>
      </c>
      <c r="R212" s="151">
        <v>21982.812937232065</v>
      </c>
      <c r="S212" s="141">
        <v>22862.125454721347</v>
      </c>
      <c r="T212" s="141">
        <v>23741.437972210631</v>
      </c>
      <c r="U212" s="142"/>
      <c r="V212" s="140"/>
      <c r="W212" s="150"/>
      <c r="X212" s="144">
        <v>20700</v>
      </c>
    </row>
    <row r="213" spans="1:24">
      <c r="A213" s="92" t="s">
        <v>204</v>
      </c>
      <c r="B213" s="56" t="str">
        <f>IFERROR(HYPERLINK(VLOOKUP(A213,ÜRÜNLER!A:C,3,FALSE),VLOOKUP(A213,ÜRÜNLER!A:B,2,FALSE)),"")</f>
        <v>iQ500 Ankastre Mikrodalga, Izgara Fonksiyonlu, 20L, Siyah/darkSteel</v>
      </c>
      <c r="C213" s="5">
        <v>3</v>
      </c>
      <c r="D213" s="5"/>
      <c r="E213" s="6"/>
      <c r="F213" s="6">
        <v>1</v>
      </c>
      <c r="G213" s="6"/>
      <c r="H213" s="6"/>
      <c r="I213" s="7"/>
      <c r="J213" s="7"/>
      <c r="K213" s="6"/>
      <c r="L213" s="6">
        <v>1</v>
      </c>
      <c r="M213" s="7"/>
      <c r="N213" s="59">
        <f t="shared" si="8"/>
        <v>5</v>
      </c>
      <c r="O213" s="60">
        <v>1</v>
      </c>
      <c r="P213" s="48"/>
      <c r="Q213" s="145">
        <v>21982.812937232065</v>
      </c>
      <c r="R213" s="151">
        <v>21982.812937232065</v>
      </c>
      <c r="S213" s="141">
        <v>22862.125454721347</v>
      </c>
      <c r="T213" s="141">
        <v>23741.437972210631</v>
      </c>
      <c r="U213" s="142"/>
      <c r="V213" s="140"/>
      <c r="W213" s="146"/>
    </row>
    <row r="214" spans="1:24">
      <c r="A214" s="109" t="s">
        <v>205</v>
      </c>
      <c r="B214" s="56" t="str">
        <f>IFERROR(HYPERLINK(VLOOKUP(A214,ÜRÜNLER!A:C,3,FALSE),VLOOKUP(A214,ÜRÜNLER!A:B,2,FALSE)),"")</f>
        <v>iQ500 Ankastre Mikrodalga, Izgaralı, Anstrasit</v>
      </c>
      <c r="C214" s="5"/>
      <c r="D214" s="5"/>
      <c r="E214" s="6"/>
      <c r="F214" s="6"/>
      <c r="G214" s="6"/>
      <c r="H214" s="6"/>
      <c r="I214" s="7"/>
      <c r="J214" s="7"/>
      <c r="K214" s="6"/>
      <c r="L214" s="6"/>
      <c r="M214" s="7"/>
      <c r="N214" s="59">
        <f t="shared" si="8"/>
        <v>0</v>
      </c>
      <c r="O214" s="60">
        <v>6</v>
      </c>
      <c r="P214" s="48"/>
      <c r="Q214" s="145">
        <v>21982.812937232065</v>
      </c>
      <c r="R214" s="151">
        <v>21982.812937232065</v>
      </c>
      <c r="S214" s="141">
        <v>22862.125454721347</v>
      </c>
      <c r="T214" s="141">
        <v>23741.437972210631</v>
      </c>
      <c r="U214" s="142"/>
      <c r="V214" s="140"/>
      <c r="W214" s="146"/>
    </row>
    <row r="215" spans="1:24">
      <c r="A215" s="91" t="s">
        <v>206</v>
      </c>
      <c r="B215" s="56" t="str">
        <f>IFERROR(HYPERLINK(VLOOKUP(A215,ÜRÜNLER!A:C,3,FALSE),VLOOKUP(A215,ÜRÜNLER!A:B,2,FALSE)),"")</f>
        <v>iQ500 Ankastre Mikrodalga, Izgara Fonksiyonlu, 20L, Beyaz</v>
      </c>
      <c r="C215" s="5">
        <v>3</v>
      </c>
      <c r="D215" s="5"/>
      <c r="E215" s="6"/>
      <c r="F215" s="6"/>
      <c r="G215" s="6"/>
      <c r="H215" s="6"/>
      <c r="I215" s="7"/>
      <c r="J215" s="7"/>
      <c r="K215" s="6"/>
      <c r="L215" s="6"/>
      <c r="M215" s="7"/>
      <c r="N215" s="59">
        <f t="shared" si="8"/>
        <v>3</v>
      </c>
      <c r="O215" s="60">
        <v>1</v>
      </c>
      <c r="P215" s="48"/>
      <c r="Q215" s="145">
        <v>21982.812937232065</v>
      </c>
      <c r="R215" s="151">
        <v>21982.812937232065</v>
      </c>
      <c r="S215" s="141">
        <v>22862.125454721347</v>
      </c>
      <c r="T215" s="141">
        <v>23741.437972210631</v>
      </c>
      <c r="U215" s="142"/>
      <c r="V215" s="140"/>
      <c r="W215" s="146"/>
    </row>
    <row r="216" spans="1:24">
      <c r="A216" s="91" t="s">
        <v>207</v>
      </c>
      <c r="B216" s="56" t="str">
        <f>IFERROR(HYPERLINK(VLOOKUP(A216,ÜRÜNLER!A:C,3,FALSE),VLOOKUP(A216,ÜRÜNLER!A:B,2,FALSE)),"")</f>
        <v>iQ500 Ankastre Mikrodalga, Izgara Fonksiyonlu, 20L, Siyah/Inox</v>
      </c>
      <c r="C216" s="5"/>
      <c r="D216" s="5"/>
      <c r="E216" s="6"/>
      <c r="F216" s="6"/>
      <c r="G216" s="6"/>
      <c r="H216" s="6"/>
      <c r="I216" s="7"/>
      <c r="J216" s="7"/>
      <c r="K216" s="6"/>
      <c r="L216" s="6"/>
      <c r="M216" s="7">
        <v>1</v>
      </c>
      <c r="N216" s="59">
        <f t="shared" si="8"/>
        <v>1</v>
      </c>
      <c r="O216" s="60"/>
      <c r="P216" s="48"/>
      <c r="Q216" s="139" t="s">
        <v>1782</v>
      </c>
      <c r="R216" s="140">
        <v>20000</v>
      </c>
      <c r="S216" s="141">
        <v>20800</v>
      </c>
      <c r="T216" s="141">
        <v>21600</v>
      </c>
      <c r="U216" s="142"/>
      <c r="V216" s="140"/>
      <c r="W216" s="164">
        <v>500</v>
      </c>
    </row>
    <row r="217" spans="1:24">
      <c r="A217" s="93" t="s">
        <v>209</v>
      </c>
      <c r="B217" s="56" t="str">
        <f>IFERROR(HYPERLINK(VLOOKUP(A217,ÜRÜNLER!A:C,3,FALSE),VLOOKUP(A217,ÜRÜNLER!A:B,2,FALSE)),"")</f>
        <v>iQ500 Ankastre Mikrodalga, Izgaralı, Siyah</v>
      </c>
      <c r="C217" s="5">
        <v>2</v>
      </c>
      <c r="D217" s="5"/>
      <c r="E217" s="6"/>
      <c r="F217" s="6"/>
      <c r="G217" s="6"/>
      <c r="H217" s="6"/>
      <c r="I217" s="7">
        <v>1</v>
      </c>
      <c r="J217" s="7"/>
      <c r="K217" s="6">
        <v>1</v>
      </c>
      <c r="L217" s="6"/>
      <c r="M217" s="7"/>
      <c r="N217" s="59">
        <f t="shared" si="8"/>
        <v>4</v>
      </c>
      <c r="O217" s="60"/>
      <c r="P217" s="48"/>
      <c r="Q217" s="145">
        <v>25108.834056139687</v>
      </c>
      <c r="R217" s="151">
        <v>25108.834056139687</v>
      </c>
      <c r="S217" s="141">
        <v>26113.187418385274</v>
      </c>
      <c r="T217" s="141">
        <v>27117.540780630861</v>
      </c>
      <c r="U217" s="142"/>
      <c r="V217" s="140"/>
      <c r="W217" s="150"/>
    </row>
    <row r="218" spans="1:24">
      <c r="A218" s="91" t="s">
        <v>210</v>
      </c>
      <c r="B218" s="56" t="str">
        <f>IFERROR(HYPERLINK(VLOOKUP(A218,ÜRÜNLER!A:C,3,FALSE),VLOOKUP(A218,ÜRÜNLER!A:B,2,FALSE)),"")</f>
        <v>iQ700 Ankastre Mikrodalga, Izgara Fonksiyonlu, 21L, Siyah</v>
      </c>
      <c r="C218" s="5">
        <v>1</v>
      </c>
      <c r="D218" s="5"/>
      <c r="E218" s="6"/>
      <c r="F218" s="6">
        <v>3</v>
      </c>
      <c r="G218" s="6"/>
      <c r="H218" s="6"/>
      <c r="I218" s="7"/>
      <c r="J218" s="7"/>
      <c r="K218" s="6"/>
      <c r="L218" s="6"/>
      <c r="M218" s="7"/>
      <c r="N218" s="59">
        <f t="shared" si="8"/>
        <v>4</v>
      </c>
      <c r="O218" s="60">
        <v>1</v>
      </c>
      <c r="P218" s="48"/>
      <c r="Q218" s="145">
        <v>35710.442070253615</v>
      </c>
      <c r="R218" s="151">
        <v>35710.442070253615</v>
      </c>
      <c r="S218" s="141">
        <v>37138.859753063763</v>
      </c>
      <c r="T218" s="141">
        <v>38567.277435873904</v>
      </c>
      <c r="U218" s="142"/>
      <c r="V218" s="140"/>
      <c r="W218" s="150"/>
    </row>
    <row r="219" spans="1:24">
      <c r="A219" s="93" t="s">
        <v>211</v>
      </c>
      <c r="B219" s="56" t="str">
        <f>IFERROR(HYPERLINK(VLOOKUP(A219,ÜRÜNLER!A:C,3,FALSE),VLOOKUP(A219,ÜRÜNLER!A:B,2,FALSE)),"")</f>
        <v>iQ300 Ankastre Mikrodalga, 20L, Siyah</v>
      </c>
      <c r="C219" s="5"/>
      <c r="D219" s="5"/>
      <c r="E219" s="6"/>
      <c r="F219" s="6"/>
      <c r="G219" s="6"/>
      <c r="H219" s="6"/>
      <c r="I219" s="7"/>
      <c r="J219" s="7"/>
      <c r="K219" s="6"/>
      <c r="L219" s="6"/>
      <c r="M219" s="7"/>
      <c r="N219" s="59">
        <f t="shared" si="8"/>
        <v>0</v>
      </c>
      <c r="O219" s="60">
        <v>6</v>
      </c>
      <c r="P219" s="48"/>
      <c r="Q219" s="145">
        <v>18657.18356292399</v>
      </c>
      <c r="R219" s="151">
        <v>18657.18356292399</v>
      </c>
      <c r="S219" s="141">
        <v>19403.47090544095</v>
      </c>
      <c r="T219" s="141">
        <v>20149.75824795791</v>
      </c>
      <c r="U219" s="142"/>
      <c r="V219" s="140"/>
      <c r="W219" s="150"/>
    </row>
    <row r="220" spans="1:24">
      <c r="A220" s="91" t="s">
        <v>212</v>
      </c>
      <c r="B220" s="56" t="str">
        <f>IFERROR(HYPERLINK(VLOOKUP(A220,ÜRÜNLER!A:C,3,FALSE),VLOOKUP(A220,ÜRÜNLER!A:B,2,FALSE)),"")</f>
        <v>iQ300 Ankastre Mikrodalga, 20L, Siyah/Inox</v>
      </c>
      <c r="C220" s="5"/>
      <c r="D220" s="5"/>
      <c r="E220" s="6"/>
      <c r="F220" s="6"/>
      <c r="G220" s="6"/>
      <c r="H220" s="6"/>
      <c r="I220" s="7">
        <v>1</v>
      </c>
      <c r="J220" s="7">
        <v>1</v>
      </c>
      <c r="K220" s="6"/>
      <c r="L220" s="6"/>
      <c r="M220" s="7"/>
      <c r="N220" s="59">
        <f t="shared" si="8"/>
        <v>2</v>
      </c>
      <c r="O220" s="60"/>
      <c r="P220" s="48"/>
      <c r="Q220" s="139" t="s">
        <v>1782</v>
      </c>
      <c r="R220" s="140">
        <v>19500</v>
      </c>
      <c r="S220" s="141">
        <v>20280</v>
      </c>
      <c r="T220" s="141">
        <v>21060</v>
      </c>
      <c r="U220" s="142"/>
      <c r="V220" s="140"/>
      <c r="W220" s="164">
        <v>500</v>
      </c>
    </row>
    <row r="221" spans="1:24">
      <c r="A221" s="91" t="s">
        <v>214</v>
      </c>
      <c r="B221" s="56" t="str">
        <f>IFERROR(HYPERLINK(VLOOKUP(A221,ÜRÜNLER!A:C,3,FALSE),VLOOKUP(A221,ÜRÜNLER!A:B,2,FALSE)),"")</f>
        <v>iQ500 Ankastre Mikrodalga, 20L, Beyaz/Inox</v>
      </c>
      <c r="C221" s="5"/>
      <c r="D221" s="5"/>
      <c r="E221" s="6"/>
      <c r="F221" s="6"/>
      <c r="G221" s="6"/>
      <c r="H221" s="6"/>
      <c r="I221" s="7">
        <v>1</v>
      </c>
      <c r="J221" s="7">
        <v>1</v>
      </c>
      <c r="K221" s="6"/>
      <c r="L221" s="6">
        <v>2</v>
      </c>
      <c r="M221" s="7"/>
      <c r="N221" s="59">
        <f t="shared" si="8"/>
        <v>4</v>
      </c>
      <c r="O221" s="60"/>
      <c r="P221" s="48"/>
      <c r="Q221" s="139" t="s">
        <v>1782</v>
      </c>
      <c r="R221" s="140">
        <v>19500</v>
      </c>
      <c r="S221" s="141">
        <v>20280</v>
      </c>
      <c r="T221" s="141">
        <v>21060</v>
      </c>
      <c r="U221" s="142"/>
      <c r="V221" s="140"/>
      <c r="W221" s="164">
        <v>500</v>
      </c>
    </row>
    <row r="222" spans="1:24">
      <c r="A222" s="109" t="s">
        <v>215</v>
      </c>
      <c r="B222" s="56" t="str">
        <f>IFERROR(HYPERLINK(VLOOKUP(A222,ÜRÜNLER!A:C,3,FALSE),VLOOKUP(A222,ÜRÜNLER!A:B,2,FALSE)),"")</f>
        <v>iQ300 Ankastre Mikrodalga, 20L, Antrasit/Titanyum Gri</v>
      </c>
      <c r="C222" s="5">
        <v>11</v>
      </c>
      <c r="D222" s="5"/>
      <c r="E222" s="6"/>
      <c r="F222" s="6"/>
      <c r="G222" s="6"/>
      <c r="H222" s="6"/>
      <c r="I222" s="7">
        <v>1</v>
      </c>
      <c r="J222" s="7">
        <v>1</v>
      </c>
      <c r="K222" s="6"/>
      <c r="L222" s="6"/>
      <c r="M222" s="7"/>
      <c r="N222" s="59">
        <f t="shared" si="8"/>
        <v>13</v>
      </c>
      <c r="O222" s="60"/>
      <c r="P222" s="48"/>
      <c r="Q222" s="145">
        <v>17498.604610194066</v>
      </c>
      <c r="R222" s="151">
        <v>17498.604610194066</v>
      </c>
      <c r="S222" s="141">
        <v>18198.548794601829</v>
      </c>
      <c r="T222" s="141">
        <v>18898.492979009592</v>
      </c>
      <c r="U222" s="142"/>
      <c r="V222" s="140"/>
      <c r="W222" s="150"/>
      <c r="X222" s="144">
        <v>16400</v>
      </c>
    </row>
    <row r="223" spans="1:24">
      <c r="A223" s="91" t="s">
        <v>216</v>
      </c>
      <c r="B223" s="56" t="str">
        <f>IFERROR(HYPERLINK(VLOOKUP(A223,ÜRÜNLER!A:C,3,FALSE),VLOOKUP(A223,ÜRÜNLER!A:B,2,FALSE)),"")</f>
        <v>iQ300 Ankastre Mikrodalga, Inox</v>
      </c>
      <c r="C223" s="5">
        <v>9</v>
      </c>
      <c r="D223" s="5"/>
      <c r="E223" s="6"/>
      <c r="F223" s="6">
        <v>1</v>
      </c>
      <c r="G223" s="6"/>
      <c r="H223" s="6"/>
      <c r="I223" s="7">
        <v>1</v>
      </c>
      <c r="J223" s="7"/>
      <c r="K223" s="6">
        <v>1</v>
      </c>
      <c r="L223" s="6"/>
      <c r="M223" s="7">
        <v>1</v>
      </c>
      <c r="N223" s="59">
        <f t="shared" si="8"/>
        <v>13</v>
      </c>
      <c r="O223" s="60"/>
      <c r="P223" s="48"/>
      <c r="Q223" s="145">
        <v>17748.639744541822</v>
      </c>
      <c r="R223" s="151">
        <v>17748.639744541822</v>
      </c>
      <c r="S223" s="141">
        <v>18458.585334323496</v>
      </c>
      <c r="T223" s="141">
        <v>19168.530924105169</v>
      </c>
      <c r="U223" s="142"/>
      <c r="V223" s="140"/>
      <c r="W223" s="146"/>
      <c r="X223" s="144">
        <v>16400</v>
      </c>
    </row>
    <row r="224" spans="1:24">
      <c r="A224" s="91" t="s">
        <v>217</v>
      </c>
      <c r="B224" s="56" t="str">
        <f>IFERROR(HYPERLINK(VLOOKUP(A224,ÜRÜNLER!A:C,3,FALSE),VLOOKUP(A224,ÜRÜNLER!A:B,2,FALSE)),"")</f>
        <v>iQ300 Ankastre Mikrodalga, 20L, Beyaz</v>
      </c>
      <c r="C224" s="5">
        <v>9</v>
      </c>
      <c r="D224" s="5"/>
      <c r="E224" s="6"/>
      <c r="F224" s="6">
        <v>1</v>
      </c>
      <c r="G224" s="6"/>
      <c r="H224" s="6"/>
      <c r="I224" s="7">
        <v>1</v>
      </c>
      <c r="J224" s="7"/>
      <c r="K224" s="6"/>
      <c r="L224" s="6"/>
      <c r="M224" s="7"/>
      <c r="N224" s="59">
        <f t="shared" si="8"/>
        <v>11</v>
      </c>
      <c r="O224" s="60"/>
      <c r="P224" s="48"/>
      <c r="Q224" s="145">
        <v>17748.639744541822</v>
      </c>
      <c r="R224" s="151">
        <v>17748.639744541822</v>
      </c>
      <c r="S224" s="141">
        <v>18458.585334323496</v>
      </c>
      <c r="T224" s="141">
        <v>19168.530924105169</v>
      </c>
      <c r="U224" s="142"/>
      <c r="V224" s="140"/>
      <c r="W224" s="146"/>
      <c r="X224" s="144">
        <v>16400</v>
      </c>
    </row>
    <row r="225" spans="1:24">
      <c r="A225" s="91" t="s">
        <v>218</v>
      </c>
      <c r="B225" s="56" t="str">
        <f>IFERROR(HYPERLINK(VLOOKUP(A225,ÜRÜNLER!A:C,3,FALSE),VLOOKUP(A225,ÜRÜNLER!A:B,2,FALSE)),"")</f>
        <v>iQ700 studioLine Ankastre Mikrodalga, 21L, Siyah</v>
      </c>
      <c r="C225" s="5"/>
      <c r="D225" s="5">
        <v>2</v>
      </c>
      <c r="E225" s="6"/>
      <c r="F225" s="6"/>
      <c r="G225" s="6"/>
      <c r="H225" s="6">
        <v>1</v>
      </c>
      <c r="I225" s="7"/>
      <c r="J225" s="7"/>
      <c r="K225" s="6"/>
      <c r="L225" s="6"/>
      <c r="M225" s="7"/>
      <c r="N225" s="59">
        <f t="shared" si="8"/>
        <v>3</v>
      </c>
      <c r="O225" s="60"/>
      <c r="P225" s="48"/>
      <c r="Q225" s="139" t="s">
        <v>1782</v>
      </c>
      <c r="R225" s="157">
        <v>45000</v>
      </c>
      <c r="S225" s="141">
        <v>46800</v>
      </c>
      <c r="T225" s="141">
        <v>48600</v>
      </c>
      <c r="U225" s="142"/>
      <c r="V225" s="140"/>
      <c r="W225" s="143">
        <v>500</v>
      </c>
    </row>
    <row r="226" spans="1:24">
      <c r="A226" s="93" t="s">
        <v>219</v>
      </c>
      <c r="B226" s="56" t="str">
        <f>IFERROR(HYPERLINK(VLOOKUP(A226,ÜRÜNLER!A:C,3,FALSE),VLOOKUP(A226,ÜRÜNLER!A:B,2,FALSE)),"")</f>
        <v>iQ700 studioLine Ankastre Mikrodalga, 21L, Siyah</v>
      </c>
      <c r="C226" s="5"/>
      <c r="D226" s="5">
        <v>1</v>
      </c>
      <c r="E226" s="6"/>
      <c r="F226" s="6"/>
      <c r="G226" s="6"/>
      <c r="H226" s="6"/>
      <c r="I226" s="7"/>
      <c r="J226" s="7"/>
      <c r="K226" s="6"/>
      <c r="L226" s="6"/>
      <c r="M226" s="7"/>
      <c r="N226" s="59">
        <f t="shared" si="8"/>
        <v>1</v>
      </c>
      <c r="O226" s="60"/>
      <c r="P226" s="48"/>
      <c r="Q226" s="159">
        <v>55076.061557332032</v>
      </c>
      <c r="R226" s="157">
        <v>49568.455401598825</v>
      </c>
      <c r="S226" s="141">
        <v>51551.193617662779</v>
      </c>
      <c r="T226" s="141">
        <v>53533.931833726732</v>
      </c>
      <c r="U226" s="142"/>
      <c r="V226" s="140"/>
      <c r="W226" s="143">
        <v>500</v>
      </c>
    </row>
    <row r="227" spans="1:24">
      <c r="A227" s="95" t="s">
        <v>220</v>
      </c>
      <c r="B227" s="56" t="str">
        <f>IFERROR(HYPERLINK(VLOOKUP(A227,ÜRÜNLER!A:C,3,FALSE),VLOOKUP(A227,ÜRÜNLER!A:B,2,FALSE)),"")</f>
        <v>iQ300 Solo Mikrodalga, 20L, Siyah</v>
      </c>
      <c r="C227" s="5">
        <v>8</v>
      </c>
      <c r="D227" s="5"/>
      <c r="E227" s="6"/>
      <c r="F227" s="6">
        <v>2</v>
      </c>
      <c r="G227" s="6"/>
      <c r="H227" s="6"/>
      <c r="I227" s="7">
        <v>1</v>
      </c>
      <c r="J227" s="7"/>
      <c r="K227" s="6"/>
      <c r="L227" s="6">
        <v>1</v>
      </c>
      <c r="M227" s="7">
        <v>1</v>
      </c>
      <c r="N227" s="59">
        <f t="shared" si="8"/>
        <v>13</v>
      </c>
      <c r="O227" s="60"/>
      <c r="P227" s="48"/>
      <c r="Q227" s="145">
        <v>7890.8475199693648</v>
      </c>
      <c r="R227" s="151">
        <v>7890.8475199693648</v>
      </c>
      <c r="S227" s="141">
        <v>8206.4814207681393</v>
      </c>
      <c r="T227" s="141">
        <v>8522.1153215669146</v>
      </c>
      <c r="U227" s="142"/>
      <c r="V227" s="140"/>
      <c r="W227" s="150"/>
    </row>
    <row r="228" spans="1:24">
      <c r="A228" s="95" t="s">
        <v>221</v>
      </c>
      <c r="B228" s="56" t="str">
        <f>IFERROR(HYPERLINK(VLOOKUP(A228,ÜRÜNLER!A:C,3,FALSE),VLOOKUP(A228,ÜRÜNLER!A:B,2,FALSE)),"")</f>
        <v>iQ300 Solo Mikrodalga, 20L, Beyaz</v>
      </c>
      <c r="C228" s="5">
        <v>10</v>
      </c>
      <c r="D228" s="5"/>
      <c r="E228" s="6"/>
      <c r="F228" s="6">
        <v>1</v>
      </c>
      <c r="G228" s="6"/>
      <c r="H228" s="6"/>
      <c r="I228" s="7">
        <v>1</v>
      </c>
      <c r="J228" s="7">
        <v>1</v>
      </c>
      <c r="K228" s="6">
        <v>1</v>
      </c>
      <c r="L228" s="6"/>
      <c r="M228" s="7">
        <v>1</v>
      </c>
      <c r="N228" s="59">
        <f t="shared" si="8"/>
        <v>15</v>
      </c>
      <c r="O228" s="60">
        <v>1</v>
      </c>
      <c r="P228" s="48"/>
      <c r="Q228" s="145">
        <v>7320.948454753433</v>
      </c>
      <c r="R228" s="151">
        <v>7320.948454753433</v>
      </c>
      <c r="S228" s="141">
        <v>7613.7863929435707</v>
      </c>
      <c r="T228" s="141">
        <v>7906.6243311337075</v>
      </c>
      <c r="U228" s="142"/>
      <c r="V228" s="140"/>
      <c r="W228" s="150"/>
    </row>
    <row r="229" spans="1:24">
      <c r="A229" s="95" t="s">
        <v>222</v>
      </c>
      <c r="B229" s="56" t="str">
        <f>IFERROR(HYPERLINK(VLOOKUP(A229,ÜRÜNLER!A:C,3,FALSE),VLOOKUP(A229,ÜRÜNLER!A:B,2,FALSE)),"")</f>
        <v>iQ300 Solo Mikrodalga, 20L, Siyah/Inox</v>
      </c>
      <c r="C229" s="5">
        <v>9</v>
      </c>
      <c r="D229" s="5"/>
      <c r="E229" s="6"/>
      <c r="F229" s="6">
        <v>1</v>
      </c>
      <c r="G229" s="6"/>
      <c r="H229" s="6"/>
      <c r="I229" s="7">
        <v>1</v>
      </c>
      <c r="J229" s="7"/>
      <c r="K229" s="6"/>
      <c r="L229" s="6"/>
      <c r="M229" s="7">
        <v>1</v>
      </c>
      <c r="N229" s="59">
        <f t="shared" si="8"/>
        <v>12</v>
      </c>
      <c r="O229" s="60"/>
      <c r="P229" s="48"/>
      <c r="Q229" s="145">
        <v>8744.2953162644753</v>
      </c>
      <c r="R229" s="151">
        <v>8744.2953162644753</v>
      </c>
      <c r="S229" s="141">
        <v>9094.0671289150541</v>
      </c>
      <c r="T229" s="141">
        <v>9443.8389415656329</v>
      </c>
      <c r="U229" s="142"/>
      <c r="V229" s="140"/>
      <c r="W229" s="150"/>
    </row>
    <row r="230" spans="1:24" ht="35.25" customHeight="1">
      <c r="A230" s="106" t="s">
        <v>223</v>
      </c>
      <c r="B230" s="56" t="str">
        <f>IFERROR(HYPERLINK(VLOOKUP(A230,ÜRÜNLER!A:C,3,FALSE),VLOOKUP(A230,ÜRÜNLER!A:B,2,FALSE)),"")</f>
        <v/>
      </c>
      <c r="C230" s="5"/>
      <c r="D230" s="5"/>
      <c r="E230" s="6"/>
      <c r="F230" s="6"/>
      <c r="G230" s="6"/>
      <c r="H230" s="6"/>
      <c r="I230" s="7"/>
      <c r="J230" s="7"/>
      <c r="K230" s="6"/>
      <c r="L230" s="6"/>
      <c r="M230" s="7"/>
      <c r="N230" s="59">
        <f>SUM(N212:N229)</f>
        <v>111</v>
      </c>
      <c r="O230" s="60"/>
      <c r="P230" s="48"/>
      <c r="Q230" s="139"/>
      <c r="R230" s="139"/>
      <c r="S230" s="141"/>
      <c r="T230" s="141"/>
      <c r="U230" s="142"/>
      <c r="V230" s="140"/>
      <c r="W230" s="150"/>
    </row>
    <row r="231" spans="1:24">
      <c r="A231" s="87" t="s">
        <v>227</v>
      </c>
      <c r="B231" s="56" t="str">
        <f>IFERROR(HYPERLINK(VLOOKUP(A231,ÜRÜNLER!A:C,3,FALSE),VLOOKUP(A231,ÜRÜNLER!A:B,2,FALSE)),"")</f>
        <v>iQ100 Eğimli Davlumbaz, 59cm, 360m3, Beyaz Cam</v>
      </c>
      <c r="C231" s="5"/>
      <c r="D231" s="5"/>
      <c r="E231" s="6"/>
      <c r="F231" s="6">
        <v>1</v>
      </c>
      <c r="G231" s="6"/>
      <c r="H231" s="6"/>
      <c r="I231" s="7"/>
      <c r="J231" s="7"/>
      <c r="K231" s="6"/>
      <c r="L231" s="6"/>
      <c r="M231" s="7"/>
      <c r="N231" s="59">
        <f t="shared" ref="N231:N280" si="9">M231+K231+L231+J231+I231+H231+G231+F231+E231+D231+C231</f>
        <v>1</v>
      </c>
      <c r="O231" s="60"/>
      <c r="P231" s="48" t="s">
        <v>1544</v>
      </c>
      <c r="Q231" s="145">
        <v>9949.9104171655872</v>
      </c>
      <c r="R231" s="140">
        <v>9949.9104171655872</v>
      </c>
      <c r="S231" s="141">
        <v>10347.90683385221</v>
      </c>
      <c r="T231" s="141">
        <v>10745.903250538835</v>
      </c>
      <c r="U231" s="142"/>
      <c r="V231" s="140"/>
      <c r="W231" s="150"/>
    </row>
    <row r="232" spans="1:24">
      <c r="A232" s="87" t="s">
        <v>228</v>
      </c>
      <c r="B232" s="56" t="str">
        <f>IFERROR(HYPERLINK(VLOOKUP(A232,ÜRÜNLER!A:C,3,FALSE),VLOOKUP(A232,ÜRÜNLER!A:B,2,FALSE)),"")</f>
        <v>iQ100 Eğimli Davlumbaz, 59cm, 360m3, Siyah Cam</v>
      </c>
      <c r="C232" s="5"/>
      <c r="D232" s="5"/>
      <c r="E232" s="6"/>
      <c r="F232" s="6">
        <v>1</v>
      </c>
      <c r="G232" s="6"/>
      <c r="H232" s="6"/>
      <c r="I232" s="7"/>
      <c r="J232" s="7"/>
      <c r="K232" s="6"/>
      <c r="L232" s="6"/>
      <c r="M232" s="7">
        <v>1</v>
      </c>
      <c r="N232" s="59">
        <f t="shared" si="9"/>
        <v>2</v>
      </c>
      <c r="O232" s="60"/>
      <c r="P232" s="48" t="s">
        <v>1544</v>
      </c>
      <c r="Q232" s="145">
        <v>9949.9104171655872</v>
      </c>
      <c r="R232" s="140">
        <v>9949.9104171655872</v>
      </c>
      <c r="S232" s="141">
        <v>10347.90683385221</v>
      </c>
      <c r="T232" s="141">
        <v>10745.903250538835</v>
      </c>
      <c r="U232" s="142"/>
      <c r="V232" s="140"/>
      <c r="W232" s="150"/>
    </row>
    <row r="233" spans="1:24">
      <c r="A233" s="87" t="s">
        <v>229</v>
      </c>
      <c r="B233" s="56" t="str">
        <f>IFERROR(HYPERLINK(VLOOKUP(A233,ÜRÜNLER!A:C,3,FALSE),VLOOKUP(A233,ÜRÜNLER!A:B,2,FALSE)),"")</f>
        <v>iQ100 Eğimli Davlumbaz, 59cm, 360m3, Siyah Cam</v>
      </c>
      <c r="C233" s="5"/>
      <c r="D233" s="5"/>
      <c r="E233" s="6"/>
      <c r="F233" s="6"/>
      <c r="G233" s="6"/>
      <c r="H233" s="6"/>
      <c r="I233" s="7"/>
      <c r="J233" s="7">
        <v>1</v>
      </c>
      <c r="K233" s="6"/>
      <c r="L233" s="6">
        <v>1</v>
      </c>
      <c r="M233" s="7"/>
      <c r="N233" s="59">
        <f t="shared" si="9"/>
        <v>2</v>
      </c>
      <c r="O233" s="60"/>
      <c r="P233" s="48" t="s">
        <v>1544</v>
      </c>
      <c r="Q233" s="145">
        <v>9949.9104171655872</v>
      </c>
      <c r="R233" s="140">
        <v>9949.9104171655872</v>
      </c>
      <c r="S233" s="141">
        <v>10347.90683385221</v>
      </c>
      <c r="T233" s="141">
        <v>10745.903250538835</v>
      </c>
      <c r="U233" s="142"/>
      <c r="V233" s="140"/>
      <c r="W233" s="150"/>
    </row>
    <row r="234" spans="1:24">
      <c r="A234" s="91" t="s">
        <v>236</v>
      </c>
      <c r="B234" s="56" t="str">
        <f>IFERROR(HYPERLINK(VLOOKUP(A234,ÜRÜNLER!A:C,3,FALSE),VLOOKUP(A234,ÜRÜNLER!A:B,2,FALSE)),"")</f>
        <v>iQ100 Eğimli Davlumbaz, 60cm, 400m3, Beyaz Cam</v>
      </c>
      <c r="C234" s="5"/>
      <c r="D234" s="5"/>
      <c r="E234" s="6"/>
      <c r="F234" s="6"/>
      <c r="G234" s="6"/>
      <c r="H234" s="6"/>
      <c r="I234" s="7">
        <v>1</v>
      </c>
      <c r="J234" s="7"/>
      <c r="K234" s="6"/>
      <c r="L234" s="6"/>
      <c r="M234" s="7"/>
      <c r="N234" s="59">
        <f t="shared" si="9"/>
        <v>1</v>
      </c>
      <c r="O234" s="60">
        <v>11</v>
      </c>
      <c r="P234" s="48"/>
      <c r="Q234" s="145">
        <v>15453.423870263241</v>
      </c>
      <c r="R234" s="151">
        <v>15453.423870263241</v>
      </c>
      <c r="S234" s="141">
        <v>16071.560825073771</v>
      </c>
      <c r="T234" s="141">
        <v>16689.6977798843</v>
      </c>
      <c r="U234" s="142"/>
      <c r="V234" s="140"/>
      <c r="W234" s="150"/>
    </row>
    <row r="235" spans="1:24">
      <c r="A235" s="91" t="s">
        <v>237</v>
      </c>
      <c r="B235" s="56" t="str">
        <f>IFERROR(HYPERLINK(VLOOKUP(A235,ÜRÜNLER!A:C,3,FALSE),VLOOKUP(A235,ÜRÜNLER!A:B,2,FALSE)),"")</f>
        <v>iQ100 Eğimli Davlumbaz, 60cm, 400m3, Siyah Cam</v>
      </c>
      <c r="C235" s="5"/>
      <c r="D235" s="5"/>
      <c r="E235" s="6"/>
      <c r="F235" s="6"/>
      <c r="G235" s="6"/>
      <c r="H235" s="6"/>
      <c r="I235" s="7"/>
      <c r="J235" s="7">
        <v>1</v>
      </c>
      <c r="K235" s="6"/>
      <c r="L235" s="6"/>
      <c r="M235" s="7"/>
      <c r="N235" s="59">
        <f t="shared" si="9"/>
        <v>1</v>
      </c>
      <c r="O235" s="60">
        <v>10</v>
      </c>
      <c r="P235" s="48" t="s">
        <v>1839</v>
      </c>
      <c r="Q235" s="145">
        <v>15453.423870263241</v>
      </c>
      <c r="R235" s="145">
        <v>16226.095063776404</v>
      </c>
      <c r="S235" s="141">
        <v>16875.138866327459</v>
      </c>
      <c r="T235" s="141">
        <v>17524.182668878515</v>
      </c>
      <c r="V235" s="140"/>
      <c r="W235" s="150"/>
      <c r="X235" s="166" t="s">
        <v>1840</v>
      </c>
    </row>
    <row r="236" spans="1:24">
      <c r="A236" s="109" t="s">
        <v>238</v>
      </c>
      <c r="B236" s="56" t="str">
        <f>IFERROR(HYPERLINK(VLOOKUP(A236,ÜRÜNLER!A:C,3,FALSE),VLOOKUP(A236,ÜRÜNLER!A:B,2,FALSE)),"")</f>
        <v>iQ100 Eğimli Davlumbaz, 60cm, 400m3, Antrasit Gri Cam</v>
      </c>
      <c r="C236" s="5"/>
      <c r="D236" s="5"/>
      <c r="E236" s="6"/>
      <c r="F236" s="6">
        <v>1</v>
      </c>
      <c r="G236" s="6"/>
      <c r="H236" s="6"/>
      <c r="I236" s="7">
        <v>1</v>
      </c>
      <c r="J236" s="7"/>
      <c r="K236" s="6">
        <v>1</v>
      </c>
      <c r="L236" s="6"/>
      <c r="M236" s="7">
        <v>1</v>
      </c>
      <c r="N236" s="59">
        <f t="shared" si="9"/>
        <v>4</v>
      </c>
      <c r="O236" s="60">
        <v>26</v>
      </c>
      <c r="P236" s="48" t="s">
        <v>1839</v>
      </c>
      <c r="Q236" s="145">
        <v>15453.423870263241</v>
      </c>
      <c r="R236" s="145">
        <v>16226.095063776404</v>
      </c>
      <c r="S236" s="141">
        <v>16875.138866327459</v>
      </c>
      <c r="T236" s="141">
        <v>17524.182668878515</v>
      </c>
      <c r="V236" s="140"/>
      <c r="W236" s="150"/>
      <c r="X236" s="166" t="s">
        <v>1840</v>
      </c>
    </row>
    <row r="237" spans="1:24">
      <c r="A237" s="87" t="s">
        <v>224</v>
      </c>
      <c r="B237" s="56" t="str">
        <f>IFERROR(HYPERLINK(VLOOKUP(A237,ÜRÜNLER!A:C,3,FALSE),VLOOKUP(A237,ÜRÜNLER!A:B,2,FALSE)),"")</f>
        <v>iQ100 Düz Davlumbaz, 60cm, 380m3, Beyaz</v>
      </c>
      <c r="C237" s="5">
        <v>1</v>
      </c>
      <c r="D237" s="5"/>
      <c r="E237" s="6"/>
      <c r="F237" s="6"/>
      <c r="G237" s="6"/>
      <c r="H237" s="6"/>
      <c r="I237" s="7">
        <v>1</v>
      </c>
      <c r="J237" s="7"/>
      <c r="K237" s="6"/>
      <c r="L237" s="6">
        <v>1</v>
      </c>
      <c r="M237" s="7"/>
      <c r="N237" s="59">
        <f t="shared" si="9"/>
        <v>3</v>
      </c>
      <c r="O237" s="60"/>
      <c r="P237" s="48"/>
      <c r="Q237" s="139" t="s">
        <v>1782</v>
      </c>
      <c r="R237" s="140">
        <v>8000</v>
      </c>
      <c r="S237" s="141">
        <v>8320</v>
      </c>
      <c r="T237" s="141">
        <v>8640</v>
      </c>
      <c r="U237" s="142"/>
      <c r="V237" s="140"/>
      <c r="W237" s="143">
        <v>500</v>
      </c>
    </row>
    <row r="238" spans="1:24">
      <c r="A238" s="87" t="s">
        <v>225</v>
      </c>
      <c r="B238" s="56" t="str">
        <f>IFERROR(HYPERLINK(VLOOKUP(A238,ÜRÜNLER!A:C,3,FALSE),VLOOKUP(A238,ÜRÜNLER!A:B,2,FALSE)),"")</f>
        <v>iQ100 Düz Davlumbaz, 60cm, 380m3, Inox</v>
      </c>
      <c r="C238" s="5">
        <v>4</v>
      </c>
      <c r="D238" s="5"/>
      <c r="E238" s="6"/>
      <c r="F238" s="6"/>
      <c r="G238" s="6"/>
      <c r="H238" s="6"/>
      <c r="I238" s="7"/>
      <c r="J238" s="7"/>
      <c r="K238" s="6">
        <v>1</v>
      </c>
      <c r="L238" s="6"/>
      <c r="M238" s="7"/>
      <c r="N238" s="59">
        <f t="shared" si="9"/>
        <v>5</v>
      </c>
      <c r="O238" s="60"/>
      <c r="P238" s="70" t="s">
        <v>1545</v>
      </c>
      <c r="Q238" s="139" t="s">
        <v>1782</v>
      </c>
      <c r="R238" s="140">
        <v>9000</v>
      </c>
      <c r="S238" s="141">
        <v>9360</v>
      </c>
      <c r="T238" s="141">
        <v>9720</v>
      </c>
      <c r="U238" s="142"/>
      <c r="V238" s="140"/>
      <c r="W238" s="146">
        <v>250</v>
      </c>
    </row>
    <row r="239" spans="1:24">
      <c r="A239" s="87" t="s">
        <v>226</v>
      </c>
      <c r="B239" s="56" t="str">
        <f>IFERROR(HYPERLINK(VLOOKUP(A239,ÜRÜNLER!A:C,3,FALSE),VLOOKUP(A239,ÜRÜNLER!A:B,2,FALSE)),"")</f>
        <v>iQ100 Düz Davlumbaz, 60cm, 380m3, Siyah</v>
      </c>
      <c r="C239" s="5">
        <v>2</v>
      </c>
      <c r="D239" s="5"/>
      <c r="E239" s="6"/>
      <c r="F239" s="6">
        <v>1</v>
      </c>
      <c r="G239" s="6"/>
      <c r="H239" s="6"/>
      <c r="I239" s="7"/>
      <c r="J239" s="7"/>
      <c r="K239" s="6"/>
      <c r="L239" s="6">
        <v>2</v>
      </c>
      <c r="M239" s="7"/>
      <c r="N239" s="59">
        <f t="shared" si="9"/>
        <v>5</v>
      </c>
      <c r="O239" s="60"/>
      <c r="P239" s="48"/>
      <c r="Q239" s="139" t="s">
        <v>1782</v>
      </c>
      <c r="R239" s="140">
        <v>9000</v>
      </c>
      <c r="S239" s="141">
        <v>9360</v>
      </c>
      <c r="T239" s="141">
        <v>9720</v>
      </c>
      <c r="U239" s="142"/>
      <c r="V239" s="140"/>
      <c r="W239" s="146">
        <v>250</v>
      </c>
    </row>
    <row r="240" spans="1:24">
      <c r="A240" s="87" t="s">
        <v>230</v>
      </c>
      <c r="B240" s="56" t="str">
        <f>IFERROR(HYPERLINK(VLOOKUP(A240,ÜRÜNLER!A:C,3,FALSE),VLOOKUP(A240,ÜRÜNLER!A:B,2,FALSE)),"")</f>
        <v>iQ100 Düz Davlumbaz, 60cm, 612m3, Paslanmaz Çelik</v>
      </c>
      <c r="C240" s="5">
        <v>5</v>
      </c>
      <c r="D240" s="5"/>
      <c r="E240" s="6"/>
      <c r="F240" s="6">
        <v>1</v>
      </c>
      <c r="G240" s="6"/>
      <c r="H240" s="6"/>
      <c r="I240" s="7">
        <v>1</v>
      </c>
      <c r="J240" s="7"/>
      <c r="K240" s="6"/>
      <c r="L240" s="6"/>
      <c r="M240" s="7"/>
      <c r="N240" s="59">
        <f t="shared" si="9"/>
        <v>7</v>
      </c>
      <c r="O240" s="60"/>
      <c r="P240" s="48"/>
      <c r="Q240" s="145">
        <v>18529.104551827117</v>
      </c>
      <c r="R240" s="151">
        <v>18529.104551827117</v>
      </c>
      <c r="S240" s="141">
        <v>19270.2687339002</v>
      </c>
      <c r="T240" s="141">
        <v>20011.432915973288</v>
      </c>
      <c r="U240" s="142"/>
      <c r="V240" s="140"/>
      <c r="W240" s="150"/>
    </row>
    <row r="241" spans="1:24">
      <c r="A241" s="109" t="s">
        <v>244</v>
      </c>
      <c r="B241" s="56" t="str">
        <f>IFERROR(HYPERLINK(VLOOKUP(A241,ÜRÜNLER!A:C,3,FALSE),VLOOKUP(A241,ÜRÜNLER!A:B,2,FALSE)),"")</f>
        <v>iQ300 Düz Davlumbaz, 60cm, 649m3, Antrasit Gri Cam</v>
      </c>
      <c r="C241" s="5">
        <v>4</v>
      </c>
      <c r="D241" s="5"/>
      <c r="E241" s="6"/>
      <c r="F241" s="6"/>
      <c r="G241" s="6"/>
      <c r="H241" s="6"/>
      <c r="I241" s="7"/>
      <c r="J241" s="7"/>
      <c r="K241" s="6">
        <v>1</v>
      </c>
      <c r="L241" s="6">
        <v>1</v>
      </c>
      <c r="M241" s="7"/>
      <c r="N241" s="59">
        <f t="shared" si="9"/>
        <v>6</v>
      </c>
      <c r="O241" s="60">
        <v>1</v>
      </c>
      <c r="P241" s="48"/>
      <c r="Q241" s="145">
        <v>21837.761714421129</v>
      </c>
      <c r="R241" s="151">
        <v>21837.761714421129</v>
      </c>
      <c r="S241" s="141">
        <v>22711.272182997975</v>
      </c>
      <c r="T241" s="141">
        <v>23584.78265157482</v>
      </c>
      <c r="U241" s="142"/>
      <c r="V241" s="140"/>
      <c r="W241" s="150"/>
    </row>
    <row r="242" spans="1:24">
      <c r="A242" s="87" t="s">
        <v>232</v>
      </c>
      <c r="B242" s="56" t="str">
        <f>IFERROR(HYPERLINK(VLOOKUP(A242,ÜRÜNLER!A:C,3,FALSE),VLOOKUP(A242,ÜRÜNLER!A:B,2,FALSE)),"")</f>
        <v>iQ300 Düz Davlumbaz, 60cm, 649m3, Beyaz Cam</v>
      </c>
      <c r="C242" s="5">
        <v>10</v>
      </c>
      <c r="D242" s="5"/>
      <c r="E242" s="6"/>
      <c r="F242" s="6">
        <v>1</v>
      </c>
      <c r="G242" s="6"/>
      <c r="H242" s="6"/>
      <c r="I242" s="7"/>
      <c r="J242" s="7">
        <v>1</v>
      </c>
      <c r="K242" s="6"/>
      <c r="L242" s="6">
        <v>1</v>
      </c>
      <c r="M242" s="7"/>
      <c r="N242" s="59">
        <f t="shared" si="9"/>
        <v>13</v>
      </c>
      <c r="O242" s="60"/>
      <c r="P242" s="48"/>
      <c r="Q242" s="145">
        <v>21837.761714421129</v>
      </c>
      <c r="R242" s="151">
        <v>21837.761714421129</v>
      </c>
      <c r="S242" s="141">
        <v>22711.272182997975</v>
      </c>
      <c r="T242" s="141">
        <v>23584.78265157482</v>
      </c>
      <c r="U242" s="142"/>
      <c r="V242" s="140"/>
      <c r="W242" s="150"/>
    </row>
    <row r="243" spans="1:24">
      <c r="A243" s="87" t="s">
        <v>233</v>
      </c>
      <c r="B243" s="56" t="str">
        <f>IFERROR(HYPERLINK(VLOOKUP(A243,ÜRÜNLER!A:C,3,FALSE),VLOOKUP(A243,ÜRÜNLER!A:B,2,FALSE)),"")</f>
        <v>iQ300 Düz Davlumbaz, 60cm, 649m3, Siyah Cam</v>
      </c>
      <c r="C243" s="5">
        <v>1</v>
      </c>
      <c r="D243" s="5"/>
      <c r="E243" s="6"/>
      <c r="F243" s="6"/>
      <c r="G243" s="6"/>
      <c r="H243" s="6"/>
      <c r="I243" s="7">
        <v>2</v>
      </c>
      <c r="J243" s="7"/>
      <c r="K243" s="6"/>
      <c r="L243" s="6">
        <v>1</v>
      </c>
      <c r="M243" s="7"/>
      <c r="N243" s="59">
        <f t="shared" si="9"/>
        <v>4</v>
      </c>
      <c r="O243" s="60"/>
      <c r="P243" s="48"/>
      <c r="Q243" s="145">
        <v>21837.761714421129</v>
      </c>
      <c r="R243" s="151">
        <v>21837.761714421129</v>
      </c>
      <c r="S243" s="141">
        <v>22711.272182997975</v>
      </c>
      <c r="T243" s="141">
        <v>23584.78265157482</v>
      </c>
      <c r="U243" s="142"/>
      <c r="V243" s="140"/>
      <c r="W243" s="150"/>
    </row>
    <row r="244" spans="1:24">
      <c r="A244" s="93" t="s">
        <v>234</v>
      </c>
      <c r="B244" s="56" t="str">
        <f>IFERROR(HYPERLINK(VLOOKUP(A244,ÜRÜNLER!A:C,3,FALSE),VLOOKUP(A244,ÜRÜNLER!A:B,2,FALSE)),"")</f>
        <v>iQ300 Eğimli Davlumbaz, 60cm, 593m3, Siyah Cam</v>
      </c>
      <c r="C244" s="5"/>
      <c r="D244" s="5"/>
      <c r="E244" s="6"/>
      <c r="F244" s="6">
        <v>1</v>
      </c>
      <c r="G244" s="6"/>
      <c r="H244" s="6"/>
      <c r="I244" s="7"/>
      <c r="J244" s="7"/>
      <c r="K244" s="6"/>
      <c r="L244" s="6"/>
      <c r="M244" s="7"/>
      <c r="N244" s="59">
        <f t="shared" si="9"/>
        <v>1</v>
      </c>
      <c r="O244" s="60"/>
      <c r="P244" s="48"/>
      <c r="Q244" s="139" t="s">
        <v>1782</v>
      </c>
      <c r="R244" s="140">
        <v>13000</v>
      </c>
      <c r="S244" s="141">
        <v>13520</v>
      </c>
      <c r="T244" s="141">
        <v>14040</v>
      </c>
      <c r="U244" s="142"/>
      <c r="V244" s="140"/>
      <c r="W244" s="150">
        <v>250</v>
      </c>
    </row>
    <row r="245" spans="1:24">
      <c r="A245" s="91" t="s">
        <v>239</v>
      </c>
      <c r="B245" s="56" t="str">
        <f>IFERROR(HYPERLINK(VLOOKUP(A245,ÜRÜNLER!A:C,3,FALSE),VLOOKUP(A245,ÜRÜNLER!A:B,2,FALSE)),"")</f>
        <v>iQ300 Eğimli Davlumbaz, 60cm, 510m3, Beyaz Cam</v>
      </c>
      <c r="C245" s="5">
        <v>2</v>
      </c>
      <c r="D245" s="5"/>
      <c r="E245" s="6"/>
      <c r="F245" s="6"/>
      <c r="G245" s="6"/>
      <c r="H245" s="6"/>
      <c r="I245" s="7">
        <v>1</v>
      </c>
      <c r="J245" s="7"/>
      <c r="K245" s="6"/>
      <c r="L245" s="6"/>
      <c r="M245" s="7">
        <v>1</v>
      </c>
      <c r="N245" s="59">
        <f t="shared" si="9"/>
        <v>4</v>
      </c>
      <c r="O245" s="60">
        <v>11</v>
      </c>
      <c r="P245" s="48"/>
      <c r="Q245" s="145">
        <v>19528.389222070771</v>
      </c>
      <c r="R245" s="151">
        <v>19528.389222070771</v>
      </c>
      <c r="S245" s="141">
        <v>20309.524790953601</v>
      </c>
      <c r="T245" s="141">
        <v>21090.660359836435</v>
      </c>
      <c r="U245" s="142"/>
      <c r="V245" s="140"/>
      <c r="W245" s="150"/>
    </row>
    <row r="246" spans="1:24">
      <c r="A246" s="93" t="s">
        <v>240</v>
      </c>
      <c r="B246" s="56" t="str">
        <f>IFERROR(HYPERLINK(VLOOKUP(A246,ÜRÜNLER!A:C,3,FALSE),VLOOKUP(A246,ÜRÜNLER!A:B,2,FALSE)),"")</f>
        <v>iQ300 Eğimli Davlumbaz, 60cm, 510m3, Siyah Cam</v>
      </c>
      <c r="C246" s="5">
        <v>9</v>
      </c>
      <c r="D246" s="5"/>
      <c r="E246" s="6"/>
      <c r="F246" s="6"/>
      <c r="G246" s="6"/>
      <c r="H246" s="6"/>
      <c r="I246" s="7"/>
      <c r="J246" s="7"/>
      <c r="K246" s="6">
        <v>1</v>
      </c>
      <c r="L246" s="6">
        <v>1</v>
      </c>
      <c r="M246" s="7"/>
      <c r="N246" s="59">
        <f t="shared" si="9"/>
        <v>11</v>
      </c>
      <c r="O246" s="60">
        <v>17</v>
      </c>
      <c r="P246" s="48" t="s">
        <v>1839</v>
      </c>
      <c r="Q246" s="145">
        <v>19528.389222070771</v>
      </c>
      <c r="R246" s="145">
        <v>20504.808683174309</v>
      </c>
      <c r="S246" s="141">
        <v>21325.00103050128</v>
      </c>
      <c r="T246" s="141">
        <v>22145.193377828255</v>
      </c>
      <c r="V246" s="140"/>
      <c r="W246" s="150"/>
      <c r="X246" s="166" t="s">
        <v>1840</v>
      </c>
    </row>
    <row r="247" spans="1:24">
      <c r="A247" s="109" t="s">
        <v>241</v>
      </c>
      <c r="B247" s="56" t="str">
        <f>IFERROR(HYPERLINK(VLOOKUP(A247,ÜRÜNLER!A:C,3,FALSE),VLOOKUP(A247,ÜRÜNLER!A:B,2,FALSE)),"")</f>
        <v>iQ300 Eğimli Davlumbaz, 60cm, 510m3, Antrasit Gri Cam</v>
      </c>
      <c r="C247" s="5">
        <v>8</v>
      </c>
      <c r="D247" s="5"/>
      <c r="E247" s="6"/>
      <c r="F247" s="6">
        <v>1</v>
      </c>
      <c r="G247" s="6"/>
      <c r="H247" s="6"/>
      <c r="I247" s="7">
        <v>1</v>
      </c>
      <c r="J247" s="7"/>
      <c r="K247" s="6"/>
      <c r="L247" s="6"/>
      <c r="M247" s="7"/>
      <c r="N247" s="59">
        <f t="shared" si="9"/>
        <v>10</v>
      </c>
      <c r="O247" s="60">
        <v>11</v>
      </c>
      <c r="P247" s="48"/>
      <c r="Q247" s="145">
        <v>19528.389222070771</v>
      </c>
      <c r="R247" s="151">
        <v>19528.389222070771</v>
      </c>
      <c r="S247" s="141">
        <v>20309.524790953601</v>
      </c>
      <c r="T247" s="141">
        <v>21090.660359836435</v>
      </c>
      <c r="V247" s="140"/>
      <c r="W247" s="150"/>
      <c r="X247" s="142"/>
    </row>
    <row r="248" spans="1:24">
      <c r="A248" s="112" t="s">
        <v>1635</v>
      </c>
      <c r="B248" s="56" t="str">
        <f>IFERROR(HYPERLINK(VLOOKUP(A248,ÜRÜNLER!A:C,3,FALSE),VLOOKUP(A248,ÜRÜNLER!A:B,2,FALSE)),"")</f>
        <v>iQ300 Düz Davlumbaz, 60cm, 582m3, Magnet Silver</v>
      </c>
      <c r="C248" s="5">
        <v>1</v>
      </c>
      <c r="D248" s="5"/>
      <c r="E248" s="6"/>
      <c r="F248" s="6"/>
      <c r="G248" s="6"/>
      <c r="H248" s="6"/>
      <c r="I248" s="7"/>
      <c r="J248" s="7"/>
      <c r="K248" s="6"/>
      <c r="L248" s="6"/>
      <c r="M248" s="7"/>
      <c r="N248" s="59">
        <f t="shared" si="9"/>
        <v>1</v>
      </c>
      <c r="O248" s="60"/>
      <c r="P248" s="48"/>
      <c r="Q248" s="145">
        <v>18296.350661364198</v>
      </c>
      <c r="R248" s="151">
        <v>18296.350661364198</v>
      </c>
      <c r="S248" s="141">
        <v>19028.204687818765</v>
      </c>
      <c r="T248" s="141">
        <v>19760.058714273335</v>
      </c>
      <c r="V248" s="140"/>
      <c r="W248" s="146">
        <v>250</v>
      </c>
      <c r="X248" s="142"/>
    </row>
    <row r="249" spans="1:24">
      <c r="A249" s="87" t="s">
        <v>242</v>
      </c>
      <c r="B249" s="56" t="str">
        <f>IFERROR(HYPERLINK(VLOOKUP(A249,ÜRÜNLER!A:C,3,FALSE),VLOOKUP(A249,ÜRÜNLER!A:B,2,FALSE)),"")</f>
        <v>iQ300 Düz Davlumbaz, 60cm, 582m3, Beyaz/Inox</v>
      </c>
      <c r="C249" s="5">
        <v>24</v>
      </c>
      <c r="D249" s="5"/>
      <c r="E249" s="6"/>
      <c r="F249" s="6">
        <v>2</v>
      </c>
      <c r="G249" s="6"/>
      <c r="H249" s="6"/>
      <c r="I249" s="7"/>
      <c r="J249" s="7">
        <v>1</v>
      </c>
      <c r="K249" s="6"/>
      <c r="L249" s="6"/>
      <c r="M249" s="7"/>
      <c r="N249" s="59">
        <f t="shared" si="9"/>
        <v>27</v>
      </c>
      <c r="O249" s="60"/>
      <c r="P249" s="48" t="s">
        <v>1839</v>
      </c>
      <c r="Q249" s="145">
        <v>20171.726604154028</v>
      </c>
      <c r="R249" s="151">
        <v>20171.726604154028</v>
      </c>
      <c r="S249" s="141">
        <v>20978.595668320188</v>
      </c>
      <c r="T249" s="141">
        <v>21785.464732486351</v>
      </c>
      <c r="V249" s="140"/>
      <c r="W249" s="146">
        <v>250</v>
      </c>
      <c r="X249" s="166" t="s">
        <v>1840</v>
      </c>
    </row>
    <row r="250" spans="1:24">
      <c r="A250" s="107" t="s">
        <v>243</v>
      </c>
      <c r="B250" s="56" t="str">
        <f>IFERROR(HYPERLINK(VLOOKUP(A250,ÜRÜNLER!A:C,3,FALSE),VLOOKUP(A250,ÜRÜNLER!A:B,2,FALSE)),"")</f>
        <v>iQ300 Düz Davlumbaz, 60cm, 582m3, Siyah/Inox</v>
      </c>
      <c r="C250" s="5">
        <v>37</v>
      </c>
      <c r="D250" s="5"/>
      <c r="E250" s="6"/>
      <c r="F250" s="6"/>
      <c r="G250" s="6"/>
      <c r="H250" s="6"/>
      <c r="I250" s="7"/>
      <c r="J250" s="7">
        <v>1</v>
      </c>
      <c r="K250" s="6"/>
      <c r="L250" s="6">
        <v>3</v>
      </c>
      <c r="M250" s="7">
        <v>1</v>
      </c>
      <c r="N250" s="59">
        <f t="shared" si="9"/>
        <v>42</v>
      </c>
      <c r="O250" s="60"/>
      <c r="P250" s="48" t="s">
        <v>1839</v>
      </c>
      <c r="Q250" s="145">
        <v>20171.726604154028</v>
      </c>
      <c r="R250" s="151">
        <v>20171.726604154028</v>
      </c>
      <c r="S250" s="141">
        <v>20978.595668320188</v>
      </c>
      <c r="T250" s="141">
        <v>21785.464732486351</v>
      </c>
      <c r="V250" s="140"/>
      <c r="W250" s="150"/>
      <c r="X250" s="166" t="s">
        <v>1840</v>
      </c>
    </row>
    <row r="251" spans="1:24">
      <c r="A251" s="87" t="s">
        <v>245</v>
      </c>
      <c r="B251" s="56" t="str">
        <f>IFERROR(HYPERLINK(VLOOKUP(A251,ÜRÜNLER!A:C,3,FALSE),VLOOKUP(A251,ÜRÜNLER!A:B,2,FALSE)),"")</f>
        <v>iQ500 Düz Davlumbaz, 60cm, 645m3, Beyaz Cam</v>
      </c>
      <c r="C251" s="5">
        <v>12</v>
      </c>
      <c r="D251" s="5"/>
      <c r="E251" s="6"/>
      <c r="F251" s="6"/>
      <c r="G251" s="6"/>
      <c r="H251" s="6"/>
      <c r="I251" s="7">
        <v>1</v>
      </c>
      <c r="J251" s="7"/>
      <c r="K251" s="6"/>
      <c r="L251" s="6"/>
      <c r="M251" s="7"/>
      <c r="N251" s="59">
        <f t="shared" si="9"/>
        <v>13</v>
      </c>
      <c r="O251" s="60"/>
      <c r="P251" s="48"/>
      <c r="Q251" s="139" t="s">
        <v>1782</v>
      </c>
      <c r="R251" s="151">
        <v>15000</v>
      </c>
      <c r="S251" s="141">
        <v>15600</v>
      </c>
      <c r="T251" s="141">
        <v>16200</v>
      </c>
      <c r="U251" s="142"/>
      <c r="V251" s="140"/>
      <c r="W251" s="146">
        <v>250</v>
      </c>
    </row>
    <row r="252" spans="1:24">
      <c r="A252" s="107" t="s">
        <v>246</v>
      </c>
      <c r="B252" s="56" t="str">
        <f>IFERROR(HYPERLINK(VLOOKUP(A252,ÜRÜNLER!A:C,3,FALSE),VLOOKUP(A252,ÜRÜNLER!A:B,2,FALSE)),"")</f>
        <v>iQ500 Düz Davlumbaz, 60cm, 645m3, Siyah Cam</v>
      </c>
      <c r="C252" s="5"/>
      <c r="D252" s="5"/>
      <c r="E252" s="6"/>
      <c r="F252" s="6">
        <v>1</v>
      </c>
      <c r="G252" s="6"/>
      <c r="H252" s="6"/>
      <c r="I252" s="7"/>
      <c r="J252" s="7"/>
      <c r="K252" s="6"/>
      <c r="L252" s="6"/>
      <c r="M252" s="7"/>
      <c r="N252" s="59">
        <f t="shared" si="9"/>
        <v>1</v>
      </c>
      <c r="O252" s="60"/>
      <c r="P252" s="48"/>
      <c r="Q252" s="139" t="s">
        <v>1782</v>
      </c>
      <c r="R252" s="151">
        <v>17000</v>
      </c>
      <c r="S252" s="141">
        <v>17680</v>
      </c>
      <c r="T252" s="141">
        <v>18360</v>
      </c>
      <c r="U252" s="142"/>
      <c r="V252" s="140"/>
      <c r="W252" s="164">
        <v>500</v>
      </c>
    </row>
    <row r="253" spans="1:24">
      <c r="A253" s="113" t="s">
        <v>250</v>
      </c>
      <c r="B253" s="56" t="str">
        <f>IFERROR(HYPERLINK(VLOOKUP(A253,ÜRÜNLER!A:C,3,FALSE),VLOOKUP(A253,ÜRÜNLER!A:B,2,FALSE)),"")</f>
        <v>iQ500 Eğimli Davlumbaz, 60cm, 510m3, Beyaz Cam</v>
      </c>
      <c r="C253" s="5">
        <v>5</v>
      </c>
      <c r="D253" s="5"/>
      <c r="E253" s="6"/>
      <c r="F253" s="6"/>
      <c r="G253" s="6"/>
      <c r="H253" s="6"/>
      <c r="I253" s="7"/>
      <c r="J253" s="7"/>
      <c r="K253" s="6">
        <v>1</v>
      </c>
      <c r="L253" s="6"/>
      <c r="M253" s="7"/>
      <c r="N253" s="59">
        <f t="shared" si="9"/>
        <v>6</v>
      </c>
      <c r="O253" s="60">
        <v>1</v>
      </c>
      <c r="P253" s="48" t="s">
        <v>1839</v>
      </c>
      <c r="Q253" s="145">
        <v>22225.055782222753</v>
      </c>
      <c r="R253" s="145">
        <v>23336.308571333891</v>
      </c>
      <c r="S253" s="141">
        <v>24269.760914187245</v>
      </c>
      <c r="T253" s="141">
        <v>25203.213257040603</v>
      </c>
      <c r="V253" s="140"/>
      <c r="W253" s="150"/>
      <c r="X253" s="166" t="s">
        <v>1840</v>
      </c>
    </row>
    <row r="254" spans="1:24">
      <c r="A254" s="107" t="s">
        <v>251</v>
      </c>
      <c r="B254" s="56" t="str">
        <f>IFERROR(HYPERLINK(VLOOKUP(A254,ÜRÜNLER!A:C,3,FALSE),VLOOKUP(A254,ÜRÜNLER!A:B,2,FALSE)),"")</f>
        <v>iQ500 Eğimli Davlumbaz, 60cm, 700m3, Siyah Cam</v>
      </c>
      <c r="C254" s="5">
        <v>10</v>
      </c>
      <c r="D254" s="5"/>
      <c r="E254" s="6"/>
      <c r="F254" s="6">
        <v>1</v>
      </c>
      <c r="G254" s="6"/>
      <c r="H254" s="6"/>
      <c r="I254" s="7"/>
      <c r="J254" s="7"/>
      <c r="K254" s="6"/>
      <c r="L254" s="6">
        <v>1</v>
      </c>
      <c r="M254" s="7"/>
      <c r="N254" s="59">
        <f t="shared" si="9"/>
        <v>12</v>
      </c>
      <c r="O254" s="60"/>
      <c r="P254" s="48" t="s">
        <v>1839</v>
      </c>
      <c r="Q254" s="145">
        <v>22225.055782222753</v>
      </c>
      <c r="R254" s="151">
        <v>22225.055782222753</v>
      </c>
      <c r="S254" s="141">
        <v>23114.058013511662</v>
      </c>
      <c r="T254" s="141">
        <v>24003.060244800574</v>
      </c>
      <c r="V254" s="140"/>
      <c r="W254" s="150"/>
      <c r="X254" s="166" t="s">
        <v>1840</v>
      </c>
    </row>
    <row r="255" spans="1:24">
      <c r="A255" s="107" t="s">
        <v>247</v>
      </c>
      <c r="B255" s="56" t="str">
        <f>IFERROR(HYPERLINK(VLOOKUP(A255,ÜRÜNLER!A:C,3,FALSE),VLOOKUP(A255,ÜRÜNLER!A:B,2,FALSE)),"")</f>
        <v>iQ500 Eğimli Davlumbaz, 60cm, 510m3, Siyah Cam</v>
      </c>
      <c r="C255" s="5">
        <v>18</v>
      </c>
      <c r="D255" s="5"/>
      <c r="E255" s="6"/>
      <c r="F255" s="6"/>
      <c r="G255" s="6"/>
      <c r="H255" s="6"/>
      <c r="I255" s="7"/>
      <c r="J255" s="7"/>
      <c r="K255" s="6"/>
      <c r="L255" s="6"/>
      <c r="M255" s="7">
        <v>1</v>
      </c>
      <c r="N255" s="59">
        <f t="shared" si="9"/>
        <v>19</v>
      </c>
      <c r="O255" s="60"/>
      <c r="P255" s="48" t="s">
        <v>1839</v>
      </c>
      <c r="Q255" s="145">
        <v>22225.055782222753</v>
      </c>
      <c r="R255" s="151">
        <v>22225.055782222753</v>
      </c>
      <c r="S255" s="141">
        <v>23114.058013511662</v>
      </c>
      <c r="T255" s="141">
        <v>24003.060244800574</v>
      </c>
      <c r="V255" s="140"/>
      <c r="W255" s="150"/>
      <c r="X255" s="166" t="s">
        <v>1840</v>
      </c>
    </row>
    <row r="256" spans="1:24">
      <c r="A256" s="109" t="s">
        <v>248</v>
      </c>
      <c r="B256" s="56" t="str">
        <f>IFERROR(HYPERLINK(VLOOKUP(A256,ÜRÜNLER!A:C,3,FALSE),VLOOKUP(A256,ÜRÜNLER!A:B,2,FALSE)),"")</f>
        <v>iQ500 Eğimli Davlumbaz, 60cm, 510m3, Antrasit Gri Cam</v>
      </c>
      <c r="C256" s="5"/>
      <c r="D256" s="5"/>
      <c r="E256" s="6"/>
      <c r="F256" s="6"/>
      <c r="G256" s="6"/>
      <c r="H256" s="6"/>
      <c r="I256" s="7"/>
      <c r="J256" s="7">
        <v>1</v>
      </c>
      <c r="K256" s="6"/>
      <c r="L256" s="6"/>
      <c r="M256" s="7"/>
      <c r="N256" s="59">
        <f t="shared" si="9"/>
        <v>1</v>
      </c>
      <c r="O256" s="60">
        <v>22</v>
      </c>
      <c r="P256" s="48" t="s">
        <v>1839</v>
      </c>
      <c r="Q256" s="145">
        <v>22225.055782222753</v>
      </c>
      <c r="R256" s="145">
        <v>23336.308571333891</v>
      </c>
      <c r="S256" s="141">
        <v>24269.760914187245</v>
      </c>
      <c r="T256" s="141">
        <v>25203.213257040603</v>
      </c>
      <c r="V256" s="140"/>
      <c r="W256" s="150"/>
      <c r="X256" s="166" t="s">
        <v>1840</v>
      </c>
    </row>
    <row r="257" spans="1:24">
      <c r="A257" s="87" t="s">
        <v>249</v>
      </c>
      <c r="B257" s="56" t="str">
        <f>IFERROR(HYPERLINK(VLOOKUP(A257,ÜRÜNLER!A:C,3,FALSE),VLOOKUP(A257,ÜRÜNLER!A:B,2,FALSE)),"")</f>
        <v>iQ500 Eğimli Davlumbaz, 60cm, 578m3, Siyah Cam</v>
      </c>
      <c r="C257" s="5"/>
      <c r="D257" s="5"/>
      <c r="E257" s="6"/>
      <c r="F257" s="6"/>
      <c r="G257" s="6"/>
      <c r="H257" s="6"/>
      <c r="I257" s="7"/>
      <c r="J257" s="7"/>
      <c r="K257" s="6"/>
      <c r="L257" s="6">
        <v>1</v>
      </c>
      <c r="M257" s="7">
        <v>1</v>
      </c>
      <c r="N257" s="59">
        <f t="shared" si="9"/>
        <v>2</v>
      </c>
      <c r="O257" s="60"/>
      <c r="P257" s="48"/>
      <c r="Q257" s="139" t="s">
        <v>1782</v>
      </c>
      <c r="R257" s="151">
        <v>25000</v>
      </c>
      <c r="S257" s="141">
        <v>26000</v>
      </c>
      <c r="T257" s="141">
        <v>27000</v>
      </c>
      <c r="V257" s="140"/>
      <c r="W257" s="164">
        <v>500</v>
      </c>
      <c r="X257" s="142"/>
    </row>
    <row r="258" spans="1:24">
      <c r="A258" s="107" t="s">
        <v>1503</v>
      </c>
      <c r="B258" s="56" t="str">
        <f>IFERROR(HYPERLINK(VLOOKUP(A258,ÜRÜNLER!A:C,3,FALSE),VLOOKUP(A258,ÜRÜNLER!A:B,2,FALSE)),"")</f>
        <v>iQ700 Eğimli Davlumbaz, 60cm, 616m3, Siyah Cam</v>
      </c>
      <c r="C258" s="5">
        <v>10</v>
      </c>
      <c r="D258" s="5"/>
      <c r="E258" s="6"/>
      <c r="F258" s="6"/>
      <c r="G258" s="6"/>
      <c r="H258" s="6"/>
      <c r="I258" s="7">
        <v>1</v>
      </c>
      <c r="J258" s="7">
        <v>1</v>
      </c>
      <c r="K258" s="6">
        <v>1</v>
      </c>
      <c r="L258" s="6"/>
      <c r="M258" s="7"/>
      <c r="N258" s="59">
        <f t="shared" si="9"/>
        <v>13</v>
      </c>
      <c r="O258" s="60"/>
      <c r="P258" s="48" t="s">
        <v>1839</v>
      </c>
      <c r="Q258" s="145">
        <v>36363.786053704396</v>
      </c>
      <c r="R258" s="151">
        <v>36363.786053704396</v>
      </c>
      <c r="S258" s="141">
        <v>37818.337495852575</v>
      </c>
      <c r="T258" s="141">
        <v>39272.888938000746</v>
      </c>
      <c r="V258" s="140"/>
      <c r="W258" s="150"/>
      <c r="X258" s="166" t="s">
        <v>1840</v>
      </c>
    </row>
    <row r="259" spans="1:24">
      <c r="A259" s="87" t="s">
        <v>253</v>
      </c>
      <c r="B259" s="56" t="str">
        <f>IFERROR(HYPERLINK(VLOOKUP(A259,ÜRÜNLER!A:C,3,FALSE),VLOOKUP(A259,ÜRÜNLER!A:B,2,FALSE)),"")</f>
        <v>iQ700 Eğimli Davlumbaz, 90cm, 441m3, Siyah Cam</v>
      </c>
      <c r="C259" s="5">
        <v>1</v>
      </c>
      <c r="D259" s="5"/>
      <c r="E259" s="6"/>
      <c r="F259" s="6"/>
      <c r="G259" s="6"/>
      <c r="H259" s="6"/>
      <c r="I259" s="7"/>
      <c r="J259" s="7"/>
      <c r="K259" s="6"/>
      <c r="L259" s="6"/>
      <c r="M259" s="7"/>
      <c r="N259" s="59">
        <f t="shared" si="9"/>
        <v>1</v>
      </c>
      <c r="O259" s="60">
        <v>2</v>
      </c>
      <c r="P259" s="48"/>
      <c r="Q259" s="145">
        <v>66522.529622887014</v>
      </c>
      <c r="R259" s="151">
        <v>63354.790117035249</v>
      </c>
      <c r="S259" s="141">
        <v>65888.981721716656</v>
      </c>
      <c r="T259" s="141">
        <v>68423.173326398071</v>
      </c>
      <c r="U259" s="142"/>
      <c r="V259" s="140"/>
      <c r="W259" s="150"/>
    </row>
    <row r="260" spans="1:24">
      <c r="A260" s="87" t="s">
        <v>254</v>
      </c>
      <c r="B260" s="56" t="str">
        <f>IFERROR(HYPERLINK(VLOOKUP(A260,ÜRÜNLER!A:C,3,FALSE),VLOOKUP(A260,ÜRÜNLER!A:B,2,FALSE)),"")</f>
        <v>iQ700 studioLine Eğimli Davlumbaz, 90cm, 441m3, Siyah Cam</v>
      </c>
      <c r="C260" s="5"/>
      <c r="D260" s="5">
        <v>1</v>
      </c>
      <c r="E260" s="6"/>
      <c r="F260" s="6"/>
      <c r="G260" s="6"/>
      <c r="H260" s="6"/>
      <c r="I260" s="7"/>
      <c r="J260" s="7"/>
      <c r="K260" s="6"/>
      <c r="L260" s="6">
        <v>1</v>
      </c>
      <c r="M260" s="7"/>
      <c r="N260" s="59">
        <f t="shared" si="9"/>
        <v>2</v>
      </c>
      <c r="O260" s="60"/>
      <c r="P260" s="48"/>
      <c r="Q260" s="159">
        <v>99737.407074028422</v>
      </c>
      <c r="R260" s="159">
        <v>89763.666366625577</v>
      </c>
      <c r="S260" s="141">
        <v>93354.213021290605</v>
      </c>
      <c r="T260" s="141">
        <v>96944.759675955618</v>
      </c>
      <c r="U260" s="142"/>
      <c r="V260" s="140"/>
      <c r="W260" s="146">
        <v>250</v>
      </c>
    </row>
    <row r="261" spans="1:24">
      <c r="A261" s="87" t="s">
        <v>255</v>
      </c>
      <c r="B261" s="56" t="str">
        <f>IFERROR(HYPERLINK(VLOOKUP(A261,ÜRÜNLER!A:C,3,FALSE),VLOOKUP(A261,ÜRÜNLER!A:B,2,FALSE)),"")</f>
        <v>iQ100 Düz Davlumbaz, 90cm, 616m3, Inox</v>
      </c>
      <c r="C261" s="5">
        <v>1</v>
      </c>
      <c r="D261" s="5"/>
      <c r="E261" s="6"/>
      <c r="F261" s="6"/>
      <c r="G261" s="6"/>
      <c r="H261" s="6"/>
      <c r="I261" s="7"/>
      <c r="J261" s="7">
        <v>1</v>
      </c>
      <c r="K261" s="6"/>
      <c r="L261" s="6"/>
      <c r="M261" s="7"/>
      <c r="N261" s="59">
        <f t="shared" si="9"/>
        <v>2</v>
      </c>
      <c r="O261" s="60"/>
      <c r="P261" s="48"/>
      <c r="Q261" s="145">
        <v>27597.559366538866</v>
      </c>
      <c r="R261" s="167">
        <v>24837.803429884982</v>
      </c>
      <c r="S261" s="141">
        <v>25831.315567080383</v>
      </c>
      <c r="T261" s="141">
        <v>26824.82770427578</v>
      </c>
      <c r="U261" s="142"/>
      <c r="V261" s="140"/>
      <c r="W261" s="150"/>
    </row>
    <row r="262" spans="1:24">
      <c r="A262" s="114" t="s">
        <v>256</v>
      </c>
      <c r="B262" s="56" t="str">
        <f>IFERROR(HYPERLINK(VLOOKUP(A262,ÜRÜNLER!A:C,3,FALSE),VLOOKUP(A262,ÜRÜNLER!A:B,2,FALSE)),"")</f>
        <v>iQ300 Düz Davlumbaz, 90cm, 649m3, Antrasit Gri Cam</v>
      </c>
      <c r="C262" s="5">
        <v>4</v>
      </c>
      <c r="D262" s="5"/>
      <c r="E262" s="6"/>
      <c r="F262" s="6"/>
      <c r="G262" s="6"/>
      <c r="H262" s="6"/>
      <c r="I262" s="7"/>
      <c r="J262" s="7"/>
      <c r="K262" s="6"/>
      <c r="L262" s="6"/>
      <c r="M262" s="7"/>
      <c r="N262" s="59">
        <f t="shared" si="9"/>
        <v>4</v>
      </c>
      <c r="O262" s="60"/>
      <c r="P262" s="48"/>
      <c r="Q262" s="145">
        <v>28825.818980940763</v>
      </c>
      <c r="R262" s="167">
        <v>25943.237082846688</v>
      </c>
      <c r="S262" s="141">
        <v>26980.966566160554</v>
      </c>
      <c r="T262" s="141">
        <v>28018.696049474423</v>
      </c>
      <c r="U262" s="142"/>
      <c r="V262" s="140"/>
      <c r="W262" s="150"/>
    </row>
    <row r="263" spans="1:24">
      <c r="A263" s="92" t="s">
        <v>257</v>
      </c>
      <c r="B263" s="56" t="str">
        <f>IFERROR(HYPERLINK(VLOOKUP(A263,ÜRÜNLER!A:C,3,FALSE),VLOOKUP(A263,ÜRÜNLER!A:B,2,FALSE)),"")</f>
        <v>iQ300 Düz Davlumbaz, 90cm, 649m3, Beyaz Cam</v>
      </c>
      <c r="C263" s="5">
        <v>18</v>
      </c>
      <c r="D263" s="5"/>
      <c r="E263" s="6"/>
      <c r="F263" s="6"/>
      <c r="G263" s="6"/>
      <c r="H263" s="6"/>
      <c r="I263" s="7"/>
      <c r="J263" s="7"/>
      <c r="K263" s="6"/>
      <c r="L263" s="6"/>
      <c r="M263" s="7"/>
      <c r="N263" s="59">
        <f t="shared" si="9"/>
        <v>18</v>
      </c>
      <c r="O263" s="60"/>
      <c r="P263" s="48"/>
      <c r="Q263" s="145">
        <v>28825.818980940763</v>
      </c>
      <c r="R263" s="167">
        <v>25943.237082846688</v>
      </c>
      <c r="S263" s="141">
        <v>26980.966566160554</v>
      </c>
      <c r="T263" s="141">
        <v>28018.696049474423</v>
      </c>
      <c r="U263" s="142"/>
      <c r="V263" s="140"/>
      <c r="W263" s="150"/>
    </row>
    <row r="264" spans="1:24">
      <c r="A264" s="112" t="s">
        <v>1521</v>
      </c>
      <c r="B264" s="56" t="str">
        <f>IFERROR(HYPERLINK(VLOOKUP(A264,ÜRÜNLER!A:C,3,FALSE),VLOOKUP(A264,ÜRÜNLER!A:B,2,FALSE)),"")</f>
        <v>iQ300 Düz Davlumbaz, 90cm, 649m3, Beyaz Cam</v>
      </c>
      <c r="C264" s="5"/>
      <c r="D264" s="5"/>
      <c r="E264" s="6"/>
      <c r="F264" s="6"/>
      <c r="G264" s="6"/>
      <c r="H264" s="6"/>
      <c r="I264" s="7"/>
      <c r="J264" s="7"/>
      <c r="K264" s="6"/>
      <c r="L264" s="6"/>
      <c r="M264" s="7"/>
      <c r="N264" s="59">
        <f t="shared" si="9"/>
        <v>0</v>
      </c>
      <c r="O264" s="60"/>
      <c r="P264" s="48"/>
      <c r="Q264" s="145">
        <v>28825.818980940763</v>
      </c>
      <c r="R264" s="151">
        <v>28825.818980940763</v>
      </c>
      <c r="S264" s="141">
        <v>29978.851740178394</v>
      </c>
      <c r="T264" s="141">
        <v>31131.884499416024</v>
      </c>
      <c r="U264" s="142"/>
      <c r="V264" s="140"/>
      <c r="W264" s="146">
        <v>250</v>
      </c>
    </row>
    <row r="265" spans="1:24">
      <c r="A265" s="109" t="s">
        <v>258</v>
      </c>
      <c r="B265" s="56" t="str">
        <f>IFERROR(HYPERLINK(VLOOKUP(A265,ÜRÜNLER!A:C,3,FALSE),VLOOKUP(A265,ÜRÜNLER!A:B,2,FALSE)),"")</f>
        <v>iQ300 Düz Davlumbaz, 90cm, 649m3, Titanyum Gri Cam</v>
      </c>
      <c r="C265" s="5">
        <v>3</v>
      </c>
      <c r="D265" s="5"/>
      <c r="E265" s="6"/>
      <c r="F265" s="6"/>
      <c r="G265" s="6"/>
      <c r="H265" s="6"/>
      <c r="I265" s="7">
        <v>1</v>
      </c>
      <c r="J265" s="7"/>
      <c r="K265" s="6"/>
      <c r="L265" s="6"/>
      <c r="M265" s="7"/>
      <c r="N265" s="59">
        <f t="shared" si="9"/>
        <v>4</v>
      </c>
      <c r="O265" s="60"/>
      <c r="P265" s="48"/>
      <c r="Q265" s="139" t="s">
        <v>1782</v>
      </c>
      <c r="R265" s="151">
        <v>20000</v>
      </c>
      <c r="S265" s="141">
        <v>20800</v>
      </c>
      <c r="T265" s="141">
        <v>21600</v>
      </c>
      <c r="U265" s="142"/>
      <c r="V265" s="140"/>
      <c r="W265" s="150"/>
    </row>
    <row r="266" spans="1:24">
      <c r="A266" s="87" t="s">
        <v>259</v>
      </c>
      <c r="B266" s="56" t="str">
        <f>IFERROR(HYPERLINK(VLOOKUP(A266,ÜRÜNLER!A:C,3,FALSE),VLOOKUP(A266,ÜRÜNLER!A:B,2,FALSE)),"")</f>
        <v>iQ300 Eğimli Davlumbaz, 90cm, 629m3, Beyaz Cam</v>
      </c>
      <c r="C266" s="5">
        <v>20</v>
      </c>
      <c r="D266" s="5"/>
      <c r="E266" s="6"/>
      <c r="F266" s="6"/>
      <c r="G266" s="6"/>
      <c r="H266" s="6"/>
      <c r="I266" s="7">
        <v>1</v>
      </c>
      <c r="J266" s="7">
        <v>1</v>
      </c>
      <c r="K266" s="6">
        <v>1</v>
      </c>
      <c r="L266" s="6">
        <v>1</v>
      </c>
      <c r="M266" s="7"/>
      <c r="N266" s="59">
        <f t="shared" si="9"/>
        <v>24</v>
      </c>
      <c r="O266" s="60"/>
      <c r="P266" s="48"/>
      <c r="Q266" s="139" t="s">
        <v>1782</v>
      </c>
      <c r="R266" s="151">
        <v>20000</v>
      </c>
      <c r="S266" s="141">
        <v>20800</v>
      </c>
      <c r="T266" s="141">
        <v>21600</v>
      </c>
      <c r="U266" s="142"/>
      <c r="V266" s="140"/>
      <c r="W266" s="146">
        <v>250</v>
      </c>
    </row>
    <row r="267" spans="1:24">
      <c r="A267" s="112" t="s">
        <v>1408</v>
      </c>
      <c r="B267" s="56" t="str">
        <f>IFERROR(HYPERLINK(VLOOKUP(A267,ÜRÜNLER!A:C,3,FALSE),VLOOKUP(A267,ÜRÜNLER!A:B,2,FALSE)),"")</f>
        <v>iQ300 Eğimli Davlumbaz, 90cm, 629m3, Siyah Cam</v>
      </c>
      <c r="C267" s="5"/>
      <c r="D267" s="5"/>
      <c r="E267" s="6"/>
      <c r="F267" s="6"/>
      <c r="G267" s="6"/>
      <c r="H267" s="6"/>
      <c r="I267" s="7"/>
      <c r="J267" s="7"/>
      <c r="K267" s="6">
        <v>1</v>
      </c>
      <c r="L267" s="6"/>
      <c r="M267" s="7"/>
      <c r="N267" s="59">
        <f t="shared" si="9"/>
        <v>1</v>
      </c>
      <c r="O267" s="60"/>
      <c r="P267" s="48"/>
      <c r="Q267" s="139" t="s">
        <v>1782</v>
      </c>
      <c r="R267" s="151">
        <v>25000</v>
      </c>
      <c r="S267" s="141">
        <v>26000</v>
      </c>
      <c r="T267" s="141">
        <v>27000</v>
      </c>
      <c r="U267" s="142"/>
      <c r="V267" s="140"/>
      <c r="W267" s="143">
        <v>500</v>
      </c>
    </row>
    <row r="268" spans="1:24">
      <c r="A268" s="87" t="s">
        <v>260</v>
      </c>
      <c r="B268" s="56" t="str">
        <f>IFERROR(HYPERLINK(VLOOKUP(A268,ÜRÜNLER!A:C,3,FALSE),VLOOKUP(A268,ÜRÜNLER!A:B,2,FALSE)),"")</f>
        <v>iQ300 Düz Davlumbaz, 90cm, 468m3, Inox</v>
      </c>
      <c r="C268" s="5">
        <v>4</v>
      </c>
      <c r="D268" s="5"/>
      <c r="E268" s="6"/>
      <c r="F268" s="6"/>
      <c r="G268" s="6"/>
      <c r="H268" s="6"/>
      <c r="I268" s="7"/>
      <c r="J268" s="7"/>
      <c r="K268" s="6"/>
      <c r="L268" s="6"/>
      <c r="M268" s="7"/>
      <c r="N268" s="59">
        <f t="shared" si="9"/>
        <v>4</v>
      </c>
      <c r="O268" s="60"/>
      <c r="P268" s="48"/>
      <c r="Q268" s="139" t="s">
        <v>1782</v>
      </c>
      <c r="R268" s="151">
        <v>39195.714086911241</v>
      </c>
      <c r="S268" s="141">
        <v>40763.542650387688</v>
      </c>
      <c r="T268" s="141">
        <v>42331.371213864142</v>
      </c>
      <c r="U268" s="142"/>
      <c r="V268" s="140"/>
      <c r="W268" s="150"/>
    </row>
    <row r="269" spans="1:24">
      <c r="A269" s="87" t="s">
        <v>261</v>
      </c>
      <c r="B269" s="56" t="str">
        <f>IFERROR(HYPERLINK(VLOOKUP(A269,ÜRÜNLER!A:C,3,FALSE),VLOOKUP(A269,ÜRÜNLER!A:B,2,FALSE)),"")</f>
        <v>iQ500 Düz Davlumbaz, 90cm, 394m3, Siyah Cam</v>
      </c>
      <c r="C269" s="5">
        <v>1</v>
      </c>
      <c r="D269" s="5"/>
      <c r="E269" s="6"/>
      <c r="F269" s="6"/>
      <c r="G269" s="6"/>
      <c r="H269" s="6"/>
      <c r="I269" s="7"/>
      <c r="J269" s="7"/>
      <c r="K269" s="6"/>
      <c r="L269" s="6"/>
      <c r="M269" s="7"/>
      <c r="N269" s="59">
        <f t="shared" si="9"/>
        <v>1</v>
      </c>
      <c r="O269" s="60"/>
      <c r="P269" s="48"/>
      <c r="Q269" s="139" t="s">
        <v>1782</v>
      </c>
      <c r="R269" s="151">
        <v>51000</v>
      </c>
      <c r="S269" s="141">
        <v>53040</v>
      </c>
      <c r="T269" s="141">
        <v>55080</v>
      </c>
      <c r="U269" s="142"/>
      <c r="V269" s="140"/>
      <c r="W269" s="146">
        <v>250</v>
      </c>
    </row>
    <row r="270" spans="1:24">
      <c r="A270" s="87" t="s">
        <v>263</v>
      </c>
      <c r="B270" s="56" t="str">
        <f>IFERROR(HYPERLINK(VLOOKUP(A270,ÜRÜNLER!A:C,3,FALSE),VLOOKUP(A270,ÜRÜNLER!A:B,2,FALSE)),"")</f>
        <v>iQ700 Düz Davlumbaz, 90cm, 394m3, Siyah Cam</v>
      </c>
      <c r="C270" s="5"/>
      <c r="D270" s="5"/>
      <c r="E270" s="6"/>
      <c r="F270" s="6"/>
      <c r="G270" s="6"/>
      <c r="H270" s="6"/>
      <c r="I270" s="7"/>
      <c r="J270" s="7">
        <v>1</v>
      </c>
      <c r="K270" s="6"/>
      <c r="L270" s="6"/>
      <c r="M270" s="7"/>
      <c r="N270" s="59">
        <f t="shared" si="9"/>
        <v>1</v>
      </c>
      <c r="O270" s="60"/>
      <c r="P270" s="48"/>
      <c r="Q270" s="139" t="s">
        <v>1782</v>
      </c>
      <c r="R270" s="151">
        <v>56000</v>
      </c>
      <c r="S270" s="141">
        <v>58240</v>
      </c>
      <c r="T270" s="141">
        <v>60480</v>
      </c>
      <c r="U270" s="142"/>
      <c r="V270" s="140"/>
      <c r="W270" s="143">
        <v>1000</v>
      </c>
    </row>
    <row r="271" spans="1:24">
      <c r="A271" s="113" t="s">
        <v>264</v>
      </c>
      <c r="B271" s="56" t="str">
        <f>IFERROR(HYPERLINK(VLOOKUP(A271,ÜRÜNLER!A:C,3,FALSE),VLOOKUP(A271,ÜRÜNLER!A:B,2,FALSE)),"")</f>
        <v>iQ500 Eğimli Davlumbaz, 90cm, 510m3, Beyaz Cam</v>
      </c>
      <c r="C271" s="5">
        <v>3</v>
      </c>
      <c r="D271" s="5"/>
      <c r="E271" s="6"/>
      <c r="F271" s="6"/>
      <c r="G271" s="6"/>
      <c r="H271" s="6"/>
      <c r="I271" s="7"/>
      <c r="J271" s="7"/>
      <c r="K271" s="6"/>
      <c r="L271" s="6"/>
      <c r="M271" s="7"/>
      <c r="N271" s="59">
        <f t="shared" si="9"/>
        <v>3</v>
      </c>
      <c r="O271" s="60"/>
      <c r="P271" s="48" t="s">
        <v>1839</v>
      </c>
      <c r="Q271" s="145">
        <v>33510.027253272019</v>
      </c>
      <c r="R271" s="145">
        <v>35185.528615935618</v>
      </c>
      <c r="S271" s="141">
        <v>36592.949760573043</v>
      </c>
      <c r="T271" s="141">
        <v>38000.370905210468</v>
      </c>
      <c r="V271" s="140"/>
      <c r="W271" s="150"/>
      <c r="X271" s="166" t="s">
        <v>1840</v>
      </c>
    </row>
    <row r="272" spans="1:24">
      <c r="A272" s="107" t="s">
        <v>265</v>
      </c>
      <c r="B272" s="56" t="str">
        <f>IFERROR(HYPERLINK(VLOOKUP(A272,ÜRÜNLER!A:C,3,FALSE),VLOOKUP(A272,ÜRÜNLER!A:B,2,FALSE)),"")</f>
        <v>iQ500 Eğimli Davlumbaz, 90cm, 510m3, Siyah Cam</v>
      </c>
      <c r="C272" s="5">
        <v>2</v>
      </c>
      <c r="D272" s="5"/>
      <c r="E272" s="6"/>
      <c r="F272" s="6"/>
      <c r="G272" s="6"/>
      <c r="H272" s="6"/>
      <c r="I272" s="7"/>
      <c r="J272" s="7"/>
      <c r="K272" s="6"/>
      <c r="L272" s="6"/>
      <c r="M272" s="7"/>
      <c r="N272" s="59">
        <f t="shared" si="9"/>
        <v>2</v>
      </c>
      <c r="O272" s="60"/>
      <c r="P272" s="48"/>
      <c r="Q272" s="145">
        <v>33510.027253272019</v>
      </c>
      <c r="R272" s="151">
        <v>33510.027253272019</v>
      </c>
      <c r="S272" s="141">
        <v>34850.428343402898</v>
      </c>
      <c r="T272" s="141">
        <v>36190.829433533778</v>
      </c>
      <c r="V272" s="140"/>
      <c r="W272" s="150"/>
      <c r="X272" s="142"/>
    </row>
    <row r="273" spans="1:24">
      <c r="A273" s="109" t="s">
        <v>266</v>
      </c>
      <c r="B273" s="56" t="str">
        <f>IFERROR(HYPERLINK(VLOOKUP(A273,ÜRÜNLER!A:C,3,FALSE),VLOOKUP(A273,ÜRÜNLER!A:B,2,FALSE)),"")</f>
        <v>iQ500 Eğimli Davlumbaz, 90cm, 510m3, Antrasit Gri Cam</v>
      </c>
      <c r="C273" s="5"/>
      <c r="D273" s="5"/>
      <c r="E273" s="6"/>
      <c r="F273" s="6"/>
      <c r="G273" s="6"/>
      <c r="H273" s="6"/>
      <c r="I273" s="7"/>
      <c r="J273" s="7"/>
      <c r="K273" s="6"/>
      <c r="L273" s="6"/>
      <c r="M273" s="7"/>
      <c r="N273" s="59">
        <f t="shared" si="9"/>
        <v>0</v>
      </c>
      <c r="O273" s="60"/>
      <c r="P273" s="48" t="s">
        <v>1839</v>
      </c>
      <c r="Q273" s="145">
        <v>33510.027253272019</v>
      </c>
      <c r="R273" s="145">
        <v>35185.528615935618</v>
      </c>
      <c r="S273" s="141">
        <v>36592.949760573043</v>
      </c>
      <c r="T273" s="141">
        <v>38000.370905210468</v>
      </c>
      <c r="V273" s="140"/>
      <c r="W273" s="150"/>
      <c r="X273" s="166" t="s">
        <v>1840</v>
      </c>
    </row>
    <row r="274" spans="1:24">
      <c r="A274" s="87" t="s">
        <v>267</v>
      </c>
      <c r="B274" s="56" t="str">
        <f>IFERROR(HYPERLINK(VLOOKUP(A274,ÜRÜNLER!A:C,3,FALSE),VLOOKUP(A274,ÜRÜNLER!A:B,2,FALSE)),"")</f>
        <v>iQ500 Düz Davlumbaz, 90cm, 430m3, Inox</v>
      </c>
      <c r="C274" s="5">
        <v>2</v>
      </c>
      <c r="D274" s="5"/>
      <c r="E274" s="6"/>
      <c r="F274" s="6"/>
      <c r="G274" s="6"/>
      <c r="H274" s="6"/>
      <c r="I274" s="7"/>
      <c r="J274" s="7"/>
      <c r="K274" s="6"/>
      <c r="L274" s="6"/>
      <c r="M274" s="7"/>
      <c r="N274" s="59">
        <f t="shared" si="9"/>
        <v>2</v>
      </c>
      <c r="O274" s="60"/>
      <c r="P274" s="48"/>
      <c r="Q274" s="139" t="s">
        <v>1782</v>
      </c>
      <c r="R274" s="140">
        <v>26000</v>
      </c>
      <c r="S274" s="141">
        <v>27040</v>
      </c>
      <c r="T274" s="141">
        <v>28080</v>
      </c>
      <c r="U274" s="142"/>
      <c r="V274" s="140"/>
      <c r="W274" s="146">
        <v>250</v>
      </c>
    </row>
    <row r="275" spans="1:24">
      <c r="A275" s="87" t="s">
        <v>268</v>
      </c>
      <c r="B275" s="56" t="str">
        <f>IFERROR(HYPERLINK(VLOOKUP(A275,ÜRÜNLER!A:C,3,FALSE),VLOOKUP(A275,ÜRÜNLER!A:B,2,FALSE)),"")</f>
        <v>iQ500 Eğimli Davlumbaz, 90cm, 370m3, Cam Dekorlu Inox</v>
      </c>
      <c r="C275" s="5">
        <v>7</v>
      </c>
      <c r="D275" s="5"/>
      <c r="E275" s="6"/>
      <c r="F275" s="6"/>
      <c r="G275" s="6"/>
      <c r="H275" s="6"/>
      <c r="I275" s="7"/>
      <c r="J275" s="7"/>
      <c r="K275" s="6"/>
      <c r="L275" s="6"/>
      <c r="M275" s="7"/>
      <c r="N275" s="59">
        <f t="shared" si="9"/>
        <v>7</v>
      </c>
      <c r="O275" s="60"/>
      <c r="P275" s="48"/>
      <c r="Q275" s="139" t="s">
        <v>1782</v>
      </c>
      <c r="R275" s="140">
        <v>26000</v>
      </c>
      <c r="S275" s="141">
        <v>27040</v>
      </c>
      <c r="T275" s="141">
        <v>28080</v>
      </c>
      <c r="U275" s="142"/>
      <c r="V275" s="140"/>
      <c r="W275" s="146">
        <v>250</v>
      </c>
    </row>
    <row r="276" spans="1:24">
      <c r="A276" s="87" t="s">
        <v>269</v>
      </c>
      <c r="B276" s="56" t="str">
        <f>IFERROR(HYPERLINK(VLOOKUP(A276,ÜRÜNLER!A:C,3,FALSE),VLOOKUP(A276,ÜRÜNLER!A:B,2,FALSE)),"")</f>
        <v>iQ500 Eğimli Davlumbaz, 90cm, 468m3, Siyah Cam</v>
      </c>
      <c r="C276" s="5"/>
      <c r="D276" s="5"/>
      <c r="E276" s="6"/>
      <c r="F276" s="6"/>
      <c r="G276" s="6"/>
      <c r="H276" s="6">
        <v>1</v>
      </c>
      <c r="I276" s="7"/>
      <c r="J276" s="7"/>
      <c r="K276" s="6"/>
      <c r="L276" s="6"/>
      <c r="M276" s="7"/>
      <c r="N276" s="59">
        <f t="shared" si="9"/>
        <v>1</v>
      </c>
      <c r="O276" s="60"/>
      <c r="P276" s="48"/>
      <c r="Q276" s="139" t="s">
        <v>1782</v>
      </c>
      <c r="R276" s="159">
        <v>65000</v>
      </c>
      <c r="S276" s="141">
        <v>67600</v>
      </c>
      <c r="T276" s="141">
        <v>70200</v>
      </c>
      <c r="U276" s="142"/>
      <c r="V276" s="140"/>
      <c r="W276" s="143">
        <v>1000</v>
      </c>
    </row>
    <row r="277" spans="1:24">
      <c r="A277" s="87" t="s">
        <v>271</v>
      </c>
      <c r="B277" s="56" t="str">
        <f>IFERROR(HYPERLINK(VLOOKUP(A277,ÜRÜNLER!A:C,3,FALSE),VLOOKUP(A277,ÜRÜNLER!A:B,2,FALSE)),"")</f>
        <v>iQ700 studioLine Tezgaha Entegre Davlumbaz, 80cm, Siyah/Cam</v>
      </c>
      <c r="C277" s="5"/>
      <c r="D277" s="5">
        <v>1</v>
      </c>
      <c r="E277" s="6"/>
      <c r="F277" s="6"/>
      <c r="G277" s="6"/>
      <c r="H277" s="6">
        <v>1</v>
      </c>
      <c r="I277" s="7"/>
      <c r="J277" s="7"/>
      <c r="K277" s="6"/>
      <c r="L277" s="6"/>
      <c r="M277" s="7"/>
      <c r="N277" s="59">
        <f t="shared" si="9"/>
        <v>2</v>
      </c>
      <c r="O277" s="60"/>
      <c r="P277" s="48"/>
      <c r="Q277" s="159">
        <v>176757.24375217297</v>
      </c>
      <c r="R277" s="159">
        <v>159081.51937695569</v>
      </c>
      <c r="S277" s="141">
        <v>165444.78015203393</v>
      </c>
      <c r="T277" s="141">
        <v>171808.04092711216</v>
      </c>
      <c r="U277" s="142"/>
      <c r="V277" s="140"/>
      <c r="W277" s="146">
        <v>250</v>
      </c>
    </row>
    <row r="278" spans="1:24">
      <c r="A278" s="87" t="s">
        <v>272</v>
      </c>
      <c r="B278" s="56" t="str">
        <f>IFERROR(HYPERLINK(VLOOKUP(A278,ÜRÜNLER!A:C,3,FALSE),VLOOKUP(A278,ÜRÜNLER!A:B,2,FALSE)),"")</f>
        <v>iQ300 Ada Tipi Davlumbaz, 90cm, 438m3, Inox</v>
      </c>
      <c r="C278" s="5">
        <v>2</v>
      </c>
      <c r="D278" s="5"/>
      <c r="E278" s="6"/>
      <c r="F278" s="6"/>
      <c r="G278" s="6"/>
      <c r="H278" s="6"/>
      <c r="I278" s="7">
        <v>1</v>
      </c>
      <c r="J278" s="7"/>
      <c r="K278" s="6"/>
      <c r="L278" s="6">
        <v>2</v>
      </c>
      <c r="M278" s="7"/>
      <c r="N278" s="59">
        <f t="shared" si="9"/>
        <v>5</v>
      </c>
      <c r="O278" s="60"/>
      <c r="P278" s="48"/>
      <c r="Q278" s="145">
        <v>63515.397354714543</v>
      </c>
      <c r="R278" s="151">
        <v>63515.397354714543</v>
      </c>
      <c r="S278" s="141">
        <v>66056.013248903124</v>
      </c>
      <c r="T278" s="141">
        <v>68596.629143091704</v>
      </c>
      <c r="U278" s="142"/>
      <c r="V278" s="140"/>
      <c r="W278" s="150"/>
    </row>
    <row r="279" spans="1:24">
      <c r="A279" s="87" t="s">
        <v>273</v>
      </c>
      <c r="B279" s="56" t="str">
        <f>IFERROR(HYPERLINK(VLOOKUP(A279,ÜRÜNLER!A:C,3,FALSE),VLOOKUP(A279,ÜRÜNLER!A:B,2,FALSE)),"")</f>
        <v>iQ500 studioLine Ada Tipi Davlumbaz, 90cm, Inox</v>
      </c>
      <c r="C279" s="5"/>
      <c r="D279" s="5">
        <v>2</v>
      </c>
      <c r="E279" s="6"/>
      <c r="F279" s="6"/>
      <c r="G279" s="6"/>
      <c r="H279" s="6">
        <v>1</v>
      </c>
      <c r="I279" s="7"/>
      <c r="J279" s="7"/>
      <c r="K279" s="6"/>
      <c r="L279" s="6"/>
      <c r="M279" s="7"/>
      <c r="N279" s="59">
        <f t="shared" si="9"/>
        <v>3</v>
      </c>
      <c r="O279" s="60"/>
      <c r="P279" s="48"/>
      <c r="Q279" s="159">
        <v>106742.33838065849</v>
      </c>
      <c r="R279" s="159">
        <v>96068.104542592642</v>
      </c>
      <c r="S279" s="141">
        <v>99910.828724296342</v>
      </c>
      <c r="T279" s="141">
        <v>103753.55290600006</v>
      </c>
      <c r="U279" s="142"/>
      <c r="V279" s="140"/>
      <c r="W279" s="146">
        <v>250</v>
      </c>
    </row>
    <row r="280" spans="1:24">
      <c r="A280" s="87" t="s">
        <v>270</v>
      </c>
      <c r="B280" s="56" t="str">
        <f>IFERROR(HYPERLINK(VLOOKUP(A280,ÜRÜNLER!A:C,3,FALSE),VLOOKUP(A280,ÜRÜNLER!A:B,2,FALSE)),"")</f>
        <v>iQ700 studioLine Tavan Tipi Davlumbaz, 105cm, Siyah</v>
      </c>
      <c r="C280" s="5"/>
      <c r="D280" s="5">
        <v>6</v>
      </c>
      <c r="E280" s="6"/>
      <c r="F280" s="6"/>
      <c r="G280" s="6"/>
      <c r="H280" s="6">
        <v>1</v>
      </c>
      <c r="I280" s="7"/>
      <c r="J280" s="7"/>
      <c r="K280" s="6"/>
      <c r="L280" s="6"/>
      <c r="M280" s="7"/>
      <c r="N280" s="59">
        <f t="shared" si="9"/>
        <v>7</v>
      </c>
      <c r="O280" s="60"/>
      <c r="P280" s="48"/>
      <c r="Q280" s="159">
        <v>312099.04977688513</v>
      </c>
      <c r="R280" s="159">
        <v>250000</v>
      </c>
      <c r="S280" s="141">
        <v>260000</v>
      </c>
      <c r="T280" s="141">
        <v>270000</v>
      </c>
      <c r="U280" s="142"/>
      <c r="V280" s="140"/>
      <c r="W280" s="143">
        <v>1000</v>
      </c>
    </row>
    <row r="281" spans="1:24" ht="33.75" customHeight="1">
      <c r="A281" s="106" t="s">
        <v>1748</v>
      </c>
      <c r="B281" s="56" t="str">
        <f>IFERROR(HYPERLINK(VLOOKUP(A281,ÜRÜNLER!A:C,3,FALSE),VLOOKUP(A281,ÜRÜNLER!A:B,2,FALSE)),"")</f>
        <v/>
      </c>
      <c r="C281" s="5"/>
      <c r="D281" s="5"/>
      <c r="E281" s="6"/>
      <c r="F281" s="6"/>
      <c r="G281" s="6"/>
      <c r="H281" s="6"/>
      <c r="I281" s="7"/>
      <c r="J281" s="7"/>
      <c r="K281" s="6"/>
      <c r="L281" s="6"/>
      <c r="M281" s="7"/>
      <c r="N281" s="59">
        <f>SUM(N231:N280)</f>
        <v>311</v>
      </c>
      <c r="O281" s="60"/>
      <c r="P281" s="6"/>
      <c r="Q281" s="139"/>
      <c r="R281" s="140"/>
      <c r="S281" s="141"/>
      <c r="T281" s="141"/>
      <c r="U281" s="142"/>
      <c r="V281" s="140"/>
      <c r="W281" s="150"/>
    </row>
    <row r="282" spans="1:24">
      <c r="A282" s="91" t="s">
        <v>277</v>
      </c>
      <c r="B282" s="56" t="str">
        <f>IFERROR(HYPERLINK(VLOOKUP(A282,ÜRÜNLER!A:C,3,FALSE),VLOOKUP(A282,ÜRÜNLER!A:B,2,FALSE)),"")</f>
        <v>iQ100 Gömme Aspiratör, 53cm, 302m3, Gri</v>
      </c>
      <c r="C282" s="5">
        <v>14</v>
      </c>
      <c r="D282" s="5"/>
      <c r="E282" s="6"/>
      <c r="F282" s="6">
        <v>2</v>
      </c>
      <c r="G282" s="6"/>
      <c r="H282" s="6"/>
      <c r="I282" s="7"/>
      <c r="J282" s="7"/>
      <c r="K282" s="6"/>
      <c r="L282" s="6"/>
      <c r="M282" s="7"/>
      <c r="N282" s="59">
        <f t="shared" ref="N282:N292" si="10">M282+K282+L282+J282+I282+H282+G282+F282+E282+D282+C282</f>
        <v>16</v>
      </c>
      <c r="O282" s="60"/>
      <c r="P282" s="48"/>
      <c r="Q282" s="145">
        <v>12283.294659637026</v>
      </c>
      <c r="R282" s="151">
        <v>12283.294659637026</v>
      </c>
      <c r="S282" s="141">
        <v>12774.626446022507</v>
      </c>
      <c r="T282" s="141">
        <v>13265.958232407987</v>
      </c>
      <c r="U282" s="142"/>
      <c r="V282" s="140"/>
      <c r="W282" s="150"/>
    </row>
    <row r="283" spans="1:24">
      <c r="A283" s="88" t="s">
        <v>276</v>
      </c>
      <c r="B283" s="56" t="str">
        <f>IFERROR(HYPERLINK(VLOOKUP(A283,ÜRÜNLER!A:C,3,FALSE),VLOOKUP(A283,ÜRÜNLER!A:B,2,FALSE)),"")</f>
        <v>iQ500 Gömme Aspiratör, 52cm, 570m3, Inox</v>
      </c>
      <c r="C283" s="5">
        <v>4</v>
      </c>
      <c r="D283" s="5"/>
      <c r="E283" s="6"/>
      <c r="F283" s="6"/>
      <c r="G283" s="6"/>
      <c r="H283" s="6"/>
      <c r="I283" s="7"/>
      <c r="J283" s="7"/>
      <c r="K283" s="6"/>
      <c r="L283" s="6"/>
      <c r="M283" s="7"/>
      <c r="N283" s="59">
        <f t="shared" si="10"/>
        <v>4</v>
      </c>
      <c r="O283" s="60"/>
      <c r="P283" s="48"/>
      <c r="Q283" s="145">
        <v>30701.396746168586</v>
      </c>
      <c r="R283" s="151">
        <v>30701.396746168586</v>
      </c>
      <c r="S283" s="141">
        <v>31929.452616015329</v>
      </c>
      <c r="T283" s="141">
        <v>33157.508485862076</v>
      </c>
      <c r="U283" s="142"/>
      <c r="V283" s="140"/>
      <c r="W283" s="150"/>
    </row>
    <row r="284" spans="1:24">
      <c r="A284" s="91" t="s">
        <v>1636</v>
      </c>
      <c r="B284" s="56" t="str">
        <f>IFERROR(HYPERLINK(VLOOKUP(A284,ÜRÜNLER!A:C,3,FALSE),VLOOKUP(A284,ÜRÜNLER!A:B,2,FALSE)),"")</f>
        <v>iQ100 Gömme Aspiratör, 73cm, 302m3, Gri</v>
      </c>
      <c r="C284" s="5">
        <v>4</v>
      </c>
      <c r="D284" s="5"/>
      <c r="E284" s="6"/>
      <c r="F284" s="6"/>
      <c r="G284" s="6"/>
      <c r="H284" s="6"/>
      <c r="I284" s="7"/>
      <c r="J284" s="7"/>
      <c r="K284" s="6"/>
      <c r="L284" s="6"/>
      <c r="M284" s="7"/>
      <c r="N284" s="59">
        <f t="shared" si="10"/>
        <v>4</v>
      </c>
      <c r="O284" s="60"/>
      <c r="P284" s="48"/>
      <c r="Q284" s="145">
        <v>13394.970915059126</v>
      </c>
      <c r="R284" s="151">
        <v>13394.970915059126</v>
      </c>
      <c r="S284" s="141">
        <v>13930.769751661492</v>
      </c>
      <c r="T284" s="141">
        <v>14466.568588263857</v>
      </c>
      <c r="U284" s="142"/>
      <c r="V284" s="140"/>
      <c r="W284" s="150"/>
    </row>
    <row r="285" spans="1:24">
      <c r="A285" s="91" t="s">
        <v>1516</v>
      </c>
      <c r="B285" s="56" t="str">
        <f>IFERROR(HYPERLINK(VLOOKUP(A285,ÜRÜNLER!A:C,3,FALSE),VLOOKUP(A285,ÜRÜNLER!A:B,2,FALSE)),"")</f>
        <v>iQ300 Gömme Aspiratör, 75cm, 379m3, Metalik Gümüş</v>
      </c>
      <c r="C285" s="5"/>
      <c r="D285" s="5"/>
      <c r="E285" s="6"/>
      <c r="F285" s="6"/>
      <c r="G285" s="6"/>
      <c r="H285" s="6"/>
      <c r="I285" s="7">
        <v>1</v>
      </c>
      <c r="J285" s="7"/>
      <c r="K285" s="6"/>
      <c r="L285" s="6"/>
      <c r="M285" s="7"/>
      <c r="N285" s="59">
        <f t="shared" si="10"/>
        <v>1</v>
      </c>
      <c r="O285" s="60"/>
      <c r="P285" s="48"/>
      <c r="Q285" s="139" t="s">
        <v>1782</v>
      </c>
      <c r="R285" s="140">
        <v>35000</v>
      </c>
      <c r="S285" s="141">
        <v>36400</v>
      </c>
      <c r="T285" s="141">
        <v>37800</v>
      </c>
      <c r="U285" s="142"/>
      <c r="V285" s="140"/>
      <c r="W285" s="164">
        <v>1000</v>
      </c>
    </row>
    <row r="286" spans="1:24">
      <c r="A286" s="91" t="s">
        <v>279</v>
      </c>
      <c r="B286" s="56" t="str">
        <f>IFERROR(HYPERLINK(VLOOKUP(A286,ÜRÜNLER!A:C,3,FALSE),VLOOKUP(A286,ÜRÜNLER!A:B,2,FALSE)),"")</f>
        <v>iQ500 Gömme Aspiratör, 86cm, 600m3, Inox</v>
      </c>
      <c r="C286" s="5">
        <v>4</v>
      </c>
      <c r="D286" s="5"/>
      <c r="E286" s="6"/>
      <c r="F286" s="6">
        <v>1</v>
      </c>
      <c r="G286" s="6"/>
      <c r="H286" s="6"/>
      <c r="I286" s="7"/>
      <c r="J286" s="7"/>
      <c r="K286" s="6"/>
      <c r="L286" s="6"/>
      <c r="M286" s="7"/>
      <c r="N286" s="59">
        <f t="shared" si="10"/>
        <v>5</v>
      </c>
      <c r="O286" s="60"/>
      <c r="P286" s="48"/>
      <c r="Q286" s="145">
        <v>41753.899574789284</v>
      </c>
      <c r="R286" s="151">
        <v>41753.899574789284</v>
      </c>
      <c r="S286" s="141">
        <v>43424.055557780855</v>
      </c>
      <c r="T286" s="141">
        <v>45094.211540772427</v>
      </c>
      <c r="U286" s="142"/>
      <c r="V286" s="140"/>
      <c r="W286" s="150"/>
    </row>
    <row r="287" spans="1:24">
      <c r="A287" s="93" t="s">
        <v>278</v>
      </c>
      <c r="B287" s="56" t="str">
        <f>IFERROR(HYPERLINK(VLOOKUP(A287,ÜRÜNLER!A:C,3,FALSE),VLOOKUP(A287,ÜRÜNLER!A:B,2,FALSE)),"")</f>
        <v>iQ700 Gömme Aspiratör, 86cm, 595m3, Siyah</v>
      </c>
      <c r="C287" s="5">
        <v>1</v>
      </c>
      <c r="D287" s="5"/>
      <c r="E287" s="6"/>
      <c r="F287" s="6"/>
      <c r="G287" s="6"/>
      <c r="H287" s="6"/>
      <c r="I287" s="7"/>
      <c r="J287" s="7"/>
      <c r="K287" s="6"/>
      <c r="L287" s="6"/>
      <c r="M287" s="7"/>
      <c r="N287" s="59">
        <f t="shared" si="10"/>
        <v>1</v>
      </c>
      <c r="O287" s="60">
        <v>1</v>
      </c>
      <c r="P287" s="48"/>
      <c r="Q287" s="145">
        <v>46760.809604888731</v>
      </c>
      <c r="R287" s="151">
        <v>46760.809604888731</v>
      </c>
      <c r="S287" s="141">
        <v>48631.241989084279</v>
      </c>
      <c r="T287" s="141">
        <v>50501.674373279828</v>
      </c>
      <c r="U287" s="142"/>
      <c r="V287" s="140"/>
      <c r="W287" s="150"/>
    </row>
    <row r="288" spans="1:24">
      <c r="A288" s="91" t="s">
        <v>274</v>
      </c>
      <c r="B288" s="56" t="str">
        <f>IFERROR(HYPERLINK(VLOOKUP(A288,ÜRÜNLER!A:C,3,FALSE),VLOOKUP(A288,ÜRÜNLER!A:B,2,FALSE)),"")</f>
        <v>iQ100 Teleskopik Aspiratör, 60cm, 310m3, Gümüş</v>
      </c>
      <c r="C288" s="5">
        <v>2</v>
      </c>
      <c r="D288" s="5"/>
      <c r="E288" s="6"/>
      <c r="F288" s="6">
        <v>1</v>
      </c>
      <c r="G288" s="6">
        <v>1</v>
      </c>
      <c r="H288" s="6"/>
      <c r="I288" s="7"/>
      <c r="J288" s="7"/>
      <c r="K288" s="6"/>
      <c r="L288" s="6"/>
      <c r="M288" s="7"/>
      <c r="N288" s="59">
        <f t="shared" si="10"/>
        <v>4</v>
      </c>
      <c r="O288" s="60"/>
      <c r="P288" s="48"/>
      <c r="Q288" s="145">
        <v>8173.6702310901737</v>
      </c>
      <c r="R288" s="151">
        <v>8173.6702310901737</v>
      </c>
      <c r="S288" s="141">
        <v>8500.6170403337801</v>
      </c>
      <c r="T288" s="141">
        <v>8827.5638495773874</v>
      </c>
      <c r="U288" s="142"/>
      <c r="V288" s="140"/>
      <c r="W288" s="150"/>
    </row>
    <row r="289" spans="1:23">
      <c r="A289" s="91" t="s">
        <v>275</v>
      </c>
      <c r="B289" s="56" t="str">
        <f>IFERROR(HYPERLINK(VLOOKUP(A289,ÜRÜNLER!A:C,3,FALSE),VLOOKUP(A289,ÜRÜNLER!A:B,2,FALSE)),"")</f>
        <v>iQ100 Teleskopik Aspiratör, 60cm, 310m3, Beyaz</v>
      </c>
      <c r="C289" s="5">
        <v>8</v>
      </c>
      <c r="D289" s="5"/>
      <c r="E289" s="6"/>
      <c r="F289" s="6">
        <v>1</v>
      </c>
      <c r="G289" s="6"/>
      <c r="H289" s="6"/>
      <c r="I289" s="7"/>
      <c r="J289" s="7"/>
      <c r="K289" s="6"/>
      <c r="L289" s="6"/>
      <c r="M289" s="7"/>
      <c r="N289" s="59">
        <f t="shared" si="10"/>
        <v>9</v>
      </c>
      <c r="O289" s="60"/>
      <c r="P289" s="48"/>
      <c r="Q289" s="145">
        <v>8175.9693838278199</v>
      </c>
      <c r="R289" s="151">
        <v>8175.9693838278199</v>
      </c>
      <c r="S289" s="141">
        <v>8503.0081591809321</v>
      </c>
      <c r="T289" s="141">
        <v>8830.0469345340462</v>
      </c>
      <c r="U289" s="142"/>
      <c r="V289" s="140"/>
      <c r="W289" s="150"/>
    </row>
    <row r="290" spans="1:23">
      <c r="A290" s="91" t="s">
        <v>1739</v>
      </c>
      <c r="B290" s="56" t="str">
        <f>IFERROR(HYPERLINK(VLOOKUP(A290,ÜRÜNLER!A:C,3,FALSE),VLOOKUP(A290,ÜRÜNLER!A:B,2,FALSE)),"")</f>
        <v>iQ300 Tam Entegre Davlumbaz, 60cm, 582m3, Cam Dekor, Mat Siyah</v>
      </c>
      <c r="C290" s="5">
        <v>4</v>
      </c>
      <c r="D290" s="5"/>
      <c r="E290" s="6"/>
      <c r="F290" s="6"/>
      <c r="G290" s="6"/>
      <c r="H290" s="6"/>
      <c r="I290" s="7"/>
      <c r="J290" s="7"/>
      <c r="K290" s="6"/>
      <c r="L290" s="6"/>
      <c r="M290" s="7"/>
      <c r="N290" s="59">
        <f t="shared" si="10"/>
        <v>4</v>
      </c>
      <c r="O290" s="60"/>
      <c r="P290" s="48"/>
      <c r="Q290" s="145">
        <v>23392.692461206181</v>
      </c>
      <c r="R290" s="151">
        <v>23392.692461206181</v>
      </c>
      <c r="S290" s="141">
        <v>24328.400159654429</v>
      </c>
      <c r="T290" s="141">
        <v>25264.107858102674</v>
      </c>
      <c r="U290" s="142"/>
      <c r="V290" s="140"/>
      <c r="W290" s="150"/>
    </row>
    <row r="291" spans="1:23">
      <c r="A291" s="91" t="s">
        <v>1742</v>
      </c>
      <c r="B291" s="56" t="str">
        <f>IFERROR(HYPERLINK(VLOOKUP(A291,ÜRÜNLER!A:C,3,FALSE),VLOOKUP(A291,ÜRÜNLER!A:B,2,FALSE)),"")</f>
        <v>iQ500 Tam Entegre Davlumbaz, 60cm, 433m3, Cam Dekor, Mat Siyah</v>
      </c>
      <c r="C291" s="5"/>
      <c r="D291" s="5"/>
      <c r="E291" s="6"/>
      <c r="F291" s="6"/>
      <c r="G291" s="6"/>
      <c r="H291" s="6"/>
      <c r="I291" s="7"/>
      <c r="J291" s="7"/>
      <c r="K291" s="6"/>
      <c r="L291" s="6"/>
      <c r="M291" s="7"/>
      <c r="N291" s="59">
        <f t="shared" si="10"/>
        <v>0</v>
      </c>
      <c r="O291" s="60">
        <v>5</v>
      </c>
      <c r="P291" s="48"/>
      <c r="Q291" s="145">
        <v>34912.761062400008</v>
      </c>
      <c r="R291" s="151">
        <v>34912.761062400008</v>
      </c>
      <c r="S291" s="141">
        <v>36309.271504896009</v>
      </c>
      <c r="T291" s="141">
        <v>37705.78194739201</v>
      </c>
      <c r="U291" s="142"/>
      <c r="V291" s="140"/>
      <c r="W291" s="150"/>
    </row>
    <row r="292" spans="1:23">
      <c r="A292" s="91" t="s">
        <v>1745</v>
      </c>
      <c r="B292" s="56" t="str">
        <f>IFERROR(HYPERLINK(VLOOKUP(A292,ÜRÜNLER!A:C,3,FALSE),VLOOKUP(A292,ÜRÜNLER!A:B,2,FALSE)),"")</f>
        <v>iQ300 Tam Entegre Davlumbaz, 80cm, 582m3, Cam Dekor, Mat Siyah</v>
      </c>
      <c r="C292" s="5"/>
      <c r="D292" s="5"/>
      <c r="E292" s="6"/>
      <c r="F292" s="6"/>
      <c r="G292" s="6"/>
      <c r="H292" s="6"/>
      <c r="I292" s="7"/>
      <c r="J292" s="7"/>
      <c r="K292" s="6"/>
      <c r="L292" s="6"/>
      <c r="M292" s="7"/>
      <c r="N292" s="59">
        <f t="shared" si="10"/>
        <v>0</v>
      </c>
      <c r="O292" s="60">
        <v>5</v>
      </c>
      <c r="P292" s="48"/>
      <c r="Q292" s="145">
        <v>31351.540128463344</v>
      </c>
      <c r="R292" s="151">
        <v>31351.540128463344</v>
      </c>
      <c r="S292" s="141">
        <v>32605.601733601878</v>
      </c>
      <c r="T292" s="141">
        <v>33859.663338740414</v>
      </c>
      <c r="U292" s="142"/>
      <c r="V292" s="140"/>
      <c r="W292" s="150"/>
    </row>
    <row r="293" spans="1:23" ht="39.75" customHeight="1">
      <c r="A293" s="106" t="s">
        <v>280</v>
      </c>
      <c r="B293" s="56" t="str">
        <f>IFERROR(HYPERLINK(VLOOKUP(A293,ÜRÜNLER!A:C,3,FALSE),VLOOKUP(A293,ÜRÜNLER!A:B,2,FALSE)),"")</f>
        <v/>
      </c>
      <c r="C293" s="5"/>
      <c r="D293" s="5"/>
      <c r="E293" s="6"/>
      <c r="F293" s="6"/>
      <c r="G293" s="6"/>
      <c r="H293" s="6"/>
      <c r="I293" s="7"/>
      <c r="J293" s="7"/>
      <c r="K293" s="6"/>
      <c r="L293" s="6"/>
      <c r="M293" s="7"/>
      <c r="N293" s="59">
        <f>SUM(N282:N292)</f>
        <v>48</v>
      </c>
      <c r="O293" s="60"/>
      <c r="P293" s="6"/>
      <c r="Q293" s="139"/>
      <c r="R293" s="140"/>
      <c r="S293" s="141"/>
      <c r="T293" s="141"/>
      <c r="U293" s="142"/>
      <c r="V293" s="140"/>
      <c r="W293" s="150"/>
    </row>
    <row r="294" spans="1:23">
      <c r="A294" s="115" t="s">
        <v>1785</v>
      </c>
      <c r="B294" s="56" t="str">
        <f>IFERROR(HYPERLINK(VLOOKUP(A294,ÜRÜNLER!A:C,3,FALSE),VLOOKUP(A294,ÜRÜNLER!A:B,2,FALSE)),"")</f>
        <v>iQ700 Gazlı Ocak, 60cm, Sert Cam, Siyah, Döküm</v>
      </c>
      <c r="C294" s="5"/>
      <c r="D294" s="5"/>
      <c r="E294" s="6"/>
      <c r="F294" s="6"/>
      <c r="G294" s="6"/>
      <c r="H294" s="6"/>
      <c r="I294" s="7"/>
      <c r="J294" s="7"/>
      <c r="K294" s="6"/>
      <c r="L294" s="6"/>
      <c r="M294" s="7"/>
      <c r="N294" s="59">
        <f t="shared" ref="N294:N357" si="11">M294+K294+L294+J294+I294+H294+G294+F294+E294+D294+C294</f>
        <v>0</v>
      </c>
      <c r="O294" s="60">
        <v>2</v>
      </c>
      <c r="P294" s="6"/>
      <c r="Q294" s="145">
        <v>62410.717699532492</v>
      </c>
      <c r="R294" s="151">
        <v>62410.717699532492</v>
      </c>
      <c r="S294" s="141">
        <v>64907.146407513792</v>
      </c>
      <c r="T294" s="141">
        <v>67403.575115495085</v>
      </c>
      <c r="U294" s="142"/>
      <c r="V294" s="140"/>
      <c r="W294" s="150"/>
    </row>
    <row r="295" spans="1:23">
      <c r="A295" s="115" t="s">
        <v>1786</v>
      </c>
      <c r="B295" s="56" t="str">
        <f>IFERROR(HYPERLINK(VLOOKUP(A295,ÜRÜNLER!A:C,3,FALSE),VLOOKUP(A295,ÜRÜNLER!A:B,2,FALSE)),"")</f>
        <v>iQ700 Gazlı Domino Ocak, 30cm, Tek Gözlü, Seramik, Siyah, Wok</v>
      </c>
      <c r="C295" s="5"/>
      <c r="D295" s="5"/>
      <c r="E295" s="6"/>
      <c r="F295" s="6"/>
      <c r="G295" s="6"/>
      <c r="H295" s="6"/>
      <c r="I295" s="7"/>
      <c r="J295" s="7"/>
      <c r="K295" s="6"/>
      <c r="L295" s="6"/>
      <c r="M295" s="7"/>
      <c r="N295" s="59">
        <f t="shared" si="11"/>
        <v>0</v>
      </c>
      <c r="O295" s="60">
        <v>2</v>
      </c>
      <c r="P295" s="6"/>
      <c r="Q295" s="145">
        <v>43810.407637860662</v>
      </c>
      <c r="R295" s="151">
        <v>43810.407637860662</v>
      </c>
      <c r="S295" s="141">
        <v>45562.823943375086</v>
      </c>
      <c r="T295" s="141">
        <v>47315.240248889517</v>
      </c>
      <c r="U295" s="142"/>
      <c r="V295" s="140"/>
      <c r="W295" s="150"/>
    </row>
    <row r="296" spans="1:23">
      <c r="A296" s="115" t="s">
        <v>1787</v>
      </c>
      <c r="B296" s="56" t="str">
        <f>IFERROR(HYPERLINK(VLOOKUP(A296,ÜRÜNLER!A:C,3,FALSE),VLOOKUP(A296,ÜRÜNLER!A:B,2,FALSE)),"")</f>
        <v>iQ700 Gazlı Domino Ocak, 30cm, 2 Gözlü, Seramik, Siyah</v>
      </c>
      <c r="C296" s="5"/>
      <c r="D296" s="5"/>
      <c r="E296" s="6"/>
      <c r="F296" s="6"/>
      <c r="G296" s="6"/>
      <c r="H296" s="6"/>
      <c r="I296" s="7"/>
      <c r="J296" s="7"/>
      <c r="K296" s="6"/>
      <c r="L296" s="6"/>
      <c r="M296" s="7"/>
      <c r="N296" s="59">
        <f t="shared" si="11"/>
        <v>0</v>
      </c>
      <c r="O296" s="60">
        <v>2</v>
      </c>
      <c r="P296" s="6"/>
      <c r="Q296" s="145">
        <v>42292.842639628252</v>
      </c>
      <c r="R296" s="151">
        <v>42292.842639628252</v>
      </c>
      <c r="S296" s="141">
        <v>43984.556345213379</v>
      </c>
      <c r="T296" s="141">
        <v>45676.270050798514</v>
      </c>
      <c r="U296" s="142"/>
      <c r="V296" s="140"/>
      <c r="W296" s="150"/>
    </row>
    <row r="297" spans="1:23">
      <c r="A297" s="115" t="s">
        <v>1788</v>
      </c>
      <c r="B297" s="56" t="str">
        <f>IFERROR(HYPERLINK(VLOOKUP(A297,ÜRÜNLER!A:C,3,FALSE),VLOOKUP(A297,ÜRÜNLER!A:B,2,FALSE)),"")</f>
        <v>iQ500 Gazlı Ocak, 90cm, 5 Gözlü, Inox, Döküm, Wok</v>
      </c>
      <c r="C297" s="5">
        <v>2</v>
      </c>
      <c r="D297" s="5"/>
      <c r="E297" s="6"/>
      <c r="F297" s="6"/>
      <c r="G297" s="6"/>
      <c r="H297" s="6"/>
      <c r="I297" s="7"/>
      <c r="J297" s="7"/>
      <c r="K297" s="6"/>
      <c r="L297" s="6"/>
      <c r="M297" s="7"/>
      <c r="N297" s="59">
        <f t="shared" si="11"/>
        <v>2</v>
      </c>
      <c r="O297" s="60"/>
      <c r="P297" s="6"/>
      <c r="Q297" s="145">
        <v>59636.536430670632</v>
      </c>
      <c r="R297" s="151">
        <v>59636.536430670632</v>
      </c>
      <c r="S297" s="141">
        <v>62021.997887897458</v>
      </c>
      <c r="T297" s="141">
        <v>64407.459345124284</v>
      </c>
      <c r="U297" s="142"/>
      <c r="V297" s="140"/>
      <c r="W297" s="150"/>
    </row>
    <row r="298" spans="1:23">
      <c r="A298" s="115" t="s">
        <v>1789</v>
      </c>
      <c r="B298" s="56" t="str">
        <f>IFERROR(HYPERLINK(VLOOKUP(A298,ÜRÜNLER!A:C,3,FALSE),VLOOKUP(A298,ÜRÜNLER!A:B,2,FALSE)),"")</f>
        <v>iQ500 Gazlı Ocak, 60cm, Sert Cam, Beyaz, Döküm</v>
      </c>
      <c r="C298" s="5"/>
      <c r="D298" s="5"/>
      <c r="E298" s="6"/>
      <c r="F298" s="6"/>
      <c r="G298" s="6"/>
      <c r="H298" s="6"/>
      <c r="I298" s="7"/>
      <c r="J298" s="7"/>
      <c r="K298" s="6"/>
      <c r="L298" s="6"/>
      <c r="M298" s="7"/>
      <c r="N298" s="59">
        <f t="shared" si="11"/>
        <v>0</v>
      </c>
      <c r="O298" s="60"/>
      <c r="P298" s="6"/>
      <c r="Q298" s="145">
        <v>40480.642086453685</v>
      </c>
      <c r="R298" s="151">
        <v>40480.642086453685</v>
      </c>
      <c r="S298" s="141">
        <v>42099.867769911834</v>
      </c>
      <c r="T298" s="141">
        <v>43719.093453369976</v>
      </c>
      <c r="U298" s="142"/>
      <c r="V298" s="140"/>
      <c r="W298" s="150"/>
    </row>
    <row r="299" spans="1:23">
      <c r="A299" s="115" t="s">
        <v>1489</v>
      </c>
      <c r="B299" s="56" t="str">
        <f>IFERROR(HYPERLINK(VLOOKUP(A299,ÜRÜNLER!A:C,3,FALSE),VLOOKUP(A299,ÜRÜNLER!A:B,2,FALSE)),"")</f>
        <v>iQ300 Gazlı Ocak, 67cm, Sert Cam, Beyaz</v>
      </c>
      <c r="C299" s="5">
        <v>5</v>
      </c>
      <c r="D299" s="5"/>
      <c r="E299" s="6"/>
      <c r="F299" s="6">
        <v>1</v>
      </c>
      <c r="G299" s="6"/>
      <c r="H299" s="6"/>
      <c r="I299" s="7"/>
      <c r="J299" s="7"/>
      <c r="K299" s="6"/>
      <c r="L299" s="6"/>
      <c r="M299" s="7"/>
      <c r="N299" s="59">
        <f t="shared" si="11"/>
        <v>6</v>
      </c>
      <c r="O299" s="60"/>
      <c r="P299" s="6"/>
      <c r="Q299" s="145">
        <v>16643.846961626783</v>
      </c>
      <c r="R299" s="151">
        <v>16643.846961626783</v>
      </c>
      <c r="S299" s="141">
        <v>17309.600840091854</v>
      </c>
      <c r="T299" s="141">
        <v>17975.354718556926</v>
      </c>
      <c r="U299" s="142"/>
      <c r="V299" s="140"/>
      <c r="W299" s="150"/>
    </row>
    <row r="300" spans="1:23">
      <c r="A300" s="116" t="s">
        <v>1637</v>
      </c>
      <c r="B300" s="56" t="str">
        <f>IFERROR(HYPERLINK(VLOOKUP(A300,ÜRÜNLER!A:C,3,FALSE),VLOOKUP(A300,ÜRÜNLER!A:B,2,FALSE)),"")</f>
        <v>iQ100 Ankastre Gazlı Ocak, 60cm, Emaye, Beyaz</v>
      </c>
      <c r="C300" s="5"/>
      <c r="D300" s="5"/>
      <c r="E300" s="6"/>
      <c r="F300" s="6"/>
      <c r="G300" s="6"/>
      <c r="H300" s="6"/>
      <c r="I300" s="7"/>
      <c r="J300" s="7"/>
      <c r="K300" s="6">
        <v>1</v>
      </c>
      <c r="L300" s="6"/>
      <c r="M300" s="7"/>
      <c r="N300" s="59">
        <f t="shared" si="11"/>
        <v>1</v>
      </c>
      <c r="O300" s="60"/>
      <c r="P300" s="48"/>
      <c r="Q300" s="139" t="s">
        <v>1782</v>
      </c>
      <c r="R300" s="140">
        <v>7500</v>
      </c>
      <c r="S300" s="141">
        <v>7800</v>
      </c>
      <c r="T300" s="141">
        <v>8100</v>
      </c>
      <c r="U300" s="142"/>
      <c r="V300" s="140"/>
      <c r="W300" s="164">
        <v>500</v>
      </c>
    </row>
    <row r="301" spans="1:23">
      <c r="A301" s="116" t="s">
        <v>1506</v>
      </c>
      <c r="B301" s="56" t="str">
        <f>IFERROR(HYPERLINK(VLOOKUP(A301,ÜRÜNLER!A:C,3,FALSE),VLOOKUP(A301,ÜRÜNLER!A:B,2,FALSE)),"")</f>
        <v>iQ300 Gazlı Ocak, 60cm, Sert Cam, Siyah</v>
      </c>
      <c r="C301" s="5"/>
      <c r="D301" s="5"/>
      <c r="E301" s="6"/>
      <c r="F301" s="6"/>
      <c r="G301" s="6"/>
      <c r="H301" s="6"/>
      <c r="I301" s="7"/>
      <c r="J301" s="7"/>
      <c r="K301" s="6">
        <v>1</v>
      </c>
      <c r="L301" s="6"/>
      <c r="M301" s="7"/>
      <c r="N301" s="59">
        <f t="shared" si="11"/>
        <v>1</v>
      </c>
      <c r="O301" s="60"/>
      <c r="P301" s="48"/>
      <c r="Q301" s="139" t="s">
        <v>1782</v>
      </c>
      <c r="R301" s="140">
        <v>16000</v>
      </c>
      <c r="S301" s="141">
        <v>16640</v>
      </c>
      <c r="T301" s="141">
        <v>17280</v>
      </c>
      <c r="U301" s="142"/>
      <c r="V301" s="140"/>
      <c r="W301" s="164">
        <v>500</v>
      </c>
    </row>
    <row r="302" spans="1:23">
      <c r="A302" s="116" t="s">
        <v>1365</v>
      </c>
      <c r="B302" s="56" t="str">
        <f>IFERROR(HYPERLINK(VLOOKUP(A302,ÜRÜNLER!A:C,3,FALSE),VLOOKUP(A302,ÜRÜNLER!A:B,2,FALSE)),"")</f>
        <v>iQ100 Gazlı Ocak, 60cm, Sert Cam, Beyaz, Döküm</v>
      </c>
      <c r="C302" s="5">
        <v>5</v>
      </c>
      <c r="D302" s="5"/>
      <c r="E302" s="6"/>
      <c r="F302" s="6"/>
      <c r="G302" s="6"/>
      <c r="H302" s="6"/>
      <c r="I302" s="7">
        <v>1</v>
      </c>
      <c r="J302" s="7"/>
      <c r="K302" s="6"/>
      <c r="L302" s="6"/>
      <c r="M302" s="7"/>
      <c r="N302" s="59">
        <f t="shared" si="11"/>
        <v>6</v>
      </c>
      <c r="O302" s="60"/>
      <c r="P302" s="48"/>
      <c r="Q302" s="139" t="s">
        <v>1782</v>
      </c>
      <c r="R302" s="140">
        <v>13000</v>
      </c>
      <c r="S302" s="141">
        <v>13520</v>
      </c>
      <c r="T302" s="141">
        <v>14040</v>
      </c>
      <c r="U302" s="142"/>
      <c r="V302" s="140"/>
      <c r="W302" s="150"/>
    </row>
    <row r="303" spans="1:23">
      <c r="A303" s="116" t="s">
        <v>1639</v>
      </c>
      <c r="B303" s="56" t="str">
        <f>IFERROR(HYPERLINK(VLOOKUP(A303,ÜRÜNLER!A:C,3,FALSE),VLOOKUP(A303,ÜRÜNLER!A:B,2,FALSE)),"")</f>
        <v>iQ100 Gazlı Ocak, 60cm, Sert Cam, Siyah, Wok</v>
      </c>
      <c r="C303" s="5">
        <v>2</v>
      </c>
      <c r="D303" s="5"/>
      <c r="E303" s="6"/>
      <c r="F303" s="6">
        <v>1</v>
      </c>
      <c r="G303" s="6"/>
      <c r="H303" s="6"/>
      <c r="I303" s="7"/>
      <c r="J303" s="7"/>
      <c r="K303" s="6"/>
      <c r="L303" s="6"/>
      <c r="M303" s="7"/>
      <c r="N303" s="59">
        <f t="shared" si="11"/>
        <v>3</v>
      </c>
      <c r="O303" s="60"/>
      <c r="P303" s="48"/>
      <c r="Q303" s="139" t="s">
        <v>1782</v>
      </c>
      <c r="R303" s="140">
        <v>12500</v>
      </c>
      <c r="S303" s="141">
        <v>13000</v>
      </c>
      <c r="T303" s="141">
        <v>13500</v>
      </c>
      <c r="U303" s="142"/>
      <c r="V303" s="140"/>
      <c r="W303" s="150"/>
    </row>
    <row r="304" spans="1:23">
      <c r="A304" s="117" t="s">
        <v>283</v>
      </c>
      <c r="B304" s="56" t="str">
        <f>IFERROR(HYPERLINK(VLOOKUP(A304,ÜRÜNLER!A:C,3,FALSE),VLOOKUP(A304,ÜRÜNLER!A:B,2,FALSE)),"")</f>
        <v>iQ100 Gazlı Ocak, 60cm, Emaye, Beyaz</v>
      </c>
      <c r="C304" s="5"/>
      <c r="D304" s="5"/>
      <c r="E304" s="6"/>
      <c r="F304" s="6">
        <v>1</v>
      </c>
      <c r="G304" s="6"/>
      <c r="H304" s="6"/>
      <c r="I304" s="7">
        <v>1</v>
      </c>
      <c r="J304" s="7"/>
      <c r="K304" s="6"/>
      <c r="L304" s="6">
        <v>1</v>
      </c>
      <c r="M304" s="7"/>
      <c r="N304" s="59">
        <f t="shared" si="11"/>
        <v>3</v>
      </c>
      <c r="O304" s="60"/>
      <c r="P304" s="48"/>
      <c r="Q304" s="139" t="s">
        <v>1782</v>
      </c>
      <c r="R304" s="140">
        <v>7500</v>
      </c>
      <c r="S304" s="141">
        <v>7800</v>
      </c>
      <c r="T304" s="141">
        <v>8100</v>
      </c>
      <c r="U304" s="142"/>
      <c r="V304" s="140"/>
      <c r="W304" s="146">
        <v>250</v>
      </c>
    </row>
    <row r="305" spans="1:23">
      <c r="A305" s="117" t="s">
        <v>284</v>
      </c>
      <c r="B305" s="56" t="str">
        <f>IFERROR(HYPERLINK(VLOOKUP(A305,ÜRÜNLER!A:C,3,FALSE),VLOOKUP(A305,ÜRÜNLER!A:B,2,FALSE)),"")</f>
        <v>iQ100 Gazlı/Elektrikli Ocak, 60cm, Inox</v>
      </c>
      <c r="C305" s="5">
        <v>3</v>
      </c>
      <c r="D305" s="5"/>
      <c r="E305" s="6"/>
      <c r="F305" s="6"/>
      <c r="G305" s="6"/>
      <c r="H305" s="6"/>
      <c r="I305" s="7"/>
      <c r="J305" s="7"/>
      <c r="K305" s="6"/>
      <c r="L305" s="6"/>
      <c r="M305" s="7"/>
      <c r="N305" s="59">
        <f t="shared" si="11"/>
        <v>3</v>
      </c>
      <c r="O305" s="60"/>
      <c r="P305" s="48"/>
      <c r="Q305" s="139" t="s">
        <v>1782</v>
      </c>
      <c r="R305" s="140">
        <v>9000</v>
      </c>
      <c r="S305" s="141">
        <v>9360</v>
      </c>
      <c r="T305" s="141">
        <v>9720</v>
      </c>
      <c r="U305" s="142"/>
      <c r="V305" s="140"/>
      <c r="W305" s="146">
        <v>250</v>
      </c>
    </row>
    <row r="306" spans="1:23">
      <c r="A306" s="117" t="s">
        <v>285</v>
      </c>
      <c r="B306" s="56" t="str">
        <f>IFERROR(HYPERLINK(VLOOKUP(A306,ÜRÜNLER!A:C,3,FALSE),VLOOKUP(A306,ÜRÜNLER!A:B,2,FALSE)),"")</f>
        <v>iQ100 Gazlı Ocak, 60cm, Emaye, Siyah</v>
      </c>
      <c r="C306" s="5">
        <v>4</v>
      </c>
      <c r="D306" s="5"/>
      <c r="E306" s="6"/>
      <c r="F306" s="6"/>
      <c r="G306" s="6"/>
      <c r="H306" s="6"/>
      <c r="I306" s="7"/>
      <c r="J306" s="7"/>
      <c r="K306" s="6"/>
      <c r="L306" s="6">
        <v>1</v>
      </c>
      <c r="M306" s="7"/>
      <c r="N306" s="59">
        <f t="shared" si="11"/>
        <v>5</v>
      </c>
      <c r="O306" s="60"/>
      <c r="P306" s="48"/>
      <c r="Q306" s="139" t="s">
        <v>1782</v>
      </c>
      <c r="R306" s="140">
        <v>7500</v>
      </c>
      <c r="S306" s="141">
        <v>7800</v>
      </c>
      <c r="T306" s="141">
        <v>8100</v>
      </c>
      <c r="U306" s="142"/>
      <c r="V306" s="140"/>
      <c r="W306" s="146">
        <v>250</v>
      </c>
    </row>
    <row r="307" spans="1:23">
      <c r="A307" s="118" t="s">
        <v>286</v>
      </c>
      <c r="B307" s="56" t="str">
        <f>IFERROR(HYPERLINK(VLOOKUP(A307,ÜRÜNLER!A:C,3,FALSE),VLOOKUP(A307,ÜRÜNLER!A:B,2,FALSE)),"")</f>
        <v>iQ500 Gazlı Ocak, 60cm, Inox, Döküm</v>
      </c>
      <c r="C307" s="5"/>
      <c r="D307" s="5"/>
      <c r="E307" s="6"/>
      <c r="F307" s="6"/>
      <c r="G307" s="6"/>
      <c r="H307" s="6"/>
      <c r="I307" s="7"/>
      <c r="J307" s="7"/>
      <c r="K307" s="6"/>
      <c r="L307" s="6">
        <v>1</v>
      </c>
      <c r="M307" s="7"/>
      <c r="N307" s="59">
        <f t="shared" si="11"/>
        <v>1</v>
      </c>
      <c r="O307" s="60"/>
      <c r="P307" s="48"/>
      <c r="Q307" s="139" t="s">
        <v>1782</v>
      </c>
      <c r="R307" s="140">
        <v>30000</v>
      </c>
      <c r="S307" s="141">
        <v>31200</v>
      </c>
      <c r="T307" s="141">
        <v>32400</v>
      </c>
      <c r="U307" s="142"/>
      <c r="V307" s="140"/>
      <c r="W307" s="143">
        <v>1000</v>
      </c>
    </row>
    <row r="308" spans="1:23">
      <c r="A308" s="87" t="s">
        <v>288</v>
      </c>
      <c r="B308" s="56" t="str">
        <f>IFERROR(HYPERLINK(VLOOKUP(A308,ÜRÜNLER!A:C,3,FALSE),VLOOKUP(A308,ÜRÜNLER!A:B,2,FALSE)),"")</f>
        <v>iQ300 Gazlı Ocak, 60cm, Inox, Döküm</v>
      </c>
      <c r="C308" s="5"/>
      <c r="D308" s="5"/>
      <c r="E308" s="6"/>
      <c r="F308" s="6"/>
      <c r="G308" s="6"/>
      <c r="H308" s="6"/>
      <c r="I308" s="7">
        <v>1</v>
      </c>
      <c r="J308" s="7"/>
      <c r="K308" s="6"/>
      <c r="L308" s="6"/>
      <c r="M308" s="7"/>
      <c r="N308" s="59">
        <f t="shared" si="11"/>
        <v>1</v>
      </c>
      <c r="O308" s="60"/>
      <c r="P308" s="48"/>
      <c r="Q308" s="139" t="s">
        <v>1782</v>
      </c>
      <c r="R308" s="140">
        <v>20000</v>
      </c>
      <c r="S308" s="141">
        <v>20800</v>
      </c>
      <c r="T308" s="141">
        <v>21600</v>
      </c>
      <c r="U308" s="142"/>
      <c r="V308" s="140"/>
      <c r="W308" s="143">
        <v>1000</v>
      </c>
    </row>
    <row r="309" spans="1:23">
      <c r="A309" s="87" t="s">
        <v>289</v>
      </c>
      <c r="B309" s="56" t="str">
        <f>IFERROR(HYPERLINK(VLOOKUP(A309,ÜRÜNLER!A:C,3,FALSE),VLOOKUP(A309,ÜRÜNLER!A:B,2,FALSE)),"")</f>
        <v>iQ300 Gazlı Ocak, 60cm, Sert Cam, Beyaz, Döküm</v>
      </c>
      <c r="C309" s="5">
        <v>2</v>
      </c>
      <c r="D309" s="5"/>
      <c r="E309" s="6"/>
      <c r="F309" s="6">
        <v>1</v>
      </c>
      <c r="G309" s="6"/>
      <c r="H309" s="6"/>
      <c r="I309" s="7"/>
      <c r="J309" s="7"/>
      <c r="K309" s="6"/>
      <c r="L309" s="6"/>
      <c r="M309" s="7"/>
      <c r="N309" s="59">
        <f t="shared" si="11"/>
        <v>3</v>
      </c>
      <c r="O309" s="60"/>
      <c r="P309" s="48"/>
      <c r="Q309" s="145">
        <v>22680.244991927226</v>
      </c>
      <c r="R309" s="151">
        <v>22680.244991927226</v>
      </c>
      <c r="S309" s="141">
        <v>23587.454791604316</v>
      </c>
      <c r="T309" s="141">
        <v>24494.664591281406</v>
      </c>
      <c r="U309" s="142"/>
      <c r="V309" s="140"/>
      <c r="W309" s="140"/>
    </row>
    <row r="310" spans="1:23">
      <c r="A310" s="107" t="s">
        <v>291</v>
      </c>
      <c r="B310" s="56" t="str">
        <f>IFERROR(HYPERLINK(VLOOKUP(A310,ÜRÜNLER!A:C,3,FALSE),VLOOKUP(A310,ÜRÜNLER!A:B,2,FALSE)),"")</f>
        <v>iQ100 Gazlı Ocak, 60cm, Sert Cam, Siyah, Wok</v>
      </c>
      <c r="C310" s="5"/>
      <c r="D310" s="5"/>
      <c r="E310" s="6"/>
      <c r="F310" s="6"/>
      <c r="G310" s="6"/>
      <c r="H310" s="6"/>
      <c r="I310" s="7"/>
      <c r="J310" s="7">
        <v>1</v>
      </c>
      <c r="K310" s="6"/>
      <c r="L310" s="6"/>
      <c r="M310" s="7"/>
      <c r="N310" s="59">
        <f t="shared" si="11"/>
        <v>1</v>
      </c>
      <c r="O310" s="60"/>
      <c r="P310" s="48"/>
      <c r="Q310" s="139" t="s">
        <v>1782</v>
      </c>
      <c r="R310" s="140">
        <v>20000</v>
      </c>
      <c r="S310" s="141">
        <v>20800</v>
      </c>
      <c r="T310" s="141">
        <v>21600</v>
      </c>
      <c r="U310" s="142"/>
      <c r="V310" s="140"/>
      <c r="W310" s="143">
        <v>500</v>
      </c>
    </row>
    <row r="311" spans="1:23">
      <c r="A311" s="109" t="s">
        <v>292</v>
      </c>
      <c r="B311" s="56" t="str">
        <f>IFERROR(HYPERLINK(VLOOKUP(A311,ÜRÜNLER!A:C,3,FALSE),VLOOKUP(A311,ÜRÜNLER!A:B,2,FALSE)),"")</f>
        <v>iQ100 Gazlı Ocak, 60cm, Sert Cam, Titanyum Gri</v>
      </c>
      <c r="C311" s="5">
        <v>2</v>
      </c>
      <c r="D311" s="5"/>
      <c r="E311" s="6"/>
      <c r="F311" s="6"/>
      <c r="G311" s="6"/>
      <c r="H311" s="6"/>
      <c r="I311" s="7"/>
      <c r="J311" s="7">
        <v>1</v>
      </c>
      <c r="K311" s="6"/>
      <c r="L311" s="6"/>
      <c r="M311" s="7"/>
      <c r="N311" s="59">
        <f t="shared" si="11"/>
        <v>3</v>
      </c>
      <c r="O311" s="60"/>
      <c r="P311" s="48"/>
      <c r="Q311" s="139" t="s">
        <v>1782</v>
      </c>
      <c r="R311" s="140">
        <v>17000</v>
      </c>
      <c r="S311" s="141">
        <v>17680</v>
      </c>
      <c r="T311" s="141">
        <v>18360</v>
      </c>
      <c r="U311" s="142"/>
      <c r="V311" s="140"/>
      <c r="W311" s="143">
        <v>500</v>
      </c>
    </row>
    <row r="312" spans="1:23">
      <c r="A312" s="109" t="s">
        <v>293</v>
      </c>
      <c r="B312" s="56" t="str">
        <f>IFERROR(HYPERLINK(VLOOKUP(A312,ÜRÜNLER!A:C,3,FALSE),VLOOKUP(A312,ÜRÜNLER!A:B,2,FALSE)),"")</f>
        <v>iQ100 Gazlı Ocak, 60cm, Sert Cam, Antrasit Gri</v>
      </c>
      <c r="C312" s="5">
        <v>20</v>
      </c>
      <c r="D312" s="5"/>
      <c r="E312" s="6"/>
      <c r="F312" s="6"/>
      <c r="G312" s="6"/>
      <c r="H312" s="6"/>
      <c r="I312" s="7">
        <v>1</v>
      </c>
      <c r="J312" s="7">
        <v>1</v>
      </c>
      <c r="K312" s="6">
        <v>1</v>
      </c>
      <c r="L312" s="6">
        <v>1</v>
      </c>
      <c r="M312" s="7"/>
      <c r="N312" s="59">
        <f t="shared" si="11"/>
        <v>24</v>
      </c>
      <c r="O312" s="60"/>
      <c r="P312" s="48"/>
      <c r="Q312" s="139" t="s">
        <v>1782</v>
      </c>
      <c r="R312" s="140">
        <v>15633.936</v>
      </c>
      <c r="S312" s="141">
        <v>16259.293439999999</v>
      </c>
      <c r="T312" s="141">
        <v>16884.650880000001</v>
      </c>
      <c r="U312" s="142"/>
      <c r="V312" s="140"/>
      <c r="W312" s="143">
        <v>500</v>
      </c>
    </row>
    <row r="313" spans="1:23">
      <c r="A313" s="119" t="s">
        <v>294</v>
      </c>
      <c r="B313" s="56" t="str">
        <f>IFERROR(HYPERLINK(VLOOKUP(A313,ÜRÜNLER!A:C,3,FALSE),VLOOKUP(A313,ÜRÜNLER!A:B,2,FALSE)),"")</f>
        <v>iQ300 Gazlı Ocak, 60cm, Sert Cam, Beyaz</v>
      </c>
      <c r="C313" s="5">
        <v>3</v>
      </c>
      <c r="D313" s="5"/>
      <c r="E313" s="6"/>
      <c r="F313" s="6"/>
      <c r="G313" s="6"/>
      <c r="H313" s="6"/>
      <c r="I313" s="7"/>
      <c r="J313" s="7"/>
      <c r="K313" s="6"/>
      <c r="L313" s="6"/>
      <c r="M313" s="7">
        <v>1</v>
      </c>
      <c r="N313" s="59">
        <f t="shared" si="11"/>
        <v>4</v>
      </c>
      <c r="O313" s="60"/>
      <c r="P313" s="48"/>
      <c r="Q313" s="139" t="s">
        <v>1782</v>
      </c>
      <c r="R313" s="140">
        <v>14000</v>
      </c>
      <c r="S313" s="141">
        <v>14560</v>
      </c>
      <c r="T313" s="141">
        <v>15120</v>
      </c>
      <c r="U313" s="142"/>
      <c r="V313" s="140"/>
      <c r="W313" s="143">
        <v>500</v>
      </c>
    </row>
    <row r="314" spans="1:23">
      <c r="A314" s="87" t="s">
        <v>295</v>
      </c>
      <c r="B314" s="56" t="str">
        <f>IFERROR(HYPERLINK(VLOOKUP(A314,ÜRÜNLER!A:C,3,FALSE),VLOOKUP(A314,ÜRÜNLER!A:B,2,FALSE)),"")</f>
        <v>iQ300 Gazlı Ocak, 60cm, Sert Cam, Beyaz</v>
      </c>
      <c r="C314" s="5">
        <v>10</v>
      </c>
      <c r="D314" s="5"/>
      <c r="E314" s="6"/>
      <c r="F314" s="6"/>
      <c r="G314" s="6"/>
      <c r="H314" s="6"/>
      <c r="I314" s="7"/>
      <c r="J314" s="7"/>
      <c r="K314" s="6"/>
      <c r="L314" s="6"/>
      <c r="M314" s="7"/>
      <c r="N314" s="59">
        <f t="shared" si="11"/>
        <v>10</v>
      </c>
      <c r="O314" s="60"/>
      <c r="P314" s="48"/>
      <c r="Q314" s="145">
        <v>14043.161202229287</v>
      </c>
      <c r="R314" s="151">
        <v>14043.161202229287</v>
      </c>
      <c r="S314" s="141">
        <v>14604.887650318458</v>
      </c>
      <c r="T314" s="141">
        <v>15166.61409840763</v>
      </c>
      <c r="U314" s="142"/>
      <c r="V314" s="140"/>
      <c r="W314" s="150"/>
    </row>
    <row r="315" spans="1:23">
      <c r="A315" s="107" t="s">
        <v>299</v>
      </c>
      <c r="B315" s="56" t="str">
        <f>IFERROR(HYPERLINK(VLOOKUP(A315,ÜRÜNLER!A:C,3,FALSE),VLOOKUP(A315,ÜRÜNLER!A:B,2,FALSE)),"")</f>
        <v>iQ300 Gazlı Ocak, 60cm, Sert Cam, Siyah</v>
      </c>
      <c r="C315" s="5">
        <v>13</v>
      </c>
      <c r="D315" s="5"/>
      <c r="E315" s="6"/>
      <c r="F315" s="6"/>
      <c r="G315" s="6"/>
      <c r="H315" s="6"/>
      <c r="I315" s="7">
        <v>1</v>
      </c>
      <c r="J315" s="7"/>
      <c r="K315" s="6"/>
      <c r="L315" s="6"/>
      <c r="M315" s="7">
        <v>1</v>
      </c>
      <c r="N315" s="59">
        <f t="shared" si="11"/>
        <v>15</v>
      </c>
      <c r="O315" s="60"/>
      <c r="P315" s="48"/>
      <c r="Q315" s="145">
        <v>14043.161202229287</v>
      </c>
      <c r="R315" s="151">
        <v>14043.161202229287</v>
      </c>
      <c r="S315" s="141">
        <v>14604.887650318458</v>
      </c>
      <c r="T315" s="141">
        <v>15166.61409840763</v>
      </c>
      <c r="U315" s="142"/>
      <c r="V315" s="140"/>
      <c r="W315" s="150"/>
    </row>
    <row r="316" spans="1:23">
      <c r="A316" s="109" t="s">
        <v>300</v>
      </c>
      <c r="B316" s="56" t="str">
        <f>IFERROR(HYPERLINK(VLOOKUP(A316,ÜRÜNLER!A:C,3,FALSE),VLOOKUP(A316,ÜRÜNLER!A:B,2,FALSE)),"")</f>
        <v>iQ100 Gazlı Ocak, 60cm, Sert Cam, Titanyum Gri</v>
      </c>
      <c r="C316" s="5"/>
      <c r="D316" s="5"/>
      <c r="E316" s="6"/>
      <c r="F316" s="6"/>
      <c r="G316" s="6"/>
      <c r="H316" s="6"/>
      <c r="I316" s="7"/>
      <c r="J316" s="7"/>
      <c r="K316" s="6"/>
      <c r="L316" s="6">
        <v>1</v>
      </c>
      <c r="M316" s="7"/>
      <c r="N316" s="59">
        <f t="shared" si="11"/>
        <v>1</v>
      </c>
      <c r="O316" s="60"/>
      <c r="P316" s="48"/>
      <c r="Q316" s="139" t="s">
        <v>1782</v>
      </c>
      <c r="R316" s="140">
        <v>13000</v>
      </c>
      <c r="S316" s="141">
        <v>13520</v>
      </c>
      <c r="T316" s="141">
        <v>14040</v>
      </c>
      <c r="U316" s="142"/>
      <c r="V316" s="140"/>
      <c r="W316" s="164">
        <v>500</v>
      </c>
    </row>
    <row r="317" spans="1:23">
      <c r="A317" s="109" t="s">
        <v>301</v>
      </c>
      <c r="B317" s="56" t="str">
        <f>IFERROR(HYPERLINK(VLOOKUP(A317,ÜRÜNLER!A:C,3,FALSE),VLOOKUP(A317,ÜRÜNLER!A:B,2,FALSE)),"")</f>
        <v>iQ100 Gazlı Ocak, 60cm, Sert Cam, Titanyum Gri, Döküm</v>
      </c>
      <c r="C317" s="5">
        <v>4</v>
      </c>
      <c r="D317" s="5"/>
      <c r="E317" s="6"/>
      <c r="F317" s="6"/>
      <c r="G317" s="6"/>
      <c r="H317" s="6"/>
      <c r="I317" s="7"/>
      <c r="J317" s="7"/>
      <c r="K317" s="6"/>
      <c r="L317" s="6"/>
      <c r="M317" s="7"/>
      <c r="N317" s="59">
        <f t="shared" si="11"/>
        <v>4</v>
      </c>
      <c r="O317" s="60"/>
      <c r="P317" s="48"/>
      <c r="Q317" s="139" t="s">
        <v>1782</v>
      </c>
      <c r="R317" s="140">
        <v>17000</v>
      </c>
      <c r="S317" s="141">
        <v>17680</v>
      </c>
      <c r="T317" s="141">
        <v>18360</v>
      </c>
      <c r="U317" s="142"/>
      <c r="V317" s="140"/>
      <c r="W317" s="150">
        <v>250</v>
      </c>
    </row>
    <row r="318" spans="1:23">
      <c r="A318" s="109" t="s">
        <v>302</v>
      </c>
      <c r="B318" s="56" t="str">
        <f>IFERROR(HYPERLINK(VLOOKUP(A318,ÜRÜNLER!A:C,3,FALSE),VLOOKUP(A318,ÜRÜNLER!A:B,2,FALSE)),"")</f>
        <v>iQ300 Gazlı Ocak, 60cm, Sert Cam, Antrasit</v>
      </c>
      <c r="C318" s="5">
        <v>17</v>
      </c>
      <c r="D318" s="5"/>
      <c r="E318" s="6"/>
      <c r="F318" s="6"/>
      <c r="G318" s="6"/>
      <c r="H318" s="6"/>
      <c r="I318" s="7">
        <v>1</v>
      </c>
      <c r="J318" s="7">
        <v>1</v>
      </c>
      <c r="K318" s="6">
        <v>1</v>
      </c>
      <c r="L318" s="6"/>
      <c r="M318" s="7"/>
      <c r="N318" s="59">
        <f t="shared" si="11"/>
        <v>20</v>
      </c>
      <c r="O318" s="60"/>
      <c r="P318" s="48"/>
      <c r="Q318" s="145">
        <v>14043.161202229287</v>
      </c>
      <c r="R318" s="151">
        <v>14043.161202229287</v>
      </c>
      <c r="S318" s="141">
        <v>14604.887650318458</v>
      </c>
      <c r="T318" s="141">
        <v>15166.61409840763</v>
      </c>
      <c r="U318" s="142"/>
      <c r="V318" s="140"/>
      <c r="W318" s="150"/>
    </row>
    <row r="319" spans="1:23">
      <c r="A319" s="109" t="s">
        <v>303</v>
      </c>
      <c r="B319" s="56" t="str">
        <f>IFERROR(HYPERLINK(VLOOKUP(A319,ÜRÜNLER!A:C,3,FALSE),VLOOKUP(A319,ÜRÜNLER!A:B,2,FALSE)),"")</f>
        <v>iQ300 Gazlı Ocak, 60cm, Sert Cam, Antrasit Gri</v>
      </c>
      <c r="C319" s="5">
        <v>10</v>
      </c>
      <c r="D319" s="5"/>
      <c r="E319" s="6"/>
      <c r="F319" s="6">
        <v>1</v>
      </c>
      <c r="G319" s="6"/>
      <c r="H319" s="6"/>
      <c r="I319" s="7">
        <v>1</v>
      </c>
      <c r="J319" s="7"/>
      <c r="K319" s="6"/>
      <c r="L319" s="6"/>
      <c r="M319" s="7">
        <v>1</v>
      </c>
      <c r="N319" s="59">
        <f t="shared" si="11"/>
        <v>13</v>
      </c>
      <c r="O319" s="60"/>
      <c r="P319" s="48"/>
      <c r="Q319" s="139" t="s">
        <v>1782</v>
      </c>
      <c r="R319" s="168">
        <v>10000</v>
      </c>
      <c r="S319" s="141">
        <v>10400</v>
      </c>
      <c r="T319" s="141">
        <v>10800</v>
      </c>
      <c r="U319" s="142"/>
      <c r="V319" s="140"/>
      <c r="W319" s="146">
        <v>250</v>
      </c>
    </row>
    <row r="320" spans="1:23">
      <c r="A320" s="91" t="s">
        <v>304</v>
      </c>
      <c r="B320" s="56" t="str">
        <f>IFERROR(HYPERLINK(VLOOKUP(A320,ÜRÜNLER!A:C,3,FALSE),VLOOKUP(A320,ÜRÜNLER!A:B,2,FALSE)),"")</f>
        <v>iQ300 Gazlı Ocak, 67cm, Sert Cam, Beyaz, Wok</v>
      </c>
      <c r="C320" s="5">
        <v>11</v>
      </c>
      <c r="D320" s="5"/>
      <c r="E320" s="6"/>
      <c r="F320" s="6"/>
      <c r="G320" s="6"/>
      <c r="H320" s="6"/>
      <c r="I320" s="7">
        <v>1</v>
      </c>
      <c r="J320" s="7">
        <v>1</v>
      </c>
      <c r="K320" s="6"/>
      <c r="L320" s="6"/>
      <c r="M320" s="7"/>
      <c r="N320" s="59">
        <f t="shared" si="11"/>
        <v>13</v>
      </c>
      <c r="O320" s="60"/>
      <c r="P320" s="48"/>
      <c r="Q320" s="145">
        <v>20815.94583760824</v>
      </c>
      <c r="R320" s="151">
        <v>20815.94583760824</v>
      </c>
      <c r="S320" s="141">
        <v>21648.58367111257</v>
      </c>
      <c r="T320" s="141">
        <v>22481.2215046169</v>
      </c>
      <c r="U320" s="142"/>
      <c r="V320" s="140"/>
      <c r="W320" s="150"/>
    </row>
    <row r="321" spans="1:23">
      <c r="A321" s="91" t="s">
        <v>305</v>
      </c>
      <c r="B321" s="56" t="str">
        <f>IFERROR(HYPERLINK(VLOOKUP(A321,ÜRÜNLER!A:C,3,FALSE),VLOOKUP(A321,ÜRÜNLER!A:B,2,FALSE)),"")</f>
        <v>iQ300 Gazlı Ocak, 67cm, Sert Cam, Beyaz</v>
      </c>
      <c r="C321" s="5">
        <v>28</v>
      </c>
      <c r="D321" s="5"/>
      <c r="E321" s="6"/>
      <c r="F321" s="6"/>
      <c r="G321" s="6"/>
      <c r="H321" s="6"/>
      <c r="I321" s="7"/>
      <c r="J321" s="7"/>
      <c r="K321" s="6"/>
      <c r="L321" s="6"/>
      <c r="M321" s="7"/>
      <c r="N321" s="59">
        <f t="shared" si="11"/>
        <v>28</v>
      </c>
      <c r="O321" s="60"/>
      <c r="P321" s="48"/>
      <c r="Q321" s="145">
        <v>16643.846961626783</v>
      </c>
      <c r="R321" s="151">
        <v>16643.846961626783</v>
      </c>
      <c r="S321" s="141">
        <v>17309.600840091854</v>
      </c>
      <c r="T321" s="141">
        <v>17975.354718556926</v>
      </c>
      <c r="U321" s="142"/>
      <c r="V321" s="140"/>
      <c r="W321" s="150"/>
    </row>
    <row r="322" spans="1:23">
      <c r="A322" s="91" t="s">
        <v>306</v>
      </c>
      <c r="B322" s="56" t="str">
        <f>IFERROR(HYPERLINK(VLOOKUP(A322,ÜRÜNLER!A:C,3,FALSE),VLOOKUP(A322,ÜRÜNLER!A:B,2,FALSE)),"")</f>
        <v>iQ100 Gazlı Ocak, 67cm, Sert Cam, Beyaz</v>
      </c>
      <c r="C322" s="5"/>
      <c r="D322" s="5"/>
      <c r="E322" s="6"/>
      <c r="F322" s="6"/>
      <c r="G322" s="6"/>
      <c r="H322" s="6"/>
      <c r="I322" s="7"/>
      <c r="J322" s="7"/>
      <c r="K322" s="6"/>
      <c r="L322" s="6">
        <v>1</v>
      </c>
      <c r="M322" s="7"/>
      <c r="N322" s="59">
        <f t="shared" si="11"/>
        <v>1</v>
      </c>
      <c r="O322" s="60"/>
      <c r="P322" s="48"/>
      <c r="Q322" s="139" t="s">
        <v>1782</v>
      </c>
      <c r="R322" s="140">
        <v>12000</v>
      </c>
      <c r="S322" s="141">
        <v>12480</v>
      </c>
      <c r="T322" s="141">
        <v>12960</v>
      </c>
      <c r="U322" s="142"/>
      <c r="V322" s="140"/>
      <c r="W322" s="164">
        <v>500</v>
      </c>
    </row>
    <row r="323" spans="1:23">
      <c r="A323" s="120" t="s">
        <v>307</v>
      </c>
      <c r="B323" s="56" t="str">
        <f>IFERROR(HYPERLINK(VLOOKUP(A323,ÜRÜNLER!A:C,3,FALSE),VLOOKUP(A323,ÜRÜNLER!A:B,2,FALSE)),"")</f>
        <v>iQ300 Gazlı Ocak, 67cm, Sert Cam, Beyaz</v>
      </c>
      <c r="C323" s="5"/>
      <c r="D323" s="5"/>
      <c r="E323" s="6"/>
      <c r="F323" s="6"/>
      <c r="G323" s="6"/>
      <c r="H323" s="6"/>
      <c r="I323" s="7"/>
      <c r="J323" s="7"/>
      <c r="K323" s="6">
        <v>1</v>
      </c>
      <c r="L323" s="6">
        <v>5</v>
      </c>
      <c r="M323" s="7"/>
      <c r="N323" s="59">
        <f t="shared" si="11"/>
        <v>6</v>
      </c>
      <c r="O323" s="60"/>
      <c r="P323" s="48"/>
      <c r="Q323" s="139" t="s">
        <v>1782</v>
      </c>
      <c r="R323" s="140">
        <v>12000</v>
      </c>
      <c r="S323" s="141">
        <v>12480</v>
      </c>
      <c r="T323" s="141">
        <v>12960</v>
      </c>
      <c r="U323" s="142"/>
      <c r="V323" s="140"/>
      <c r="W323" s="164">
        <v>500</v>
      </c>
    </row>
    <row r="324" spans="1:23">
      <c r="A324" s="91" t="s">
        <v>308</v>
      </c>
      <c r="B324" s="56" t="str">
        <f>IFERROR(HYPERLINK(VLOOKUP(A324,ÜRÜNLER!A:C,3,FALSE),VLOOKUP(A324,ÜRÜNLER!A:B,2,FALSE)),"")</f>
        <v>iQ300 Gazlı Ocak, 67cm, Sert Cam, Siyah, Wok</v>
      </c>
      <c r="C324" s="5"/>
      <c r="D324" s="5"/>
      <c r="E324" s="6"/>
      <c r="F324" s="6"/>
      <c r="G324" s="6"/>
      <c r="H324" s="6"/>
      <c r="I324" s="7"/>
      <c r="J324" s="7"/>
      <c r="K324" s="6">
        <v>1</v>
      </c>
      <c r="L324" s="6"/>
      <c r="M324" s="7"/>
      <c r="N324" s="59">
        <f t="shared" si="11"/>
        <v>1</v>
      </c>
      <c r="O324" s="60"/>
      <c r="P324" s="48"/>
      <c r="Q324" s="139" t="s">
        <v>1782</v>
      </c>
      <c r="R324" s="140">
        <v>15000</v>
      </c>
      <c r="S324" s="141">
        <v>15600</v>
      </c>
      <c r="T324" s="141">
        <v>16200</v>
      </c>
      <c r="U324" s="142"/>
      <c r="V324" s="140"/>
      <c r="W324" s="164">
        <v>500</v>
      </c>
    </row>
    <row r="325" spans="1:23">
      <c r="A325" s="91" t="s">
        <v>309</v>
      </c>
      <c r="B325" s="56" t="str">
        <f>IFERROR(HYPERLINK(VLOOKUP(A325,ÜRÜNLER!A:C,3,FALSE),VLOOKUP(A325,ÜRÜNLER!A:B,2,FALSE)),"")</f>
        <v>iQ300 Gazlı Ocak, 67cm, Sert Cam, Siyah, Wok</v>
      </c>
      <c r="C325" s="5">
        <v>14</v>
      </c>
      <c r="D325" s="5"/>
      <c r="E325" s="6"/>
      <c r="F325" s="6"/>
      <c r="G325" s="6"/>
      <c r="H325" s="6"/>
      <c r="I325" s="7"/>
      <c r="J325" s="7"/>
      <c r="K325" s="6"/>
      <c r="L325" s="6"/>
      <c r="M325" s="7"/>
      <c r="N325" s="59">
        <f t="shared" si="11"/>
        <v>14</v>
      </c>
      <c r="O325" s="60"/>
      <c r="P325" s="48"/>
      <c r="Q325" s="145">
        <v>20815.94583760824</v>
      </c>
      <c r="R325" s="169">
        <v>19358.829628975662</v>
      </c>
      <c r="S325" s="141">
        <v>20133.182814134689</v>
      </c>
      <c r="T325" s="141">
        <v>20907.535999293716</v>
      </c>
      <c r="U325" s="142"/>
      <c r="V325" s="140"/>
      <c r="W325" s="150"/>
    </row>
    <row r="326" spans="1:23">
      <c r="A326" s="91" t="s">
        <v>310</v>
      </c>
      <c r="B326" s="56" t="str">
        <f>IFERROR(HYPERLINK(VLOOKUP(A326,ÜRÜNLER!A:C,3,FALSE),VLOOKUP(A326,ÜRÜNLER!A:B,2,FALSE)),"")</f>
        <v>iQ300 Gazlı Ocak, 67cm, Sert Cam, Siyah</v>
      </c>
      <c r="C326" s="5"/>
      <c r="D326" s="5"/>
      <c r="E326" s="6"/>
      <c r="F326" s="6"/>
      <c r="G326" s="6"/>
      <c r="H326" s="6"/>
      <c r="I326" s="7"/>
      <c r="J326" s="7">
        <v>2</v>
      </c>
      <c r="K326" s="6"/>
      <c r="L326" s="6">
        <v>3</v>
      </c>
      <c r="M326" s="7"/>
      <c r="N326" s="59">
        <f t="shared" si="11"/>
        <v>5</v>
      </c>
      <c r="O326" s="60"/>
      <c r="P326" s="48"/>
      <c r="Q326" s="139" t="s">
        <v>1782</v>
      </c>
      <c r="R326" s="140">
        <v>13000</v>
      </c>
      <c r="S326" s="141">
        <v>13520</v>
      </c>
      <c r="T326" s="141">
        <v>14040</v>
      </c>
      <c r="U326" s="142"/>
      <c r="V326" s="140"/>
      <c r="W326" s="164">
        <v>500</v>
      </c>
    </row>
    <row r="327" spans="1:23">
      <c r="A327" s="91" t="s">
        <v>311</v>
      </c>
      <c r="B327" s="56" t="str">
        <f>IFERROR(HYPERLINK(VLOOKUP(A327,ÜRÜNLER!A:C,3,FALSE),VLOOKUP(A327,ÜRÜNLER!A:B,2,FALSE)),"")</f>
        <v>iQ300 Gazlı Ocak, 67cm, Sert Cam, Siyah</v>
      </c>
      <c r="C327" s="5">
        <v>19</v>
      </c>
      <c r="D327" s="5"/>
      <c r="E327" s="6"/>
      <c r="F327" s="6"/>
      <c r="G327" s="6"/>
      <c r="H327" s="6"/>
      <c r="I327" s="7">
        <v>1</v>
      </c>
      <c r="J327" s="7"/>
      <c r="K327" s="6"/>
      <c r="L327" s="6">
        <v>1</v>
      </c>
      <c r="M327" s="7">
        <v>1</v>
      </c>
      <c r="N327" s="59">
        <f t="shared" si="11"/>
        <v>22</v>
      </c>
      <c r="O327" s="60"/>
      <c r="P327" s="48"/>
      <c r="Q327" s="145">
        <v>16643.846961626783</v>
      </c>
      <c r="R327" s="151">
        <v>16643.846961626783</v>
      </c>
      <c r="S327" s="141">
        <v>17309.600840091854</v>
      </c>
      <c r="T327" s="141">
        <v>17975.354718556926</v>
      </c>
      <c r="U327" s="142"/>
      <c r="V327" s="140"/>
      <c r="W327" s="150"/>
    </row>
    <row r="328" spans="1:23">
      <c r="A328" s="109" t="s">
        <v>312</v>
      </c>
      <c r="B328" s="56" t="str">
        <f>IFERROR(HYPERLINK(VLOOKUP(A328,ÜRÜNLER!A:C,3,FALSE),VLOOKUP(A328,ÜRÜNLER!A:B,2,FALSE)),"")</f>
        <v>iQ300 Gazlı Ocak, 67cm, Sert Cam, Antrasit Gri, Wok</v>
      </c>
      <c r="C328" s="5">
        <v>19</v>
      </c>
      <c r="D328" s="5"/>
      <c r="E328" s="6"/>
      <c r="F328" s="6"/>
      <c r="G328" s="6"/>
      <c r="H328" s="6"/>
      <c r="I328" s="7"/>
      <c r="J328" s="7"/>
      <c r="K328" s="6"/>
      <c r="L328" s="6"/>
      <c r="M328" s="7"/>
      <c r="N328" s="59">
        <f t="shared" si="11"/>
        <v>19</v>
      </c>
      <c r="O328" s="60"/>
      <c r="P328" s="48"/>
      <c r="Q328" s="145">
        <v>20815.94583760824</v>
      </c>
      <c r="R328" s="151">
        <v>20815.94583760824</v>
      </c>
      <c r="S328" s="141">
        <v>21648.58367111257</v>
      </c>
      <c r="T328" s="141">
        <v>22481.2215046169</v>
      </c>
      <c r="U328" s="142"/>
      <c r="V328" s="140"/>
      <c r="W328" s="150"/>
    </row>
    <row r="329" spans="1:23">
      <c r="A329" s="109" t="s">
        <v>313</v>
      </c>
      <c r="B329" s="56" t="str">
        <f>IFERROR(HYPERLINK(VLOOKUP(A329,ÜRÜNLER!A:C,3,FALSE),VLOOKUP(A329,ÜRÜNLER!A:B,2,FALSE)),"")</f>
        <v>iQ100 Gazlı Ocak, 67cm, Sert Cam, Titanyum Gri</v>
      </c>
      <c r="C329" s="5">
        <v>7</v>
      </c>
      <c r="D329" s="5"/>
      <c r="E329" s="6"/>
      <c r="F329" s="6">
        <v>1</v>
      </c>
      <c r="G329" s="6"/>
      <c r="H329" s="6"/>
      <c r="I329" s="7"/>
      <c r="J329" s="7"/>
      <c r="K329" s="6"/>
      <c r="L329" s="6">
        <v>2</v>
      </c>
      <c r="M329" s="7"/>
      <c r="N329" s="59">
        <f t="shared" si="11"/>
        <v>10</v>
      </c>
      <c r="O329" s="60"/>
      <c r="P329" s="48"/>
      <c r="Q329" s="139" t="s">
        <v>1782</v>
      </c>
      <c r="R329" s="140">
        <v>14000</v>
      </c>
      <c r="S329" s="141">
        <v>14560</v>
      </c>
      <c r="T329" s="141">
        <v>15120</v>
      </c>
      <c r="U329" s="142"/>
      <c r="V329" s="140"/>
      <c r="W329" s="146"/>
    </row>
    <row r="330" spans="1:23">
      <c r="A330" s="109" t="s">
        <v>314</v>
      </c>
      <c r="B330" s="56" t="str">
        <f>IFERROR(HYPERLINK(VLOOKUP(A330,ÜRÜNLER!A:C,3,FALSE),VLOOKUP(A330,ÜRÜNLER!A:B,2,FALSE)),"")</f>
        <v>iQ300 Gazlı Ocak, 67cm, Sert Cam, Antrasit Gri</v>
      </c>
      <c r="C330" s="5">
        <v>15</v>
      </c>
      <c r="D330" s="5"/>
      <c r="E330" s="6"/>
      <c r="F330" s="6">
        <v>1</v>
      </c>
      <c r="G330" s="6"/>
      <c r="H330" s="6"/>
      <c r="I330" s="7">
        <v>1</v>
      </c>
      <c r="J330" s="7"/>
      <c r="K330" s="6"/>
      <c r="L330" s="6"/>
      <c r="M330" s="7"/>
      <c r="N330" s="59">
        <f t="shared" si="11"/>
        <v>17</v>
      </c>
      <c r="O330" s="60"/>
      <c r="P330" s="48"/>
      <c r="Q330" s="145">
        <v>16643.846961626783</v>
      </c>
      <c r="R330" s="151">
        <v>16643.846961626783</v>
      </c>
      <c r="S330" s="141">
        <v>17309.600840091854</v>
      </c>
      <c r="T330" s="141">
        <v>17975.354718556926</v>
      </c>
      <c r="U330" s="142"/>
      <c r="V330" s="140"/>
      <c r="W330" s="150"/>
    </row>
    <row r="331" spans="1:23">
      <c r="A331" s="109" t="s">
        <v>315</v>
      </c>
      <c r="B331" s="56" t="str">
        <f>IFERROR(HYPERLINK(VLOOKUP(A331,ÜRÜNLER!A:C,3,FALSE),VLOOKUP(A331,ÜRÜNLER!A:B,2,FALSE)),"")</f>
        <v>iQ300 Gazlı Ocak, 67cm, Sert Cam, Dark Silver</v>
      </c>
      <c r="C331" s="5"/>
      <c r="D331" s="5"/>
      <c r="E331" s="6"/>
      <c r="F331" s="6"/>
      <c r="G331" s="6"/>
      <c r="H331" s="6"/>
      <c r="I331" s="7"/>
      <c r="J331" s="7"/>
      <c r="K331" s="6"/>
      <c r="L331" s="6">
        <v>1</v>
      </c>
      <c r="M331" s="7"/>
      <c r="N331" s="59">
        <f t="shared" si="11"/>
        <v>1</v>
      </c>
      <c r="O331" s="60"/>
      <c r="P331" s="48"/>
      <c r="Q331" s="139" t="s">
        <v>1782</v>
      </c>
      <c r="R331" s="140">
        <v>15000</v>
      </c>
      <c r="S331" s="141">
        <v>15600</v>
      </c>
      <c r="T331" s="141">
        <v>16200</v>
      </c>
      <c r="U331" s="142"/>
      <c r="V331" s="140"/>
      <c r="W331" s="150"/>
    </row>
    <row r="332" spans="1:23">
      <c r="A332" s="93" t="s">
        <v>316</v>
      </c>
      <c r="B332" s="56" t="str">
        <f>IFERROR(HYPERLINK(VLOOKUP(A332,ÜRÜNLER!A:C,3,FALSE),VLOOKUP(A332,ÜRÜNLER!A:B,2,FALSE)),"")</f>
        <v>iQ500 Gazlı Ocak, 60cm, Sert Cam, Siyah, Döküm, Wok</v>
      </c>
      <c r="C332" s="5">
        <v>3</v>
      </c>
      <c r="D332" s="5"/>
      <c r="E332" s="6"/>
      <c r="F332" s="6"/>
      <c r="G332" s="6"/>
      <c r="H332" s="6"/>
      <c r="I332" s="7"/>
      <c r="J332" s="7"/>
      <c r="K332" s="6"/>
      <c r="L332" s="6"/>
      <c r="M332" s="7"/>
      <c r="N332" s="59">
        <f t="shared" si="11"/>
        <v>3</v>
      </c>
      <c r="O332" s="60"/>
      <c r="P332" s="48"/>
      <c r="Q332" s="145">
        <v>42415.288622950866</v>
      </c>
      <c r="R332" s="151">
        <v>42415.288622950866</v>
      </c>
      <c r="S332" s="141">
        <v>44111.900167868902</v>
      </c>
      <c r="T332" s="141">
        <v>45808.511712786938</v>
      </c>
      <c r="U332" s="142"/>
      <c r="V332" s="140"/>
      <c r="W332" s="150"/>
    </row>
    <row r="333" spans="1:23">
      <c r="A333" s="93" t="s">
        <v>317</v>
      </c>
      <c r="B333" s="56" t="str">
        <f>IFERROR(HYPERLINK(VLOOKUP(A333,ÜRÜNLER!A:C,3,FALSE),VLOOKUP(A333,ÜRÜNLER!A:B,2,FALSE)),"")</f>
        <v>iQ500 Gazlı Ocak, 60cm, Sert Cam, Siyah, Döküm</v>
      </c>
      <c r="C333" s="5">
        <v>3</v>
      </c>
      <c r="D333" s="5"/>
      <c r="E333" s="6"/>
      <c r="F333" s="6"/>
      <c r="G333" s="6"/>
      <c r="H333" s="6"/>
      <c r="I333" s="7">
        <v>1</v>
      </c>
      <c r="J333" s="7"/>
      <c r="K333" s="6"/>
      <c r="L333" s="6"/>
      <c r="M333" s="7">
        <v>1</v>
      </c>
      <c r="N333" s="59">
        <f t="shared" si="11"/>
        <v>5</v>
      </c>
      <c r="O333" s="60"/>
      <c r="P333" s="48"/>
      <c r="Q333" s="145">
        <v>40480.642086453685</v>
      </c>
      <c r="R333" s="151">
        <v>40480.642086453685</v>
      </c>
      <c r="S333" s="141">
        <v>42099.867769911834</v>
      </c>
      <c r="T333" s="141">
        <v>43719.093453369976</v>
      </c>
      <c r="U333" s="142"/>
      <c r="V333" s="140"/>
      <c r="W333" s="150"/>
    </row>
    <row r="334" spans="1:23">
      <c r="A334" s="87" t="s">
        <v>318</v>
      </c>
      <c r="B334" s="56" t="str">
        <f>IFERROR(HYPERLINK(VLOOKUP(A334,ÜRÜNLER!A:C,3,FALSE),VLOOKUP(A334,ÜRÜNLER!A:B,2,FALSE)),"")</f>
        <v>iQ500 Gazlı Ocak, 60cm, Sert Cam, Beyaz, Döküm</v>
      </c>
      <c r="C334" s="5">
        <v>3</v>
      </c>
      <c r="D334" s="5"/>
      <c r="E334" s="6"/>
      <c r="F334" s="6">
        <v>1</v>
      </c>
      <c r="G334" s="6"/>
      <c r="H334" s="6"/>
      <c r="I334" s="7"/>
      <c r="J334" s="7">
        <v>1</v>
      </c>
      <c r="K334" s="6">
        <v>1</v>
      </c>
      <c r="L334" s="6">
        <v>2</v>
      </c>
      <c r="M334" s="7"/>
      <c r="N334" s="59">
        <f t="shared" si="11"/>
        <v>8</v>
      </c>
      <c r="O334" s="60"/>
      <c r="P334" s="48"/>
      <c r="Q334" s="139" t="s">
        <v>1782</v>
      </c>
      <c r="R334" s="140">
        <v>26000</v>
      </c>
      <c r="S334" s="141">
        <v>27040</v>
      </c>
      <c r="T334" s="141">
        <v>28080</v>
      </c>
      <c r="U334" s="142"/>
      <c r="V334" s="140"/>
      <c r="W334" s="146">
        <v>250</v>
      </c>
    </row>
    <row r="335" spans="1:23">
      <c r="A335" s="87" t="s">
        <v>319</v>
      </c>
      <c r="B335" s="56" t="str">
        <f>IFERROR(HYPERLINK(VLOOKUP(A335,ÜRÜNLER!A:C,3,FALSE),VLOOKUP(A335,ÜRÜNLER!A:B,2,FALSE)),"")</f>
        <v>iQ500 Gazlı Ocak, 60cm, Sert Cam, Siyah, Döküm, Wok</v>
      </c>
      <c r="C335" s="5"/>
      <c r="D335" s="5"/>
      <c r="E335" s="6"/>
      <c r="F335" s="6">
        <v>2</v>
      </c>
      <c r="G335" s="6"/>
      <c r="H335" s="6"/>
      <c r="I335" s="7"/>
      <c r="J335" s="7"/>
      <c r="K335" s="6"/>
      <c r="L335" s="6">
        <v>2</v>
      </c>
      <c r="M335" s="7"/>
      <c r="N335" s="59">
        <f t="shared" si="11"/>
        <v>4</v>
      </c>
      <c r="O335" s="60"/>
      <c r="P335" s="48"/>
      <c r="Q335" s="139" t="s">
        <v>1782</v>
      </c>
      <c r="R335" s="140">
        <v>26000</v>
      </c>
      <c r="S335" s="141">
        <v>27040</v>
      </c>
      <c r="T335" s="141">
        <v>28080</v>
      </c>
      <c r="U335" s="142"/>
      <c r="V335" s="140"/>
      <c r="W335" s="143">
        <v>1000</v>
      </c>
    </row>
    <row r="336" spans="1:23">
      <c r="A336" s="87" t="s">
        <v>320</v>
      </c>
      <c r="B336" s="56" t="str">
        <f>IFERROR(HYPERLINK(VLOOKUP(A336,ÜRÜNLER!A:C,3,FALSE),VLOOKUP(A336,ÜRÜNLER!A:B,2,FALSE)),"")</f>
        <v>iQ500 Gazlı Ocak, 60cm, Sert Cam, Siyah, Döküm</v>
      </c>
      <c r="C336" s="5">
        <v>2</v>
      </c>
      <c r="D336" s="5"/>
      <c r="E336" s="6"/>
      <c r="F336" s="6"/>
      <c r="G336" s="6"/>
      <c r="H336" s="6"/>
      <c r="I336" s="7"/>
      <c r="J336" s="7"/>
      <c r="K336" s="6"/>
      <c r="L336" s="6">
        <v>1</v>
      </c>
      <c r="M336" s="7"/>
      <c r="N336" s="59">
        <f t="shared" si="11"/>
        <v>3</v>
      </c>
      <c r="O336" s="60"/>
      <c r="P336" s="48"/>
      <c r="Q336" s="139" t="s">
        <v>1782</v>
      </c>
      <c r="R336" s="140">
        <v>26000</v>
      </c>
      <c r="S336" s="141">
        <v>27040</v>
      </c>
      <c r="T336" s="141">
        <v>28080</v>
      </c>
      <c r="U336" s="142"/>
      <c r="V336" s="140"/>
      <c r="W336" s="146">
        <v>250</v>
      </c>
    </row>
    <row r="337" spans="1:23">
      <c r="A337" s="109" t="s">
        <v>322</v>
      </c>
      <c r="B337" s="56" t="str">
        <f>IFERROR(HYPERLINK(VLOOKUP(A337,ÜRÜNLER!A:C,3,FALSE),VLOOKUP(A337,ÜRÜNLER!A:B,2,FALSE)),"")</f>
        <v>iQ500 Gazlı Ocak, 60cm, Sert Cam, Titanyum Gri, Döküm, Wok</v>
      </c>
      <c r="C337" s="5"/>
      <c r="D337" s="5"/>
      <c r="E337" s="6"/>
      <c r="F337" s="6"/>
      <c r="G337" s="6"/>
      <c r="H337" s="6"/>
      <c r="I337" s="7">
        <v>1</v>
      </c>
      <c r="J337" s="7"/>
      <c r="K337" s="6"/>
      <c r="L337" s="6">
        <v>1</v>
      </c>
      <c r="M337" s="7"/>
      <c r="N337" s="59">
        <f t="shared" si="11"/>
        <v>2</v>
      </c>
      <c r="O337" s="60"/>
      <c r="P337" s="48"/>
      <c r="Q337" s="139" t="s">
        <v>1782</v>
      </c>
      <c r="R337" s="140">
        <v>28000</v>
      </c>
      <c r="S337" s="141">
        <v>29120</v>
      </c>
      <c r="T337" s="141">
        <v>30240</v>
      </c>
      <c r="U337" s="142"/>
      <c r="V337" s="140"/>
      <c r="W337" s="143">
        <v>1000</v>
      </c>
    </row>
    <row r="338" spans="1:23">
      <c r="A338" s="87" t="s">
        <v>323</v>
      </c>
      <c r="B338" s="56" t="str">
        <f>IFERROR(HYPERLINK(VLOOKUP(A338,ÜRÜNLER!A:C,3,FALSE),VLOOKUP(A338,ÜRÜNLER!A:B,2,FALSE)),"")</f>
        <v>iQ300 Gazlı Ocak, 60cm, Sert Cam, Siyah, Döküm</v>
      </c>
      <c r="C338" s="5">
        <v>5</v>
      </c>
      <c r="D338" s="5"/>
      <c r="E338" s="6"/>
      <c r="F338" s="6"/>
      <c r="G338" s="6"/>
      <c r="H338" s="6"/>
      <c r="I338" s="7"/>
      <c r="J338" s="7"/>
      <c r="K338" s="6"/>
      <c r="L338" s="6"/>
      <c r="M338" s="7"/>
      <c r="N338" s="59">
        <f t="shared" si="11"/>
        <v>5</v>
      </c>
      <c r="O338" s="60"/>
      <c r="P338" s="48"/>
      <c r="Q338" s="145">
        <v>22680.244991927226</v>
      </c>
      <c r="R338" s="151">
        <v>22680.244991927226</v>
      </c>
      <c r="S338" s="141">
        <v>23587.454791604316</v>
      </c>
      <c r="T338" s="141">
        <v>24494.664591281406</v>
      </c>
      <c r="U338" s="142"/>
      <c r="V338" s="140"/>
      <c r="W338" s="150"/>
    </row>
    <row r="339" spans="1:23">
      <c r="A339" s="87" t="s">
        <v>324</v>
      </c>
      <c r="B339" s="56" t="str">
        <f>IFERROR(HYPERLINK(VLOOKUP(A339,ÜRÜNLER!A:C,3,FALSE),VLOOKUP(A339,ÜRÜNLER!A:B,2,FALSE)),"")</f>
        <v>iQ300 Gazlı Ocak, 75cm, 4 Gözlü, Sert Cam, Beyaz</v>
      </c>
      <c r="C339" s="5"/>
      <c r="D339" s="5"/>
      <c r="E339" s="6"/>
      <c r="F339" s="6"/>
      <c r="G339" s="6"/>
      <c r="H339" s="6"/>
      <c r="I339" s="7">
        <v>1</v>
      </c>
      <c r="J339" s="7"/>
      <c r="K339" s="6"/>
      <c r="L339" s="6"/>
      <c r="M339" s="7"/>
      <c r="N339" s="59">
        <f t="shared" si="11"/>
        <v>1</v>
      </c>
      <c r="O339" s="60"/>
      <c r="P339" s="48"/>
      <c r="Q339" s="139" t="s">
        <v>1782</v>
      </c>
      <c r="R339" s="140">
        <v>15000</v>
      </c>
      <c r="S339" s="141">
        <v>15600</v>
      </c>
      <c r="T339" s="141">
        <v>16200</v>
      </c>
      <c r="U339" s="142"/>
      <c r="V339" s="140"/>
      <c r="W339" s="164">
        <v>500</v>
      </c>
    </row>
    <row r="340" spans="1:23">
      <c r="A340" s="87" t="s">
        <v>325</v>
      </c>
      <c r="B340" s="56" t="str">
        <f>IFERROR(HYPERLINK(VLOOKUP(A340,ÜRÜNLER!A:C,3,FALSE),VLOOKUP(A340,ÜRÜNLER!A:B,2,FALSE)),"")</f>
        <v>iQ300 Gazlı Ocak, 75cm, 5 Gözlü, Sert Cam, Beyaz, Wok</v>
      </c>
      <c r="C340" s="5"/>
      <c r="D340" s="5"/>
      <c r="E340" s="6"/>
      <c r="F340" s="6"/>
      <c r="G340" s="6"/>
      <c r="H340" s="6"/>
      <c r="I340" s="7"/>
      <c r="J340" s="7">
        <v>1</v>
      </c>
      <c r="K340" s="6"/>
      <c r="L340" s="6"/>
      <c r="M340" s="7"/>
      <c r="N340" s="59">
        <f t="shared" si="11"/>
        <v>1</v>
      </c>
      <c r="O340" s="60"/>
      <c r="P340" s="48"/>
      <c r="Q340" s="139" t="s">
        <v>1782</v>
      </c>
      <c r="R340" s="140">
        <v>25000</v>
      </c>
      <c r="S340" s="141">
        <v>26000</v>
      </c>
      <c r="T340" s="141">
        <v>27000</v>
      </c>
      <c r="U340" s="142"/>
      <c r="V340" s="140"/>
      <c r="W340" s="164">
        <v>500</v>
      </c>
    </row>
    <row r="341" spans="1:23">
      <c r="A341" s="91" t="s">
        <v>326</v>
      </c>
      <c r="B341" s="56" t="str">
        <f>IFERROR(HYPERLINK(VLOOKUP(A341,ÜRÜNLER!A:C,3,FALSE),VLOOKUP(A341,ÜRÜNLER!A:B,2,FALSE)),"")</f>
        <v>iQ300 Gazlı Ocak, 75cm, 5 Gözlü, Sert Cam, Beyaz, Wok</v>
      </c>
      <c r="C341" s="5">
        <v>9</v>
      </c>
      <c r="D341" s="5"/>
      <c r="E341" s="6"/>
      <c r="F341" s="6"/>
      <c r="G341" s="6"/>
      <c r="H341" s="6"/>
      <c r="I341" s="7"/>
      <c r="J341" s="7"/>
      <c r="K341" s="6">
        <v>1</v>
      </c>
      <c r="L341" s="6"/>
      <c r="M341" s="7">
        <v>1</v>
      </c>
      <c r="N341" s="59">
        <f t="shared" si="11"/>
        <v>11</v>
      </c>
      <c r="O341" s="60"/>
      <c r="P341" s="48"/>
      <c r="Q341" s="145">
        <v>27642.867686790607</v>
      </c>
      <c r="R341" s="151">
        <v>27642.867686790607</v>
      </c>
      <c r="S341" s="141">
        <v>28748.58239426223</v>
      </c>
      <c r="T341" s="141">
        <v>29854.297101733857</v>
      </c>
      <c r="U341" s="142"/>
      <c r="V341" s="140"/>
      <c r="W341" s="150"/>
    </row>
    <row r="342" spans="1:23">
      <c r="A342" s="87" t="s">
        <v>327</v>
      </c>
      <c r="B342" s="56" t="str">
        <f>IFERROR(HYPERLINK(VLOOKUP(A342,ÜRÜNLER!A:C,3,FALSE),VLOOKUP(A342,ÜRÜNLER!A:B,2,FALSE)),"")</f>
        <v>iQ300 Gazlı Ocak, 75cm, 5 Gözlü, Sert Cam, Siyah, Wok</v>
      </c>
      <c r="C342" s="5"/>
      <c r="D342" s="5"/>
      <c r="E342" s="6"/>
      <c r="F342" s="6"/>
      <c r="G342" s="6"/>
      <c r="H342" s="6"/>
      <c r="I342" s="7"/>
      <c r="J342" s="7"/>
      <c r="K342" s="6"/>
      <c r="L342" s="6">
        <v>1</v>
      </c>
      <c r="M342" s="7"/>
      <c r="N342" s="59">
        <f t="shared" si="11"/>
        <v>1</v>
      </c>
      <c r="O342" s="60"/>
      <c r="P342" s="48"/>
      <c r="Q342" s="139" t="s">
        <v>1782</v>
      </c>
      <c r="R342" s="140">
        <v>25000</v>
      </c>
      <c r="S342" s="141">
        <v>26000</v>
      </c>
      <c r="T342" s="141">
        <v>27000</v>
      </c>
      <c r="U342" s="142"/>
      <c r="V342" s="140"/>
      <c r="W342" s="164">
        <v>500</v>
      </c>
    </row>
    <row r="343" spans="1:23">
      <c r="A343" s="93" t="s">
        <v>328</v>
      </c>
      <c r="B343" s="56" t="str">
        <f>IFERROR(HYPERLINK(VLOOKUP(A343,ÜRÜNLER!A:C,3,FALSE),VLOOKUP(A343,ÜRÜNLER!A:B,2,FALSE)),"")</f>
        <v>iQ300 Gazlı Ocak, 75cm, 5 Gözlü, Sert Cam, Siyah, Wok</v>
      </c>
      <c r="C343" s="5">
        <v>7</v>
      </c>
      <c r="D343" s="5"/>
      <c r="E343" s="6"/>
      <c r="F343" s="6"/>
      <c r="G343" s="6"/>
      <c r="H343" s="6"/>
      <c r="I343" s="7"/>
      <c r="J343" s="7"/>
      <c r="K343" s="6"/>
      <c r="L343" s="6"/>
      <c r="M343" s="7"/>
      <c r="N343" s="59">
        <f t="shared" si="11"/>
        <v>7</v>
      </c>
      <c r="O343" s="60"/>
      <c r="P343" s="48"/>
      <c r="Q343" s="145">
        <v>27642.867686790607</v>
      </c>
      <c r="R343" s="151">
        <v>27642.867686790607</v>
      </c>
      <c r="S343" s="141">
        <v>28748.58239426223</v>
      </c>
      <c r="T343" s="141">
        <v>29854.297101733857</v>
      </c>
      <c r="U343" s="142"/>
      <c r="V343" s="140"/>
      <c r="W343" s="150"/>
    </row>
    <row r="344" spans="1:23">
      <c r="A344" s="109" t="s">
        <v>329</v>
      </c>
      <c r="B344" s="56" t="str">
        <f>IFERROR(HYPERLINK(VLOOKUP(A344,ÜRÜNLER!A:C,3,FALSE),VLOOKUP(A344,ÜRÜNLER!A:B,2,FALSE)),"")</f>
        <v>iQ300 Gazlı Ocak, 75cm, 5 Gözlü, Sert Cam, Titanyum Gri, Wok</v>
      </c>
      <c r="C344" s="5">
        <v>1</v>
      </c>
      <c r="D344" s="5"/>
      <c r="E344" s="6"/>
      <c r="F344" s="6">
        <v>1</v>
      </c>
      <c r="G344" s="6"/>
      <c r="H344" s="6"/>
      <c r="I344" s="7">
        <v>2</v>
      </c>
      <c r="J344" s="7"/>
      <c r="K344" s="6"/>
      <c r="L344" s="6">
        <v>1</v>
      </c>
      <c r="M344" s="7"/>
      <c r="N344" s="59">
        <f t="shared" si="11"/>
        <v>5</v>
      </c>
      <c r="O344" s="60"/>
      <c r="P344" s="48"/>
      <c r="Q344" s="139" t="s">
        <v>1782</v>
      </c>
      <c r="R344" s="140">
        <v>20000</v>
      </c>
      <c r="S344" s="141">
        <v>20800</v>
      </c>
      <c r="T344" s="141">
        <v>21600</v>
      </c>
      <c r="U344" s="142"/>
      <c r="V344" s="140"/>
      <c r="W344" s="146">
        <v>250</v>
      </c>
    </row>
    <row r="345" spans="1:23">
      <c r="A345" s="109" t="s">
        <v>465</v>
      </c>
      <c r="B345" s="56" t="str">
        <f>IFERROR(HYPERLINK(VLOOKUP(A345,ÜRÜNLER!A:C,3,FALSE),VLOOKUP(A345,ÜRÜNLER!A:B,2,FALSE)),"")</f>
        <v>iQ300 Gazlı Ocak, 75cm, Sert Cam, Antrasit, Wok</v>
      </c>
      <c r="C345" s="5">
        <v>5</v>
      </c>
      <c r="D345" s="5"/>
      <c r="E345" s="6"/>
      <c r="F345" s="6"/>
      <c r="G345" s="6"/>
      <c r="H345" s="6"/>
      <c r="I345" s="7"/>
      <c r="J345" s="7"/>
      <c r="K345" s="6"/>
      <c r="L345" s="6"/>
      <c r="M345" s="7"/>
      <c r="N345" s="59">
        <f t="shared" si="11"/>
        <v>5</v>
      </c>
      <c r="O345" s="60"/>
      <c r="P345" s="48"/>
      <c r="Q345" s="145">
        <v>27642.867686790607</v>
      </c>
      <c r="R345" s="151">
        <v>27642.867686790607</v>
      </c>
      <c r="S345" s="141">
        <v>28748.58239426223</v>
      </c>
      <c r="T345" s="141">
        <v>29854.297101733857</v>
      </c>
      <c r="U345" s="142"/>
      <c r="V345" s="140"/>
      <c r="W345" s="150"/>
    </row>
    <row r="346" spans="1:23">
      <c r="A346" s="87" t="s">
        <v>1323</v>
      </c>
      <c r="B346" s="56" t="str">
        <f>IFERROR(HYPERLINK(VLOOKUP(A346,ÜRÜNLER!A:C,3,FALSE),VLOOKUP(A346,ÜRÜNLER!A:B,2,FALSE)),"")</f>
        <v>iQ500 Gazlı Ocak, 75cm, 5 Gözlü, Sert Cam, Beyaz, Wok</v>
      </c>
      <c r="C346" s="5">
        <v>7</v>
      </c>
      <c r="D346" s="5"/>
      <c r="E346" s="6"/>
      <c r="F346" s="6"/>
      <c r="G346" s="6"/>
      <c r="H346" s="6"/>
      <c r="I346" s="7"/>
      <c r="J346" s="7"/>
      <c r="K346" s="6"/>
      <c r="L346" s="6"/>
      <c r="M346" s="7"/>
      <c r="N346" s="59">
        <f t="shared" si="11"/>
        <v>7</v>
      </c>
      <c r="O346" s="60"/>
      <c r="P346" s="48"/>
      <c r="Q346" s="145">
        <v>54623.153160214708</v>
      </c>
      <c r="R346" s="156">
        <v>51891.995502203972</v>
      </c>
      <c r="S346" s="141">
        <v>53967.675322292132</v>
      </c>
      <c r="T346" s="141">
        <v>56043.355142380293</v>
      </c>
      <c r="U346" s="142"/>
      <c r="V346" s="140"/>
      <c r="W346" s="146">
        <v>250</v>
      </c>
    </row>
    <row r="347" spans="1:23">
      <c r="A347" s="87" t="s">
        <v>330</v>
      </c>
      <c r="B347" s="56" t="str">
        <f>IFERROR(HYPERLINK(VLOOKUP(A347,ÜRÜNLER!A:C,3,FALSE),VLOOKUP(A347,ÜRÜNLER!A:B,2,FALSE)),"")</f>
        <v>iQ500 Gazlı Ocak, 75cm, 5 Gözlü, Sert Cam, Beyaz, Döküm, Wok</v>
      </c>
      <c r="C347" s="5"/>
      <c r="D347" s="5"/>
      <c r="E347" s="6"/>
      <c r="F347" s="6">
        <v>1</v>
      </c>
      <c r="G347" s="6"/>
      <c r="H347" s="6"/>
      <c r="I347" s="7">
        <v>2</v>
      </c>
      <c r="J347" s="7">
        <v>1</v>
      </c>
      <c r="K347" s="6"/>
      <c r="L347" s="6">
        <v>2</v>
      </c>
      <c r="M347" s="7">
        <v>1</v>
      </c>
      <c r="N347" s="59">
        <f t="shared" si="11"/>
        <v>7</v>
      </c>
      <c r="O347" s="60"/>
      <c r="P347" s="48"/>
      <c r="Q347" s="139" t="s">
        <v>1782</v>
      </c>
      <c r="R347" s="140">
        <v>42000</v>
      </c>
      <c r="S347" s="141">
        <v>43680</v>
      </c>
      <c r="T347" s="141">
        <v>45360</v>
      </c>
      <c r="U347" s="142"/>
      <c r="V347" s="140"/>
      <c r="W347" s="143">
        <v>1000</v>
      </c>
    </row>
    <row r="348" spans="1:23">
      <c r="A348" s="87" t="s">
        <v>331</v>
      </c>
      <c r="B348" s="56" t="str">
        <f>IFERROR(HYPERLINK(VLOOKUP(A348,ÜRÜNLER!A:C,3,FALSE),VLOOKUP(A348,ÜRÜNLER!A:B,2,FALSE)),"")</f>
        <v>iQ500 Gazlı Ocak, 75cm, 5 Gözlü, Sert Cam, Siyah, Wok</v>
      </c>
      <c r="C348" s="5"/>
      <c r="D348" s="5"/>
      <c r="E348" s="6"/>
      <c r="F348" s="6"/>
      <c r="G348" s="6"/>
      <c r="H348" s="6"/>
      <c r="I348" s="7">
        <v>1</v>
      </c>
      <c r="J348" s="7">
        <v>1</v>
      </c>
      <c r="K348" s="6"/>
      <c r="L348" s="6">
        <v>2</v>
      </c>
      <c r="M348" s="7"/>
      <c r="N348" s="59">
        <f t="shared" si="11"/>
        <v>4</v>
      </c>
      <c r="O348" s="60"/>
      <c r="P348" s="48"/>
      <c r="Q348" s="139" t="s">
        <v>1782</v>
      </c>
      <c r="R348" s="140">
        <v>42000</v>
      </c>
      <c r="S348" s="141">
        <v>43680</v>
      </c>
      <c r="T348" s="141">
        <v>45360</v>
      </c>
      <c r="U348" s="142"/>
      <c r="V348" s="140"/>
      <c r="W348" s="143">
        <v>1000</v>
      </c>
    </row>
    <row r="349" spans="1:23">
      <c r="A349" s="91" t="s">
        <v>332</v>
      </c>
      <c r="B349" s="56" t="str">
        <f>IFERROR(HYPERLINK(VLOOKUP(A349,ÜRÜNLER!A:C,3,FALSE),VLOOKUP(A349,ÜRÜNLER!A:B,2,FALSE)),"")</f>
        <v>iQ500 Gazlı Ocak, 75cm, 5 Gözlü, Sert Cam, Siyah, Döküm, Wok</v>
      </c>
      <c r="C349" s="5"/>
      <c r="D349" s="5"/>
      <c r="E349" s="6"/>
      <c r="F349" s="6"/>
      <c r="G349" s="6"/>
      <c r="H349" s="6"/>
      <c r="I349" s="7">
        <v>1</v>
      </c>
      <c r="J349" s="7"/>
      <c r="K349" s="6"/>
      <c r="L349" s="6"/>
      <c r="M349" s="7"/>
      <c r="N349" s="59">
        <f t="shared" si="11"/>
        <v>1</v>
      </c>
      <c r="O349" s="60"/>
      <c r="P349" s="48"/>
      <c r="Q349" s="139" t="s">
        <v>1782</v>
      </c>
      <c r="R349" s="140">
        <v>42000</v>
      </c>
      <c r="S349" s="141">
        <v>43680</v>
      </c>
      <c r="T349" s="141">
        <v>45360</v>
      </c>
      <c r="U349" s="142"/>
      <c r="V349" s="140"/>
      <c r="W349" s="143">
        <v>1000</v>
      </c>
    </row>
    <row r="350" spans="1:23">
      <c r="A350" s="91" t="s">
        <v>333</v>
      </c>
      <c r="B350" s="56" t="str">
        <f>IFERROR(HYPERLINK(VLOOKUP(A350,ÜRÜNLER!A:C,3,FALSE),VLOOKUP(A350,ÜRÜNLER!A:B,2,FALSE)),"")</f>
        <v>iQ500 Gazlı Ocak, 75cm, 5 Gözlü, Inox, Döküm, Wok</v>
      </c>
      <c r="C350" s="5">
        <v>1</v>
      </c>
      <c r="D350" s="5"/>
      <c r="E350" s="6"/>
      <c r="F350" s="6"/>
      <c r="G350" s="6"/>
      <c r="H350" s="6"/>
      <c r="I350" s="7"/>
      <c r="J350" s="7"/>
      <c r="K350" s="6"/>
      <c r="L350" s="6"/>
      <c r="M350" s="7"/>
      <c r="N350" s="59">
        <f t="shared" si="11"/>
        <v>1</v>
      </c>
      <c r="O350" s="60"/>
      <c r="P350" s="48"/>
      <c r="Q350" s="145">
        <v>49651.962852539102</v>
      </c>
      <c r="R350" s="151">
        <v>49651.962852539102</v>
      </c>
      <c r="S350" s="141">
        <v>51638.041366640668</v>
      </c>
      <c r="T350" s="141">
        <v>53624.119880742233</v>
      </c>
      <c r="U350" s="142"/>
      <c r="V350" s="140"/>
      <c r="W350" s="150"/>
    </row>
    <row r="351" spans="1:23">
      <c r="A351" s="87" t="s">
        <v>334</v>
      </c>
      <c r="B351" s="56" t="str">
        <f>IFERROR(HYPERLINK(VLOOKUP(A351,ÜRÜNLER!A:C,3,FALSE),VLOOKUP(A351,ÜRÜNLER!A:B,2,FALSE)),"")</f>
        <v>iQ500 Gazlı Ocak, 75cm, 5 Gözlü, Inox, Döküm, Wok</v>
      </c>
      <c r="C351" s="5"/>
      <c r="D351" s="5"/>
      <c r="E351" s="6"/>
      <c r="F351" s="6"/>
      <c r="G351" s="6"/>
      <c r="H351" s="6"/>
      <c r="I351" s="7">
        <v>1</v>
      </c>
      <c r="J351" s="7"/>
      <c r="K351" s="6"/>
      <c r="L351" s="6"/>
      <c r="M351" s="7"/>
      <c r="N351" s="59">
        <f t="shared" si="11"/>
        <v>1</v>
      </c>
      <c r="O351" s="60"/>
      <c r="P351" s="48"/>
      <c r="Q351" s="139" t="s">
        <v>1782</v>
      </c>
      <c r="R351" s="140">
        <v>40000</v>
      </c>
      <c r="S351" s="141">
        <v>41600</v>
      </c>
      <c r="T351" s="141">
        <v>43200</v>
      </c>
      <c r="U351" s="142"/>
      <c r="V351" s="140"/>
      <c r="W351" s="143">
        <v>1000</v>
      </c>
    </row>
    <row r="352" spans="1:23">
      <c r="A352" s="121" t="s">
        <v>335</v>
      </c>
      <c r="B352" s="56" t="str">
        <f>IFERROR(HYPERLINK(VLOOKUP(A352,ÜRÜNLER!A:C,3,FALSE),VLOOKUP(A352,ÜRÜNLER!A:B,2,FALSE)),"")</f>
        <v>iQ500 Gazlı Ocak, 90cm, 5 Gözlü, Sert Cam, Siyah, Döküm, Wok</v>
      </c>
      <c r="C352" s="5"/>
      <c r="D352" s="5"/>
      <c r="E352" s="6"/>
      <c r="F352" s="6"/>
      <c r="G352" s="6"/>
      <c r="H352" s="6"/>
      <c r="I352" s="7"/>
      <c r="J352" s="7"/>
      <c r="K352" s="6"/>
      <c r="L352" s="6">
        <v>1</v>
      </c>
      <c r="M352" s="7"/>
      <c r="N352" s="59">
        <f t="shared" si="11"/>
        <v>1</v>
      </c>
      <c r="O352" s="60"/>
      <c r="P352" s="48"/>
      <c r="Q352" s="139" t="s">
        <v>1782</v>
      </c>
      <c r="R352" s="140">
        <v>45000</v>
      </c>
      <c r="S352" s="141">
        <v>46800</v>
      </c>
      <c r="T352" s="141">
        <v>48600</v>
      </c>
      <c r="U352" s="142"/>
      <c r="V352" s="140"/>
      <c r="W352" s="143">
        <v>1000</v>
      </c>
    </row>
    <row r="353" spans="1:23">
      <c r="A353" s="103" t="s">
        <v>336</v>
      </c>
      <c r="B353" s="56" t="str">
        <f>IFERROR(HYPERLINK(VLOOKUP(A353,ÜRÜNLER!A:C,3,FALSE),VLOOKUP(A353,ÜRÜNLER!A:B,2,FALSE)),"")</f>
        <v>iQ500 Gazlı Ocak, 90cm, 5 Gözlü, Sert Cam, Siyah, Döküm, Wok</v>
      </c>
      <c r="C353" s="5">
        <v>1</v>
      </c>
      <c r="D353" s="5"/>
      <c r="E353" s="6"/>
      <c r="F353" s="6">
        <v>2</v>
      </c>
      <c r="G353" s="6"/>
      <c r="H353" s="6"/>
      <c r="I353" s="7"/>
      <c r="J353" s="7">
        <v>1</v>
      </c>
      <c r="K353" s="6"/>
      <c r="L353" s="6"/>
      <c r="M353" s="7"/>
      <c r="N353" s="59">
        <f t="shared" si="11"/>
        <v>4</v>
      </c>
      <c r="O353" s="60"/>
      <c r="P353" s="48"/>
      <c r="Q353" s="145">
        <v>68141.189719030473</v>
      </c>
      <c r="R353" s="151">
        <v>68141.189719030473</v>
      </c>
      <c r="S353" s="141">
        <v>70866.837307791691</v>
      </c>
      <c r="T353" s="141">
        <v>73592.484896552909</v>
      </c>
      <c r="U353" s="142"/>
      <c r="V353" s="140"/>
      <c r="W353" s="146">
        <v>250</v>
      </c>
    </row>
    <row r="354" spans="1:23">
      <c r="A354" s="91" t="s">
        <v>338</v>
      </c>
      <c r="B354" s="56" t="str">
        <f>IFERROR(HYPERLINK(VLOOKUP(A354,ÜRÜNLER!A:C,3,FALSE),VLOOKUP(A354,ÜRÜNLER!A:B,2,FALSE)),"")</f>
        <v>iQ500 Gazlı Ocak, 67cm, Sert Cam, Siyah, Wok, Döküm</v>
      </c>
      <c r="C354" s="5">
        <v>1</v>
      </c>
      <c r="D354" s="5"/>
      <c r="E354" s="6"/>
      <c r="F354" s="6"/>
      <c r="G354" s="6"/>
      <c r="H354" s="6"/>
      <c r="I354" s="7"/>
      <c r="J354" s="7"/>
      <c r="K354" s="6">
        <v>1</v>
      </c>
      <c r="L354" s="6"/>
      <c r="M354" s="7"/>
      <c r="N354" s="59">
        <f t="shared" si="11"/>
        <v>2</v>
      </c>
      <c r="O354" s="60"/>
      <c r="P354" s="48"/>
      <c r="Q354" s="145">
        <v>54623.153160214708</v>
      </c>
      <c r="R354" s="151">
        <v>54623.153160214708</v>
      </c>
      <c r="S354" s="141">
        <v>56808.079286623295</v>
      </c>
      <c r="T354" s="141">
        <v>58993.005413031882</v>
      </c>
      <c r="U354" s="142"/>
      <c r="V354" s="140"/>
      <c r="W354" s="150"/>
    </row>
    <row r="355" spans="1:23">
      <c r="A355" s="121" t="s">
        <v>1319</v>
      </c>
      <c r="B355" s="56" t="str">
        <f>IFERROR(HYPERLINK(VLOOKUP(A355,ÜRÜNLER!A:C,3,FALSE),VLOOKUP(A355,ÜRÜNLER!A:B,2,FALSE)),"")</f>
        <v>iQ700 studioLine Gazlı Ocak, 90cm, 5 Gözlü, Sert Cam, Siyah, Döküm, Wok</v>
      </c>
      <c r="C355" s="5"/>
      <c r="D355" s="5"/>
      <c r="E355" s="6"/>
      <c r="F355" s="6"/>
      <c r="G355" s="6"/>
      <c r="H355" s="6"/>
      <c r="I355" s="7"/>
      <c r="J355" s="7"/>
      <c r="K355" s="6"/>
      <c r="L355" s="6"/>
      <c r="M355" s="7"/>
      <c r="N355" s="59">
        <f t="shared" si="11"/>
        <v>0</v>
      </c>
      <c r="O355" s="60">
        <v>2</v>
      </c>
      <c r="P355" s="48"/>
      <c r="Q355" s="159">
        <v>96577.07986836003</v>
      </c>
      <c r="R355" s="159">
        <v>86919.371881524028</v>
      </c>
      <c r="S355" s="141">
        <v>90396.14675678499</v>
      </c>
      <c r="T355" s="141">
        <v>93872.921632045953</v>
      </c>
      <c r="U355" s="142"/>
      <c r="V355" s="140"/>
      <c r="W355" s="150"/>
    </row>
    <row r="356" spans="1:23">
      <c r="A356" s="121" t="s">
        <v>340</v>
      </c>
      <c r="B356" s="56" t="str">
        <f>IFERROR(HYPERLINK(VLOOKUP(A356,ÜRÜNLER!A:C,3,FALSE),VLOOKUP(A356,ÜRÜNLER!A:B,2,FALSE)),"")</f>
        <v>iQ700 Gazlı Ocak, 60cm, Seramik, Siyah, Döküm</v>
      </c>
      <c r="C356" s="5"/>
      <c r="D356" s="5"/>
      <c r="E356" s="6"/>
      <c r="F356" s="6"/>
      <c r="G356" s="6"/>
      <c r="H356" s="6"/>
      <c r="I356" s="7">
        <v>1</v>
      </c>
      <c r="J356" s="7"/>
      <c r="K356" s="6"/>
      <c r="L356" s="6">
        <v>3</v>
      </c>
      <c r="M356" s="7"/>
      <c r="N356" s="59">
        <f t="shared" si="11"/>
        <v>4</v>
      </c>
      <c r="O356" s="60"/>
      <c r="P356" s="48"/>
      <c r="Q356" s="139" t="s">
        <v>1782</v>
      </c>
      <c r="R356" s="140">
        <v>40000</v>
      </c>
      <c r="S356" s="141">
        <v>41600</v>
      </c>
      <c r="T356" s="141">
        <v>43200</v>
      </c>
      <c r="U356" s="142"/>
      <c r="V356" s="140"/>
      <c r="W356" s="143">
        <v>1000</v>
      </c>
    </row>
    <row r="357" spans="1:23">
      <c r="A357" s="91" t="s">
        <v>341</v>
      </c>
      <c r="B357" s="56" t="str">
        <f>IFERROR(HYPERLINK(VLOOKUP(A357,ÜRÜNLER!A:C,3,FALSE),VLOOKUP(A357,ÜRÜNLER!A:B,2,FALSE)),"")</f>
        <v>iQ500 Moduler Teppanyaki, 40cm, Inox</v>
      </c>
      <c r="C357" s="5">
        <v>2</v>
      </c>
      <c r="D357" s="5"/>
      <c r="E357" s="6"/>
      <c r="F357" s="6"/>
      <c r="G357" s="6"/>
      <c r="H357" s="6"/>
      <c r="I357" s="7"/>
      <c r="J357" s="7"/>
      <c r="K357" s="6"/>
      <c r="L357" s="6"/>
      <c r="M357" s="7"/>
      <c r="N357" s="59">
        <f t="shared" si="11"/>
        <v>2</v>
      </c>
      <c r="O357" s="60"/>
      <c r="P357" s="48"/>
      <c r="Q357" s="139" t="s">
        <v>1782</v>
      </c>
      <c r="R357" s="140">
        <v>100000</v>
      </c>
      <c r="S357" s="141">
        <v>104000</v>
      </c>
      <c r="T357" s="141">
        <v>108000</v>
      </c>
      <c r="U357" s="142"/>
      <c r="V357" s="140"/>
      <c r="W357" s="146">
        <v>250</v>
      </c>
    </row>
    <row r="358" spans="1:23">
      <c r="A358" s="91" t="s">
        <v>339</v>
      </c>
      <c r="B358" s="56" t="str">
        <f>IFERROR(HYPERLINK(VLOOKUP(A358,ÜRÜNLER!A:C,3,FALSE),VLOOKUP(A358,ÜRÜNLER!A:B,2,FALSE)),"")</f>
        <v>iQ700 Gazlı Domino Ocak, 30cm, 2 Gözlü, Seramik, Siyah</v>
      </c>
      <c r="C358" s="5"/>
      <c r="D358" s="5"/>
      <c r="E358" s="6"/>
      <c r="F358" s="6">
        <v>1</v>
      </c>
      <c r="G358" s="6"/>
      <c r="H358" s="6"/>
      <c r="I358" s="7"/>
      <c r="J358" s="7"/>
      <c r="K358" s="6"/>
      <c r="L358" s="6"/>
      <c r="M358" s="7"/>
      <c r="N358" s="59">
        <f t="shared" ref="N358:N359" si="12">M358+K358+L358+J358+I358+H358+G358+F358+E358+D358+C358</f>
        <v>1</v>
      </c>
      <c r="O358" s="60"/>
      <c r="P358" s="48"/>
      <c r="Q358" s="139" t="s">
        <v>1782</v>
      </c>
      <c r="R358" s="140">
        <v>35000</v>
      </c>
      <c r="S358" s="141">
        <v>36400</v>
      </c>
      <c r="T358" s="141">
        <v>37800</v>
      </c>
      <c r="U358" s="142"/>
      <c r="V358" s="140"/>
      <c r="W358" s="143">
        <v>1000</v>
      </c>
    </row>
    <row r="359" spans="1:23">
      <c r="A359" s="91" t="s">
        <v>337</v>
      </c>
      <c r="B359" s="56" t="str">
        <f>IFERROR(HYPERLINK(VLOOKUP(A359,ÜRÜNLER!A:C,3,FALSE),VLOOKUP(A359,ÜRÜNLER!A:B,2,FALSE)),"")</f>
        <v>iQ700 Gazlı Domino Ocak, 30cm, Tek Gözlü, Seramik, Siyah, Wok</v>
      </c>
      <c r="C359" s="5">
        <v>2</v>
      </c>
      <c r="D359" s="5"/>
      <c r="E359" s="6"/>
      <c r="F359" s="6"/>
      <c r="G359" s="6"/>
      <c r="H359" s="6"/>
      <c r="I359" s="7"/>
      <c r="J359" s="7"/>
      <c r="K359" s="6"/>
      <c r="L359" s="6"/>
      <c r="M359" s="7"/>
      <c r="N359" s="59">
        <f t="shared" si="12"/>
        <v>2</v>
      </c>
      <c r="O359" s="60"/>
      <c r="P359" s="48"/>
      <c r="Q359" s="139" t="s">
        <v>1782</v>
      </c>
      <c r="R359" s="168">
        <v>30000</v>
      </c>
      <c r="S359" s="141">
        <v>31200</v>
      </c>
      <c r="T359" s="141">
        <v>32400</v>
      </c>
      <c r="U359" s="142"/>
      <c r="V359" s="140"/>
      <c r="W359" s="146">
        <v>250</v>
      </c>
    </row>
    <row r="360" spans="1:23" ht="34.5" customHeight="1">
      <c r="A360" s="122" t="s">
        <v>342</v>
      </c>
      <c r="B360" s="56" t="str">
        <f>IFERROR(HYPERLINK(VLOOKUP(A360,ÜRÜNLER!A:C,3,FALSE),VLOOKUP(A360,ÜRÜNLER!A:B,2,FALSE)),"")</f>
        <v/>
      </c>
      <c r="C360" s="5"/>
      <c r="D360" s="5"/>
      <c r="E360" s="6"/>
      <c r="F360" s="6"/>
      <c r="G360" s="6"/>
      <c r="H360" s="6"/>
      <c r="I360" s="7"/>
      <c r="J360" s="7"/>
      <c r="K360" s="6"/>
      <c r="L360" s="6"/>
      <c r="M360" s="7"/>
      <c r="N360" s="59">
        <f>SUM(N300:N359)</f>
        <v>357</v>
      </c>
      <c r="O360" s="60"/>
      <c r="P360" s="6"/>
      <c r="Q360" s="139"/>
      <c r="R360" s="140"/>
      <c r="S360" s="141"/>
      <c r="T360" s="141"/>
      <c r="U360" s="142"/>
      <c r="V360" s="140"/>
      <c r="W360" s="150"/>
    </row>
    <row r="361" spans="1:23">
      <c r="A361" s="87" t="s">
        <v>343</v>
      </c>
      <c r="B361" s="56" t="str">
        <f>IFERROR(HYPERLINK(VLOOKUP(A361,ÜRÜNLER!A:C,3,FALSE),VLOOKUP(A361,ÜRÜNLER!A:B,2,FALSE)),"")</f>
        <v>iQ100 Elektrikli Ocak, 60cm, Çerçevesiz, Siyah</v>
      </c>
      <c r="C361" s="5">
        <v>15</v>
      </c>
      <c r="D361" s="5"/>
      <c r="E361" s="6"/>
      <c r="F361" s="6"/>
      <c r="G361" s="6"/>
      <c r="H361" s="6"/>
      <c r="I361" s="7">
        <v>1</v>
      </c>
      <c r="J361" s="7">
        <v>1</v>
      </c>
      <c r="K361" s="6">
        <v>1</v>
      </c>
      <c r="L361" s="6">
        <v>1</v>
      </c>
      <c r="M361" s="7">
        <v>1</v>
      </c>
      <c r="N361" s="59">
        <f t="shared" ref="N361:N366" si="13">M361+K361+L361+J361+I361+H361+G361+F361+E361+D361+C361</f>
        <v>20</v>
      </c>
      <c r="O361" s="60"/>
      <c r="P361" s="48"/>
      <c r="Q361" s="145">
        <v>26926.899614470331</v>
      </c>
      <c r="R361" s="156">
        <v>25580.554633746815</v>
      </c>
      <c r="S361" s="141">
        <v>26603.776819096689</v>
      </c>
      <c r="T361" s="141">
        <v>27626.999004446559</v>
      </c>
      <c r="U361" s="142"/>
      <c r="V361" s="140"/>
      <c r="W361" s="150"/>
    </row>
    <row r="362" spans="1:23">
      <c r="A362" s="87" t="s">
        <v>344</v>
      </c>
      <c r="B362" s="56" t="str">
        <f>IFERROR(HYPERLINK(VLOOKUP(A362,ÜRÜNLER!A:C,3,FALSE),VLOOKUP(A362,ÜRÜNLER!A:B,2,FALSE)),"")</f>
        <v>iQ100 Elektrikli Ocak, 60cm, Çerçevesiz, Beyaz</v>
      </c>
      <c r="C362" s="5">
        <v>5</v>
      </c>
      <c r="D362" s="5"/>
      <c r="E362" s="6"/>
      <c r="F362" s="6">
        <v>2</v>
      </c>
      <c r="G362" s="6"/>
      <c r="H362" s="6"/>
      <c r="I362" s="7">
        <v>2</v>
      </c>
      <c r="J362" s="7"/>
      <c r="K362" s="6"/>
      <c r="L362" s="6"/>
      <c r="M362" s="7"/>
      <c r="N362" s="59">
        <f t="shared" si="13"/>
        <v>9</v>
      </c>
      <c r="O362" s="60">
        <v>6</v>
      </c>
      <c r="P362" s="48"/>
      <c r="Q362" s="145">
        <v>33549.396465393293</v>
      </c>
      <c r="R362" s="156">
        <v>31871.926642123628</v>
      </c>
      <c r="S362" s="141">
        <v>33146.803707808576</v>
      </c>
      <c r="T362" s="141">
        <v>34421.680773493521</v>
      </c>
      <c r="U362" s="142"/>
      <c r="V362" s="140"/>
      <c r="W362" s="150"/>
    </row>
    <row r="363" spans="1:23">
      <c r="A363" s="87" t="s">
        <v>345</v>
      </c>
      <c r="B363" s="56" t="str">
        <f>IFERROR(HYPERLINK(VLOOKUP(A363,ÜRÜNLER!A:C,3,FALSE),VLOOKUP(A363,ÜRÜNLER!A:B,2,FALSE)),"")</f>
        <v>iQ300 Elektrikli Ocak, 60cm, Çerçevesiz, Siyah</v>
      </c>
      <c r="C363" s="5">
        <v>6</v>
      </c>
      <c r="D363" s="5"/>
      <c r="E363" s="6"/>
      <c r="F363" s="6">
        <v>1</v>
      </c>
      <c r="G363" s="6"/>
      <c r="H363" s="6"/>
      <c r="I363" s="7"/>
      <c r="J363" s="7"/>
      <c r="K363" s="6"/>
      <c r="L363" s="6"/>
      <c r="M363" s="7"/>
      <c r="N363" s="59">
        <f t="shared" si="13"/>
        <v>7</v>
      </c>
      <c r="O363" s="60"/>
      <c r="P363" s="48"/>
      <c r="Q363" s="145">
        <v>33595.221318182215</v>
      </c>
      <c r="R363" s="156">
        <v>31915.460252273104</v>
      </c>
      <c r="S363" s="141">
        <v>33192.078662364031</v>
      </c>
      <c r="T363" s="141">
        <v>34468.697072454954</v>
      </c>
      <c r="U363" s="142"/>
      <c r="V363" s="140"/>
      <c r="W363" s="150"/>
    </row>
    <row r="364" spans="1:23">
      <c r="A364" s="87" t="s">
        <v>346</v>
      </c>
      <c r="B364" s="56" t="str">
        <f>IFERROR(HYPERLINK(VLOOKUP(A364,ÜRÜNLER!A:C,3,FALSE),VLOOKUP(A364,ÜRÜNLER!A:B,2,FALSE)),"")</f>
        <v>iQ300 Elektrikli Ocak, 70cm, Çerçeveli, Siyah</v>
      </c>
      <c r="C364" s="5"/>
      <c r="D364" s="5"/>
      <c r="E364" s="6"/>
      <c r="F364" s="6">
        <v>2</v>
      </c>
      <c r="G364" s="6"/>
      <c r="H364" s="6"/>
      <c r="I364" s="7">
        <v>1</v>
      </c>
      <c r="J364" s="7"/>
      <c r="K364" s="6"/>
      <c r="L364" s="6"/>
      <c r="M364" s="7"/>
      <c r="N364" s="59">
        <f t="shared" si="13"/>
        <v>3</v>
      </c>
      <c r="O364" s="60"/>
      <c r="P364" s="48"/>
      <c r="Q364" s="139" t="s">
        <v>1782</v>
      </c>
      <c r="R364" s="151">
        <v>52000</v>
      </c>
      <c r="S364" s="141">
        <v>54080</v>
      </c>
      <c r="T364" s="141">
        <v>56160</v>
      </c>
      <c r="U364" s="142"/>
      <c r="V364" s="140"/>
      <c r="W364" s="143">
        <v>1000</v>
      </c>
    </row>
    <row r="365" spans="1:23">
      <c r="A365" s="87" t="s">
        <v>347</v>
      </c>
      <c r="B365" s="56" t="str">
        <f>IFERROR(HYPERLINK(VLOOKUP(A365,ÜRÜNLER!A:C,3,FALSE),VLOOKUP(A365,ÜRÜNLER!A:B,2,FALSE)),"")</f>
        <v>iQ500 Elektrikli Ocak, 80cm, Çerçeveli, Siyah</v>
      </c>
      <c r="C365" s="5">
        <v>3</v>
      </c>
      <c r="D365" s="5"/>
      <c r="E365" s="6"/>
      <c r="F365" s="6">
        <v>1</v>
      </c>
      <c r="G365" s="6"/>
      <c r="H365" s="6"/>
      <c r="I365" s="7"/>
      <c r="J365" s="7"/>
      <c r="K365" s="6"/>
      <c r="L365" s="6"/>
      <c r="M365" s="7"/>
      <c r="N365" s="59">
        <f t="shared" si="13"/>
        <v>4</v>
      </c>
      <c r="O365" s="60"/>
      <c r="P365" s="48"/>
      <c r="Q365" s="145">
        <v>64596.554616845155</v>
      </c>
      <c r="R365" s="151">
        <v>64596.554616845155</v>
      </c>
      <c r="S365" s="141">
        <v>67180.416801518964</v>
      </c>
      <c r="T365" s="141">
        <v>69764.278986192774</v>
      </c>
      <c r="U365" s="142"/>
      <c r="V365" s="140"/>
      <c r="W365" s="150"/>
    </row>
    <row r="366" spans="1:23">
      <c r="A366" s="87" t="s">
        <v>1689</v>
      </c>
      <c r="B366" s="56" t="str">
        <f>IFERROR(HYPERLINK(VLOOKUP(A366,ÜRÜNLER!A:C,3,FALSE),VLOOKUP(A366,ÜRÜNLER!A:B,2,FALSE)),"")</f>
        <v>iQ300 Elektrikli Domino Ocak, 30cm, 2 Gözlü, Siyah</v>
      </c>
      <c r="C366" s="5">
        <v>1</v>
      </c>
      <c r="D366" s="5"/>
      <c r="E366" s="6"/>
      <c r="F366" s="6"/>
      <c r="G366" s="6"/>
      <c r="H366" s="6"/>
      <c r="I366" s="7"/>
      <c r="J366" s="7"/>
      <c r="K366" s="6"/>
      <c r="L366" s="6"/>
      <c r="M366" s="7"/>
      <c r="N366" s="59">
        <f t="shared" si="13"/>
        <v>1</v>
      </c>
      <c r="O366" s="60"/>
      <c r="P366" s="48"/>
      <c r="Q366" s="145">
        <v>34759.589937808785</v>
      </c>
      <c r="R366" s="151">
        <v>34759.589937808785</v>
      </c>
      <c r="S366" s="141">
        <v>36149.973535321136</v>
      </c>
      <c r="T366" s="141">
        <v>37540.357132833487</v>
      </c>
      <c r="U366" s="142"/>
      <c r="V366" s="140"/>
      <c r="W366" s="150"/>
    </row>
    <row r="367" spans="1:23" ht="30">
      <c r="A367" s="122" t="s">
        <v>348</v>
      </c>
      <c r="B367" s="56" t="str">
        <f>IFERROR(HYPERLINK(VLOOKUP(A367,ÜRÜNLER!A:C,3,FALSE),VLOOKUP(A367,ÜRÜNLER!A:B,2,FALSE)),"")</f>
        <v/>
      </c>
      <c r="C367" s="5"/>
      <c r="D367" s="5"/>
      <c r="E367" s="6"/>
      <c r="F367" s="6"/>
      <c r="G367" s="6"/>
      <c r="H367" s="6"/>
      <c r="I367" s="7"/>
      <c r="J367" s="7"/>
      <c r="K367" s="6"/>
      <c r="L367" s="6"/>
      <c r="M367" s="7"/>
      <c r="N367" s="59">
        <f>SUM(N361:N366)</f>
        <v>44</v>
      </c>
      <c r="O367" s="60"/>
      <c r="P367" s="6"/>
      <c r="Q367" s="139"/>
      <c r="R367" s="140"/>
      <c r="S367" s="141"/>
      <c r="T367" s="141"/>
      <c r="U367" s="142"/>
      <c r="V367" s="140"/>
      <c r="W367" s="150"/>
    </row>
    <row r="368" spans="1:23">
      <c r="A368" s="87" t="s">
        <v>349</v>
      </c>
      <c r="B368" s="56" t="str">
        <f>IFERROR(HYPERLINK(VLOOKUP(A368,ÜRÜNLER!A:C,3,FALSE),VLOOKUP(A368,ÜRÜNLER!A:B,2,FALSE)),"")</f>
        <v>iQ100 İndüksiyonlu Ocak, 60cm, Çerçevesiz, Siyah</v>
      </c>
      <c r="C368" s="5">
        <v>16</v>
      </c>
      <c r="D368" s="5"/>
      <c r="E368" s="6">
        <v>1</v>
      </c>
      <c r="F368" s="6"/>
      <c r="G368" s="6"/>
      <c r="H368" s="6"/>
      <c r="I368" s="7">
        <v>1</v>
      </c>
      <c r="J368" s="7">
        <v>1</v>
      </c>
      <c r="K368" s="6"/>
      <c r="L368" s="6"/>
      <c r="M368" s="7">
        <v>1</v>
      </c>
      <c r="N368" s="59">
        <f t="shared" ref="N368:N377" si="14">M368+K368+L368+J368+I368+H368+G368+F368+E368+D368+C368</f>
        <v>20</v>
      </c>
      <c r="O368" s="60">
        <v>10</v>
      </c>
      <c r="P368" s="48"/>
      <c r="Q368" s="145">
        <v>26949.038630997122</v>
      </c>
      <c r="R368" s="156">
        <v>25601.586699447267</v>
      </c>
      <c r="S368" s="141">
        <v>26625.650167425159</v>
      </c>
      <c r="T368" s="141">
        <v>27649.713635403048</v>
      </c>
      <c r="U368" s="142"/>
      <c r="V368" s="140"/>
      <c r="W368" s="150"/>
    </row>
    <row r="369" spans="1:24">
      <c r="A369" s="88" t="s">
        <v>350</v>
      </c>
      <c r="B369" s="56" t="str">
        <f>IFERROR(HYPERLINK(VLOOKUP(A369,ÜRÜNLER!A:C,3,FALSE),VLOOKUP(A369,ÜRÜNLER!A:B,2,FALSE)),"")</f>
        <v>iQ700 İndüksiyonlu Ocak, 60cm, Çerçeveli, Siyah</v>
      </c>
      <c r="C369" s="5">
        <v>2</v>
      </c>
      <c r="D369" s="5"/>
      <c r="E369" s="6"/>
      <c r="F369" s="6"/>
      <c r="G369" s="6"/>
      <c r="H369" s="6"/>
      <c r="I369" s="7"/>
      <c r="J369" s="7"/>
      <c r="K369" s="6"/>
      <c r="L369" s="6"/>
      <c r="M369" s="7"/>
      <c r="N369" s="59">
        <f t="shared" si="14"/>
        <v>2</v>
      </c>
      <c r="O369" s="60"/>
      <c r="P369" s="48"/>
      <c r="Q369" s="145">
        <v>86372.610344239802</v>
      </c>
      <c r="R369" s="151">
        <v>86372.610344239802</v>
      </c>
      <c r="S369" s="141">
        <v>89827.514758009391</v>
      </c>
      <c r="T369" s="141">
        <v>93282.41917177898</v>
      </c>
      <c r="U369" s="142"/>
      <c r="V369" s="140"/>
      <c r="W369" s="146">
        <v>250</v>
      </c>
    </row>
    <row r="370" spans="1:24">
      <c r="A370" s="88" t="s">
        <v>351</v>
      </c>
      <c r="B370" s="56" t="str">
        <f>IFERROR(HYPERLINK(VLOOKUP(A370,ÜRÜNLER!A:C,3,FALSE),VLOOKUP(A370,ÜRÜNLER!A:B,2,FALSE)),"")</f>
        <v>iQ700 studioLine İndüksiyonlu Ocak, 80cm, FlushMount, Siyah</v>
      </c>
      <c r="C370" s="5"/>
      <c r="D370" s="5">
        <v>1</v>
      </c>
      <c r="E370" s="6"/>
      <c r="F370" s="6"/>
      <c r="G370" s="6"/>
      <c r="H370" s="6"/>
      <c r="I370" s="7"/>
      <c r="J370" s="7"/>
      <c r="K370" s="6"/>
      <c r="L370" s="6"/>
      <c r="M370" s="7"/>
      <c r="N370" s="59">
        <f t="shared" si="14"/>
        <v>1</v>
      </c>
      <c r="O370" s="60"/>
      <c r="P370" s="48"/>
      <c r="Q370" s="159">
        <v>98810.13083642222</v>
      </c>
      <c r="R370" s="159">
        <v>88929.117752780003</v>
      </c>
      <c r="S370" s="141">
        <v>92486.282462891206</v>
      </c>
      <c r="T370" s="141">
        <v>96043.447173002409</v>
      </c>
      <c r="U370" s="142"/>
      <c r="V370" s="140"/>
      <c r="W370" s="143">
        <v>500</v>
      </c>
    </row>
    <row r="371" spans="1:24">
      <c r="A371" s="88" t="s">
        <v>352</v>
      </c>
      <c r="B371" s="56" t="str">
        <f>IFERROR(HYPERLINK(VLOOKUP(A371,ÜRÜNLER!A:C,3,FALSE),VLOOKUP(A371,ÜRÜNLER!A:B,2,FALSE)),"")</f>
        <v>iQ700 studioLine İndüksiyonlu Ocak, 80cm, FlushMount, Siyah</v>
      </c>
      <c r="C371" s="5"/>
      <c r="D371" s="5">
        <v>1</v>
      </c>
      <c r="E371" s="6"/>
      <c r="F371" s="6"/>
      <c r="G371" s="6"/>
      <c r="H371" s="6">
        <v>1</v>
      </c>
      <c r="I371" s="7"/>
      <c r="J371" s="7"/>
      <c r="K371" s="6"/>
      <c r="L371" s="6"/>
      <c r="M371" s="7"/>
      <c r="N371" s="59">
        <f t="shared" si="14"/>
        <v>2</v>
      </c>
      <c r="O371" s="60"/>
      <c r="P371" s="48"/>
      <c r="Q371" s="139" t="s">
        <v>1782</v>
      </c>
      <c r="R371" s="157">
        <v>105000</v>
      </c>
      <c r="S371" s="141">
        <v>109200</v>
      </c>
      <c r="T371" s="141">
        <v>113400</v>
      </c>
      <c r="U371" s="142"/>
      <c r="V371" s="140"/>
      <c r="W371" s="143">
        <v>500</v>
      </c>
    </row>
    <row r="372" spans="1:24">
      <c r="A372" s="88" t="s">
        <v>1790</v>
      </c>
      <c r="B372" s="56" t="str">
        <f>IFERROR(HYPERLINK(VLOOKUP(A372,ÜRÜNLER!A:C,3,FALSE),VLOOKUP(A372,ÜRÜNLER!A:B,2,FALSE)),"")</f>
        <v>iQ700 Davlumbaz Entegreli İndüksiyonlu Ocak, 80cm, Çerçeveli, Siyah</v>
      </c>
      <c r="C372" s="5">
        <v>1</v>
      </c>
      <c r="D372" s="5"/>
      <c r="E372" s="6"/>
      <c r="F372" s="6"/>
      <c r="G372" s="6"/>
      <c r="H372" s="6"/>
      <c r="I372" s="7"/>
      <c r="J372" s="7"/>
      <c r="K372" s="6"/>
      <c r="L372" s="6"/>
      <c r="M372" s="7"/>
      <c r="N372" s="59">
        <f t="shared" si="14"/>
        <v>1</v>
      </c>
      <c r="O372" s="60"/>
      <c r="P372" s="48"/>
      <c r="Q372" s="145">
        <v>109323.72862805334</v>
      </c>
      <c r="R372" s="151">
        <v>109323.72862805334</v>
      </c>
      <c r="S372" s="141">
        <v>113696.67777317548</v>
      </c>
      <c r="T372" s="141">
        <v>118069.62691829761</v>
      </c>
      <c r="U372" s="142"/>
      <c r="V372" s="140"/>
      <c r="W372" s="146"/>
    </row>
    <row r="373" spans="1:24">
      <c r="A373" s="88" t="s">
        <v>1750</v>
      </c>
      <c r="B373" s="56" t="str">
        <f>IFERROR(HYPERLINK(VLOOKUP(A373,ÜRÜNLER!A:C,3,FALSE),VLOOKUP(A373,ÜRÜNLER!A:B,2,FALSE)),"")</f>
        <v>iQ700 studioLine Davlumbaz Entegreli İndüksiyonlu Ocak, 80cm, Çerçeveli, Siyah</v>
      </c>
      <c r="C373" s="5"/>
      <c r="D373" s="5">
        <v>2</v>
      </c>
      <c r="E373" s="6"/>
      <c r="F373" s="6"/>
      <c r="G373" s="6"/>
      <c r="H373" s="6"/>
      <c r="I373" s="7"/>
      <c r="J373" s="7"/>
      <c r="K373" s="6"/>
      <c r="L373" s="6"/>
      <c r="M373" s="7"/>
      <c r="N373" s="59">
        <f t="shared" si="14"/>
        <v>2</v>
      </c>
      <c r="O373" s="60"/>
      <c r="P373" s="48"/>
      <c r="Q373" s="159">
        <v>87960.712736329777</v>
      </c>
      <c r="R373" s="159">
        <v>79164.641462696804</v>
      </c>
      <c r="S373" s="141">
        <v>82331.227121204676</v>
      </c>
      <c r="T373" s="141">
        <v>85497.812779712549</v>
      </c>
      <c r="U373" s="142"/>
      <c r="V373" s="140"/>
      <c r="W373" s="146"/>
    </row>
    <row r="374" spans="1:24">
      <c r="A374" s="87" t="s">
        <v>356</v>
      </c>
      <c r="B374" s="56" t="str">
        <f>IFERROR(HYPERLINK(VLOOKUP(A374,ÜRÜNLER!A:C,3,FALSE),VLOOKUP(A374,ÜRÜNLER!A:B,2,FALSE)),"")</f>
        <v>iQ300 İndüksiyonlu Ocak, 90cm, Çerçeveli, Siyah</v>
      </c>
      <c r="C374" s="5"/>
      <c r="D374" s="5"/>
      <c r="E374" s="6"/>
      <c r="F374" s="6">
        <v>1</v>
      </c>
      <c r="G374" s="6"/>
      <c r="H374" s="6"/>
      <c r="I374" s="7"/>
      <c r="J374" s="7">
        <v>1</v>
      </c>
      <c r="K374" s="6"/>
      <c r="L374" s="6">
        <v>1</v>
      </c>
      <c r="M374" s="7"/>
      <c r="N374" s="59">
        <f t="shared" si="14"/>
        <v>3</v>
      </c>
      <c r="O374" s="60"/>
      <c r="P374" s="48"/>
      <c r="Q374" s="145">
        <v>114748.16313013737</v>
      </c>
      <c r="R374" s="138">
        <v>109010.75497363051</v>
      </c>
      <c r="S374" s="141">
        <v>113371.18517257573</v>
      </c>
      <c r="T374" s="141">
        <v>117731.61537152095</v>
      </c>
      <c r="U374" s="142"/>
      <c r="V374" s="140"/>
      <c r="W374" s="146">
        <v>250</v>
      </c>
    </row>
    <row r="375" spans="1:24">
      <c r="A375" s="87" t="s">
        <v>1504</v>
      </c>
      <c r="B375" s="56" t="str">
        <f>IFERROR(HYPERLINK(VLOOKUP(A375,ÜRÜNLER!A:C,3,FALSE),VLOOKUP(A375,ÜRÜNLER!A:B,2,FALSE)),"")</f>
        <v>iQ700 studioLine İndüksiyonlu Ocak, 90cm, FlushMount, Siyah</v>
      </c>
      <c r="C375" s="5"/>
      <c r="D375" s="5">
        <v>2</v>
      </c>
      <c r="E375" s="6"/>
      <c r="F375" s="6"/>
      <c r="G375" s="6"/>
      <c r="H375" s="6"/>
      <c r="I375" s="7"/>
      <c r="J375" s="7"/>
      <c r="K375" s="6"/>
      <c r="L375" s="6"/>
      <c r="M375" s="7"/>
      <c r="N375" s="59">
        <f t="shared" si="14"/>
        <v>2</v>
      </c>
      <c r="O375" s="60"/>
      <c r="P375" s="48"/>
      <c r="Q375" s="159">
        <v>146639.19559058829</v>
      </c>
      <c r="R375" s="159">
        <v>131975.27603152947</v>
      </c>
      <c r="S375" s="141">
        <v>137254.28707279064</v>
      </c>
      <c r="T375" s="141">
        <v>142533.29811405184</v>
      </c>
      <c r="U375" s="142"/>
      <c r="V375" s="140"/>
      <c r="W375" s="143">
        <v>500</v>
      </c>
    </row>
    <row r="376" spans="1:24">
      <c r="A376" s="88" t="s">
        <v>357</v>
      </c>
      <c r="B376" s="56" t="str">
        <f>IFERROR(HYPERLINK(VLOOKUP(A376,ÜRÜNLER!A:C,3,FALSE),VLOOKUP(A376,ÜRÜNLER!A:B,2,FALSE)),"")</f>
        <v>iQ700 İndüksiyonlu Ocak, 90cm, Çerçeveli, Siyah</v>
      </c>
      <c r="C376" s="5">
        <v>3</v>
      </c>
      <c r="D376" s="5"/>
      <c r="E376" s="6"/>
      <c r="F376" s="6"/>
      <c r="G376" s="6"/>
      <c r="H376" s="6"/>
      <c r="I376" s="7"/>
      <c r="J376" s="7"/>
      <c r="K376" s="6"/>
      <c r="L376" s="6"/>
      <c r="M376" s="7"/>
      <c r="N376" s="59">
        <f t="shared" si="14"/>
        <v>3</v>
      </c>
      <c r="O376" s="60"/>
      <c r="P376" s="48"/>
      <c r="Q376" s="145">
        <v>123158.86741556809</v>
      </c>
      <c r="R376" s="151">
        <v>123158.86741556809</v>
      </c>
      <c r="S376" s="141">
        <v>128085.22211219082</v>
      </c>
      <c r="T376" s="141">
        <v>133011.57680881355</v>
      </c>
      <c r="U376" s="142"/>
      <c r="V376" s="140"/>
      <c r="W376" s="146">
        <v>250</v>
      </c>
    </row>
    <row r="377" spans="1:24">
      <c r="A377" s="87" t="s">
        <v>1553</v>
      </c>
      <c r="B377" s="56" t="str">
        <f>IFERROR(HYPERLINK(VLOOKUP(A377,ÜRÜNLER!A:C,3,FALSE),VLOOKUP(A377,ÜRÜNLER!A:B,2,FALSE)),"")</f>
        <v>iQ500 İndüksiyonlu Ocak, 60cm, Çerçevesiz, Siyah</v>
      </c>
      <c r="C377" s="5">
        <v>1</v>
      </c>
      <c r="D377" s="5"/>
      <c r="E377" s="6"/>
      <c r="F377" s="6"/>
      <c r="G377" s="6"/>
      <c r="H377" s="6"/>
      <c r="I377" s="7"/>
      <c r="J377" s="7"/>
      <c r="K377" s="6"/>
      <c r="L377" s="6"/>
      <c r="M377" s="7"/>
      <c r="N377" s="59">
        <f t="shared" si="14"/>
        <v>1</v>
      </c>
      <c r="O377" s="60">
        <v>1</v>
      </c>
      <c r="P377" s="48"/>
      <c r="Q377" s="145">
        <v>63473.534289984025</v>
      </c>
      <c r="R377" s="151">
        <v>63473.534289984025</v>
      </c>
      <c r="S377" s="141">
        <v>66012.47566158339</v>
      </c>
      <c r="T377" s="141">
        <v>68551.417033182748</v>
      </c>
      <c r="U377" s="142"/>
      <c r="V377" s="140"/>
      <c r="W377" s="150"/>
    </row>
    <row r="378" spans="1:24" ht="36">
      <c r="A378" s="123" t="s">
        <v>471</v>
      </c>
      <c r="B378" s="56" t="str">
        <f>IFERROR(HYPERLINK(VLOOKUP(A378,ÜRÜNLER!A:C,3,FALSE),VLOOKUP(A378,ÜRÜNLER!A:B,2,FALSE)),"")</f>
        <v/>
      </c>
      <c r="C378" s="5"/>
      <c r="D378" s="5"/>
      <c r="E378" s="6"/>
      <c r="F378" s="6"/>
      <c r="G378" s="6"/>
      <c r="H378" s="6"/>
      <c r="I378" s="7"/>
      <c r="J378" s="7"/>
      <c r="K378" s="6"/>
      <c r="L378" s="6"/>
      <c r="M378" s="7"/>
      <c r="N378" s="59">
        <f>SUM(N368:N377)</f>
        <v>37</v>
      </c>
      <c r="O378" s="60"/>
      <c r="P378" s="6"/>
      <c r="Q378" s="139"/>
      <c r="R378" s="140"/>
      <c r="S378" s="141"/>
      <c r="T378" s="141"/>
      <c r="U378" s="142"/>
      <c r="V378" s="140"/>
      <c r="W378" s="150"/>
    </row>
    <row r="379" spans="1:24">
      <c r="A379" s="87" t="s">
        <v>463</v>
      </c>
      <c r="B379" s="56" t="str">
        <f>IFERROR(HYPERLINK(VLOOKUP(A379,ÜRÜNLER!A:C,3,FALSE),VLOOKUP(A379,ÜRÜNLER!A:B,2,FALSE)),"")</f>
        <v>iQ300 Davlumbaz Entegreli İndüksiyonlu Ocak, 80cm, Çerçevesiz, Siyah</v>
      </c>
      <c r="C379" s="5">
        <v>1</v>
      </c>
      <c r="D379" s="5"/>
      <c r="E379" s="6"/>
      <c r="F379" s="6"/>
      <c r="G379" s="6"/>
      <c r="H379" s="6"/>
      <c r="I379" s="7"/>
      <c r="J379" s="7"/>
      <c r="K379" s="6"/>
      <c r="L379" s="6"/>
      <c r="M379" s="7"/>
      <c r="N379" s="59">
        <f>M379+K379+L379+J379+I379+H379+G379+F379+E379+D379+C379</f>
        <v>1</v>
      </c>
      <c r="O379" s="60"/>
      <c r="P379" s="48"/>
      <c r="Q379" s="145">
        <v>98476.826388502217</v>
      </c>
      <c r="R379" s="151">
        <v>98476.826388502217</v>
      </c>
      <c r="S379" s="141">
        <v>102415.89944404231</v>
      </c>
      <c r="T379" s="141">
        <v>106354.97249958239</v>
      </c>
      <c r="U379" s="142"/>
      <c r="V379" s="140"/>
      <c r="W379" s="146">
        <v>250</v>
      </c>
    </row>
    <row r="380" spans="1:24">
      <c r="A380" s="87" t="s">
        <v>355</v>
      </c>
      <c r="B380" s="56" t="str">
        <f>IFERROR(HYPERLINK(VLOOKUP(A380,ÜRÜNLER!A:C,3,FALSE),VLOOKUP(A380,ÜRÜNLER!A:B,2,FALSE)),"")</f>
        <v>iQ300 Davlumbaz Entegreli İndüksiyonlu Ocak, 80cm, Çerçevesiz, Siyah</v>
      </c>
      <c r="C380" s="5"/>
      <c r="D380" s="5"/>
      <c r="E380" s="6"/>
      <c r="F380" s="6"/>
      <c r="G380" s="6">
        <v>1</v>
      </c>
      <c r="H380" s="6"/>
      <c r="I380" s="7"/>
      <c r="J380" s="7"/>
      <c r="K380" s="6"/>
      <c r="L380" s="6"/>
      <c r="M380" s="7"/>
      <c r="N380" s="59">
        <f>M380+K380+L380+J380+I380+H380+G380+F380+E380+D380+C380</f>
        <v>1</v>
      </c>
      <c r="O380" s="60"/>
      <c r="P380" s="48"/>
      <c r="Q380" s="139" t="s">
        <v>1782</v>
      </c>
      <c r="R380" s="140">
        <v>80000</v>
      </c>
      <c r="S380" s="141">
        <v>83200</v>
      </c>
      <c r="T380" s="141">
        <v>86400</v>
      </c>
      <c r="U380" s="142"/>
      <c r="V380" s="140"/>
      <c r="W380" s="143">
        <v>1000</v>
      </c>
    </row>
    <row r="381" spans="1:24">
      <c r="A381" s="87" t="s">
        <v>462</v>
      </c>
      <c r="B381" s="56" t="str">
        <f>IFERROR(HYPERLINK(VLOOKUP(A381,ÜRÜNLER!A:C,3,FALSE),VLOOKUP(A381,ÜRÜNLER!A:B,2,FALSE)),"")</f>
        <v>iQ700 Davlumbaz Entegreli İndüksiyonlu Ocak, 80cm, Çerçeveli, Siyah</v>
      </c>
      <c r="C381" s="5">
        <v>1</v>
      </c>
      <c r="D381" s="5"/>
      <c r="E381" s="6"/>
      <c r="F381" s="6"/>
      <c r="G381" s="6"/>
      <c r="H381" s="6"/>
      <c r="I381" s="7"/>
      <c r="J381" s="7"/>
      <c r="K381" s="6"/>
      <c r="L381" s="6"/>
      <c r="M381" s="7"/>
      <c r="N381" s="59">
        <f>M381+K381+L381+J381+I381+H381+G381+F381+E381+D381+C381</f>
        <v>1</v>
      </c>
      <c r="O381" s="60"/>
      <c r="P381" s="48"/>
      <c r="Q381" s="145">
        <v>118828.46204442343</v>
      </c>
      <c r="R381" s="151">
        <v>118828.46204442343</v>
      </c>
      <c r="S381" s="141">
        <v>123581.60052620037</v>
      </c>
      <c r="T381" s="141">
        <v>128334.7390079773</v>
      </c>
      <c r="U381" s="142"/>
      <c r="V381" s="140"/>
      <c r="W381" s="146">
        <v>250</v>
      </c>
    </row>
    <row r="382" spans="1:24">
      <c r="A382" s="87" t="s">
        <v>354</v>
      </c>
      <c r="B382" s="56" t="str">
        <f>IFERROR(HYPERLINK(VLOOKUP(A382,ÜRÜNLER!A:C,3,FALSE),VLOOKUP(A382,ÜRÜNLER!A:B,2,FALSE)),"")</f>
        <v>iQ700 studioLine Davlumbaz Entegreli İndüksiyonlu Ocak, 80cm, Çerçeveli, Siyah</v>
      </c>
      <c r="C382" s="5"/>
      <c r="D382" s="5">
        <v>3</v>
      </c>
      <c r="E382" s="6"/>
      <c r="F382" s="6"/>
      <c r="G382" s="6"/>
      <c r="H382" s="6">
        <v>1</v>
      </c>
      <c r="I382" s="7"/>
      <c r="J382" s="7"/>
      <c r="K382" s="6"/>
      <c r="L382" s="6"/>
      <c r="M382" s="7"/>
      <c r="N382" s="59">
        <f>M382+K382+L382+J382+I382+H382+G382+F382+E382+D382+C382</f>
        <v>4</v>
      </c>
      <c r="O382" s="60"/>
      <c r="P382" s="48"/>
      <c r="Q382" s="159">
        <v>151194.10707865038</v>
      </c>
      <c r="R382" s="159">
        <v>136074.69637078536</v>
      </c>
      <c r="S382" s="141">
        <v>141517.68422561677</v>
      </c>
      <c r="T382" s="141">
        <v>146960.67208044819</v>
      </c>
      <c r="U382" s="142"/>
      <c r="V382" s="140"/>
      <c r="W382" s="146">
        <v>500</v>
      </c>
    </row>
    <row r="383" spans="1:24" s="12" customFormat="1" ht="31.5">
      <c r="A383" s="111" t="s">
        <v>358</v>
      </c>
      <c r="B383" s="56" t="str">
        <f>IFERROR(HYPERLINK(VLOOKUP(A383,ÜRÜNLER!A:C,3,FALSE),VLOOKUP(A383,ÜRÜNLER!A:B,2,FALSE)),"")</f>
        <v/>
      </c>
      <c r="C383" s="5"/>
      <c r="D383" s="5"/>
      <c r="E383" s="6"/>
      <c r="F383" s="6"/>
      <c r="G383" s="6"/>
      <c r="H383" s="6"/>
      <c r="I383" s="7"/>
      <c r="J383" s="7"/>
      <c r="K383" s="6"/>
      <c r="L383" s="6"/>
      <c r="M383" s="7"/>
      <c r="N383" s="59"/>
      <c r="O383" s="60"/>
      <c r="P383" s="6"/>
      <c r="Q383" s="139"/>
      <c r="R383" s="140"/>
      <c r="S383" s="141"/>
      <c r="T383" s="141"/>
      <c r="U383" s="142"/>
      <c r="V383" s="169"/>
      <c r="W383" s="150"/>
      <c r="X383" s="144"/>
    </row>
    <row r="384" spans="1:24">
      <c r="A384" s="124" t="s">
        <v>1845</v>
      </c>
      <c r="B384" s="56" t="str">
        <f>IFERROR(HYPERLINK(VLOOKUP(A384,ÜRÜNLER!A:C,3,FALSE),VLOOKUP(A384,ÜRÜNLER!A:B,2,FALSE)),"")</f>
        <v>EQ500 iAroma Tam Otomatik Kahve Makinesi, Piano Black</v>
      </c>
      <c r="C384" s="5"/>
      <c r="D384" s="5"/>
      <c r="E384" s="6"/>
      <c r="F384" s="6"/>
      <c r="G384" s="6"/>
      <c r="H384" s="6"/>
      <c r="I384" s="7"/>
      <c r="J384" s="7"/>
      <c r="K384" s="6"/>
      <c r="L384" s="6"/>
      <c r="M384" s="7"/>
      <c r="N384" s="59">
        <f t="shared" ref="N384:N418" si="15">M384+K384+L384+J384+I384+H384+G384+F384+E384+D384+C384</f>
        <v>0</v>
      </c>
      <c r="O384" s="60"/>
      <c r="P384" s="48" t="s">
        <v>1846</v>
      </c>
      <c r="Q384" s="145">
        <v>29423</v>
      </c>
      <c r="R384" s="140">
        <v>29423</v>
      </c>
      <c r="S384" s="141">
        <v>30599.919999999998</v>
      </c>
      <c r="T384" s="141">
        <v>31776.84</v>
      </c>
      <c r="U384" s="142"/>
      <c r="V384" s="140"/>
      <c r="W384" s="143"/>
    </row>
    <row r="385" spans="1:24">
      <c r="A385" s="124" t="s">
        <v>1847</v>
      </c>
      <c r="B385" s="56" t="str">
        <f>IFERROR(HYPERLINK(VLOOKUP(A385,ÜRÜNLER!A:C,3,FALSE),VLOOKUP(A385,ÜRÜNLER!A:B,2,FALSE)),"")</f>
        <v>EQ500 iAroma Tam Otomatik Kahve Makinesi, Piano Black</v>
      </c>
      <c r="C385" s="5"/>
      <c r="D385" s="5"/>
      <c r="E385" s="6"/>
      <c r="F385" s="6"/>
      <c r="G385" s="6"/>
      <c r="H385" s="6"/>
      <c r="I385" s="7"/>
      <c r="J385" s="7"/>
      <c r="K385" s="6"/>
      <c r="L385" s="6"/>
      <c r="M385" s="7"/>
      <c r="N385" s="59">
        <f t="shared" si="15"/>
        <v>0</v>
      </c>
      <c r="O385" s="60"/>
      <c r="P385" s="48" t="s">
        <v>1846</v>
      </c>
      <c r="Q385" s="145">
        <v>31810</v>
      </c>
      <c r="R385" s="140">
        <v>31810</v>
      </c>
      <c r="S385" s="141">
        <v>33082.400000000001</v>
      </c>
      <c r="T385" s="141">
        <v>34354.800000000003</v>
      </c>
      <c r="U385" s="142"/>
      <c r="V385" s="140"/>
      <c r="W385" s="143"/>
    </row>
    <row r="386" spans="1:24">
      <c r="A386" s="88" t="s">
        <v>359</v>
      </c>
      <c r="B386" s="56" t="str">
        <f>IFERROR(HYPERLINK(VLOOKUP(A386,ÜRÜNLER!A:C,3,FALSE),VLOOKUP(A386,ÜRÜNLER!A:B,2,FALSE)),"")</f>
        <v>iQ700 Ankastre Tam Otomatik Kahve Makinesi, Siyah/Inox</v>
      </c>
      <c r="C386" s="5"/>
      <c r="D386" s="5"/>
      <c r="E386" s="6"/>
      <c r="F386" s="6"/>
      <c r="G386" s="6"/>
      <c r="H386" s="6"/>
      <c r="I386" s="7"/>
      <c r="J386" s="7"/>
      <c r="K386" s="6"/>
      <c r="L386" s="6">
        <v>1</v>
      </c>
      <c r="M386" s="7"/>
      <c r="N386" s="59">
        <f t="shared" si="15"/>
        <v>1</v>
      </c>
      <c r="O386" s="60"/>
      <c r="P386" s="48"/>
      <c r="Q386" s="139" t="s">
        <v>1782</v>
      </c>
      <c r="R386" s="140">
        <v>120000</v>
      </c>
      <c r="S386" s="141">
        <v>124800</v>
      </c>
      <c r="T386" s="141">
        <v>129600</v>
      </c>
      <c r="U386" s="142"/>
      <c r="V386" s="140"/>
      <c r="W386" s="143">
        <v>1000</v>
      </c>
    </row>
    <row r="387" spans="1:24">
      <c r="A387" s="88" t="s">
        <v>360</v>
      </c>
      <c r="B387" s="56" t="str">
        <f>IFERROR(HYPERLINK(VLOOKUP(A387,ÜRÜNLER!A:C,3,FALSE),VLOOKUP(A387,ÜRÜNLER!A:B,2,FALSE)),"")</f>
        <v>iQ700 Ankastre Tam Otomatik Kahve Makinesi, Siyah</v>
      </c>
      <c r="C387" s="5"/>
      <c r="D387" s="5"/>
      <c r="E387" s="6"/>
      <c r="F387" s="6">
        <v>1</v>
      </c>
      <c r="G387" s="6"/>
      <c r="H387" s="6"/>
      <c r="I387" s="7"/>
      <c r="J387" s="7"/>
      <c r="K387" s="6"/>
      <c r="L387" s="6"/>
      <c r="M387" s="7"/>
      <c r="N387" s="59">
        <f t="shared" si="15"/>
        <v>1</v>
      </c>
      <c r="O387" s="60"/>
      <c r="P387" s="48"/>
      <c r="Q387" s="145">
        <v>165596.65974594664</v>
      </c>
      <c r="R387" s="151">
        <v>165596.65974594664</v>
      </c>
      <c r="S387" s="141">
        <v>172220.52613578452</v>
      </c>
      <c r="T387" s="141">
        <v>178844.39252562239</v>
      </c>
      <c r="U387" s="142"/>
      <c r="V387" s="140"/>
      <c r="W387" s="143">
        <v>1000</v>
      </c>
    </row>
    <row r="388" spans="1:24">
      <c r="A388" s="88" t="s">
        <v>361</v>
      </c>
      <c r="B388" s="56" t="str">
        <f>IFERROR(HYPERLINK(VLOOKUP(A388,ÜRÜNLER!A:C,3,FALSE),VLOOKUP(A388,ÜRÜNLER!A:B,2,FALSE)),"")</f>
        <v>iQ700 studioLine Ankastre Tam Otomatik Kahve Makinesi, Siyah</v>
      </c>
      <c r="C388" s="5"/>
      <c r="D388" s="5">
        <v>5</v>
      </c>
      <c r="E388" s="6"/>
      <c r="F388" s="6"/>
      <c r="G388" s="6"/>
      <c r="H388" s="6">
        <v>1</v>
      </c>
      <c r="I388" s="7"/>
      <c r="J388" s="7"/>
      <c r="K388" s="6"/>
      <c r="L388" s="6"/>
      <c r="M388" s="7"/>
      <c r="N388" s="59">
        <f t="shared" si="15"/>
        <v>6</v>
      </c>
      <c r="O388" s="60"/>
      <c r="P388" s="48"/>
      <c r="Q388" s="159">
        <v>186210.56655393163</v>
      </c>
      <c r="R388" s="159">
        <v>167589.50989853847</v>
      </c>
      <c r="S388" s="141">
        <v>174293.09029448</v>
      </c>
      <c r="T388" s="141">
        <v>180996.67069042154</v>
      </c>
      <c r="U388" s="142"/>
      <c r="V388" s="140"/>
      <c r="W388" s="146">
        <v>500</v>
      </c>
    </row>
    <row r="389" spans="1:24">
      <c r="A389" s="91" t="s">
        <v>362</v>
      </c>
      <c r="B389" s="56" t="str">
        <f>IFERROR(HYPERLINK(VLOOKUP(A389,ÜRÜNLER!A:C,3,FALSE),VLOOKUP(A389,ÜRÜNLER!A:B,2,FALSE)),"")</f>
        <v>EQ6 plus s100 Tam Otomatik Kahve Makinesi, Metalik Elmas Titanyum</v>
      </c>
      <c r="C389" s="5"/>
      <c r="D389" s="5"/>
      <c r="E389" s="6"/>
      <c r="F389" s="6"/>
      <c r="G389" s="6"/>
      <c r="H389" s="6"/>
      <c r="I389" s="7">
        <v>5</v>
      </c>
      <c r="J389" s="7">
        <v>2</v>
      </c>
      <c r="K389" s="6"/>
      <c r="L389" s="6">
        <v>2</v>
      </c>
      <c r="M389" s="7">
        <v>3</v>
      </c>
      <c r="N389" s="59">
        <f t="shared" si="15"/>
        <v>12</v>
      </c>
      <c r="O389" s="60">
        <v>1</v>
      </c>
      <c r="P389" s="48"/>
      <c r="Q389" s="145">
        <v>30821</v>
      </c>
      <c r="R389" s="151">
        <v>30821</v>
      </c>
      <c r="S389" s="141">
        <v>32053.84</v>
      </c>
      <c r="T389" s="141">
        <v>33286.68</v>
      </c>
      <c r="U389" s="142">
        <v>6746.38</v>
      </c>
      <c r="W389" s="146">
        <v>500</v>
      </c>
      <c r="X389" s="169">
        <v>29990</v>
      </c>
    </row>
    <row r="390" spans="1:24">
      <c r="A390" s="91" t="s">
        <v>363</v>
      </c>
      <c r="B390" s="56" t="str">
        <f>IFERROR(HYPERLINK(VLOOKUP(A390,ÜRÜNLER!A:C,3,FALSE),VLOOKUP(A390,ÜRÜNLER!A:B,2,FALSE)),"")</f>
        <v>EQ6 plus s100 Tam Otomatik Kahve Makinesi, Metalik Safir Siyahı</v>
      </c>
      <c r="C390" s="5"/>
      <c r="D390" s="5"/>
      <c r="E390" s="6"/>
      <c r="F390" s="6"/>
      <c r="G390" s="6"/>
      <c r="H390" s="6"/>
      <c r="I390" s="7"/>
      <c r="J390" s="7"/>
      <c r="K390" s="6">
        <v>1</v>
      </c>
      <c r="L390" s="6"/>
      <c r="M390" s="7"/>
      <c r="N390" s="59">
        <f t="shared" si="15"/>
        <v>1</v>
      </c>
      <c r="O390" s="60"/>
      <c r="P390" s="48"/>
      <c r="Q390" s="139" t="s">
        <v>1782</v>
      </c>
      <c r="R390" s="140">
        <v>40000</v>
      </c>
      <c r="S390" s="141">
        <v>41600</v>
      </c>
      <c r="T390" s="141">
        <v>43200</v>
      </c>
      <c r="U390" s="142"/>
      <c r="W390" s="146">
        <v>500</v>
      </c>
      <c r="X390" s="140"/>
    </row>
    <row r="391" spans="1:24">
      <c r="A391" s="91" t="s">
        <v>364</v>
      </c>
      <c r="B391" s="56" t="str">
        <f>IFERROR(HYPERLINK(VLOOKUP(A391,ÜRÜNLER!A:C,3,FALSE),VLOOKUP(A391,ÜRÜNLER!A:B,2,FALSE)),"")</f>
        <v>EQ6 plus s300 Tam Otomatik Kahve Makinesi, Gümüş</v>
      </c>
      <c r="C391" s="5"/>
      <c r="D391" s="5"/>
      <c r="E391" s="6"/>
      <c r="F391" s="6">
        <v>1</v>
      </c>
      <c r="G391" s="6"/>
      <c r="H391" s="6"/>
      <c r="I391" s="7"/>
      <c r="J391" s="7">
        <v>1</v>
      </c>
      <c r="K391" s="6"/>
      <c r="L391" s="6"/>
      <c r="M391" s="7">
        <v>1</v>
      </c>
      <c r="N391" s="59">
        <f t="shared" si="15"/>
        <v>3</v>
      </c>
      <c r="O391" s="60"/>
      <c r="P391" s="48"/>
      <c r="Q391" s="139" t="s">
        <v>1782</v>
      </c>
      <c r="R391" s="140">
        <v>40000</v>
      </c>
      <c r="S391" s="141">
        <v>41600</v>
      </c>
      <c r="T391" s="141">
        <v>43200</v>
      </c>
      <c r="U391" s="142"/>
      <c r="W391" s="146">
        <v>500</v>
      </c>
      <c r="X391" s="140"/>
    </row>
    <row r="392" spans="1:24">
      <c r="A392" s="91" t="s">
        <v>365</v>
      </c>
      <c r="B392" s="56" t="str">
        <f>IFERROR(HYPERLINK(VLOOKUP(A392,ÜRÜNLER!A:C,3,FALSE),VLOOKUP(A392,ÜRÜNLER!A:B,2,FALSE)),"")</f>
        <v>EQ6 plus s500 Tam Otomatik Kahve Makinesi, Sabah Sisi Grisi</v>
      </c>
      <c r="C392" s="5">
        <v>51</v>
      </c>
      <c r="D392" s="5"/>
      <c r="E392" s="6"/>
      <c r="F392" s="6">
        <v>8</v>
      </c>
      <c r="G392" s="6"/>
      <c r="H392" s="6"/>
      <c r="I392" s="7">
        <v>5</v>
      </c>
      <c r="J392" s="7"/>
      <c r="K392" s="6"/>
      <c r="L392" s="6">
        <v>2</v>
      </c>
      <c r="M392" s="7">
        <v>2</v>
      </c>
      <c r="N392" s="59">
        <f t="shared" si="15"/>
        <v>68</v>
      </c>
      <c r="O392" s="60">
        <v>1</v>
      </c>
      <c r="P392" s="48"/>
      <c r="Q392" s="145">
        <v>46150.533752817057</v>
      </c>
      <c r="R392" s="151">
        <v>46150.533752817057</v>
      </c>
      <c r="S392" s="141">
        <v>47996.555102929742</v>
      </c>
      <c r="T392" s="141">
        <v>49842.57645304242</v>
      </c>
      <c r="U392" s="142">
        <v>8429.2000000000007</v>
      </c>
      <c r="W392" s="146">
        <v>500</v>
      </c>
      <c r="X392" s="169">
        <v>46990</v>
      </c>
    </row>
    <row r="393" spans="1:24">
      <c r="A393" s="91" t="s">
        <v>366</v>
      </c>
      <c r="B393" s="56" t="str">
        <f>IFERROR(HYPERLINK(VLOOKUP(A393,ÜRÜNLER!A:C,3,FALSE),VLOOKUP(A393,ÜRÜNLER!A:B,2,FALSE)),"")</f>
        <v>EQ6 plus s700 Tam Otomatik Kahve Makinesi, DarkInox/Siyah</v>
      </c>
      <c r="C393" s="5">
        <v>31</v>
      </c>
      <c r="D393" s="5"/>
      <c r="E393" s="6"/>
      <c r="F393" s="6">
        <v>27</v>
      </c>
      <c r="G393" s="6"/>
      <c r="H393" s="6"/>
      <c r="I393" s="7"/>
      <c r="J393" s="7">
        <v>1</v>
      </c>
      <c r="K393" s="6">
        <v>1</v>
      </c>
      <c r="L393" s="6">
        <v>1</v>
      </c>
      <c r="M393" s="7">
        <v>3</v>
      </c>
      <c r="N393" s="59">
        <f t="shared" si="15"/>
        <v>64</v>
      </c>
      <c r="O393" s="60">
        <v>1</v>
      </c>
      <c r="P393" s="48"/>
      <c r="Q393" s="145">
        <v>49964.129333174926</v>
      </c>
      <c r="R393" s="151">
        <v>49964.129333174926</v>
      </c>
      <c r="S393" s="141">
        <v>51962.694506501924</v>
      </c>
      <c r="T393" s="141">
        <v>53961.259679828916</v>
      </c>
      <c r="U393" s="142">
        <v>9834.5400000000009</v>
      </c>
      <c r="W393" s="146">
        <v>500</v>
      </c>
      <c r="X393" s="169">
        <v>49990</v>
      </c>
    </row>
    <row r="394" spans="1:24">
      <c r="A394" s="87" t="s">
        <v>367</v>
      </c>
      <c r="B394" s="56" t="str">
        <f>IFERROR(HYPERLINK(VLOOKUP(A394,ÜRÜNLER!A:C,3,FALSE),VLOOKUP(A394,ÜRÜNLER!A:B,2,FALSE)),"")</f>
        <v>EQ300 Tam Otomatik Kahve Makinesi, Siyah</v>
      </c>
      <c r="C394" s="5"/>
      <c r="D394" s="5"/>
      <c r="E394" s="6"/>
      <c r="F394" s="6"/>
      <c r="G394" s="6"/>
      <c r="H394" s="6"/>
      <c r="I394" s="7">
        <v>1</v>
      </c>
      <c r="J394" s="7"/>
      <c r="K394" s="6"/>
      <c r="L394" s="6">
        <v>2</v>
      </c>
      <c r="M394" s="7"/>
      <c r="N394" s="59">
        <f t="shared" si="15"/>
        <v>3</v>
      </c>
      <c r="O394" s="60"/>
      <c r="P394" s="48"/>
      <c r="Q394" s="139" t="s">
        <v>1782</v>
      </c>
      <c r="R394" s="140">
        <v>40000</v>
      </c>
      <c r="S394" s="141">
        <v>41600</v>
      </c>
      <c r="T394" s="141">
        <v>43200</v>
      </c>
      <c r="U394" s="142"/>
      <c r="W394" s="146">
        <v>500</v>
      </c>
      <c r="X394" s="140"/>
    </row>
    <row r="395" spans="1:24">
      <c r="A395" s="87" t="s">
        <v>368</v>
      </c>
      <c r="B395" s="56" t="str">
        <f>IFERROR(HYPERLINK(VLOOKUP(A395,ÜRÜNLER!A:C,3,FALSE),VLOOKUP(A395,ÜRÜNLER!A:B,2,FALSE)),"")</f>
        <v>EQ300 Tam Otomatik Kahve Makinesi, Şampanya/Siyah</v>
      </c>
      <c r="C395" s="5"/>
      <c r="D395" s="5"/>
      <c r="E395" s="6"/>
      <c r="F395" s="6"/>
      <c r="G395" s="6"/>
      <c r="H395" s="6"/>
      <c r="I395" s="7"/>
      <c r="J395" s="7">
        <v>1</v>
      </c>
      <c r="K395" s="6"/>
      <c r="L395" s="6">
        <v>2</v>
      </c>
      <c r="M395" s="7">
        <v>1</v>
      </c>
      <c r="N395" s="59">
        <f t="shared" si="15"/>
        <v>4</v>
      </c>
      <c r="O395" s="60"/>
      <c r="P395" s="48"/>
      <c r="Q395" s="139" t="s">
        <v>1782</v>
      </c>
      <c r="R395" s="140">
        <v>40000</v>
      </c>
      <c r="S395" s="141">
        <v>41600</v>
      </c>
      <c r="T395" s="141">
        <v>43200</v>
      </c>
      <c r="U395" s="142"/>
      <c r="W395" s="150">
        <v>500</v>
      </c>
      <c r="X395" s="140"/>
    </row>
    <row r="396" spans="1:24">
      <c r="A396" s="87" t="s">
        <v>369</v>
      </c>
      <c r="B396" s="56" t="str">
        <f>IFERROR(HYPERLINK(VLOOKUP(A396,ÜRÜNLER!A:C,3,FALSE),VLOOKUP(A396,ÜRÜNLER!A:B,2,FALSE)),"")</f>
        <v>EQ9 s300 Tam Otomatik Kahve Makinesi, Siyah</v>
      </c>
      <c r="C396" s="5"/>
      <c r="D396" s="5"/>
      <c r="E396" s="6"/>
      <c r="F396" s="6">
        <v>7</v>
      </c>
      <c r="G396" s="6"/>
      <c r="H396" s="6"/>
      <c r="I396" s="7">
        <v>1</v>
      </c>
      <c r="J396" s="7"/>
      <c r="K396" s="6"/>
      <c r="L396" s="6">
        <v>5</v>
      </c>
      <c r="M396" s="7">
        <v>1</v>
      </c>
      <c r="N396" s="59">
        <f t="shared" si="15"/>
        <v>14</v>
      </c>
      <c r="O396" s="60"/>
      <c r="P396" s="48"/>
      <c r="Q396" s="139" t="s">
        <v>1782</v>
      </c>
      <c r="R396" s="140">
        <v>65000</v>
      </c>
      <c r="S396" s="141">
        <v>67600</v>
      </c>
      <c r="T396" s="141">
        <v>70200</v>
      </c>
      <c r="U396" s="142"/>
      <c r="W396" s="150">
        <v>500</v>
      </c>
      <c r="X396" s="140"/>
    </row>
    <row r="397" spans="1:24">
      <c r="A397" s="87" t="s">
        <v>370</v>
      </c>
      <c r="B397" s="56" t="str">
        <f>IFERROR(HYPERLINK(VLOOKUP(A397,ÜRÜNLER!A:C,3,FALSE),VLOOKUP(A397,ÜRÜNLER!A:B,2,FALSE)),"")</f>
        <v>EQ9 plus connect s500 Tam Otomatik Kahve Makinesi, Siyah</v>
      </c>
      <c r="C397" s="5"/>
      <c r="D397" s="5"/>
      <c r="E397" s="6"/>
      <c r="F397" s="6">
        <v>2</v>
      </c>
      <c r="G397" s="6"/>
      <c r="H397" s="6"/>
      <c r="I397" s="7">
        <v>1</v>
      </c>
      <c r="J397" s="7">
        <v>1</v>
      </c>
      <c r="K397" s="6"/>
      <c r="L397" s="6">
        <v>2</v>
      </c>
      <c r="M397" s="7">
        <v>1</v>
      </c>
      <c r="N397" s="59">
        <f t="shared" si="15"/>
        <v>7</v>
      </c>
      <c r="O397" s="60"/>
      <c r="P397" s="48"/>
      <c r="Q397" s="139" t="s">
        <v>1782</v>
      </c>
      <c r="R397" s="140">
        <v>65000</v>
      </c>
      <c r="S397" s="141">
        <v>67600</v>
      </c>
      <c r="T397" s="141">
        <v>70200</v>
      </c>
      <c r="U397" s="142"/>
      <c r="W397" s="150">
        <v>500</v>
      </c>
      <c r="X397" s="140"/>
    </row>
    <row r="398" spans="1:24">
      <c r="A398" s="124" t="s">
        <v>371</v>
      </c>
      <c r="B398" s="56" t="str">
        <f>IFERROR(HYPERLINK(VLOOKUP(A398,ÜRÜNLER!A:C,3,FALSE),VLOOKUP(A398,ÜRÜNLER!A:B,2,FALSE)),"")</f>
        <v>EQ500 classic Tam Otomatik Kahve Makinesi, Piyano Siyahı</v>
      </c>
      <c r="C398" s="5"/>
      <c r="D398" s="5"/>
      <c r="E398" s="6"/>
      <c r="F398" s="6">
        <v>2</v>
      </c>
      <c r="G398" s="6"/>
      <c r="H398" s="6"/>
      <c r="I398" s="7">
        <v>2</v>
      </c>
      <c r="J398" s="7">
        <v>1</v>
      </c>
      <c r="K398" s="6"/>
      <c r="L398" s="6">
        <v>1</v>
      </c>
      <c r="M398" s="7"/>
      <c r="N398" s="59">
        <f t="shared" si="15"/>
        <v>6</v>
      </c>
      <c r="O398" s="60"/>
      <c r="P398" s="48"/>
      <c r="Q398" s="139" t="s">
        <v>1782</v>
      </c>
      <c r="R398" s="170">
        <v>25000</v>
      </c>
      <c r="S398" s="141">
        <v>26000</v>
      </c>
      <c r="T398" s="141">
        <v>27000</v>
      </c>
      <c r="U398" s="142"/>
      <c r="W398" s="150">
        <v>500</v>
      </c>
      <c r="X398" s="140"/>
    </row>
    <row r="399" spans="1:24">
      <c r="A399" s="124" t="s">
        <v>372</v>
      </c>
      <c r="B399" s="56" t="str">
        <f>IFERROR(HYPERLINK(VLOOKUP(A399,ÜRÜNLER!A:C,3,FALSE),VLOOKUP(A399,ÜRÜNLER!A:B,2,FALSE)),"")</f>
        <v>EQ500 classic Tam Otomatik Kahve Makinesi, Piyano Siyahı</v>
      </c>
      <c r="C399" s="5"/>
      <c r="D399" s="5"/>
      <c r="E399" s="6"/>
      <c r="F399" s="6">
        <v>4</v>
      </c>
      <c r="G399" s="6"/>
      <c r="H399" s="6"/>
      <c r="I399" s="7"/>
      <c r="J399" s="7">
        <v>1</v>
      </c>
      <c r="K399" s="6"/>
      <c r="L399" s="6"/>
      <c r="M399" s="7">
        <v>1</v>
      </c>
      <c r="N399" s="59">
        <f t="shared" si="15"/>
        <v>6</v>
      </c>
      <c r="O399" s="60"/>
      <c r="P399" s="48"/>
      <c r="Q399" s="139" t="s">
        <v>1782</v>
      </c>
      <c r="R399" s="140">
        <v>28000</v>
      </c>
      <c r="S399" s="141">
        <v>29120</v>
      </c>
      <c r="T399" s="141">
        <v>30240</v>
      </c>
      <c r="U399" s="142"/>
      <c r="W399" s="150">
        <v>500</v>
      </c>
      <c r="X399" s="140"/>
    </row>
    <row r="400" spans="1:24">
      <c r="A400" s="125" t="s">
        <v>373</v>
      </c>
      <c r="B400" s="56" t="str">
        <f>IFERROR(HYPERLINK(VLOOKUP(A400,ÜRÜNLER!A:C,3,FALSE),VLOOKUP(A400,ÜRÜNLER!A:B,2,FALSE)),"")</f>
        <v>EQ500 classic Tam Otomatik Kahve Makinesi, Metalik Inox/Gümüş</v>
      </c>
      <c r="C400" s="5"/>
      <c r="D400" s="5"/>
      <c r="E400" s="6"/>
      <c r="F400" s="6">
        <v>1</v>
      </c>
      <c r="G400" s="6"/>
      <c r="H400" s="6"/>
      <c r="I400" s="7">
        <v>1</v>
      </c>
      <c r="J400" s="7"/>
      <c r="K400" s="6"/>
      <c r="L400" s="6">
        <v>1</v>
      </c>
      <c r="M400" s="7">
        <v>1</v>
      </c>
      <c r="N400" s="59">
        <f t="shared" si="15"/>
        <v>4</v>
      </c>
      <c r="O400" s="60"/>
      <c r="P400" s="48"/>
      <c r="Q400" s="139" t="s">
        <v>1782</v>
      </c>
      <c r="R400" s="140">
        <v>25000</v>
      </c>
      <c r="S400" s="141">
        <v>26000</v>
      </c>
      <c r="T400" s="141">
        <v>27000</v>
      </c>
      <c r="U400" s="142"/>
      <c r="W400" s="150">
        <v>500</v>
      </c>
      <c r="X400" s="140"/>
    </row>
    <row r="401" spans="1:24">
      <c r="A401" s="125" t="s">
        <v>374</v>
      </c>
      <c r="B401" s="56" t="str">
        <f>IFERROR(HYPERLINK(VLOOKUP(A401,ÜRÜNLER!A:C,3,FALSE),VLOOKUP(A401,ÜRÜNLER!A:B,2,FALSE)),"")</f>
        <v>EQ500 classic Tam Otomatik Kahve Makinesi, Sabah Sisi Grisi</v>
      </c>
      <c r="C401" s="5"/>
      <c r="D401" s="5"/>
      <c r="E401" s="6"/>
      <c r="F401" s="6">
        <v>1</v>
      </c>
      <c r="G401" s="6"/>
      <c r="H401" s="6"/>
      <c r="I401" s="7"/>
      <c r="J401" s="7"/>
      <c r="K401" s="6"/>
      <c r="L401" s="6"/>
      <c r="M401" s="7">
        <v>1</v>
      </c>
      <c r="N401" s="59">
        <f t="shared" si="15"/>
        <v>2</v>
      </c>
      <c r="O401" s="60"/>
      <c r="P401" s="48"/>
      <c r="Q401" s="139" t="s">
        <v>1782</v>
      </c>
      <c r="R401" s="140">
        <v>30000</v>
      </c>
      <c r="S401" s="141">
        <v>31200</v>
      </c>
      <c r="T401" s="141">
        <v>32400</v>
      </c>
      <c r="U401" s="142"/>
      <c r="W401" s="150">
        <v>500</v>
      </c>
      <c r="X401" s="140"/>
    </row>
    <row r="402" spans="1:24">
      <c r="A402" s="126" t="s">
        <v>375</v>
      </c>
      <c r="B402" s="56" t="str">
        <f>IFERROR(HYPERLINK(VLOOKUP(A402,ÜRÜNLER!A:C,3,FALSE),VLOOKUP(A402,ÜRÜNLER!A:B,2,FALSE)),"")</f>
        <v>EQ500 classic connect Tam Otomatik Kahve Makinesi, Inox/Siyah</v>
      </c>
      <c r="C402" s="5">
        <v>14</v>
      </c>
      <c r="D402" s="5"/>
      <c r="E402" s="6"/>
      <c r="F402" s="6">
        <v>16</v>
      </c>
      <c r="G402" s="6"/>
      <c r="H402" s="6"/>
      <c r="I402" s="7">
        <v>2</v>
      </c>
      <c r="J402" s="7"/>
      <c r="K402" s="6"/>
      <c r="L402" s="6">
        <v>1</v>
      </c>
      <c r="M402" s="7">
        <v>1</v>
      </c>
      <c r="N402" s="59">
        <f t="shared" si="15"/>
        <v>34</v>
      </c>
      <c r="O402" s="60"/>
      <c r="P402" s="48"/>
      <c r="Q402" s="145">
        <v>40793.307112641975</v>
      </c>
      <c r="R402" s="151">
        <v>40793.307112641975</v>
      </c>
      <c r="S402" s="141">
        <v>42425.039397147651</v>
      </c>
      <c r="T402" s="141">
        <v>44056.771681653336</v>
      </c>
      <c r="U402" s="142">
        <v>8691.24</v>
      </c>
      <c r="W402" s="150">
        <v>500</v>
      </c>
      <c r="X402" s="169">
        <v>39990</v>
      </c>
    </row>
    <row r="403" spans="1:24">
      <c r="A403" s="126" t="s">
        <v>376</v>
      </c>
      <c r="B403" s="56" t="str">
        <f>IFERROR(HYPERLINK(VLOOKUP(A403,ÜRÜNLER!A:C,3,FALSE),VLOOKUP(A403,ÜRÜNLER!A:B,2,FALSE)),"")</f>
        <v>EQ500 classic Tam Otomatik Kahve Makinesi, Inox/Siyah</v>
      </c>
      <c r="C403" s="5">
        <v>146</v>
      </c>
      <c r="D403" s="5"/>
      <c r="E403" s="6"/>
      <c r="F403" s="6">
        <v>33</v>
      </c>
      <c r="G403" s="6"/>
      <c r="H403" s="6"/>
      <c r="I403" s="7">
        <v>7</v>
      </c>
      <c r="J403" s="7">
        <v>4</v>
      </c>
      <c r="K403" s="6">
        <v>1</v>
      </c>
      <c r="L403" s="6">
        <v>1</v>
      </c>
      <c r="M403" s="7">
        <v>3</v>
      </c>
      <c r="N403" s="59">
        <f t="shared" si="15"/>
        <v>195</v>
      </c>
      <c r="O403" s="60">
        <v>14</v>
      </c>
      <c r="P403" s="48"/>
      <c r="Q403" s="145">
        <v>32099.651498472376</v>
      </c>
      <c r="R403" s="151">
        <v>32099.651498472376</v>
      </c>
      <c r="S403" s="141">
        <v>33383.637558411268</v>
      </c>
      <c r="T403" s="141">
        <v>34667.623618350168</v>
      </c>
      <c r="U403" s="142">
        <v>6419.61</v>
      </c>
      <c r="W403" s="150">
        <v>500</v>
      </c>
      <c r="X403" s="169">
        <v>31990</v>
      </c>
    </row>
    <row r="404" spans="1:24">
      <c r="A404" s="88" t="s">
        <v>1810</v>
      </c>
      <c r="B404" s="56" t="str">
        <f>IFERROR(HYPERLINK(VLOOKUP(A404,ÜRÜNLER!A:C,3,FALSE),VLOOKUP(A404,ÜRÜNLER!A:B,2,FALSE)),"")</f>
        <v>EQ600 iAroma Tam Otomatik Kahve Makinesi, Sabah Sisi Grisi</v>
      </c>
      <c r="C404" s="5"/>
      <c r="D404" s="5"/>
      <c r="E404" s="6"/>
      <c r="F404" s="6"/>
      <c r="G404" s="6"/>
      <c r="H404" s="6"/>
      <c r="I404" s="7"/>
      <c r="J404" s="7"/>
      <c r="K404" s="6"/>
      <c r="L404" s="6"/>
      <c r="M404" s="7"/>
      <c r="N404" s="59">
        <f t="shared" si="15"/>
        <v>0</v>
      </c>
      <c r="O404" s="60">
        <v>5</v>
      </c>
      <c r="P404" s="48"/>
      <c r="Q404" s="145">
        <v>39763.772727272728</v>
      </c>
      <c r="R404" s="151">
        <v>39763.772727272728</v>
      </c>
      <c r="S404" s="141">
        <v>41354.323636363639</v>
      </c>
      <c r="T404" s="141">
        <v>42944.874545454542</v>
      </c>
      <c r="U404" s="142"/>
      <c r="V404" s="140"/>
      <c r="W404" s="150">
        <v>500</v>
      </c>
    </row>
    <row r="405" spans="1:24">
      <c r="A405" s="88" t="s">
        <v>1808</v>
      </c>
      <c r="B405" s="56" t="str">
        <f>IFERROR(HYPERLINK(VLOOKUP(A405,ÜRÜNLER!A:C,3,FALSE),VLOOKUP(A405,ÜRÜNLER!A:B,2,FALSE)),"")</f>
        <v>EQ600 iAroma Tam Otomatik Kahve Makinesi, Siyah/Inox</v>
      </c>
      <c r="C405" s="5"/>
      <c r="D405" s="5"/>
      <c r="E405" s="6"/>
      <c r="F405" s="6"/>
      <c r="G405" s="6"/>
      <c r="H405" s="6"/>
      <c r="I405" s="7"/>
      <c r="J405" s="7"/>
      <c r="K405" s="6"/>
      <c r="L405" s="6"/>
      <c r="M405" s="7"/>
      <c r="N405" s="59">
        <f t="shared" si="15"/>
        <v>0</v>
      </c>
      <c r="O405" s="60">
        <v>5</v>
      </c>
      <c r="P405" s="48"/>
      <c r="Q405" s="145">
        <v>42150.13636363636</v>
      </c>
      <c r="R405" s="151">
        <v>42150.13636363636</v>
      </c>
      <c r="S405" s="141">
        <v>43836.141818181815</v>
      </c>
      <c r="T405" s="141">
        <v>45522.14727272727</v>
      </c>
      <c r="U405" s="142"/>
      <c r="V405" s="140"/>
      <c r="W405" s="150">
        <v>500</v>
      </c>
    </row>
    <row r="406" spans="1:24">
      <c r="A406" s="107" t="s">
        <v>1809</v>
      </c>
      <c r="B406" s="56" t="str">
        <f>IFERROR(HYPERLINK(VLOOKUP(A406,ÜRÜNLER!A:C,3,FALSE),VLOOKUP(A406,ÜRÜNLER!A:B,2,FALSE)),"")</f>
        <v>EQ600 iAroma Tam Otomatik Kahve Makinesi, Siyah/Dark Inox</v>
      </c>
      <c r="C406" s="5"/>
      <c r="D406" s="5"/>
      <c r="E406" s="6"/>
      <c r="F406" s="6"/>
      <c r="G406" s="6"/>
      <c r="H406" s="6"/>
      <c r="I406" s="7"/>
      <c r="J406" s="7"/>
      <c r="K406" s="6"/>
      <c r="L406" s="6"/>
      <c r="M406" s="7"/>
      <c r="N406" s="59">
        <f t="shared" si="15"/>
        <v>0</v>
      </c>
      <c r="O406" s="60">
        <v>5</v>
      </c>
      <c r="P406" s="48"/>
      <c r="Q406" s="145">
        <v>45331.954545454544</v>
      </c>
      <c r="R406" s="151">
        <v>45331.954545454544</v>
      </c>
      <c r="S406" s="141">
        <v>47145.232727272727</v>
      </c>
      <c r="T406" s="141">
        <v>48958.51090909091</v>
      </c>
      <c r="U406" s="142"/>
      <c r="V406" s="140"/>
      <c r="W406" s="150">
        <v>500</v>
      </c>
    </row>
    <row r="407" spans="1:24">
      <c r="A407" s="124" t="s">
        <v>377</v>
      </c>
      <c r="B407" s="56" t="str">
        <f>IFERROR(HYPERLINK(VLOOKUP(A407,ÜRÜNLER!A:C,3,FALSE),VLOOKUP(A407,ÜRÜNLER!A:B,2,FALSE)),"")</f>
        <v>EQ700 classic Tam Otomatik Kahve Makinesi, Piyano Siyahı</v>
      </c>
      <c r="C407" s="5"/>
      <c r="D407" s="5"/>
      <c r="E407" s="6"/>
      <c r="F407" s="6">
        <v>1</v>
      </c>
      <c r="G407" s="6"/>
      <c r="H407" s="6"/>
      <c r="I407" s="7"/>
      <c r="J407" s="7"/>
      <c r="K407" s="6"/>
      <c r="L407" s="6"/>
      <c r="M407" s="7"/>
      <c r="N407" s="59">
        <f t="shared" si="15"/>
        <v>1</v>
      </c>
      <c r="O407" s="60"/>
      <c r="P407" s="48"/>
      <c r="Q407" s="139" t="s">
        <v>1782</v>
      </c>
      <c r="R407" s="140">
        <v>45000</v>
      </c>
      <c r="S407" s="141">
        <v>46800</v>
      </c>
      <c r="T407" s="141">
        <v>48600</v>
      </c>
      <c r="U407" s="142"/>
      <c r="V407" s="140"/>
      <c r="W407" s="150">
        <v>500</v>
      </c>
    </row>
    <row r="408" spans="1:24">
      <c r="A408" s="125" t="s">
        <v>379</v>
      </c>
      <c r="B408" s="56" t="str">
        <f>IFERROR(HYPERLINK(VLOOKUP(A408,ÜRÜNLER!A:C,3,FALSE),VLOOKUP(A408,ÜRÜNLER!A:B,2,FALSE)),"")</f>
        <v>EQ700 classic Tam Otomatik Kahve Makinesi, Piyano Siyahı</v>
      </c>
      <c r="C408" s="5">
        <v>13</v>
      </c>
      <c r="D408" s="5"/>
      <c r="E408" s="6"/>
      <c r="F408" s="6">
        <v>7</v>
      </c>
      <c r="G408" s="6"/>
      <c r="H408" s="6"/>
      <c r="I408" s="7"/>
      <c r="J408" s="7">
        <v>1</v>
      </c>
      <c r="K408" s="6">
        <v>1</v>
      </c>
      <c r="L408" s="6"/>
      <c r="M408" s="7">
        <v>3</v>
      </c>
      <c r="N408" s="59">
        <f t="shared" si="15"/>
        <v>25</v>
      </c>
      <c r="O408" s="60"/>
      <c r="P408" s="48"/>
      <c r="Q408" s="145">
        <v>52494.176938714467</v>
      </c>
      <c r="R408" s="151">
        <v>52494.176938714467</v>
      </c>
      <c r="S408" s="141">
        <v>54593.944016263049</v>
      </c>
      <c r="T408" s="141">
        <v>56693.711093811624</v>
      </c>
      <c r="U408" s="142"/>
      <c r="V408" s="140"/>
      <c r="W408" s="150">
        <v>500</v>
      </c>
    </row>
    <row r="409" spans="1:24">
      <c r="A409" s="87" t="s">
        <v>380</v>
      </c>
      <c r="B409" s="56" t="str">
        <f>IFERROR(HYPERLINK(VLOOKUP(A409,ÜRÜNLER!A:C,3,FALSE),VLOOKUP(A409,ÜRÜNLER!A:B,2,FALSE)),"")</f>
        <v>EQ500 integral Tam Otomatik Kahve Makinesi, Metalik Safir Siyahı</v>
      </c>
      <c r="C409" s="5"/>
      <c r="D409" s="5"/>
      <c r="E409" s="6"/>
      <c r="F409" s="6"/>
      <c r="G409" s="6"/>
      <c r="H409" s="6"/>
      <c r="I409" s="7">
        <v>1</v>
      </c>
      <c r="J409" s="7"/>
      <c r="K409" s="6">
        <v>1</v>
      </c>
      <c r="L409" s="6">
        <v>1</v>
      </c>
      <c r="M409" s="7">
        <v>1</v>
      </c>
      <c r="N409" s="59">
        <f t="shared" si="15"/>
        <v>4</v>
      </c>
      <c r="O409" s="60"/>
      <c r="P409" s="48"/>
      <c r="Q409" s="139" t="s">
        <v>1782</v>
      </c>
      <c r="R409" s="140">
        <v>40000</v>
      </c>
      <c r="S409" s="141">
        <v>41600</v>
      </c>
      <c r="T409" s="141">
        <v>43200</v>
      </c>
      <c r="U409" s="142"/>
      <c r="V409" s="140"/>
      <c r="W409" s="150">
        <v>500</v>
      </c>
    </row>
    <row r="410" spans="1:24">
      <c r="A410" s="107" t="s">
        <v>381</v>
      </c>
      <c r="B410" s="56" t="str">
        <f>IFERROR(HYPERLINK(VLOOKUP(A410,ÜRÜNLER!A:C,3,FALSE),VLOOKUP(A410,ÜRÜNLER!A:B,2,FALSE)),"")</f>
        <v>EQ500 integral Tam Otomatik Kahve Makinesi, Inox</v>
      </c>
      <c r="C410" s="5"/>
      <c r="D410" s="5"/>
      <c r="E410" s="6"/>
      <c r="F410" s="6">
        <v>1</v>
      </c>
      <c r="G410" s="6"/>
      <c r="H410" s="6"/>
      <c r="I410" s="7">
        <v>1</v>
      </c>
      <c r="J410" s="7">
        <v>1</v>
      </c>
      <c r="K410" s="6"/>
      <c r="L410" s="6">
        <v>1</v>
      </c>
      <c r="M410" s="7">
        <v>1</v>
      </c>
      <c r="N410" s="59">
        <f t="shared" si="15"/>
        <v>5</v>
      </c>
      <c r="O410" s="60"/>
      <c r="P410" s="48"/>
      <c r="Q410" s="139" t="s">
        <v>1782</v>
      </c>
      <c r="R410" s="140">
        <v>40000</v>
      </c>
      <c r="S410" s="141">
        <v>41600</v>
      </c>
      <c r="T410" s="141">
        <v>43200</v>
      </c>
      <c r="U410" s="142"/>
      <c r="V410" s="140"/>
      <c r="W410" s="150">
        <v>500</v>
      </c>
    </row>
    <row r="411" spans="1:24">
      <c r="A411" s="127" t="s">
        <v>382</v>
      </c>
      <c r="B411" s="56" t="str">
        <f>IFERROR(HYPERLINK(VLOOKUP(A411,ÜRÜNLER!A:C,3,FALSE),VLOOKUP(A411,ÜRÜNLER!A:B,2,FALSE)),"")</f>
        <v>EQ700 integral Tam Otomatik Kahve Makinesi, Metalik Inox/Gümüş</v>
      </c>
      <c r="C411" s="5"/>
      <c r="D411" s="5"/>
      <c r="E411" s="6"/>
      <c r="F411" s="6"/>
      <c r="G411" s="6">
        <v>1</v>
      </c>
      <c r="H411" s="6"/>
      <c r="I411" s="7"/>
      <c r="J411" s="7">
        <v>1</v>
      </c>
      <c r="K411" s="6"/>
      <c r="L411" s="6"/>
      <c r="M411" s="7"/>
      <c r="N411" s="59">
        <f t="shared" si="15"/>
        <v>2</v>
      </c>
      <c r="O411" s="60"/>
      <c r="P411" s="48"/>
      <c r="Q411" s="139" t="s">
        <v>1782</v>
      </c>
      <c r="R411" s="140">
        <v>50000</v>
      </c>
      <c r="S411" s="141">
        <v>52000</v>
      </c>
      <c r="T411" s="141">
        <v>54000</v>
      </c>
      <c r="U411" s="142"/>
      <c r="V411" s="140"/>
      <c r="W411" s="150">
        <v>500</v>
      </c>
    </row>
    <row r="412" spans="1:24">
      <c r="A412" s="127" t="s">
        <v>383</v>
      </c>
      <c r="B412" s="56" t="str">
        <f>IFERROR(HYPERLINK(VLOOKUP(A412,ÜRÜNLER!A:C,3,FALSE),VLOOKUP(A412,ÜRÜNLER!A:B,2,FALSE)),"")</f>
        <v>EQ700 Tam Otomatik Kahve Makinesi, Paslanmaz Çelik</v>
      </c>
      <c r="C412" s="5"/>
      <c r="D412" s="5"/>
      <c r="E412" s="6"/>
      <c r="F412" s="6"/>
      <c r="G412" s="6"/>
      <c r="H412" s="6"/>
      <c r="I412" s="7"/>
      <c r="J412" s="7"/>
      <c r="K412" s="6"/>
      <c r="L412" s="6"/>
      <c r="M412" s="7">
        <v>1</v>
      </c>
      <c r="N412" s="59">
        <f t="shared" si="15"/>
        <v>1</v>
      </c>
      <c r="O412" s="60"/>
      <c r="P412" s="48"/>
      <c r="Q412" s="145">
        <v>56989.324165687103</v>
      </c>
      <c r="R412" s="156">
        <v>54139.857957402746</v>
      </c>
      <c r="S412" s="141">
        <v>56305.452275698859</v>
      </c>
      <c r="T412" s="141">
        <v>58471.046593994964</v>
      </c>
      <c r="U412" s="142"/>
      <c r="V412" s="140"/>
      <c r="W412" s="150">
        <v>500</v>
      </c>
    </row>
    <row r="413" spans="1:24">
      <c r="A413" s="87" t="s">
        <v>384</v>
      </c>
      <c r="B413" s="56" t="str">
        <f>IFERROR(HYPERLINK(VLOOKUP(A413,ÜRÜNLER!A:C,3,FALSE),VLOOKUP(A413,ÜRÜNLER!A:B,2,FALSE)),"")</f>
        <v>EQ900 Tam Otomatik Kahve Makinesi, Paslanmaz Çelik</v>
      </c>
      <c r="C413" s="5">
        <v>19</v>
      </c>
      <c r="D413" s="5"/>
      <c r="E413" s="6"/>
      <c r="F413" s="6">
        <v>2</v>
      </c>
      <c r="G413" s="6"/>
      <c r="H413" s="6"/>
      <c r="I413" s="7">
        <v>1</v>
      </c>
      <c r="J413" s="7"/>
      <c r="K413" s="6"/>
      <c r="L413" s="6">
        <v>1</v>
      </c>
      <c r="M413" s="7">
        <v>1</v>
      </c>
      <c r="N413" s="59">
        <f t="shared" si="15"/>
        <v>24</v>
      </c>
      <c r="O413" s="60"/>
      <c r="P413" s="48"/>
      <c r="Q413" s="145">
        <v>80886.471339026728</v>
      </c>
      <c r="R413" s="151">
        <v>80886.471339026728</v>
      </c>
      <c r="S413" s="141">
        <v>84121.930192587795</v>
      </c>
      <c r="T413" s="141">
        <v>87357.389046148863</v>
      </c>
      <c r="U413" s="142"/>
      <c r="V413" s="140"/>
      <c r="W413" s="150">
        <v>500</v>
      </c>
    </row>
    <row r="414" spans="1:24">
      <c r="A414" s="87" t="s">
        <v>385</v>
      </c>
      <c r="B414" s="56" t="str">
        <f>IFERROR(HYPERLINK(VLOOKUP(A414,ÜRÜNLER!A:C,3,FALSE),VLOOKUP(A414,ÜRÜNLER!A:B,2,FALSE)),"")</f>
        <v>EQ900 plus Tam Otomatik Kahve Makinesi, Inox</v>
      </c>
      <c r="C414" s="5">
        <v>11</v>
      </c>
      <c r="D414" s="5"/>
      <c r="E414" s="6"/>
      <c r="F414" s="6"/>
      <c r="G414" s="6"/>
      <c r="H414" s="6"/>
      <c r="I414" s="7"/>
      <c r="J414" s="7"/>
      <c r="K414" s="6"/>
      <c r="L414" s="6"/>
      <c r="M414" s="7">
        <v>1</v>
      </c>
      <c r="N414" s="59">
        <f t="shared" si="15"/>
        <v>12</v>
      </c>
      <c r="O414" s="60"/>
      <c r="P414" s="48"/>
      <c r="Q414" s="145">
        <v>101776.37741443558</v>
      </c>
      <c r="R414" s="151">
        <v>101776.37741443558</v>
      </c>
      <c r="S414" s="141">
        <v>105847.432511013</v>
      </c>
      <c r="T414" s="141">
        <v>109918.48760759043</v>
      </c>
      <c r="U414" s="142"/>
      <c r="V414" s="140"/>
      <c r="W414" s="150">
        <v>500</v>
      </c>
    </row>
    <row r="415" spans="1:24">
      <c r="A415" s="107" t="s">
        <v>386</v>
      </c>
      <c r="B415" s="56" t="str">
        <f>IFERROR(HYPERLINK(VLOOKUP(A415,ÜRÜNLER!A:C,3,FALSE),VLOOKUP(A415,ÜRÜNLER!A:B,2,FALSE)),"")</f>
        <v>iQ700 Sıcak Tutma Çekmecesi, 60x14cm, Siyah</v>
      </c>
      <c r="C415" s="5">
        <v>1</v>
      </c>
      <c r="D415" s="5"/>
      <c r="E415" s="6"/>
      <c r="F415" s="6"/>
      <c r="G415" s="6">
        <v>1</v>
      </c>
      <c r="H415" s="6"/>
      <c r="I415" s="7">
        <v>1</v>
      </c>
      <c r="J415" s="7">
        <v>1</v>
      </c>
      <c r="K415" s="6"/>
      <c r="L415" s="6">
        <v>1</v>
      </c>
      <c r="M415" s="7"/>
      <c r="N415" s="59">
        <f t="shared" si="15"/>
        <v>5</v>
      </c>
      <c r="O415" s="60"/>
      <c r="P415" s="48"/>
      <c r="Q415" s="139" t="s">
        <v>1782</v>
      </c>
      <c r="R415" s="140">
        <v>30000</v>
      </c>
      <c r="S415" s="141">
        <v>31200</v>
      </c>
      <c r="T415" s="141">
        <v>32400</v>
      </c>
      <c r="U415" s="142"/>
      <c r="V415" s="140"/>
      <c r="W415" s="150">
        <v>500</v>
      </c>
    </row>
    <row r="416" spans="1:24">
      <c r="A416" s="107" t="s">
        <v>1497</v>
      </c>
      <c r="B416" s="56" t="str">
        <f>IFERROR(HYPERLINK(VLOOKUP(A416,ÜRÜNLER!A:C,3,FALSE),VLOOKUP(A416,ÜRÜNLER!A:B,2,FALSE)),"")</f>
        <v>iQ700 Sıcak Tutma Çekmecesi, 60x14cm, Siyah</v>
      </c>
      <c r="C416" s="5"/>
      <c r="D416" s="5"/>
      <c r="E416" s="6"/>
      <c r="F416" s="6"/>
      <c r="G416" s="6"/>
      <c r="H416" s="6"/>
      <c r="I416" s="7"/>
      <c r="J416" s="7"/>
      <c r="K416" s="6"/>
      <c r="L416" s="6"/>
      <c r="M416" s="7"/>
      <c r="N416" s="59">
        <f t="shared" si="15"/>
        <v>0</v>
      </c>
      <c r="O416" s="60"/>
      <c r="P416" s="48"/>
      <c r="Q416" s="159">
        <v>54976.288557568034</v>
      </c>
      <c r="R416" s="140">
        <v>54431</v>
      </c>
      <c r="S416" s="141">
        <v>56608.24</v>
      </c>
      <c r="T416" s="141">
        <v>58785.479999999996</v>
      </c>
      <c r="U416" s="142"/>
      <c r="V416" s="140"/>
      <c r="W416" s="150">
        <v>500</v>
      </c>
    </row>
    <row r="417" spans="1:23">
      <c r="A417" s="117" t="s">
        <v>387</v>
      </c>
      <c r="B417" s="56" t="str">
        <f>IFERROR(HYPERLINK(VLOOKUP(A417,ÜRÜNLER!A:C,3,FALSE),VLOOKUP(A417,ÜRÜNLER!A:B,2,FALSE)),"")</f>
        <v>iQ700 Sıcak Tutma Çekmecesi, 60x14cm, Beyaz</v>
      </c>
      <c r="C417" s="5">
        <v>1</v>
      </c>
      <c r="D417" s="5"/>
      <c r="E417" s="6"/>
      <c r="F417" s="6"/>
      <c r="G417" s="6"/>
      <c r="H417" s="6"/>
      <c r="I417" s="7"/>
      <c r="J417" s="7"/>
      <c r="K417" s="6"/>
      <c r="L417" s="6"/>
      <c r="M417" s="7"/>
      <c r="N417" s="59">
        <f t="shared" si="15"/>
        <v>1</v>
      </c>
      <c r="O417" s="60"/>
      <c r="P417" s="48"/>
      <c r="Q417" s="139" t="s">
        <v>1782</v>
      </c>
      <c r="R417" s="140">
        <v>30000</v>
      </c>
      <c r="S417" s="141">
        <v>31200</v>
      </c>
      <c r="T417" s="141">
        <v>32400</v>
      </c>
      <c r="U417" s="142"/>
      <c r="V417" s="140"/>
      <c r="W417" s="150">
        <v>500</v>
      </c>
    </row>
    <row r="418" spans="1:23">
      <c r="A418" s="117" t="s">
        <v>388</v>
      </c>
      <c r="B418" s="56" t="str">
        <f>IFERROR(HYPERLINK(VLOOKUP(A418,ÜRÜNLER!A:C,3,FALSE),VLOOKUP(A418,ÜRÜNLER!A:B,2,FALSE)),"")</f>
        <v>iQ700 studioLine Sıcak Tutma Çekmecesi, 60x14cm, Siyah</v>
      </c>
      <c r="C418" s="5"/>
      <c r="D418" s="5">
        <v>1</v>
      </c>
      <c r="E418" s="6"/>
      <c r="F418" s="6"/>
      <c r="G418" s="6"/>
      <c r="H418" s="6">
        <v>1</v>
      </c>
      <c r="I418" s="7"/>
      <c r="J418" s="7"/>
      <c r="K418" s="6"/>
      <c r="L418" s="6"/>
      <c r="M418" s="7"/>
      <c r="N418" s="59">
        <f t="shared" si="15"/>
        <v>2</v>
      </c>
      <c r="O418" s="60"/>
      <c r="P418" s="48"/>
      <c r="Q418" s="139" t="s">
        <v>1782</v>
      </c>
      <c r="R418" s="140">
        <v>30000</v>
      </c>
      <c r="S418" s="141">
        <v>31200</v>
      </c>
      <c r="T418" s="141">
        <v>32400</v>
      </c>
      <c r="U418" s="142"/>
      <c r="V418" s="140"/>
      <c r="W418" s="150">
        <v>500</v>
      </c>
    </row>
    <row r="419" spans="1:23" ht="40.5" customHeight="1">
      <c r="A419" s="128" t="s">
        <v>391</v>
      </c>
      <c r="B419" s="56" t="str">
        <f>IFERROR(HYPERLINK(VLOOKUP(A419,ÜRÜNLER!A:C,3,FALSE),VLOOKUP(A419,ÜRÜNLER!A:B,2,FALSE)),"")</f>
        <v/>
      </c>
      <c r="C419" s="5"/>
      <c r="D419" s="5"/>
      <c r="E419" s="6"/>
      <c r="F419" s="6"/>
      <c r="G419" s="6"/>
      <c r="H419" s="6"/>
      <c r="I419" s="7"/>
      <c r="J419" s="7"/>
      <c r="K419" s="6"/>
      <c r="L419" s="6"/>
      <c r="M419" s="7"/>
      <c r="N419" s="59">
        <f>SUM(N386:N418)</f>
        <v>513</v>
      </c>
      <c r="O419" s="60"/>
      <c r="P419" s="48"/>
      <c r="R419" s="140"/>
      <c r="S419" s="141"/>
      <c r="T419" s="141"/>
      <c r="U419" s="135"/>
      <c r="V419" s="140"/>
      <c r="W419" s="71"/>
    </row>
    <row r="420" spans="1:23">
      <c r="A420" s="91" t="s">
        <v>392</v>
      </c>
      <c r="B420" s="56" t="str">
        <f>IFERROR(HYPERLINK(VLOOKUP(A420,ÜRÜNLER!A:C,3,FALSE),VLOOKUP(A420,ÜRÜNLER!A:B,2,FALSE)),"")</f>
        <v>iQ500 Dik Şarjlı Elektrik Süpürgesi</v>
      </c>
      <c r="C420" s="5">
        <v>43</v>
      </c>
      <c r="D420" s="5"/>
      <c r="E420" s="6"/>
      <c r="F420" s="6">
        <v>196</v>
      </c>
      <c r="G420" s="6"/>
      <c r="H420" s="6"/>
      <c r="I420" s="7">
        <v>17</v>
      </c>
      <c r="J420" s="7">
        <v>3</v>
      </c>
      <c r="K420" s="6">
        <v>1</v>
      </c>
      <c r="L420" s="6">
        <v>22</v>
      </c>
      <c r="M420" s="7">
        <v>5</v>
      </c>
      <c r="N420" s="59">
        <f t="shared" ref="N420:N436" si="16">M420+K420+L420+J420+I420+H420+G420+F420+E420+D420+C420</f>
        <v>287</v>
      </c>
      <c r="O420" s="60"/>
      <c r="P420" s="48"/>
      <c r="Q420" s="145">
        <v>16035.596808446544</v>
      </c>
      <c r="R420" s="138">
        <v>16035.596808446544</v>
      </c>
      <c r="S420" s="171">
        <v>16677.020680784404</v>
      </c>
      <c r="T420" s="171">
        <v>17318.444553122266</v>
      </c>
      <c r="U420" s="142">
        <v>3199.58</v>
      </c>
      <c r="V420" s="140"/>
      <c r="W420" s="164">
        <v>500</v>
      </c>
    </row>
    <row r="421" spans="1:23">
      <c r="A421" s="91" t="s">
        <v>393</v>
      </c>
      <c r="B421" s="56" t="str">
        <f>IFERROR(HYPERLINK(VLOOKUP(A421,ÜRÜNLER!A:C,3,FALSE),VLOOKUP(A421,ÜRÜNLER!A:B,2,FALSE)),"")</f>
        <v>iQ500 Dik Şarjlı Elektrik Süpürgesi, Çift Bataryalı</v>
      </c>
      <c r="C421" s="5">
        <v>45</v>
      </c>
      <c r="D421" s="5"/>
      <c r="E421" s="6"/>
      <c r="F421" s="6">
        <v>106</v>
      </c>
      <c r="G421" s="6"/>
      <c r="H421" s="6"/>
      <c r="I421" s="7">
        <v>1</v>
      </c>
      <c r="J421" s="7">
        <v>2</v>
      </c>
      <c r="K421" s="6">
        <v>2</v>
      </c>
      <c r="L421" s="6">
        <v>2</v>
      </c>
      <c r="M421" s="7">
        <v>4</v>
      </c>
      <c r="N421" s="59">
        <f t="shared" si="16"/>
        <v>162</v>
      </c>
      <c r="O421" s="60"/>
      <c r="P421" s="48"/>
      <c r="Q421" s="145">
        <v>21917.208728307571</v>
      </c>
      <c r="R421" s="138">
        <v>21917.208728307571</v>
      </c>
      <c r="S421" s="171">
        <v>22793.897077439873</v>
      </c>
      <c r="T421" s="171">
        <v>23670.585426572175</v>
      </c>
      <c r="U421" s="142">
        <v>5067.4399999999996</v>
      </c>
      <c r="V421" s="140"/>
      <c r="W421" s="164">
        <v>500</v>
      </c>
    </row>
    <row r="422" spans="1:23">
      <c r="A422" s="91" t="s">
        <v>394</v>
      </c>
      <c r="B422" s="56" t="str">
        <f>IFERROR(HYPERLINK(VLOOKUP(A422,ÜRÜNLER!A:C,3,FALSE),VLOOKUP(A422,ÜRÜNLER!A:B,2,FALSE)),"")</f>
        <v>iQ500 Dik Şarjlı 2'li Süpürme&amp;Silme Elektrik Süpürgesi</v>
      </c>
      <c r="C422" s="5">
        <v>70</v>
      </c>
      <c r="D422" s="5"/>
      <c r="E422" s="6"/>
      <c r="F422" s="6">
        <v>147</v>
      </c>
      <c r="G422" s="6"/>
      <c r="H422" s="6"/>
      <c r="I422" s="7">
        <v>5</v>
      </c>
      <c r="J422" s="7">
        <v>4</v>
      </c>
      <c r="K422" s="6"/>
      <c r="L422" s="6">
        <v>1</v>
      </c>
      <c r="M422" s="7">
        <v>3</v>
      </c>
      <c r="N422" s="59">
        <f t="shared" si="16"/>
        <v>230</v>
      </c>
      <c r="O422" s="60"/>
      <c r="P422" s="48"/>
      <c r="Q422" s="145">
        <v>22889.510310267811</v>
      </c>
      <c r="R422" s="138">
        <v>22889.510310267811</v>
      </c>
      <c r="S422" s="171">
        <v>23805.090722678524</v>
      </c>
      <c r="T422" s="171">
        <v>24720.671135089236</v>
      </c>
      <c r="U422" s="142">
        <v>5236.99</v>
      </c>
      <c r="V422" s="140"/>
      <c r="W422" s="164">
        <v>500</v>
      </c>
    </row>
    <row r="423" spans="1:23">
      <c r="A423" s="91" t="s">
        <v>395</v>
      </c>
      <c r="B423" s="56" t="str">
        <f>IFERROR(HYPERLINK(VLOOKUP(A423,ÜRÜNLER!A:C,3,FALSE),VLOOKUP(A423,ÜRÜNLER!A:B,2,FALSE)),"")</f>
        <v>Toz torbalı Süpürge synchropower, 600w, Mavi</v>
      </c>
      <c r="C423" s="5"/>
      <c r="D423" s="5"/>
      <c r="E423" s="6"/>
      <c r="F423" s="6"/>
      <c r="G423" s="6">
        <v>1</v>
      </c>
      <c r="H423" s="6"/>
      <c r="I423" s="7">
        <v>3</v>
      </c>
      <c r="J423" s="7"/>
      <c r="K423" s="6"/>
      <c r="L423" s="6"/>
      <c r="M423" s="7"/>
      <c r="N423" s="59">
        <f t="shared" si="16"/>
        <v>4</v>
      </c>
      <c r="O423" s="60"/>
      <c r="P423" s="48"/>
      <c r="Q423" s="145">
        <v>7199.9210291256977</v>
      </c>
      <c r="R423" s="140">
        <v>7199.9210291256977</v>
      </c>
      <c r="S423" s="141">
        <v>7487.9178702907257</v>
      </c>
      <c r="T423" s="141">
        <v>7775.9147114557536</v>
      </c>
      <c r="U423" s="142"/>
      <c r="V423" s="140"/>
      <c r="W423" s="164">
        <v>500</v>
      </c>
    </row>
    <row r="424" spans="1:23">
      <c r="A424" s="91" t="s">
        <v>396</v>
      </c>
      <c r="B424" s="56" t="str">
        <f>IFERROR(HYPERLINK(VLOOKUP(A424,ÜRÜNLER!A:C,3,FALSE),VLOOKUP(A424,ÜRÜNLER!A:B,2,FALSE)),"")</f>
        <v>iQ300 Toz Torbalı Süpürge, 600w, Kırmızı</v>
      </c>
      <c r="C424" s="5"/>
      <c r="D424" s="5"/>
      <c r="E424" s="6"/>
      <c r="F424" s="6">
        <v>21</v>
      </c>
      <c r="G424" s="6"/>
      <c r="H424" s="6"/>
      <c r="I424" s="7">
        <v>1</v>
      </c>
      <c r="J424" s="7"/>
      <c r="K424" s="6"/>
      <c r="L424" s="6"/>
      <c r="M424" s="7">
        <v>3</v>
      </c>
      <c r="N424" s="59">
        <f t="shared" si="16"/>
        <v>25</v>
      </c>
      <c r="O424" s="60"/>
      <c r="P424" s="48"/>
      <c r="Q424" s="145">
        <v>7890.0382904480366</v>
      </c>
      <c r="R424" s="140">
        <v>7890.0382904480366</v>
      </c>
      <c r="S424" s="141">
        <v>8205.6398220659576</v>
      </c>
      <c r="T424" s="141">
        <v>8521.2413536838794</v>
      </c>
      <c r="U424" s="142"/>
      <c r="V424" s="140"/>
      <c r="W424" s="164">
        <v>500</v>
      </c>
    </row>
    <row r="425" spans="1:23">
      <c r="A425" s="92" t="s">
        <v>397</v>
      </c>
      <c r="B425" s="56" t="str">
        <f>IFERROR(HYPERLINK(VLOOKUP(A425,ÜRÜNLER!A:C,3,FALSE),VLOOKUP(A425,ÜRÜNLER!A:B,2,FALSE)),"")</f>
        <v>iQ300 Toz Torbalı Süpürge, 600w, Mavi</v>
      </c>
      <c r="C425" s="5"/>
      <c r="D425" s="5"/>
      <c r="E425" s="6"/>
      <c r="F425" s="6">
        <v>4</v>
      </c>
      <c r="G425" s="6"/>
      <c r="H425" s="6"/>
      <c r="I425" s="7">
        <v>1</v>
      </c>
      <c r="J425" s="7">
        <v>3</v>
      </c>
      <c r="K425" s="6"/>
      <c r="L425" s="6">
        <v>2</v>
      </c>
      <c r="M425" s="7">
        <v>1</v>
      </c>
      <c r="N425" s="59">
        <f t="shared" si="16"/>
        <v>11</v>
      </c>
      <c r="O425" s="60"/>
      <c r="P425" s="48"/>
      <c r="Q425" s="139" t="s">
        <v>1782</v>
      </c>
      <c r="R425" s="149">
        <v>6599</v>
      </c>
      <c r="S425" s="141">
        <v>6862.96</v>
      </c>
      <c r="T425" s="141">
        <v>7126.92</v>
      </c>
      <c r="U425" s="142"/>
      <c r="V425" s="140"/>
      <c r="W425" s="164">
        <v>500</v>
      </c>
    </row>
    <row r="426" spans="1:23">
      <c r="A426" s="92" t="s">
        <v>398</v>
      </c>
      <c r="B426" s="56" t="str">
        <f>IFERROR(HYPERLINK(VLOOKUP(A426,ÜRÜNLER!A:C,3,FALSE),VLOOKUP(A426,ÜRÜNLER!A:B,2,FALSE)),"")</f>
        <v>iQ300 Toz Torbalı Süpürge, 600w, Açık Mavi</v>
      </c>
      <c r="C426" s="5"/>
      <c r="D426" s="5"/>
      <c r="E426" s="6"/>
      <c r="F426" s="6"/>
      <c r="G426" s="6"/>
      <c r="H426" s="6"/>
      <c r="I426" s="7"/>
      <c r="J426" s="7"/>
      <c r="K426" s="6"/>
      <c r="L426" s="6"/>
      <c r="M426" s="7">
        <v>1</v>
      </c>
      <c r="N426" s="59">
        <f t="shared" si="16"/>
        <v>1</v>
      </c>
      <c r="O426" s="60"/>
      <c r="P426" s="48"/>
      <c r="Q426" s="139" t="s">
        <v>1782</v>
      </c>
      <c r="R426" s="140">
        <v>5999</v>
      </c>
      <c r="S426" s="141">
        <v>6238.96</v>
      </c>
      <c r="T426" s="141">
        <v>6478.92</v>
      </c>
      <c r="U426" s="142"/>
      <c r="V426" s="140"/>
      <c r="W426" s="164">
        <v>500</v>
      </c>
    </row>
    <row r="427" spans="1:23">
      <c r="A427" s="91" t="s">
        <v>399</v>
      </c>
      <c r="B427" s="56" t="str">
        <f>IFERROR(HYPERLINK(VLOOKUP(A427,ÜRÜNLER!A:C,3,FALSE),VLOOKUP(A427,ÜRÜNLER!A:B,2,FALSE)),"")</f>
        <v>iQ700 Toz Torbalı Süpürge, 650w, Beyaz</v>
      </c>
      <c r="C427" s="5"/>
      <c r="D427" s="5"/>
      <c r="E427" s="6"/>
      <c r="F427" s="6">
        <v>2</v>
      </c>
      <c r="G427" s="6">
        <v>5</v>
      </c>
      <c r="H427" s="6"/>
      <c r="I427" s="7">
        <v>2</v>
      </c>
      <c r="J427" s="7">
        <v>3</v>
      </c>
      <c r="K427" s="6">
        <v>2</v>
      </c>
      <c r="L427" s="6">
        <v>2</v>
      </c>
      <c r="M427" s="7">
        <v>2</v>
      </c>
      <c r="N427" s="59">
        <f t="shared" si="16"/>
        <v>18</v>
      </c>
      <c r="O427" s="60"/>
      <c r="P427" s="48"/>
      <c r="Q427" s="145">
        <v>17385.606197683526</v>
      </c>
      <c r="R427" s="145">
        <v>17385.606197683526</v>
      </c>
      <c r="S427" s="141">
        <v>18081.030445590866</v>
      </c>
      <c r="T427" s="141">
        <v>18776.45469349821</v>
      </c>
      <c r="U427" s="142"/>
      <c r="V427" s="140"/>
      <c r="W427" s="164">
        <v>500</v>
      </c>
    </row>
    <row r="428" spans="1:23">
      <c r="A428" s="91" t="s">
        <v>400</v>
      </c>
      <c r="B428" s="56" t="str">
        <f>IFERROR(HYPERLINK(VLOOKUP(A428,ÜRÜNLER!A:C,3,FALSE),VLOOKUP(A428,ÜRÜNLER!A:B,2,FALSE)),"")</f>
        <v>iQ700 Toz Torbalı Süpürge, 650w, Kırmızı</v>
      </c>
      <c r="C428" s="5"/>
      <c r="D428" s="5"/>
      <c r="E428" s="6"/>
      <c r="F428" s="6"/>
      <c r="G428" s="6"/>
      <c r="H428" s="6"/>
      <c r="I428" s="7">
        <v>1</v>
      </c>
      <c r="J428" s="7"/>
      <c r="K428" s="6"/>
      <c r="L428" s="6"/>
      <c r="M428" s="7">
        <v>1</v>
      </c>
      <c r="N428" s="59">
        <f t="shared" si="16"/>
        <v>2</v>
      </c>
      <c r="O428" s="60"/>
      <c r="P428" s="48"/>
      <c r="Q428" s="139" t="s">
        <v>1782</v>
      </c>
      <c r="R428" s="140">
        <v>10999</v>
      </c>
      <c r="S428" s="141">
        <v>11438.96</v>
      </c>
      <c r="T428" s="141">
        <v>11878.92</v>
      </c>
      <c r="U428" s="142"/>
      <c r="V428" s="140"/>
      <c r="W428" s="164">
        <v>500</v>
      </c>
    </row>
    <row r="429" spans="1:23">
      <c r="A429" s="91" t="s">
        <v>401</v>
      </c>
      <c r="B429" s="56" t="str">
        <f>IFERROR(HYPERLINK(VLOOKUP(A429,ÜRÜNLER!A:C,3,FALSE),VLOOKUP(A429,ÜRÜNLER!A:B,2,FALSE)),"")</f>
        <v>iQ300 Plus Limited Edition Toz Torbalı Elektrik Süpürgesi, 750w, Kırmızı</v>
      </c>
      <c r="C429" s="5">
        <v>4</v>
      </c>
      <c r="D429" s="5"/>
      <c r="E429" s="6"/>
      <c r="F429" s="6">
        <v>8</v>
      </c>
      <c r="G429" s="6"/>
      <c r="H429" s="6"/>
      <c r="I429" s="7">
        <v>2</v>
      </c>
      <c r="J429" s="7">
        <v>3</v>
      </c>
      <c r="K429" s="6">
        <v>2</v>
      </c>
      <c r="L429" s="6"/>
      <c r="M429" s="7">
        <v>3</v>
      </c>
      <c r="N429" s="59">
        <f t="shared" si="16"/>
        <v>22</v>
      </c>
      <c r="O429" s="60"/>
      <c r="P429" s="48"/>
      <c r="Q429" s="145">
        <v>12473.574901724722</v>
      </c>
      <c r="R429" s="145">
        <v>12473.574901724722</v>
      </c>
      <c r="S429" s="141">
        <v>12972.51789779371</v>
      </c>
      <c r="T429" s="141">
        <v>13471.460893862699</v>
      </c>
      <c r="U429" s="142"/>
      <c r="V429" s="140"/>
      <c r="W429" s="164">
        <v>500</v>
      </c>
    </row>
    <row r="430" spans="1:23">
      <c r="A430" s="87" t="s">
        <v>402</v>
      </c>
      <c r="B430" s="56" t="str">
        <f>IFERROR(HYPERLINK(VLOOKUP(A430,ÜRÜNLER!A:C,3,FALSE),VLOOKUP(A430,ÜRÜNLER!A:B,2,FALSE)),"")</f>
        <v>iQ300 Toz Torbasız Süpürge, 550w, Kırmızı</v>
      </c>
      <c r="C430" s="5">
        <v>1</v>
      </c>
      <c r="D430" s="5"/>
      <c r="E430" s="6"/>
      <c r="F430" s="6">
        <v>34</v>
      </c>
      <c r="G430" s="6"/>
      <c r="H430" s="6"/>
      <c r="I430" s="7">
        <v>4</v>
      </c>
      <c r="J430" s="7">
        <v>1</v>
      </c>
      <c r="K430" s="6">
        <v>2</v>
      </c>
      <c r="L430" s="6">
        <v>19</v>
      </c>
      <c r="M430" s="7">
        <v>2</v>
      </c>
      <c r="N430" s="59">
        <f t="shared" si="16"/>
        <v>63</v>
      </c>
      <c r="O430" s="60"/>
      <c r="P430" s="48"/>
      <c r="Q430" s="145">
        <v>9014.0958506441748</v>
      </c>
      <c r="R430" s="145">
        <v>9014.0958506441748</v>
      </c>
      <c r="S430" s="141">
        <v>9374.6596846699413</v>
      </c>
      <c r="T430" s="141">
        <v>9735.2235186957096</v>
      </c>
      <c r="U430" s="142"/>
      <c r="V430" s="140"/>
      <c r="W430" s="164">
        <v>500</v>
      </c>
    </row>
    <row r="431" spans="1:23">
      <c r="A431" s="87" t="s">
        <v>403</v>
      </c>
      <c r="B431" s="56" t="str">
        <f>IFERROR(HYPERLINK(VLOOKUP(A431,ÜRÜNLER!A:C,3,FALSE),VLOOKUP(A431,ÜRÜNLER!A:B,2,FALSE)),"")</f>
        <v>iQ300 Toz Torbasız Süpürge, 750w, Mavi</v>
      </c>
      <c r="C431" s="5">
        <v>9</v>
      </c>
      <c r="D431" s="5"/>
      <c r="E431" s="6"/>
      <c r="F431" s="6">
        <v>23</v>
      </c>
      <c r="G431" s="6"/>
      <c r="H431" s="6"/>
      <c r="I431" s="7">
        <v>1</v>
      </c>
      <c r="J431" s="7">
        <v>3</v>
      </c>
      <c r="K431" s="6">
        <v>2</v>
      </c>
      <c r="L431" s="6">
        <v>3</v>
      </c>
      <c r="M431" s="7">
        <v>1</v>
      </c>
      <c r="N431" s="59">
        <f t="shared" si="16"/>
        <v>42</v>
      </c>
      <c r="O431" s="60"/>
      <c r="P431" s="48"/>
      <c r="Q431" s="145">
        <v>11340.828006656646</v>
      </c>
      <c r="R431" s="145">
        <v>11340.828006656646</v>
      </c>
      <c r="S431" s="141">
        <v>11794.461126922912</v>
      </c>
      <c r="T431" s="141">
        <v>12248.094247189178</v>
      </c>
      <c r="U431" s="142"/>
      <c r="V431" s="140"/>
      <c r="W431" s="164">
        <v>500</v>
      </c>
    </row>
    <row r="432" spans="1:23">
      <c r="A432" s="87" t="s">
        <v>404</v>
      </c>
      <c r="B432" s="56" t="str">
        <f>IFERROR(HYPERLINK(VLOOKUP(A432,ÜRÜNLER!A:C,3,FALSE),VLOOKUP(A432,ÜRÜNLER!A:B,2,FALSE)),"")</f>
        <v>iQ500 Toz Torbasız Süpürge, 550w, Kırmızı</v>
      </c>
      <c r="C432" s="5">
        <v>35</v>
      </c>
      <c r="D432" s="5"/>
      <c r="E432" s="6"/>
      <c r="F432" s="6">
        <v>10</v>
      </c>
      <c r="G432" s="6"/>
      <c r="H432" s="6"/>
      <c r="I432" s="7">
        <v>1</v>
      </c>
      <c r="J432" s="7">
        <v>3</v>
      </c>
      <c r="K432" s="6">
        <v>1</v>
      </c>
      <c r="L432" s="6">
        <v>4</v>
      </c>
      <c r="M432" s="7">
        <v>3</v>
      </c>
      <c r="N432" s="59">
        <f t="shared" si="16"/>
        <v>57</v>
      </c>
      <c r="O432" s="60"/>
      <c r="P432" s="48"/>
      <c r="Q432" s="145">
        <v>9537.7576196999089</v>
      </c>
      <c r="R432" s="145">
        <v>9537.7576196999089</v>
      </c>
      <c r="S432" s="141">
        <v>9919.2679244879055</v>
      </c>
      <c r="T432" s="141">
        <v>10300.778229275902</v>
      </c>
      <c r="U432" s="142"/>
      <c r="V432" s="140"/>
      <c r="W432" s="164">
        <v>500</v>
      </c>
    </row>
    <row r="433" spans="1:23">
      <c r="A433" s="87" t="s">
        <v>405</v>
      </c>
      <c r="B433" s="56" t="str">
        <f>IFERROR(HYPERLINK(VLOOKUP(A433,ÜRÜNLER!A:C,3,FALSE),VLOOKUP(A433,ÜRÜNLER!A:B,2,FALSE)),"")</f>
        <v>iQ500 Toz Torbasız Süpürge, 550w, Mavi</v>
      </c>
      <c r="C433" s="5"/>
      <c r="D433" s="5"/>
      <c r="E433" s="6"/>
      <c r="F433" s="6">
        <v>1</v>
      </c>
      <c r="G433" s="6"/>
      <c r="H433" s="6"/>
      <c r="I433" s="7">
        <v>1</v>
      </c>
      <c r="J433" s="7"/>
      <c r="K433" s="6"/>
      <c r="L433" s="6">
        <v>2</v>
      </c>
      <c r="M433" s="7"/>
      <c r="N433" s="59">
        <f t="shared" si="16"/>
        <v>4</v>
      </c>
      <c r="O433" s="60"/>
      <c r="P433" s="48"/>
      <c r="Q433" s="139" t="s">
        <v>1782</v>
      </c>
      <c r="R433" s="149">
        <v>6500</v>
      </c>
      <c r="S433" s="141">
        <v>6760</v>
      </c>
      <c r="T433" s="141">
        <v>7020</v>
      </c>
      <c r="U433" s="142"/>
      <c r="V433" s="140"/>
      <c r="W433" s="164">
        <v>500</v>
      </c>
    </row>
    <row r="434" spans="1:23">
      <c r="A434" s="87" t="s">
        <v>406</v>
      </c>
      <c r="B434" s="56" t="str">
        <f>IFERROR(HYPERLINK(VLOOKUP(A434,ÜRÜNLER!A:C,3,FALSE),VLOOKUP(A434,ÜRÜNLER!A:B,2,FALSE)),"")</f>
        <v>iQ500 Toz Torbasız Elektrik Süpürgesi, 750w, Siyah</v>
      </c>
      <c r="C434" s="5">
        <v>66</v>
      </c>
      <c r="D434" s="5"/>
      <c r="E434" s="6"/>
      <c r="F434" s="6">
        <v>41</v>
      </c>
      <c r="G434" s="6"/>
      <c r="H434" s="6"/>
      <c r="I434" s="7">
        <v>11</v>
      </c>
      <c r="J434" s="7">
        <v>1</v>
      </c>
      <c r="K434" s="6">
        <v>1</v>
      </c>
      <c r="L434" s="6">
        <v>3</v>
      </c>
      <c r="M434" s="7">
        <v>4</v>
      </c>
      <c r="N434" s="59">
        <f t="shared" si="16"/>
        <v>127</v>
      </c>
      <c r="O434" s="60"/>
      <c r="P434" s="48"/>
      <c r="Q434" s="145">
        <v>12397.26916737494</v>
      </c>
      <c r="R434" s="156">
        <v>11777.405709006192</v>
      </c>
      <c r="S434" s="141">
        <v>12248.50193736644</v>
      </c>
      <c r="T434" s="141">
        <v>12719.598165726688</v>
      </c>
      <c r="U434" s="142"/>
      <c r="V434" s="140"/>
      <c r="W434" s="164">
        <v>500</v>
      </c>
    </row>
    <row r="435" spans="1:23">
      <c r="A435" s="87" t="s">
        <v>407</v>
      </c>
      <c r="B435" s="56" t="str">
        <f>IFERROR(HYPERLINK(VLOOKUP(A435,ÜRÜNLER!A:C,3,FALSE),VLOOKUP(A435,ÜRÜNLER!A:B,2,FALSE)),"")</f>
        <v>Siemens Toz Torbasız Süpürge, 600w, Kırmızı</v>
      </c>
      <c r="C435" s="5"/>
      <c r="D435" s="5"/>
      <c r="E435" s="6"/>
      <c r="F435" s="6"/>
      <c r="G435" s="6"/>
      <c r="H435" s="6"/>
      <c r="I435" s="7">
        <v>1</v>
      </c>
      <c r="J435" s="7"/>
      <c r="K435" s="6"/>
      <c r="L435" s="6"/>
      <c r="M435" s="7"/>
      <c r="N435" s="59">
        <f t="shared" si="16"/>
        <v>1</v>
      </c>
      <c r="O435" s="60"/>
      <c r="P435" s="48"/>
      <c r="Q435" s="139" t="s">
        <v>1782</v>
      </c>
      <c r="R435" s="140">
        <v>4999</v>
      </c>
      <c r="S435" s="141">
        <v>5198.96</v>
      </c>
      <c r="T435" s="141">
        <v>5398.92</v>
      </c>
      <c r="U435" s="142"/>
      <c r="V435" s="140"/>
      <c r="W435" s="164">
        <v>500</v>
      </c>
    </row>
    <row r="436" spans="1:23">
      <c r="A436" s="87" t="s">
        <v>408</v>
      </c>
      <c r="B436" s="56" t="str">
        <f>IFERROR(HYPERLINK(VLOOKUP(A436,ÜRÜNLER!A:C,3,FALSE),VLOOKUP(A436,ÜRÜNLER!A:B,2,FALSE)),"")</f>
        <v>iQ700 Toz Torbasız Elektrik Süpürgesi, 850w, Siyah</v>
      </c>
      <c r="C436" s="5"/>
      <c r="D436" s="5"/>
      <c r="E436" s="6"/>
      <c r="F436" s="6">
        <v>33</v>
      </c>
      <c r="G436" s="6"/>
      <c r="H436" s="6"/>
      <c r="I436" s="7">
        <v>6</v>
      </c>
      <c r="J436" s="7">
        <v>13</v>
      </c>
      <c r="K436" s="6">
        <v>3</v>
      </c>
      <c r="L436" s="6">
        <v>8</v>
      </c>
      <c r="M436" s="7">
        <v>4</v>
      </c>
      <c r="N436" s="59">
        <f t="shared" si="16"/>
        <v>67</v>
      </c>
      <c r="O436" s="60"/>
      <c r="P436" s="48"/>
      <c r="Q436" s="145">
        <v>21734.966643145952</v>
      </c>
      <c r="R436" s="156">
        <v>20648.218310988654</v>
      </c>
      <c r="S436" s="141">
        <v>21474.147043428198</v>
      </c>
      <c r="T436" s="141">
        <v>22300.075775867746</v>
      </c>
      <c r="U436" s="142"/>
      <c r="V436" s="140"/>
      <c r="W436" s="164">
        <v>500</v>
      </c>
    </row>
    <row r="437" spans="1:23" ht="36.75" customHeight="1">
      <c r="A437" s="128" t="s">
        <v>411</v>
      </c>
      <c r="B437" s="56" t="str">
        <f>IFERROR(HYPERLINK(VLOOKUP(A437,ÜRÜNLER!A:C,3,FALSE),VLOOKUP(A437,ÜRÜNLER!A:B,2,FALSE)),"")</f>
        <v/>
      </c>
      <c r="C437" s="5"/>
      <c r="D437" s="5"/>
      <c r="E437" s="6"/>
      <c r="F437" s="6"/>
      <c r="G437" s="6"/>
      <c r="H437" s="6"/>
      <c r="I437" s="7"/>
      <c r="J437" s="7"/>
      <c r="K437" s="6"/>
      <c r="L437" s="6"/>
      <c r="M437" s="7"/>
      <c r="N437" s="59">
        <f>SUM(N420:N436)</f>
        <v>1123</v>
      </c>
      <c r="O437" s="60"/>
      <c r="P437" s="6"/>
      <c r="R437" s="140"/>
      <c r="S437" s="141"/>
      <c r="T437" s="141"/>
      <c r="U437" s="142"/>
      <c r="V437" s="140"/>
      <c r="W437" s="150"/>
    </row>
    <row r="438" spans="1:23">
      <c r="A438" s="91" t="s">
        <v>414</v>
      </c>
      <c r="B438" s="56" t="str">
        <f>IFERROR(HYPERLINK(VLOOKUP(A438,ÜRÜNLER!A:C,3,FALSE),VLOOKUP(A438,ÜRÜNLER!A:B,2,FALSE)),"")</f>
        <v>Soğuk Su Sebili, Gri</v>
      </c>
      <c r="C438" s="5"/>
      <c r="D438" s="5"/>
      <c r="E438" s="6"/>
      <c r="F438" s="6">
        <v>2</v>
      </c>
      <c r="G438" s="6"/>
      <c r="H438" s="6"/>
      <c r="I438" s="7">
        <v>2</v>
      </c>
      <c r="J438" s="7">
        <v>4</v>
      </c>
      <c r="K438" s="6">
        <v>1</v>
      </c>
      <c r="L438" s="6">
        <v>7</v>
      </c>
      <c r="M438" s="7">
        <v>2</v>
      </c>
      <c r="N438" s="59">
        <f t="shared" ref="N438:N470" si="17">M438+K438+L438+J438+I438+H438+G438+F438+E438+D438+C438</f>
        <v>18</v>
      </c>
      <c r="O438" s="60">
        <v>1</v>
      </c>
      <c r="P438" s="48"/>
      <c r="Q438" s="145">
        <v>12742.288591412163</v>
      </c>
      <c r="R438" s="145">
        <v>14016.51745055338</v>
      </c>
      <c r="S438" s="141">
        <v>14577.178148575515</v>
      </c>
      <c r="T438" s="141">
        <v>15137.83884659765</v>
      </c>
      <c r="U438" s="142"/>
      <c r="V438" s="140"/>
      <c r="W438" s="164">
        <v>500</v>
      </c>
    </row>
    <row r="439" spans="1:23">
      <c r="A439" s="91" t="s">
        <v>415</v>
      </c>
      <c r="B439" s="56" t="str">
        <f>IFERROR(HYPERLINK(VLOOKUP(A439,ÜRÜNLER!A:C,3,FALSE),VLOOKUP(A439,ÜRÜNLER!A:B,2,FALSE)),"")</f>
        <v>Soğuk Su Sebili, Siyah/Gri, Dokunmatik</v>
      </c>
      <c r="C439" s="5">
        <v>9</v>
      </c>
      <c r="D439" s="5"/>
      <c r="E439" s="6"/>
      <c r="F439" s="6"/>
      <c r="G439" s="6"/>
      <c r="H439" s="6"/>
      <c r="I439" s="7"/>
      <c r="J439" s="7">
        <v>1</v>
      </c>
      <c r="K439" s="6"/>
      <c r="L439" s="6">
        <v>4</v>
      </c>
      <c r="M439" s="7">
        <v>1</v>
      </c>
      <c r="N439" s="59">
        <f t="shared" si="17"/>
        <v>15</v>
      </c>
      <c r="O439" s="60">
        <v>1</v>
      </c>
      <c r="P439" s="48"/>
      <c r="Q439" s="145">
        <v>18551.443860048468</v>
      </c>
      <c r="R439" s="145">
        <v>20406.588246053314</v>
      </c>
      <c r="S439" s="141">
        <v>21222.851775895448</v>
      </c>
      <c r="T439" s="141">
        <v>22039.115305737578</v>
      </c>
      <c r="U439" s="142"/>
      <c r="V439" s="140"/>
      <c r="W439" s="164">
        <v>500</v>
      </c>
    </row>
    <row r="440" spans="1:23">
      <c r="A440" s="91" t="s">
        <v>416</v>
      </c>
      <c r="B440" s="56" t="str">
        <f>IFERROR(HYPERLINK(VLOOKUP(A440,ÜRÜNLER!A:C,3,FALSE),VLOOKUP(A440,ÜRÜNLER!A:B,2,FALSE)),"")</f>
        <v>Soğuk Su Sebili, Siyah/Gri</v>
      </c>
      <c r="C440" s="5">
        <v>26</v>
      </c>
      <c r="D440" s="5"/>
      <c r="E440" s="6"/>
      <c r="F440" s="6">
        <v>7</v>
      </c>
      <c r="G440" s="6"/>
      <c r="H440" s="6"/>
      <c r="I440" s="7">
        <v>1</v>
      </c>
      <c r="J440" s="7"/>
      <c r="K440" s="6">
        <v>1</v>
      </c>
      <c r="L440" s="6">
        <v>2</v>
      </c>
      <c r="M440" s="7">
        <v>1</v>
      </c>
      <c r="N440" s="59">
        <f t="shared" si="17"/>
        <v>38</v>
      </c>
      <c r="O440" s="60">
        <v>1</v>
      </c>
      <c r="P440" s="48"/>
      <c r="Q440" s="145">
        <v>18330.864713595052</v>
      </c>
      <c r="R440" s="145">
        <v>20163.951184954556</v>
      </c>
      <c r="S440" s="141">
        <v>20970.509232352739</v>
      </c>
      <c r="T440" s="141">
        <v>21777.067279750921</v>
      </c>
      <c r="U440" s="142"/>
      <c r="V440" s="140"/>
      <c r="W440" s="164">
        <v>500</v>
      </c>
    </row>
    <row r="441" spans="1:23">
      <c r="A441" s="91" t="s">
        <v>417</v>
      </c>
      <c r="B441" s="56" t="str">
        <f>IFERROR(HYPERLINK(VLOOKUP(A441,ÜRÜNLER!A:C,3,FALSE),VLOOKUP(A441,ÜRÜNLER!A:B,2,FALSE)),"")</f>
        <v>Sıcak/Soğuk Su Sebili, Beyaz</v>
      </c>
      <c r="C441" s="5">
        <v>29</v>
      </c>
      <c r="D441" s="5"/>
      <c r="E441" s="6"/>
      <c r="F441" s="6">
        <v>1</v>
      </c>
      <c r="G441" s="6"/>
      <c r="H441" s="6"/>
      <c r="I441" s="7">
        <v>2</v>
      </c>
      <c r="J441" s="7">
        <v>2</v>
      </c>
      <c r="K441" s="6">
        <v>1</v>
      </c>
      <c r="L441" s="6">
        <v>5</v>
      </c>
      <c r="M441" s="7">
        <v>1</v>
      </c>
      <c r="N441" s="59">
        <f t="shared" si="17"/>
        <v>41</v>
      </c>
      <c r="O441" s="60">
        <v>1</v>
      </c>
      <c r="P441" s="48"/>
      <c r="Q441" s="145">
        <v>16970.174539831067</v>
      </c>
      <c r="R441" s="145">
        <v>18667.191993814173</v>
      </c>
      <c r="S441" s="141">
        <v>19413.879673566738</v>
      </c>
      <c r="T441" s="141">
        <v>20160.567353319308</v>
      </c>
      <c r="U441" s="142"/>
      <c r="V441" s="140"/>
      <c r="W441" s="164">
        <v>500</v>
      </c>
    </row>
    <row r="442" spans="1:23">
      <c r="A442" s="91" t="s">
        <v>418</v>
      </c>
      <c r="B442" s="56" t="str">
        <f>IFERROR(HYPERLINK(VLOOKUP(A442,ÜRÜNLER!A:C,3,FALSE),VLOOKUP(A442,ÜRÜNLER!A:B,2,FALSE)),"")</f>
        <v>Soğuk Su Sebili, Siyah/Gri, Sensörlü</v>
      </c>
      <c r="C442" s="5">
        <v>32</v>
      </c>
      <c r="D442" s="5"/>
      <c r="E442" s="6"/>
      <c r="F442" s="6">
        <v>1</v>
      </c>
      <c r="G442" s="6"/>
      <c r="H442" s="6"/>
      <c r="I442" s="7"/>
      <c r="J442" s="7">
        <v>1</v>
      </c>
      <c r="K442" s="6"/>
      <c r="L442" s="6">
        <v>1</v>
      </c>
      <c r="M442" s="7"/>
      <c r="N442" s="59">
        <f t="shared" si="17"/>
        <v>35</v>
      </c>
      <c r="O442" s="60"/>
      <c r="P442" s="48"/>
      <c r="Q442" s="145">
        <v>19431.285771511419</v>
      </c>
      <c r="R442" s="145">
        <v>21374.414348662562</v>
      </c>
      <c r="S442" s="141">
        <v>22229.390922609065</v>
      </c>
      <c r="T442" s="141">
        <v>23084.367496555566</v>
      </c>
      <c r="U442" s="142"/>
      <c r="V442" s="140"/>
      <c r="W442" s="164">
        <v>500</v>
      </c>
    </row>
    <row r="443" spans="1:23">
      <c r="A443" s="117" t="s">
        <v>389</v>
      </c>
      <c r="B443" s="56" t="str">
        <f>IFERROR(HYPERLINK(VLOOKUP(A443,ÜRÜNLER!A:C,3,FALSE),VLOOKUP(A443,ÜRÜNLER!A:B,2,FALSE)),"")</f>
        <v>Temizleme Tableti</v>
      </c>
      <c r="C443" s="5"/>
      <c r="D443" s="5"/>
      <c r="E443" s="6"/>
      <c r="F443" s="6">
        <v>66</v>
      </c>
      <c r="G443" s="6"/>
      <c r="H443" s="6"/>
      <c r="I443" s="7">
        <v>37</v>
      </c>
      <c r="J443" s="7">
        <v>26</v>
      </c>
      <c r="K443" s="6">
        <v>4</v>
      </c>
      <c r="L443" s="6">
        <v>12</v>
      </c>
      <c r="M443" s="7">
        <v>13</v>
      </c>
      <c r="N443" s="59">
        <f t="shared" si="17"/>
        <v>158</v>
      </c>
      <c r="O443" s="60"/>
      <c r="P443" s="48"/>
      <c r="Q443" s="145">
        <v>480</v>
      </c>
      <c r="R443" s="140">
        <v>650</v>
      </c>
      <c r="S443" s="141">
        <v>700</v>
      </c>
      <c r="T443" s="141">
        <v>800</v>
      </c>
      <c r="U443" s="142"/>
      <c r="V443" s="140"/>
      <c r="W443" s="150">
        <v>50</v>
      </c>
    </row>
    <row r="444" spans="1:23">
      <c r="A444" s="117" t="s">
        <v>390</v>
      </c>
      <c r="B444" s="56" t="str">
        <f>IFERROR(HYPERLINK(VLOOKUP(A444,ÜRÜNLER!A:C,3,FALSE),VLOOKUP(A444,ÜRÜNLER!A:B,2,FALSE)),"")</f>
        <v>Kireç Temizleme Tableti</v>
      </c>
      <c r="C444" s="5"/>
      <c r="D444" s="5"/>
      <c r="E444" s="6"/>
      <c r="F444" s="6"/>
      <c r="G444" s="6"/>
      <c r="H444" s="6"/>
      <c r="I444" s="7">
        <v>41</v>
      </c>
      <c r="J444" s="7">
        <v>2</v>
      </c>
      <c r="K444" s="6">
        <v>2</v>
      </c>
      <c r="L444" s="6">
        <v>9</v>
      </c>
      <c r="M444" s="7">
        <v>13</v>
      </c>
      <c r="N444" s="59">
        <f t="shared" si="17"/>
        <v>67</v>
      </c>
      <c r="O444" s="60"/>
      <c r="P444" s="48"/>
      <c r="Q444" s="145">
        <v>480</v>
      </c>
      <c r="R444" s="140">
        <v>650</v>
      </c>
      <c r="S444" s="141">
        <v>700</v>
      </c>
      <c r="T444" s="141">
        <v>800</v>
      </c>
      <c r="U444" s="142"/>
      <c r="V444" s="140"/>
      <c r="W444" s="150">
        <v>50</v>
      </c>
    </row>
    <row r="445" spans="1:23">
      <c r="A445" s="87" t="s">
        <v>200</v>
      </c>
      <c r="B445" s="56" t="str">
        <f>IFERROR(HYPERLINK(VLOOKUP(A445,ÜRÜNLER!A:C,3,FALSE),VLOOKUP(A445,ÜRÜNLER!A:B,2,FALSE)),"")</f>
        <v>3D Fry Tepsi</v>
      </c>
      <c r="C445" s="5">
        <v>21</v>
      </c>
      <c r="D445" s="5"/>
      <c r="E445" s="6"/>
      <c r="F445" s="6"/>
      <c r="G445" s="6">
        <v>12</v>
      </c>
      <c r="H445" s="6"/>
      <c r="I445" s="7">
        <v>3</v>
      </c>
      <c r="J445" s="7">
        <v>6</v>
      </c>
      <c r="K445" s="6">
        <v>2</v>
      </c>
      <c r="L445" s="6">
        <v>9</v>
      </c>
      <c r="M445" s="7">
        <v>3</v>
      </c>
      <c r="N445" s="59">
        <f t="shared" si="17"/>
        <v>56</v>
      </c>
      <c r="O445" s="60">
        <v>26</v>
      </c>
      <c r="P445" s="48"/>
      <c r="Q445" s="159">
        <v>344</v>
      </c>
      <c r="R445" s="140">
        <v>700</v>
      </c>
      <c r="S445" s="141">
        <v>700</v>
      </c>
      <c r="T445" s="141">
        <v>800</v>
      </c>
      <c r="U445" s="142"/>
      <c r="V445" s="140"/>
      <c r="W445" s="164">
        <v>100</v>
      </c>
    </row>
    <row r="446" spans="1:23">
      <c r="A446" s="87" t="s">
        <v>201</v>
      </c>
      <c r="B446" s="56" t="str">
        <f>IFERROR(HYPERLINK(VLOOKUP(A446,ÜRÜNLER!A:C,3,FALSE),VLOOKUP(A446,ÜRÜNLER!A:B,2,FALSE)),"")</f>
        <v>Siemens starter kit unducted recirculation</v>
      </c>
      <c r="C446" s="5">
        <v>2</v>
      </c>
      <c r="D446" s="5"/>
      <c r="E446" s="6"/>
      <c r="F446" s="6"/>
      <c r="G446" s="6"/>
      <c r="H446" s="6"/>
      <c r="I446" s="7"/>
      <c r="J446" s="7"/>
      <c r="K446" s="6"/>
      <c r="L446" s="6"/>
      <c r="M446" s="7"/>
      <c r="N446" s="59">
        <f t="shared" si="17"/>
        <v>2</v>
      </c>
      <c r="O446" s="60"/>
      <c r="P446" s="48"/>
      <c r="Q446" s="145">
        <v>420</v>
      </c>
      <c r="R446" s="140">
        <v>750</v>
      </c>
      <c r="S446" s="141">
        <v>850</v>
      </c>
      <c r="T446" s="141">
        <v>900</v>
      </c>
      <c r="U446" s="142"/>
      <c r="V446" s="140"/>
      <c r="W446" s="164">
        <v>100</v>
      </c>
    </row>
    <row r="447" spans="1:23">
      <c r="A447" s="87" t="s">
        <v>409</v>
      </c>
      <c r="B447" s="56" t="str">
        <f>IFERROR(HYPERLINK(VLOOKUP(A447,ÜRÜNLER!A:C,3,FALSE),VLOOKUP(A447,ÜRÜNLER!A:B,2,FALSE)),"")</f>
        <v>Siemens Elektrikli Süpürgeler için Toz Torbası (P Tip) 4'lü Paket</v>
      </c>
      <c r="C447" s="5"/>
      <c r="D447" s="5"/>
      <c r="E447" s="6"/>
      <c r="F447" s="6"/>
      <c r="G447" s="6"/>
      <c r="H447" s="6"/>
      <c r="I447" s="7">
        <v>6</v>
      </c>
      <c r="J447" s="7"/>
      <c r="K447" s="6"/>
      <c r="L447" s="6"/>
      <c r="M447" s="7"/>
      <c r="N447" s="59">
        <f t="shared" si="17"/>
        <v>6</v>
      </c>
      <c r="O447" s="60"/>
      <c r="P447" s="48"/>
      <c r="R447" s="140">
        <v>550</v>
      </c>
      <c r="S447" s="141">
        <v>600</v>
      </c>
      <c r="T447" s="141">
        <v>650</v>
      </c>
      <c r="U447" s="142"/>
      <c r="V447" s="140"/>
      <c r="W447" s="164">
        <v>100</v>
      </c>
    </row>
    <row r="448" spans="1:23">
      <c r="A448" s="87" t="s">
        <v>410</v>
      </c>
      <c r="B448" s="56" t="str">
        <f>IFERROR(HYPERLINK(VLOOKUP(A448,ÜRÜNLER!A:C,3,FALSE),VLOOKUP(A448,ÜRÜNLER!A:B,2,FALSE)),"")</f>
        <v>Elektrik Süpürgesi Toz Torbası 4'lü</v>
      </c>
      <c r="C448" s="5">
        <v>2</v>
      </c>
      <c r="D448" s="5"/>
      <c r="E448" s="6"/>
      <c r="F448" s="6"/>
      <c r="G448" s="6"/>
      <c r="H448" s="6"/>
      <c r="I448" s="7">
        <v>62</v>
      </c>
      <c r="J448" s="7">
        <v>49</v>
      </c>
      <c r="K448" s="6">
        <v>54</v>
      </c>
      <c r="L448" s="6">
        <v>4</v>
      </c>
      <c r="M448" s="7">
        <v>42</v>
      </c>
      <c r="N448" s="59">
        <f t="shared" si="17"/>
        <v>213</v>
      </c>
      <c r="O448" s="60"/>
      <c r="P448" s="48"/>
      <c r="Q448" s="145">
        <v>328</v>
      </c>
      <c r="R448" s="140">
        <v>550</v>
      </c>
      <c r="S448" s="141">
        <v>600</v>
      </c>
      <c r="T448" s="141">
        <v>650</v>
      </c>
      <c r="U448" s="142"/>
      <c r="V448" s="140"/>
      <c r="W448" s="164">
        <v>100</v>
      </c>
    </row>
    <row r="449" spans="1:23">
      <c r="A449" s="87" t="s">
        <v>412</v>
      </c>
      <c r="B449" s="56" t="str">
        <f>IFERROR(HYPERLINK(VLOOKUP(A449,ÜRÜNLER!A:C,3,FALSE),VLOOKUP(A449,ÜRÜNLER!A:B,2,FALSE)),"")</f>
        <v>Siemens Trifaze Ani Su Isıtıcı</v>
      </c>
      <c r="C449" s="5"/>
      <c r="D449" s="5"/>
      <c r="E449" s="6"/>
      <c r="F449" s="6"/>
      <c r="G449" s="6"/>
      <c r="H449" s="6"/>
      <c r="I449" s="7"/>
      <c r="J449" s="7"/>
      <c r="K449" s="6"/>
      <c r="L449" s="6">
        <v>1</v>
      </c>
      <c r="M449" s="7"/>
      <c r="N449" s="59">
        <f t="shared" si="17"/>
        <v>1</v>
      </c>
      <c r="O449" s="60"/>
      <c r="P449" s="48"/>
      <c r="R449" s="140">
        <v>39999</v>
      </c>
      <c r="S449" s="141">
        <v>41598.959999999999</v>
      </c>
      <c r="T449" s="141">
        <v>43198.92</v>
      </c>
      <c r="U449" s="142"/>
      <c r="V449" s="140"/>
      <c r="W449" s="146">
        <v>250</v>
      </c>
    </row>
    <row r="450" spans="1:23">
      <c r="A450" s="87" t="s">
        <v>413</v>
      </c>
      <c r="B450" s="56" t="str">
        <f>IFERROR(HYPERLINK(VLOOKUP(A450,ÜRÜNLER!A:C,3,FALSE),VLOOKUP(A450,ÜRÜNLER!A:B,2,FALSE)),"")</f>
        <v>Siemens Trifaze Ani Su Isıtıcı</v>
      </c>
      <c r="C450" s="5"/>
      <c r="D450" s="5"/>
      <c r="E450" s="6"/>
      <c r="F450" s="6"/>
      <c r="G450" s="6">
        <v>1</v>
      </c>
      <c r="H450" s="6"/>
      <c r="I450" s="7"/>
      <c r="J450" s="7"/>
      <c r="K450" s="6"/>
      <c r="L450" s="6"/>
      <c r="M450" s="7"/>
      <c r="N450" s="59">
        <f t="shared" si="17"/>
        <v>1</v>
      </c>
      <c r="O450" s="60"/>
      <c r="P450" s="48"/>
      <c r="R450" s="140">
        <v>49999</v>
      </c>
      <c r="S450" s="141">
        <v>51998.96</v>
      </c>
      <c r="T450" s="141">
        <v>53998.92</v>
      </c>
      <c r="U450" s="142"/>
      <c r="V450" s="140"/>
      <c r="W450" s="146">
        <v>250</v>
      </c>
    </row>
    <row r="451" spans="1:23">
      <c r="A451" s="87" t="s">
        <v>419</v>
      </c>
      <c r="B451" s="56" t="str">
        <f>IFERROR(HYPERLINK(VLOOKUP(A451,ÜRÜNLER!A:C,3,FALSE),VLOOKUP(A451,ÜRÜNLER!A:B,2,FALSE)),"")</f>
        <v>Siemens Çay Makinesi</v>
      </c>
      <c r="C451" s="5"/>
      <c r="D451" s="5"/>
      <c r="E451" s="6"/>
      <c r="F451" s="6"/>
      <c r="G451" s="6"/>
      <c r="H451" s="6"/>
      <c r="I451" s="7">
        <v>3</v>
      </c>
      <c r="J451" s="7">
        <v>1</v>
      </c>
      <c r="K451" s="6"/>
      <c r="L451" s="6">
        <v>1</v>
      </c>
      <c r="M451" s="7">
        <v>1</v>
      </c>
      <c r="N451" s="59">
        <f t="shared" si="17"/>
        <v>6</v>
      </c>
      <c r="O451" s="60"/>
      <c r="P451" s="48"/>
      <c r="R451" s="140">
        <v>3999</v>
      </c>
      <c r="S451" s="141">
        <v>4158.96</v>
      </c>
      <c r="T451" s="141">
        <v>4318.92</v>
      </c>
      <c r="U451" s="142"/>
      <c r="V451" s="140"/>
      <c r="W451" s="146">
        <v>50</v>
      </c>
    </row>
    <row r="452" spans="1:23">
      <c r="A452" s="87" t="s">
        <v>420</v>
      </c>
      <c r="B452" s="56" t="str">
        <f>IFERROR(HYPERLINK(VLOOKUP(A452,ÜRÜNLER!A:C,3,FALSE),VLOOKUP(A452,ÜRÜNLER!A:B,2,FALSE)),"")</f>
        <v>Siemens Filtre Kahve Makinesi</v>
      </c>
      <c r="C452" s="5"/>
      <c r="D452" s="5"/>
      <c r="E452" s="6"/>
      <c r="F452" s="6"/>
      <c r="G452" s="6"/>
      <c r="H452" s="6"/>
      <c r="I452" s="7">
        <v>1</v>
      </c>
      <c r="J452" s="7"/>
      <c r="K452" s="6"/>
      <c r="L452" s="6"/>
      <c r="M452" s="7"/>
      <c r="N452" s="59">
        <f t="shared" si="17"/>
        <v>1</v>
      </c>
      <c r="O452" s="60"/>
      <c r="P452" s="48"/>
      <c r="R452" s="140">
        <v>4999</v>
      </c>
      <c r="S452" s="141">
        <v>5198.96</v>
      </c>
      <c r="T452" s="141">
        <v>5398.92</v>
      </c>
      <c r="U452" s="142"/>
      <c r="V452" s="140"/>
      <c r="W452" s="146">
        <v>50</v>
      </c>
    </row>
    <row r="453" spans="1:23">
      <c r="A453" s="87" t="s">
        <v>421</v>
      </c>
      <c r="B453" s="56" t="str">
        <f>IFERROR(HYPERLINK(VLOOKUP(A453,ÜRÜNLER!A:C,3,FALSE),VLOOKUP(A453,ÜRÜNLER!A:B,2,FALSE)),"")</f>
        <v>Siemens El Blenderı ergonomicEdition, 600w, Beyaz/Mavi</v>
      </c>
      <c r="C453" s="5"/>
      <c r="D453" s="5"/>
      <c r="E453" s="6"/>
      <c r="F453" s="6"/>
      <c r="G453" s="6"/>
      <c r="H453" s="6"/>
      <c r="I453" s="7">
        <v>2</v>
      </c>
      <c r="J453" s="7"/>
      <c r="K453" s="6"/>
      <c r="L453" s="6"/>
      <c r="M453" s="7"/>
      <c r="N453" s="59">
        <f t="shared" si="17"/>
        <v>2</v>
      </c>
      <c r="O453" s="60"/>
      <c r="P453" s="48"/>
      <c r="R453" s="140">
        <v>1999</v>
      </c>
      <c r="S453" s="141">
        <v>2078.96</v>
      </c>
      <c r="T453" s="141">
        <v>2158.92</v>
      </c>
      <c r="U453" s="142"/>
      <c r="V453" s="140"/>
      <c r="W453" s="146">
        <v>50</v>
      </c>
    </row>
    <row r="454" spans="1:23">
      <c r="A454" s="87" t="s">
        <v>422</v>
      </c>
      <c r="B454" s="56" t="str">
        <f>IFERROR(HYPERLINK(VLOOKUP(A454,ÜRÜNLER!A:C,3,FALSE),VLOOKUP(A454,ÜRÜNLER!A:B,2,FALSE)),"")</f>
        <v>Siemens El Blenderı, 600w, Beyaz/Mavi</v>
      </c>
      <c r="C454" s="5"/>
      <c r="D454" s="5"/>
      <c r="E454" s="6"/>
      <c r="F454" s="6"/>
      <c r="G454" s="6"/>
      <c r="H454" s="6"/>
      <c r="I454" s="7">
        <v>1</v>
      </c>
      <c r="J454" s="7"/>
      <c r="K454" s="6"/>
      <c r="L454" s="6"/>
      <c r="M454" s="7"/>
      <c r="N454" s="59">
        <f t="shared" si="17"/>
        <v>1</v>
      </c>
      <c r="O454" s="60"/>
      <c r="P454" s="48"/>
      <c r="R454" s="140">
        <v>2499</v>
      </c>
      <c r="S454" s="141">
        <v>2598.96</v>
      </c>
      <c r="T454" s="141">
        <v>2698.92</v>
      </c>
      <c r="U454" s="142"/>
      <c r="V454" s="140"/>
      <c r="W454" s="146">
        <v>50</v>
      </c>
    </row>
    <row r="455" spans="1:23">
      <c r="A455" s="87" t="s">
        <v>423</v>
      </c>
      <c r="B455" s="56" t="str">
        <f>IFERROR(HYPERLINK(VLOOKUP(A455,ÜRÜNLER!A:C,3,FALSE),VLOOKUP(A455,ÜRÜNLER!A:B,2,FALSE)),"")</f>
        <v>Siemens El Blenderı FQ.1, 750w, Siyah/Gri</v>
      </c>
      <c r="C455" s="5"/>
      <c r="D455" s="5"/>
      <c r="E455" s="6"/>
      <c r="F455" s="6"/>
      <c r="G455" s="6"/>
      <c r="H455" s="6"/>
      <c r="I455" s="7">
        <v>2</v>
      </c>
      <c r="J455" s="7"/>
      <c r="K455" s="6"/>
      <c r="L455" s="6"/>
      <c r="M455" s="7"/>
      <c r="N455" s="59">
        <f t="shared" si="17"/>
        <v>2</v>
      </c>
      <c r="O455" s="60"/>
      <c r="P455" s="48"/>
      <c r="R455" s="140">
        <v>1999</v>
      </c>
      <c r="S455" s="141">
        <v>2078.96</v>
      </c>
      <c r="T455" s="141">
        <v>2158.92</v>
      </c>
      <c r="U455" s="142"/>
      <c r="V455" s="140"/>
      <c r="W455" s="146">
        <v>50</v>
      </c>
    </row>
    <row r="456" spans="1:23">
      <c r="A456" s="87" t="s">
        <v>425</v>
      </c>
      <c r="B456" s="56" t="str">
        <f>IFERROR(HYPERLINK(VLOOKUP(A456,ÜRÜNLER!A:C,3,FALSE),VLOOKUP(A456,ÜRÜNLER!A:B,2,FALSE)),"")</f>
        <v>Siemens El Mikseri, 450w, Beyaz/Antrasit</v>
      </c>
      <c r="C456" s="5"/>
      <c r="D456" s="5"/>
      <c r="E456" s="6"/>
      <c r="F456" s="6"/>
      <c r="G456" s="6"/>
      <c r="H456" s="6"/>
      <c r="I456" s="7">
        <v>1</v>
      </c>
      <c r="J456" s="7"/>
      <c r="K456" s="6"/>
      <c r="L456" s="6"/>
      <c r="M456" s="7"/>
      <c r="N456" s="59">
        <f t="shared" si="17"/>
        <v>1</v>
      </c>
      <c r="O456" s="60"/>
      <c r="P456" s="48"/>
      <c r="R456" s="140">
        <v>999</v>
      </c>
      <c r="S456" s="141">
        <v>1038.96</v>
      </c>
      <c r="T456" s="141">
        <v>1078.92</v>
      </c>
      <c r="U456" s="142"/>
      <c r="V456" s="140"/>
      <c r="W456" s="146">
        <v>50</v>
      </c>
    </row>
    <row r="457" spans="1:23">
      <c r="A457" s="87" t="s">
        <v>426</v>
      </c>
      <c r="B457" s="56" t="str">
        <f>IFERROR(HYPERLINK(VLOOKUP(A457,ÜRÜNLER!A:C,3,FALSE),VLOOKUP(A457,ÜRÜNLER!A:B,2,FALSE)),"")</f>
        <v>Siemens El Mikseri, 450w, Beyaz/Mavi</v>
      </c>
      <c r="C457" s="5"/>
      <c r="D457" s="5"/>
      <c r="E457" s="6"/>
      <c r="F457" s="6"/>
      <c r="G457" s="6"/>
      <c r="H457" s="6"/>
      <c r="I457" s="7">
        <v>1</v>
      </c>
      <c r="J457" s="7"/>
      <c r="K457" s="6"/>
      <c r="L457" s="6"/>
      <c r="M457" s="7"/>
      <c r="N457" s="59">
        <f t="shared" si="17"/>
        <v>1</v>
      </c>
      <c r="O457" s="60"/>
      <c r="P457" s="48"/>
      <c r="R457" s="140">
        <v>1499</v>
      </c>
      <c r="S457" s="141">
        <v>1558.96</v>
      </c>
      <c r="T457" s="141">
        <v>1618.92</v>
      </c>
      <c r="U457" s="142"/>
      <c r="V457" s="140"/>
      <c r="W457" s="146">
        <v>50</v>
      </c>
    </row>
    <row r="458" spans="1:23">
      <c r="A458" s="87" t="s">
        <v>427</v>
      </c>
      <c r="B458" s="56" t="str">
        <f>IFERROR(HYPERLINK(VLOOKUP(A458,ÜRÜNLER!A:C,3,FALSE),VLOOKUP(A458,ÜRÜNLER!A:B,2,FALSE)),"")</f>
        <v>El Mikser Seti, 500w, Siyah</v>
      </c>
      <c r="C458" s="5"/>
      <c r="D458" s="5"/>
      <c r="E458" s="6"/>
      <c r="F458" s="6"/>
      <c r="G458" s="6"/>
      <c r="H458" s="6"/>
      <c r="I458" s="7">
        <v>3</v>
      </c>
      <c r="J458" s="7"/>
      <c r="K458" s="6"/>
      <c r="L458" s="6"/>
      <c r="M458" s="7"/>
      <c r="N458" s="59">
        <f t="shared" si="17"/>
        <v>3</v>
      </c>
      <c r="O458" s="60"/>
      <c r="P458" s="48"/>
      <c r="R458" s="140">
        <v>2999</v>
      </c>
      <c r="S458" s="141">
        <v>3118.96</v>
      </c>
      <c r="T458" s="141">
        <v>3238.92</v>
      </c>
      <c r="U458" s="142"/>
      <c r="V458" s="140"/>
      <c r="W458" s="146">
        <v>50</v>
      </c>
    </row>
    <row r="459" spans="1:23">
      <c r="A459" s="87" t="s">
        <v>431</v>
      </c>
      <c r="B459" s="56" t="str">
        <f>IFERROR(HYPERLINK(VLOOKUP(A459,ÜRÜNLER!A:C,3,FALSE),VLOOKUP(A459,ÜRÜNLER!A:B,2,FALSE)),"")</f>
        <v>Siemens Buzdolabı Kulpu 79cm, Inox</v>
      </c>
      <c r="C459" s="5">
        <v>1</v>
      </c>
      <c r="D459" s="5"/>
      <c r="E459" s="6"/>
      <c r="F459" s="6"/>
      <c r="G459" s="6"/>
      <c r="H459" s="6"/>
      <c r="I459" s="7"/>
      <c r="J459" s="7"/>
      <c r="K459" s="6"/>
      <c r="L459" s="6">
        <v>4</v>
      </c>
      <c r="M459" s="7"/>
      <c r="N459" s="59">
        <f t="shared" si="17"/>
        <v>5</v>
      </c>
      <c r="O459" s="60"/>
      <c r="P459" s="48"/>
      <c r="R459" s="140">
        <v>24999</v>
      </c>
      <c r="S459" s="141">
        <v>25998.959999999999</v>
      </c>
      <c r="T459" s="141">
        <v>26998.92</v>
      </c>
      <c r="U459" s="142"/>
      <c r="V459" s="140"/>
      <c r="W459" s="146">
        <v>250</v>
      </c>
    </row>
    <row r="460" spans="1:23">
      <c r="A460" s="87" t="s">
        <v>432</v>
      </c>
      <c r="B460" s="56" t="str">
        <f>IFERROR(HYPERLINK(VLOOKUP(A460,ÜRÜNLER!A:C,3,FALSE),VLOOKUP(A460,ÜRÜNLER!A:B,2,FALSE)),"")</f>
        <v>Siemens Buzdolabı Kulpu</v>
      </c>
      <c r="C460" s="5"/>
      <c r="D460" s="5"/>
      <c r="E460" s="6"/>
      <c r="F460" s="6"/>
      <c r="G460" s="6"/>
      <c r="H460" s="6"/>
      <c r="I460" s="7"/>
      <c r="J460" s="7">
        <v>1</v>
      </c>
      <c r="K460" s="6"/>
      <c r="L460" s="6">
        <v>1</v>
      </c>
      <c r="M460" s="7"/>
      <c r="N460" s="59">
        <f t="shared" si="17"/>
        <v>2</v>
      </c>
      <c r="O460" s="60"/>
      <c r="P460" s="48"/>
      <c r="R460" s="140">
        <v>6148.9750000000004</v>
      </c>
      <c r="S460" s="141">
        <v>6394.9340000000002</v>
      </c>
      <c r="T460" s="141">
        <v>6640.893</v>
      </c>
      <c r="U460" s="142"/>
      <c r="V460" s="140"/>
      <c r="W460" s="146">
        <v>250</v>
      </c>
    </row>
    <row r="461" spans="1:23">
      <c r="A461" s="87" t="s">
        <v>433</v>
      </c>
      <c r="B461" s="56" t="str">
        <f>IFERROR(HYPERLINK(VLOOKUP(A461,ÜRÜNLER!A:C,3,FALSE),VLOOKUP(A461,ÜRÜNLER!A:B,2,FALSE)),"")</f>
        <v>Siemens Buzdolabı Kulpu</v>
      </c>
      <c r="C461" s="5">
        <v>5</v>
      </c>
      <c r="D461" s="5">
        <v>4</v>
      </c>
      <c r="E461" s="6"/>
      <c r="F461" s="6"/>
      <c r="G461" s="6"/>
      <c r="H461" s="6"/>
      <c r="I461" s="7"/>
      <c r="J461" s="7"/>
      <c r="K461" s="6"/>
      <c r="L461" s="6"/>
      <c r="M461" s="7"/>
      <c r="N461" s="59">
        <f t="shared" si="17"/>
        <v>9</v>
      </c>
      <c r="O461" s="60"/>
      <c r="P461" s="48" t="s">
        <v>1544</v>
      </c>
      <c r="Q461" s="159">
        <v>8867.3785891660682</v>
      </c>
      <c r="R461" s="157">
        <v>7980.6407302494617</v>
      </c>
      <c r="S461" s="141">
        <v>8299.86635945944</v>
      </c>
      <c r="T461" s="141">
        <v>8619.0919886694192</v>
      </c>
      <c r="U461" s="142"/>
      <c r="V461" s="140"/>
      <c r="W461" s="146">
        <v>500</v>
      </c>
    </row>
    <row r="462" spans="1:23">
      <c r="A462" s="87" t="s">
        <v>434</v>
      </c>
      <c r="B462" s="56" t="str">
        <f>IFERROR(HYPERLINK(VLOOKUP(A462,ÜRÜNLER!A:C,3,FALSE),VLOOKUP(A462,ÜRÜNLER!A:B,2,FALSE)),"")</f>
        <v>Siemens studioLine Buzdolabı Kulpu</v>
      </c>
      <c r="C462" s="5"/>
      <c r="D462" s="5">
        <v>4</v>
      </c>
      <c r="E462" s="6"/>
      <c r="F462" s="6"/>
      <c r="G462" s="6"/>
      <c r="H462" s="6"/>
      <c r="I462" s="7"/>
      <c r="J462" s="7"/>
      <c r="K462" s="6"/>
      <c r="L462" s="6"/>
      <c r="M462" s="7"/>
      <c r="N462" s="59">
        <f t="shared" si="17"/>
        <v>4</v>
      </c>
      <c r="O462" s="60"/>
      <c r="P462" s="48" t="s">
        <v>1544</v>
      </c>
      <c r="Q462" s="159">
        <v>3521.1995943386523</v>
      </c>
      <c r="R462" s="157">
        <v>3169.0796349047869</v>
      </c>
      <c r="S462" s="141">
        <v>3295.8428203009785</v>
      </c>
      <c r="T462" s="141">
        <v>3422.6060056971696</v>
      </c>
      <c r="U462" s="142"/>
      <c r="V462" s="140"/>
      <c r="W462" s="146">
        <v>500</v>
      </c>
    </row>
    <row r="463" spans="1:23">
      <c r="A463" s="87" t="s">
        <v>435</v>
      </c>
      <c r="B463" s="56" t="str">
        <f>IFERROR(HYPERLINK(VLOOKUP(A463,ÜRÜNLER!A:C,3,FALSE),VLOOKUP(A463,ÜRÜNLER!A:B,2,FALSE)),"")</f>
        <v>Siemens Buzdolabı Kulpu 79cm, Inox</v>
      </c>
      <c r="C463" s="5">
        <v>1</v>
      </c>
      <c r="D463" s="5"/>
      <c r="E463" s="6"/>
      <c r="F463" s="6"/>
      <c r="G463" s="6"/>
      <c r="H463" s="6"/>
      <c r="I463" s="7"/>
      <c r="J463" s="7"/>
      <c r="K463" s="6"/>
      <c r="L463" s="6"/>
      <c r="M463" s="7"/>
      <c r="N463" s="59">
        <f t="shared" si="17"/>
        <v>1</v>
      </c>
      <c r="O463" s="60"/>
      <c r="P463" s="48" t="s">
        <v>1544</v>
      </c>
      <c r="Q463" s="159">
        <v>2510.3949651838452</v>
      </c>
      <c r="R463" s="151">
        <v>2510.3949651838452</v>
      </c>
      <c r="S463" s="141">
        <v>2610.810763791199</v>
      </c>
      <c r="T463" s="141">
        <v>2711.2265623985527</v>
      </c>
      <c r="U463" s="142"/>
      <c r="V463" s="140"/>
      <c r="W463" s="146">
        <v>250</v>
      </c>
    </row>
    <row r="464" spans="1:23">
      <c r="A464" s="91" t="s">
        <v>436</v>
      </c>
      <c r="B464" s="56" t="str">
        <f>IFERROR(HYPERLINK(VLOOKUP(A464,ÜRÜNLER!A:C,3,FALSE),VLOOKUP(A464,ÜRÜNLER!A:B,2,FALSE)),"")</f>
        <v>Siemens studioLine Buzdolabı Kapı Paneli, 202.9x60.3cm</v>
      </c>
      <c r="C464" s="5"/>
      <c r="D464" s="5">
        <v>2</v>
      </c>
      <c r="E464" s="6"/>
      <c r="F464" s="6"/>
      <c r="G464" s="6"/>
      <c r="H464" s="6"/>
      <c r="I464" s="7"/>
      <c r="J464" s="7"/>
      <c r="K464" s="6"/>
      <c r="L464" s="6">
        <v>1</v>
      </c>
      <c r="M464" s="7"/>
      <c r="N464" s="59">
        <f t="shared" si="17"/>
        <v>3</v>
      </c>
      <c r="O464" s="60"/>
      <c r="P464" s="48" t="s">
        <v>1544</v>
      </c>
      <c r="Q464" s="159">
        <v>6515.7970471358785</v>
      </c>
      <c r="R464" s="157">
        <v>5864.217342422291</v>
      </c>
      <c r="S464" s="141">
        <v>6098.7860361191824</v>
      </c>
      <c r="T464" s="141">
        <v>6333.3547298160747</v>
      </c>
      <c r="U464" s="142"/>
      <c r="V464" s="140"/>
      <c r="W464" s="146">
        <v>500</v>
      </c>
    </row>
    <row r="465" spans="1:24">
      <c r="A465" s="91" t="s">
        <v>437</v>
      </c>
      <c r="B465" s="56" t="str">
        <f>IFERROR(HYPERLINK(VLOOKUP(A465,ÜRÜNLER!A:C,3,FALSE),VLOOKUP(A465,ÜRÜNLER!A:B,2,FALSE)),"")</f>
        <v>Siemens Buzdolabı Kapı Paneli, 202.9x75.6cm</v>
      </c>
      <c r="C465" s="5">
        <v>4</v>
      </c>
      <c r="D465" s="5">
        <v>2</v>
      </c>
      <c r="E465" s="6"/>
      <c r="F465" s="6"/>
      <c r="G465" s="6"/>
      <c r="H465" s="6"/>
      <c r="I465" s="7"/>
      <c r="J465" s="7"/>
      <c r="K465" s="6"/>
      <c r="L465" s="6">
        <v>1</v>
      </c>
      <c r="M465" s="7"/>
      <c r="N465" s="59">
        <f t="shared" si="17"/>
        <v>7</v>
      </c>
      <c r="O465" s="60"/>
      <c r="P465" s="48" t="s">
        <v>1544</v>
      </c>
      <c r="Q465" s="159">
        <v>12864.686900934046</v>
      </c>
      <c r="R465" s="157">
        <v>11578.218210840641</v>
      </c>
      <c r="S465" s="141">
        <v>12041.346939274266</v>
      </c>
      <c r="T465" s="141">
        <v>12504.475667707893</v>
      </c>
      <c r="U465" s="142"/>
      <c r="V465" s="140"/>
      <c r="W465" s="146">
        <v>500</v>
      </c>
    </row>
    <row r="466" spans="1:24">
      <c r="A466" s="87" t="s">
        <v>438</v>
      </c>
      <c r="B466" s="56" t="str">
        <f>IFERROR(HYPERLINK(VLOOKUP(A466,ÜRÜNLER!A:C,3,FALSE),VLOOKUP(A466,ÜRÜNLER!A:B,2,FALSE)),"")</f>
        <v>Siemens Buzdolabı Kapı Paneli, 202.9x90.8cm</v>
      </c>
      <c r="C466" s="5">
        <v>5</v>
      </c>
      <c r="D466" s="5">
        <v>2</v>
      </c>
      <c r="E466" s="6"/>
      <c r="F466" s="6"/>
      <c r="G466" s="6"/>
      <c r="H466" s="6"/>
      <c r="I466" s="7"/>
      <c r="J466" s="7">
        <v>1</v>
      </c>
      <c r="K466" s="6"/>
      <c r="L466" s="6">
        <v>1</v>
      </c>
      <c r="M466" s="7"/>
      <c r="N466" s="59">
        <f t="shared" si="17"/>
        <v>9</v>
      </c>
      <c r="O466" s="60"/>
      <c r="P466" s="48" t="s">
        <v>1544</v>
      </c>
      <c r="Q466" s="159">
        <v>18868.450592859805</v>
      </c>
      <c r="R466" s="157">
        <v>16981.605533573824</v>
      </c>
      <c r="S466" s="141">
        <v>17660.869754916777</v>
      </c>
      <c r="T466" s="141">
        <v>18340.133976259731</v>
      </c>
      <c r="U466" s="142"/>
      <c r="V466" s="140"/>
      <c r="W466" s="146">
        <v>500</v>
      </c>
    </row>
    <row r="467" spans="1:24">
      <c r="A467" s="87" t="s">
        <v>439</v>
      </c>
      <c r="B467" s="56" t="str">
        <f>IFERROR(HYPERLINK(VLOOKUP(A467,ÜRÜNLER!A:C,3,FALSE),VLOOKUP(A467,ÜRÜNLER!A:B,2,FALSE)),"")</f>
        <v>Siemens Buzdolabı Bağlantı Seti</v>
      </c>
      <c r="C467" s="5">
        <v>4</v>
      </c>
      <c r="D467" s="5"/>
      <c r="E467" s="6"/>
      <c r="F467" s="6"/>
      <c r="G467" s="6"/>
      <c r="H467" s="6"/>
      <c r="I467" s="7"/>
      <c r="J467" s="7"/>
      <c r="K467" s="6"/>
      <c r="L467" s="6"/>
      <c r="M467" s="7"/>
      <c r="N467" s="59">
        <f t="shared" si="17"/>
        <v>4</v>
      </c>
      <c r="O467" s="60"/>
      <c r="P467" s="48" t="s">
        <v>1544</v>
      </c>
      <c r="R467" s="140"/>
      <c r="S467" s="141"/>
      <c r="T467" s="141"/>
      <c r="U467" s="142"/>
      <c r="V467" s="140"/>
      <c r="W467" s="146"/>
    </row>
    <row r="468" spans="1:24">
      <c r="A468" s="87" t="s">
        <v>440</v>
      </c>
      <c r="B468" s="56" t="str">
        <f>IFERROR(HYPERLINK(VLOOKUP(A468,ÜRÜNLER!A:C,3,FALSE),VLOOKUP(A468,ÜRÜNLER!A:B,2,FALSE)),"")</f>
        <v>Siemens Buzdolabı Bağlantı Seti</v>
      </c>
      <c r="C468" s="5">
        <v>2</v>
      </c>
      <c r="D468" s="5">
        <v>1</v>
      </c>
      <c r="E468" s="6"/>
      <c r="F468" s="6"/>
      <c r="G468" s="6"/>
      <c r="H468" s="6">
        <v>2</v>
      </c>
      <c r="I468" s="7"/>
      <c r="J468" s="7"/>
      <c r="K468" s="6"/>
      <c r="L468" s="6"/>
      <c r="M468" s="7"/>
      <c r="N468" s="59">
        <f t="shared" si="17"/>
        <v>5</v>
      </c>
      <c r="O468" s="60"/>
      <c r="P468" s="48" t="s">
        <v>1544</v>
      </c>
      <c r="Q468" s="139" t="s">
        <v>1782</v>
      </c>
      <c r="R468" s="172">
        <v>5000</v>
      </c>
      <c r="S468" s="141">
        <v>5200</v>
      </c>
      <c r="T468" s="141">
        <v>5400</v>
      </c>
      <c r="U468" s="142"/>
      <c r="V468" s="140"/>
      <c r="W468" s="146">
        <v>500</v>
      </c>
    </row>
    <row r="469" spans="1:24">
      <c r="A469" s="87" t="s">
        <v>441</v>
      </c>
      <c r="B469" s="56" t="str">
        <f>IFERROR(HYPERLINK(VLOOKUP(A469,ÜRÜNLER!A:C,3,FALSE),VLOOKUP(A469,ÜRÜNLER!A:B,2,FALSE)),"")</f>
        <v>Siemens studioLine Buzdolabı Çekmecesi</v>
      </c>
      <c r="C469" s="5"/>
      <c r="D469" s="5">
        <v>1</v>
      </c>
      <c r="E469" s="6"/>
      <c r="F469" s="6"/>
      <c r="G469" s="6"/>
      <c r="H469" s="6"/>
      <c r="I469" s="7"/>
      <c r="J469" s="7"/>
      <c r="K469" s="6"/>
      <c r="L469" s="6"/>
      <c r="M469" s="7"/>
      <c r="N469" s="59">
        <f t="shared" si="17"/>
        <v>1</v>
      </c>
      <c r="O469" s="60"/>
      <c r="P469" s="48" t="s">
        <v>1544</v>
      </c>
      <c r="Q469" s="159">
        <v>2251.7843805077478</v>
      </c>
      <c r="R469" s="157">
        <v>2026.605942456973</v>
      </c>
      <c r="S469" s="141">
        <v>2097.5371504429672</v>
      </c>
      <c r="T469" s="141">
        <v>2188.7344178535309</v>
      </c>
      <c r="U469" s="142"/>
      <c r="V469" s="140"/>
      <c r="W469" s="146">
        <v>500</v>
      </c>
    </row>
    <row r="470" spans="1:24">
      <c r="A470" s="87" t="s">
        <v>442</v>
      </c>
      <c r="B470" s="56" t="str">
        <f>IFERROR(HYPERLINK(VLOOKUP(A470,ÜRÜNLER!A:C,3,FALSE),VLOOKUP(A470,ÜRÜNLER!A:B,2,FALSE)),"")</f>
        <v>Siemens studioLine 36'' Buzdolabı Kapı Paneli, Paslanmaz Çelik, 3 Kapı</v>
      </c>
      <c r="C470" s="5"/>
      <c r="D470" s="5">
        <v>1</v>
      </c>
      <c r="E470" s="6"/>
      <c r="F470" s="6"/>
      <c r="G470" s="6"/>
      <c r="H470" s="6"/>
      <c r="I470" s="7"/>
      <c r="J470" s="7"/>
      <c r="K470" s="6"/>
      <c r="L470" s="6"/>
      <c r="M470" s="7"/>
      <c r="N470" s="59">
        <f t="shared" si="17"/>
        <v>1</v>
      </c>
      <c r="O470" s="60"/>
      <c r="P470" s="48" t="s">
        <v>1544</v>
      </c>
      <c r="Q470" s="159">
        <v>10600.401058527552</v>
      </c>
      <c r="R470" s="157">
        <v>9540.3609526747969</v>
      </c>
      <c r="S470" s="141">
        <v>9874.2735860184148</v>
      </c>
      <c r="T470" s="141">
        <v>10303.58982888878</v>
      </c>
      <c r="U470" s="142"/>
      <c r="V470" s="140"/>
      <c r="W470" s="146">
        <v>500</v>
      </c>
    </row>
    <row r="471" spans="1:24">
      <c r="A471" s="106" t="s">
        <v>1557</v>
      </c>
      <c r="B471" s="56" t="str">
        <f>IFERROR(HYPERLINK(VLOOKUP(A471,ÜRÜNLER!A:C,3,FALSE),VLOOKUP(A471,ÜRÜNLER!A:B,2,FALSE)),"")</f>
        <v/>
      </c>
      <c r="C471" s="5"/>
      <c r="D471" s="5"/>
      <c r="E471" s="6"/>
      <c r="F471" s="6"/>
      <c r="G471" s="6"/>
      <c r="H471" s="6"/>
      <c r="I471" s="7"/>
      <c r="J471" s="7"/>
      <c r="K471" s="6"/>
      <c r="L471" s="6"/>
      <c r="M471" s="7"/>
      <c r="N471" s="59"/>
      <c r="O471" s="60"/>
      <c r="P471" s="48"/>
      <c r="R471" s="173"/>
      <c r="S471" s="141"/>
      <c r="T471" s="141"/>
      <c r="U471" s="142"/>
      <c r="V471" s="140"/>
      <c r="W471" s="146"/>
    </row>
    <row r="472" spans="1:24">
      <c r="A472" s="95" t="s">
        <v>443</v>
      </c>
      <c r="B472" s="56" t="str">
        <f>IFERROR(HYPERLINK(VLOOKUP(A472,ÜRÜNLER!A:C,3,FALSE),VLOOKUP(A472,ÜRÜNLER!A:B,2,FALSE)),"")</f>
        <v>Siemens Ev Tipi Klima İç Ünite, 9.000BTU, Beyaz</v>
      </c>
      <c r="C472" s="5">
        <v>5</v>
      </c>
      <c r="D472" s="5"/>
      <c r="E472" s="6"/>
      <c r="F472" s="6"/>
      <c r="G472" s="6"/>
      <c r="H472" s="6"/>
      <c r="I472" s="7">
        <v>1</v>
      </c>
      <c r="J472" s="7"/>
      <c r="K472" s="6"/>
      <c r="L472" s="6"/>
      <c r="M472" s="7"/>
      <c r="N472" s="59">
        <f t="shared" ref="N472:N489" si="18">M472+K472+L472+J472+I472+H472+G472+F472+E472+D472+C472</f>
        <v>6</v>
      </c>
      <c r="O472" s="60"/>
      <c r="P472" s="48" t="s">
        <v>1544</v>
      </c>
      <c r="Q472" s="145">
        <v>16020.74074189603</v>
      </c>
      <c r="R472" s="174">
        <v>18000</v>
      </c>
      <c r="S472" s="141">
        <v>18630</v>
      </c>
      <c r="T472" s="141">
        <v>19440</v>
      </c>
      <c r="U472" s="142"/>
      <c r="V472" s="140"/>
      <c r="W472" s="146">
        <v>250</v>
      </c>
    </row>
    <row r="473" spans="1:24">
      <c r="A473" s="95" t="s">
        <v>444</v>
      </c>
      <c r="B473" s="56" t="str">
        <f>IFERROR(HYPERLINK(VLOOKUP(A473,ÜRÜNLER!A:C,3,FALSE),VLOOKUP(A473,ÜRÜNLER!A:B,2,FALSE)),"")</f>
        <v>Siemens Ev Tipi Klima Dış Ünite, 9.000BTU, Beyaz</v>
      </c>
      <c r="C473" s="5">
        <v>6</v>
      </c>
      <c r="D473" s="5"/>
      <c r="E473" s="6"/>
      <c r="F473" s="6"/>
      <c r="G473" s="6"/>
      <c r="H473" s="6"/>
      <c r="I473" s="7"/>
      <c r="J473" s="7"/>
      <c r="K473" s="6"/>
      <c r="L473" s="6"/>
      <c r="M473" s="7"/>
      <c r="N473" s="59">
        <f t="shared" si="18"/>
        <v>6</v>
      </c>
      <c r="O473" s="60"/>
      <c r="P473" s="48" t="s">
        <v>1544</v>
      </c>
      <c r="Q473" s="145">
        <v>24031.111112844046</v>
      </c>
      <c r="R473" s="174">
        <v>26000</v>
      </c>
      <c r="S473" s="141">
        <v>26910</v>
      </c>
      <c r="T473" s="141">
        <v>28080</v>
      </c>
      <c r="U473" s="142"/>
      <c r="V473" s="140"/>
      <c r="W473" s="146"/>
    </row>
    <row r="474" spans="1:24">
      <c r="A474" s="129" t="s">
        <v>445</v>
      </c>
      <c r="B474" s="56" t="str">
        <f>IFERROR(HYPERLINK(VLOOKUP(A474,ÜRÜNLER!A:C,3,FALSE),VLOOKUP(A474,ÜRÜNLER!A:B,2,FALSE)),"")</f>
        <v>Siemens Ev Tipi Klima İç Ünite, 12.000BTU, Beyaz</v>
      </c>
      <c r="C474" s="5"/>
      <c r="D474" s="5"/>
      <c r="E474" s="6"/>
      <c r="F474" s="6"/>
      <c r="G474" s="6"/>
      <c r="H474" s="6"/>
      <c r="I474" s="7"/>
      <c r="J474" s="7"/>
      <c r="K474" s="6"/>
      <c r="L474" s="6">
        <v>1</v>
      </c>
      <c r="M474" s="7"/>
      <c r="N474" s="59">
        <f t="shared" si="18"/>
        <v>1</v>
      </c>
      <c r="O474" s="60"/>
      <c r="P474" s="49" t="s">
        <v>1544</v>
      </c>
      <c r="Q474" s="175"/>
      <c r="R474" s="176">
        <v>15000</v>
      </c>
      <c r="S474" s="177">
        <v>15525</v>
      </c>
      <c r="T474" s="141">
        <v>16200</v>
      </c>
      <c r="U474" s="142"/>
      <c r="V474" s="140"/>
      <c r="W474" s="146">
        <v>250</v>
      </c>
    </row>
    <row r="475" spans="1:24">
      <c r="A475" s="129" t="s">
        <v>446</v>
      </c>
      <c r="B475" s="56" t="str">
        <f>IFERROR(HYPERLINK(VLOOKUP(A475,ÜRÜNLER!A:C,3,FALSE),VLOOKUP(A475,ÜRÜNLER!A:B,2,FALSE)),"")</f>
        <v>Siemens Ev Tipi Klima Dış Ünite, 12.000BTU, Beyaz</v>
      </c>
      <c r="C475" s="5">
        <v>1</v>
      </c>
      <c r="D475" s="5"/>
      <c r="E475" s="6"/>
      <c r="F475" s="6"/>
      <c r="G475" s="6"/>
      <c r="H475" s="6"/>
      <c r="I475" s="7"/>
      <c r="J475" s="7"/>
      <c r="K475" s="6"/>
      <c r="L475" s="6"/>
      <c r="M475" s="7"/>
      <c r="N475" s="59">
        <f t="shared" si="18"/>
        <v>1</v>
      </c>
      <c r="O475" s="60"/>
      <c r="P475" s="49" t="s">
        <v>1544</v>
      </c>
      <c r="Q475" s="175"/>
      <c r="R475" s="176">
        <v>20000</v>
      </c>
      <c r="S475" s="177">
        <v>20700</v>
      </c>
      <c r="T475" s="141">
        <v>21600</v>
      </c>
      <c r="U475" s="142"/>
      <c r="V475" s="140"/>
      <c r="W475" s="146"/>
    </row>
    <row r="476" spans="1:24">
      <c r="A476" s="130" t="s">
        <v>447</v>
      </c>
      <c r="B476" s="56" t="str">
        <f>IFERROR(HYPERLINK(VLOOKUP(A476,ÜRÜNLER!A:C,3,FALSE),VLOOKUP(A476,ÜRÜNLER!A:B,2,FALSE)),"")</f>
        <v>Siemens Ev Tipi Klima İç Ünite, 12.000BTU, Beyaz</v>
      </c>
      <c r="C476" s="5"/>
      <c r="D476" s="5"/>
      <c r="E476" s="6"/>
      <c r="F476" s="6">
        <v>1</v>
      </c>
      <c r="G476" s="6"/>
      <c r="H476" s="6"/>
      <c r="I476" s="7">
        <v>1</v>
      </c>
      <c r="J476" s="7"/>
      <c r="K476" s="6"/>
      <c r="L476" s="6"/>
      <c r="M476" s="7"/>
      <c r="N476" s="59">
        <f t="shared" si="18"/>
        <v>2</v>
      </c>
      <c r="O476" s="60"/>
      <c r="P476" s="48" t="s">
        <v>1544</v>
      </c>
      <c r="Q476" s="145">
        <v>17599.318782707702</v>
      </c>
      <c r="R476" s="174">
        <v>19000</v>
      </c>
      <c r="S476" s="141">
        <v>19665</v>
      </c>
      <c r="T476" s="141">
        <v>20520</v>
      </c>
      <c r="U476" s="142"/>
      <c r="V476" s="140"/>
      <c r="W476" s="146">
        <v>250</v>
      </c>
    </row>
    <row r="477" spans="1:24">
      <c r="A477" s="130" t="s">
        <v>448</v>
      </c>
      <c r="B477" s="56" t="str">
        <f>IFERROR(HYPERLINK(VLOOKUP(A477,ÜRÜNLER!A:C,3,FALSE),VLOOKUP(A477,ÜRÜNLER!A:B,2,FALSE)),"")</f>
        <v>Siemens Ev Tipi Klima Dış Ünite, 12.000BTU, Beyaz</v>
      </c>
      <c r="C477" s="5"/>
      <c r="D477" s="5"/>
      <c r="E477" s="6"/>
      <c r="F477" s="6">
        <v>1</v>
      </c>
      <c r="G477" s="6"/>
      <c r="H477" s="6"/>
      <c r="I477" s="7"/>
      <c r="J477" s="7"/>
      <c r="K477" s="6"/>
      <c r="L477" s="6">
        <v>1</v>
      </c>
      <c r="M477" s="7"/>
      <c r="N477" s="59">
        <f t="shared" si="18"/>
        <v>2</v>
      </c>
      <c r="O477" s="60"/>
      <c r="P477" s="48" t="s">
        <v>1544</v>
      </c>
      <c r="Q477" s="145">
        <v>26398.978174061547</v>
      </c>
      <c r="R477" s="174">
        <v>28000</v>
      </c>
      <c r="S477" s="141">
        <v>28980</v>
      </c>
      <c r="T477" s="141">
        <v>30240</v>
      </c>
      <c r="U477" s="142"/>
      <c r="V477" s="140"/>
      <c r="W477" s="146"/>
    </row>
    <row r="478" spans="1:24">
      <c r="A478" s="131" t="s">
        <v>449</v>
      </c>
      <c r="B478" s="56" t="str">
        <f>IFERROR(HYPERLINK(VLOOKUP(A478,ÜRÜNLER!A:C,3,FALSE),VLOOKUP(A478,ÜRÜNLER!A:B,2,FALSE)),"")</f>
        <v>Siemens Ev Tipi Klima İç Ünite, 12.000BTU, Siyah</v>
      </c>
      <c r="C478" s="5">
        <v>2</v>
      </c>
      <c r="D478" s="5"/>
      <c r="E478" s="6"/>
      <c r="F478" s="6"/>
      <c r="G478" s="6"/>
      <c r="H478" s="6"/>
      <c r="I478" s="7"/>
      <c r="J478" s="7"/>
      <c r="K478" s="6"/>
      <c r="L478" s="6"/>
      <c r="M478" s="7"/>
      <c r="N478" s="59">
        <f t="shared" si="18"/>
        <v>2</v>
      </c>
      <c r="O478" s="60"/>
      <c r="P478" s="49" t="s">
        <v>1544</v>
      </c>
      <c r="Q478" s="175">
        <v>19638.932436439351</v>
      </c>
      <c r="R478" s="174">
        <v>22000</v>
      </c>
      <c r="S478" s="177">
        <v>22770</v>
      </c>
      <c r="T478" s="141">
        <v>23760</v>
      </c>
      <c r="U478" s="142"/>
      <c r="V478" s="140"/>
      <c r="W478" s="146">
        <v>250</v>
      </c>
    </row>
    <row r="479" spans="1:24">
      <c r="A479" s="131" t="s">
        <v>450</v>
      </c>
      <c r="B479" s="56" t="str">
        <f>IFERROR(HYPERLINK(VLOOKUP(A479,ÜRÜNLER!A:C,3,FALSE),VLOOKUP(A479,ÜRÜNLER!A:B,2,FALSE)),"")</f>
        <v>Siemens Ev Tipi Klima Dış Ünite, 12.000BTU, Beyaz</v>
      </c>
      <c r="C479" s="5">
        <v>2</v>
      </c>
      <c r="D479" s="5"/>
      <c r="E479" s="6"/>
      <c r="F479" s="6"/>
      <c r="G479" s="6"/>
      <c r="H479" s="6"/>
      <c r="I479" s="7"/>
      <c r="J479" s="7"/>
      <c r="K479" s="6"/>
      <c r="L479" s="6"/>
      <c r="M479" s="7"/>
      <c r="N479" s="59">
        <f t="shared" si="18"/>
        <v>2</v>
      </c>
      <c r="O479" s="60"/>
      <c r="P479" s="49" t="s">
        <v>1544</v>
      </c>
      <c r="Q479" s="175">
        <v>29458.398654659028</v>
      </c>
      <c r="R479" s="174">
        <v>32000</v>
      </c>
      <c r="S479" s="177">
        <v>33120</v>
      </c>
      <c r="T479" s="141">
        <v>34560</v>
      </c>
      <c r="U479" s="142"/>
      <c r="V479" s="140"/>
      <c r="W479" s="146"/>
    </row>
    <row r="480" spans="1:24" s="8" customFormat="1">
      <c r="A480" s="130" t="s">
        <v>451</v>
      </c>
      <c r="B480" s="56" t="str">
        <f>IFERROR(HYPERLINK(VLOOKUP(A480,ÜRÜNLER!A:C,3,FALSE),VLOOKUP(A480,ÜRÜNLER!A:B,2,FALSE)),"")</f>
        <v>Siemens Ev Tipi Klima İç Ünite, 18.000BTU, Beyaz</v>
      </c>
      <c r="C480" s="5">
        <v>5</v>
      </c>
      <c r="D480" s="5"/>
      <c r="E480" s="6"/>
      <c r="F480" s="6"/>
      <c r="G480" s="6"/>
      <c r="H480" s="6"/>
      <c r="I480" s="7">
        <v>1</v>
      </c>
      <c r="J480" s="7"/>
      <c r="K480" s="6"/>
      <c r="L480" s="6">
        <v>2</v>
      </c>
      <c r="M480" s="7"/>
      <c r="N480" s="59">
        <f t="shared" si="18"/>
        <v>8</v>
      </c>
      <c r="O480" s="60"/>
      <c r="P480" s="48" t="s">
        <v>1544</v>
      </c>
      <c r="Q480" s="145"/>
      <c r="R480" s="140">
        <v>22000</v>
      </c>
      <c r="S480" s="141">
        <v>22770</v>
      </c>
      <c r="T480" s="141">
        <v>23760</v>
      </c>
      <c r="U480" s="142"/>
      <c r="V480" s="140"/>
      <c r="W480" s="146">
        <v>250</v>
      </c>
      <c r="X480" s="144"/>
    </row>
    <row r="481" spans="1:24" s="8" customFormat="1">
      <c r="A481" s="130" t="s">
        <v>452</v>
      </c>
      <c r="B481" s="56" t="str">
        <f>IFERROR(HYPERLINK(VLOOKUP(A481,ÜRÜNLER!A:C,3,FALSE),VLOOKUP(A481,ÜRÜNLER!A:B,2,FALSE)),"")</f>
        <v>Siemens Ev Tipi Klima Dış Ünite, 18.000BTU, Beyaz</v>
      </c>
      <c r="C481" s="5">
        <v>7</v>
      </c>
      <c r="D481" s="5"/>
      <c r="E481" s="6"/>
      <c r="F481" s="6"/>
      <c r="G481" s="6"/>
      <c r="H481" s="6"/>
      <c r="I481" s="7"/>
      <c r="J481" s="7"/>
      <c r="K481" s="6"/>
      <c r="L481" s="6">
        <v>1</v>
      </c>
      <c r="M481" s="7"/>
      <c r="N481" s="59">
        <f t="shared" si="18"/>
        <v>8</v>
      </c>
      <c r="O481" s="60"/>
      <c r="P481" s="48" t="s">
        <v>1544</v>
      </c>
      <c r="Q481" s="145"/>
      <c r="R481" s="140">
        <v>35000</v>
      </c>
      <c r="S481" s="141">
        <v>36225</v>
      </c>
      <c r="T481" s="141">
        <v>37800</v>
      </c>
      <c r="U481" s="142"/>
      <c r="V481" s="140"/>
      <c r="W481" s="146"/>
      <c r="X481" s="144"/>
    </row>
    <row r="482" spans="1:24">
      <c r="A482" s="131" t="s">
        <v>453</v>
      </c>
      <c r="B482" s="56" t="str">
        <f>IFERROR(HYPERLINK(VLOOKUP(A482,ÜRÜNLER!A:C,3,FALSE),VLOOKUP(A482,ÜRÜNLER!A:B,2,FALSE)),"")</f>
        <v>Siemens Ev Tipi Klima İç Ünite, 18.000BTU, Siyah</v>
      </c>
      <c r="C482" s="5">
        <v>1</v>
      </c>
      <c r="D482" s="5"/>
      <c r="E482" s="6"/>
      <c r="F482" s="6"/>
      <c r="G482" s="6"/>
      <c r="H482" s="6"/>
      <c r="I482" s="7"/>
      <c r="J482" s="7"/>
      <c r="K482" s="6"/>
      <c r="L482" s="6"/>
      <c r="M482" s="7"/>
      <c r="N482" s="59">
        <f t="shared" si="18"/>
        <v>1</v>
      </c>
      <c r="O482" s="60"/>
      <c r="P482" s="49" t="s">
        <v>1544</v>
      </c>
      <c r="Q482" s="175">
        <v>27721.370472790273</v>
      </c>
      <c r="R482" s="174">
        <v>30000</v>
      </c>
      <c r="S482" s="177">
        <v>31050</v>
      </c>
      <c r="T482" s="141">
        <v>32400</v>
      </c>
      <c r="U482" s="142"/>
      <c r="V482" s="140"/>
      <c r="W482" s="146">
        <v>250</v>
      </c>
    </row>
    <row r="483" spans="1:24">
      <c r="A483" s="131" t="s">
        <v>454</v>
      </c>
      <c r="B483" s="56" t="str">
        <f>IFERROR(HYPERLINK(VLOOKUP(A483,ÜRÜNLER!A:C,3,FALSE),VLOOKUP(A483,ÜRÜNLER!A:B,2,FALSE)),"")</f>
        <v>Siemens Ev Tipi Klima Dış Ünite, 18.000BTU, Beyaz</v>
      </c>
      <c r="C483" s="5">
        <v>1</v>
      </c>
      <c r="D483" s="5"/>
      <c r="E483" s="6"/>
      <c r="F483" s="6"/>
      <c r="G483" s="6"/>
      <c r="H483" s="6"/>
      <c r="I483" s="7"/>
      <c r="J483" s="7"/>
      <c r="K483" s="6"/>
      <c r="L483" s="6"/>
      <c r="M483" s="7"/>
      <c r="N483" s="59">
        <f t="shared" si="18"/>
        <v>1</v>
      </c>
      <c r="O483" s="60"/>
      <c r="P483" s="49" t="s">
        <v>1544</v>
      </c>
      <c r="Q483" s="175">
        <v>41582.055709185406</v>
      </c>
      <c r="R483" s="174">
        <v>44000</v>
      </c>
      <c r="S483" s="177">
        <v>45540</v>
      </c>
      <c r="T483" s="141">
        <v>47520</v>
      </c>
      <c r="U483" s="142"/>
      <c r="V483" s="140"/>
      <c r="W483" s="146"/>
    </row>
    <row r="484" spans="1:24" s="8" customFormat="1">
      <c r="A484" s="87" t="s">
        <v>455</v>
      </c>
      <c r="B484" s="56" t="str">
        <f>IFERROR(HYPERLINK(VLOOKUP(A484,ÜRÜNLER!A:C,3,FALSE),VLOOKUP(A484,ÜRÜNLER!A:B,2,FALSE)),"")</f>
        <v>Siemens Ev Tipi Klima İç Ünite, 24.000BTU, Beyaz</v>
      </c>
      <c r="C484" s="5"/>
      <c r="D484" s="5"/>
      <c r="E484" s="6"/>
      <c r="F484" s="6"/>
      <c r="G484" s="6"/>
      <c r="H484" s="6"/>
      <c r="I484" s="7"/>
      <c r="J484" s="7"/>
      <c r="K484" s="6"/>
      <c r="L484" s="6">
        <v>1</v>
      </c>
      <c r="M484" s="7"/>
      <c r="N484" s="59">
        <f t="shared" si="18"/>
        <v>1</v>
      </c>
      <c r="O484" s="60"/>
      <c r="P484" s="48"/>
      <c r="Q484" s="145"/>
      <c r="R484" s="140">
        <v>25000</v>
      </c>
      <c r="S484" s="141">
        <v>25875</v>
      </c>
      <c r="T484" s="141">
        <v>27000</v>
      </c>
      <c r="U484" s="142"/>
      <c r="V484" s="140"/>
      <c r="W484" s="146">
        <v>250</v>
      </c>
      <c r="X484" s="144"/>
    </row>
    <row r="485" spans="1:24" s="8" customFormat="1">
      <c r="A485" s="87" t="s">
        <v>456</v>
      </c>
      <c r="B485" s="56" t="str">
        <f>IFERROR(HYPERLINK(VLOOKUP(A485,ÜRÜNLER!A:C,3,FALSE),VLOOKUP(A485,ÜRÜNLER!A:B,2,FALSE)),"")</f>
        <v>Siemens Ev Tipi Klima Dış Ünite, 24.000BTU, Beyaz</v>
      </c>
      <c r="C485" s="5"/>
      <c r="D485" s="5"/>
      <c r="E485" s="6"/>
      <c r="F485" s="6"/>
      <c r="G485" s="6"/>
      <c r="H485" s="6"/>
      <c r="I485" s="7"/>
      <c r="J485" s="7"/>
      <c r="K485" s="6"/>
      <c r="L485" s="6">
        <v>1</v>
      </c>
      <c r="M485" s="7"/>
      <c r="N485" s="59">
        <f t="shared" si="18"/>
        <v>1</v>
      </c>
      <c r="O485" s="60"/>
      <c r="P485" s="48"/>
      <c r="Q485" s="145"/>
      <c r="R485" s="140">
        <v>36000</v>
      </c>
      <c r="S485" s="141">
        <v>37260</v>
      </c>
      <c r="T485" s="141">
        <v>38880</v>
      </c>
      <c r="U485" s="142"/>
      <c r="V485" s="140"/>
      <c r="W485" s="146"/>
      <c r="X485" s="144"/>
    </row>
    <row r="486" spans="1:24" s="8" customFormat="1">
      <c r="A486" s="132" t="s">
        <v>1476</v>
      </c>
      <c r="B486" s="56" t="str">
        <f>IFERROR(HYPERLINK(VLOOKUP(A486,ÜRÜNLER!A:C,3,FALSE),VLOOKUP(A486,ÜRÜNLER!A:B,2,FALSE)),"")</f>
        <v>Siemens Ev Tipi Klima İç Ünite, 24.000BTU, Beyaz</v>
      </c>
      <c r="C486" s="5">
        <v>3</v>
      </c>
      <c r="D486" s="5"/>
      <c r="E486" s="6"/>
      <c r="F486" s="6"/>
      <c r="G486" s="6"/>
      <c r="H486" s="6"/>
      <c r="I486" s="7"/>
      <c r="J486" s="7"/>
      <c r="K486" s="6"/>
      <c r="L486" s="6"/>
      <c r="M486" s="7"/>
      <c r="N486" s="59">
        <f t="shared" si="18"/>
        <v>3</v>
      </c>
      <c r="O486" s="72"/>
      <c r="P486" s="49"/>
      <c r="Q486" s="175">
        <v>30075.909952049711</v>
      </c>
      <c r="R486" s="174">
        <v>35000</v>
      </c>
      <c r="S486" s="177">
        <v>36225</v>
      </c>
      <c r="T486" s="141">
        <v>37800</v>
      </c>
      <c r="U486" s="142"/>
      <c r="V486" s="140"/>
      <c r="W486" s="146">
        <v>250</v>
      </c>
      <c r="X486" s="144"/>
    </row>
    <row r="487" spans="1:24" s="8" customFormat="1">
      <c r="A487" s="132" t="s">
        <v>1477</v>
      </c>
      <c r="B487" s="56" t="str">
        <f>IFERROR(HYPERLINK(VLOOKUP(A487,ÜRÜNLER!A:C,3,FALSE),VLOOKUP(A487,ÜRÜNLER!A:B,2,FALSE)),"")</f>
        <v>Siemens Ev Tipi Klima Dış Ünite, 24.000BTU, Beyaz</v>
      </c>
      <c r="C487" s="5">
        <v>3</v>
      </c>
      <c r="D487" s="5"/>
      <c r="E487" s="6"/>
      <c r="F487" s="6"/>
      <c r="G487" s="6"/>
      <c r="H487" s="6"/>
      <c r="I487" s="7"/>
      <c r="J487" s="7"/>
      <c r="K487" s="6"/>
      <c r="L487" s="6"/>
      <c r="M487" s="7"/>
      <c r="N487" s="59">
        <f t="shared" si="18"/>
        <v>3</v>
      </c>
      <c r="O487" s="72"/>
      <c r="P487" s="49"/>
      <c r="Q487" s="175">
        <v>45113.864928074559</v>
      </c>
      <c r="R487" s="174">
        <v>50000</v>
      </c>
      <c r="S487" s="177">
        <v>51750</v>
      </c>
      <c r="T487" s="141">
        <v>54000</v>
      </c>
      <c r="U487" s="142"/>
      <c r="V487" s="140"/>
      <c r="W487" s="146"/>
      <c r="X487" s="144"/>
    </row>
    <row r="488" spans="1:24">
      <c r="A488" s="87" t="s">
        <v>1313</v>
      </c>
      <c r="B488" s="56" t="str">
        <f>IFERROR(HYPERLINK(VLOOKUP(A488,ÜRÜNLER!A:C,3,FALSE),VLOOKUP(A488,ÜRÜNLER!A:B,2,FALSE)),"")</f>
        <v>SHAZA Akım Korumalı Akıllı Priz (Beyaz)</v>
      </c>
      <c r="C488" s="5"/>
      <c r="D488" s="5"/>
      <c r="E488" s="6"/>
      <c r="F488" s="6"/>
      <c r="G488" s="6"/>
      <c r="H488" s="6"/>
      <c r="I488" s="7">
        <v>2</v>
      </c>
      <c r="J488" s="7">
        <v>3</v>
      </c>
      <c r="K488" s="6"/>
      <c r="L488" s="6"/>
      <c r="M488" s="7"/>
      <c r="N488" s="59">
        <f t="shared" si="18"/>
        <v>5</v>
      </c>
      <c r="O488" s="60"/>
      <c r="P488" s="49" t="s">
        <v>1544</v>
      </c>
      <c r="Q488" s="145">
        <v>520</v>
      </c>
      <c r="R488" s="149">
        <v>850</v>
      </c>
      <c r="S488" s="16">
        <v>879.75</v>
      </c>
      <c r="T488" s="141">
        <v>918</v>
      </c>
      <c r="U488" s="142"/>
      <c r="V488" s="140"/>
      <c r="W488" s="178">
        <v>100</v>
      </c>
    </row>
    <row r="489" spans="1:24">
      <c r="A489" s="87" t="s">
        <v>1314</v>
      </c>
      <c r="B489" s="56" t="str">
        <f>IFERROR(HYPERLINK(VLOOKUP(A489,ÜRÜNLER!A:C,3,FALSE),VLOOKUP(A489,ÜRÜNLER!A:B,2,FALSE)),"")</f>
        <v>SHAZA Akım Korumalı Üçlü Priz (Beyaz)</v>
      </c>
      <c r="C489" s="5"/>
      <c r="D489" s="5"/>
      <c r="E489" s="6"/>
      <c r="F489" s="6"/>
      <c r="G489" s="6"/>
      <c r="H489" s="6"/>
      <c r="I489" s="7">
        <v>8</v>
      </c>
      <c r="J489" s="7">
        <v>14</v>
      </c>
      <c r="K489" s="6">
        <v>3</v>
      </c>
      <c r="L489" s="6"/>
      <c r="M489" s="7">
        <v>19</v>
      </c>
      <c r="N489" s="59">
        <f t="shared" si="18"/>
        <v>44</v>
      </c>
      <c r="O489" s="60"/>
      <c r="P489" s="49" t="s">
        <v>1544</v>
      </c>
      <c r="Q489" s="145">
        <v>520</v>
      </c>
      <c r="R489" s="179">
        <v>850</v>
      </c>
      <c r="S489" s="16">
        <v>879.75</v>
      </c>
      <c r="T489" s="141">
        <v>918</v>
      </c>
      <c r="U489" s="142"/>
      <c r="V489" s="140"/>
      <c r="W489" s="178">
        <v>100</v>
      </c>
    </row>
  </sheetData>
  <conditionalFormatting sqref="A1:A1048576">
    <cfRule type="duplicateValues" dxfId="15" priority="2"/>
  </conditionalFormatting>
  <conditionalFormatting sqref="B1">
    <cfRule type="duplicateValues" dxfId="14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271C-5F6A-45DF-B4D5-5AC177D8F479}">
  <sheetPr codeName="Sayfa2"/>
  <dimension ref="A1:L21"/>
  <sheetViews>
    <sheetView workbookViewId="0">
      <selection activeCell="L1" sqref="L1"/>
    </sheetView>
  </sheetViews>
  <sheetFormatPr defaultColWidth="9.140625" defaultRowHeight="15"/>
  <cols>
    <col min="1" max="1" width="13.7109375" customWidth="1"/>
    <col min="2" max="2" width="40.7109375" customWidth="1"/>
    <col min="3" max="3" width="7.28515625" bestFit="1" customWidth="1"/>
    <col min="4" max="8" width="10.7109375" style="30" customWidth="1"/>
    <col min="9" max="9" width="15.42578125" style="30" customWidth="1"/>
    <col min="10" max="10" width="10.7109375" style="30" customWidth="1"/>
    <col min="11" max="11" width="52.42578125" bestFit="1" customWidth="1"/>
  </cols>
  <sheetData>
    <row r="1" spans="1:12" s="4" customFormat="1" ht="78.75">
      <c r="A1" s="1" t="s">
        <v>0</v>
      </c>
      <c r="B1" s="1" t="s">
        <v>1</v>
      </c>
      <c r="C1" s="21" t="s">
        <v>1841</v>
      </c>
      <c r="D1" s="22" t="s">
        <v>7</v>
      </c>
      <c r="E1" s="23" t="s">
        <v>1661</v>
      </c>
      <c r="F1" s="24" t="s">
        <v>1829</v>
      </c>
      <c r="G1" s="41" t="s">
        <v>1844</v>
      </c>
      <c r="H1" s="42" t="s">
        <v>464</v>
      </c>
      <c r="I1" s="26" t="s">
        <v>461</v>
      </c>
      <c r="J1" s="25">
        <v>0</v>
      </c>
      <c r="K1" s="27" t="s">
        <v>1781</v>
      </c>
      <c r="L1" s="34" t="s">
        <v>1556</v>
      </c>
    </row>
    <row r="2" spans="1:12">
      <c r="A2" s="17" t="s">
        <v>175</v>
      </c>
      <c r="B2" s="28" t="s">
        <v>598</v>
      </c>
      <c r="C2" s="29">
        <v>0</v>
      </c>
      <c r="D2" s="30" t="s">
        <v>1782</v>
      </c>
      <c r="E2" s="30">
        <v>18607</v>
      </c>
      <c r="F2" s="30">
        <v>19351.28</v>
      </c>
      <c r="G2" s="30">
        <v>20095.560000000001</v>
      </c>
      <c r="H2" s="30">
        <v>0</v>
      </c>
      <c r="I2" s="183"/>
      <c r="J2" s="20">
        <v>500</v>
      </c>
      <c r="K2" s="20">
        <v>1606.5839999999998</v>
      </c>
      <c r="L2" s="20">
        <v>0</v>
      </c>
    </row>
    <row r="3" spans="1:12">
      <c r="A3" s="17"/>
      <c r="B3" s="28" t="s">
        <v>1849</v>
      </c>
      <c r="C3" s="29" t="s">
        <v>1849</v>
      </c>
      <c r="D3" s="30" t="s">
        <v>1849</v>
      </c>
      <c r="E3" s="30" t="s">
        <v>1849</v>
      </c>
      <c r="F3" s="30" t="s">
        <v>1849</v>
      </c>
      <c r="G3" s="30" t="s">
        <v>1849</v>
      </c>
      <c r="H3" s="30" t="s">
        <v>1849</v>
      </c>
      <c r="I3" s="183"/>
      <c r="J3" s="20" t="s">
        <v>1849</v>
      </c>
      <c r="K3" s="20" t="s">
        <v>1849</v>
      </c>
      <c r="L3" s="20" t="s">
        <v>1849</v>
      </c>
    </row>
    <row r="4" spans="1:12">
      <c r="A4" s="17"/>
      <c r="B4" s="28" t="s">
        <v>1849</v>
      </c>
      <c r="C4" s="29" t="s">
        <v>1849</v>
      </c>
      <c r="D4" s="30" t="s">
        <v>1849</v>
      </c>
      <c r="E4" s="30" t="s">
        <v>1849</v>
      </c>
      <c r="F4" s="30" t="s">
        <v>1849</v>
      </c>
      <c r="G4" s="30" t="s">
        <v>1849</v>
      </c>
      <c r="H4" s="30" t="s">
        <v>1849</v>
      </c>
      <c r="I4"/>
      <c r="J4" s="20" t="s">
        <v>1849</v>
      </c>
      <c r="K4" s="20" t="s">
        <v>1849</v>
      </c>
      <c r="L4" s="20" t="s">
        <v>1849</v>
      </c>
    </row>
    <row r="5" spans="1:12">
      <c r="A5" s="17"/>
      <c r="B5" s="28" t="s">
        <v>1849</v>
      </c>
      <c r="C5" s="29" t="s">
        <v>1849</v>
      </c>
      <c r="D5" s="30" t="s">
        <v>1849</v>
      </c>
      <c r="E5" s="30" t="s">
        <v>1849</v>
      </c>
      <c r="F5" s="30" t="s">
        <v>1849</v>
      </c>
      <c r="G5" s="30" t="s">
        <v>1849</v>
      </c>
      <c r="H5" s="30" t="s">
        <v>1849</v>
      </c>
      <c r="I5"/>
      <c r="J5" s="20" t="s">
        <v>1849</v>
      </c>
      <c r="K5" s="20" t="s">
        <v>1849</v>
      </c>
      <c r="L5" s="20" t="s">
        <v>1849</v>
      </c>
    </row>
    <row r="6" spans="1:12">
      <c r="A6" s="17"/>
      <c r="B6" s="28" t="s">
        <v>1849</v>
      </c>
      <c r="C6" s="29" t="s">
        <v>1849</v>
      </c>
      <c r="D6" s="30" t="s">
        <v>1849</v>
      </c>
      <c r="E6" s="30" t="s">
        <v>1849</v>
      </c>
      <c r="F6" s="30" t="s">
        <v>1849</v>
      </c>
      <c r="G6" s="30" t="s">
        <v>1849</v>
      </c>
      <c r="H6" s="30" t="s">
        <v>1849</v>
      </c>
      <c r="I6"/>
      <c r="J6" s="20" t="s">
        <v>1849</v>
      </c>
      <c r="K6" s="20" t="s">
        <v>1849</v>
      </c>
      <c r="L6" s="20" t="s">
        <v>1849</v>
      </c>
    </row>
    <row r="7" spans="1:12">
      <c r="A7" s="17"/>
      <c r="B7" s="28" t="s">
        <v>1849</v>
      </c>
      <c r="C7" s="29" t="s">
        <v>1849</v>
      </c>
      <c r="D7" s="30" t="s">
        <v>1849</v>
      </c>
      <c r="E7" s="30" t="s">
        <v>1849</v>
      </c>
      <c r="F7" s="30" t="s">
        <v>1849</v>
      </c>
      <c r="G7" s="30" t="s">
        <v>1849</v>
      </c>
      <c r="H7" s="30" t="s">
        <v>1849</v>
      </c>
      <c r="I7"/>
      <c r="J7" s="20" t="s">
        <v>1849</v>
      </c>
      <c r="K7" s="20" t="s">
        <v>1849</v>
      </c>
      <c r="L7" s="20" t="s">
        <v>1849</v>
      </c>
    </row>
    <row r="8" spans="1:12">
      <c r="A8" s="17"/>
      <c r="B8" s="28" t="s">
        <v>1849</v>
      </c>
      <c r="C8" s="29" t="s">
        <v>1849</v>
      </c>
      <c r="D8" s="30" t="s">
        <v>1849</v>
      </c>
      <c r="E8" s="30" t="s">
        <v>1849</v>
      </c>
      <c r="F8" s="30" t="s">
        <v>1849</v>
      </c>
      <c r="G8" s="30" t="s">
        <v>1849</v>
      </c>
      <c r="H8" s="30" t="s">
        <v>1849</v>
      </c>
      <c r="I8"/>
      <c r="J8" s="20" t="s">
        <v>1849</v>
      </c>
      <c r="K8" s="20" t="s">
        <v>1849</v>
      </c>
      <c r="L8" s="20" t="s">
        <v>1849</v>
      </c>
    </row>
    <row r="9" spans="1:12">
      <c r="A9" s="17"/>
      <c r="B9" s="28" t="s">
        <v>1849</v>
      </c>
      <c r="C9" s="29" t="s">
        <v>1849</v>
      </c>
      <c r="D9" s="30" t="s">
        <v>1849</v>
      </c>
      <c r="E9" s="30" t="s">
        <v>1849</v>
      </c>
      <c r="F9" s="30" t="s">
        <v>1849</v>
      </c>
      <c r="G9" s="30" t="s">
        <v>1849</v>
      </c>
      <c r="H9" s="30" t="s">
        <v>1849</v>
      </c>
      <c r="I9"/>
      <c r="J9" s="20" t="s">
        <v>1849</v>
      </c>
      <c r="K9" s="20" t="s">
        <v>1849</v>
      </c>
      <c r="L9" s="20" t="s">
        <v>1849</v>
      </c>
    </row>
    <row r="10" spans="1:12">
      <c r="A10" s="17"/>
      <c r="B10" s="28" t="s">
        <v>1849</v>
      </c>
      <c r="C10" s="29" t="s">
        <v>1849</v>
      </c>
      <c r="D10" s="30" t="s">
        <v>1849</v>
      </c>
      <c r="E10" s="30" t="s">
        <v>1849</v>
      </c>
      <c r="F10" s="30" t="s">
        <v>1849</v>
      </c>
      <c r="G10" s="30" t="s">
        <v>1849</v>
      </c>
      <c r="H10" s="30" t="s">
        <v>1849</v>
      </c>
      <c r="I10"/>
      <c r="J10" s="20" t="s">
        <v>1849</v>
      </c>
      <c r="K10" s="20" t="s">
        <v>1849</v>
      </c>
      <c r="L10" s="20" t="s">
        <v>1849</v>
      </c>
    </row>
    <row r="11" spans="1:12">
      <c r="A11" s="17"/>
      <c r="B11" s="28" t="s">
        <v>1849</v>
      </c>
      <c r="C11" s="29" t="s">
        <v>1849</v>
      </c>
      <c r="D11" s="30" t="s">
        <v>1849</v>
      </c>
      <c r="E11" s="30" t="s">
        <v>1849</v>
      </c>
      <c r="F11" s="30" t="s">
        <v>1849</v>
      </c>
      <c r="G11" s="30" t="s">
        <v>1849</v>
      </c>
      <c r="H11" s="30" t="s">
        <v>1849</v>
      </c>
      <c r="I11"/>
      <c r="J11" s="20" t="s">
        <v>1849</v>
      </c>
      <c r="K11" s="20" t="s">
        <v>1849</v>
      </c>
      <c r="L11" s="20" t="s">
        <v>1849</v>
      </c>
    </row>
    <row r="12" spans="1:12">
      <c r="A12" s="184" t="s">
        <v>457</v>
      </c>
      <c r="B12" s="184"/>
      <c r="C12" s="184"/>
      <c r="D12" s="184"/>
      <c r="E12" s="31">
        <f>SUM(E2:E11)</f>
        <v>18607</v>
      </c>
      <c r="F12" s="31">
        <f>SUM(F2:F11)</f>
        <v>19351.28</v>
      </c>
      <c r="I12"/>
      <c r="J12"/>
      <c r="K12" s="20"/>
      <c r="L12" s="20"/>
    </row>
    <row r="13" spans="1:12">
      <c r="A13" s="184" t="s">
        <v>458</v>
      </c>
      <c r="B13" s="184"/>
      <c r="C13" s="184"/>
      <c r="D13" s="184"/>
      <c r="E13" s="31">
        <f>SUM(G:G)*-1</f>
        <v>-20095.560000000001</v>
      </c>
      <c r="F13" s="31">
        <f>SUM(G:G)*-1</f>
        <v>-20095.560000000001</v>
      </c>
      <c r="I13"/>
      <c r="J13"/>
      <c r="K13" s="20"/>
      <c r="L13" s="20"/>
    </row>
    <row r="14" spans="1:12">
      <c r="A14" s="184" t="s">
        <v>1306</v>
      </c>
      <c r="B14" s="184"/>
      <c r="C14" s="184"/>
      <c r="D14" s="184"/>
      <c r="E14" s="31">
        <f>SUM(H:H)*-1</f>
        <v>0</v>
      </c>
      <c r="F14" s="31">
        <f>SUM(H:H)*-1</f>
        <v>0</v>
      </c>
      <c r="I14"/>
      <c r="J14"/>
      <c r="K14" s="20"/>
      <c r="L14" s="20"/>
    </row>
    <row r="15" spans="1:12">
      <c r="A15" s="184" t="s">
        <v>460</v>
      </c>
      <c r="B15" s="184"/>
      <c r="C15" s="184"/>
      <c r="D15" s="184"/>
      <c r="E15" s="31">
        <f>I2*-1</f>
        <v>0</v>
      </c>
      <c r="F15" s="31">
        <f>I2*-1</f>
        <v>0</v>
      </c>
      <c r="I15"/>
      <c r="J15"/>
      <c r="K15" s="20"/>
      <c r="L15" s="20"/>
    </row>
    <row r="16" spans="1:12">
      <c r="A16" s="182" t="s">
        <v>459</v>
      </c>
      <c r="B16" s="182"/>
      <c r="C16" s="182"/>
      <c r="D16" s="182"/>
      <c r="E16" s="32">
        <f>SUM(E12:E15)</f>
        <v>-1488.5600000000013</v>
      </c>
      <c r="F16" s="32">
        <f>SUM(F12:F15)</f>
        <v>-744.28000000000247</v>
      </c>
      <c r="I16"/>
      <c r="J16"/>
    </row>
    <row r="17" spans="1:8">
      <c r="A17" s="180" t="s">
        <v>1337</v>
      </c>
      <c r="B17" s="180"/>
      <c r="C17" s="180"/>
      <c r="D17" s="180"/>
      <c r="E17" s="181">
        <f>E16*1.08</f>
        <v>-1607.6448000000016</v>
      </c>
      <c r="F17" s="181"/>
    </row>
    <row r="20" spans="1:8">
      <c r="F20" s="33"/>
    </row>
    <row r="21" spans="1:8">
      <c r="G21" s="19"/>
      <c r="H21" s="19"/>
    </row>
  </sheetData>
  <mergeCells count="8">
    <mergeCell ref="A17:D17"/>
    <mergeCell ref="E17:F17"/>
    <mergeCell ref="A16:D16"/>
    <mergeCell ref="I2:I3"/>
    <mergeCell ref="A12:D12"/>
    <mergeCell ref="A13:D13"/>
    <mergeCell ref="A14:D14"/>
    <mergeCell ref="A15:D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238E1-3356-4167-A89D-4BD9BF4B91AB}">
  <dimension ref="A2:AC32"/>
  <sheetViews>
    <sheetView showGridLines="0" topLeftCell="A3" zoomScale="70" zoomScaleNormal="70" workbookViewId="0">
      <selection activeCell="E13" sqref="E13"/>
    </sheetView>
  </sheetViews>
  <sheetFormatPr defaultColWidth="9.140625" defaultRowHeight="14.25"/>
  <cols>
    <col min="1" max="1" width="5.140625" style="82" customWidth="1"/>
    <col min="2" max="2" width="2.42578125" style="83" customWidth="1"/>
    <col min="3" max="3" width="20.5703125" style="83" customWidth="1"/>
    <col min="4" max="5" width="25.42578125" style="83" customWidth="1"/>
    <col min="6" max="6" width="6.5703125" style="83" customWidth="1"/>
    <col min="7" max="7" width="22.85546875" style="83" customWidth="1"/>
    <col min="8" max="9" width="45.42578125" style="83" customWidth="1"/>
    <col min="10" max="16384" width="9.140625" style="83"/>
  </cols>
  <sheetData>
    <row r="2" spans="3:9" ht="15" thickBot="1"/>
    <row r="3" spans="3:9" ht="35.25" customHeight="1">
      <c r="C3" s="84"/>
      <c r="D3" s="82"/>
      <c r="E3" s="82"/>
      <c r="G3" s="185" t="s">
        <v>1830</v>
      </c>
      <c r="H3" s="206" t="s">
        <v>466</v>
      </c>
      <c r="I3" s="207"/>
    </row>
    <row r="4" spans="3:9" ht="35.25" customHeight="1" thickBot="1">
      <c r="G4" s="186"/>
      <c r="H4" s="208"/>
      <c r="I4" s="209"/>
    </row>
    <row r="5" spans="3:9" ht="34.5" customHeight="1">
      <c r="C5" s="185" t="s">
        <v>1831</v>
      </c>
      <c r="D5" s="188" t="s">
        <v>1832</v>
      </c>
      <c r="E5" s="189"/>
      <c r="G5" s="186"/>
      <c r="H5" s="194" t="s">
        <v>1783</v>
      </c>
      <c r="I5" s="195"/>
    </row>
    <row r="6" spans="3:9" ht="34.5" customHeight="1">
      <c r="C6" s="186"/>
      <c r="D6" s="190"/>
      <c r="E6" s="191"/>
      <c r="G6" s="186"/>
      <c r="H6" s="196"/>
      <c r="I6" s="197"/>
    </row>
    <row r="7" spans="3:9" ht="34.5" customHeight="1">
      <c r="C7" s="186"/>
      <c r="D7" s="190"/>
      <c r="E7" s="191"/>
      <c r="G7" s="186"/>
      <c r="H7" s="196"/>
      <c r="I7" s="197"/>
    </row>
    <row r="8" spans="3:9" ht="35.25" customHeight="1" thickBot="1">
      <c r="C8" s="186"/>
      <c r="D8" s="190"/>
      <c r="E8" s="191"/>
      <c r="G8" s="186"/>
      <c r="H8" s="198"/>
      <c r="I8" s="199"/>
    </row>
    <row r="9" spans="3:9" ht="34.5" customHeight="1">
      <c r="C9" s="186"/>
      <c r="D9" s="190"/>
      <c r="E9" s="191"/>
      <c r="G9" s="186"/>
      <c r="H9" s="210" t="s">
        <v>1833</v>
      </c>
      <c r="I9" s="211"/>
    </row>
    <row r="10" spans="3:9" ht="34.5" customHeight="1">
      <c r="C10" s="186"/>
      <c r="D10" s="190"/>
      <c r="E10" s="191"/>
      <c r="G10" s="186"/>
      <c r="H10" s="212"/>
      <c r="I10" s="213"/>
    </row>
    <row r="11" spans="3:9" ht="34.5" customHeight="1">
      <c r="C11" s="186"/>
      <c r="D11" s="190"/>
      <c r="E11" s="191"/>
      <c r="G11" s="186"/>
      <c r="H11" s="212"/>
      <c r="I11" s="213"/>
    </row>
    <row r="12" spans="3:9" ht="35.25" customHeight="1" thickBot="1">
      <c r="C12" s="187"/>
      <c r="D12" s="192"/>
      <c r="E12" s="193"/>
      <c r="G12" s="186"/>
      <c r="H12" s="212"/>
      <c r="I12" s="213"/>
    </row>
    <row r="13" spans="3:9" ht="15">
      <c r="C13" s="85"/>
      <c r="D13" s="82"/>
      <c r="E13" s="82"/>
      <c r="G13" s="186"/>
      <c r="H13" s="212"/>
      <c r="I13" s="213"/>
    </row>
    <row r="14" spans="3:9" ht="35.25" customHeight="1" thickBot="1">
      <c r="G14" s="187"/>
      <c r="H14" s="214"/>
      <c r="I14" s="215"/>
    </row>
    <row r="16" spans="3:9" ht="15" thickBot="1"/>
    <row r="17" spans="3:29" ht="34.5" customHeight="1">
      <c r="G17" s="185" t="s">
        <v>1834</v>
      </c>
      <c r="H17" s="206" t="s">
        <v>467</v>
      </c>
      <c r="I17" s="207"/>
    </row>
    <row r="18" spans="3:29" ht="35.25" customHeight="1" thickBot="1">
      <c r="G18" s="186"/>
      <c r="H18" s="208"/>
      <c r="I18" s="209"/>
    </row>
    <row r="19" spans="3:29" ht="34.5" customHeight="1">
      <c r="C19" s="185" t="s">
        <v>1835</v>
      </c>
      <c r="D19" s="188" t="s">
        <v>1836</v>
      </c>
      <c r="E19" s="189"/>
      <c r="G19" s="186"/>
      <c r="H19" s="194" t="s">
        <v>1784</v>
      </c>
      <c r="I19" s="195"/>
    </row>
    <row r="20" spans="3:29" ht="34.5" customHeight="1">
      <c r="C20" s="186"/>
      <c r="D20" s="190"/>
      <c r="E20" s="191"/>
      <c r="G20" s="186"/>
      <c r="H20" s="196"/>
      <c r="I20" s="197"/>
    </row>
    <row r="21" spans="3:29" ht="34.5" customHeight="1">
      <c r="C21" s="186"/>
      <c r="D21" s="190"/>
      <c r="E21" s="191"/>
      <c r="G21" s="186"/>
      <c r="H21" s="196"/>
      <c r="I21" s="197"/>
    </row>
    <row r="22" spans="3:29" ht="35.25" customHeight="1" thickBot="1">
      <c r="C22" s="186"/>
      <c r="D22" s="190"/>
      <c r="E22" s="191"/>
      <c r="G22" s="186"/>
      <c r="H22" s="198"/>
      <c r="I22" s="199"/>
    </row>
    <row r="23" spans="3:29" ht="34.5" customHeight="1">
      <c r="C23" s="186"/>
      <c r="D23" s="190"/>
      <c r="E23" s="191"/>
      <c r="G23" s="186"/>
      <c r="H23" s="200" t="s">
        <v>1837</v>
      </c>
      <c r="I23" s="201"/>
    </row>
    <row r="24" spans="3:29" ht="34.5" customHeight="1">
      <c r="C24" s="186"/>
      <c r="D24" s="190"/>
      <c r="E24" s="191"/>
      <c r="G24" s="186"/>
      <c r="H24" s="202"/>
      <c r="I24" s="203"/>
    </row>
    <row r="25" spans="3:29" ht="34.5" customHeight="1">
      <c r="C25" s="186"/>
      <c r="D25" s="190"/>
      <c r="E25" s="191"/>
      <c r="G25" s="186"/>
      <c r="H25" s="202"/>
      <c r="I25" s="203"/>
      <c r="AC25" s="50"/>
    </row>
    <row r="26" spans="3:29" ht="34.5" customHeight="1" thickBot="1">
      <c r="C26" s="187"/>
      <c r="D26" s="192"/>
      <c r="E26" s="193"/>
      <c r="G26" s="186"/>
      <c r="H26" s="202"/>
      <c r="I26" s="203"/>
      <c r="AC26" s="50"/>
    </row>
    <row r="27" spans="3:29" ht="34.5" customHeight="1">
      <c r="G27" s="186"/>
      <c r="H27" s="202"/>
      <c r="I27" s="203"/>
      <c r="AC27" s="50"/>
    </row>
    <row r="28" spans="3:29" ht="35.25" customHeight="1" thickBot="1">
      <c r="G28" s="187"/>
      <c r="H28" s="204"/>
      <c r="I28" s="205"/>
      <c r="AC28" s="50"/>
    </row>
    <row r="29" spans="3:29" ht="15">
      <c r="AC29" s="50"/>
    </row>
    <row r="30" spans="3:29" ht="15">
      <c r="AC30" s="50"/>
    </row>
    <row r="31" spans="3:29" ht="15">
      <c r="Z31" s="50"/>
    </row>
    <row r="32" spans="3:29" ht="15">
      <c r="Z32" s="50"/>
    </row>
  </sheetData>
  <mergeCells count="12">
    <mergeCell ref="C19:C26"/>
    <mergeCell ref="D19:E26"/>
    <mergeCell ref="H19:I22"/>
    <mergeCell ref="H23:I28"/>
    <mergeCell ref="C5:C12"/>
    <mergeCell ref="D5:E12"/>
    <mergeCell ref="G3:G14"/>
    <mergeCell ref="H3:I4"/>
    <mergeCell ref="H5:I8"/>
    <mergeCell ref="H9:I14"/>
    <mergeCell ref="G17:G28"/>
    <mergeCell ref="H17:I1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C9C7-1B3C-4111-A11D-2CC4ECC37A86}">
  <sheetPr codeName="Sayfa4"/>
  <dimension ref="A1:E638"/>
  <sheetViews>
    <sheetView topLeftCell="A605" workbookViewId="0">
      <selection activeCell="A639" sqref="A639"/>
    </sheetView>
  </sheetViews>
  <sheetFormatPr defaultColWidth="9.140625" defaultRowHeight="15"/>
  <cols>
    <col min="1" max="1" width="13.7109375" style="44" customWidth="1"/>
    <col min="2" max="2" width="72.5703125" style="44" customWidth="1"/>
    <col min="3" max="3" width="139.7109375" style="45" customWidth="1"/>
    <col min="4" max="4" width="24.7109375" style="44" customWidth="1"/>
    <col min="5" max="16384" width="9.140625" style="44"/>
  </cols>
  <sheetData>
    <row r="1" spans="1:5">
      <c r="A1" s="51" t="s">
        <v>844</v>
      </c>
      <c r="B1" s="51" t="s">
        <v>845</v>
      </c>
      <c r="C1" s="52" t="s">
        <v>846</v>
      </c>
      <c r="D1" s="52" t="s">
        <v>1571</v>
      </c>
      <c r="E1" s="52" t="s">
        <v>1752</v>
      </c>
    </row>
    <row r="2" spans="1:5">
      <c r="A2" s="44" t="s">
        <v>1484</v>
      </c>
      <c r="B2" s="36" t="s">
        <v>1558</v>
      </c>
      <c r="C2" s="39" t="s">
        <v>1505</v>
      </c>
      <c r="D2" s="44" t="s">
        <v>1572</v>
      </c>
      <c r="E2" s="44" t="s">
        <v>1753</v>
      </c>
    </row>
    <row r="3" spans="1:5">
      <c r="A3" s="45" t="s">
        <v>1662</v>
      </c>
      <c r="B3" s="36" t="s">
        <v>1663</v>
      </c>
      <c r="C3" s="39" t="s">
        <v>1664</v>
      </c>
      <c r="D3" s="44" t="s">
        <v>1572</v>
      </c>
      <c r="E3" s="44" t="s">
        <v>1753</v>
      </c>
    </row>
    <row r="4" spans="1:5">
      <c r="A4" s="35" t="s">
        <v>443</v>
      </c>
      <c r="B4" s="36" t="s">
        <v>834</v>
      </c>
      <c r="C4" s="37" t="s">
        <v>1298</v>
      </c>
      <c r="D4" s="44" t="s">
        <v>1573</v>
      </c>
      <c r="E4" s="44" t="s">
        <v>1754</v>
      </c>
    </row>
    <row r="5" spans="1:5">
      <c r="A5" s="35" t="s">
        <v>444</v>
      </c>
      <c r="B5" s="36" t="s">
        <v>835</v>
      </c>
      <c r="C5" s="37" t="s">
        <v>1298</v>
      </c>
      <c r="D5" s="44" t="s">
        <v>1573</v>
      </c>
      <c r="E5" s="44" t="s">
        <v>1754</v>
      </c>
    </row>
    <row r="6" spans="1:5">
      <c r="A6" s="35" t="s">
        <v>445</v>
      </c>
      <c r="B6" s="36" t="s">
        <v>836</v>
      </c>
      <c r="C6" s="37" t="s">
        <v>1299</v>
      </c>
      <c r="D6" s="44" t="s">
        <v>1573</v>
      </c>
      <c r="E6" s="44" t="s">
        <v>1754</v>
      </c>
    </row>
    <row r="7" spans="1:5">
      <c r="A7" s="35" t="s">
        <v>447</v>
      </c>
      <c r="B7" s="36" t="s">
        <v>836</v>
      </c>
      <c r="C7" s="37" t="s">
        <v>1299</v>
      </c>
      <c r="D7" s="44" t="s">
        <v>1573</v>
      </c>
      <c r="E7" s="44" t="s">
        <v>1754</v>
      </c>
    </row>
    <row r="8" spans="1:5">
      <c r="A8" s="35" t="s">
        <v>449</v>
      </c>
      <c r="B8" s="36" t="s">
        <v>838</v>
      </c>
      <c r="C8" s="37" t="s">
        <v>1300</v>
      </c>
      <c r="D8" s="44" t="s">
        <v>1573</v>
      </c>
      <c r="E8" s="44" t="s">
        <v>1754</v>
      </c>
    </row>
    <row r="9" spans="1:5">
      <c r="A9" s="35" t="s">
        <v>446</v>
      </c>
      <c r="B9" s="36" t="s">
        <v>837</v>
      </c>
      <c r="C9" s="37" t="s">
        <v>1299</v>
      </c>
      <c r="D9" s="44" t="s">
        <v>1573</v>
      </c>
      <c r="E9" s="44" t="s">
        <v>1754</v>
      </c>
    </row>
    <row r="10" spans="1:5">
      <c r="A10" s="35" t="s">
        <v>448</v>
      </c>
      <c r="B10" s="36" t="s">
        <v>837</v>
      </c>
      <c r="C10" s="37" t="s">
        <v>1299</v>
      </c>
      <c r="D10" s="44" t="s">
        <v>1573</v>
      </c>
      <c r="E10" s="44" t="s">
        <v>1754</v>
      </c>
    </row>
    <row r="11" spans="1:5">
      <c r="A11" s="35" t="s">
        <v>450</v>
      </c>
      <c r="B11" s="36" t="s">
        <v>837</v>
      </c>
      <c r="C11" s="37" t="s">
        <v>1300</v>
      </c>
      <c r="D11" s="44" t="s">
        <v>1573</v>
      </c>
      <c r="E11" s="44" t="s">
        <v>1754</v>
      </c>
    </row>
    <row r="12" spans="1:5">
      <c r="A12" s="35" t="s">
        <v>451</v>
      </c>
      <c r="B12" s="36" t="s">
        <v>839</v>
      </c>
      <c r="C12" s="37" t="s">
        <v>1301</v>
      </c>
      <c r="D12" s="44" t="s">
        <v>1573</v>
      </c>
      <c r="E12" s="44" t="s">
        <v>1754</v>
      </c>
    </row>
    <row r="13" spans="1:5">
      <c r="A13" s="17" t="s">
        <v>1755</v>
      </c>
      <c r="B13" s="36" t="s">
        <v>839</v>
      </c>
      <c r="C13" s="45" t="s">
        <v>1756</v>
      </c>
      <c r="D13" s="44" t="s">
        <v>1573</v>
      </c>
      <c r="E13" s="44" t="s">
        <v>1754</v>
      </c>
    </row>
    <row r="14" spans="1:5">
      <c r="A14" s="35" t="s">
        <v>453</v>
      </c>
      <c r="B14" s="36" t="s">
        <v>841</v>
      </c>
      <c r="C14" s="37" t="s">
        <v>1302</v>
      </c>
      <c r="D14" s="44" t="s">
        <v>1573</v>
      </c>
      <c r="E14" s="44" t="s">
        <v>1754</v>
      </c>
    </row>
    <row r="15" spans="1:5">
      <c r="A15" s="35" t="s">
        <v>452</v>
      </c>
      <c r="B15" s="36" t="s">
        <v>840</v>
      </c>
      <c r="C15" s="37" t="s">
        <v>1301</v>
      </c>
      <c r="D15" s="44" t="s">
        <v>1573</v>
      </c>
      <c r="E15" s="44" t="s">
        <v>1754</v>
      </c>
    </row>
    <row r="16" spans="1:5">
      <c r="A16" s="17" t="s">
        <v>1757</v>
      </c>
      <c r="B16" s="36" t="s">
        <v>840</v>
      </c>
      <c r="C16" s="45" t="s">
        <v>1758</v>
      </c>
      <c r="D16" s="44" t="s">
        <v>1573</v>
      </c>
      <c r="E16" s="44" t="s">
        <v>1754</v>
      </c>
    </row>
    <row r="17" spans="1:5">
      <c r="A17" s="35" t="s">
        <v>454</v>
      </c>
      <c r="B17" s="36" t="s">
        <v>840</v>
      </c>
      <c r="C17" s="37" t="s">
        <v>1302</v>
      </c>
      <c r="D17" s="44" t="s">
        <v>1573</v>
      </c>
      <c r="E17" s="44" t="s">
        <v>1754</v>
      </c>
    </row>
    <row r="18" spans="1:5">
      <c r="A18" s="35" t="s">
        <v>455</v>
      </c>
      <c r="B18" s="36" t="s">
        <v>842</v>
      </c>
      <c r="C18" s="37" t="s">
        <v>1303</v>
      </c>
      <c r="D18" s="44" t="s">
        <v>1573</v>
      </c>
      <c r="E18" s="44" t="s">
        <v>1754</v>
      </c>
    </row>
    <row r="19" spans="1:5">
      <c r="A19" s="35" t="s">
        <v>1476</v>
      </c>
      <c r="B19" s="36" t="s">
        <v>842</v>
      </c>
      <c r="C19" s="37" t="s">
        <v>1493</v>
      </c>
      <c r="D19" s="44" t="s">
        <v>1573</v>
      </c>
      <c r="E19" s="44" t="s">
        <v>1754</v>
      </c>
    </row>
    <row r="20" spans="1:5">
      <c r="A20" s="35" t="s">
        <v>456</v>
      </c>
      <c r="B20" s="36" t="s">
        <v>843</v>
      </c>
      <c r="C20" s="37" t="s">
        <v>1303</v>
      </c>
      <c r="D20" s="44" t="s">
        <v>1573</v>
      </c>
      <c r="E20" s="44" t="s">
        <v>1754</v>
      </c>
    </row>
    <row r="21" spans="1:5">
      <c r="A21" s="35" t="s">
        <v>1477</v>
      </c>
      <c r="B21" s="36" t="s">
        <v>843</v>
      </c>
      <c r="C21" s="37" t="s">
        <v>1494</v>
      </c>
      <c r="D21" s="44" t="s">
        <v>1573</v>
      </c>
      <c r="E21" s="44" t="s">
        <v>1754</v>
      </c>
    </row>
    <row r="22" spans="1:5">
      <c r="A22" s="38" t="s">
        <v>203</v>
      </c>
      <c r="B22" s="18" t="s">
        <v>619</v>
      </c>
      <c r="C22" s="37" t="s">
        <v>847</v>
      </c>
      <c r="D22" s="44" t="s">
        <v>1574</v>
      </c>
      <c r="E22" s="44" t="s">
        <v>1754</v>
      </c>
    </row>
    <row r="23" spans="1:5">
      <c r="A23" s="38" t="s">
        <v>205</v>
      </c>
      <c r="B23" s="18" t="s">
        <v>621</v>
      </c>
      <c r="C23" s="37" t="s">
        <v>848</v>
      </c>
      <c r="D23" s="44" t="s">
        <v>1574</v>
      </c>
      <c r="E23" s="44" t="s">
        <v>1754</v>
      </c>
    </row>
    <row r="24" spans="1:5">
      <c r="A24" s="35" t="s">
        <v>204</v>
      </c>
      <c r="B24" s="36" t="s">
        <v>620</v>
      </c>
      <c r="C24" s="37" t="s">
        <v>1071</v>
      </c>
      <c r="D24" s="44" t="s">
        <v>1574</v>
      </c>
      <c r="E24" s="44" t="s">
        <v>1754</v>
      </c>
    </row>
    <row r="25" spans="1:5">
      <c r="A25" s="35" t="s">
        <v>207</v>
      </c>
      <c r="B25" s="36" t="s">
        <v>623</v>
      </c>
      <c r="C25" s="37" t="s">
        <v>1073</v>
      </c>
      <c r="D25" s="44" t="s">
        <v>1574</v>
      </c>
      <c r="E25" s="44" t="s">
        <v>1754</v>
      </c>
    </row>
    <row r="26" spans="1:5">
      <c r="A26" s="35" t="s">
        <v>206</v>
      </c>
      <c r="B26" s="36" t="s">
        <v>622</v>
      </c>
      <c r="C26" s="37" t="s">
        <v>1072</v>
      </c>
      <c r="D26" s="44" t="s">
        <v>1574</v>
      </c>
      <c r="E26" s="44" t="s">
        <v>1754</v>
      </c>
    </row>
    <row r="27" spans="1:5">
      <c r="A27" s="38" t="s">
        <v>209</v>
      </c>
      <c r="B27" s="18" t="s">
        <v>619</v>
      </c>
      <c r="C27" s="37" t="s">
        <v>849</v>
      </c>
      <c r="D27" s="44" t="s">
        <v>1574</v>
      </c>
      <c r="E27" s="44" t="s">
        <v>1754</v>
      </c>
    </row>
    <row r="28" spans="1:5">
      <c r="A28" s="35" t="s">
        <v>208</v>
      </c>
      <c r="B28" s="36" t="s">
        <v>624</v>
      </c>
      <c r="C28" s="37" t="s">
        <v>1074</v>
      </c>
      <c r="D28" s="44" t="s">
        <v>1574</v>
      </c>
      <c r="E28" s="44" t="s">
        <v>1754</v>
      </c>
    </row>
    <row r="29" spans="1:5">
      <c r="A29" s="35" t="s">
        <v>210</v>
      </c>
      <c r="B29" s="36" t="s">
        <v>625</v>
      </c>
      <c r="C29" s="37" t="s">
        <v>1075</v>
      </c>
      <c r="D29" s="44" t="s">
        <v>1574</v>
      </c>
      <c r="E29" s="44" t="s">
        <v>1754</v>
      </c>
    </row>
    <row r="30" spans="1:5">
      <c r="A30" s="35" t="s">
        <v>211</v>
      </c>
      <c r="B30" s="36" t="s">
        <v>626</v>
      </c>
      <c r="C30" s="37" t="s">
        <v>1076</v>
      </c>
      <c r="D30" s="44" t="s">
        <v>1574</v>
      </c>
      <c r="E30" s="44" t="s">
        <v>1754</v>
      </c>
    </row>
    <row r="31" spans="1:5">
      <c r="A31" s="35" t="s">
        <v>212</v>
      </c>
      <c r="B31" s="36" t="s">
        <v>627</v>
      </c>
      <c r="C31" s="37" t="s">
        <v>1077</v>
      </c>
      <c r="D31" s="44" t="s">
        <v>1574</v>
      </c>
      <c r="E31" s="44" t="s">
        <v>1754</v>
      </c>
    </row>
    <row r="32" spans="1:5">
      <c r="A32" s="38" t="s">
        <v>213</v>
      </c>
      <c r="B32" s="18" t="s">
        <v>850</v>
      </c>
      <c r="C32" s="37" t="s">
        <v>851</v>
      </c>
      <c r="D32" s="44" t="s">
        <v>1574</v>
      </c>
      <c r="E32" s="44" t="s">
        <v>1754</v>
      </c>
    </row>
    <row r="33" spans="1:5">
      <c r="A33" s="35" t="s">
        <v>214</v>
      </c>
      <c r="B33" s="36" t="s">
        <v>628</v>
      </c>
      <c r="C33" s="37" t="s">
        <v>1078</v>
      </c>
      <c r="D33" s="44" t="s">
        <v>1574</v>
      </c>
      <c r="E33" s="44" t="s">
        <v>1754</v>
      </c>
    </row>
    <row r="34" spans="1:5">
      <c r="A34" s="35" t="s">
        <v>215</v>
      </c>
      <c r="B34" s="36" t="s">
        <v>629</v>
      </c>
      <c r="C34" s="37" t="s">
        <v>1079</v>
      </c>
      <c r="D34" s="44" t="s">
        <v>1574</v>
      </c>
      <c r="E34" s="44" t="s">
        <v>1754</v>
      </c>
    </row>
    <row r="35" spans="1:5">
      <c r="A35" s="38" t="s">
        <v>216</v>
      </c>
      <c r="B35" s="18" t="s">
        <v>630</v>
      </c>
      <c r="C35" s="37" t="s">
        <v>852</v>
      </c>
      <c r="D35" s="44" t="s">
        <v>1574</v>
      </c>
      <c r="E35" s="44" t="s">
        <v>1754</v>
      </c>
    </row>
    <row r="36" spans="1:5">
      <c r="A36" s="35" t="s">
        <v>217</v>
      </c>
      <c r="B36" s="36" t="s">
        <v>631</v>
      </c>
      <c r="C36" s="37" t="s">
        <v>1080</v>
      </c>
      <c r="D36" s="44" t="s">
        <v>1574</v>
      </c>
      <c r="E36" s="44" t="s">
        <v>1754</v>
      </c>
    </row>
    <row r="37" spans="1:5">
      <c r="A37" s="35" t="s">
        <v>218</v>
      </c>
      <c r="B37" s="36" t="s">
        <v>632</v>
      </c>
      <c r="C37" s="37" t="s">
        <v>1081</v>
      </c>
      <c r="D37" s="44" t="s">
        <v>1575</v>
      </c>
      <c r="E37" s="44" t="s">
        <v>1754</v>
      </c>
    </row>
    <row r="38" spans="1:5">
      <c r="A38" s="35" t="s">
        <v>219</v>
      </c>
      <c r="B38" s="36" t="s">
        <v>632</v>
      </c>
      <c r="C38" s="37" t="s">
        <v>1082</v>
      </c>
      <c r="D38" s="44" t="s">
        <v>1575</v>
      </c>
      <c r="E38" s="44" t="s">
        <v>1754</v>
      </c>
    </row>
    <row r="39" spans="1:5">
      <c r="A39" s="35" t="s">
        <v>386</v>
      </c>
      <c r="B39" s="36" t="s">
        <v>781</v>
      </c>
      <c r="C39" s="37" t="s">
        <v>1251</v>
      </c>
      <c r="D39" s="44" t="s">
        <v>1575</v>
      </c>
      <c r="E39" s="44" t="s">
        <v>1754</v>
      </c>
    </row>
    <row r="40" spans="1:5">
      <c r="A40" s="35" t="s">
        <v>387</v>
      </c>
      <c r="B40" s="36" t="s">
        <v>782</v>
      </c>
      <c r="C40" s="37" t="s">
        <v>1252</v>
      </c>
      <c r="D40" s="44" t="s">
        <v>1575</v>
      </c>
      <c r="E40" s="44" t="s">
        <v>1754</v>
      </c>
    </row>
    <row r="41" spans="1:5">
      <c r="A41" s="35" t="s">
        <v>388</v>
      </c>
      <c r="B41" s="36" t="s">
        <v>783</v>
      </c>
      <c r="C41" s="37" t="s">
        <v>1253</v>
      </c>
      <c r="D41" s="44" t="s">
        <v>1575</v>
      </c>
      <c r="E41" s="44" t="s">
        <v>1754</v>
      </c>
    </row>
    <row r="42" spans="1:5">
      <c r="A42" s="45" t="s">
        <v>1497</v>
      </c>
      <c r="B42" s="36" t="s">
        <v>781</v>
      </c>
      <c r="C42" s="45" t="s">
        <v>1498</v>
      </c>
      <c r="D42" s="44" t="s">
        <v>1575</v>
      </c>
      <c r="E42" s="44" t="s">
        <v>1754</v>
      </c>
    </row>
    <row r="43" spans="1:5">
      <c r="A43" s="35" t="s">
        <v>197</v>
      </c>
      <c r="B43" s="36" t="s">
        <v>616</v>
      </c>
      <c r="C43" s="37" t="s">
        <v>1068</v>
      </c>
      <c r="D43" s="44" t="s">
        <v>1576</v>
      </c>
      <c r="E43" s="44" t="s">
        <v>1754</v>
      </c>
    </row>
    <row r="44" spans="1:5">
      <c r="A44" s="35" t="s">
        <v>198</v>
      </c>
      <c r="B44" s="36" t="s">
        <v>617</v>
      </c>
      <c r="C44" s="37" t="s">
        <v>1069</v>
      </c>
      <c r="D44" s="44" t="s">
        <v>1576</v>
      </c>
      <c r="E44" s="44" t="s">
        <v>1754</v>
      </c>
    </row>
    <row r="45" spans="1:5">
      <c r="A45" s="44" t="s">
        <v>1577</v>
      </c>
      <c r="B45" s="36" t="s">
        <v>1578</v>
      </c>
      <c r="C45" s="45" t="s">
        <v>1579</v>
      </c>
      <c r="D45" s="44" t="s">
        <v>1580</v>
      </c>
      <c r="E45" s="44" t="s">
        <v>1580</v>
      </c>
    </row>
    <row r="46" spans="1:5">
      <c r="A46" s="44" t="s">
        <v>1581</v>
      </c>
      <c r="B46" s="36" t="s">
        <v>1582</v>
      </c>
      <c r="C46" s="45" t="s">
        <v>1583</v>
      </c>
      <c r="D46" s="44" t="s">
        <v>1580</v>
      </c>
      <c r="E46" s="44" t="s">
        <v>1580</v>
      </c>
    </row>
    <row r="47" spans="1:5">
      <c r="A47" s="44" t="s">
        <v>1584</v>
      </c>
      <c r="B47" s="36" t="s">
        <v>1585</v>
      </c>
      <c r="C47" s="45" t="s">
        <v>1586</v>
      </c>
      <c r="D47" s="44" t="s">
        <v>1580</v>
      </c>
      <c r="E47" s="44" t="s">
        <v>1580</v>
      </c>
    </row>
    <row r="48" spans="1:5">
      <c r="A48" s="44" t="s">
        <v>1587</v>
      </c>
      <c r="B48" s="36" t="s">
        <v>1588</v>
      </c>
      <c r="C48" s="45" t="s">
        <v>1589</v>
      </c>
      <c r="D48" s="44" t="s">
        <v>1580</v>
      </c>
      <c r="E48" s="44" t="s">
        <v>1580</v>
      </c>
    </row>
    <row r="49" spans="1:5">
      <c r="A49" s="44" t="s">
        <v>1590</v>
      </c>
      <c r="B49" s="36" t="s">
        <v>1591</v>
      </c>
      <c r="C49" s="45" t="s">
        <v>1592</v>
      </c>
      <c r="D49" s="44" t="s">
        <v>1580</v>
      </c>
      <c r="E49" s="44" t="s">
        <v>1580</v>
      </c>
    </row>
    <row r="50" spans="1:5">
      <c r="A50" s="44" t="s">
        <v>1593</v>
      </c>
      <c r="B50" s="36" t="s">
        <v>1594</v>
      </c>
      <c r="C50" s="45" t="s">
        <v>1595</v>
      </c>
      <c r="D50" s="44" t="s">
        <v>1580</v>
      </c>
      <c r="E50" s="44" t="s">
        <v>1580</v>
      </c>
    </row>
    <row r="51" spans="1:5">
      <c r="A51" s="44" t="s">
        <v>1596</v>
      </c>
      <c r="B51" s="36" t="s">
        <v>1597</v>
      </c>
      <c r="C51" s="45" t="s">
        <v>1598</v>
      </c>
      <c r="D51" s="44" t="s">
        <v>1580</v>
      </c>
      <c r="E51" s="44" t="s">
        <v>1580</v>
      </c>
    </row>
    <row r="52" spans="1:5">
      <c r="A52" s="44" t="s">
        <v>1599</v>
      </c>
      <c r="B52" s="36" t="s">
        <v>1600</v>
      </c>
      <c r="C52" s="45" t="s">
        <v>1601</v>
      </c>
      <c r="D52" s="44" t="s">
        <v>1580</v>
      </c>
      <c r="E52" s="44" t="s">
        <v>1580</v>
      </c>
    </row>
    <row r="53" spans="1:5">
      <c r="A53" s="44" t="s">
        <v>1602</v>
      </c>
      <c r="B53" s="36" t="s">
        <v>1603</v>
      </c>
      <c r="C53" s="45" t="s">
        <v>1604</v>
      </c>
      <c r="D53" s="44" t="s">
        <v>1580</v>
      </c>
      <c r="E53" s="44" t="s">
        <v>1580</v>
      </c>
    </row>
    <row r="54" spans="1:5">
      <c r="A54" s="44" t="s">
        <v>1605</v>
      </c>
      <c r="B54" s="36" t="s">
        <v>1606</v>
      </c>
      <c r="C54" s="45" t="s">
        <v>1607</v>
      </c>
      <c r="D54" s="44" t="s">
        <v>1580</v>
      </c>
      <c r="E54" s="44" t="s">
        <v>1580</v>
      </c>
    </row>
    <row r="55" spans="1:5">
      <c r="A55" s="44" t="s">
        <v>1608</v>
      </c>
      <c r="B55" s="36" t="s">
        <v>1609</v>
      </c>
      <c r="C55" s="45" t="s">
        <v>1610</v>
      </c>
      <c r="D55" s="44" t="s">
        <v>1580</v>
      </c>
      <c r="E55" s="44" t="s">
        <v>1580</v>
      </c>
    </row>
    <row r="56" spans="1:5">
      <c r="A56" s="44" t="s">
        <v>1611</v>
      </c>
      <c r="B56" s="36" t="s">
        <v>1612</v>
      </c>
      <c r="C56" s="45" t="s">
        <v>1613</v>
      </c>
      <c r="D56" s="44" t="s">
        <v>1580</v>
      </c>
      <c r="E56" s="44" t="s">
        <v>1580</v>
      </c>
    </row>
    <row r="57" spans="1:5">
      <c r="A57" s="35" t="s">
        <v>431</v>
      </c>
      <c r="B57" s="18" t="s">
        <v>825</v>
      </c>
      <c r="C57" s="37" t="s">
        <v>1286</v>
      </c>
      <c r="D57" s="44" t="s">
        <v>1614</v>
      </c>
      <c r="E57" s="44" t="s">
        <v>1754</v>
      </c>
    </row>
    <row r="58" spans="1:5">
      <c r="A58" s="35" t="s">
        <v>432</v>
      </c>
      <c r="B58" s="18" t="s">
        <v>826</v>
      </c>
      <c r="C58" s="37" t="s">
        <v>1287</v>
      </c>
      <c r="D58" s="44" t="s">
        <v>1614</v>
      </c>
      <c r="E58" s="44" t="s">
        <v>1754</v>
      </c>
    </row>
    <row r="59" spans="1:5">
      <c r="A59" s="35" t="s">
        <v>433</v>
      </c>
      <c r="B59" s="18" t="s">
        <v>826</v>
      </c>
      <c r="C59" s="37" t="s">
        <v>1288</v>
      </c>
      <c r="D59" s="44" t="s">
        <v>1614</v>
      </c>
      <c r="E59" s="44" t="s">
        <v>1754</v>
      </c>
    </row>
    <row r="60" spans="1:5">
      <c r="A60" s="35" t="s">
        <v>434</v>
      </c>
      <c r="B60" s="18" t="s">
        <v>827</v>
      </c>
      <c r="C60" s="37" t="s">
        <v>1289</v>
      </c>
      <c r="D60" s="44" t="s">
        <v>1575</v>
      </c>
      <c r="E60" s="44" t="s">
        <v>1754</v>
      </c>
    </row>
    <row r="61" spans="1:5">
      <c r="A61" s="35" t="s">
        <v>435</v>
      </c>
      <c r="B61" s="36" t="s">
        <v>825</v>
      </c>
      <c r="C61" s="37" t="s">
        <v>1290</v>
      </c>
      <c r="D61" s="44" t="s">
        <v>1614</v>
      </c>
      <c r="E61" s="44" t="s">
        <v>1754</v>
      </c>
    </row>
    <row r="62" spans="1:5">
      <c r="A62" s="35" t="s">
        <v>59</v>
      </c>
      <c r="B62" s="36" t="s">
        <v>510</v>
      </c>
      <c r="C62" s="37" t="s">
        <v>955</v>
      </c>
      <c r="D62" s="44" t="s">
        <v>1575</v>
      </c>
      <c r="E62" s="44" t="s">
        <v>1754</v>
      </c>
    </row>
    <row r="63" spans="1:5">
      <c r="A63" s="35" t="s">
        <v>60</v>
      </c>
      <c r="B63" s="36" t="s">
        <v>511</v>
      </c>
      <c r="C63" s="37" t="s">
        <v>956</v>
      </c>
      <c r="D63" s="44" t="s">
        <v>1575</v>
      </c>
      <c r="E63" s="44" t="s">
        <v>1754</v>
      </c>
    </row>
    <row r="64" spans="1:5">
      <c r="A64" s="35" t="s">
        <v>61</v>
      </c>
      <c r="B64" s="36" t="s">
        <v>512</v>
      </c>
      <c r="C64" s="37" t="s">
        <v>957</v>
      </c>
      <c r="D64" s="44" t="s">
        <v>1575</v>
      </c>
      <c r="E64" s="44" t="s">
        <v>1754</v>
      </c>
    </row>
    <row r="65" spans="1:5">
      <c r="A65" s="35" t="s">
        <v>442</v>
      </c>
      <c r="B65" s="36" t="s">
        <v>833</v>
      </c>
      <c r="C65" s="37" t="s">
        <v>1297</v>
      </c>
      <c r="D65" s="44" t="s">
        <v>1575</v>
      </c>
      <c r="E65" s="44" t="s">
        <v>1754</v>
      </c>
    </row>
    <row r="66" spans="1:5">
      <c r="A66" s="35" t="s">
        <v>62</v>
      </c>
      <c r="B66" s="36" t="s">
        <v>513</v>
      </c>
      <c r="C66" s="37" t="s">
        <v>958</v>
      </c>
      <c r="D66" s="44" t="s">
        <v>1615</v>
      </c>
      <c r="E66" s="44" t="s">
        <v>1754</v>
      </c>
    </row>
    <row r="67" spans="1:5">
      <c r="A67" s="35" t="s">
        <v>438</v>
      </c>
      <c r="B67" s="36" t="s">
        <v>830</v>
      </c>
      <c r="C67" s="37" t="s">
        <v>1293</v>
      </c>
      <c r="D67" s="44" t="s">
        <v>1575</v>
      </c>
      <c r="E67" s="44" t="s">
        <v>1754</v>
      </c>
    </row>
    <row r="68" spans="1:5">
      <c r="A68" s="35" t="s">
        <v>439</v>
      </c>
      <c r="B68" s="36" t="s">
        <v>831</v>
      </c>
      <c r="C68" s="37" t="s">
        <v>1294</v>
      </c>
      <c r="D68" s="44" t="s">
        <v>1575</v>
      </c>
      <c r="E68" s="44" t="s">
        <v>1754</v>
      </c>
    </row>
    <row r="69" spans="1:5">
      <c r="A69" s="35" t="s">
        <v>440</v>
      </c>
      <c r="B69" s="36" t="s">
        <v>831</v>
      </c>
      <c r="C69" s="37" t="s">
        <v>1295</v>
      </c>
      <c r="D69" s="44" t="s">
        <v>1575</v>
      </c>
      <c r="E69" s="44" t="s">
        <v>1754</v>
      </c>
    </row>
    <row r="70" spans="1:5">
      <c r="A70" s="35" t="s">
        <v>441</v>
      </c>
      <c r="B70" s="36" t="s">
        <v>832</v>
      </c>
      <c r="C70" s="37" t="s">
        <v>1296</v>
      </c>
      <c r="D70" s="44" t="s">
        <v>1575</v>
      </c>
      <c r="E70" s="44" t="s">
        <v>1754</v>
      </c>
    </row>
    <row r="71" spans="1:5">
      <c r="A71" s="55" t="s">
        <v>1726</v>
      </c>
      <c r="B71" s="36" t="s">
        <v>1727</v>
      </c>
      <c r="C71" s="45" t="s">
        <v>1728</v>
      </c>
      <c r="D71" s="44" t="s">
        <v>1575</v>
      </c>
      <c r="E71" s="44" t="s">
        <v>1754</v>
      </c>
    </row>
    <row r="72" spans="1:5">
      <c r="A72" s="35" t="s">
        <v>196</v>
      </c>
      <c r="B72" s="36" t="s">
        <v>615</v>
      </c>
      <c r="C72" s="37" t="s">
        <v>1067</v>
      </c>
      <c r="D72" s="44" t="s">
        <v>1575</v>
      </c>
      <c r="E72" s="44" t="s">
        <v>1754</v>
      </c>
    </row>
    <row r="73" spans="1:5">
      <c r="A73" s="35" t="s">
        <v>199</v>
      </c>
      <c r="B73" s="36" t="s">
        <v>618</v>
      </c>
      <c r="C73" s="37" t="s">
        <v>1070</v>
      </c>
      <c r="D73" s="44" t="s">
        <v>1575</v>
      </c>
      <c r="E73" s="44" t="s">
        <v>1754</v>
      </c>
    </row>
    <row r="74" spans="1:5">
      <c r="A74" s="35" t="s">
        <v>359</v>
      </c>
      <c r="B74" s="18" t="s">
        <v>757</v>
      </c>
      <c r="C74" s="37" t="s">
        <v>1229</v>
      </c>
      <c r="D74" s="44" t="s">
        <v>1616</v>
      </c>
      <c r="E74" s="44" t="s">
        <v>1754</v>
      </c>
    </row>
    <row r="75" spans="1:5">
      <c r="A75" s="35" t="s">
        <v>360</v>
      </c>
      <c r="B75" s="18" t="s">
        <v>758</v>
      </c>
      <c r="C75" s="37" t="s">
        <v>1230</v>
      </c>
      <c r="D75" s="44" t="s">
        <v>1616</v>
      </c>
      <c r="E75" s="44" t="s">
        <v>1754</v>
      </c>
    </row>
    <row r="76" spans="1:5">
      <c r="A76" s="35" t="s">
        <v>361</v>
      </c>
      <c r="B76" s="18" t="s">
        <v>759</v>
      </c>
      <c r="C76" s="37" t="s">
        <v>1231</v>
      </c>
      <c r="D76" s="44" t="s">
        <v>1575</v>
      </c>
      <c r="E76" s="44" t="s">
        <v>1754</v>
      </c>
    </row>
    <row r="77" spans="1:5">
      <c r="A77" s="35" t="s">
        <v>412</v>
      </c>
      <c r="B77" s="18" t="s">
        <v>807</v>
      </c>
      <c r="C77" s="37" t="s">
        <v>1274</v>
      </c>
      <c r="D77" s="44" t="s">
        <v>1617</v>
      </c>
      <c r="E77" s="44" t="s">
        <v>1754</v>
      </c>
    </row>
    <row r="78" spans="1:5">
      <c r="A78" s="35" t="s">
        <v>413</v>
      </c>
      <c r="B78" s="18" t="s">
        <v>807</v>
      </c>
      <c r="C78" s="37" t="s">
        <v>1275</v>
      </c>
      <c r="D78" s="44" t="s">
        <v>1617</v>
      </c>
      <c r="E78" s="44" t="s">
        <v>1754</v>
      </c>
    </row>
    <row r="79" spans="1:5">
      <c r="A79" s="55" t="s">
        <v>1692</v>
      </c>
      <c r="B79" s="36" t="s">
        <v>1693</v>
      </c>
      <c r="C79" s="45" t="s">
        <v>1694</v>
      </c>
      <c r="D79" s="44" t="s">
        <v>1617</v>
      </c>
      <c r="E79" s="44" t="s">
        <v>1754</v>
      </c>
    </row>
    <row r="80" spans="1:5">
      <c r="A80" s="55" t="s">
        <v>1729</v>
      </c>
      <c r="B80" s="36" t="s">
        <v>1730</v>
      </c>
      <c r="C80" s="45" t="s">
        <v>1731</v>
      </c>
      <c r="D80" s="44" t="s">
        <v>1617</v>
      </c>
      <c r="E80" s="44" t="s">
        <v>1754</v>
      </c>
    </row>
    <row r="81" spans="1:5">
      <c r="A81" s="38" t="s">
        <v>414</v>
      </c>
      <c r="B81" s="18" t="s">
        <v>808</v>
      </c>
      <c r="C81" s="37" t="s">
        <v>853</v>
      </c>
      <c r="D81" s="44" t="s">
        <v>1618</v>
      </c>
      <c r="E81" s="44" t="s">
        <v>1754</v>
      </c>
    </row>
    <row r="82" spans="1:5">
      <c r="A82" s="38" t="s">
        <v>415</v>
      </c>
      <c r="B82" s="18" t="s">
        <v>809</v>
      </c>
      <c r="C82" s="37" t="s">
        <v>854</v>
      </c>
      <c r="D82" s="44" t="s">
        <v>1618</v>
      </c>
      <c r="E82" s="44" t="s">
        <v>1754</v>
      </c>
    </row>
    <row r="83" spans="1:5">
      <c r="A83" s="38" t="s">
        <v>416</v>
      </c>
      <c r="B83" s="18" t="s">
        <v>810</v>
      </c>
      <c r="C83" s="37" t="s">
        <v>855</v>
      </c>
      <c r="D83" s="44" t="s">
        <v>1618</v>
      </c>
      <c r="E83" s="44" t="s">
        <v>1754</v>
      </c>
    </row>
    <row r="84" spans="1:5">
      <c r="A84" s="38" t="s">
        <v>417</v>
      </c>
      <c r="B84" s="18" t="s">
        <v>811</v>
      </c>
      <c r="C84" s="37" t="s">
        <v>856</v>
      </c>
      <c r="D84" s="44" t="s">
        <v>1618</v>
      </c>
      <c r="E84" s="44" t="s">
        <v>1754</v>
      </c>
    </row>
    <row r="85" spans="1:5">
      <c r="A85" s="35" t="s">
        <v>281</v>
      </c>
      <c r="B85" s="18" t="s">
        <v>690</v>
      </c>
      <c r="C85" s="37" t="s">
        <v>1158</v>
      </c>
      <c r="D85" s="44" t="s">
        <v>1619</v>
      </c>
      <c r="E85" s="44" t="s">
        <v>1754</v>
      </c>
    </row>
    <row r="86" spans="1:5">
      <c r="A86" s="44" t="s">
        <v>1353</v>
      </c>
      <c r="B86" s="36" t="s">
        <v>1354</v>
      </c>
      <c r="C86" s="39" t="s">
        <v>1355</v>
      </c>
      <c r="D86" s="44" t="s">
        <v>1619</v>
      </c>
      <c r="E86" s="44" t="s">
        <v>1754</v>
      </c>
    </row>
    <row r="87" spans="1:5">
      <c r="A87" s="35" t="s">
        <v>282</v>
      </c>
      <c r="B87" s="18" t="s">
        <v>691</v>
      </c>
      <c r="C87" s="37" t="s">
        <v>1159</v>
      </c>
      <c r="D87" s="44" t="s">
        <v>1619</v>
      </c>
      <c r="E87" s="44" t="s">
        <v>1754</v>
      </c>
    </row>
    <row r="88" spans="1:5">
      <c r="A88" s="44" t="s">
        <v>1637</v>
      </c>
      <c r="B88" s="36" t="s">
        <v>1641</v>
      </c>
      <c r="C88" s="45" t="s">
        <v>1640</v>
      </c>
      <c r="D88" s="44" t="s">
        <v>1619</v>
      </c>
      <c r="E88" s="44" t="s">
        <v>1754</v>
      </c>
    </row>
    <row r="89" spans="1:5">
      <c r="A89" s="35" t="s">
        <v>283</v>
      </c>
      <c r="B89" s="18" t="s">
        <v>692</v>
      </c>
      <c r="C89" s="37" t="s">
        <v>1160</v>
      </c>
      <c r="D89" s="44" t="s">
        <v>1619</v>
      </c>
      <c r="E89" s="44" t="s">
        <v>1754</v>
      </c>
    </row>
    <row r="90" spans="1:5">
      <c r="A90" s="55" t="s">
        <v>1679</v>
      </c>
      <c r="B90" s="36" t="s">
        <v>1680</v>
      </c>
      <c r="C90" s="45" t="s">
        <v>1681</v>
      </c>
      <c r="D90" s="44" t="s">
        <v>1619</v>
      </c>
      <c r="E90" s="44" t="s">
        <v>1754</v>
      </c>
    </row>
    <row r="91" spans="1:5">
      <c r="A91" s="35" t="s">
        <v>284</v>
      </c>
      <c r="B91" s="18" t="s">
        <v>693</v>
      </c>
      <c r="C91" s="37" t="s">
        <v>1161</v>
      </c>
      <c r="D91" s="44" t="s">
        <v>1619</v>
      </c>
      <c r="E91" s="44" t="s">
        <v>1754</v>
      </c>
    </row>
    <row r="92" spans="1:5">
      <c r="A92" s="55" t="s">
        <v>1695</v>
      </c>
      <c r="B92" s="36" t="s">
        <v>1696</v>
      </c>
      <c r="C92" s="45" t="s">
        <v>1694</v>
      </c>
      <c r="D92" s="44" t="s">
        <v>1619</v>
      </c>
      <c r="E92" s="44" t="s">
        <v>1754</v>
      </c>
    </row>
    <row r="93" spans="1:5">
      <c r="A93" s="35" t="s">
        <v>285</v>
      </c>
      <c r="B93" s="36" t="s">
        <v>694</v>
      </c>
      <c r="C93" s="37" t="s">
        <v>1162</v>
      </c>
      <c r="D93" s="44" t="s">
        <v>1619</v>
      </c>
      <c r="E93" s="44" t="s">
        <v>1754</v>
      </c>
    </row>
    <row r="94" spans="1:5">
      <c r="A94" s="35" t="s">
        <v>286</v>
      </c>
      <c r="B94" s="36" t="s">
        <v>695</v>
      </c>
      <c r="C94" s="37" t="s">
        <v>1163</v>
      </c>
      <c r="D94" s="44" t="s">
        <v>1619</v>
      </c>
      <c r="E94" s="44" t="s">
        <v>1754</v>
      </c>
    </row>
    <row r="95" spans="1:5">
      <c r="A95" s="35" t="s">
        <v>334</v>
      </c>
      <c r="B95" s="36" t="s">
        <v>737</v>
      </c>
      <c r="C95" s="37" t="s">
        <v>1203</v>
      </c>
      <c r="D95" s="44" t="s">
        <v>1619</v>
      </c>
      <c r="E95" s="44" t="s">
        <v>1754</v>
      </c>
    </row>
    <row r="96" spans="1:5">
      <c r="A96" s="38" t="s">
        <v>333</v>
      </c>
      <c r="B96" s="18" t="s">
        <v>1142</v>
      </c>
      <c r="C96" s="37" t="s">
        <v>1143</v>
      </c>
      <c r="D96" s="44" t="s">
        <v>1619</v>
      </c>
      <c r="E96" s="44" t="s">
        <v>1754</v>
      </c>
    </row>
    <row r="97" spans="1:5">
      <c r="A97" s="44" t="s">
        <v>1356</v>
      </c>
      <c r="B97" s="36" t="s">
        <v>1357</v>
      </c>
      <c r="C97" s="39" t="s">
        <v>1358</v>
      </c>
      <c r="D97" s="44" t="s">
        <v>1619</v>
      </c>
      <c r="E97" s="44" t="s">
        <v>1754</v>
      </c>
    </row>
    <row r="98" spans="1:5">
      <c r="A98" s="44" t="s">
        <v>1553</v>
      </c>
      <c r="B98" s="18" t="s">
        <v>1555</v>
      </c>
      <c r="C98" s="45" t="s">
        <v>1554</v>
      </c>
      <c r="D98" s="44" t="s">
        <v>1619</v>
      </c>
      <c r="E98" s="44" t="s">
        <v>1754</v>
      </c>
    </row>
    <row r="99" spans="1:5">
      <c r="A99" s="35" t="s">
        <v>463</v>
      </c>
      <c r="B99" s="36" t="s">
        <v>754</v>
      </c>
      <c r="C99" s="37" t="s">
        <v>1218</v>
      </c>
      <c r="D99" s="44" t="s">
        <v>1619</v>
      </c>
      <c r="E99" s="44" t="s">
        <v>1754</v>
      </c>
    </row>
    <row r="100" spans="1:5">
      <c r="A100" s="35" t="s">
        <v>287</v>
      </c>
      <c r="B100" s="18" t="s">
        <v>696</v>
      </c>
      <c r="C100" s="37" t="s">
        <v>1164</v>
      </c>
      <c r="D100" s="44" t="s">
        <v>1619</v>
      </c>
      <c r="E100" s="44" t="s">
        <v>1754</v>
      </c>
    </row>
    <row r="101" spans="1:5">
      <c r="A101" s="35" t="s">
        <v>288</v>
      </c>
      <c r="B101" s="18" t="s">
        <v>697</v>
      </c>
      <c r="C101" s="37" t="s">
        <v>1165</v>
      </c>
      <c r="D101" s="44" t="s">
        <v>1619</v>
      </c>
      <c r="E101" s="44" t="s">
        <v>1754</v>
      </c>
    </row>
    <row r="102" spans="1:5">
      <c r="A102" s="35" t="s">
        <v>355</v>
      </c>
      <c r="B102" s="36" t="s">
        <v>754</v>
      </c>
      <c r="C102" s="37" t="s">
        <v>1219</v>
      </c>
      <c r="D102" s="44" t="s">
        <v>1619</v>
      </c>
      <c r="E102" s="44" t="s">
        <v>1754</v>
      </c>
    </row>
    <row r="103" spans="1:5">
      <c r="A103" s="38" t="s">
        <v>356</v>
      </c>
      <c r="B103" s="18" t="s">
        <v>1144</v>
      </c>
      <c r="C103" s="37" t="s">
        <v>1145</v>
      </c>
      <c r="D103" s="44" t="s">
        <v>1619</v>
      </c>
      <c r="E103" s="44" t="s">
        <v>1754</v>
      </c>
    </row>
    <row r="104" spans="1:5">
      <c r="A104" s="35" t="s">
        <v>289</v>
      </c>
      <c r="B104" s="18" t="s">
        <v>698</v>
      </c>
      <c r="C104" s="37" t="s">
        <v>1166</v>
      </c>
      <c r="D104" s="44" t="s">
        <v>1619</v>
      </c>
      <c r="E104" s="44" t="s">
        <v>1754</v>
      </c>
    </row>
    <row r="105" spans="1:5">
      <c r="A105" s="38" t="s">
        <v>323</v>
      </c>
      <c r="B105" s="18" t="s">
        <v>728</v>
      </c>
      <c r="C105" s="37" t="s">
        <v>1146</v>
      </c>
      <c r="D105" s="44" t="s">
        <v>1619</v>
      </c>
      <c r="E105" s="44" t="s">
        <v>1754</v>
      </c>
    </row>
    <row r="106" spans="1:5">
      <c r="A106" s="44" t="s">
        <v>1506</v>
      </c>
      <c r="B106" s="36" t="s">
        <v>707</v>
      </c>
      <c r="C106" s="45" t="s">
        <v>1507</v>
      </c>
      <c r="D106" s="44" t="s">
        <v>1619</v>
      </c>
      <c r="E106" s="44" t="s">
        <v>1754</v>
      </c>
    </row>
    <row r="107" spans="1:5">
      <c r="A107" s="35" t="s">
        <v>290</v>
      </c>
      <c r="B107" s="18" t="s">
        <v>699</v>
      </c>
      <c r="C107" s="37" t="s">
        <v>1167</v>
      </c>
      <c r="D107" s="44" t="s">
        <v>1619</v>
      </c>
      <c r="E107" s="44" t="s">
        <v>1754</v>
      </c>
    </row>
    <row r="108" spans="1:5">
      <c r="A108" s="44" t="s">
        <v>1638</v>
      </c>
      <c r="B108" s="36" t="s">
        <v>1642</v>
      </c>
      <c r="C108" s="45" t="s">
        <v>1643</v>
      </c>
      <c r="D108" s="44" t="s">
        <v>1619</v>
      </c>
      <c r="E108" s="44" t="s">
        <v>1754</v>
      </c>
    </row>
    <row r="109" spans="1:5">
      <c r="A109" s="44" t="s">
        <v>1359</v>
      </c>
      <c r="B109" s="36" t="s">
        <v>1360</v>
      </c>
      <c r="C109" s="39" t="s">
        <v>1361</v>
      </c>
      <c r="D109" s="44" t="s">
        <v>1619</v>
      </c>
      <c r="E109" s="44" t="s">
        <v>1754</v>
      </c>
    </row>
    <row r="110" spans="1:5">
      <c r="A110" s="35" t="s">
        <v>291</v>
      </c>
      <c r="B110" s="18" t="s">
        <v>700</v>
      </c>
      <c r="C110" s="37" t="s">
        <v>1168</v>
      </c>
      <c r="D110" s="44" t="s">
        <v>1619</v>
      </c>
      <c r="E110" s="44" t="s">
        <v>1754</v>
      </c>
    </row>
    <row r="111" spans="1:5">
      <c r="A111" s="35" t="s">
        <v>292</v>
      </c>
      <c r="B111" s="18" t="s">
        <v>701</v>
      </c>
      <c r="C111" s="37" t="s">
        <v>1169</v>
      </c>
      <c r="D111" s="44" t="s">
        <v>1619</v>
      </c>
      <c r="E111" s="44" t="s">
        <v>1754</v>
      </c>
    </row>
    <row r="112" spans="1:5">
      <c r="A112" s="44" t="s">
        <v>1362</v>
      </c>
      <c r="B112" s="36" t="s">
        <v>1363</v>
      </c>
      <c r="C112" s="37" t="s">
        <v>1364</v>
      </c>
      <c r="D112" s="44" t="s">
        <v>1619</v>
      </c>
      <c r="E112" s="44" t="s">
        <v>1754</v>
      </c>
    </row>
    <row r="113" spans="1:5">
      <c r="A113" s="35" t="s">
        <v>293</v>
      </c>
      <c r="B113" s="18" t="s">
        <v>702</v>
      </c>
      <c r="C113" s="37" t="s">
        <v>1170</v>
      </c>
      <c r="D113" s="44" t="s">
        <v>1619</v>
      </c>
      <c r="E113" s="44" t="s">
        <v>1754</v>
      </c>
    </row>
    <row r="114" spans="1:5">
      <c r="A114" s="35" t="s">
        <v>324</v>
      </c>
      <c r="B114" s="36" t="s">
        <v>729</v>
      </c>
      <c r="C114" s="37" t="s">
        <v>1194</v>
      </c>
      <c r="D114" s="44" t="s">
        <v>1619</v>
      </c>
      <c r="E114" s="44" t="s">
        <v>1754</v>
      </c>
    </row>
    <row r="115" spans="1:5">
      <c r="A115" s="35" t="s">
        <v>325</v>
      </c>
      <c r="B115" s="36" t="s">
        <v>730</v>
      </c>
      <c r="C115" s="37" t="s">
        <v>1195</v>
      </c>
      <c r="D115" s="44" t="s">
        <v>1619</v>
      </c>
      <c r="E115" s="44" t="s">
        <v>1754</v>
      </c>
    </row>
    <row r="116" spans="1:5">
      <c r="A116" s="35" t="s">
        <v>326</v>
      </c>
      <c r="B116" s="36" t="s">
        <v>730</v>
      </c>
      <c r="C116" s="37" t="s">
        <v>1196</v>
      </c>
      <c r="D116" s="44" t="s">
        <v>1619</v>
      </c>
      <c r="E116" s="44" t="s">
        <v>1754</v>
      </c>
    </row>
    <row r="117" spans="1:5">
      <c r="A117" s="35" t="s">
        <v>327</v>
      </c>
      <c r="B117" s="36" t="s">
        <v>731</v>
      </c>
      <c r="C117" s="37" t="s">
        <v>1197</v>
      </c>
      <c r="D117" s="44" t="s">
        <v>1619</v>
      </c>
      <c r="E117" s="44" t="s">
        <v>1754</v>
      </c>
    </row>
    <row r="118" spans="1:5">
      <c r="A118" s="35" t="s">
        <v>328</v>
      </c>
      <c r="B118" s="36" t="s">
        <v>731</v>
      </c>
      <c r="C118" s="37" t="s">
        <v>1198</v>
      </c>
      <c r="D118" s="44" t="s">
        <v>1619</v>
      </c>
      <c r="E118" s="44" t="s">
        <v>1754</v>
      </c>
    </row>
    <row r="119" spans="1:5">
      <c r="A119" s="35" t="s">
        <v>329</v>
      </c>
      <c r="B119" s="36" t="s">
        <v>732</v>
      </c>
      <c r="C119" s="37" t="s">
        <v>1199</v>
      </c>
      <c r="D119" s="44" t="s">
        <v>1619</v>
      </c>
      <c r="E119" s="44" t="s">
        <v>1754</v>
      </c>
    </row>
    <row r="120" spans="1:5">
      <c r="A120" s="38" t="s">
        <v>465</v>
      </c>
      <c r="B120" s="18" t="s">
        <v>733</v>
      </c>
      <c r="C120" s="37" t="s">
        <v>1147</v>
      </c>
      <c r="D120" s="44" t="s">
        <v>1619</v>
      </c>
      <c r="E120" s="44" t="s">
        <v>1754</v>
      </c>
    </row>
    <row r="121" spans="1:5">
      <c r="A121" s="17" t="s">
        <v>1759</v>
      </c>
      <c r="B121" s="18" t="s">
        <v>733</v>
      </c>
      <c r="C121" s="45" t="s">
        <v>1760</v>
      </c>
      <c r="D121" s="44" t="s">
        <v>1619</v>
      </c>
      <c r="E121" s="44" t="s">
        <v>1754</v>
      </c>
    </row>
    <row r="122" spans="1:5">
      <c r="A122" s="35" t="s">
        <v>294</v>
      </c>
      <c r="B122" s="36" t="s">
        <v>703</v>
      </c>
      <c r="C122" s="37" t="s">
        <v>1171</v>
      </c>
      <c r="D122" s="44" t="s">
        <v>1619</v>
      </c>
      <c r="E122" s="44" t="s">
        <v>1754</v>
      </c>
    </row>
    <row r="123" spans="1:5">
      <c r="A123" s="44" t="s">
        <v>1365</v>
      </c>
      <c r="B123" s="36" t="s">
        <v>1366</v>
      </c>
      <c r="C123" s="37" t="s">
        <v>1367</v>
      </c>
      <c r="D123" s="44" t="s">
        <v>1619</v>
      </c>
      <c r="E123" s="44" t="s">
        <v>1754</v>
      </c>
    </row>
    <row r="124" spans="1:5">
      <c r="A124" s="38" t="s">
        <v>295</v>
      </c>
      <c r="B124" s="18" t="s">
        <v>704</v>
      </c>
      <c r="C124" s="37" t="s">
        <v>1148</v>
      </c>
      <c r="D124" s="44" t="s">
        <v>1619</v>
      </c>
      <c r="E124" s="44" t="s">
        <v>1754</v>
      </c>
    </row>
    <row r="125" spans="1:5">
      <c r="A125" s="44" t="s">
        <v>1639</v>
      </c>
      <c r="B125" s="18" t="s">
        <v>700</v>
      </c>
      <c r="C125" s="45" t="s">
        <v>1644</v>
      </c>
      <c r="D125" s="44" t="s">
        <v>1619</v>
      </c>
      <c r="E125" s="44" t="s">
        <v>1754</v>
      </c>
    </row>
    <row r="126" spans="1:5">
      <c r="A126" s="35" t="s">
        <v>296</v>
      </c>
      <c r="B126" s="36" t="s">
        <v>705</v>
      </c>
      <c r="C126" s="37" t="s">
        <v>1172</v>
      </c>
      <c r="D126" s="44" t="s">
        <v>1619</v>
      </c>
      <c r="E126" s="44" t="s">
        <v>1754</v>
      </c>
    </row>
    <row r="127" spans="1:5">
      <c r="A127" s="35" t="s">
        <v>297</v>
      </c>
      <c r="B127" s="36" t="s">
        <v>706</v>
      </c>
      <c r="C127" s="37" t="s">
        <v>1173</v>
      </c>
      <c r="D127" s="44" t="s">
        <v>1619</v>
      </c>
      <c r="E127" s="44" t="s">
        <v>1754</v>
      </c>
    </row>
    <row r="128" spans="1:5">
      <c r="A128" s="35" t="s">
        <v>298</v>
      </c>
      <c r="B128" s="36" t="s">
        <v>706</v>
      </c>
      <c r="C128" s="37" t="s">
        <v>1174</v>
      </c>
      <c r="D128" s="44" t="s">
        <v>1619</v>
      </c>
      <c r="E128" s="44" t="s">
        <v>1754</v>
      </c>
    </row>
    <row r="129" spans="1:5">
      <c r="A129" s="38" t="s">
        <v>299</v>
      </c>
      <c r="B129" s="18" t="s">
        <v>707</v>
      </c>
      <c r="C129" s="37" t="s">
        <v>1149</v>
      </c>
      <c r="D129" s="44" t="s">
        <v>1619</v>
      </c>
      <c r="E129" s="44" t="s">
        <v>1754</v>
      </c>
    </row>
    <row r="130" spans="1:5">
      <c r="A130" s="35" t="s">
        <v>300</v>
      </c>
      <c r="B130" s="36" t="s">
        <v>701</v>
      </c>
      <c r="C130" s="37" t="s">
        <v>1175</v>
      </c>
      <c r="D130" s="44" t="s">
        <v>1619</v>
      </c>
      <c r="E130" s="44" t="s">
        <v>1754</v>
      </c>
    </row>
    <row r="131" spans="1:5">
      <c r="A131" s="35" t="s">
        <v>301</v>
      </c>
      <c r="B131" s="36" t="s">
        <v>708</v>
      </c>
      <c r="C131" s="37" t="s">
        <v>1176</v>
      </c>
      <c r="D131" s="44" t="s">
        <v>1619</v>
      </c>
      <c r="E131" s="44" t="s">
        <v>1754</v>
      </c>
    </row>
    <row r="132" spans="1:5">
      <c r="A132" s="38" t="s">
        <v>302</v>
      </c>
      <c r="B132" s="18" t="s">
        <v>709</v>
      </c>
      <c r="C132" s="37" t="s">
        <v>1150</v>
      </c>
      <c r="D132" s="44" t="s">
        <v>1619</v>
      </c>
      <c r="E132" s="44" t="s">
        <v>1754</v>
      </c>
    </row>
    <row r="133" spans="1:5">
      <c r="A133" s="35" t="s">
        <v>303</v>
      </c>
      <c r="B133" s="36" t="s">
        <v>710</v>
      </c>
      <c r="C133" s="37" t="s">
        <v>1177</v>
      </c>
      <c r="D133" s="44" t="s">
        <v>1619</v>
      </c>
      <c r="E133" s="44" t="s">
        <v>1754</v>
      </c>
    </row>
    <row r="134" spans="1:5">
      <c r="A134" s="35" t="s">
        <v>304</v>
      </c>
      <c r="B134" s="36" t="s">
        <v>711</v>
      </c>
      <c r="C134" s="37" t="s">
        <v>1178</v>
      </c>
      <c r="D134" s="44" t="s">
        <v>1619</v>
      </c>
      <c r="E134" s="44" t="s">
        <v>1754</v>
      </c>
    </row>
    <row r="135" spans="1:5">
      <c r="A135" s="35" t="s">
        <v>306</v>
      </c>
      <c r="B135" s="36" t="s">
        <v>713</v>
      </c>
      <c r="C135" s="37" t="s">
        <v>1179</v>
      </c>
      <c r="D135" s="44" t="s">
        <v>1619</v>
      </c>
      <c r="E135" s="44" t="s">
        <v>1754</v>
      </c>
    </row>
    <row r="136" spans="1:5">
      <c r="A136" s="35" t="s">
        <v>307</v>
      </c>
      <c r="B136" s="36" t="s">
        <v>714</v>
      </c>
      <c r="C136" s="37" t="s">
        <v>1180</v>
      </c>
      <c r="D136" s="44" t="s">
        <v>1619</v>
      </c>
      <c r="E136" s="44" t="s">
        <v>1754</v>
      </c>
    </row>
    <row r="137" spans="1:5">
      <c r="A137" s="44" t="s">
        <v>1489</v>
      </c>
      <c r="B137" s="18" t="s">
        <v>714</v>
      </c>
      <c r="C137" s="45" t="s">
        <v>1492</v>
      </c>
      <c r="D137" s="44" t="s">
        <v>1619</v>
      </c>
      <c r="E137" s="44" t="s">
        <v>1754</v>
      </c>
    </row>
    <row r="138" spans="1:5">
      <c r="A138" s="38" t="s">
        <v>305</v>
      </c>
      <c r="B138" s="18" t="s">
        <v>712</v>
      </c>
      <c r="C138" s="37" t="s">
        <v>1151</v>
      </c>
      <c r="D138" s="44" t="s">
        <v>1619</v>
      </c>
      <c r="E138" s="44" t="s">
        <v>1754</v>
      </c>
    </row>
    <row r="139" spans="1:5">
      <c r="A139" s="35" t="s">
        <v>308</v>
      </c>
      <c r="B139" s="36" t="s">
        <v>715</v>
      </c>
      <c r="C139" s="37" t="s">
        <v>1181</v>
      </c>
      <c r="D139" s="44" t="s">
        <v>1619</v>
      </c>
      <c r="E139" s="44" t="s">
        <v>1754</v>
      </c>
    </row>
    <row r="140" spans="1:5">
      <c r="A140" s="38" t="s">
        <v>309</v>
      </c>
      <c r="B140" s="18" t="s">
        <v>716</v>
      </c>
      <c r="C140" s="37" t="s">
        <v>1152</v>
      </c>
      <c r="D140" s="44" t="s">
        <v>1619</v>
      </c>
      <c r="E140" s="44" t="s">
        <v>1754</v>
      </c>
    </row>
    <row r="141" spans="1:5">
      <c r="A141" s="17" t="s">
        <v>1761</v>
      </c>
      <c r="B141" s="36" t="s">
        <v>717</v>
      </c>
      <c r="C141" s="45" t="s">
        <v>1762</v>
      </c>
      <c r="D141" s="44" t="s">
        <v>1619</v>
      </c>
      <c r="E141" s="44" t="s">
        <v>1754</v>
      </c>
    </row>
    <row r="142" spans="1:5">
      <c r="A142" s="35" t="s">
        <v>310</v>
      </c>
      <c r="B142" s="36" t="s">
        <v>717</v>
      </c>
      <c r="C142" s="37" t="s">
        <v>1182</v>
      </c>
      <c r="D142" s="44" t="s">
        <v>1619</v>
      </c>
      <c r="E142" s="44" t="s">
        <v>1754</v>
      </c>
    </row>
    <row r="143" spans="1:5">
      <c r="A143" s="38" t="s">
        <v>311</v>
      </c>
      <c r="B143" s="18" t="s">
        <v>718</v>
      </c>
      <c r="C143" s="37" t="s">
        <v>1153</v>
      </c>
      <c r="D143" s="44" t="s">
        <v>1619</v>
      </c>
      <c r="E143" s="44" t="s">
        <v>1754</v>
      </c>
    </row>
    <row r="144" spans="1:5">
      <c r="A144" s="35" t="s">
        <v>312</v>
      </c>
      <c r="B144" s="36" t="s">
        <v>719</v>
      </c>
      <c r="C144" s="37" t="s">
        <v>1183</v>
      </c>
      <c r="D144" s="44" t="s">
        <v>1619</v>
      </c>
      <c r="E144" s="44" t="s">
        <v>1754</v>
      </c>
    </row>
    <row r="145" spans="1:5">
      <c r="A145" s="17" t="s">
        <v>1763</v>
      </c>
      <c r="B145" s="36" t="s">
        <v>720</v>
      </c>
      <c r="C145" s="45" t="s">
        <v>1764</v>
      </c>
      <c r="D145" s="44" t="s">
        <v>1619</v>
      </c>
      <c r="E145" s="44" t="s">
        <v>1754</v>
      </c>
    </row>
    <row r="146" spans="1:5">
      <c r="A146" s="35" t="s">
        <v>313</v>
      </c>
      <c r="B146" s="36" t="s">
        <v>720</v>
      </c>
      <c r="C146" s="37" t="s">
        <v>1184</v>
      </c>
      <c r="D146" s="44" t="s">
        <v>1619</v>
      </c>
      <c r="E146" s="44" t="s">
        <v>1754</v>
      </c>
    </row>
    <row r="147" spans="1:5">
      <c r="A147" s="35" t="s">
        <v>314</v>
      </c>
      <c r="B147" s="36" t="s">
        <v>721</v>
      </c>
      <c r="C147" s="37" t="s">
        <v>1185</v>
      </c>
      <c r="D147" s="44" t="s">
        <v>1619</v>
      </c>
      <c r="E147" s="44" t="s">
        <v>1754</v>
      </c>
    </row>
    <row r="148" spans="1:5">
      <c r="A148" s="44" t="s">
        <v>1368</v>
      </c>
      <c r="B148" s="36" t="s">
        <v>1369</v>
      </c>
      <c r="C148" s="37" t="s">
        <v>1370</v>
      </c>
      <c r="D148" s="44" t="s">
        <v>1619</v>
      </c>
      <c r="E148" s="44" t="s">
        <v>1754</v>
      </c>
    </row>
    <row r="149" spans="1:5">
      <c r="A149" s="35" t="s">
        <v>315</v>
      </c>
      <c r="B149" s="36" t="s">
        <v>722</v>
      </c>
      <c r="C149" s="37" t="s">
        <v>1186</v>
      </c>
      <c r="D149" s="44" t="s">
        <v>1619</v>
      </c>
      <c r="E149" s="44" t="s">
        <v>1754</v>
      </c>
    </row>
    <row r="150" spans="1:5">
      <c r="A150" s="35" t="s">
        <v>318</v>
      </c>
      <c r="B150" s="36" t="s">
        <v>725</v>
      </c>
      <c r="C150" s="37" t="s">
        <v>1189</v>
      </c>
      <c r="D150" s="44" t="s">
        <v>1619</v>
      </c>
      <c r="E150" s="44" t="s">
        <v>1754</v>
      </c>
    </row>
    <row r="151" spans="1:5">
      <c r="A151" s="35" t="s">
        <v>319</v>
      </c>
      <c r="B151" s="36" t="s">
        <v>723</v>
      </c>
      <c r="C151" s="37" t="s">
        <v>1190</v>
      </c>
      <c r="D151" s="44" t="s">
        <v>1619</v>
      </c>
      <c r="E151" s="44" t="s">
        <v>1754</v>
      </c>
    </row>
    <row r="152" spans="1:5">
      <c r="A152" s="35" t="s">
        <v>316</v>
      </c>
      <c r="B152" s="36" t="s">
        <v>723</v>
      </c>
      <c r="C152" s="37" t="s">
        <v>1187</v>
      </c>
      <c r="D152" s="44" t="s">
        <v>1619</v>
      </c>
      <c r="E152" s="44" t="s">
        <v>1754</v>
      </c>
    </row>
    <row r="153" spans="1:5">
      <c r="A153" s="35" t="s">
        <v>320</v>
      </c>
      <c r="B153" s="36" t="s">
        <v>724</v>
      </c>
      <c r="C153" s="37" t="s">
        <v>1191</v>
      </c>
      <c r="D153" s="44" t="s">
        <v>1619</v>
      </c>
      <c r="E153" s="44" t="s">
        <v>1754</v>
      </c>
    </row>
    <row r="154" spans="1:5">
      <c r="A154" s="35" t="s">
        <v>317</v>
      </c>
      <c r="B154" s="36" t="s">
        <v>724</v>
      </c>
      <c r="C154" s="37" t="s">
        <v>1188</v>
      </c>
      <c r="D154" s="44" t="s">
        <v>1619</v>
      </c>
      <c r="E154" s="44" t="s">
        <v>1754</v>
      </c>
    </row>
    <row r="155" spans="1:5">
      <c r="A155" s="35" t="s">
        <v>322</v>
      </c>
      <c r="B155" s="36" t="s">
        <v>727</v>
      </c>
      <c r="C155" s="37" t="s">
        <v>1193</v>
      </c>
      <c r="D155" s="44" t="s">
        <v>1619</v>
      </c>
      <c r="E155" s="44" t="s">
        <v>1754</v>
      </c>
    </row>
    <row r="156" spans="1:5">
      <c r="A156" s="35" t="s">
        <v>321</v>
      </c>
      <c r="B156" s="36" t="s">
        <v>726</v>
      </c>
      <c r="C156" s="37" t="s">
        <v>1192</v>
      </c>
      <c r="D156" s="44" t="s">
        <v>1619</v>
      </c>
      <c r="E156" s="44" t="s">
        <v>1754</v>
      </c>
    </row>
    <row r="157" spans="1:5">
      <c r="A157" s="35" t="s">
        <v>330</v>
      </c>
      <c r="B157" s="36" t="s">
        <v>734</v>
      </c>
      <c r="C157" s="37" t="s">
        <v>1200</v>
      </c>
      <c r="D157" s="44" t="s">
        <v>1619</v>
      </c>
      <c r="E157" s="44" t="s">
        <v>1754</v>
      </c>
    </row>
    <row r="158" spans="1:5">
      <c r="A158" s="35" t="s">
        <v>1323</v>
      </c>
      <c r="B158" s="36" t="s">
        <v>1324</v>
      </c>
      <c r="C158" s="37" t="s">
        <v>1325</v>
      </c>
      <c r="D158" s="44" t="s">
        <v>1619</v>
      </c>
      <c r="E158" s="44" t="s">
        <v>1754</v>
      </c>
    </row>
    <row r="159" spans="1:5">
      <c r="A159" s="35" t="s">
        <v>331</v>
      </c>
      <c r="B159" s="36" t="s">
        <v>735</v>
      </c>
      <c r="C159" s="37" t="s">
        <v>1201</v>
      </c>
      <c r="D159" s="44" t="s">
        <v>1619</v>
      </c>
      <c r="E159" s="44" t="s">
        <v>1754</v>
      </c>
    </row>
    <row r="160" spans="1:5">
      <c r="A160" s="35" t="s">
        <v>332</v>
      </c>
      <c r="B160" s="36" t="s">
        <v>736</v>
      </c>
      <c r="C160" s="37" t="s">
        <v>1202</v>
      </c>
      <c r="D160" s="44" t="s">
        <v>1619</v>
      </c>
      <c r="E160" s="44" t="s">
        <v>1754</v>
      </c>
    </row>
    <row r="161" spans="1:5">
      <c r="A161" s="38" t="s">
        <v>338</v>
      </c>
      <c r="B161" s="18" t="s">
        <v>740</v>
      </c>
      <c r="C161" s="37" t="s">
        <v>1154</v>
      </c>
      <c r="D161" s="44" t="s">
        <v>1619</v>
      </c>
      <c r="E161" s="44" t="s">
        <v>1754</v>
      </c>
    </row>
    <row r="162" spans="1:5">
      <c r="A162" s="35" t="s">
        <v>335</v>
      </c>
      <c r="B162" s="36" t="s">
        <v>738</v>
      </c>
      <c r="C162" s="37" t="s">
        <v>1204</v>
      </c>
      <c r="D162" s="44" t="s">
        <v>1619</v>
      </c>
      <c r="E162" s="44" t="s">
        <v>1754</v>
      </c>
    </row>
    <row r="163" spans="1:5">
      <c r="A163" s="35" t="s">
        <v>336</v>
      </c>
      <c r="B163" s="36" t="s">
        <v>738</v>
      </c>
      <c r="C163" s="37" t="s">
        <v>1205</v>
      </c>
      <c r="D163" s="44" t="s">
        <v>1619</v>
      </c>
      <c r="E163" s="44" t="s">
        <v>1754</v>
      </c>
    </row>
    <row r="164" spans="1:5">
      <c r="A164" s="35" t="s">
        <v>337</v>
      </c>
      <c r="B164" s="36" t="s">
        <v>739</v>
      </c>
      <c r="C164" s="37" t="s">
        <v>1206</v>
      </c>
      <c r="D164" s="44" t="s">
        <v>1619</v>
      </c>
      <c r="E164" s="44" t="s">
        <v>1754</v>
      </c>
    </row>
    <row r="165" spans="1:5">
      <c r="A165" s="35" t="s">
        <v>339</v>
      </c>
      <c r="B165" s="36" t="s">
        <v>741</v>
      </c>
      <c r="C165" s="37" t="s">
        <v>1207</v>
      </c>
      <c r="D165" s="44" t="s">
        <v>1619</v>
      </c>
      <c r="E165" s="44" t="s">
        <v>1754</v>
      </c>
    </row>
    <row r="166" spans="1:5">
      <c r="A166" s="35" t="s">
        <v>340</v>
      </c>
      <c r="B166" s="36" t="s">
        <v>742</v>
      </c>
      <c r="C166" s="37" t="s">
        <v>1208</v>
      </c>
      <c r="D166" s="44" t="s">
        <v>1619</v>
      </c>
      <c r="E166" s="44" t="s">
        <v>1754</v>
      </c>
    </row>
    <row r="167" spans="1:5">
      <c r="A167" s="38" t="s">
        <v>1319</v>
      </c>
      <c r="B167" s="18" t="s">
        <v>1749</v>
      </c>
      <c r="C167" s="39" t="s">
        <v>1320</v>
      </c>
      <c r="D167" s="44" t="s">
        <v>1575</v>
      </c>
      <c r="E167" s="44" t="s">
        <v>1754</v>
      </c>
    </row>
    <row r="168" spans="1:5">
      <c r="A168" s="55" t="s">
        <v>1689</v>
      </c>
      <c r="B168" s="36" t="s">
        <v>1690</v>
      </c>
      <c r="C168" s="45" t="s">
        <v>1691</v>
      </c>
      <c r="D168" s="44" t="s">
        <v>1619</v>
      </c>
      <c r="E168" s="44" t="s">
        <v>1754</v>
      </c>
    </row>
    <row r="169" spans="1:5">
      <c r="A169" s="35" t="s">
        <v>341</v>
      </c>
      <c r="B169" s="36" t="s">
        <v>743</v>
      </c>
      <c r="C169" s="37" t="s">
        <v>1209</v>
      </c>
      <c r="D169" s="44" t="s">
        <v>1619</v>
      </c>
      <c r="E169" s="44" t="s">
        <v>1754</v>
      </c>
    </row>
    <row r="170" spans="1:5">
      <c r="A170" s="38" t="s">
        <v>343</v>
      </c>
      <c r="B170" s="18" t="s">
        <v>744</v>
      </c>
      <c r="C170" s="37" t="s">
        <v>1155</v>
      </c>
      <c r="D170" s="44" t="s">
        <v>1619</v>
      </c>
      <c r="E170" s="44" t="s">
        <v>1754</v>
      </c>
    </row>
    <row r="171" spans="1:5">
      <c r="A171" s="35" t="s">
        <v>344</v>
      </c>
      <c r="B171" s="36" t="s">
        <v>745</v>
      </c>
      <c r="C171" s="37" t="s">
        <v>1210</v>
      </c>
      <c r="D171" s="44" t="s">
        <v>1619</v>
      </c>
      <c r="E171" s="44" t="s">
        <v>1754</v>
      </c>
    </row>
    <row r="172" spans="1:5">
      <c r="A172" s="35" t="s">
        <v>345</v>
      </c>
      <c r="B172" s="36" t="s">
        <v>746</v>
      </c>
      <c r="C172" s="37" t="s">
        <v>1211</v>
      </c>
      <c r="D172" s="44" t="s">
        <v>1619</v>
      </c>
      <c r="E172" s="44" t="s">
        <v>1754</v>
      </c>
    </row>
    <row r="173" spans="1:5">
      <c r="A173" s="35" t="s">
        <v>346</v>
      </c>
      <c r="B173" s="36" t="s">
        <v>747</v>
      </c>
      <c r="C173" s="37" t="s">
        <v>1212</v>
      </c>
      <c r="D173" s="44" t="s">
        <v>1619</v>
      </c>
      <c r="E173" s="44" t="s">
        <v>1754</v>
      </c>
    </row>
    <row r="174" spans="1:5">
      <c r="A174" s="35" t="s">
        <v>347</v>
      </c>
      <c r="B174" s="36" t="s">
        <v>748</v>
      </c>
      <c r="C174" s="37" t="s">
        <v>1213</v>
      </c>
      <c r="D174" s="44" t="s">
        <v>1619</v>
      </c>
      <c r="E174" s="44" t="s">
        <v>1754</v>
      </c>
    </row>
    <row r="175" spans="1:5">
      <c r="A175" s="44" t="s">
        <v>1371</v>
      </c>
      <c r="B175" s="36" t="s">
        <v>1372</v>
      </c>
      <c r="C175" s="39" t="s">
        <v>1373</v>
      </c>
      <c r="D175" s="44" t="s">
        <v>1619</v>
      </c>
      <c r="E175" s="44" t="s">
        <v>1754</v>
      </c>
    </row>
    <row r="176" spans="1:5">
      <c r="A176" s="38" t="s">
        <v>349</v>
      </c>
      <c r="B176" s="18" t="s">
        <v>749</v>
      </c>
      <c r="C176" s="37" t="s">
        <v>1156</v>
      </c>
      <c r="D176" s="44" t="s">
        <v>1619</v>
      </c>
      <c r="E176" s="44" t="s">
        <v>1754</v>
      </c>
    </row>
    <row r="177" spans="1:5">
      <c r="A177" s="44" t="s">
        <v>1374</v>
      </c>
      <c r="B177" s="18" t="s">
        <v>749</v>
      </c>
      <c r="C177" s="37" t="s">
        <v>1375</v>
      </c>
      <c r="D177" s="44" t="s">
        <v>1619</v>
      </c>
      <c r="E177" s="44" t="s">
        <v>1754</v>
      </c>
    </row>
    <row r="178" spans="1:5">
      <c r="A178" s="44" t="s">
        <v>1376</v>
      </c>
      <c r="B178" s="18" t="s">
        <v>750</v>
      </c>
      <c r="C178" s="37" t="s">
        <v>1377</v>
      </c>
      <c r="D178" s="44" t="s">
        <v>1619</v>
      </c>
      <c r="E178" s="44" t="s">
        <v>1754</v>
      </c>
    </row>
    <row r="179" spans="1:5">
      <c r="A179" s="38" t="s">
        <v>350</v>
      </c>
      <c r="B179" s="18" t="s">
        <v>750</v>
      </c>
      <c r="C179" s="37" t="s">
        <v>1157</v>
      </c>
      <c r="D179" s="44" t="s">
        <v>1619</v>
      </c>
      <c r="E179" s="44" t="s">
        <v>1754</v>
      </c>
    </row>
    <row r="180" spans="1:5">
      <c r="A180" s="44" t="s">
        <v>1378</v>
      </c>
      <c r="B180" s="18" t="s">
        <v>1379</v>
      </c>
      <c r="C180" s="37" t="s">
        <v>1380</v>
      </c>
      <c r="D180" s="44" t="s">
        <v>1619</v>
      </c>
      <c r="E180" s="44" t="s">
        <v>1754</v>
      </c>
    </row>
    <row r="181" spans="1:5">
      <c r="A181" s="35" t="s">
        <v>351</v>
      </c>
      <c r="B181" s="36" t="s">
        <v>751</v>
      </c>
      <c r="C181" s="37" t="s">
        <v>1214</v>
      </c>
      <c r="D181" s="44" t="s">
        <v>1575</v>
      </c>
      <c r="E181" s="44" t="s">
        <v>1754</v>
      </c>
    </row>
    <row r="182" spans="1:5">
      <c r="A182" s="35" t="s">
        <v>352</v>
      </c>
      <c r="B182" s="36" t="s">
        <v>751</v>
      </c>
      <c r="C182" s="37" t="s">
        <v>1215</v>
      </c>
      <c r="D182" s="44" t="s">
        <v>1575</v>
      </c>
      <c r="E182" s="44" t="s">
        <v>1754</v>
      </c>
    </row>
    <row r="183" spans="1:5">
      <c r="A183" s="35" t="s">
        <v>462</v>
      </c>
      <c r="B183" s="36" t="s">
        <v>755</v>
      </c>
      <c r="C183" s="37" t="s">
        <v>1220</v>
      </c>
      <c r="D183" s="44" t="s">
        <v>1619</v>
      </c>
      <c r="E183" s="44" t="s">
        <v>1754</v>
      </c>
    </row>
    <row r="184" spans="1:5">
      <c r="A184" s="35" t="s">
        <v>1750</v>
      </c>
      <c r="B184" s="36" t="s">
        <v>756</v>
      </c>
      <c r="C184" s="39" t="s">
        <v>1751</v>
      </c>
      <c r="D184" s="44" t="s">
        <v>1575</v>
      </c>
      <c r="E184" s="44" t="s">
        <v>1754</v>
      </c>
    </row>
    <row r="185" spans="1:5">
      <c r="A185" s="35" t="s">
        <v>354</v>
      </c>
      <c r="B185" s="36" t="s">
        <v>756</v>
      </c>
      <c r="C185" s="37" t="s">
        <v>1221</v>
      </c>
      <c r="D185" s="44" t="s">
        <v>1575</v>
      </c>
      <c r="E185" s="44" t="s">
        <v>1754</v>
      </c>
    </row>
    <row r="186" spans="1:5">
      <c r="A186" s="35" t="s">
        <v>1504</v>
      </c>
      <c r="B186" s="36" t="s">
        <v>1508</v>
      </c>
      <c r="C186" s="37" t="s">
        <v>1509</v>
      </c>
      <c r="D186" s="44" t="s">
        <v>1575</v>
      </c>
      <c r="E186" s="44" t="s">
        <v>1754</v>
      </c>
    </row>
    <row r="187" spans="1:5">
      <c r="A187" s="45" t="s">
        <v>1510</v>
      </c>
      <c r="B187" s="36" t="s">
        <v>753</v>
      </c>
      <c r="C187" s="45" t="s">
        <v>1511</v>
      </c>
      <c r="D187" s="44" t="s">
        <v>1619</v>
      </c>
      <c r="E187" s="44" t="s">
        <v>1754</v>
      </c>
    </row>
    <row r="188" spans="1:5">
      <c r="A188" s="35" t="s">
        <v>357</v>
      </c>
      <c r="B188" s="36" t="s">
        <v>753</v>
      </c>
      <c r="C188" s="37" t="s">
        <v>1217</v>
      </c>
      <c r="D188" s="44" t="s">
        <v>1619</v>
      </c>
      <c r="E188" s="44" t="s">
        <v>1754</v>
      </c>
    </row>
    <row r="189" spans="1:5">
      <c r="A189" s="35" t="s">
        <v>353</v>
      </c>
      <c r="B189" s="36" t="s">
        <v>752</v>
      </c>
      <c r="C189" s="37" t="s">
        <v>1216</v>
      </c>
      <c r="D189" s="44" t="s">
        <v>1575</v>
      </c>
      <c r="E189" s="44" t="s">
        <v>1754</v>
      </c>
    </row>
    <row r="190" spans="1:5">
      <c r="A190" s="35" t="s">
        <v>220</v>
      </c>
      <c r="B190" s="36" t="s">
        <v>633</v>
      </c>
      <c r="C190" s="37" t="s">
        <v>1083</v>
      </c>
      <c r="D190" s="44" t="s">
        <v>1620</v>
      </c>
      <c r="E190" s="44" t="s">
        <v>1754</v>
      </c>
    </row>
    <row r="191" spans="1:5">
      <c r="A191" s="35" t="s">
        <v>221</v>
      </c>
      <c r="B191" s="36" t="s">
        <v>634</v>
      </c>
      <c r="C191" s="37" t="s">
        <v>1084</v>
      </c>
      <c r="D191" s="44" t="s">
        <v>1620</v>
      </c>
      <c r="E191" s="44" t="s">
        <v>1754</v>
      </c>
    </row>
    <row r="192" spans="1:5">
      <c r="A192" s="35" t="s">
        <v>222</v>
      </c>
      <c r="B192" s="36" t="s">
        <v>635</v>
      </c>
      <c r="C192" s="37" t="s">
        <v>1085</v>
      </c>
      <c r="D192" s="44" t="s">
        <v>1620</v>
      </c>
      <c r="E192" s="44" t="s">
        <v>1754</v>
      </c>
    </row>
    <row r="193" spans="1:5">
      <c r="A193" s="35" t="s">
        <v>63</v>
      </c>
      <c r="B193" s="36" t="s">
        <v>514</v>
      </c>
      <c r="C193" s="37" t="s">
        <v>959</v>
      </c>
      <c r="D193" s="44" t="s">
        <v>1621</v>
      </c>
      <c r="E193" s="44" t="s">
        <v>1754</v>
      </c>
    </row>
    <row r="194" spans="1:5">
      <c r="A194" s="35" t="s">
        <v>64</v>
      </c>
      <c r="B194" s="36" t="s">
        <v>514</v>
      </c>
      <c r="C194" s="37" t="s">
        <v>960</v>
      </c>
      <c r="D194" s="44" t="s">
        <v>1621</v>
      </c>
      <c r="E194" s="44" t="s">
        <v>1754</v>
      </c>
    </row>
    <row r="195" spans="1:5">
      <c r="A195" s="35" t="s">
        <v>436</v>
      </c>
      <c r="B195" s="36" t="s">
        <v>828</v>
      </c>
      <c r="C195" s="37" t="s">
        <v>1291</v>
      </c>
      <c r="D195" s="44" t="s">
        <v>1575</v>
      </c>
      <c r="E195" s="44" t="s">
        <v>1754</v>
      </c>
    </row>
    <row r="196" spans="1:5">
      <c r="A196" s="35" t="s">
        <v>437</v>
      </c>
      <c r="B196" s="36" t="s">
        <v>829</v>
      </c>
      <c r="C196" s="37" t="s">
        <v>1292</v>
      </c>
      <c r="D196" s="44" t="s">
        <v>1614</v>
      </c>
      <c r="E196" s="44" t="s">
        <v>1754</v>
      </c>
    </row>
    <row r="197" spans="1:5">
      <c r="A197" s="35" t="s">
        <v>50</v>
      </c>
      <c r="B197" s="36" t="s">
        <v>503</v>
      </c>
      <c r="C197" s="37" t="s">
        <v>947</v>
      </c>
      <c r="D197" s="44" t="s">
        <v>1622</v>
      </c>
      <c r="E197" s="44" t="s">
        <v>1754</v>
      </c>
    </row>
    <row r="198" spans="1:5">
      <c r="A198" s="35" t="s">
        <v>51</v>
      </c>
      <c r="B198" s="36" t="s">
        <v>503</v>
      </c>
      <c r="C198" s="37" t="s">
        <v>948</v>
      </c>
      <c r="D198" s="44" t="s">
        <v>1622</v>
      </c>
      <c r="E198" s="44" t="s">
        <v>1754</v>
      </c>
    </row>
    <row r="199" spans="1:5">
      <c r="A199" s="35" t="s">
        <v>52</v>
      </c>
      <c r="B199" s="36" t="s">
        <v>504</v>
      </c>
      <c r="C199" s="37" t="s">
        <v>949</v>
      </c>
      <c r="D199" s="44" t="s">
        <v>1622</v>
      </c>
      <c r="E199" s="44" t="s">
        <v>1754</v>
      </c>
    </row>
    <row r="200" spans="1:5">
      <c r="A200" s="35" t="s">
        <v>53</v>
      </c>
      <c r="B200" s="36" t="s">
        <v>505</v>
      </c>
      <c r="C200" s="37" t="s">
        <v>950</v>
      </c>
      <c r="D200" s="44" t="s">
        <v>1622</v>
      </c>
      <c r="E200" s="44" t="s">
        <v>1754</v>
      </c>
    </row>
    <row r="201" spans="1:5">
      <c r="A201" s="35" t="s">
        <v>54</v>
      </c>
      <c r="B201" s="36" t="s">
        <v>506</v>
      </c>
      <c r="C201" s="37" t="s">
        <v>951</v>
      </c>
      <c r="D201" s="44" t="s">
        <v>1622</v>
      </c>
      <c r="E201" s="44" t="s">
        <v>1754</v>
      </c>
    </row>
    <row r="202" spans="1:5">
      <c r="A202" s="35" t="s">
        <v>55</v>
      </c>
      <c r="B202" s="36" t="s">
        <v>507</v>
      </c>
      <c r="C202" s="37" t="s">
        <v>952</v>
      </c>
      <c r="D202" s="44" t="s">
        <v>1622</v>
      </c>
      <c r="E202" s="44" t="s">
        <v>1754</v>
      </c>
    </row>
    <row r="203" spans="1:5">
      <c r="A203" s="38" t="s">
        <v>56</v>
      </c>
      <c r="B203" s="18" t="s">
        <v>860</v>
      </c>
      <c r="C203" s="37" t="s">
        <v>861</v>
      </c>
      <c r="D203" s="44" t="s">
        <v>1622</v>
      </c>
      <c r="E203" s="44" t="s">
        <v>1754</v>
      </c>
    </row>
    <row r="204" spans="1:5">
      <c r="A204" s="35" t="s">
        <v>1331</v>
      </c>
      <c r="B204" s="36" t="s">
        <v>1333</v>
      </c>
      <c r="C204" s="37" t="s">
        <v>1332</v>
      </c>
      <c r="D204" s="44" t="s">
        <v>1622</v>
      </c>
      <c r="E204" s="44" t="s">
        <v>1754</v>
      </c>
    </row>
    <row r="205" spans="1:5">
      <c r="A205" s="35" t="s">
        <v>57</v>
      </c>
      <c r="B205" s="36" t="s">
        <v>508</v>
      </c>
      <c r="C205" s="37" t="s">
        <v>953</v>
      </c>
      <c r="D205" s="44" t="s">
        <v>1622</v>
      </c>
      <c r="E205" s="44" t="s">
        <v>1754</v>
      </c>
    </row>
    <row r="206" spans="1:5">
      <c r="A206" s="35" t="s">
        <v>58</v>
      </c>
      <c r="B206" s="36" t="s">
        <v>509</v>
      </c>
      <c r="C206" s="37" t="s">
        <v>954</v>
      </c>
      <c r="D206" s="44" t="s">
        <v>1622</v>
      </c>
      <c r="E206" s="44" t="s">
        <v>1754</v>
      </c>
    </row>
    <row r="207" spans="1:5">
      <c r="A207" s="44" t="s">
        <v>1381</v>
      </c>
      <c r="B207" s="36" t="s">
        <v>1382</v>
      </c>
      <c r="C207" s="37" t="s">
        <v>1383</v>
      </c>
      <c r="D207" s="44" t="s">
        <v>1576</v>
      </c>
      <c r="E207" s="44" t="s">
        <v>1754</v>
      </c>
    </row>
    <row r="208" spans="1:5">
      <c r="A208" s="44" t="s">
        <v>1633</v>
      </c>
      <c r="B208" s="36" t="s">
        <v>589</v>
      </c>
      <c r="C208" s="45" t="s">
        <v>1658</v>
      </c>
      <c r="D208" s="44" t="s">
        <v>1576</v>
      </c>
      <c r="E208" s="44" t="s">
        <v>1754</v>
      </c>
    </row>
    <row r="209" spans="1:5">
      <c r="A209" s="35" t="s">
        <v>163</v>
      </c>
      <c r="B209" s="36" t="s">
        <v>589</v>
      </c>
      <c r="C209" s="37" t="s">
        <v>1039</v>
      </c>
      <c r="D209" s="44" t="s">
        <v>1576</v>
      </c>
      <c r="E209" s="44" t="s">
        <v>1754</v>
      </c>
    </row>
    <row r="210" spans="1:5">
      <c r="A210" s="35" t="s">
        <v>164</v>
      </c>
      <c r="B210" s="36" t="s">
        <v>590</v>
      </c>
      <c r="C210" s="37" t="s">
        <v>1040</v>
      </c>
      <c r="D210" s="44" t="s">
        <v>1576</v>
      </c>
      <c r="E210" s="44" t="s">
        <v>1754</v>
      </c>
    </row>
    <row r="211" spans="1:5">
      <c r="A211" s="38" t="s">
        <v>165</v>
      </c>
      <c r="B211" s="18" t="s">
        <v>591</v>
      </c>
      <c r="C211" s="37" t="s">
        <v>1014</v>
      </c>
      <c r="D211" s="44" t="s">
        <v>1576</v>
      </c>
      <c r="E211" s="44" t="s">
        <v>1754</v>
      </c>
    </row>
    <row r="212" spans="1:5">
      <c r="A212" s="46" t="s">
        <v>1341</v>
      </c>
      <c r="B212" s="18" t="s">
        <v>589</v>
      </c>
      <c r="C212" s="45" t="s">
        <v>1348</v>
      </c>
      <c r="D212" s="44" t="s">
        <v>1576</v>
      </c>
      <c r="E212" s="44" t="s">
        <v>1754</v>
      </c>
    </row>
    <row r="213" spans="1:5">
      <c r="A213" s="44" t="s">
        <v>1384</v>
      </c>
      <c r="B213" s="18" t="s">
        <v>591</v>
      </c>
      <c r="C213" s="37" t="s">
        <v>1385</v>
      </c>
      <c r="D213" s="44" t="s">
        <v>1576</v>
      </c>
      <c r="E213" s="44" t="s">
        <v>1754</v>
      </c>
    </row>
    <row r="214" spans="1:5">
      <c r="A214" s="35" t="s">
        <v>166</v>
      </c>
      <c r="B214" s="36" t="s">
        <v>592</v>
      </c>
      <c r="C214" s="37" t="s">
        <v>1041</v>
      </c>
      <c r="D214" s="44" t="s">
        <v>1576</v>
      </c>
      <c r="E214" s="44" t="s">
        <v>1754</v>
      </c>
    </row>
    <row r="215" spans="1:5">
      <c r="A215" s="44" t="s">
        <v>1634</v>
      </c>
      <c r="B215" s="36" t="s">
        <v>1317</v>
      </c>
      <c r="C215" s="45" t="s">
        <v>1659</v>
      </c>
      <c r="D215" s="44" t="s">
        <v>1576</v>
      </c>
      <c r="E215" s="44" t="s">
        <v>1754</v>
      </c>
    </row>
    <row r="216" spans="1:5">
      <c r="A216" s="35" t="s">
        <v>167</v>
      </c>
      <c r="B216" s="36" t="s">
        <v>592</v>
      </c>
      <c r="C216" s="37" t="s">
        <v>1042</v>
      </c>
      <c r="D216" s="44" t="s">
        <v>1576</v>
      </c>
      <c r="E216" s="44" t="s">
        <v>1754</v>
      </c>
    </row>
    <row r="217" spans="1:5">
      <c r="A217" s="44" t="s">
        <v>1342</v>
      </c>
      <c r="B217" s="36" t="s">
        <v>592</v>
      </c>
      <c r="C217" s="37" t="s">
        <v>1347</v>
      </c>
      <c r="D217" s="44" t="s">
        <v>1576</v>
      </c>
      <c r="E217" s="44" t="s">
        <v>1754</v>
      </c>
    </row>
    <row r="218" spans="1:5">
      <c r="A218" s="35" t="s">
        <v>168</v>
      </c>
      <c r="B218" s="36" t="s">
        <v>593</v>
      </c>
      <c r="C218" s="37" t="s">
        <v>1043</v>
      </c>
      <c r="D218" s="44" t="s">
        <v>1576</v>
      </c>
      <c r="E218" s="44" t="s">
        <v>1754</v>
      </c>
    </row>
    <row r="219" spans="1:5">
      <c r="A219" s="38" t="s">
        <v>1322</v>
      </c>
      <c r="B219" s="18" t="s">
        <v>1329</v>
      </c>
      <c r="C219" s="37" t="s">
        <v>1328</v>
      </c>
      <c r="D219" s="44" t="s">
        <v>1576</v>
      </c>
      <c r="E219" s="44" t="s">
        <v>1754</v>
      </c>
    </row>
    <row r="220" spans="1:5">
      <c r="A220" s="35" t="s">
        <v>169</v>
      </c>
      <c r="B220" s="36" t="s">
        <v>587</v>
      </c>
      <c r="C220" s="37" t="s">
        <v>1044</v>
      </c>
      <c r="D220" s="44" t="s">
        <v>1576</v>
      </c>
      <c r="E220" s="44" t="s">
        <v>1754</v>
      </c>
    </row>
    <row r="221" spans="1:5">
      <c r="A221" s="35" t="s">
        <v>170</v>
      </c>
      <c r="B221" s="36" t="s">
        <v>594</v>
      </c>
      <c r="C221" s="37" t="s">
        <v>1045</v>
      </c>
      <c r="D221" s="44" t="s">
        <v>1576</v>
      </c>
      <c r="E221" s="44" t="s">
        <v>1754</v>
      </c>
    </row>
    <row r="222" spans="1:5">
      <c r="A222" s="45" t="s">
        <v>1512</v>
      </c>
      <c r="B222" s="36" t="s">
        <v>1317</v>
      </c>
      <c r="C222" s="39" t="s">
        <v>1513</v>
      </c>
      <c r="D222" s="44" t="s">
        <v>1576</v>
      </c>
      <c r="E222" s="44" t="s">
        <v>1754</v>
      </c>
    </row>
    <row r="223" spans="1:5">
      <c r="A223" s="44" t="s">
        <v>1514</v>
      </c>
      <c r="B223" s="36" t="s">
        <v>1317</v>
      </c>
      <c r="C223" s="39" t="s">
        <v>1515</v>
      </c>
      <c r="D223" s="44" t="s">
        <v>1576</v>
      </c>
      <c r="E223" s="44" t="s">
        <v>1754</v>
      </c>
    </row>
    <row r="224" spans="1:5">
      <c r="A224" s="35" t="s">
        <v>171</v>
      </c>
      <c r="B224" s="36" t="s">
        <v>595</v>
      </c>
      <c r="C224" s="37" t="s">
        <v>1046</v>
      </c>
      <c r="D224" s="44" t="s">
        <v>1576</v>
      </c>
      <c r="E224" s="44" t="s">
        <v>1754</v>
      </c>
    </row>
    <row r="225" spans="1:5">
      <c r="A225" s="38" t="s">
        <v>1015</v>
      </c>
      <c r="B225" s="18" t="s">
        <v>1016</v>
      </c>
      <c r="C225" s="37" t="s">
        <v>1017</v>
      </c>
      <c r="D225" s="44" t="s">
        <v>1576</v>
      </c>
      <c r="E225" s="44" t="s">
        <v>1754</v>
      </c>
    </row>
    <row r="226" spans="1:5">
      <c r="A226" s="44" t="s">
        <v>1386</v>
      </c>
      <c r="B226" s="36" t="s">
        <v>597</v>
      </c>
      <c r="C226" s="37" t="s">
        <v>1387</v>
      </c>
      <c r="D226" s="44" t="s">
        <v>1576</v>
      </c>
      <c r="E226" s="44" t="s">
        <v>1754</v>
      </c>
    </row>
    <row r="227" spans="1:5">
      <c r="A227" s="35" t="s">
        <v>173</v>
      </c>
      <c r="B227" s="36" t="s">
        <v>597</v>
      </c>
      <c r="C227" s="37" t="s">
        <v>1048</v>
      </c>
      <c r="D227" s="44" t="s">
        <v>1576</v>
      </c>
      <c r="E227" s="44" t="s">
        <v>1754</v>
      </c>
    </row>
    <row r="228" spans="1:5">
      <c r="A228" s="35" t="s">
        <v>172</v>
      </c>
      <c r="B228" s="36" t="s">
        <v>596</v>
      </c>
      <c r="C228" s="37" t="s">
        <v>1047</v>
      </c>
      <c r="D228" s="44" t="s">
        <v>1575</v>
      </c>
      <c r="E228" s="44" t="s">
        <v>1754</v>
      </c>
    </row>
    <row r="229" spans="1:5">
      <c r="A229" s="38" t="s">
        <v>1018</v>
      </c>
      <c r="B229" s="18" t="s">
        <v>1019</v>
      </c>
      <c r="C229" s="37" t="s">
        <v>1020</v>
      </c>
      <c r="D229" s="44" t="s">
        <v>1576</v>
      </c>
      <c r="E229" s="44" t="s">
        <v>1754</v>
      </c>
    </row>
    <row r="230" spans="1:5">
      <c r="A230" s="44" t="s">
        <v>1388</v>
      </c>
      <c r="B230" s="18" t="s">
        <v>1019</v>
      </c>
      <c r="C230" s="37" t="s">
        <v>1389</v>
      </c>
      <c r="D230" s="44" t="s">
        <v>1576</v>
      </c>
      <c r="E230" s="44" t="s">
        <v>1754</v>
      </c>
    </row>
    <row r="231" spans="1:5">
      <c r="A231" s="55" t="s">
        <v>1737</v>
      </c>
      <c r="B231" s="36" t="s">
        <v>592</v>
      </c>
      <c r="C231" s="45" t="s">
        <v>1738</v>
      </c>
      <c r="D231" s="44" t="s">
        <v>1576</v>
      </c>
      <c r="E231" s="44" t="s">
        <v>1754</v>
      </c>
    </row>
    <row r="232" spans="1:5">
      <c r="A232" s="35" t="s">
        <v>174</v>
      </c>
      <c r="B232" s="36" t="s">
        <v>592</v>
      </c>
      <c r="C232" s="37" t="s">
        <v>1049</v>
      </c>
      <c r="D232" s="44" t="s">
        <v>1576</v>
      </c>
      <c r="E232" s="44" t="s">
        <v>1754</v>
      </c>
    </row>
    <row r="233" spans="1:5">
      <c r="A233" s="35" t="s">
        <v>175</v>
      </c>
      <c r="B233" s="36" t="s">
        <v>598</v>
      </c>
      <c r="C233" s="37" t="s">
        <v>1050</v>
      </c>
      <c r="D233" s="44" t="s">
        <v>1576</v>
      </c>
      <c r="E233" s="44" t="s">
        <v>1754</v>
      </c>
    </row>
    <row r="234" spans="1:5">
      <c r="A234" s="38" t="s">
        <v>1021</v>
      </c>
      <c r="B234" s="18" t="s">
        <v>598</v>
      </c>
      <c r="C234" s="37" t="s">
        <v>1022</v>
      </c>
      <c r="D234" s="44" t="s">
        <v>1576</v>
      </c>
      <c r="E234" s="44" t="s">
        <v>1754</v>
      </c>
    </row>
    <row r="235" spans="1:5">
      <c r="A235" s="35" t="s">
        <v>176</v>
      </c>
      <c r="B235" s="36" t="s">
        <v>599</v>
      </c>
      <c r="C235" s="37" t="s">
        <v>1051</v>
      </c>
      <c r="D235" s="44" t="s">
        <v>1576</v>
      </c>
      <c r="E235" s="44" t="s">
        <v>1754</v>
      </c>
    </row>
    <row r="236" spans="1:5">
      <c r="A236" s="35" t="s">
        <v>177</v>
      </c>
      <c r="B236" s="36" t="s">
        <v>600</v>
      </c>
      <c r="C236" s="37" t="s">
        <v>1052</v>
      </c>
      <c r="D236" s="44" t="s">
        <v>1576</v>
      </c>
      <c r="E236" s="44" t="s">
        <v>1754</v>
      </c>
    </row>
    <row r="237" spans="1:5">
      <c r="A237" s="44" t="s">
        <v>1390</v>
      </c>
      <c r="B237" s="36" t="s">
        <v>600</v>
      </c>
      <c r="C237" s="37" t="s">
        <v>1391</v>
      </c>
      <c r="D237" s="44" t="s">
        <v>1576</v>
      </c>
      <c r="E237" s="44" t="s">
        <v>1754</v>
      </c>
    </row>
    <row r="238" spans="1:5">
      <c r="A238" s="35" t="s">
        <v>178</v>
      </c>
      <c r="B238" s="36" t="s">
        <v>579</v>
      </c>
      <c r="C238" s="37" t="s">
        <v>1053</v>
      </c>
      <c r="D238" s="44" t="s">
        <v>1576</v>
      </c>
      <c r="E238" s="44" t="s">
        <v>1754</v>
      </c>
    </row>
    <row r="239" spans="1:5">
      <c r="A239" s="38" t="s">
        <v>179</v>
      </c>
      <c r="B239" s="18" t="s">
        <v>1336</v>
      </c>
      <c r="C239" s="37" t="s">
        <v>1023</v>
      </c>
      <c r="D239" s="44" t="s">
        <v>1576</v>
      </c>
      <c r="E239" s="44" t="s">
        <v>1754</v>
      </c>
    </row>
    <row r="240" spans="1:5">
      <c r="A240" s="55" t="s">
        <v>1734</v>
      </c>
      <c r="B240" s="36" t="s">
        <v>1735</v>
      </c>
      <c r="C240" s="45" t="s">
        <v>1736</v>
      </c>
      <c r="D240" s="44" t="s">
        <v>1576</v>
      </c>
      <c r="E240" s="44" t="s">
        <v>1754</v>
      </c>
    </row>
    <row r="241" spans="1:5">
      <c r="A241" s="35" t="s">
        <v>180</v>
      </c>
      <c r="B241" s="36" t="s">
        <v>580</v>
      </c>
      <c r="C241" s="37" t="s">
        <v>1054</v>
      </c>
      <c r="D241" s="44" t="s">
        <v>1576</v>
      </c>
      <c r="E241" s="44" t="s">
        <v>1754</v>
      </c>
    </row>
    <row r="242" spans="1:5">
      <c r="A242" s="46" t="s">
        <v>1343</v>
      </c>
      <c r="B242" s="18" t="s">
        <v>605</v>
      </c>
      <c r="C242" s="39" t="s">
        <v>1345</v>
      </c>
      <c r="D242" s="44" t="s">
        <v>1576</v>
      </c>
      <c r="E242" s="44" t="s">
        <v>1754</v>
      </c>
    </row>
    <row r="243" spans="1:5">
      <c r="A243" s="35" t="s">
        <v>181</v>
      </c>
      <c r="B243" s="36" t="s">
        <v>601</v>
      </c>
      <c r="C243" s="37" t="s">
        <v>1055</v>
      </c>
      <c r="D243" s="44" t="s">
        <v>1576</v>
      </c>
      <c r="E243" s="44" t="s">
        <v>1754</v>
      </c>
    </row>
    <row r="244" spans="1:5">
      <c r="A244" s="44" t="s">
        <v>1344</v>
      </c>
      <c r="B244" s="36" t="s">
        <v>601</v>
      </c>
      <c r="C244" s="37" t="s">
        <v>1346</v>
      </c>
      <c r="D244" s="44" t="s">
        <v>1576</v>
      </c>
      <c r="E244" s="44" t="s">
        <v>1754</v>
      </c>
    </row>
    <row r="245" spans="1:5">
      <c r="A245" s="35" t="s">
        <v>182</v>
      </c>
      <c r="B245" s="36" t="s">
        <v>602</v>
      </c>
      <c r="C245" s="37" t="s">
        <v>1056</v>
      </c>
      <c r="D245" s="44" t="s">
        <v>1576</v>
      </c>
      <c r="E245" s="44" t="s">
        <v>1754</v>
      </c>
    </row>
    <row r="246" spans="1:5">
      <c r="A246" s="35" t="s">
        <v>183</v>
      </c>
      <c r="B246" s="36" t="s">
        <v>603</v>
      </c>
      <c r="C246" s="37" t="s">
        <v>1057</v>
      </c>
      <c r="D246" s="44" t="s">
        <v>1576</v>
      </c>
      <c r="E246" s="44" t="s">
        <v>1754</v>
      </c>
    </row>
    <row r="247" spans="1:5">
      <c r="A247" s="35" t="s">
        <v>184</v>
      </c>
      <c r="B247" s="36" t="s">
        <v>604</v>
      </c>
      <c r="C247" s="37" t="s">
        <v>1058</v>
      </c>
      <c r="D247" s="44" t="s">
        <v>1576</v>
      </c>
      <c r="E247" s="44" t="s">
        <v>1754</v>
      </c>
    </row>
    <row r="248" spans="1:5">
      <c r="A248" s="38" t="s">
        <v>185</v>
      </c>
      <c r="B248" s="18" t="s">
        <v>605</v>
      </c>
      <c r="C248" s="37" t="s">
        <v>1024</v>
      </c>
      <c r="D248" s="44" t="s">
        <v>1576</v>
      </c>
      <c r="E248" s="44" t="s">
        <v>1754</v>
      </c>
    </row>
    <row r="249" spans="1:5">
      <c r="A249" s="35" t="s">
        <v>186</v>
      </c>
      <c r="B249" s="36" t="s">
        <v>606</v>
      </c>
      <c r="C249" s="37" t="s">
        <v>1059</v>
      </c>
      <c r="D249" s="44" t="s">
        <v>1576</v>
      </c>
      <c r="E249" s="44" t="s">
        <v>1754</v>
      </c>
    </row>
    <row r="250" spans="1:5">
      <c r="A250" s="35" t="s">
        <v>187</v>
      </c>
      <c r="B250" s="36" t="s">
        <v>607</v>
      </c>
      <c r="C250" s="37" t="s">
        <v>1060</v>
      </c>
      <c r="D250" s="44" t="s">
        <v>1575</v>
      </c>
      <c r="E250" s="44" t="s">
        <v>1754</v>
      </c>
    </row>
    <row r="251" spans="1:5">
      <c r="A251" s="35" t="s">
        <v>194</v>
      </c>
      <c r="B251" s="36" t="s">
        <v>613</v>
      </c>
      <c r="C251" s="37" t="s">
        <v>1065</v>
      </c>
      <c r="D251" s="44" t="s">
        <v>1575</v>
      </c>
      <c r="E251" s="44" t="s">
        <v>1754</v>
      </c>
    </row>
    <row r="252" spans="1:5">
      <c r="A252" s="35" t="s">
        <v>188</v>
      </c>
      <c r="B252" s="36" t="s">
        <v>608</v>
      </c>
      <c r="C252" s="37" t="s">
        <v>1061</v>
      </c>
      <c r="D252" s="44" t="s">
        <v>1576</v>
      </c>
      <c r="E252" s="44" t="s">
        <v>1754</v>
      </c>
    </row>
    <row r="253" spans="1:5">
      <c r="A253" s="44" t="s">
        <v>1623</v>
      </c>
      <c r="B253" s="36" t="s">
        <v>592</v>
      </c>
      <c r="C253" s="45" t="s">
        <v>1624</v>
      </c>
      <c r="D253" s="44" t="s">
        <v>1576</v>
      </c>
      <c r="E253" s="44" t="s">
        <v>1754</v>
      </c>
    </row>
    <row r="254" spans="1:5">
      <c r="A254" s="35" t="s">
        <v>1312</v>
      </c>
      <c r="B254" s="36" t="s">
        <v>1317</v>
      </c>
      <c r="C254" s="39" t="s">
        <v>1318</v>
      </c>
      <c r="D254" s="44" t="s">
        <v>1576</v>
      </c>
      <c r="E254" s="44" t="s">
        <v>1754</v>
      </c>
    </row>
    <row r="255" spans="1:5">
      <c r="A255" s="44" t="s">
        <v>1392</v>
      </c>
      <c r="B255" s="36" t="s">
        <v>1317</v>
      </c>
      <c r="C255" s="37" t="s">
        <v>1393</v>
      </c>
      <c r="D255" s="44" t="s">
        <v>1576</v>
      </c>
      <c r="E255" s="44" t="s">
        <v>1754</v>
      </c>
    </row>
    <row r="256" spans="1:5">
      <c r="A256" s="38" t="s">
        <v>153</v>
      </c>
      <c r="B256" s="18" t="s">
        <v>579</v>
      </c>
      <c r="C256" s="37" t="s">
        <v>1025</v>
      </c>
      <c r="D256" s="44" t="s">
        <v>1576</v>
      </c>
      <c r="E256" s="44" t="s">
        <v>1754</v>
      </c>
    </row>
    <row r="257" spans="1:5">
      <c r="A257" s="38" t="s">
        <v>155</v>
      </c>
      <c r="B257" s="18" t="s">
        <v>581</v>
      </c>
      <c r="C257" s="37" t="s">
        <v>1026</v>
      </c>
      <c r="D257" s="44" t="s">
        <v>1576</v>
      </c>
      <c r="E257" s="44" t="s">
        <v>1754</v>
      </c>
    </row>
    <row r="258" spans="1:5">
      <c r="A258" s="38" t="s">
        <v>154</v>
      </c>
      <c r="B258" s="18" t="s">
        <v>580</v>
      </c>
      <c r="C258" s="37" t="s">
        <v>1027</v>
      </c>
      <c r="D258" s="44" t="s">
        <v>1576</v>
      </c>
      <c r="E258" s="44" t="s">
        <v>1754</v>
      </c>
    </row>
    <row r="259" spans="1:5">
      <c r="A259" s="35" t="s">
        <v>189</v>
      </c>
      <c r="B259" s="36" t="s">
        <v>609</v>
      </c>
      <c r="C259" s="37" t="s">
        <v>1062</v>
      </c>
      <c r="D259" s="44" t="s">
        <v>1576</v>
      </c>
      <c r="E259" s="44" t="s">
        <v>1754</v>
      </c>
    </row>
    <row r="260" spans="1:5">
      <c r="A260" s="35" t="s">
        <v>195</v>
      </c>
      <c r="B260" s="36" t="s">
        <v>614</v>
      </c>
      <c r="C260" s="37" t="s">
        <v>1066</v>
      </c>
      <c r="D260" s="44" t="s">
        <v>1575</v>
      </c>
      <c r="E260" s="44" t="s">
        <v>1754</v>
      </c>
    </row>
    <row r="261" spans="1:5">
      <c r="A261" s="35" t="s">
        <v>152</v>
      </c>
      <c r="B261" s="36" t="s">
        <v>578</v>
      </c>
      <c r="C261" s="37" t="s">
        <v>1035</v>
      </c>
      <c r="D261" s="44" t="s">
        <v>1576</v>
      </c>
      <c r="E261" s="44" t="s">
        <v>1754</v>
      </c>
    </row>
    <row r="262" spans="1:5">
      <c r="A262" s="38" t="s">
        <v>190</v>
      </c>
      <c r="B262" s="18" t="s">
        <v>610</v>
      </c>
      <c r="C262" s="37" t="s">
        <v>1028</v>
      </c>
      <c r="D262" s="44" t="s">
        <v>1576</v>
      </c>
      <c r="E262" s="44" t="s">
        <v>1754</v>
      </c>
    </row>
    <row r="263" spans="1:5">
      <c r="A263" s="38" t="s">
        <v>191</v>
      </c>
      <c r="B263" s="18" t="s">
        <v>605</v>
      </c>
      <c r="C263" s="37" t="s">
        <v>1029</v>
      </c>
      <c r="D263" s="44" t="s">
        <v>1576</v>
      </c>
      <c r="E263" s="44" t="s">
        <v>1754</v>
      </c>
    </row>
    <row r="264" spans="1:5">
      <c r="A264" s="35" t="s">
        <v>192</v>
      </c>
      <c r="B264" s="36" t="s">
        <v>611</v>
      </c>
      <c r="C264" s="37" t="s">
        <v>1063</v>
      </c>
      <c r="D264" s="44" t="s">
        <v>1576</v>
      </c>
      <c r="E264" s="44" t="s">
        <v>1754</v>
      </c>
    </row>
    <row r="265" spans="1:5">
      <c r="A265" s="45" t="s">
        <v>1669</v>
      </c>
      <c r="B265" s="36" t="s">
        <v>1670</v>
      </c>
      <c r="C265" s="45" t="s">
        <v>1671</v>
      </c>
      <c r="D265" s="44" t="s">
        <v>1576</v>
      </c>
      <c r="E265" s="44" t="s">
        <v>1754</v>
      </c>
    </row>
    <row r="266" spans="1:5">
      <c r="A266" s="35" t="s">
        <v>193</v>
      </c>
      <c r="B266" s="36" t="s">
        <v>612</v>
      </c>
      <c r="C266" s="37" t="s">
        <v>1064</v>
      </c>
      <c r="D266" s="44" t="s">
        <v>1575</v>
      </c>
      <c r="E266" s="44" t="s">
        <v>1754</v>
      </c>
    </row>
    <row r="267" spans="1:5">
      <c r="A267" s="38" t="s">
        <v>157</v>
      </c>
      <c r="B267" s="18" t="s">
        <v>583</v>
      </c>
      <c r="C267" s="37" t="s">
        <v>1030</v>
      </c>
      <c r="D267" s="44" t="s">
        <v>1576</v>
      </c>
      <c r="E267" s="44" t="s">
        <v>1754</v>
      </c>
    </row>
    <row r="268" spans="1:5">
      <c r="A268" s="35" t="s">
        <v>158</v>
      </c>
      <c r="B268" s="36" t="s">
        <v>584</v>
      </c>
      <c r="C268" s="37" t="s">
        <v>1036</v>
      </c>
      <c r="D268" s="44" t="s">
        <v>1576</v>
      </c>
      <c r="E268" s="44" t="s">
        <v>1754</v>
      </c>
    </row>
    <row r="269" spans="1:5">
      <c r="A269" s="38" t="s">
        <v>156</v>
      </c>
      <c r="B269" s="18" t="s">
        <v>582</v>
      </c>
      <c r="C269" s="37" t="s">
        <v>1031</v>
      </c>
      <c r="D269" s="44" t="s">
        <v>1576</v>
      </c>
      <c r="E269" s="44" t="s">
        <v>1754</v>
      </c>
    </row>
    <row r="270" spans="1:5">
      <c r="A270" s="38" t="s">
        <v>159</v>
      </c>
      <c r="B270" s="18" t="s">
        <v>585</v>
      </c>
      <c r="C270" s="37" t="s">
        <v>1032</v>
      </c>
      <c r="D270" s="44" t="s">
        <v>1576</v>
      </c>
      <c r="E270" s="44" t="s">
        <v>1754</v>
      </c>
    </row>
    <row r="271" spans="1:5">
      <c r="A271" s="35" t="s">
        <v>160</v>
      </c>
      <c r="B271" s="36" t="s">
        <v>586</v>
      </c>
      <c r="C271" s="37" t="s">
        <v>1037</v>
      </c>
      <c r="D271" s="44" t="s">
        <v>1576</v>
      </c>
      <c r="E271" s="44" t="s">
        <v>1754</v>
      </c>
    </row>
    <row r="272" spans="1:5">
      <c r="A272" s="38" t="s">
        <v>161</v>
      </c>
      <c r="B272" s="18" t="s">
        <v>587</v>
      </c>
      <c r="C272" s="37" t="s">
        <v>1033</v>
      </c>
      <c r="D272" s="44" t="s">
        <v>1576</v>
      </c>
      <c r="E272" s="44" t="s">
        <v>1754</v>
      </c>
    </row>
    <row r="273" spans="1:5">
      <c r="A273" s="35" t="s">
        <v>162</v>
      </c>
      <c r="B273" s="36" t="s">
        <v>588</v>
      </c>
      <c r="C273" s="37" t="s">
        <v>1038</v>
      </c>
      <c r="D273" s="44" t="s">
        <v>1576</v>
      </c>
      <c r="E273" s="44" t="s">
        <v>1754</v>
      </c>
    </row>
    <row r="274" spans="1:5">
      <c r="A274" s="38" t="s">
        <v>200</v>
      </c>
      <c r="B274" s="18" t="s">
        <v>803</v>
      </c>
      <c r="C274" s="37" t="s">
        <v>1034</v>
      </c>
      <c r="D274" s="44" t="s">
        <v>1614</v>
      </c>
      <c r="E274" s="44" t="s">
        <v>1754</v>
      </c>
    </row>
    <row r="275" spans="1:5">
      <c r="A275" s="55" t="s">
        <v>1732</v>
      </c>
      <c r="B275" s="36" t="s">
        <v>803</v>
      </c>
      <c r="C275" s="45" t="s">
        <v>1733</v>
      </c>
      <c r="D275" s="44" t="s">
        <v>1614</v>
      </c>
      <c r="E275" s="44" t="s">
        <v>1754</v>
      </c>
    </row>
    <row r="276" spans="1:5">
      <c r="A276" s="35" t="s">
        <v>201</v>
      </c>
      <c r="B276" s="18" t="s">
        <v>804</v>
      </c>
      <c r="C276" s="37" t="s">
        <v>1272</v>
      </c>
      <c r="D276" s="44" t="s">
        <v>1614</v>
      </c>
      <c r="E276" s="44" t="s">
        <v>1754</v>
      </c>
    </row>
    <row r="277" spans="1:5">
      <c r="A277" s="35" t="s">
        <v>8</v>
      </c>
      <c r="B277" s="18" t="s">
        <v>474</v>
      </c>
      <c r="C277" s="37" t="s">
        <v>923</v>
      </c>
      <c r="D277" s="44" t="s">
        <v>1625</v>
      </c>
      <c r="E277" s="44" t="s">
        <v>1754</v>
      </c>
    </row>
    <row r="278" spans="1:5">
      <c r="A278" s="35" t="s">
        <v>70</v>
      </c>
      <c r="B278" s="36" t="s">
        <v>520</v>
      </c>
      <c r="C278" s="37" t="s">
        <v>965</v>
      </c>
      <c r="D278" s="44" t="s">
        <v>1625</v>
      </c>
      <c r="E278" s="44" t="s">
        <v>1754</v>
      </c>
    </row>
    <row r="279" spans="1:5">
      <c r="A279" s="44" t="s">
        <v>1485</v>
      </c>
      <c r="B279" s="36" t="s">
        <v>1491</v>
      </c>
      <c r="C279" s="45" t="s">
        <v>1490</v>
      </c>
      <c r="D279" s="44" t="s">
        <v>1575</v>
      </c>
      <c r="E279" s="44" t="s">
        <v>1754</v>
      </c>
    </row>
    <row r="280" spans="1:5">
      <c r="A280" s="35" t="s">
        <v>12</v>
      </c>
      <c r="B280" s="36" t="s">
        <v>478</v>
      </c>
      <c r="C280" s="37" t="s">
        <v>925</v>
      </c>
      <c r="D280" s="44" t="s">
        <v>1625</v>
      </c>
      <c r="E280" s="44" t="s">
        <v>1754</v>
      </c>
    </row>
    <row r="281" spans="1:5">
      <c r="A281" s="35" t="s">
        <v>1330</v>
      </c>
      <c r="B281" s="36" t="s">
        <v>1334</v>
      </c>
      <c r="C281" s="37" t="s">
        <v>1335</v>
      </c>
      <c r="D281" s="44" t="s">
        <v>1625</v>
      </c>
      <c r="E281" s="44" t="s">
        <v>1754</v>
      </c>
    </row>
    <row r="282" spans="1:5">
      <c r="A282" s="55" t="s">
        <v>1713</v>
      </c>
      <c r="B282" s="36" t="s">
        <v>1334</v>
      </c>
      <c r="C282" s="45" t="s">
        <v>1714</v>
      </c>
      <c r="D282" s="44" t="s">
        <v>1625</v>
      </c>
      <c r="E282" s="44" t="s">
        <v>1754</v>
      </c>
    </row>
    <row r="283" spans="1:5">
      <c r="A283" s="35" t="s">
        <v>13</v>
      </c>
      <c r="B283" s="36" t="s">
        <v>479</v>
      </c>
      <c r="C283" s="37" t="s">
        <v>926</v>
      </c>
      <c r="D283" s="44" t="s">
        <v>1625</v>
      </c>
      <c r="E283" s="44" t="s">
        <v>1754</v>
      </c>
    </row>
    <row r="284" spans="1:5">
      <c r="A284" s="35" t="s">
        <v>14</v>
      </c>
      <c r="B284" s="36" t="s">
        <v>479</v>
      </c>
      <c r="C284" s="37" t="s">
        <v>927</v>
      </c>
      <c r="D284" s="44" t="s">
        <v>1625</v>
      </c>
      <c r="E284" s="44" t="s">
        <v>1754</v>
      </c>
    </row>
    <row r="285" spans="1:5">
      <c r="A285" s="35" t="s">
        <v>15</v>
      </c>
      <c r="B285" s="36" t="s">
        <v>480</v>
      </c>
      <c r="C285" s="37" t="s">
        <v>928</v>
      </c>
      <c r="D285" s="44" t="s">
        <v>1625</v>
      </c>
      <c r="E285" s="44" t="s">
        <v>1754</v>
      </c>
    </row>
    <row r="286" spans="1:5">
      <c r="A286" s="35" t="s">
        <v>16</v>
      </c>
      <c r="B286" s="36" t="s">
        <v>480</v>
      </c>
      <c r="C286" s="37" t="s">
        <v>929</v>
      </c>
      <c r="D286" s="44" t="s">
        <v>1625</v>
      </c>
      <c r="E286" s="44" t="s">
        <v>1754</v>
      </c>
    </row>
    <row r="287" spans="1:5">
      <c r="A287" s="44" t="s">
        <v>1394</v>
      </c>
      <c r="B287" s="36" t="s">
        <v>1395</v>
      </c>
      <c r="C287" s="37" t="s">
        <v>1396</v>
      </c>
      <c r="D287" s="44" t="s">
        <v>1625</v>
      </c>
      <c r="E287" s="44" t="s">
        <v>1754</v>
      </c>
    </row>
    <row r="288" spans="1:5">
      <c r="A288" s="53" t="s">
        <v>1546</v>
      </c>
      <c r="B288" s="36" t="s">
        <v>1395</v>
      </c>
      <c r="C288" s="45" t="s">
        <v>1548</v>
      </c>
      <c r="D288" s="44" t="s">
        <v>1625</v>
      </c>
      <c r="E288" s="44" t="s">
        <v>1754</v>
      </c>
    </row>
    <row r="289" spans="1:5">
      <c r="A289" s="35" t="s">
        <v>17</v>
      </c>
      <c r="B289" s="36" t="s">
        <v>480</v>
      </c>
      <c r="C289" s="37" t="s">
        <v>930</v>
      </c>
      <c r="D289" s="44" t="s">
        <v>1625</v>
      </c>
      <c r="E289" s="44" t="s">
        <v>1754</v>
      </c>
    </row>
    <row r="290" spans="1:5">
      <c r="A290" s="35" t="s">
        <v>18</v>
      </c>
      <c r="B290" s="36" t="s">
        <v>481</v>
      </c>
      <c r="C290" s="37" t="s">
        <v>931</v>
      </c>
      <c r="D290" s="44" t="s">
        <v>1625</v>
      </c>
      <c r="E290" s="44" t="s">
        <v>1754</v>
      </c>
    </row>
    <row r="291" spans="1:5">
      <c r="A291" s="35" t="s">
        <v>1321</v>
      </c>
      <c r="B291" s="36" t="s">
        <v>1326</v>
      </c>
      <c r="C291" s="37" t="s">
        <v>1327</v>
      </c>
      <c r="D291" s="44" t="s">
        <v>1625</v>
      </c>
      <c r="E291" s="44" t="s">
        <v>1754</v>
      </c>
    </row>
    <row r="292" spans="1:5">
      <c r="A292" s="38" t="s">
        <v>19</v>
      </c>
      <c r="B292" s="18" t="s">
        <v>482</v>
      </c>
      <c r="C292" s="37" t="s">
        <v>862</v>
      </c>
      <c r="D292" s="44" t="s">
        <v>1625</v>
      </c>
      <c r="E292" s="44" t="s">
        <v>1754</v>
      </c>
    </row>
    <row r="293" spans="1:5">
      <c r="A293" s="35" t="s">
        <v>20</v>
      </c>
      <c r="B293" s="36" t="s">
        <v>483</v>
      </c>
      <c r="C293" s="37" t="s">
        <v>932</v>
      </c>
      <c r="D293" s="44" t="s">
        <v>1625</v>
      </c>
      <c r="E293" s="44" t="s">
        <v>1754</v>
      </c>
    </row>
    <row r="294" spans="1:5">
      <c r="A294" s="35" t="s">
        <v>21</v>
      </c>
      <c r="B294" s="36" t="s">
        <v>483</v>
      </c>
      <c r="C294" s="37" t="s">
        <v>933</v>
      </c>
      <c r="D294" s="44" t="s">
        <v>1625</v>
      </c>
      <c r="E294" s="44" t="s">
        <v>1754</v>
      </c>
    </row>
    <row r="295" spans="1:5">
      <c r="A295" s="35" t="s">
        <v>22</v>
      </c>
      <c r="B295" s="36" t="s">
        <v>484</v>
      </c>
      <c r="C295" s="37" t="s">
        <v>934</v>
      </c>
      <c r="D295" s="44" t="s">
        <v>1625</v>
      </c>
      <c r="E295" s="44" t="s">
        <v>1754</v>
      </c>
    </row>
    <row r="296" spans="1:5">
      <c r="A296" s="35" t="s">
        <v>23</v>
      </c>
      <c r="B296" s="36" t="s">
        <v>484</v>
      </c>
      <c r="C296" s="37" t="s">
        <v>935</v>
      </c>
      <c r="D296" s="44" t="s">
        <v>1625</v>
      </c>
      <c r="E296" s="44" t="s">
        <v>1754</v>
      </c>
    </row>
    <row r="297" spans="1:5">
      <c r="A297" s="55" t="s">
        <v>1700</v>
      </c>
      <c r="B297" s="36" t="s">
        <v>484</v>
      </c>
      <c r="C297" s="45" t="s">
        <v>1701</v>
      </c>
      <c r="D297" s="44" t="s">
        <v>1625</v>
      </c>
      <c r="E297" s="44" t="s">
        <v>1754</v>
      </c>
    </row>
    <row r="298" spans="1:5">
      <c r="A298" s="35" t="s">
        <v>24</v>
      </c>
      <c r="B298" s="36" t="s">
        <v>483</v>
      </c>
      <c r="C298" s="37" t="s">
        <v>936</v>
      </c>
      <c r="D298" s="44" t="s">
        <v>1625</v>
      </c>
      <c r="E298" s="44" t="s">
        <v>1754</v>
      </c>
    </row>
    <row r="299" spans="1:5">
      <c r="A299" s="38" t="s">
        <v>10</v>
      </c>
      <c r="B299" s="18" t="s">
        <v>476</v>
      </c>
      <c r="C299" s="37" t="s">
        <v>863</v>
      </c>
      <c r="D299" s="44" t="s">
        <v>1625</v>
      </c>
      <c r="E299" s="44" t="s">
        <v>1754</v>
      </c>
    </row>
    <row r="300" spans="1:5">
      <c r="A300" s="38" t="s">
        <v>11</v>
      </c>
      <c r="B300" s="18" t="s">
        <v>477</v>
      </c>
      <c r="C300" s="37" t="s">
        <v>864</v>
      </c>
      <c r="D300" s="44" t="s">
        <v>1625</v>
      </c>
      <c r="E300" s="44" t="s">
        <v>1754</v>
      </c>
    </row>
    <row r="301" spans="1:5">
      <c r="A301" s="35" t="s">
        <v>9</v>
      </c>
      <c r="B301" s="18" t="s">
        <v>475</v>
      </c>
      <c r="C301" s="37" t="s">
        <v>924</v>
      </c>
      <c r="D301" s="44" t="s">
        <v>1625</v>
      </c>
      <c r="E301" s="44" t="s">
        <v>1754</v>
      </c>
    </row>
    <row r="302" spans="1:5">
      <c r="A302" s="38" t="s">
        <v>25</v>
      </c>
      <c r="B302" s="18" t="s">
        <v>485</v>
      </c>
      <c r="C302" s="37" t="s">
        <v>865</v>
      </c>
      <c r="D302" s="44" t="s">
        <v>1625</v>
      </c>
      <c r="E302" s="44" t="s">
        <v>1754</v>
      </c>
    </row>
    <row r="303" spans="1:5">
      <c r="A303" s="38" t="s">
        <v>26</v>
      </c>
      <c r="B303" s="18" t="s">
        <v>486</v>
      </c>
      <c r="C303" s="37" t="s">
        <v>866</v>
      </c>
      <c r="D303" s="44" t="s">
        <v>1625</v>
      </c>
      <c r="E303" s="44" t="s">
        <v>1754</v>
      </c>
    </row>
    <row r="304" spans="1:5">
      <c r="A304" s="38" t="s">
        <v>27</v>
      </c>
      <c r="B304" s="18" t="s">
        <v>487</v>
      </c>
      <c r="C304" s="37" t="s">
        <v>867</v>
      </c>
      <c r="D304" s="44" t="s">
        <v>1625</v>
      </c>
      <c r="E304" s="44" t="s">
        <v>1754</v>
      </c>
    </row>
    <row r="305" spans="1:5">
      <c r="A305" s="38" t="s">
        <v>28</v>
      </c>
      <c r="B305" s="18" t="s">
        <v>486</v>
      </c>
      <c r="C305" s="37" t="s">
        <v>868</v>
      </c>
      <c r="D305" s="44" t="s">
        <v>1625</v>
      </c>
      <c r="E305" s="44" t="s">
        <v>1754</v>
      </c>
    </row>
    <row r="306" spans="1:5">
      <c r="A306" s="38" t="s">
        <v>29</v>
      </c>
      <c r="B306" s="18" t="s">
        <v>487</v>
      </c>
      <c r="C306" s="37" t="s">
        <v>869</v>
      </c>
      <c r="D306" s="44" t="s">
        <v>1625</v>
      </c>
      <c r="E306" s="44" t="s">
        <v>1754</v>
      </c>
    </row>
    <row r="307" spans="1:5">
      <c r="A307" s="17" t="s">
        <v>1765</v>
      </c>
      <c r="B307" s="18" t="s">
        <v>487</v>
      </c>
      <c r="C307" s="45" t="s">
        <v>1766</v>
      </c>
      <c r="D307" s="44" t="s">
        <v>1625</v>
      </c>
      <c r="E307" s="44" t="s">
        <v>1754</v>
      </c>
    </row>
    <row r="308" spans="1:5">
      <c r="A308" s="35" t="s">
        <v>30</v>
      </c>
      <c r="B308" s="36" t="s">
        <v>488</v>
      </c>
      <c r="C308" s="37" t="s">
        <v>937</v>
      </c>
      <c r="D308" s="44" t="s">
        <v>1625</v>
      </c>
      <c r="E308" s="44" t="s">
        <v>1754</v>
      </c>
    </row>
    <row r="309" spans="1:5">
      <c r="A309" s="35" t="s">
        <v>1645</v>
      </c>
      <c r="B309" s="36" t="s">
        <v>1646</v>
      </c>
      <c r="C309" s="39" t="s">
        <v>1647</v>
      </c>
      <c r="D309" s="44" t="s">
        <v>1625</v>
      </c>
      <c r="E309" s="44" t="s">
        <v>1754</v>
      </c>
    </row>
    <row r="310" spans="1:5">
      <c r="A310" s="35" t="s">
        <v>31</v>
      </c>
      <c r="B310" s="36" t="s">
        <v>489</v>
      </c>
      <c r="C310" s="37" t="s">
        <v>938</v>
      </c>
      <c r="D310" s="44" t="s">
        <v>1625</v>
      </c>
      <c r="E310" s="44" t="s">
        <v>1754</v>
      </c>
    </row>
    <row r="311" spans="1:5">
      <c r="A311" s="35" t="s">
        <v>32</v>
      </c>
      <c r="B311" s="36" t="s">
        <v>490</v>
      </c>
      <c r="C311" s="37" t="s">
        <v>939</v>
      </c>
      <c r="D311" s="44" t="s">
        <v>1625</v>
      </c>
      <c r="E311" s="44" t="s">
        <v>1754</v>
      </c>
    </row>
    <row r="312" spans="1:5">
      <c r="A312" s="35" t="s">
        <v>33</v>
      </c>
      <c r="B312" s="36" t="s">
        <v>489</v>
      </c>
      <c r="C312" s="37" t="s">
        <v>940</v>
      </c>
      <c r="D312" s="44" t="s">
        <v>1625</v>
      </c>
      <c r="E312" s="44" t="s">
        <v>1754</v>
      </c>
    </row>
    <row r="313" spans="1:5">
      <c r="A313" s="35" t="s">
        <v>1651</v>
      </c>
      <c r="B313" s="36" t="s">
        <v>1652</v>
      </c>
      <c r="C313" s="39" t="s">
        <v>1653</v>
      </c>
      <c r="D313" s="44" t="s">
        <v>1625</v>
      </c>
      <c r="E313" s="44" t="s">
        <v>1754</v>
      </c>
    </row>
    <row r="314" spans="1:5">
      <c r="A314" s="35" t="s">
        <v>1648</v>
      </c>
      <c r="B314" s="36" t="s">
        <v>1649</v>
      </c>
      <c r="C314" s="39" t="s">
        <v>1650</v>
      </c>
      <c r="D314" s="44" t="s">
        <v>1625</v>
      </c>
      <c r="E314" s="44" t="s">
        <v>1754</v>
      </c>
    </row>
    <row r="315" spans="1:5">
      <c r="A315" s="35" t="s">
        <v>34</v>
      </c>
      <c r="B315" s="36" t="s">
        <v>487</v>
      </c>
      <c r="C315" s="37" t="s">
        <v>941</v>
      </c>
      <c r="D315" s="44" t="s">
        <v>1625</v>
      </c>
      <c r="E315" s="44" t="s">
        <v>1754</v>
      </c>
    </row>
    <row r="316" spans="1:5">
      <c r="A316" s="35" t="s">
        <v>35</v>
      </c>
      <c r="B316" s="36" t="s">
        <v>491</v>
      </c>
      <c r="C316" s="37" t="s">
        <v>942</v>
      </c>
      <c r="D316" s="44" t="s">
        <v>1625</v>
      </c>
      <c r="E316" s="44" t="s">
        <v>1754</v>
      </c>
    </row>
    <row r="317" spans="1:5">
      <c r="A317" s="38" t="s">
        <v>36</v>
      </c>
      <c r="B317" s="18" t="s">
        <v>492</v>
      </c>
      <c r="C317" s="37" t="s">
        <v>870</v>
      </c>
      <c r="D317" s="44" t="s">
        <v>1625</v>
      </c>
      <c r="E317" s="44" t="s">
        <v>1754</v>
      </c>
    </row>
    <row r="318" spans="1:5">
      <c r="A318" s="38" t="s">
        <v>37</v>
      </c>
      <c r="B318" s="18" t="s">
        <v>493</v>
      </c>
      <c r="C318" s="37" t="s">
        <v>871</v>
      </c>
      <c r="D318" s="44" t="s">
        <v>1625</v>
      </c>
      <c r="E318" s="44" t="s">
        <v>1754</v>
      </c>
    </row>
    <row r="319" spans="1:5">
      <c r="A319" s="38" t="s">
        <v>38</v>
      </c>
      <c r="B319" s="18" t="s">
        <v>494</v>
      </c>
      <c r="C319" s="37" t="s">
        <v>872</v>
      </c>
      <c r="D319" s="44" t="s">
        <v>1625</v>
      </c>
      <c r="E319" s="44" t="s">
        <v>1754</v>
      </c>
    </row>
    <row r="320" spans="1:5">
      <c r="A320" s="38" t="s">
        <v>39</v>
      </c>
      <c r="B320" s="18" t="s">
        <v>495</v>
      </c>
      <c r="C320" s="37" t="s">
        <v>873</v>
      </c>
      <c r="D320" s="44" t="s">
        <v>1625</v>
      </c>
      <c r="E320" s="44" t="s">
        <v>1754</v>
      </c>
    </row>
    <row r="321" spans="1:5">
      <c r="A321" s="35" t="s">
        <v>40</v>
      </c>
      <c r="B321" s="36" t="s">
        <v>496</v>
      </c>
      <c r="C321" s="37" t="s">
        <v>943</v>
      </c>
      <c r="D321" s="44" t="s">
        <v>1625</v>
      </c>
      <c r="E321" s="44" t="s">
        <v>1754</v>
      </c>
    </row>
    <row r="322" spans="1:5">
      <c r="A322" s="38" t="s">
        <v>41</v>
      </c>
      <c r="B322" s="18" t="s">
        <v>491</v>
      </c>
      <c r="C322" s="37" t="s">
        <v>874</v>
      </c>
      <c r="D322" s="44" t="s">
        <v>1625</v>
      </c>
      <c r="E322" s="44" t="s">
        <v>1754</v>
      </c>
    </row>
    <row r="323" spans="1:5">
      <c r="A323" s="38" t="s">
        <v>42</v>
      </c>
      <c r="B323" s="18" t="s">
        <v>497</v>
      </c>
      <c r="C323" s="37" t="s">
        <v>875</v>
      </c>
      <c r="D323" s="44" t="s">
        <v>1625</v>
      </c>
      <c r="E323" s="44" t="s">
        <v>1754</v>
      </c>
    </row>
    <row r="324" spans="1:5">
      <c r="A324" s="38" t="s">
        <v>43</v>
      </c>
      <c r="B324" s="18" t="s">
        <v>498</v>
      </c>
      <c r="C324" s="37" t="s">
        <v>876</v>
      </c>
      <c r="D324" s="44" t="s">
        <v>1625</v>
      </c>
      <c r="E324" s="44" t="s">
        <v>1754</v>
      </c>
    </row>
    <row r="325" spans="1:5">
      <c r="A325" s="45" t="s">
        <v>1675</v>
      </c>
      <c r="B325" s="36" t="s">
        <v>499</v>
      </c>
      <c r="C325" s="45" t="s">
        <v>1676</v>
      </c>
      <c r="D325" s="44" t="s">
        <v>1625</v>
      </c>
      <c r="E325" s="44" t="s">
        <v>1754</v>
      </c>
    </row>
    <row r="326" spans="1:5">
      <c r="A326" s="35" t="s">
        <v>44</v>
      </c>
      <c r="B326" s="36" t="s">
        <v>499</v>
      </c>
      <c r="C326" s="37" t="s">
        <v>944</v>
      </c>
      <c r="D326" s="44" t="s">
        <v>1625</v>
      </c>
      <c r="E326" s="44" t="s">
        <v>1754</v>
      </c>
    </row>
    <row r="327" spans="1:5">
      <c r="A327" s="35" t="s">
        <v>45</v>
      </c>
      <c r="B327" s="36" t="s">
        <v>500</v>
      </c>
      <c r="C327" s="37" t="s">
        <v>945</v>
      </c>
      <c r="D327" s="44" t="s">
        <v>1625</v>
      </c>
      <c r="E327" s="44" t="s">
        <v>1754</v>
      </c>
    </row>
    <row r="328" spans="1:5">
      <c r="A328" s="35" t="s">
        <v>47</v>
      </c>
      <c r="B328" s="36" t="s">
        <v>502</v>
      </c>
      <c r="C328" s="37" t="s">
        <v>946</v>
      </c>
      <c r="D328" s="44" t="s">
        <v>1625</v>
      </c>
      <c r="E328" s="44" t="s">
        <v>1754</v>
      </c>
    </row>
    <row r="329" spans="1:5">
      <c r="A329" s="44" t="s">
        <v>1397</v>
      </c>
      <c r="B329" s="36" t="s">
        <v>879</v>
      </c>
      <c r="C329" s="37" t="s">
        <v>1398</v>
      </c>
      <c r="D329" s="44" t="s">
        <v>1625</v>
      </c>
      <c r="E329" s="44" t="s">
        <v>1754</v>
      </c>
    </row>
    <row r="330" spans="1:5">
      <c r="A330" s="38" t="s">
        <v>46</v>
      </c>
      <c r="B330" s="18" t="s">
        <v>501</v>
      </c>
      <c r="C330" s="37" t="s">
        <v>877</v>
      </c>
      <c r="D330" s="44" t="s">
        <v>1625</v>
      </c>
      <c r="E330" s="44" t="s">
        <v>1754</v>
      </c>
    </row>
    <row r="331" spans="1:5">
      <c r="A331" s="38" t="s">
        <v>48</v>
      </c>
      <c r="B331" s="18" t="s">
        <v>502</v>
      </c>
      <c r="C331" s="37" t="s">
        <v>878</v>
      </c>
      <c r="D331" s="44" t="s">
        <v>1625</v>
      </c>
      <c r="E331" s="44" t="s">
        <v>1754</v>
      </c>
    </row>
    <row r="332" spans="1:5">
      <c r="A332" s="38" t="s">
        <v>49</v>
      </c>
      <c r="B332" s="18" t="s">
        <v>879</v>
      </c>
      <c r="C332" s="37" t="s">
        <v>880</v>
      </c>
      <c r="D332" s="44" t="s">
        <v>1625</v>
      </c>
      <c r="E332" s="44" t="s">
        <v>1754</v>
      </c>
    </row>
    <row r="333" spans="1:5">
      <c r="A333" s="35" t="s">
        <v>67</v>
      </c>
      <c r="B333" s="36" t="s">
        <v>517</v>
      </c>
      <c r="C333" s="37" t="s">
        <v>1552</v>
      </c>
      <c r="D333" s="44" t="s">
        <v>1615</v>
      </c>
      <c r="E333" s="44" t="s">
        <v>1754</v>
      </c>
    </row>
    <row r="334" spans="1:5">
      <c r="A334" s="55" t="s">
        <v>1687</v>
      </c>
      <c r="B334" s="36" t="s">
        <v>517</v>
      </c>
      <c r="C334" s="45" t="s">
        <v>1688</v>
      </c>
      <c r="D334" s="44" t="s">
        <v>1615</v>
      </c>
      <c r="E334" s="44" t="s">
        <v>1754</v>
      </c>
    </row>
    <row r="335" spans="1:5">
      <c r="A335" s="35" t="s">
        <v>68</v>
      </c>
      <c r="B335" s="36" t="s">
        <v>518</v>
      </c>
      <c r="C335" s="37" t="s">
        <v>963</v>
      </c>
      <c r="D335" s="44" t="s">
        <v>1615</v>
      </c>
      <c r="E335" s="44" t="s">
        <v>1754</v>
      </c>
    </row>
    <row r="336" spans="1:5">
      <c r="A336" s="35" t="s">
        <v>69</v>
      </c>
      <c r="B336" s="36" t="s">
        <v>519</v>
      </c>
      <c r="C336" s="37" t="s">
        <v>964</v>
      </c>
      <c r="D336" s="44" t="s">
        <v>1615</v>
      </c>
      <c r="E336" s="44" t="s">
        <v>1754</v>
      </c>
    </row>
    <row r="337" spans="1:5">
      <c r="A337" s="35" t="s">
        <v>65</v>
      </c>
      <c r="B337" s="36" t="s">
        <v>515</v>
      </c>
      <c r="C337" s="37" t="s">
        <v>961</v>
      </c>
      <c r="D337" s="44" t="s">
        <v>1615</v>
      </c>
      <c r="E337" s="44" t="s">
        <v>1754</v>
      </c>
    </row>
    <row r="338" spans="1:5">
      <c r="A338" s="35" t="s">
        <v>66</v>
      </c>
      <c r="B338" s="36" t="s">
        <v>516</v>
      </c>
      <c r="C338" s="37" t="s">
        <v>962</v>
      </c>
      <c r="D338" s="44" t="s">
        <v>1615</v>
      </c>
      <c r="E338" s="44" t="s">
        <v>1754</v>
      </c>
    </row>
    <row r="339" spans="1:5">
      <c r="A339" s="35" t="s">
        <v>277</v>
      </c>
      <c r="B339" s="36" t="s">
        <v>687</v>
      </c>
      <c r="C339" s="37" t="s">
        <v>1139</v>
      </c>
      <c r="D339" s="44" t="s">
        <v>1626</v>
      </c>
      <c r="E339" s="44" t="s">
        <v>1754</v>
      </c>
    </row>
    <row r="340" spans="1:5">
      <c r="A340" s="45" t="s">
        <v>1672</v>
      </c>
      <c r="B340" s="36" t="s">
        <v>1673</v>
      </c>
      <c r="C340" s="45" t="s">
        <v>1674</v>
      </c>
      <c r="D340" s="44" t="s">
        <v>1626</v>
      </c>
      <c r="E340" s="44" t="s">
        <v>1754</v>
      </c>
    </row>
    <row r="341" spans="1:5">
      <c r="A341" s="35" t="s">
        <v>276</v>
      </c>
      <c r="B341" s="36" t="s">
        <v>686</v>
      </c>
      <c r="C341" s="37" t="s">
        <v>1138</v>
      </c>
      <c r="D341" s="44" t="s">
        <v>1626</v>
      </c>
      <c r="E341" s="44" t="s">
        <v>1754</v>
      </c>
    </row>
    <row r="342" spans="1:5">
      <c r="A342" s="55" t="s">
        <v>1723</v>
      </c>
      <c r="B342" s="36" t="s">
        <v>1724</v>
      </c>
      <c r="C342" s="45" t="s">
        <v>1725</v>
      </c>
      <c r="D342" s="44" t="s">
        <v>1626</v>
      </c>
      <c r="E342" s="44" t="s">
        <v>1754</v>
      </c>
    </row>
    <row r="343" spans="1:5">
      <c r="A343" s="44" t="s">
        <v>1636</v>
      </c>
      <c r="B343" s="36" t="s">
        <v>1654</v>
      </c>
      <c r="C343" s="45" t="s">
        <v>1655</v>
      </c>
      <c r="D343" s="44" t="s">
        <v>1626</v>
      </c>
      <c r="E343" s="44" t="s">
        <v>1754</v>
      </c>
    </row>
    <row r="344" spans="1:5">
      <c r="A344" s="44" t="s">
        <v>1516</v>
      </c>
      <c r="B344" s="36" t="s">
        <v>1517</v>
      </c>
      <c r="C344" s="39" t="s">
        <v>1518</v>
      </c>
      <c r="D344" s="44" t="s">
        <v>1626</v>
      </c>
      <c r="E344" s="44" t="s">
        <v>1754</v>
      </c>
    </row>
    <row r="345" spans="1:5">
      <c r="A345" s="35" t="s">
        <v>279</v>
      </c>
      <c r="B345" s="36" t="s">
        <v>689</v>
      </c>
      <c r="C345" s="37" t="s">
        <v>1141</v>
      </c>
      <c r="D345" s="44" t="s">
        <v>1626</v>
      </c>
      <c r="E345" s="44" t="s">
        <v>1754</v>
      </c>
    </row>
    <row r="346" spans="1:5">
      <c r="A346" s="55" t="s">
        <v>1717</v>
      </c>
      <c r="B346" s="36" t="s">
        <v>1718</v>
      </c>
      <c r="C346" s="45" t="s">
        <v>1719</v>
      </c>
      <c r="D346" s="44" t="s">
        <v>1626</v>
      </c>
      <c r="E346" s="44" t="s">
        <v>1754</v>
      </c>
    </row>
    <row r="347" spans="1:5">
      <c r="A347" s="35" t="s">
        <v>278</v>
      </c>
      <c r="B347" s="36" t="s">
        <v>688</v>
      </c>
      <c r="C347" s="37" t="s">
        <v>1140</v>
      </c>
      <c r="D347" s="44" t="s">
        <v>1626</v>
      </c>
      <c r="E347" s="44" t="s">
        <v>1754</v>
      </c>
    </row>
    <row r="348" spans="1:5">
      <c r="A348" s="35" t="s">
        <v>227</v>
      </c>
      <c r="B348" s="36" t="s">
        <v>639</v>
      </c>
      <c r="C348" s="37" t="s">
        <v>1096</v>
      </c>
      <c r="D348" s="44" t="s">
        <v>1626</v>
      </c>
      <c r="E348" s="44" t="s">
        <v>1754</v>
      </c>
    </row>
    <row r="349" spans="1:5">
      <c r="A349" s="35" t="s">
        <v>228</v>
      </c>
      <c r="B349" s="36" t="s">
        <v>640</v>
      </c>
      <c r="C349" s="37" t="s">
        <v>1097</v>
      </c>
      <c r="D349" s="44" t="s">
        <v>1626</v>
      </c>
      <c r="E349" s="44" t="s">
        <v>1754</v>
      </c>
    </row>
    <row r="350" spans="1:5">
      <c r="A350" s="35" t="s">
        <v>229</v>
      </c>
      <c r="B350" s="36" t="s">
        <v>640</v>
      </c>
      <c r="C350" s="37" t="s">
        <v>1098</v>
      </c>
      <c r="D350" s="44" t="s">
        <v>1626</v>
      </c>
      <c r="E350" s="44" t="s">
        <v>1754</v>
      </c>
    </row>
    <row r="351" spans="1:5">
      <c r="A351" s="35" t="s">
        <v>236</v>
      </c>
      <c r="B351" s="36" t="s">
        <v>647</v>
      </c>
      <c r="C351" s="37" t="s">
        <v>1103</v>
      </c>
      <c r="D351" s="44" t="s">
        <v>1626</v>
      </c>
      <c r="E351" s="44" t="s">
        <v>1754</v>
      </c>
    </row>
    <row r="352" spans="1:5">
      <c r="A352" s="35" t="s">
        <v>237</v>
      </c>
      <c r="B352" s="36" t="s">
        <v>648</v>
      </c>
      <c r="C352" s="37" t="s">
        <v>1104</v>
      </c>
      <c r="D352" s="44" t="s">
        <v>1626</v>
      </c>
      <c r="E352" s="44" t="s">
        <v>1754</v>
      </c>
    </row>
    <row r="353" spans="1:5">
      <c r="A353" s="35" t="s">
        <v>238</v>
      </c>
      <c r="B353" s="36" t="s">
        <v>649</v>
      </c>
      <c r="C353" s="37" t="s">
        <v>1105</v>
      </c>
      <c r="D353" s="44" t="s">
        <v>1626</v>
      </c>
      <c r="E353" s="44" t="s">
        <v>1754</v>
      </c>
    </row>
    <row r="354" spans="1:5">
      <c r="A354" s="35" t="s">
        <v>224</v>
      </c>
      <c r="B354" s="18" t="s">
        <v>636</v>
      </c>
      <c r="C354" s="37" t="s">
        <v>1093</v>
      </c>
      <c r="D354" s="44" t="s">
        <v>1626</v>
      </c>
      <c r="E354" s="44" t="s">
        <v>1754</v>
      </c>
    </row>
    <row r="355" spans="1:5">
      <c r="A355" s="35" t="s">
        <v>225</v>
      </c>
      <c r="B355" s="18" t="s">
        <v>637</v>
      </c>
      <c r="C355" s="37" t="s">
        <v>1094</v>
      </c>
      <c r="D355" s="44" t="s">
        <v>1626</v>
      </c>
      <c r="E355" s="44" t="s">
        <v>1754</v>
      </c>
    </row>
    <row r="356" spans="1:5">
      <c r="A356" s="35" t="s">
        <v>226</v>
      </c>
      <c r="B356" s="18" t="s">
        <v>638</v>
      </c>
      <c r="C356" s="37" t="s">
        <v>1095</v>
      </c>
      <c r="D356" s="44" t="s">
        <v>1626</v>
      </c>
      <c r="E356" s="44" t="s">
        <v>1754</v>
      </c>
    </row>
    <row r="357" spans="1:5">
      <c r="A357" s="38" t="s">
        <v>230</v>
      </c>
      <c r="B357" s="18" t="s">
        <v>641</v>
      </c>
      <c r="C357" s="37" t="s">
        <v>1086</v>
      </c>
      <c r="D357" s="44" t="s">
        <v>1626</v>
      </c>
      <c r="E357" s="44" t="s">
        <v>1754</v>
      </c>
    </row>
    <row r="358" spans="1:5">
      <c r="A358" s="35" t="s">
        <v>244</v>
      </c>
      <c r="B358" s="36" t="s">
        <v>655</v>
      </c>
      <c r="C358" s="37" t="s">
        <v>1107</v>
      </c>
      <c r="D358" s="44" t="s">
        <v>1626</v>
      </c>
      <c r="E358" s="44" t="s">
        <v>1754</v>
      </c>
    </row>
    <row r="359" spans="1:5">
      <c r="A359" s="35" t="s">
        <v>232</v>
      </c>
      <c r="B359" s="36" t="s">
        <v>643</v>
      </c>
      <c r="C359" s="37" t="s">
        <v>1100</v>
      </c>
      <c r="D359" s="44" t="s">
        <v>1626</v>
      </c>
      <c r="E359" s="44" t="s">
        <v>1754</v>
      </c>
    </row>
    <row r="360" spans="1:5">
      <c r="A360" s="35" t="s">
        <v>233</v>
      </c>
      <c r="B360" s="36" t="s">
        <v>644</v>
      </c>
      <c r="C360" s="37" t="s">
        <v>1101</v>
      </c>
      <c r="D360" s="44" t="s">
        <v>1626</v>
      </c>
      <c r="E360" s="44" t="s">
        <v>1754</v>
      </c>
    </row>
    <row r="361" spans="1:5">
      <c r="A361" s="55" t="s">
        <v>1702</v>
      </c>
      <c r="B361" s="36" t="s">
        <v>1703</v>
      </c>
      <c r="C361" s="45" t="s">
        <v>1704</v>
      </c>
      <c r="D361" s="44" t="s">
        <v>1626</v>
      </c>
      <c r="E361" s="44" t="s">
        <v>1754</v>
      </c>
    </row>
    <row r="362" spans="1:5">
      <c r="A362" s="38" t="s">
        <v>234</v>
      </c>
      <c r="B362" s="18" t="s">
        <v>645</v>
      </c>
      <c r="C362" s="37" t="s">
        <v>1087</v>
      </c>
      <c r="D362" s="44" t="s">
        <v>1626</v>
      </c>
      <c r="E362" s="44" t="s">
        <v>1754</v>
      </c>
    </row>
    <row r="363" spans="1:5">
      <c r="A363" s="55" t="s">
        <v>1705</v>
      </c>
      <c r="B363" s="36" t="s">
        <v>1706</v>
      </c>
      <c r="C363" s="45" t="s">
        <v>1707</v>
      </c>
      <c r="D363" s="44" t="s">
        <v>1626</v>
      </c>
      <c r="E363" s="44" t="s">
        <v>1754</v>
      </c>
    </row>
    <row r="364" spans="1:5">
      <c r="A364" s="55" t="s">
        <v>1697</v>
      </c>
      <c r="B364" s="36" t="s">
        <v>1698</v>
      </c>
      <c r="C364" s="45" t="s">
        <v>1699</v>
      </c>
      <c r="D364" s="44" t="s">
        <v>1626</v>
      </c>
      <c r="E364" s="44" t="s">
        <v>1754</v>
      </c>
    </row>
    <row r="365" spans="1:5">
      <c r="A365" s="44" t="s">
        <v>1399</v>
      </c>
      <c r="B365" s="18" t="s">
        <v>1400</v>
      </c>
      <c r="C365" s="37" t="s">
        <v>1401</v>
      </c>
      <c r="D365" s="44" t="s">
        <v>1626</v>
      </c>
      <c r="E365" s="44" t="s">
        <v>1754</v>
      </c>
    </row>
    <row r="366" spans="1:5">
      <c r="A366" s="35" t="s">
        <v>235</v>
      </c>
      <c r="B366" s="36" t="s">
        <v>646</v>
      </c>
      <c r="C366" s="37" t="s">
        <v>1102</v>
      </c>
      <c r="D366" s="44" t="s">
        <v>1626</v>
      </c>
      <c r="E366" s="44" t="s">
        <v>1754</v>
      </c>
    </row>
    <row r="367" spans="1:5">
      <c r="A367" s="35" t="s">
        <v>231</v>
      </c>
      <c r="B367" s="36" t="s">
        <v>642</v>
      </c>
      <c r="C367" s="37" t="s">
        <v>1099</v>
      </c>
      <c r="D367" s="44" t="s">
        <v>1626</v>
      </c>
      <c r="E367" s="44" t="s">
        <v>1754</v>
      </c>
    </row>
    <row r="368" spans="1:5">
      <c r="A368" s="17" t="s">
        <v>1767</v>
      </c>
      <c r="B368" s="36" t="s">
        <v>1768</v>
      </c>
      <c r="C368" s="45" t="s">
        <v>1769</v>
      </c>
      <c r="D368" s="44" t="s">
        <v>1626</v>
      </c>
      <c r="E368" s="44" t="s">
        <v>1754</v>
      </c>
    </row>
    <row r="369" spans="1:5">
      <c r="A369" s="38" t="s">
        <v>239</v>
      </c>
      <c r="B369" s="18" t="s">
        <v>650</v>
      </c>
      <c r="C369" s="37" t="s">
        <v>1088</v>
      </c>
      <c r="D369" s="44" t="s">
        <v>1626</v>
      </c>
      <c r="E369" s="44" t="s">
        <v>1754</v>
      </c>
    </row>
    <row r="370" spans="1:5">
      <c r="A370" s="38" t="s">
        <v>240</v>
      </c>
      <c r="B370" s="18" t="s">
        <v>651</v>
      </c>
      <c r="C370" s="37" t="s">
        <v>1089</v>
      </c>
      <c r="D370" s="44" t="s">
        <v>1626</v>
      </c>
      <c r="E370" s="44" t="s">
        <v>1754</v>
      </c>
    </row>
    <row r="371" spans="1:5">
      <c r="A371" s="38" t="s">
        <v>241</v>
      </c>
      <c r="B371" s="18" t="s">
        <v>652</v>
      </c>
      <c r="C371" s="37" t="s">
        <v>1090</v>
      </c>
      <c r="D371" s="44" t="s">
        <v>1626</v>
      </c>
      <c r="E371" s="44" t="s">
        <v>1754</v>
      </c>
    </row>
    <row r="372" spans="1:5">
      <c r="A372" s="44" t="s">
        <v>1635</v>
      </c>
      <c r="B372" s="18" t="s">
        <v>1657</v>
      </c>
      <c r="C372" s="45" t="s">
        <v>1656</v>
      </c>
      <c r="D372" s="44" t="s">
        <v>1626</v>
      </c>
      <c r="E372" s="44" t="s">
        <v>1754</v>
      </c>
    </row>
    <row r="373" spans="1:5">
      <c r="A373" s="35" t="s">
        <v>242</v>
      </c>
      <c r="B373" s="36" t="s">
        <v>653</v>
      </c>
      <c r="C373" s="37" t="s">
        <v>1106</v>
      </c>
      <c r="D373" s="44" t="s">
        <v>1626</v>
      </c>
      <c r="E373" s="44" t="s">
        <v>1754</v>
      </c>
    </row>
    <row r="374" spans="1:5">
      <c r="A374" s="38" t="s">
        <v>243</v>
      </c>
      <c r="B374" s="18" t="s">
        <v>654</v>
      </c>
      <c r="C374" s="37" t="s">
        <v>1091</v>
      </c>
      <c r="D374" s="44" t="s">
        <v>1626</v>
      </c>
      <c r="E374" s="44" t="s">
        <v>1754</v>
      </c>
    </row>
    <row r="375" spans="1:5">
      <c r="A375" s="44" t="s">
        <v>1402</v>
      </c>
      <c r="B375" s="18" t="s">
        <v>1403</v>
      </c>
      <c r="C375" s="37" t="s">
        <v>1404</v>
      </c>
      <c r="D375" s="44" t="s">
        <v>1626</v>
      </c>
      <c r="E375" s="44" t="s">
        <v>1754</v>
      </c>
    </row>
    <row r="376" spans="1:5">
      <c r="A376" s="55" t="s">
        <v>1684</v>
      </c>
      <c r="B376" s="36" t="s">
        <v>1685</v>
      </c>
      <c r="C376" s="45" t="s">
        <v>1686</v>
      </c>
      <c r="D376" s="44" t="s">
        <v>1626</v>
      </c>
      <c r="E376" s="44" t="s">
        <v>1754</v>
      </c>
    </row>
    <row r="377" spans="1:5">
      <c r="A377" s="35" t="s">
        <v>245</v>
      </c>
      <c r="B377" s="36" t="s">
        <v>656</v>
      </c>
      <c r="C377" s="37" t="s">
        <v>1108</v>
      </c>
      <c r="D377" s="44" t="s">
        <v>1626</v>
      </c>
      <c r="E377" s="44" t="s">
        <v>1754</v>
      </c>
    </row>
    <row r="378" spans="1:5">
      <c r="A378" s="35" t="s">
        <v>246</v>
      </c>
      <c r="B378" s="36" t="s">
        <v>657</v>
      </c>
      <c r="C378" s="37" t="s">
        <v>1109</v>
      </c>
      <c r="D378" s="44" t="s">
        <v>1626</v>
      </c>
      <c r="E378" s="44" t="s">
        <v>1754</v>
      </c>
    </row>
    <row r="379" spans="1:5">
      <c r="A379" s="35" t="s">
        <v>250</v>
      </c>
      <c r="B379" s="36" t="s">
        <v>661</v>
      </c>
      <c r="C379" s="37" t="s">
        <v>1113</v>
      </c>
      <c r="D379" s="44" t="s">
        <v>1626</v>
      </c>
      <c r="E379" s="44" t="s">
        <v>1754</v>
      </c>
    </row>
    <row r="380" spans="1:5">
      <c r="A380" s="35" t="s">
        <v>251</v>
      </c>
      <c r="B380" s="36" t="s">
        <v>662</v>
      </c>
      <c r="C380" s="37" t="s">
        <v>1114</v>
      </c>
      <c r="D380" s="44" t="s">
        <v>1626</v>
      </c>
      <c r="E380" s="44" t="s">
        <v>1754</v>
      </c>
    </row>
    <row r="381" spans="1:5">
      <c r="A381" s="35" t="s">
        <v>247</v>
      </c>
      <c r="B381" s="36" t="s">
        <v>658</v>
      </c>
      <c r="C381" s="37" t="s">
        <v>1110</v>
      </c>
      <c r="D381" s="44" t="s">
        <v>1626</v>
      </c>
      <c r="E381" s="44" t="s">
        <v>1754</v>
      </c>
    </row>
    <row r="382" spans="1:5">
      <c r="A382" s="35" t="s">
        <v>248</v>
      </c>
      <c r="B382" s="36" t="s">
        <v>659</v>
      </c>
      <c r="C382" s="37" t="s">
        <v>1111</v>
      </c>
      <c r="D382" s="44" t="s">
        <v>1626</v>
      </c>
      <c r="E382" s="44" t="s">
        <v>1754</v>
      </c>
    </row>
    <row r="383" spans="1:5">
      <c r="A383" s="44" t="s">
        <v>1405</v>
      </c>
      <c r="B383" s="36" t="s">
        <v>1406</v>
      </c>
      <c r="C383" s="37" t="s">
        <v>1407</v>
      </c>
      <c r="D383" s="44" t="s">
        <v>1626</v>
      </c>
      <c r="E383" s="44" t="s">
        <v>1754</v>
      </c>
    </row>
    <row r="384" spans="1:5">
      <c r="A384" s="35" t="s">
        <v>249</v>
      </c>
      <c r="B384" s="36" t="s">
        <v>660</v>
      </c>
      <c r="C384" s="37" t="s">
        <v>1112</v>
      </c>
      <c r="D384" s="44" t="s">
        <v>1626</v>
      </c>
      <c r="E384" s="44" t="s">
        <v>1754</v>
      </c>
    </row>
    <row r="385" spans="1:5">
      <c r="A385" s="35" t="s">
        <v>1503</v>
      </c>
      <c r="B385" s="36" t="s">
        <v>1519</v>
      </c>
      <c r="C385" s="37" t="s">
        <v>1520</v>
      </c>
      <c r="D385" s="44" t="s">
        <v>1626</v>
      </c>
      <c r="E385" s="44" t="s">
        <v>1754</v>
      </c>
    </row>
    <row r="386" spans="1:5">
      <c r="A386" s="38" t="s">
        <v>252</v>
      </c>
      <c r="B386" s="18" t="s">
        <v>663</v>
      </c>
      <c r="C386" s="37" t="s">
        <v>1092</v>
      </c>
      <c r="D386" s="44" t="s">
        <v>1626</v>
      </c>
      <c r="E386" s="44" t="s">
        <v>1754</v>
      </c>
    </row>
    <row r="387" spans="1:5">
      <c r="A387" s="35" t="s">
        <v>253</v>
      </c>
      <c r="B387" s="36" t="s">
        <v>664</v>
      </c>
      <c r="C387" s="37" t="s">
        <v>1115</v>
      </c>
      <c r="D387" s="44" t="s">
        <v>1626</v>
      </c>
      <c r="E387" s="44" t="s">
        <v>1754</v>
      </c>
    </row>
    <row r="388" spans="1:5">
      <c r="A388" s="35" t="s">
        <v>254</v>
      </c>
      <c r="B388" s="36" t="s">
        <v>665</v>
      </c>
      <c r="C388" s="37" t="s">
        <v>1116</v>
      </c>
      <c r="D388" s="44" t="s">
        <v>1575</v>
      </c>
      <c r="E388" s="44" t="s">
        <v>1754</v>
      </c>
    </row>
    <row r="389" spans="1:5">
      <c r="A389" s="35" t="s">
        <v>255</v>
      </c>
      <c r="B389" s="36" t="s">
        <v>666</v>
      </c>
      <c r="C389" s="37" t="s">
        <v>1117</v>
      </c>
      <c r="D389" s="44" t="s">
        <v>1626</v>
      </c>
      <c r="E389" s="44" t="s">
        <v>1754</v>
      </c>
    </row>
    <row r="390" spans="1:5">
      <c r="A390" s="35" t="s">
        <v>256</v>
      </c>
      <c r="B390" s="36" t="s">
        <v>667</v>
      </c>
      <c r="C390" s="37" t="s">
        <v>1118</v>
      </c>
      <c r="D390" s="44" t="s">
        <v>1626</v>
      </c>
      <c r="E390" s="44" t="s">
        <v>1754</v>
      </c>
    </row>
    <row r="391" spans="1:5">
      <c r="A391" s="35" t="s">
        <v>257</v>
      </c>
      <c r="B391" s="36" t="s">
        <v>668</v>
      </c>
      <c r="C391" s="37" t="s">
        <v>1119</v>
      </c>
      <c r="D391" s="44" t="s">
        <v>1626</v>
      </c>
      <c r="E391" s="44" t="s">
        <v>1754</v>
      </c>
    </row>
    <row r="392" spans="1:5">
      <c r="A392" s="44" t="s">
        <v>1521</v>
      </c>
      <c r="B392" s="36" t="s">
        <v>668</v>
      </c>
      <c r="C392" s="45" t="s">
        <v>1522</v>
      </c>
      <c r="D392" s="44" t="s">
        <v>1626</v>
      </c>
      <c r="E392" s="44" t="s">
        <v>1754</v>
      </c>
    </row>
    <row r="393" spans="1:5">
      <c r="A393" s="35" t="s">
        <v>258</v>
      </c>
      <c r="B393" s="36" t="s">
        <v>669</v>
      </c>
      <c r="C393" s="37" t="s">
        <v>1120</v>
      </c>
      <c r="D393" s="44" t="s">
        <v>1626</v>
      </c>
      <c r="E393" s="44" t="s">
        <v>1754</v>
      </c>
    </row>
    <row r="394" spans="1:5">
      <c r="A394" s="35" t="s">
        <v>259</v>
      </c>
      <c r="B394" s="36" t="s">
        <v>670</v>
      </c>
      <c r="C394" s="37" t="s">
        <v>1121</v>
      </c>
      <c r="D394" s="44" t="s">
        <v>1626</v>
      </c>
      <c r="E394" s="44" t="s">
        <v>1754</v>
      </c>
    </row>
    <row r="395" spans="1:5">
      <c r="A395" s="44" t="s">
        <v>1408</v>
      </c>
      <c r="B395" s="36" t="s">
        <v>1409</v>
      </c>
      <c r="C395" s="37" t="s">
        <v>1410</v>
      </c>
      <c r="D395" s="44" t="s">
        <v>1626</v>
      </c>
      <c r="E395" s="44" t="s">
        <v>1754</v>
      </c>
    </row>
    <row r="396" spans="1:5">
      <c r="A396" s="35" t="s">
        <v>260</v>
      </c>
      <c r="B396" s="36" t="s">
        <v>671</v>
      </c>
      <c r="C396" s="37" t="s">
        <v>1122</v>
      </c>
      <c r="D396" s="44" t="s">
        <v>1626</v>
      </c>
      <c r="E396" s="44" t="s">
        <v>1754</v>
      </c>
    </row>
    <row r="397" spans="1:5">
      <c r="A397" s="35" t="s">
        <v>261</v>
      </c>
      <c r="B397" s="36" t="s">
        <v>672</v>
      </c>
      <c r="C397" s="37" t="s">
        <v>1123</v>
      </c>
      <c r="D397" s="44" t="s">
        <v>1626</v>
      </c>
      <c r="E397" s="44" t="s">
        <v>1754</v>
      </c>
    </row>
    <row r="398" spans="1:5">
      <c r="A398" s="35" t="s">
        <v>262</v>
      </c>
      <c r="B398" s="36" t="s">
        <v>673</v>
      </c>
      <c r="C398" s="37" t="s">
        <v>1124</v>
      </c>
      <c r="D398" s="44" t="s">
        <v>1626</v>
      </c>
      <c r="E398" s="44" t="s">
        <v>1754</v>
      </c>
    </row>
    <row r="399" spans="1:5">
      <c r="A399" s="35" t="s">
        <v>263</v>
      </c>
      <c r="B399" s="36" t="s">
        <v>673</v>
      </c>
      <c r="C399" s="37" t="s">
        <v>1125</v>
      </c>
      <c r="D399" s="44" t="s">
        <v>1626</v>
      </c>
      <c r="E399" s="44" t="s">
        <v>1754</v>
      </c>
    </row>
    <row r="400" spans="1:5">
      <c r="A400" s="35" t="s">
        <v>264</v>
      </c>
      <c r="B400" s="36" t="s">
        <v>674</v>
      </c>
      <c r="C400" s="37" t="s">
        <v>1126</v>
      </c>
      <c r="D400" s="44" t="s">
        <v>1626</v>
      </c>
      <c r="E400" s="44" t="s">
        <v>1754</v>
      </c>
    </row>
    <row r="401" spans="1:5">
      <c r="A401" s="35" t="s">
        <v>265</v>
      </c>
      <c r="B401" s="36" t="s">
        <v>675</v>
      </c>
      <c r="C401" s="37" t="s">
        <v>1127</v>
      </c>
      <c r="D401" s="44" t="s">
        <v>1626</v>
      </c>
      <c r="E401" s="44" t="s">
        <v>1754</v>
      </c>
    </row>
    <row r="402" spans="1:5">
      <c r="A402" s="35" t="s">
        <v>266</v>
      </c>
      <c r="B402" s="36" t="s">
        <v>676</v>
      </c>
      <c r="C402" s="37" t="s">
        <v>1128</v>
      </c>
      <c r="D402" s="44" t="s">
        <v>1626</v>
      </c>
      <c r="E402" s="44" t="s">
        <v>1754</v>
      </c>
    </row>
    <row r="403" spans="1:5">
      <c r="A403" s="35" t="s">
        <v>267</v>
      </c>
      <c r="B403" s="36" t="s">
        <v>677</v>
      </c>
      <c r="C403" s="37" t="s">
        <v>1129</v>
      </c>
      <c r="D403" s="44" t="s">
        <v>1626</v>
      </c>
      <c r="E403" s="44" t="s">
        <v>1754</v>
      </c>
    </row>
    <row r="404" spans="1:5">
      <c r="A404" s="35" t="s">
        <v>268</v>
      </c>
      <c r="B404" s="36" t="s">
        <v>678</v>
      </c>
      <c r="C404" s="37" t="s">
        <v>1130</v>
      </c>
      <c r="D404" s="44" t="s">
        <v>1626</v>
      </c>
      <c r="E404" s="44" t="s">
        <v>1754</v>
      </c>
    </row>
    <row r="405" spans="1:5">
      <c r="A405" s="35" t="s">
        <v>269</v>
      </c>
      <c r="B405" s="36" t="s">
        <v>679</v>
      </c>
      <c r="C405" s="37" t="s">
        <v>1131</v>
      </c>
      <c r="D405" s="44" t="s">
        <v>1626</v>
      </c>
      <c r="E405" s="44" t="s">
        <v>1754</v>
      </c>
    </row>
    <row r="406" spans="1:5">
      <c r="A406" s="35" t="s">
        <v>271</v>
      </c>
      <c r="B406" s="36" t="s">
        <v>681</v>
      </c>
      <c r="C406" s="37" t="s">
        <v>1133</v>
      </c>
      <c r="D406" s="44" t="s">
        <v>1575</v>
      </c>
      <c r="E406" s="44" t="s">
        <v>1754</v>
      </c>
    </row>
    <row r="407" spans="1:5">
      <c r="A407" s="35" t="s">
        <v>272</v>
      </c>
      <c r="B407" s="36" t="s">
        <v>682</v>
      </c>
      <c r="C407" s="37" t="s">
        <v>1134</v>
      </c>
      <c r="D407" s="44" t="s">
        <v>1626</v>
      </c>
      <c r="E407" s="44" t="s">
        <v>1754</v>
      </c>
    </row>
    <row r="408" spans="1:5">
      <c r="A408" s="35" t="s">
        <v>273</v>
      </c>
      <c r="B408" s="36" t="s">
        <v>683</v>
      </c>
      <c r="C408" s="37" t="s">
        <v>1135</v>
      </c>
      <c r="D408" s="44" t="s">
        <v>1575</v>
      </c>
      <c r="E408" s="44" t="s">
        <v>1754</v>
      </c>
    </row>
    <row r="409" spans="1:5">
      <c r="A409" s="35" t="s">
        <v>274</v>
      </c>
      <c r="B409" s="36" t="s">
        <v>684</v>
      </c>
      <c r="C409" s="37" t="s">
        <v>1136</v>
      </c>
      <c r="D409" s="44" t="s">
        <v>1626</v>
      </c>
      <c r="E409" s="44" t="s">
        <v>1754</v>
      </c>
    </row>
    <row r="410" spans="1:5">
      <c r="A410" s="35" t="s">
        <v>275</v>
      </c>
      <c r="B410" s="36" t="s">
        <v>685</v>
      </c>
      <c r="C410" s="37" t="s">
        <v>1137</v>
      </c>
      <c r="D410" s="44" t="s">
        <v>1626</v>
      </c>
      <c r="E410" s="44" t="s">
        <v>1754</v>
      </c>
    </row>
    <row r="411" spans="1:5">
      <c r="A411" s="44" t="s">
        <v>1739</v>
      </c>
      <c r="B411" s="36" t="s">
        <v>1740</v>
      </c>
      <c r="C411" s="45" t="s">
        <v>1741</v>
      </c>
      <c r="D411" s="44" t="s">
        <v>1626</v>
      </c>
      <c r="E411" s="44" t="s">
        <v>1754</v>
      </c>
    </row>
    <row r="412" spans="1:5">
      <c r="A412" s="44" t="s">
        <v>1742</v>
      </c>
      <c r="B412" s="36" t="s">
        <v>1743</v>
      </c>
      <c r="C412" s="45" t="s">
        <v>1744</v>
      </c>
      <c r="D412" s="44" t="s">
        <v>1626</v>
      </c>
      <c r="E412" s="44" t="s">
        <v>1754</v>
      </c>
    </row>
    <row r="413" spans="1:5">
      <c r="A413" s="44" t="s">
        <v>1745</v>
      </c>
      <c r="B413" s="36" t="s">
        <v>1746</v>
      </c>
      <c r="C413" s="45" t="s">
        <v>1747</v>
      </c>
      <c r="D413" s="44" t="s">
        <v>1626</v>
      </c>
      <c r="E413" s="44" t="s">
        <v>1754</v>
      </c>
    </row>
    <row r="414" spans="1:5">
      <c r="A414" s="35" t="s">
        <v>270</v>
      </c>
      <c r="B414" s="36" t="s">
        <v>680</v>
      </c>
      <c r="C414" s="37" t="s">
        <v>1132</v>
      </c>
      <c r="D414" s="44" t="s">
        <v>1575</v>
      </c>
      <c r="E414" s="44" t="s">
        <v>1754</v>
      </c>
    </row>
    <row r="415" spans="1:5">
      <c r="A415" s="35" t="s">
        <v>421</v>
      </c>
      <c r="B415" s="18" t="s">
        <v>815</v>
      </c>
      <c r="C415" s="37" t="s">
        <v>1278</v>
      </c>
      <c r="D415" s="44" t="s">
        <v>1617</v>
      </c>
      <c r="E415" s="44" t="s">
        <v>1754</v>
      </c>
    </row>
    <row r="416" spans="1:5">
      <c r="A416" s="35" t="s">
        <v>422</v>
      </c>
      <c r="B416" s="18" t="s">
        <v>816</v>
      </c>
      <c r="C416" s="37" t="s">
        <v>1279</v>
      </c>
      <c r="D416" s="44" t="s">
        <v>1617</v>
      </c>
      <c r="E416" s="44" t="s">
        <v>1754</v>
      </c>
    </row>
    <row r="417" spans="1:5">
      <c r="A417" s="35" t="s">
        <v>423</v>
      </c>
      <c r="B417" s="18" t="s">
        <v>817</v>
      </c>
      <c r="C417" s="37" t="s">
        <v>1280</v>
      </c>
      <c r="D417" s="44" t="s">
        <v>1617</v>
      </c>
      <c r="E417" s="44" t="s">
        <v>1754</v>
      </c>
    </row>
    <row r="418" spans="1:5">
      <c r="A418" s="38" t="s">
        <v>424</v>
      </c>
      <c r="B418" s="18" t="s">
        <v>818</v>
      </c>
      <c r="C418" s="37" t="s">
        <v>858</v>
      </c>
      <c r="D418" s="44" t="s">
        <v>1617</v>
      </c>
      <c r="E418" s="44" t="s">
        <v>1754</v>
      </c>
    </row>
    <row r="419" spans="1:5">
      <c r="A419" s="35" t="s">
        <v>425</v>
      </c>
      <c r="B419" s="18" t="s">
        <v>819</v>
      </c>
      <c r="C419" s="37" t="s">
        <v>1281</v>
      </c>
      <c r="D419" s="44" t="s">
        <v>1617</v>
      </c>
      <c r="E419" s="44" t="s">
        <v>1754</v>
      </c>
    </row>
    <row r="420" spans="1:5">
      <c r="A420" s="35" t="s">
        <v>426</v>
      </c>
      <c r="B420" s="18" t="s">
        <v>820</v>
      </c>
      <c r="C420" s="37" t="s">
        <v>1282</v>
      </c>
      <c r="D420" s="44" t="s">
        <v>1617</v>
      </c>
      <c r="E420" s="44" t="s">
        <v>1754</v>
      </c>
    </row>
    <row r="421" spans="1:5">
      <c r="A421" s="38" t="s">
        <v>427</v>
      </c>
      <c r="B421" s="18" t="s">
        <v>821</v>
      </c>
      <c r="C421" s="37" t="s">
        <v>859</v>
      </c>
      <c r="D421" s="44" t="s">
        <v>1617</v>
      </c>
      <c r="E421" s="44" t="s">
        <v>1754</v>
      </c>
    </row>
    <row r="422" spans="1:5">
      <c r="A422" s="35" t="s">
        <v>428</v>
      </c>
      <c r="B422" s="18" t="s">
        <v>822</v>
      </c>
      <c r="C422" s="37" t="s">
        <v>1283</v>
      </c>
      <c r="D422" s="44" t="s">
        <v>1617</v>
      </c>
      <c r="E422" s="44" t="s">
        <v>1754</v>
      </c>
    </row>
    <row r="423" spans="1:5">
      <c r="A423" s="44" t="s">
        <v>1478</v>
      </c>
      <c r="B423" s="36" t="s">
        <v>1559</v>
      </c>
      <c r="C423" s="39" t="s">
        <v>1560</v>
      </c>
      <c r="D423" s="44" t="s">
        <v>1572</v>
      </c>
      <c r="E423" s="44" t="s">
        <v>1753</v>
      </c>
    </row>
    <row r="424" spans="1:5">
      <c r="A424" s="44" t="s">
        <v>1479</v>
      </c>
      <c r="B424" s="36" t="s">
        <v>1561</v>
      </c>
      <c r="C424" s="45" t="s">
        <v>1562</v>
      </c>
      <c r="D424" s="44" t="s">
        <v>1572</v>
      </c>
      <c r="E424" s="44" t="s">
        <v>1753</v>
      </c>
    </row>
    <row r="425" spans="1:5">
      <c r="A425" s="44" t="s">
        <v>1480</v>
      </c>
      <c r="B425" s="36" t="s">
        <v>1563</v>
      </c>
      <c r="C425" s="39" t="s">
        <v>1564</v>
      </c>
      <c r="D425" s="44" t="s">
        <v>1572</v>
      </c>
      <c r="E425" s="44" t="s">
        <v>1753</v>
      </c>
    </row>
    <row r="426" spans="1:5">
      <c r="A426" s="44" t="s">
        <v>1481</v>
      </c>
      <c r="B426" s="36" t="s">
        <v>1565</v>
      </c>
      <c r="C426" s="39" t="s">
        <v>1566</v>
      </c>
      <c r="D426" s="44" t="s">
        <v>1572</v>
      </c>
      <c r="E426" s="44" t="s">
        <v>1753</v>
      </c>
    </row>
    <row r="427" spans="1:5">
      <c r="A427" s="44" t="s">
        <v>1482</v>
      </c>
      <c r="B427" s="36" t="s">
        <v>1567</v>
      </c>
      <c r="C427" s="39" t="s">
        <v>1523</v>
      </c>
      <c r="D427" s="44" t="s">
        <v>1572</v>
      </c>
      <c r="E427" s="44" t="s">
        <v>1753</v>
      </c>
    </row>
    <row r="428" spans="1:5">
      <c r="A428" s="44" t="s">
        <v>1483</v>
      </c>
      <c r="B428" s="36" t="s">
        <v>1568</v>
      </c>
      <c r="C428" s="45" t="s">
        <v>1569</v>
      </c>
      <c r="D428" s="44" t="s">
        <v>1572</v>
      </c>
      <c r="E428" s="44" t="s">
        <v>1753</v>
      </c>
    </row>
    <row r="429" spans="1:5">
      <c r="A429" s="35" t="s">
        <v>1313</v>
      </c>
      <c r="B429" s="36" t="s">
        <v>472</v>
      </c>
      <c r="C429" s="37" t="s">
        <v>1304</v>
      </c>
      <c r="D429" s="44" t="s">
        <v>1614</v>
      </c>
      <c r="E429" s="44" t="s">
        <v>1770</v>
      </c>
    </row>
    <row r="430" spans="1:5">
      <c r="A430" s="35" t="s">
        <v>1314</v>
      </c>
      <c r="B430" s="36" t="s">
        <v>473</v>
      </c>
      <c r="C430" s="37" t="s">
        <v>1305</v>
      </c>
      <c r="D430" s="44" t="s">
        <v>1614</v>
      </c>
      <c r="E430" s="44" t="s">
        <v>1770</v>
      </c>
    </row>
    <row r="431" spans="1:5">
      <c r="A431" s="44" t="s">
        <v>1524</v>
      </c>
      <c r="B431" s="18" t="s">
        <v>561</v>
      </c>
      <c r="C431" s="39" t="s">
        <v>1525</v>
      </c>
      <c r="D431" s="44" t="s">
        <v>1627</v>
      </c>
      <c r="E431" s="44" t="s">
        <v>1754</v>
      </c>
    </row>
    <row r="432" spans="1:5">
      <c r="A432" s="38" t="s">
        <v>112</v>
      </c>
      <c r="B432" s="18" t="s">
        <v>881</v>
      </c>
      <c r="C432" s="37" t="s">
        <v>882</v>
      </c>
      <c r="D432" s="44" t="s">
        <v>1627</v>
      </c>
      <c r="E432" s="44" t="s">
        <v>1754</v>
      </c>
    </row>
    <row r="433" spans="1:5">
      <c r="A433" s="38" t="s">
        <v>111</v>
      </c>
      <c r="B433" s="18" t="s">
        <v>883</v>
      </c>
      <c r="C433" s="37" t="s">
        <v>884</v>
      </c>
      <c r="D433" s="44" t="s">
        <v>1627</v>
      </c>
      <c r="E433" s="44" t="s">
        <v>1754</v>
      </c>
    </row>
    <row r="434" spans="1:5">
      <c r="A434" s="38" t="s">
        <v>110</v>
      </c>
      <c r="B434" s="18" t="s">
        <v>885</v>
      </c>
      <c r="C434" s="37" t="s">
        <v>886</v>
      </c>
      <c r="D434" s="44" t="s">
        <v>1627</v>
      </c>
      <c r="E434" s="44" t="s">
        <v>1754</v>
      </c>
    </row>
    <row r="435" spans="1:5">
      <c r="A435" s="38" t="s">
        <v>113</v>
      </c>
      <c r="B435" s="18" t="s">
        <v>551</v>
      </c>
      <c r="C435" s="37" t="s">
        <v>887</v>
      </c>
      <c r="D435" s="44" t="s">
        <v>1627</v>
      </c>
      <c r="E435" s="44" t="s">
        <v>1754</v>
      </c>
    </row>
    <row r="436" spans="1:5">
      <c r="A436" s="35" t="s">
        <v>114</v>
      </c>
      <c r="B436" s="36" t="s">
        <v>552</v>
      </c>
      <c r="C436" s="37" t="s">
        <v>983</v>
      </c>
      <c r="D436" s="44" t="s">
        <v>1627</v>
      </c>
      <c r="E436" s="44" t="s">
        <v>1754</v>
      </c>
    </row>
    <row r="437" spans="1:5">
      <c r="A437" s="44" t="s">
        <v>1411</v>
      </c>
      <c r="B437" s="18" t="s">
        <v>558</v>
      </c>
      <c r="C437" s="37" t="s">
        <v>1412</v>
      </c>
      <c r="D437" s="44" t="s">
        <v>1627</v>
      </c>
      <c r="E437" s="44" t="s">
        <v>1754</v>
      </c>
    </row>
    <row r="438" spans="1:5">
      <c r="A438" s="35" t="s">
        <v>124</v>
      </c>
      <c r="B438" s="36" t="s">
        <v>550</v>
      </c>
      <c r="C438" s="37" t="s">
        <v>987</v>
      </c>
      <c r="D438" s="44" t="s">
        <v>1627</v>
      </c>
      <c r="E438" s="44" t="s">
        <v>1754</v>
      </c>
    </row>
    <row r="439" spans="1:5">
      <c r="A439" s="38" t="s">
        <v>125</v>
      </c>
      <c r="B439" s="18" t="s">
        <v>549</v>
      </c>
      <c r="C439" s="37" t="s">
        <v>888</v>
      </c>
      <c r="D439" s="44" t="s">
        <v>1627</v>
      </c>
      <c r="E439" s="44" t="s">
        <v>1754</v>
      </c>
    </row>
    <row r="440" spans="1:5">
      <c r="A440" s="38" t="s">
        <v>115</v>
      </c>
      <c r="B440" s="18" t="s">
        <v>553</v>
      </c>
      <c r="C440" s="37" t="s">
        <v>889</v>
      </c>
      <c r="D440" s="44" t="s">
        <v>1627</v>
      </c>
      <c r="E440" s="44" t="s">
        <v>1754</v>
      </c>
    </row>
    <row r="441" spans="1:5">
      <c r="A441" s="35" t="s">
        <v>116</v>
      </c>
      <c r="B441" s="36" t="s">
        <v>554</v>
      </c>
      <c r="C441" s="37" t="s">
        <v>984</v>
      </c>
      <c r="D441" s="44" t="s">
        <v>1627</v>
      </c>
      <c r="E441" s="44" t="s">
        <v>1754</v>
      </c>
    </row>
    <row r="442" spans="1:5">
      <c r="A442" s="44" t="s">
        <v>1413</v>
      </c>
      <c r="B442" s="36" t="s">
        <v>555</v>
      </c>
      <c r="C442" s="37" t="s">
        <v>1414</v>
      </c>
      <c r="D442" s="44" t="s">
        <v>1627</v>
      </c>
      <c r="E442" s="44" t="s">
        <v>1754</v>
      </c>
    </row>
    <row r="443" spans="1:5">
      <c r="A443" s="35" t="s">
        <v>117</v>
      </c>
      <c r="B443" s="36" t="s">
        <v>555</v>
      </c>
      <c r="C443" s="37" t="s">
        <v>985</v>
      </c>
      <c r="D443" s="44" t="s">
        <v>1627</v>
      </c>
      <c r="E443" s="44" t="s">
        <v>1754</v>
      </c>
    </row>
    <row r="444" spans="1:5">
      <c r="A444" s="35" t="s">
        <v>118</v>
      </c>
      <c r="B444" s="36" t="s">
        <v>556</v>
      </c>
      <c r="C444" s="37" t="s">
        <v>986</v>
      </c>
      <c r="D444" s="44" t="s">
        <v>1627</v>
      </c>
      <c r="E444" s="44" t="s">
        <v>1754</v>
      </c>
    </row>
    <row r="445" spans="1:5">
      <c r="A445" s="38" t="s">
        <v>119</v>
      </c>
      <c r="B445" s="18" t="s">
        <v>557</v>
      </c>
      <c r="C445" s="37" t="s">
        <v>890</v>
      </c>
      <c r="D445" s="44" t="s">
        <v>1627</v>
      </c>
      <c r="E445" s="44" t="s">
        <v>1754</v>
      </c>
    </row>
    <row r="446" spans="1:5">
      <c r="A446" s="44" t="s">
        <v>1415</v>
      </c>
      <c r="B446" s="18" t="s">
        <v>558</v>
      </c>
      <c r="C446" s="37" t="s">
        <v>1416</v>
      </c>
      <c r="D446" s="44" t="s">
        <v>1627</v>
      </c>
      <c r="E446" s="44" t="s">
        <v>1754</v>
      </c>
    </row>
    <row r="447" spans="1:5">
      <c r="A447" s="44" t="s">
        <v>1526</v>
      </c>
      <c r="B447" s="18" t="s">
        <v>558</v>
      </c>
      <c r="C447" s="45" t="s">
        <v>1527</v>
      </c>
      <c r="D447" s="44" t="s">
        <v>1627</v>
      </c>
      <c r="E447" s="44" t="s">
        <v>1754</v>
      </c>
    </row>
    <row r="448" spans="1:5">
      <c r="A448" s="38" t="s">
        <v>120</v>
      </c>
      <c r="B448" s="18" t="s">
        <v>558</v>
      </c>
      <c r="C448" s="37" t="s">
        <v>891</v>
      </c>
      <c r="D448" s="44" t="s">
        <v>1627</v>
      </c>
      <c r="E448" s="44" t="s">
        <v>1754</v>
      </c>
    </row>
    <row r="449" spans="1:5">
      <c r="A449" s="38" t="s">
        <v>121</v>
      </c>
      <c r="B449" s="18" t="s">
        <v>559</v>
      </c>
      <c r="C449" s="37" t="s">
        <v>892</v>
      </c>
      <c r="D449" s="44" t="s">
        <v>1627</v>
      </c>
      <c r="E449" s="44" t="s">
        <v>1754</v>
      </c>
    </row>
    <row r="450" spans="1:5">
      <c r="A450" s="55" t="s">
        <v>1711</v>
      </c>
      <c r="B450" s="36" t="s">
        <v>560</v>
      </c>
      <c r="C450" s="45" t="s">
        <v>1712</v>
      </c>
      <c r="D450" s="44" t="s">
        <v>1627</v>
      </c>
      <c r="E450" s="44" t="s">
        <v>1754</v>
      </c>
    </row>
    <row r="451" spans="1:5">
      <c r="A451" s="38" t="s">
        <v>122</v>
      </c>
      <c r="B451" s="18" t="s">
        <v>560</v>
      </c>
      <c r="C451" s="37" t="s">
        <v>893</v>
      </c>
      <c r="D451" s="44" t="s">
        <v>1627</v>
      </c>
      <c r="E451" s="44" t="s">
        <v>1754</v>
      </c>
    </row>
    <row r="452" spans="1:5">
      <c r="A452" s="38" t="s">
        <v>123</v>
      </c>
      <c r="B452" s="18" t="s">
        <v>561</v>
      </c>
      <c r="C452" s="37" t="s">
        <v>894</v>
      </c>
      <c r="D452" s="44" t="s">
        <v>1627</v>
      </c>
      <c r="E452" s="44" t="s">
        <v>1754</v>
      </c>
    </row>
    <row r="453" spans="1:5">
      <c r="A453" s="38" t="s">
        <v>126</v>
      </c>
      <c r="B453" s="18" t="s">
        <v>550</v>
      </c>
      <c r="C453" s="37" t="s">
        <v>895</v>
      </c>
      <c r="D453" s="44" t="s">
        <v>1627</v>
      </c>
      <c r="E453" s="44" t="s">
        <v>1754</v>
      </c>
    </row>
    <row r="454" spans="1:5">
      <c r="A454" s="35" t="s">
        <v>109</v>
      </c>
      <c r="B454" s="36" t="s">
        <v>548</v>
      </c>
      <c r="C454" s="37" t="s">
        <v>982</v>
      </c>
      <c r="D454" s="44" t="s">
        <v>1627</v>
      </c>
      <c r="E454" s="44" t="s">
        <v>1754</v>
      </c>
    </row>
    <row r="455" spans="1:5">
      <c r="A455" s="35" t="s">
        <v>128</v>
      </c>
      <c r="B455" s="36" t="s">
        <v>548</v>
      </c>
      <c r="C455" s="37" t="s">
        <v>989</v>
      </c>
      <c r="D455" s="44" t="s">
        <v>1627</v>
      </c>
      <c r="E455" s="44" t="s">
        <v>1754</v>
      </c>
    </row>
    <row r="456" spans="1:5">
      <c r="A456" s="45" t="s">
        <v>1677</v>
      </c>
      <c r="B456" s="36" t="s">
        <v>550</v>
      </c>
      <c r="C456" s="45" t="s">
        <v>1678</v>
      </c>
      <c r="D456" s="44" t="s">
        <v>1627</v>
      </c>
      <c r="E456" s="44" t="s">
        <v>1754</v>
      </c>
    </row>
    <row r="457" spans="1:5">
      <c r="A457" s="35" t="s">
        <v>129</v>
      </c>
      <c r="B457" s="36" t="s">
        <v>883</v>
      </c>
      <c r="C457" s="37" t="s">
        <v>990</v>
      </c>
      <c r="D457" s="44" t="s">
        <v>1627</v>
      </c>
      <c r="E457" s="44" t="s">
        <v>1754</v>
      </c>
    </row>
    <row r="458" spans="1:5">
      <c r="A458" s="35" t="s">
        <v>132</v>
      </c>
      <c r="B458" s="36" t="s">
        <v>993</v>
      </c>
      <c r="C458" s="37" t="s">
        <v>994</v>
      </c>
      <c r="D458" s="44" t="s">
        <v>1627</v>
      </c>
      <c r="E458" s="44" t="s">
        <v>1754</v>
      </c>
    </row>
    <row r="459" spans="1:5">
      <c r="A459" s="35" t="s">
        <v>127</v>
      </c>
      <c r="B459" s="36" t="s">
        <v>549</v>
      </c>
      <c r="C459" s="37" t="s">
        <v>988</v>
      </c>
      <c r="D459" s="44" t="s">
        <v>1627</v>
      </c>
      <c r="E459" s="44" t="s">
        <v>1754</v>
      </c>
    </row>
    <row r="460" spans="1:5">
      <c r="A460" s="35" t="s">
        <v>130</v>
      </c>
      <c r="B460" s="36" t="s">
        <v>562</v>
      </c>
      <c r="C460" s="37" t="s">
        <v>991</v>
      </c>
      <c r="D460" s="44" t="s">
        <v>1627</v>
      </c>
      <c r="E460" s="44" t="s">
        <v>1754</v>
      </c>
    </row>
    <row r="461" spans="1:5">
      <c r="A461" s="37" t="s">
        <v>1720</v>
      </c>
      <c r="B461" s="36" t="s">
        <v>1721</v>
      </c>
      <c r="C461" s="45" t="s">
        <v>1722</v>
      </c>
      <c r="D461" s="44" t="s">
        <v>1627</v>
      </c>
      <c r="E461" s="44" t="s">
        <v>1754</v>
      </c>
    </row>
    <row r="462" spans="1:5">
      <c r="A462" s="35" t="s">
        <v>131</v>
      </c>
      <c r="B462" s="36" t="s">
        <v>563</v>
      </c>
      <c r="C462" s="37" t="s">
        <v>992</v>
      </c>
      <c r="D462" s="44" t="s">
        <v>1627</v>
      </c>
      <c r="E462" s="44" t="s">
        <v>1754</v>
      </c>
    </row>
    <row r="463" spans="1:5">
      <c r="A463" s="38" t="s">
        <v>133</v>
      </c>
      <c r="B463" s="18" t="s">
        <v>564</v>
      </c>
      <c r="C463" s="37" t="s">
        <v>896</v>
      </c>
      <c r="D463" s="44" t="s">
        <v>1627</v>
      </c>
      <c r="E463" s="44" t="s">
        <v>1754</v>
      </c>
    </row>
    <row r="464" spans="1:5">
      <c r="A464" s="35" t="s">
        <v>469</v>
      </c>
      <c r="B464" s="36" t="s">
        <v>1010</v>
      </c>
      <c r="C464" s="37" t="s">
        <v>1011</v>
      </c>
      <c r="D464" s="44" t="s">
        <v>1628</v>
      </c>
      <c r="E464" s="44" t="s">
        <v>1754</v>
      </c>
    </row>
    <row r="465" spans="1:5">
      <c r="A465" s="35" t="s">
        <v>470</v>
      </c>
      <c r="B465" s="36" t="s">
        <v>1012</v>
      </c>
      <c r="C465" s="37" t="s">
        <v>1013</v>
      </c>
      <c r="D465" s="44" t="s">
        <v>1628</v>
      </c>
      <c r="E465" s="44" t="s">
        <v>1754</v>
      </c>
    </row>
    <row r="466" spans="1:5">
      <c r="A466" s="55" t="s">
        <v>1715</v>
      </c>
      <c r="B466" s="36" t="s">
        <v>565</v>
      </c>
      <c r="C466" s="45" t="s">
        <v>1716</v>
      </c>
      <c r="D466" s="44" t="s">
        <v>1628</v>
      </c>
      <c r="E466" s="44" t="s">
        <v>1754</v>
      </c>
    </row>
    <row r="467" spans="1:5">
      <c r="A467" s="35" t="s">
        <v>134</v>
      </c>
      <c r="B467" s="36" t="s">
        <v>565</v>
      </c>
      <c r="C467" s="37" t="s">
        <v>995</v>
      </c>
      <c r="D467" s="44" t="s">
        <v>1628</v>
      </c>
      <c r="E467" s="44" t="s">
        <v>1754</v>
      </c>
    </row>
    <row r="468" spans="1:5">
      <c r="A468" s="44" t="s">
        <v>1340</v>
      </c>
      <c r="B468" s="36" t="s">
        <v>1349</v>
      </c>
      <c r="C468" s="37" t="s">
        <v>1350</v>
      </c>
      <c r="D468" s="44" t="s">
        <v>1628</v>
      </c>
      <c r="E468" s="44" t="s">
        <v>1754</v>
      </c>
    </row>
    <row r="469" spans="1:5">
      <c r="A469" s="35" t="s">
        <v>136</v>
      </c>
      <c r="B469" s="36" t="s">
        <v>566</v>
      </c>
      <c r="C469" s="37" t="s">
        <v>997</v>
      </c>
      <c r="D469" s="44" t="s">
        <v>1628</v>
      </c>
      <c r="E469" s="44" t="s">
        <v>1754</v>
      </c>
    </row>
    <row r="470" spans="1:5">
      <c r="A470" s="35" t="s">
        <v>135</v>
      </c>
      <c r="B470" s="36" t="s">
        <v>566</v>
      </c>
      <c r="C470" s="37" t="s">
        <v>996</v>
      </c>
      <c r="D470" s="44" t="s">
        <v>1628</v>
      </c>
      <c r="E470" s="44" t="s">
        <v>1754</v>
      </c>
    </row>
    <row r="471" spans="1:5">
      <c r="A471" s="44" t="s">
        <v>1776</v>
      </c>
      <c r="B471" s="36" t="s">
        <v>569</v>
      </c>
      <c r="C471" s="45" t="s">
        <v>1778</v>
      </c>
      <c r="D471" s="44" t="s">
        <v>1628</v>
      </c>
      <c r="E471" s="44" t="s">
        <v>1754</v>
      </c>
    </row>
    <row r="472" spans="1:5">
      <c r="A472" s="35" t="s">
        <v>139</v>
      </c>
      <c r="B472" s="36" t="s">
        <v>569</v>
      </c>
      <c r="C472" s="37" t="s">
        <v>999</v>
      </c>
      <c r="D472" s="44" t="s">
        <v>1628</v>
      </c>
      <c r="E472" s="44" t="s">
        <v>1754</v>
      </c>
    </row>
    <row r="473" spans="1:5">
      <c r="A473" s="55" t="s">
        <v>1682</v>
      </c>
      <c r="B473" s="36" t="s">
        <v>567</v>
      </c>
      <c r="C473" s="45" t="s">
        <v>1683</v>
      </c>
      <c r="D473" s="44" t="s">
        <v>1628</v>
      </c>
      <c r="E473" s="44" t="s">
        <v>1754</v>
      </c>
    </row>
    <row r="474" spans="1:5">
      <c r="A474" s="38" t="s">
        <v>137</v>
      </c>
      <c r="B474" s="18" t="s">
        <v>567</v>
      </c>
      <c r="C474" s="37" t="s">
        <v>897</v>
      </c>
      <c r="D474" s="44" t="s">
        <v>1628</v>
      </c>
      <c r="E474" s="44" t="s">
        <v>1754</v>
      </c>
    </row>
    <row r="475" spans="1:5">
      <c r="A475" s="35" t="s">
        <v>138</v>
      </c>
      <c r="B475" s="36" t="s">
        <v>568</v>
      </c>
      <c r="C475" s="37" t="s">
        <v>998</v>
      </c>
      <c r="D475" s="44" t="s">
        <v>1628</v>
      </c>
      <c r="E475" s="44" t="s">
        <v>1754</v>
      </c>
    </row>
    <row r="476" spans="1:5">
      <c r="A476" s="35" t="s">
        <v>140</v>
      </c>
      <c r="B476" s="36" t="s">
        <v>570</v>
      </c>
      <c r="C476" s="37" t="s">
        <v>1000</v>
      </c>
      <c r="D476" s="44" t="s">
        <v>1628</v>
      </c>
      <c r="E476" s="44" t="s">
        <v>1754</v>
      </c>
    </row>
    <row r="477" spans="1:5">
      <c r="A477" s="35" t="s">
        <v>141</v>
      </c>
      <c r="B477" s="36" t="s">
        <v>570</v>
      </c>
      <c r="C477" s="37" t="s">
        <v>1001</v>
      </c>
      <c r="D477" s="44" t="s">
        <v>1628</v>
      </c>
      <c r="E477" s="44" t="s">
        <v>1754</v>
      </c>
    </row>
    <row r="478" spans="1:5">
      <c r="A478" s="35" t="s">
        <v>142</v>
      </c>
      <c r="B478" s="36" t="s">
        <v>571</v>
      </c>
      <c r="C478" s="37" t="s">
        <v>1002</v>
      </c>
      <c r="D478" s="44" t="s">
        <v>1628</v>
      </c>
      <c r="E478" s="44" t="s">
        <v>1754</v>
      </c>
    </row>
    <row r="479" spans="1:5">
      <c r="A479" s="35" t="s">
        <v>143</v>
      </c>
      <c r="B479" s="36" t="s">
        <v>571</v>
      </c>
      <c r="C479" s="37" t="s">
        <v>1003</v>
      </c>
      <c r="D479" s="44" t="s">
        <v>1628</v>
      </c>
      <c r="E479" s="44" t="s">
        <v>1754</v>
      </c>
    </row>
    <row r="480" spans="1:5">
      <c r="A480" s="44" t="s">
        <v>1417</v>
      </c>
      <c r="B480" s="18" t="s">
        <v>572</v>
      </c>
      <c r="C480" s="37" t="s">
        <v>1418</v>
      </c>
      <c r="D480" s="44" t="s">
        <v>1628</v>
      </c>
      <c r="E480" s="44" t="s">
        <v>1754</v>
      </c>
    </row>
    <row r="481" spans="1:5">
      <c r="A481" s="38" t="s">
        <v>144</v>
      </c>
      <c r="B481" s="18" t="s">
        <v>572</v>
      </c>
      <c r="C481" s="37" t="s">
        <v>898</v>
      </c>
      <c r="D481" s="44" t="s">
        <v>1628</v>
      </c>
      <c r="E481" s="44" t="s">
        <v>1754</v>
      </c>
    </row>
    <row r="482" spans="1:5">
      <c r="A482" s="44" t="s">
        <v>1419</v>
      </c>
      <c r="B482" s="18" t="s">
        <v>572</v>
      </c>
      <c r="C482" s="37" t="s">
        <v>1420</v>
      </c>
      <c r="D482" s="44" t="s">
        <v>1628</v>
      </c>
      <c r="E482" s="44" t="s">
        <v>1754</v>
      </c>
    </row>
    <row r="483" spans="1:5">
      <c r="A483" s="35" t="s">
        <v>145</v>
      </c>
      <c r="B483" s="36" t="s">
        <v>573</v>
      </c>
      <c r="C483" s="37" t="s">
        <v>1004</v>
      </c>
      <c r="D483" s="44" t="s">
        <v>1628</v>
      </c>
      <c r="E483" s="44" t="s">
        <v>1754</v>
      </c>
    </row>
    <row r="484" spans="1:5">
      <c r="A484" s="35" t="s">
        <v>146</v>
      </c>
      <c r="B484" s="36" t="s">
        <v>574</v>
      </c>
      <c r="C484" s="37" t="s">
        <v>1005</v>
      </c>
      <c r="D484" s="44" t="s">
        <v>1628</v>
      </c>
      <c r="E484" s="44" t="s">
        <v>1754</v>
      </c>
    </row>
    <row r="485" spans="1:5">
      <c r="A485" s="44" t="s">
        <v>1421</v>
      </c>
      <c r="B485" s="36" t="s">
        <v>574</v>
      </c>
      <c r="C485" s="37" t="s">
        <v>1422</v>
      </c>
      <c r="D485" s="44" t="s">
        <v>1628</v>
      </c>
      <c r="E485" s="44" t="s">
        <v>1754</v>
      </c>
    </row>
    <row r="486" spans="1:5">
      <c r="A486" s="44" t="s">
        <v>1777</v>
      </c>
      <c r="B486" s="36" t="s">
        <v>574</v>
      </c>
      <c r="C486" s="45" t="s">
        <v>1779</v>
      </c>
      <c r="D486" s="44" t="s">
        <v>1628</v>
      </c>
      <c r="E486" s="44" t="s">
        <v>1754</v>
      </c>
    </row>
    <row r="487" spans="1:5">
      <c r="A487" s="35" t="s">
        <v>147</v>
      </c>
      <c r="B487" s="36" t="s">
        <v>575</v>
      </c>
      <c r="C487" s="37" t="s">
        <v>1006</v>
      </c>
      <c r="D487" s="44" t="s">
        <v>1628</v>
      </c>
      <c r="E487" s="44" t="s">
        <v>1754</v>
      </c>
    </row>
    <row r="488" spans="1:5">
      <c r="A488" s="44" t="s">
        <v>1551</v>
      </c>
      <c r="B488" s="36" t="s">
        <v>575</v>
      </c>
      <c r="C488" s="39" t="s">
        <v>1570</v>
      </c>
      <c r="D488" s="44" t="s">
        <v>1628</v>
      </c>
      <c r="E488" s="44" t="s">
        <v>1754</v>
      </c>
    </row>
    <row r="489" spans="1:5">
      <c r="A489" s="44" t="s">
        <v>1528</v>
      </c>
      <c r="B489" s="36" t="s">
        <v>576</v>
      </c>
      <c r="C489" s="39" t="s">
        <v>1529</v>
      </c>
      <c r="D489" s="44" t="s">
        <v>1575</v>
      </c>
      <c r="E489" s="44" t="s">
        <v>1754</v>
      </c>
    </row>
    <row r="490" spans="1:5">
      <c r="A490" s="35" t="s">
        <v>149</v>
      </c>
      <c r="B490" s="36" t="s">
        <v>576</v>
      </c>
      <c r="C490" s="37" t="s">
        <v>1007</v>
      </c>
      <c r="D490" s="44" t="s">
        <v>1575</v>
      </c>
      <c r="E490" s="44" t="s">
        <v>1754</v>
      </c>
    </row>
    <row r="491" spans="1:5">
      <c r="A491" s="37" t="s">
        <v>1502</v>
      </c>
      <c r="B491" s="36" t="s">
        <v>576</v>
      </c>
      <c r="C491" s="37" t="s">
        <v>1530</v>
      </c>
      <c r="D491" s="44" t="s">
        <v>1575</v>
      </c>
      <c r="E491" s="44" t="s">
        <v>1754</v>
      </c>
    </row>
    <row r="492" spans="1:5">
      <c r="A492" s="44" t="s">
        <v>1423</v>
      </c>
      <c r="B492" s="36" t="s">
        <v>1424</v>
      </c>
      <c r="C492" s="37" t="s">
        <v>1425</v>
      </c>
      <c r="D492" s="44" t="s">
        <v>1628</v>
      </c>
      <c r="E492" s="44" t="s">
        <v>1754</v>
      </c>
    </row>
    <row r="493" spans="1:5">
      <c r="A493" s="35" t="s">
        <v>148</v>
      </c>
      <c r="B493" s="36" t="s">
        <v>577</v>
      </c>
      <c r="C493" s="37" t="s">
        <v>1008</v>
      </c>
      <c r="D493" s="44" t="s">
        <v>1575</v>
      </c>
      <c r="E493" s="44" t="s">
        <v>1754</v>
      </c>
    </row>
    <row r="494" spans="1:5">
      <c r="A494" s="35" t="s">
        <v>150</v>
      </c>
      <c r="B494" s="36" t="s">
        <v>1501</v>
      </c>
      <c r="C494" s="37" t="s">
        <v>1009</v>
      </c>
      <c r="D494" s="44" t="s">
        <v>1628</v>
      </c>
      <c r="E494" s="44" t="s">
        <v>1754</v>
      </c>
    </row>
    <row r="495" spans="1:5">
      <c r="A495" s="35" t="s">
        <v>1531</v>
      </c>
      <c r="B495" s="36" t="s">
        <v>1501</v>
      </c>
      <c r="C495" s="37" t="s">
        <v>1532</v>
      </c>
      <c r="D495" s="44" t="s">
        <v>1628</v>
      </c>
      <c r="E495" s="44" t="s">
        <v>1754</v>
      </c>
    </row>
    <row r="496" spans="1:5">
      <c r="A496" s="44" t="s">
        <v>1486</v>
      </c>
      <c r="B496" s="36" t="s">
        <v>1488</v>
      </c>
      <c r="C496" s="36" t="s">
        <v>1487</v>
      </c>
      <c r="D496" s="44" t="s">
        <v>1575</v>
      </c>
      <c r="E496" s="44" t="s">
        <v>1754</v>
      </c>
    </row>
    <row r="497" spans="1:5">
      <c r="A497" s="35" t="s">
        <v>419</v>
      </c>
      <c r="B497" s="18" t="s">
        <v>813</v>
      </c>
      <c r="C497" s="37" t="s">
        <v>1276</v>
      </c>
      <c r="D497" s="44" t="s">
        <v>1617</v>
      </c>
      <c r="E497" s="44" t="s">
        <v>1754</v>
      </c>
    </row>
    <row r="498" spans="1:5">
      <c r="A498" s="35" t="s">
        <v>420</v>
      </c>
      <c r="B498" s="18" t="s">
        <v>814</v>
      </c>
      <c r="C498" s="37" t="s">
        <v>1277</v>
      </c>
      <c r="D498" s="44" t="s">
        <v>1616</v>
      </c>
      <c r="E498" s="44" t="s">
        <v>1754</v>
      </c>
    </row>
    <row r="499" spans="1:5">
      <c r="A499" s="38" t="s">
        <v>362</v>
      </c>
      <c r="B499" s="18" t="s">
        <v>760</v>
      </c>
      <c r="C499" s="37" t="s">
        <v>1222</v>
      </c>
      <c r="D499" s="44" t="s">
        <v>1616</v>
      </c>
      <c r="E499" s="44" t="s">
        <v>1754</v>
      </c>
    </row>
    <row r="500" spans="1:5">
      <c r="A500" s="38" t="s">
        <v>363</v>
      </c>
      <c r="B500" s="18" t="s">
        <v>761</v>
      </c>
      <c r="C500" s="37" t="s">
        <v>1223</v>
      </c>
      <c r="D500" s="44" t="s">
        <v>1616</v>
      </c>
      <c r="E500" s="44" t="s">
        <v>1754</v>
      </c>
    </row>
    <row r="501" spans="1:5">
      <c r="A501" s="35" t="s">
        <v>364</v>
      </c>
      <c r="B501" s="36" t="s">
        <v>762</v>
      </c>
      <c r="C501" s="37" t="s">
        <v>1232</v>
      </c>
      <c r="D501" s="44" t="s">
        <v>1616</v>
      </c>
      <c r="E501" s="44" t="s">
        <v>1754</v>
      </c>
    </row>
    <row r="502" spans="1:5">
      <c r="A502" s="35" t="s">
        <v>365</v>
      </c>
      <c r="B502" s="36" t="s">
        <v>763</v>
      </c>
      <c r="C502" s="37" t="s">
        <v>1233</v>
      </c>
      <c r="D502" s="44" t="s">
        <v>1616</v>
      </c>
      <c r="E502" s="44" t="s">
        <v>1754</v>
      </c>
    </row>
    <row r="503" spans="1:5">
      <c r="A503" s="35" t="s">
        <v>366</v>
      </c>
      <c r="B503" s="36" t="s">
        <v>764</v>
      </c>
      <c r="C503" s="37" t="s">
        <v>1234</v>
      </c>
      <c r="D503" s="44" t="s">
        <v>1616</v>
      </c>
      <c r="E503" s="44" t="s">
        <v>1754</v>
      </c>
    </row>
    <row r="504" spans="1:5">
      <c r="A504" s="38" t="s">
        <v>367</v>
      </c>
      <c r="B504" s="18" t="s">
        <v>765</v>
      </c>
      <c r="C504" s="37" t="s">
        <v>1224</v>
      </c>
      <c r="D504" s="44" t="s">
        <v>1616</v>
      </c>
      <c r="E504" s="44" t="s">
        <v>1754</v>
      </c>
    </row>
    <row r="505" spans="1:5">
      <c r="A505" s="35" t="s">
        <v>368</v>
      </c>
      <c r="B505" s="36" t="s">
        <v>766</v>
      </c>
      <c r="C505" s="37" t="s">
        <v>1235</v>
      </c>
      <c r="D505" s="44" t="s">
        <v>1616</v>
      </c>
      <c r="E505" s="44" t="s">
        <v>1754</v>
      </c>
    </row>
    <row r="506" spans="1:5">
      <c r="A506" s="35" t="s">
        <v>369</v>
      </c>
      <c r="B506" s="36" t="s">
        <v>767</v>
      </c>
      <c r="C506" s="37" t="s">
        <v>1236</v>
      </c>
      <c r="D506" s="44" t="s">
        <v>1616</v>
      </c>
      <c r="E506" s="44" t="s">
        <v>1754</v>
      </c>
    </row>
    <row r="507" spans="1:5">
      <c r="A507" s="35" t="s">
        <v>370</v>
      </c>
      <c r="B507" s="36" t="s">
        <v>768</v>
      </c>
      <c r="C507" s="37" t="s">
        <v>1237</v>
      </c>
      <c r="D507" s="44" t="s">
        <v>1616</v>
      </c>
      <c r="E507" s="44" t="s">
        <v>1754</v>
      </c>
    </row>
    <row r="508" spans="1:5">
      <c r="A508" s="35" t="s">
        <v>371</v>
      </c>
      <c r="B508" s="36" t="s">
        <v>769</v>
      </c>
      <c r="C508" s="37" t="s">
        <v>1238</v>
      </c>
      <c r="D508" s="44" t="s">
        <v>1616</v>
      </c>
      <c r="E508" s="44" t="s">
        <v>1754</v>
      </c>
    </row>
    <row r="509" spans="1:5">
      <c r="A509" s="35" t="s">
        <v>372</v>
      </c>
      <c r="B509" s="36" t="s">
        <v>769</v>
      </c>
      <c r="C509" s="37" t="s">
        <v>1239</v>
      </c>
      <c r="D509" s="44" t="s">
        <v>1616</v>
      </c>
      <c r="E509" s="44" t="s">
        <v>1754</v>
      </c>
    </row>
    <row r="510" spans="1:5">
      <c r="A510" s="35" t="s">
        <v>373</v>
      </c>
      <c r="B510" s="36" t="s">
        <v>770</v>
      </c>
      <c r="C510" s="37" t="s">
        <v>1240</v>
      </c>
      <c r="D510" s="44" t="s">
        <v>1616</v>
      </c>
      <c r="E510" s="44" t="s">
        <v>1754</v>
      </c>
    </row>
    <row r="511" spans="1:5">
      <c r="A511" s="35" t="s">
        <v>374</v>
      </c>
      <c r="B511" s="36" t="s">
        <v>771</v>
      </c>
      <c r="C511" s="37" t="s">
        <v>1241</v>
      </c>
      <c r="D511" s="44" t="s">
        <v>1616</v>
      </c>
      <c r="E511" s="44" t="s">
        <v>1754</v>
      </c>
    </row>
    <row r="512" spans="1:5">
      <c r="A512" s="35" t="s">
        <v>375</v>
      </c>
      <c r="B512" s="36" t="s">
        <v>772</v>
      </c>
      <c r="C512" s="37" t="s">
        <v>1242</v>
      </c>
      <c r="D512" s="44" t="s">
        <v>1616</v>
      </c>
      <c r="E512" s="44" t="s">
        <v>1754</v>
      </c>
    </row>
    <row r="513" spans="1:5">
      <c r="A513" s="35" t="s">
        <v>376</v>
      </c>
      <c r="B513" s="36" t="s">
        <v>773</v>
      </c>
      <c r="C513" s="37" t="s">
        <v>1243</v>
      </c>
      <c r="D513" s="44" t="s">
        <v>1616</v>
      </c>
      <c r="E513" s="44" t="s">
        <v>1754</v>
      </c>
    </row>
    <row r="514" spans="1:5">
      <c r="A514" s="35" t="s">
        <v>377</v>
      </c>
      <c r="B514" s="36" t="s">
        <v>774</v>
      </c>
      <c r="C514" s="37" t="s">
        <v>1244</v>
      </c>
      <c r="D514" s="44" t="s">
        <v>1616</v>
      </c>
      <c r="E514" s="44" t="s">
        <v>1754</v>
      </c>
    </row>
    <row r="515" spans="1:5">
      <c r="A515" s="35" t="s">
        <v>378</v>
      </c>
      <c r="B515" s="36" t="s">
        <v>774</v>
      </c>
      <c r="C515" s="37" t="s">
        <v>1245</v>
      </c>
      <c r="D515" s="44" t="s">
        <v>1616</v>
      </c>
      <c r="E515" s="44" t="s">
        <v>1754</v>
      </c>
    </row>
    <row r="516" spans="1:5">
      <c r="A516" s="35" t="s">
        <v>379</v>
      </c>
      <c r="B516" s="36" t="s">
        <v>774</v>
      </c>
      <c r="C516" s="37" t="s">
        <v>1246</v>
      </c>
      <c r="D516" s="44" t="s">
        <v>1616</v>
      </c>
      <c r="E516" s="44" t="s">
        <v>1754</v>
      </c>
    </row>
    <row r="517" spans="1:5">
      <c r="A517" s="35" t="s">
        <v>380</v>
      </c>
      <c r="B517" s="36" t="s">
        <v>775</v>
      </c>
      <c r="C517" s="37" t="s">
        <v>1247</v>
      </c>
      <c r="D517" s="44" t="s">
        <v>1616</v>
      </c>
      <c r="E517" s="44" t="s">
        <v>1754</v>
      </c>
    </row>
    <row r="518" spans="1:5">
      <c r="A518" s="35" t="s">
        <v>381</v>
      </c>
      <c r="B518" s="36" t="s">
        <v>776</v>
      </c>
      <c r="C518" s="37" t="s">
        <v>1248</v>
      </c>
      <c r="D518" s="44" t="s">
        <v>1616</v>
      </c>
      <c r="E518" s="44" t="s">
        <v>1754</v>
      </c>
    </row>
    <row r="519" spans="1:5">
      <c r="A519" s="35" t="s">
        <v>382</v>
      </c>
      <c r="B519" s="36" t="s">
        <v>777</v>
      </c>
      <c r="C519" s="37" t="s">
        <v>1249</v>
      </c>
      <c r="D519" s="44" t="s">
        <v>1616</v>
      </c>
      <c r="E519" s="44" t="s">
        <v>1754</v>
      </c>
    </row>
    <row r="520" spans="1:5">
      <c r="A520" s="38" t="s">
        <v>383</v>
      </c>
      <c r="B520" s="18" t="s">
        <v>778</v>
      </c>
      <c r="C520" s="37" t="s">
        <v>1225</v>
      </c>
      <c r="D520" s="44" t="s">
        <v>1616</v>
      </c>
      <c r="E520" s="44" t="s">
        <v>1754</v>
      </c>
    </row>
    <row r="521" spans="1:5">
      <c r="A521" s="38" t="s">
        <v>384</v>
      </c>
      <c r="B521" s="18" t="s">
        <v>779</v>
      </c>
      <c r="C521" s="37" t="s">
        <v>1226</v>
      </c>
      <c r="D521" s="44" t="s">
        <v>1616</v>
      </c>
      <c r="E521" s="44" t="s">
        <v>1754</v>
      </c>
    </row>
    <row r="522" spans="1:5">
      <c r="A522" s="35" t="s">
        <v>385</v>
      </c>
      <c r="B522" s="36" t="s">
        <v>780</v>
      </c>
      <c r="C522" s="37" t="s">
        <v>1250</v>
      </c>
      <c r="D522" s="44" t="s">
        <v>1616</v>
      </c>
      <c r="E522" s="44" t="s">
        <v>1754</v>
      </c>
    </row>
    <row r="523" spans="1:5">
      <c r="A523" s="35" t="s">
        <v>429</v>
      </c>
      <c r="B523" s="18" t="s">
        <v>823</v>
      </c>
      <c r="C523" s="37" t="s">
        <v>1284</v>
      </c>
      <c r="D523" s="44" t="s">
        <v>1617</v>
      </c>
      <c r="E523" s="44" t="s">
        <v>1754</v>
      </c>
    </row>
    <row r="524" spans="1:5">
      <c r="A524" s="35" t="s">
        <v>430</v>
      </c>
      <c r="B524" s="18" t="s">
        <v>824</v>
      </c>
      <c r="C524" s="37" t="s">
        <v>1285</v>
      </c>
      <c r="D524" s="44" t="s">
        <v>1617</v>
      </c>
      <c r="E524" s="44" t="s">
        <v>1754</v>
      </c>
    </row>
    <row r="525" spans="1:5">
      <c r="A525" s="38" t="s">
        <v>389</v>
      </c>
      <c r="B525" s="18" t="s">
        <v>801</v>
      </c>
      <c r="C525" s="37" t="s">
        <v>1227</v>
      </c>
      <c r="D525" s="44" t="s">
        <v>1614</v>
      </c>
      <c r="E525" s="44" t="s">
        <v>1754</v>
      </c>
    </row>
    <row r="526" spans="1:5">
      <c r="A526" s="38" t="s">
        <v>390</v>
      </c>
      <c r="B526" s="18" t="s">
        <v>802</v>
      </c>
      <c r="C526" s="37" t="s">
        <v>1228</v>
      </c>
      <c r="D526" s="44" t="s">
        <v>1614</v>
      </c>
      <c r="E526" s="44" t="s">
        <v>1754</v>
      </c>
    </row>
    <row r="527" spans="1:5">
      <c r="A527" s="44" t="s">
        <v>1426</v>
      </c>
      <c r="B527" s="36" t="s">
        <v>1427</v>
      </c>
      <c r="C527" s="37" t="s">
        <v>1428</v>
      </c>
      <c r="D527" s="44" t="s">
        <v>1629</v>
      </c>
      <c r="E527" s="44" t="s">
        <v>1754</v>
      </c>
    </row>
    <row r="528" spans="1:5">
      <c r="A528" s="35" t="s">
        <v>395</v>
      </c>
      <c r="B528" s="18" t="s">
        <v>787</v>
      </c>
      <c r="C528" s="37" t="s">
        <v>1263</v>
      </c>
      <c r="D528" s="44" t="s">
        <v>1629</v>
      </c>
      <c r="E528" s="44" t="s">
        <v>1754</v>
      </c>
    </row>
    <row r="529" spans="1:5">
      <c r="A529" s="35" t="s">
        <v>396</v>
      </c>
      <c r="B529" s="36" t="s">
        <v>788</v>
      </c>
      <c r="C529" s="37" t="s">
        <v>1264</v>
      </c>
      <c r="D529" s="44" t="s">
        <v>1629</v>
      </c>
      <c r="E529" s="44" t="s">
        <v>1754</v>
      </c>
    </row>
    <row r="530" spans="1:5">
      <c r="A530" s="38" t="s">
        <v>397</v>
      </c>
      <c r="B530" s="18" t="s">
        <v>789</v>
      </c>
      <c r="C530" s="37" t="s">
        <v>1254</v>
      </c>
      <c r="D530" s="44" t="s">
        <v>1629</v>
      </c>
      <c r="E530" s="44" t="s">
        <v>1754</v>
      </c>
    </row>
    <row r="531" spans="1:5">
      <c r="A531" s="35" t="s">
        <v>398</v>
      </c>
      <c r="B531" s="36" t="s">
        <v>790</v>
      </c>
      <c r="C531" s="37" t="s">
        <v>1265</v>
      </c>
      <c r="D531" s="44" t="s">
        <v>1629</v>
      </c>
      <c r="E531" s="44" t="s">
        <v>1754</v>
      </c>
    </row>
    <row r="532" spans="1:5">
      <c r="A532" s="38" t="s">
        <v>399</v>
      </c>
      <c r="B532" s="18" t="s">
        <v>791</v>
      </c>
      <c r="C532" s="37" t="s">
        <v>1255</v>
      </c>
      <c r="D532" s="44" t="s">
        <v>1629</v>
      </c>
      <c r="E532" s="44" t="s">
        <v>1754</v>
      </c>
    </row>
    <row r="533" spans="1:5">
      <c r="A533" s="35" t="s">
        <v>400</v>
      </c>
      <c r="B533" s="18" t="s">
        <v>792</v>
      </c>
      <c r="C533" s="37" t="s">
        <v>1266</v>
      </c>
      <c r="D533" s="44" t="s">
        <v>1629</v>
      </c>
      <c r="E533" s="44" t="s">
        <v>1754</v>
      </c>
    </row>
    <row r="534" spans="1:5">
      <c r="A534" s="38" t="s">
        <v>392</v>
      </c>
      <c r="B534" s="18" t="s">
        <v>784</v>
      </c>
      <c r="C534" s="37" t="s">
        <v>1256</v>
      </c>
      <c r="D534" s="44" t="s">
        <v>1629</v>
      </c>
      <c r="E534" s="44" t="s">
        <v>1754</v>
      </c>
    </row>
    <row r="535" spans="1:5">
      <c r="A535" s="38" t="s">
        <v>394</v>
      </c>
      <c r="B535" s="18" t="s">
        <v>786</v>
      </c>
      <c r="C535" s="37" t="s">
        <v>1257</v>
      </c>
      <c r="D535" s="44" t="s">
        <v>1629</v>
      </c>
      <c r="E535" s="44" t="s">
        <v>1754</v>
      </c>
    </row>
    <row r="536" spans="1:5">
      <c r="A536" s="38" t="s">
        <v>393</v>
      </c>
      <c r="B536" s="18" t="s">
        <v>785</v>
      </c>
      <c r="C536" s="37" t="s">
        <v>1258</v>
      </c>
      <c r="D536" s="44" t="s">
        <v>1629</v>
      </c>
      <c r="E536" s="44" t="s">
        <v>1754</v>
      </c>
    </row>
    <row r="537" spans="1:5">
      <c r="A537" s="38" t="s">
        <v>401</v>
      </c>
      <c r="B537" s="18" t="s">
        <v>793</v>
      </c>
      <c r="C537" s="37" t="s">
        <v>1259</v>
      </c>
      <c r="D537" s="44" t="s">
        <v>1629</v>
      </c>
      <c r="E537" s="44" t="s">
        <v>1754</v>
      </c>
    </row>
    <row r="538" spans="1:5">
      <c r="A538" s="35" t="s">
        <v>402</v>
      </c>
      <c r="B538" s="18" t="s">
        <v>794</v>
      </c>
      <c r="C538" s="37" t="s">
        <v>1267</v>
      </c>
      <c r="D538" s="44" t="s">
        <v>1629</v>
      </c>
      <c r="E538" s="44" t="s">
        <v>1754</v>
      </c>
    </row>
    <row r="539" spans="1:5">
      <c r="A539" s="35" t="s">
        <v>403</v>
      </c>
      <c r="B539" s="18" t="s">
        <v>795</v>
      </c>
      <c r="C539" s="37" t="s">
        <v>1268</v>
      </c>
      <c r="D539" s="44" t="s">
        <v>1629</v>
      </c>
      <c r="E539" s="44" t="s">
        <v>1754</v>
      </c>
    </row>
    <row r="540" spans="1:5">
      <c r="A540" s="35" t="s">
        <v>404</v>
      </c>
      <c r="B540" s="18" t="s">
        <v>796</v>
      </c>
      <c r="C540" s="37" t="s">
        <v>1269</v>
      </c>
      <c r="D540" s="44" t="s">
        <v>1629</v>
      </c>
      <c r="E540" s="44" t="s">
        <v>1754</v>
      </c>
    </row>
    <row r="541" spans="1:5">
      <c r="A541" s="35" t="s">
        <v>405</v>
      </c>
      <c r="B541" s="18" t="s">
        <v>797</v>
      </c>
      <c r="C541" s="37" t="s">
        <v>1270</v>
      </c>
      <c r="D541" s="44" t="s">
        <v>1629</v>
      </c>
      <c r="E541" s="44" t="s">
        <v>1754</v>
      </c>
    </row>
    <row r="542" spans="1:5">
      <c r="A542" s="38" t="s">
        <v>406</v>
      </c>
      <c r="B542" s="18" t="s">
        <v>798</v>
      </c>
      <c r="C542" s="37" t="s">
        <v>1260</v>
      </c>
      <c r="D542" s="44" t="s">
        <v>1629</v>
      </c>
      <c r="E542" s="44" t="s">
        <v>1754</v>
      </c>
    </row>
    <row r="543" spans="1:5">
      <c r="A543" s="35" t="s">
        <v>407</v>
      </c>
      <c r="B543" s="18" t="s">
        <v>799</v>
      </c>
      <c r="C543" s="39" t="s">
        <v>1271</v>
      </c>
      <c r="D543" s="44" t="s">
        <v>1629</v>
      </c>
      <c r="E543" s="44" t="s">
        <v>1754</v>
      </c>
    </row>
    <row r="544" spans="1:5">
      <c r="A544" s="38" t="s">
        <v>408</v>
      </c>
      <c r="B544" s="18" t="s">
        <v>800</v>
      </c>
      <c r="C544" s="37" t="s">
        <v>1261</v>
      </c>
      <c r="D544" s="44" t="s">
        <v>1629</v>
      </c>
      <c r="E544" s="44" t="s">
        <v>1754</v>
      </c>
    </row>
    <row r="545" spans="1:5">
      <c r="A545" s="44" t="s">
        <v>1533</v>
      </c>
      <c r="B545" s="18" t="s">
        <v>1534</v>
      </c>
      <c r="C545" s="39" t="s">
        <v>1535</v>
      </c>
      <c r="D545" s="44" t="s">
        <v>1629</v>
      </c>
      <c r="E545" s="44" t="s">
        <v>1754</v>
      </c>
    </row>
    <row r="546" spans="1:5">
      <c r="A546" s="35" t="s">
        <v>409</v>
      </c>
      <c r="B546" s="18" t="s">
        <v>805</v>
      </c>
      <c r="C546" s="37" t="s">
        <v>1273</v>
      </c>
      <c r="D546" s="44" t="s">
        <v>1614</v>
      </c>
      <c r="E546" s="44" t="s">
        <v>1754</v>
      </c>
    </row>
    <row r="547" spans="1:5">
      <c r="A547" s="38" t="s">
        <v>410</v>
      </c>
      <c r="B547" s="18" t="s">
        <v>806</v>
      </c>
      <c r="C547" s="37" t="s">
        <v>1262</v>
      </c>
      <c r="D547" s="44" t="s">
        <v>1614</v>
      </c>
      <c r="E547" s="44" t="s">
        <v>1754</v>
      </c>
    </row>
    <row r="548" spans="1:5">
      <c r="A548" s="35" t="s">
        <v>72</v>
      </c>
      <c r="B548" s="36" t="s">
        <v>521</v>
      </c>
      <c r="C548" s="37" t="s">
        <v>966</v>
      </c>
      <c r="D548" s="44" t="s">
        <v>1630</v>
      </c>
      <c r="E548" s="44" t="s">
        <v>1754</v>
      </c>
    </row>
    <row r="549" spans="1:5">
      <c r="A549" s="38" t="s">
        <v>418</v>
      </c>
      <c r="B549" s="18" t="s">
        <v>812</v>
      </c>
      <c r="C549" s="37" t="s">
        <v>857</v>
      </c>
      <c r="D549" s="44" t="s">
        <v>1618</v>
      </c>
      <c r="E549" s="44" t="s">
        <v>1754</v>
      </c>
    </row>
    <row r="550" spans="1:5">
      <c r="A550" s="55" t="s">
        <v>1708</v>
      </c>
      <c r="B550" s="36" t="s">
        <v>1709</v>
      </c>
      <c r="C550" s="45" t="s">
        <v>1710</v>
      </c>
      <c r="D550" s="44" t="s">
        <v>1630</v>
      </c>
      <c r="E550" s="44" t="s">
        <v>1754</v>
      </c>
    </row>
    <row r="551" spans="1:5">
      <c r="A551" s="35" t="s">
        <v>73</v>
      </c>
      <c r="B551" s="36" t="s">
        <v>522</v>
      </c>
      <c r="C551" s="37" t="s">
        <v>967</v>
      </c>
      <c r="D551" s="44" t="s">
        <v>1630</v>
      </c>
      <c r="E551" s="44" t="s">
        <v>1754</v>
      </c>
    </row>
    <row r="552" spans="1:5">
      <c r="A552" s="17" t="s">
        <v>1771</v>
      </c>
      <c r="B552" s="36" t="s">
        <v>1430</v>
      </c>
      <c r="C552" s="45" t="s">
        <v>1772</v>
      </c>
      <c r="D552" s="44" t="s">
        <v>1630</v>
      </c>
      <c r="E552" s="44" t="s">
        <v>1754</v>
      </c>
    </row>
    <row r="553" spans="1:5">
      <c r="A553" s="44" t="s">
        <v>1429</v>
      </c>
      <c r="B553" s="36" t="s">
        <v>1430</v>
      </c>
      <c r="C553" s="37" t="s">
        <v>1431</v>
      </c>
      <c r="D553" s="44" t="s">
        <v>1630</v>
      </c>
      <c r="E553" s="44" t="s">
        <v>1754</v>
      </c>
    </row>
    <row r="554" spans="1:5">
      <c r="A554" s="38" t="s">
        <v>74</v>
      </c>
      <c r="B554" s="18" t="s">
        <v>522</v>
      </c>
      <c r="C554" s="37" t="s">
        <v>899</v>
      </c>
      <c r="D554" s="44" t="s">
        <v>1630</v>
      </c>
      <c r="E554" s="44" t="s">
        <v>1754</v>
      </c>
    </row>
    <row r="555" spans="1:5">
      <c r="A555" s="44" t="s">
        <v>1432</v>
      </c>
      <c r="B555" s="18" t="s">
        <v>522</v>
      </c>
      <c r="C555" s="37" t="s">
        <v>1433</v>
      </c>
      <c r="D555" s="44" t="s">
        <v>1630</v>
      </c>
      <c r="E555" s="44" t="s">
        <v>1754</v>
      </c>
    </row>
    <row r="556" spans="1:5">
      <c r="A556" s="44" t="s">
        <v>1434</v>
      </c>
      <c r="B556" s="36" t="s">
        <v>1430</v>
      </c>
      <c r="C556" s="37" t="s">
        <v>1435</v>
      </c>
      <c r="D556" s="44" t="s">
        <v>1630</v>
      </c>
      <c r="E556" s="44" t="s">
        <v>1754</v>
      </c>
    </row>
    <row r="557" spans="1:5">
      <c r="A557" s="38" t="s">
        <v>75</v>
      </c>
      <c r="B557" s="18" t="s">
        <v>523</v>
      </c>
      <c r="C557" s="37" t="s">
        <v>900</v>
      </c>
      <c r="D557" s="44" t="s">
        <v>1630</v>
      </c>
      <c r="E557" s="44" t="s">
        <v>1754</v>
      </c>
    </row>
    <row r="558" spans="1:5">
      <c r="A558" s="38" t="s">
        <v>76</v>
      </c>
      <c r="B558" s="18" t="s">
        <v>524</v>
      </c>
      <c r="C558" s="37" t="s">
        <v>901</v>
      </c>
      <c r="D558" s="44" t="s">
        <v>1630</v>
      </c>
      <c r="E558" s="44" t="s">
        <v>1754</v>
      </c>
    </row>
    <row r="559" spans="1:5">
      <c r="A559" s="55" t="s">
        <v>1667</v>
      </c>
      <c r="B559" s="36" t="s">
        <v>528</v>
      </c>
      <c r="C559" s="45" t="s">
        <v>1668</v>
      </c>
      <c r="D559" s="44" t="s">
        <v>1630</v>
      </c>
      <c r="E559" s="44" t="s">
        <v>1754</v>
      </c>
    </row>
    <row r="560" spans="1:5">
      <c r="A560" s="37" t="s">
        <v>1549</v>
      </c>
      <c r="B560" s="36" t="s">
        <v>525</v>
      </c>
      <c r="C560" s="39" t="s">
        <v>1550</v>
      </c>
      <c r="D560" s="44" t="s">
        <v>1630</v>
      </c>
      <c r="E560" s="44" t="s">
        <v>1754</v>
      </c>
    </row>
    <row r="561" spans="1:5">
      <c r="A561" s="44" t="s">
        <v>1632</v>
      </c>
      <c r="B561" s="36" t="s">
        <v>1539</v>
      </c>
      <c r="C561" s="45" t="s">
        <v>1660</v>
      </c>
      <c r="D561" s="44" t="s">
        <v>1630</v>
      </c>
      <c r="E561" s="44" t="s">
        <v>1754</v>
      </c>
    </row>
    <row r="562" spans="1:5">
      <c r="A562" s="44" t="s">
        <v>1536</v>
      </c>
      <c r="B562" s="36" t="s">
        <v>525</v>
      </c>
      <c r="C562" s="45" t="s">
        <v>1537</v>
      </c>
      <c r="D562" s="44" t="s">
        <v>1630</v>
      </c>
      <c r="E562" s="44" t="s">
        <v>1754</v>
      </c>
    </row>
    <row r="563" spans="1:5">
      <c r="A563" s="35" t="s">
        <v>77</v>
      </c>
      <c r="B563" s="36" t="s">
        <v>525</v>
      </c>
      <c r="C563" s="37" t="s">
        <v>968</v>
      </c>
      <c r="D563" s="44" t="s">
        <v>1630</v>
      </c>
      <c r="E563" s="44" t="s">
        <v>1754</v>
      </c>
    </row>
    <row r="564" spans="1:5">
      <c r="A564" s="35" t="s">
        <v>78</v>
      </c>
      <c r="B564" s="36" t="s">
        <v>526</v>
      </c>
      <c r="C564" s="37" t="s">
        <v>969</v>
      </c>
      <c r="D564" s="44" t="s">
        <v>1630</v>
      </c>
      <c r="E564" s="44" t="s">
        <v>1754</v>
      </c>
    </row>
    <row r="565" spans="1:5">
      <c r="A565" s="44" t="s">
        <v>1538</v>
      </c>
      <c r="B565" s="18" t="s">
        <v>1539</v>
      </c>
      <c r="C565" s="45" t="s">
        <v>1540</v>
      </c>
      <c r="D565" s="44" t="s">
        <v>1630</v>
      </c>
      <c r="E565" s="44" t="s">
        <v>1754</v>
      </c>
    </row>
    <row r="566" spans="1:5">
      <c r="A566" s="54" t="s">
        <v>1471</v>
      </c>
      <c r="B566" s="36" t="s">
        <v>1473</v>
      </c>
      <c r="C566" s="37" t="s">
        <v>1472</v>
      </c>
      <c r="D566" s="44" t="s">
        <v>1630</v>
      </c>
      <c r="E566" s="44" t="s">
        <v>1754</v>
      </c>
    </row>
    <row r="567" spans="1:5">
      <c r="A567" s="35" t="s">
        <v>79</v>
      </c>
      <c r="B567" s="36" t="s">
        <v>527</v>
      </c>
      <c r="C567" s="37" t="s">
        <v>970</v>
      </c>
      <c r="D567" s="44" t="s">
        <v>1630</v>
      </c>
      <c r="E567" s="44" t="s">
        <v>1754</v>
      </c>
    </row>
    <row r="568" spans="1:5">
      <c r="A568" s="35" t="s">
        <v>80</v>
      </c>
      <c r="B568" s="36" t="s">
        <v>528</v>
      </c>
      <c r="C568" s="37" t="s">
        <v>971</v>
      </c>
      <c r="D568" s="44" t="s">
        <v>1630</v>
      </c>
      <c r="E568" s="44" t="s">
        <v>1754</v>
      </c>
    </row>
    <row r="569" spans="1:5">
      <c r="A569" s="38" t="s">
        <v>81</v>
      </c>
      <c r="B569" s="18" t="s">
        <v>529</v>
      </c>
      <c r="C569" s="37" t="s">
        <v>902</v>
      </c>
      <c r="D569" s="44" t="s">
        <v>1630</v>
      </c>
      <c r="E569" s="44" t="s">
        <v>1754</v>
      </c>
    </row>
    <row r="570" spans="1:5">
      <c r="A570" s="38" t="s">
        <v>1436</v>
      </c>
      <c r="B570" s="36" t="s">
        <v>529</v>
      </c>
      <c r="C570" s="37" t="s">
        <v>1499</v>
      </c>
      <c r="D570" s="44" t="s">
        <v>1630</v>
      </c>
      <c r="E570" s="44" t="s">
        <v>1754</v>
      </c>
    </row>
    <row r="571" spans="1:5">
      <c r="A571" s="35" t="s">
        <v>82</v>
      </c>
      <c r="B571" s="36" t="s">
        <v>521</v>
      </c>
      <c r="C571" s="37" t="s">
        <v>972</v>
      </c>
      <c r="D571" s="44" t="s">
        <v>1630</v>
      </c>
      <c r="E571" s="44" t="s">
        <v>1754</v>
      </c>
    </row>
    <row r="572" spans="1:5">
      <c r="A572" s="35" t="s">
        <v>83</v>
      </c>
      <c r="B572" s="36" t="s">
        <v>521</v>
      </c>
      <c r="C572" s="37" t="s">
        <v>973</v>
      </c>
      <c r="D572" s="44" t="s">
        <v>1630</v>
      </c>
      <c r="E572" s="44" t="s">
        <v>1754</v>
      </c>
    </row>
    <row r="573" spans="1:5">
      <c r="A573" s="44" t="s">
        <v>1437</v>
      </c>
      <c r="B573" s="36" t="s">
        <v>530</v>
      </c>
      <c r="C573" s="37" t="s">
        <v>1438</v>
      </c>
      <c r="D573" s="44" t="s">
        <v>1630</v>
      </c>
      <c r="E573" s="44" t="s">
        <v>1754</v>
      </c>
    </row>
    <row r="574" spans="1:5">
      <c r="A574" s="44" t="s">
        <v>1439</v>
      </c>
      <c r="B574" s="18" t="s">
        <v>531</v>
      </c>
      <c r="C574" s="37" t="s">
        <v>1440</v>
      </c>
      <c r="D574" s="44" t="s">
        <v>1630</v>
      </c>
      <c r="E574" s="44" t="s">
        <v>1754</v>
      </c>
    </row>
    <row r="575" spans="1:5">
      <c r="A575" s="35" t="s">
        <v>84</v>
      </c>
      <c r="B575" s="36" t="s">
        <v>530</v>
      </c>
      <c r="C575" s="37" t="s">
        <v>974</v>
      </c>
      <c r="D575" s="44" t="s">
        <v>1630</v>
      </c>
      <c r="E575" s="44" t="s">
        <v>1754</v>
      </c>
    </row>
    <row r="576" spans="1:5">
      <c r="A576" s="38" t="s">
        <v>85</v>
      </c>
      <c r="B576" s="18" t="s">
        <v>531</v>
      </c>
      <c r="C576" s="37" t="s">
        <v>903</v>
      </c>
      <c r="D576" s="44" t="s">
        <v>1630</v>
      </c>
      <c r="E576" s="44" t="s">
        <v>1754</v>
      </c>
    </row>
    <row r="577" spans="1:5">
      <c r="A577" s="38" t="s">
        <v>1441</v>
      </c>
      <c r="B577" s="36" t="s">
        <v>531</v>
      </c>
      <c r="C577" s="37" t="s">
        <v>1500</v>
      </c>
      <c r="D577" s="44" t="s">
        <v>1630</v>
      </c>
      <c r="E577" s="44" t="s">
        <v>1754</v>
      </c>
    </row>
    <row r="578" spans="1:5">
      <c r="A578" s="38" t="s">
        <v>1541</v>
      </c>
      <c r="B578" s="18" t="s">
        <v>532</v>
      </c>
      <c r="C578" s="37" t="s">
        <v>1542</v>
      </c>
      <c r="D578" s="44" t="s">
        <v>1630</v>
      </c>
      <c r="E578" s="44" t="s">
        <v>1754</v>
      </c>
    </row>
    <row r="579" spans="1:5">
      <c r="A579" s="38" t="s">
        <v>86</v>
      </c>
      <c r="B579" s="18" t="s">
        <v>532</v>
      </c>
      <c r="C579" s="37" t="s">
        <v>904</v>
      </c>
      <c r="D579" s="44" t="s">
        <v>1630</v>
      </c>
      <c r="E579" s="44" t="s">
        <v>1754</v>
      </c>
    </row>
    <row r="580" spans="1:5">
      <c r="A580" s="44" t="s">
        <v>1442</v>
      </c>
      <c r="B580" s="36" t="s">
        <v>533</v>
      </c>
      <c r="C580" s="37" t="s">
        <v>1443</v>
      </c>
      <c r="D580" s="44" t="s">
        <v>1630</v>
      </c>
      <c r="E580" s="44" t="s">
        <v>1754</v>
      </c>
    </row>
    <row r="581" spans="1:5">
      <c r="A581" s="35" t="s">
        <v>87</v>
      </c>
      <c r="B581" s="36" t="s">
        <v>533</v>
      </c>
      <c r="C581" s="37" t="s">
        <v>975</v>
      </c>
      <c r="D581" s="44" t="s">
        <v>1630</v>
      </c>
      <c r="E581" s="44" t="s">
        <v>1754</v>
      </c>
    </row>
    <row r="582" spans="1:5">
      <c r="A582" s="44" t="s">
        <v>1444</v>
      </c>
      <c r="B582" s="18" t="s">
        <v>534</v>
      </c>
      <c r="C582" s="37" t="s">
        <v>1445</v>
      </c>
      <c r="D582" s="44" t="s">
        <v>1630</v>
      </c>
      <c r="E582" s="44" t="s">
        <v>1754</v>
      </c>
    </row>
    <row r="583" spans="1:5">
      <c r="A583" s="38" t="s">
        <v>88</v>
      </c>
      <c r="B583" s="18" t="s">
        <v>534</v>
      </c>
      <c r="C583" s="37" t="s">
        <v>905</v>
      </c>
      <c r="D583" s="44" t="s">
        <v>1630</v>
      </c>
      <c r="E583" s="44" t="s">
        <v>1754</v>
      </c>
    </row>
    <row r="584" spans="1:5">
      <c r="A584" s="38" t="s">
        <v>89</v>
      </c>
      <c r="B584" s="18" t="s">
        <v>535</v>
      </c>
      <c r="C584" s="37" t="s">
        <v>906</v>
      </c>
      <c r="D584" s="44" t="s">
        <v>1630</v>
      </c>
      <c r="E584" s="44" t="s">
        <v>1754</v>
      </c>
    </row>
    <row r="585" spans="1:5">
      <c r="A585" s="44" t="s">
        <v>1446</v>
      </c>
      <c r="B585" s="18" t="s">
        <v>535</v>
      </c>
      <c r="C585" s="37" t="s">
        <v>1447</v>
      </c>
      <c r="D585" s="44" t="s">
        <v>1630</v>
      </c>
      <c r="E585" s="44" t="s">
        <v>1754</v>
      </c>
    </row>
    <row r="586" spans="1:5">
      <c r="A586" s="44" t="s">
        <v>1448</v>
      </c>
      <c r="B586" s="36" t="s">
        <v>1449</v>
      </c>
      <c r="C586" s="37" t="s">
        <v>1474</v>
      </c>
      <c r="D586" s="44" t="s">
        <v>1630</v>
      </c>
      <c r="E586" s="44" t="s">
        <v>1754</v>
      </c>
    </row>
    <row r="587" spans="1:5">
      <c r="A587" s="38" t="s">
        <v>90</v>
      </c>
      <c r="B587" s="18" t="s">
        <v>536</v>
      </c>
      <c r="C587" s="37" t="s">
        <v>907</v>
      </c>
      <c r="D587" s="44" t="s">
        <v>1630</v>
      </c>
      <c r="E587" s="44" t="s">
        <v>1754</v>
      </c>
    </row>
    <row r="588" spans="1:5">
      <c r="A588" s="44" t="s">
        <v>1450</v>
      </c>
      <c r="B588" s="36" t="s">
        <v>536</v>
      </c>
      <c r="C588" s="37" t="s">
        <v>1475</v>
      </c>
      <c r="D588" s="44" t="s">
        <v>1630</v>
      </c>
      <c r="E588" s="44" t="s">
        <v>1754</v>
      </c>
    </row>
    <row r="589" spans="1:5">
      <c r="A589" s="38" t="s">
        <v>91</v>
      </c>
      <c r="B589" s="18" t="s">
        <v>537</v>
      </c>
      <c r="C589" s="37" t="s">
        <v>908</v>
      </c>
      <c r="D589" s="44" t="s">
        <v>1630</v>
      </c>
      <c r="E589" s="44" t="s">
        <v>1754</v>
      </c>
    </row>
    <row r="590" spans="1:5">
      <c r="A590" s="38" t="s">
        <v>92</v>
      </c>
      <c r="B590" s="18" t="s">
        <v>909</v>
      </c>
      <c r="C590" s="37" t="s">
        <v>910</v>
      </c>
      <c r="D590" s="44" t="s">
        <v>1630</v>
      </c>
      <c r="E590" s="44" t="s">
        <v>1754</v>
      </c>
    </row>
    <row r="591" spans="1:5">
      <c r="A591" s="44" t="s">
        <v>1451</v>
      </c>
      <c r="B591" s="36" t="s">
        <v>1452</v>
      </c>
      <c r="C591" s="37" t="s">
        <v>1453</v>
      </c>
      <c r="D591" s="44" t="s">
        <v>1630</v>
      </c>
      <c r="E591" s="44" t="s">
        <v>1754</v>
      </c>
    </row>
    <row r="592" spans="1:5">
      <c r="A592" s="35" t="s">
        <v>93</v>
      </c>
      <c r="B592" s="36" t="s">
        <v>522</v>
      </c>
      <c r="C592" s="37" t="s">
        <v>976</v>
      </c>
      <c r="D592" s="44" t="s">
        <v>1630</v>
      </c>
      <c r="E592" s="44" t="s">
        <v>1754</v>
      </c>
    </row>
    <row r="593" spans="1:5">
      <c r="A593" s="35" t="s">
        <v>94</v>
      </c>
      <c r="B593" s="36" t="s">
        <v>538</v>
      </c>
      <c r="C593" s="37" t="s">
        <v>977</v>
      </c>
      <c r="D593" s="44" t="s">
        <v>1630</v>
      </c>
      <c r="E593" s="44" t="s">
        <v>1754</v>
      </c>
    </row>
    <row r="594" spans="1:5">
      <c r="A594" s="44" t="s">
        <v>1454</v>
      </c>
      <c r="B594" s="36" t="s">
        <v>527</v>
      </c>
      <c r="C594" s="37" t="s">
        <v>1455</v>
      </c>
      <c r="D594" s="44" t="s">
        <v>1630</v>
      </c>
      <c r="E594" s="44" t="s">
        <v>1754</v>
      </c>
    </row>
    <row r="595" spans="1:5">
      <c r="A595" s="35" t="s">
        <v>95</v>
      </c>
      <c r="B595" s="36" t="s">
        <v>534</v>
      </c>
      <c r="C595" s="37" t="s">
        <v>978</v>
      </c>
      <c r="D595" s="44" t="s">
        <v>1630</v>
      </c>
      <c r="E595" s="44" t="s">
        <v>1754</v>
      </c>
    </row>
    <row r="596" spans="1:5">
      <c r="A596" s="44" t="s">
        <v>1456</v>
      </c>
      <c r="B596" s="36" t="s">
        <v>1457</v>
      </c>
      <c r="C596" s="39" t="s">
        <v>1458</v>
      </c>
      <c r="D596" s="44" t="s">
        <v>1630</v>
      </c>
      <c r="E596" s="44" t="s">
        <v>1754</v>
      </c>
    </row>
    <row r="597" spans="1:5">
      <c r="A597" s="35" t="s">
        <v>96</v>
      </c>
      <c r="B597" s="36" t="s">
        <v>539</v>
      </c>
      <c r="C597" s="37" t="s">
        <v>979</v>
      </c>
      <c r="D597" s="44" t="s">
        <v>1630</v>
      </c>
      <c r="E597" s="44" t="s">
        <v>1754</v>
      </c>
    </row>
    <row r="598" spans="1:5">
      <c r="A598" s="44" t="s">
        <v>1459</v>
      </c>
      <c r="B598" s="18" t="s">
        <v>542</v>
      </c>
      <c r="C598" s="37" t="s">
        <v>1460</v>
      </c>
      <c r="D598" s="44" t="s">
        <v>1631</v>
      </c>
      <c r="E598" s="44" t="s">
        <v>1754</v>
      </c>
    </row>
    <row r="599" spans="1:5">
      <c r="A599" s="38" t="s">
        <v>1311</v>
      </c>
      <c r="B599" s="18" t="s">
        <v>1316</v>
      </c>
      <c r="C599" s="39" t="s">
        <v>1315</v>
      </c>
      <c r="D599" s="44" t="s">
        <v>1631</v>
      </c>
      <c r="E599" s="44" t="s">
        <v>1754</v>
      </c>
    </row>
    <row r="600" spans="1:5">
      <c r="A600" s="35" t="s">
        <v>101</v>
      </c>
      <c r="B600" s="36" t="s">
        <v>540</v>
      </c>
      <c r="C600" s="37" t="s">
        <v>980</v>
      </c>
      <c r="D600" s="44" t="s">
        <v>1631</v>
      </c>
      <c r="E600" s="44" t="s">
        <v>1754</v>
      </c>
    </row>
    <row r="601" spans="1:5">
      <c r="A601" s="38" t="s">
        <v>102</v>
      </c>
      <c r="B601" s="18" t="s">
        <v>542</v>
      </c>
      <c r="C601" s="37" t="s">
        <v>911</v>
      </c>
      <c r="D601" s="44" t="s">
        <v>1631</v>
      </c>
      <c r="E601" s="44" t="s">
        <v>1754</v>
      </c>
    </row>
    <row r="602" spans="1:5">
      <c r="A602" s="44" t="s">
        <v>1461</v>
      </c>
      <c r="B602" s="18" t="s">
        <v>1462</v>
      </c>
      <c r="C602" s="37" t="s">
        <v>1463</v>
      </c>
      <c r="D602" s="44" t="s">
        <v>1631</v>
      </c>
      <c r="E602" s="44" t="s">
        <v>1754</v>
      </c>
    </row>
    <row r="603" spans="1:5">
      <c r="A603" s="38" t="s">
        <v>98</v>
      </c>
      <c r="B603" s="18" t="s">
        <v>540</v>
      </c>
      <c r="C603" s="37" t="s">
        <v>912</v>
      </c>
      <c r="D603" s="44" t="s">
        <v>1631</v>
      </c>
      <c r="E603" s="44" t="s">
        <v>1754</v>
      </c>
    </row>
    <row r="604" spans="1:5">
      <c r="A604" s="46" t="s">
        <v>1339</v>
      </c>
      <c r="B604" s="18" t="s">
        <v>1351</v>
      </c>
      <c r="C604" s="45" t="s">
        <v>1352</v>
      </c>
      <c r="D604" s="44" t="s">
        <v>1631</v>
      </c>
      <c r="E604" s="44" t="s">
        <v>1754</v>
      </c>
    </row>
    <row r="605" spans="1:5">
      <c r="A605" s="38" t="s">
        <v>99</v>
      </c>
      <c r="B605" s="18" t="s">
        <v>540</v>
      </c>
      <c r="C605" s="37" t="s">
        <v>913</v>
      </c>
      <c r="D605" s="44" t="s">
        <v>1631</v>
      </c>
      <c r="E605" s="44" t="s">
        <v>1754</v>
      </c>
    </row>
    <row r="606" spans="1:5">
      <c r="A606" s="38" t="s">
        <v>103</v>
      </c>
      <c r="B606" s="18" t="s">
        <v>543</v>
      </c>
      <c r="C606" s="37" t="s">
        <v>914</v>
      </c>
      <c r="D606" s="44" t="s">
        <v>1631</v>
      </c>
      <c r="E606" s="44" t="s">
        <v>1754</v>
      </c>
    </row>
    <row r="607" spans="1:5">
      <c r="A607" s="38" t="s">
        <v>915</v>
      </c>
      <c r="B607" s="18" t="s">
        <v>916</v>
      </c>
      <c r="C607" s="37" t="s">
        <v>917</v>
      </c>
      <c r="D607" s="44" t="s">
        <v>1631</v>
      </c>
      <c r="E607" s="44" t="s">
        <v>1754</v>
      </c>
    </row>
    <row r="608" spans="1:5">
      <c r="A608" s="38" t="s">
        <v>104</v>
      </c>
      <c r="B608" s="18" t="s">
        <v>544</v>
      </c>
      <c r="C608" s="37" t="s">
        <v>918</v>
      </c>
      <c r="D608" s="44" t="s">
        <v>1631</v>
      </c>
      <c r="E608" s="44" t="s">
        <v>1754</v>
      </c>
    </row>
    <row r="609" spans="1:5">
      <c r="A609" s="38" t="s">
        <v>105</v>
      </c>
      <c r="B609" s="18" t="s">
        <v>545</v>
      </c>
      <c r="C609" s="37" t="s">
        <v>919</v>
      </c>
      <c r="D609" s="44" t="s">
        <v>1631</v>
      </c>
      <c r="E609" s="44" t="s">
        <v>1754</v>
      </c>
    </row>
    <row r="610" spans="1:5">
      <c r="A610" s="38" t="s">
        <v>106</v>
      </c>
      <c r="B610" s="18" t="s">
        <v>546</v>
      </c>
      <c r="C610" s="37" t="s">
        <v>920</v>
      </c>
      <c r="D610" s="44" t="s">
        <v>1631</v>
      </c>
      <c r="E610" s="44" t="s">
        <v>1754</v>
      </c>
    </row>
    <row r="611" spans="1:5">
      <c r="A611" s="35" t="s">
        <v>468</v>
      </c>
      <c r="B611" s="36" t="s">
        <v>546</v>
      </c>
      <c r="C611" s="37" t="s">
        <v>981</v>
      </c>
      <c r="D611" s="44" t="s">
        <v>1631</v>
      </c>
      <c r="E611" s="44" t="s">
        <v>1754</v>
      </c>
    </row>
    <row r="612" spans="1:5">
      <c r="A612" s="38" t="s">
        <v>1308</v>
      </c>
      <c r="B612" s="18" t="s">
        <v>1309</v>
      </c>
      <c r="C612" s="37" t="s">
        <v>1310</v>
      </c>
      <c r="D612" s="44" t="s">
        <v>1631</v>
      </c>
      <c r="E612" s="44" t="s">
        <v>1754</v>
      </c>
    </row>
    <row r="613" spans="1:5">
      <c r="A613" s="38" t="s">
        <v>107</v>
      </c>
      <c r="B613" s="18" t="s">
        <v>547</v>
      </c>
      <c r="C613" s="37" t="s">
        <v>921</v>
      </c>
      <c r="D613" s="44" t="s">
        <v>1631</v>
      </c>
      <c r="E613" s="44" t="s">
        <v>1754</v>
      </c>
    </row>
    <row r="614" spans="1:5">
      <c r="A614" s="44" t="s">
        <v>1464</v>
      </c>
      <c r="B614" s="18" t="s">
        <v>541</v>
      </c>
      <c r="C614" s="37" t="s">
        <v>1465</v>
      </c>
      <c r="D614" s="44" t="s">
        <v>1631</v>
      </c>
      <c r="E614" s="44" t="s">
        <v>1754</v>
      </c>
    </row>
    <row r="615" spans="1:5">
      <c r="A615" s="38" t="s">
        <v>100</v>
      </c>
      <c r="B615" s="18" t="s">
        <v>541</v>
      </c>
      <c r="C615" s="37" t="s">
        <v>922</v>
      </c>
      <c r="D615" s="44" t="s">
        <v>1631</v>
      </c>
      <c r="E615" s="44" t="s">
        <v>1754</v>
      </c>
    </row>
    <row r="616" spans="1:5">
      <c r="A616" s="44" t="s">
        <v>1466</v>
      </c>
      <c r="B616" s="18" t="s">
        <v>1467</v>
      </c>
      <c r="C616" s="37" t="s">
        <v>1468</v>
      </c>
      <c r="D616" s="44" t="s">
        <v>1631</v>
      </c>
      <c r="E616" s="44" t="s">
        <v>1754</v>
      </c>
    </row>
    <row r="617" spans="1:5">
      <c r="A617" s="45" t="s">
        <v>1665</v>
      </c>
      <c r="B617" s="36" t="s">
        <v>543</v>
      </c>
      <c r="C617" s="36" t="s">
        <v>1666</v>
      </c>
      <c r="D617" s="44" t="s">
        <v>1631</v>
      </c>
      <c r="E617" s="44" t="s">
        <v>1754</v>
      </c>
    </row>
    <row r="618" spans="1:5">
      <c r="A618" s="44" t="s">
        <v>1469</v>
      </c>
      <c r="B618" s="18" t="s">
        <v>544</v>
      </c>
      <c r="C618" s="37" t="s">
        <v>1470</v>
      </c>
      <c r="D618" s="44" t="s">
        <v>1631</v>
      </c>
      <c r="E618" s="44" t="s">
        <v>1754</v>
      </c>
    </row>
    <row r="619" spans="1:5">
      <c r="A619" s="17" t="s">
        <v>1773</v>
      </c>
      <c r="B619" s="18" t="s">
        <v>544</v>
      </c>
      <c r="C619" s="39" t="s">
        <v>1774</v>
      </c>
      <c r="D619" s="44" t="s">
        <v>1631</v>
      </c>
      <c r="E619" s="44" t="s">
        <v>1754</v>
      </c>
    </row>
    <row r="620" spans="1:5">
      <c r="A620" s="44" t="s">
        <v>1796</v>
      </c>
      <c r="B620" s="58" t="s">
        <v>1797</v>
      </c>
      <c r="C620" s="45" t="s">
        <v>1798</v>
      </c>
      <c r="D620" s="44" t="s">
        <v>1630</v>
      </c>
      <c r="E620" s="44" t="s">
        <v>1754</v>
      </c>
    </row>
    <row r="621" spans="1:5">
      <c r="A621" s="44" t="s">
        <v>1799</v>
      </c>
      <c r="B621" s="58" t="s">
        <v>1800</v>
      </c>
      <c r="C621" s="45" t="s">
        <v>1801</v>
      </c>
      <c r="D621" s="44" t="s">
        <v>1630</v>
      </c>
      <c r="E621" s="44" t="s">
        <v>1754</v>
      </c>
    </row>
    <row r="622" spans="1:5">
      <c r="A622" s="44" t="s">
        <v>1793</v>
      </c>
      <c r="B622" s="56" t="s">
        <v>1652</v>
      </c>
      <c r="C622" s="45" t="s">
        <v>1811</v>
      </c>
      <c r="D622" s="44" t="s">
        <v>1625</v>
      </c>
      <c r="E622" s="44" t="s">
        <v>1754</v>
      </c>
    </row>
    <row r="623" spans="1:5">
      <c r="A623" s="44" t="s">
        <v>1795</v>
      </c>
      <c r="B623" s="56" t="s">
        <v>1802</v>
      </c>
      <c r="C623" s="45" t="s">
        <v>1812</v>
      </c>
      <c r="D623" s="44" t="s">
        <v>1625</v>
      </c>
      <c r="E623" s="44" t="s">
        <v>1754</v>
      </c>
    </row>
    <row r="624" spans="1:5">
      <c r="A624" s="44" t="s">
        <v>1794</v>
      </c>
      <c r="B624" s="56" t="s">
        <v>1649</v>
      </c>
      <c r="C624" s="45" t="s">
        <v>1813</v>
      </c>
      <c r="D624" s="44" t="s">
        <v>1625</v>
      </c>
      <c r="E624" s="44" t="s">
        <v>1754</v>
      </c>
    </row>
    <row r="625" spans="1:5">
      <c r="A625" s="44" t="s">
        <v>1803</v>
      </c>
      <c r="B625" s="58" t="s">
        <v>1804</v>
      </c>
      <c r="C625" s="45" t="s">
        <v>1805</v>
      </c>
      <c r="D625" s="44" t="s">
        <v>1630</v>
      </c>
      <c r="E625" s="44" t="s">
        <v>1754</v>
      </c>
    </row>
    <row r="626" spans="1:5">
      <c r="A626" s="44" t="s">
        <v>1792</v>
      </c>
      <c r="B626" s="56" t="s">
        <v>1326</v>
      </c>
      <c r="C626" s="45" t="s">
        <v>1806</v>
      </c>
      <c r="D626" s="44" t="s">
        <v>1625</v>
      </c>
      <c r="E626" s="44" t="s">
        <v>1754</v>
      </c>
    </row>
    <row r="627" spans="1:5">
      <c r="A627" s="44" t="s">
        <v>1790</v>
      </c>
      <c r="B627" s="56" t="s">
        <v>755</v>
      </c>
      <c r="C627" s="57" t="s">
        <v>1807</v>
      </c>
      <c r="D627" s="44" t="s">
        <v>1619</v>
      </c>
      <c r="E627" s="44" t="s">
        <v>1754</v>
      </c>
    </row>
    <row r="628" spans="1:5">
      <c r="A628" s="44" t="s">
        <v>1791</v>
      </c>
      <c r="B628" s="56" t="s">
        <v>520</v>
      </c>
      <c r="C628" s="45" t="s">
        <v>1814</v>
      </c>
      <c r="D628" s="44" t="s">
        <v>1615</v>
      </c>
      <c r="E628" s="44" t="s">
        <v>1754</v>
      </c>
    </row>
    <row r="629" spans="1:5">
      <c r="A629" s="44" t="s">
        <v>1785</v>
      </c>
      <c r="B629" s="56" t="s">
        <v>1815</v>
      </c>
      <c r="C629" s="45" t="s">
        <v>1816</v>
      </c>
      <c r="D629" s="44" t="s">
        <v>1619</v>
      </c>
      <c r="E629" s="44" t="s">
        <v>1754</v>
      </c>
    </row>
    <row r="630" spans="1:5">
      <c r="A630" s="44" t="s">
        <v>1786</v>
      </c>
      <c r="B630" s="56" t="s">
        <v>739</v>
      </c>
      <c r="C630" s="45" t="s">
        <v>1817</v>
      </c>
      <c r="D630" s="44" t="s">
        <v>1619</v>
      </c>
      <c r="E630" s="44" t="s">
        <v>1754</v>
      </c>
    </row>
    <row r="631" spans="1:5">
      <c r="A631" s="44" t="s">
        <v>1787</v>
      </c>
      <c r="B631" s="56" t="s">
        <v>741</v>
      </c>
      <c r="C631" s="45" t="s">
        <v>1818</v>
      </c>
      <c r="D631" s="44" t="s">
        <v>1619</v>
      </c>
      <c r="E631" s="44" t="s">
        <v>1754</v>
      </c>
    </row>
    <row r="632" spans="1:5">
      <c r="A632" s="44" t="s">
        <v>1788</v>
      </c>
      <c r="B632" s="56" t="s">
        <v>1819</v>
      </c>
      <c r="C632" s="45" t="s">
        <v>1820</v>
      </c>
      <c r="D632" s="44" t="s">
        <v>1619</v>
      </c>
      <c r="E632" s="44" t="s">
        <v>1754</v>
      </c>
    </row>
    <row r="633" spans="1:5">
      <c r="A633" s="44" t="s">
        <v>1789</v>
      </c>
      <c r="B633" s="56" t="s">
        <v>725</v>
      </c>
      <c r="C633" s="45" t="s">
        <v>1821</v>
      </c>
      <c r="D633" s="44" t="s">
        <v>1619</v>
      </c>
      <c r="E633" s="44" t="s">
        <v>1754</v>
      </c>
    </row>
    <row r="634" spans="1:5">
      <c r="A634" s="44" t="s">
        <v>1808</v>
      </c>
      <c r="B634" t="s">
        <v>1822</v>
      </c>
      <c r="D634" s="44" t="s">
        <v>1616</v>
      </c>
      <c r="E634" s="44" t="s">
        <v>1754</v>
      </c>
    </row>
    <row r="635" spans="1:5">
      <c r="A635" s="44" t="s">
        <v>1809</v>
      </c>
      <c r="B635" s="56" t="s">
        <v>1823</v>
      </c>
      <c r="C635" s="45" t="s">
        <v>1824</v>
      </c>
      <c r="D635" s="44" t="s">
        <v>1616</v>
      </c>
      <c r="E635" s="44" t="s">
        <v>1754</v>
      </c>
    </row>
    <row r="636" spans="1:5">
      <c r="A636" s="44" t="s">
        <v>1810</v>
      </c>
      <c r="B636" s="56" t="s">
        <v>1825</v>
      </c>
      <c r="C636" s="45" t="s">
        <v>1826</v>
      </c>
      <c r="D636" s="44" t="s">
        <v>1616</v>
      </c>
      <c r="E636" s="44" t="s">
        <v>1754</v>
      </c>
    </row>
    <row r="637" spans="1:5">
      <c r="A637" s="44" t="s">
        <v>1845</v>
      </c>
      <c r="B637" t="s">
        <v>1848</v>
      </c>
      <c r="D637" s="44" t="s">
        <v>1616</v>
      </c>
      <c r="E637" s="44" t="s">
        <v>1754</v>
      </c>
    </row>
    <row r="638" spans="1:5">
      <c r="A638" s="44" t="s">
        <v>1847</v>
      </c>
      <c r="B638" t="s">
        <v>1848</v>
      </c>
      <c r="D638" s="44" t="s">
        <v>1616</v>
      </c>
      <c r="E638" s="44" t="s">
        <v>1754</v>
      </c>
    </row>
  </sheetData>
  <sortState xmlns:xlrd2="http://schemas.microsoft.com/office/spreadsheetml/2017/richdata2" ref="A2:E619">
    <sortCondition ref="A594:A619"/>
  </sortState>
  <conditionalFormatting sqref="A1:A526 A533:A546 A549:A568 A572:A598 A600:A608">
    <cfRule type="duplicateValues" dxfId="13" priority="9"/>
  </conditionalFormatting>
  <conditionalFormatting sqref="A1:A568 A572:A598 A600:A608">
    <cfRule type="duplicateValues" dxfId="12" priority="7"/>
  </conditionalFormatting>
  <conditionalFormatting sqref="A1:A598 A600:A608">
    <cfRule type="duplicateValues" dxfId="11" priority="4"/>
  </conditionalFormatting>
  <conditionalFormatting sqref="A475">
    <cfRule type="duplicateValues" dxfId="10" priority="11"/>
  </conditionalFormatting>
  <conditionalFormatting sqref="A526">
    <cfRule type="duplicateValues" dxfId="9" priority="10"/>
  </conditionalFormatting>
  <conditionalFormatting sqref="A548">
    <cfRule type="duplicateValues" dxfId="8" priority="8"/>
  </conditionalFormatting>
  <conditionalFormatting sqref="A569:A571">
    <cfRule type="duplicateValues" dxfId="7" priority="5"/>
    <cfRule type="duplicateValues" dxfId="6" priority="6"/>
  </conditionalFormatting>
  <conditionalFormatting sqref="A609:A610 A629:A1048576 A618:A627">
    <cfRule type="duplicateValues" dxfId="5" priority="12"/>
    <cfRule type="duplicateValues" dxfId="4" priority="13"/>
    <cfRule type="duplicateValues" dxfId="3" priority="14"/>
  </conditionalFormatting>
  <conditionalFormatting sqref="A611">
    <cfRule type="duplicateValues" dxfId="2" priority="3"/>
  </conditionalFormatting>
  <conditionalFormatting sqref="A612">
    <cfRule type="duplicateValues" dxfId="1" priority="2"/>
  </conditionalFormatting>
  <conditionalFormatting sqref="A613:A617">
    <cfRule type="duplicateValues" dxfId="0" priority="1"/>
  </conditionalFormatting>
  <hyperlinks>
    <hyperlink ref="B2" r:id="rId1" xr:uid="{52F6008D-09E3-4683-A473-9EEAC997E9C1}"/>
    <hyperlink ref="C2" r:id="rId2" xr:uid="{AA5EE9F6-4C87-46BD-B792-0CF34E6065EA}"/>
    <hyperlink ref="B3" r:id="rId3" xr:uid="{23E3C4DD-12F6-4B6F-8B5D-817703EDD34F}"/>
    <hyperlink ref="B4" r:id="rId4" xr:uid="{E8368F1A-F47B-4CBD-AB7C-4FA2510FC28B}"/>
    <hyperlink ref="B5" r:id="rId5" xr:uid="{F432C7D5-5377-4EA5-B9E4-BEDA81200F3E}"/>
    <hyperlink ref="B6" r:id="rId6" xr:uid="{39A3D6CC-1BC4-45E9-8A54-29D85285A5E8}"/>
    <hyperlink ref="B7" r:id="rId7" xr:uid="{BBE4F0E5-D694-45C1-A3D0-190BD2237889}"/>
    <hyperlink ref="B8" r:id="rId8" xr:uid="{23C3733B-F5F6-4EAA-95DD-E377F6C588E7}"/>
    <hyperlink ref="B9" r:id="rId9" xr:uid="{1E23DF7B-54C4-4E14-A846-EC198682F9D0}"/>
    <hyperlink ref="B10" r:id="rId10" xr:uid="{CC7C18A6-0378-46AA-9810-BD527DF61C8C}"/>
    <hyperlink ref="B11" r:id="rId11" xr:uid="{0EE52056-F1A0-4948-BE9B-13DFFF1FA563}"/>
    <hyperlink ref="B12" r:id="rId12" xr:uid="{AE90607F-5361-417A-B6AF-2F88957DC843}"/>
    <hyperlink ref="B14" r:id="rId13" xr:uid="{2764DF3D-8377-4556-9174-CA73373D65A8}"/>
    <hyperlink ref="B15" r:id="rId14" xr:uid="{03C7511E-118C-4104-8743-A1F2E7D79908}"/>
    <hyperlink ref="B17" r:id="rId15" xr:uid="{1B3F3AC9-F2BB-44E8-B48A-03CD777F4961}"/>
    <hyperlink ref="B18" r:id="rId16" xr:uid="{6F0A807A-1ACC-4618-A7E6-C4181071B57C}"/>
    <hyperlink ref="B19" r:id="rId17" xr:uid="{199D9EFD-7BAA-4852-8A2A-20E70B2316B7}"/>
    <hyperlink ref="B20" r:id="rId18" xr:uid="{BB6A9211-0F09-40CA-8FA2-61212CFF6EEA}"/>
    <hyperlink ref="B21" r:id="rId19" xr:uid="{D7F95435-0A2B-472F-A241-149522878B91}"/>
    <hyperlink ref="B22" r:id="rId20" xr:uid="{88211630-1EFF-42E2-B3C8-2914496F19FB}"/>
    <hyperlink ref="B23" r:id="rId21" xr:uid="{32FA55E1-5FF6-437E-A4EF-2F2CEAB6AC9C}"/>
    <hyperlink ref="B24" r:id="rId22" xr:uid="{63C133D5-A6CE-4125-A5D8-490D55CFD0BF}"/>
    <hyperlink ref="B25" r:id="rId23" xr:uid="{046B54CE-EDF9-40D8-9C3E-59D58252BE16}"/>
    <hyperlink ref="B26" r:id="rId24" xr:uid="{D72E4028-46ED-4F0D-852C-57EB12A0995C}"/>
    <hyperlink ref="B27" r:id="rId25" xr:uid="{681DE2B8-C761-49FB-8C08-787CCD71523D}"/>
    <hyperlink ref="B28" r:id="rId26" xr:uid="{5123C530-84E4-4894-A59B-966D77FC7AC9}"/>
    <hyperlink ref="B29" r:id="rId27" xr:uid="{C63B5BCA-7719-4102-A2CE-E332149ABF4F}"/>
    <hyperlink ref="B30" r:id="rId28" location="/Tabs=section-spareparts/" xr:uid="{DB89F11B-C9BC-483F-A2CB-1185C643A635}"/>
    <hyperlink ref="B31" r:id="rId29" xr:uid="{9CD0BD0B-A35F-43E6-9131-05ACCAE0879E}"/>
    <hyperlink ref="B32" r:id="rId30" xr:uid="{ABB62DFE-02EE-41BD-A914-19592F5E15CF}"/>
    <hyperlink ref="B33" r:id="rId31" xr:uid="{087BCA45-BC5C-4632-ACFD-2DC9F56452C9}"/>
    <hyperlink ref="B34" r:id="rId32" xr:uid="{2A64505A-A1F0-46A4-A6C4-AE4DB5B0A50A}"/>
    <hyperlink ref="B35" r:id="rId33" xr:uid="{2B791922-7CBE-4A5F-9189-820B037C7C82}"/>
    <hyperlink ref="B36" r:id="rId34" xr:uid="{FF123BD3-5DEC-40A0-B412-DDEE229A6245}"/>
    <hyperlink ref="B37" r:id="rId35" xr:uid="{44C97E4E-4754-4E6D-9BAE-25A8107E8595}"/>
    <hyperlink ref="B38" r:id="rId36" xr:uid="{5E5DCCBD-9CFF-4583-A270-1C9BEB711CF2}"/>
    <hyperlink ref="B39" r:id="rId37" xr:uid="{3AC3124A-5F6E-4AB9-AA6A-207976BBC818}"/>
    <hyperlink ref="B40" r:id="rId38" xr:uid="{69BCEFC3-DBE3-472E-A7C7-72442894AA0A}"/>
    <hyperlink ref="B41" r:id="rId39" xr:uid="{04BD9209-2E36-4394-B430-2688F30C8DF9}"/>
    <hyperlink ref="B42" r:id="rId40" xr:uid="{2711561E-C462-4D4E-8502-0946364DF363}"/>
    <hyperlink ref="B43" r:id="rId41" xr:uid="{835C58CA-793E-4D14-B5D2-79A67A7158FB}"/>
    <hyperlink ref="B44" r:id="rId42" xr:uid="{28600139-247B-4A47-B084-FFB17C2F0635}"/>
    <hyperlink ref="B45" r:id="rId43" xr:uid="{FD900C44-4726-4D5A-A144-9D95FEF1EB56}"/>
    <hyperlink ref="B46" r:id="rId44" xr:uid="{27910C42-4A59-4967-981F-879DCF8C4577}"/>
    <hyperlink ref="B47" r:id="rId45" xr:uid="{409FE608-86E4-41C3-A63B-BC7970E768B2}"/>
    <hyperlink ref="B48" r:id="rId46" xr:uid="{0D454D7D-2A26-4CBB-B123-F36870F87463}"/>
    <hyperlink ref="B49" r:id="rId47" xr:uid="{3DD8935E-22E8-44B3-8F31-9E4A03461B7A}"/>
    <hyperlink ref="B50" r:id="rId48" xr:uid="{0DBDD293-4202-40D1-B5BC-7AA47E70B95C}"/>
    <hyperlink ref="B51" r:id="rId49" xr:uid="{7305995C-1EE7-44EE-B5CB-26FA670BE8F1}"/>
    <hyperlink ref="B52" r:id="rId50" xr:uid="{551DC6DD-9A9A-45AB-B918-7E9F33D5B215}"/>
    <hyperlink ref="B53" r:id="rId51" xr:uid="{15C0AF8D-142E-47F7-9661-40DCBDA6D436}"/>
    <hyperlink ref="B54" r:id="rId52" xr:uid="{CFAAE98A-9A9F-4383-A536-0536003208D7}"/>
    <hyperlink ref="B55" r:id="rId53" xr:uid="{592D7095-FBBA-44B3-B752-05A6C389769B}"/>
    <hyperlink ref="B56" r:id="rId54" xr:uid="{3E092243-CF9E-4F79-AA7E-79AFC2315E9D}"/>
    <hyperlink ref="B57" r:id="rId55" xr:uid="{225BCC8C-2F85-4979-AD2D-FAC933831697}"/>
    <hyperlink ref="B58" r:id="rId56" xr:uid="{F9BA727D-63C1-46FD-8E6F-BB549CF797DC}"/>
    <hyperlink ref="B59" r:id="rId57" xr:uid="{D787FC3A-DB4D-48E1-9F6D-BB794BAD8509}"/>
    <hyperlink ref="B60" r:id="rId58" xr:uid="{192A4705-D765-4E05-A7A2-D7F553CE01A9}"/>
    <hyperlink ref="B61" r:id="rId59" xr:uid="{DE8898EF-C7B5-4030-851D-C5AAE004ABC8}"/>
    <hyperlink ref="B62" r:id="rId60" xr:uid="{CE37E78E-4B6F-47D6-8404-D11FD00775F4}"/>
    <hyperlink ref="B63" r:id="rId61" xr:uid="{F4D57E0E-76BE-4BC1-879B-03010F90D9C7}"/>
    <hyperlink ref="B64" r:id="rId62" xr:uid="{33E56635-9BCA-4DDB-B535-C039D3D98FB3}"/>
    <hyperlink ref="B65" r:id="rId63" location="/Tabs=section-spareparts/" xr:uid="{176A778D-F027-43D0-841B-81C6E75C7EAC}"/>
    <hyperlink ref="B66" r:id="rId64" xr:uid="{4B33F6FC-0164-49C2-998D-B92EE5766463}"/>
    <hyperlink ref="B67" r:id="rId65" xr:uid="{1F32D5BD-369F-438F-A161-53564003C341}"/>
    <hyperlink ref="B68" r:id="rId66" xr:uid="{C6F47B72-7CC5-47BE-9D1E-E77A87C46CBE}"/>
    <hyperlink ref="B69" r:id="rId67" xr:uid="{255A005B-77DC-4969-93F2-2EFBCC7843D1}"/>
    <hyperlink ref="B70" r:id="rId68" xr:uid="{BED3F495-D73F-4976-881A-C5D8195CA52E}"/>
    <hyperlink ref="B72" r:id="rId69" xr:uid="{EEB5637B-1667-4EC1-9D59-FBF702291F0D}"/>
    <hyperlink ref="B73" r:id="rId70" xr:uid="{5FAEC375-2632-4626-B414-37B8426CDEB8}"/>
    <hyperlink ref="B74" r:id="rId71" xr:uid="{B1FE6A78-0A51-4106-995A-35C5DBD4497E}"/>
    <hyperlink ref="B75" r:id="rId72" xr:uid="{0BC4FABB-FB9D-4BBC-805C-6FF98A5F3323}"/>
    <hyperlink ref="B76" r:id="rId73" xr:uid="{A2FE2FB1-8FCB-4482-AA39-E13D4FF308E3}"/>
    <hyperlink ref="B77" r:id="rId74" xr:uid="{9C7E768F-094B-4317-AC38-F9362826B9E2}"/>
    <hyperlink ref="B78" r:id="rId75" xr:uid="{E42CBAF2-2A9E-404F-A9DA-A1B7C9CA9B53}"/>
    <hyperlink ref="B81" r:id="rId76" xr:uid="{8FF622DE-5EC7-437C-8A0B-0197DD8C64BA}"/>
    <hyperlink ref="B82" r:id="rId77" xr:uid="{6F683054-5BCE-4DA0-9A80-04FEF78E8EE9}"/>
    <hyperlink ref="B83" r:id="rId78" xr:uid="{9CD352C2-9B3A-4AEA-9C6F-9C8E7C4EFBD8}"/>
    <hyperlink ref="B84" r:id="rId79" xr:uid="{F6FB6233-EA86-4EA7-885D-1856D8484E5E}"/>
    <hyperlink ref="B85" r:id="rId80" xr:uid="{2861263D-BF70-44E6-9D8A-A9295D9B1A63}"/>
    <hyperlink ref="B86" r:id="rId81" xr:uid="{7E9D168D-3E4B-4EB3-B1B7-037700AFD505}"/>
    <hyperlink ref="C86" r:id="rId82" xr:uid="{1996E437-4D1D-4431-8B86-2243A885EA99}"/>
    <hyperlink ref="B87" r:id="rId83" xr:uid="{2724FB60-8264-4B4A-80E9-E40BBB48F2CF}"/>
    <hyperlink ref="B89" r:id="rId84" xr:uid="{6D4B7B51-2480-4492-84FA-1D23985CCF12}"/>
    <hyperlink ref="B91" r:id="rId85" xr:uid="{18677A89-DD46-4248-90E6-BC92372DF981}"/>
    <hyperlink ref="B93" r:id="rId86" xr:uid="{4FED873D-3121-4F17-98B7-3FA360A96B01}"/>
    <hyperlink ref="B94" r:id="rId87" xr:uid="{56F601AD-EB03-404E-A6AD-29C887B45B3D}"/>
    <hyperlink ref="B95" r:id="rId88" xr:uid="{9889D328-D090-4B3E-953E-E365583AF780}"/>
    <hyperlink ref="B96" r:id="rId89" xr:uid="{5596A5A0-FC9E-44D3-BE16-AC8CA6A96D90}"/>
    <hyperlink ref="B97" r:id="rId90" xr:uid="{E959F2DC-0A6D-4847-838F-33836A88BD66}"/>
    <hyperlink ref="C97" r:id="rId91" xr:uid="{FD7447E6-15A1-4842-BA39-5E6D47664539}"/>
    <hyperlink ref="B98" r:id="rId92" xr:uid="{9FE429A5-5ECC-4AB4-B9B6-BB0CC8EC1D34}"/>
    <hyperlink ref="B99" r:id="rId93" xr:uid="{28170D32-31F8-4583-9B33-E1D9B8CACDAB}"/>
    <hyperlink ref="B100" r:id="rId94" xr:uid="{3F9EF2A4-2816-4C2E-B607-CCF26244342C}"/>
    <hyperlink ref="B101" r:id="rId95" xr:uid="{E8BDE57A-CFC3-4C10-81C9-2393D33C4A77}"/>
    <hyperlink ref="B102" r:id="rId96" xr:uid="{EA7828FD-EA82-445A-900B-03DC7E93906B}"/>
    <hyperlink ref="B103" r:id="rId97" xr:uid="{C2B8B158-BC2E-4684-B114-7823C2404219}"/>
    <hyperlink ref="B104" r:id="rId98" xr:uid="{03ED7CCA-0D96-4EB8-A9FC-3486FDBFC384}"/>
    <hyperlink ref="B105" r:id="rId99" xr:uid="{9BAE8561-F266-4A48-A873-EDDF213AD152}"/>
    <hyperlink ref="B106" r:id="rId100" xr:uid="{C26BAA63-AA7D-411D-A791-A98DDEAFB845}"/>
    <hyperlink ref="B107" r:id="rId101" xr:uid="{7AC7096A-E176-404D-9AC7-5EEE460D0CF5}"/>
    <hyperlink ref="B109" r:id="rId102" xr:uid="{136D8ED7-9D94-4E4D-8A7B-4A9AF8FD455D}"/>
    <hyperlink ref="C109" r:id="rId103" xr:uid="{074E5B2B-C3AB-42E2-993B-29692236B898}"/>
    <hyperlink ref="B110" r:id="rId104" xr:uid="{708B5035-A086-41F5-ADC0-C6153817BA76}"/>
    <hyperlink ref="B111" r:id="rId105" xr:uid="{1570FA3F-6337-4824-BE7B-16E44BFA6ACC}"/>
    <hyperlink ref="B112" r:id="rId106" xr:uid="{34C93C2A-0307-416B-8133-21A180E41BB3}"/>
    <hyperlink ref="B113" r:id="rId107" xr:uid="{9BA136FE-A960-4B0B-959E-3CAA5017441C}"/>
    <hyperlink ref="B114" r:id="rId108" xr:uid="{95572A66-0A8C-4FEA-A3C0-D2C575B98812}"/>
    <hyperlink ref="B115" r:id="rId109" xr:uid="{CB4AE036-A76A-4710-BD20-DF83894D9E0A}"/>
    <hyperlink ref="B116" r:id="rId110" xr:uid="{4EE9855C-C44F-40B9-BA10-AE5C53D3AB34}"/>
    <hyperlink ref="B117" r:id="rId111" xr:uid="{F3EF5258-8391-4B5B-950A-6B608BEB07A6}"/>
    <hyperlink ref="B118" r:id="rId112" xr:uid="{C80BD533-143D-42F5-A3FE-A987C45368F0}"/>
    <hyperlink ref="B119" r:id="rId113" xr:uid="{ECAAAD3A-9498-4B50-AC1E-3820464A6B67}"/>
    <hyperlink ref="B120" r:id="rId114" xr:uid="{D55615A3-1530-4B63-8D6D-A17217D0C9A7}"/>
    <hyperlink ref="B122" r:id="rId115" xr:uid="{8E1BCCE2-2CCA-4598-A0AB-2A9DDC2C26D8}"/>
    <hyperlink ref="B123" r:id="rId116" xr:uid="{B2D8671A-279A-42CD-8537-7C91AF2FD14B}"/>
    <hyperlink ref="B124" r:id="rId117" xr:uid="{D236765B-E610-4F8A-BB22-ADDEB364DE75}"/>
    <hyperlink ref="B126" r:id="rId118" xr:uid="{0C6BE17C-FABF-4B96-A9EA-A9910FF4CE67}"/>
    <hyperlink ref="B127" r:id="rId119" xr:uid="{F0EEE086-025F-456B-9D04-FC8ABB21B176}"/>
    <hyperlink ref="B128" r:id="rId120" xr:uid="{05C9B742-00B2-41E6-BA0E-3E3D17E6B7DD}"/>
    <hyperlink ref="B129" r:id="rId121" xr:uid="{350BBB56-2C3B-4AF6-A826-493799DC4F9D}"/>
    <hyperlink ref="B130" r:id="rId122" xr:uid="{C66745C4-19A0-4DC0-AF94-2157152CB8EA}"/>
    <hyperlink ref="B131" r:id="rId123" xr:uid="{804866E5-9631-4721-AB95-B10D8A7112DB}"/>
    <hyperlink ref="B132" r:id="rId124" xr:uid="{411B86D2-AFE2-48F3-AAD5-42706275C7CD}"/>
    <hyperlink ref="B133" r:id="rId125" xr:uid="{1B96A87B-DDF6-4E27-AFD5-7CC72ABA18F3}"/>
    <hyperlink ref="B134" r:id="rId126" xr:uid="{015BC81A-4A80-4B25-A744-606A8C481E1A}"/>
    <hyperlink ref="B135" r:id="rId127" xr:uid="{6F3BDAE7-BA8A-4027-9EE4-71ABEE309148}"/>
    <hyperlink ref="B136" r:id="rId128" xr:uid="{CB6156B2-1228-4254-BB3F-7BDE1F251954}"/>
    <hyperlink ref="B137" r:id="rId129" xr:uid="{86B4215F-75A5-4676-9E4B-535F12EF0001}"/>
    <hyperlink ref="B138" r:id="rId130" xr:uid="{1F62C46C-0B00-472E-8A32-D492CF0B3B86}"/>
    <hyperlink ref="B139" r:id="rId131" xr:uid="{620A1BB1-7B09-4EF0-A00C-AED5A03F7BAE}"/>
    <hyperlink ref="B140" r:id="rId132" xr:uid="{639BAC1B-2BA4-444E-9BC5-B08DA27DA284}"/>
    <hyperlink ref="B142" r:id="rId133" xr:uid="{C69D15D1-8CF8-4EBC-93B9-CF509F887D97}"/>
    <hyperlink ref="B143" r:id="rId134" xr:uid="{4F766486-CF50-487C-9B3B-B5F933A581E6}"/>
    <hyperlink ref="B144" r:id="rId135" xr:uid="{70DB42D1-027B-4EBC-B278-A85B4B234BB3}"/>
    <hyperlink ref="B146" r:id="rId136" xr:uid="{6398B691-1E47-43EE-A990-9B1F90734625}"/>
    <hyperlink ref="B147" r:id="rId137" xr:uid="{8562C328-972C-4540-ACF1-E21D6B4C78E3}"/>
    <hyperlink ref="B148" r:id="rId138" xr:uid="{531DCAEC-FCE2-4FFE-9819-BF40E97D0600}"/>
    <hyperlink ref="B149" r:id="rId139" xr:uid="{E7D87D54-15B2-422E-8F86-DA92E28F30E5}"/>
    <hyperlink ref="B150" r:id="rId140" xr:uid="{96F33314-7AA8-42FD-A297-C799617B2E2C}"/>
    <hyperlink ref="B151" r:id="rId141" xr:uid="{58ACDCF8-26D3-4E85-ABDC-0AD0A73A8A4F}"/>
    <hyperlink ref="B152" r:id="rId142" xr:uid="{927F6BB8-A8D8-41AC-8803-6BCC4EE24E57}"/>
    <hyperlink ref="B153" r:id="rId143" xr:uid="{01966887-9DB3-48F6-AB8C-CA2541DF9AD7}"/>
    <hyperlink ref="B154" r:id="rId144" xr:uid="{45120F35-C106-4960-B571-B57AB31160EA}"/>
    <hyperlink ref="B155" r:id="rId145" xr:uid="{8CA7B7C1-85A3-4FD0-A8BB-F08E981A706B}"/>
    <hyperlink ref="B156" r:id="rId146" xr:uid="{0CA60EC1-B64F-4FE8-A93B-3A3FEE19F45A}"/>
    <hyperlink ref="B157" r:id="rId147" xr:uid="{6E6FDFC5-142F-478A-92E8-ED2EC71CFDFA}"/>
    <hyperlink ref="B158" r:id="rId148" xr:uid="{B9F7FBB1-8CB2-429A-8FB7-775A66A3D956}"/>
    <hyperlink ref="B159" r:id="rId149" xr:uid="{C9FCDC33-54BF-401A-9002-54963DB717D2}"/>
    <hyperlink ref="B160" r:id="rId150" xr:uid="{4EF32F9E-94DF-4D07-B58E-1CC70A7AC962}"/>
    <hyperlink ref="B161" r:id="rId151" xr:uid="{2A766013-EC61-4942-8D8E-2F131A7BD370}"/>
    <hyperlink ref="B162" r:id="rId152" xr:uid="{95447257-982D-463F-8B95-4386CCEF239A}"/>
    <hyperlink ref="B163" r:id="rId153" xr:uid="{52BDBA1D-D616-43EF-B4D5-8BF9A345D60C}"/>
    <hyperlink ref="B164" r:id="rId154" xr:uid="{59EF176E-38C1-4561-A9E2-B9BC7398443D}"/>
    <hyperlink ref="B165" r:id="rId155" xr:uid="{01621CAF-DE7B-4368-ABB5-6D4D950A3127}"/>
    <hyperlink ref="B166" r:id="rId156" xr:uid="{B3ADD924-B659-4C18-9559-CC022524A69F}"/>
    <hyperlink ref="B167" r:id="rId157" display="iQ700 Gazlı Ocak, 90cm, 5 Gözlü, Sert Cam, Siyah, Döküm, Wok" xr:uid="{B80055E6-9A83-430C-B185-AECACEE47341}"/>
    <hyperlink ref="C167" r:id="rId158" xr:uid="{D7C50E0F-2D87-4FD4-81EE-0CCDC3316126}"/>
    <hyperlink ref="B169" r:id="rId159" xr:uid="{143EA4AE-34F0-4884-B8A5-6AA83E79E939}"/>
    <hyperlink ref="B170" r:id="rId160" xr:uid="{17CD1FAB-9527-442C-8EA4-8CEC0149698E}"/>
    <hyperlink ref="B171" r:id="rId161" xr:uid="{932FD79B-CFD2-4CC1-9538-041A86F98BD9}"/>
    <hyperlink ref="B172" r:id="rId162" xr:uid="{943F74B2-F7B3-4611-86C7-6FB39E91C3C8}"/>
    <hyperlink ref="B173" r:id="rId163" xr:uid="{F6388DF5-4988-492A-9848-FA52D0AC3BA9}"/>
    <hyperlink ref="B174" r:id="rId164" xr:uid="{39A4AA61-4D2A-4FE3-9204-81845DA36B08}"/>
    <hyperlink ref="B175" r:id="rId165" xr:uid="{DDE68C67-3C67-4390-BCAE-841C15B14AD9}"/>
    <hyperlink ref="C175" r:id="rId166" xr:uid="{1BCD7346-841A-4946-8B7B-3ED5E44645FD}"/>
    <hyperlink ref="B176" r:id="rId167" xr:uid="{BE1E2A18-A67D-48C4-956C-A32FDD87EBE9}"/>
    <hyperlink ref="B177" r:id="rId168" xr:uid="{22C49705-462E-4B0E-9855-C9D05CCA4CE6}"/>
    <hyperlink ref="B178" r:id="rId169" xr:uid="{750E6B1F-7128-4934-82D5-A4A75C23FD1A}"/>
    <hyperlink ref="B179" r:id="rId170" xr:uid="{8F7F7F5B-3DD3-4D1A-A504-220F1151DDC3}"/>
    <hyperlink ref="B180" r:id="rId171" xr:uid="{45E66AB2-27DB-423B-9BAE-797EE53A3C1F}"/>
    <hyperlink ref="B181" r:id="rId172" xr:uid="{13D3D492-2476-438E-8DB7-4FA2D10C826E}"/>
    <hyperlink ref="B182" r:id="rId173" xr:uid="{57879638-9528-40EF-8E88-8BB4E39E0D7A}"/>
    <hyperlink ref="B183" r:id="rId174" xr:uid="{D70B380B-A880-4F2C-9BB1-C62F8F525EAA}"/>
    <hyperlink ref="B185" r:id="rId175" xr:uid="{7C91CEBC-0B02-471B-8E6E-6AA8393DA840}"/>
    <hyperlink ref="B186" r:id="rId176" xr:uid="{2B675932-1B56-4CB9-9D65-E8D89D697697}"/>
    <hyperlink ref="B187" r:id="rId177" xr:uid="{D4FA8000-C282-4141-8F3F-1C5FD5D2D351}"/>
    <hyperlink ref="B188" r:id="rId178" xr:uid="{C657D0CC-92DA-49DD-905E-7E484092ECB2}"/>
    <hyperlink ref="B189" r:id="rId179" xr:uid="{DFFBF986-E869-4A35-9CEE-8DCF7CEC3726}"/>
    <hyperlink ref="B190" r:id="rId180" xr:uid="{5E40D6EE-32A6-42BE-8028-640F89E4A09C}"/>
    <hyperlink ref="B191" r:id="rId181" xr:uid="{43C45080-EDD5-4DCD-BEA7-F6C58CD89D02}"/>
    <hyperlink ref="B192" r:id="rId182" xr:uid="{557F5FAA-8834-4C9F-B6AC-D50D1BB6BAED}"/>
    <hyperlink ref="B193" r:id="rId183" xr:uid="{D7C5C5DD-4305-42A8-B252-C35B75373AD8}"/>
    <hyperlink ref="B194" r:id="rId184" xr:uid="{2C4AD5F8-6C48-46BD-A151-CEBCAFCB48F1}"/>
    <hyperlink ref="B195" r:id="rId185" xr:uid="{42B92A82-9850-4956-963D-DE0F1B6A3A10}"/>
    <hyperlink ref="B196" r:id="rId186" xr:uid="{D6C8A836-87F9-4A11-8FAF-7B7867B5E617}"/>
    <hyperlink ref="B197" r:id="rId187" xr:uid="{52BFAA24-610D-4FA7-9BC2-40FB330FD92F}"/>
    <hyperlink ref="B198" r:id="rId188" xr:uid="{4405369A-0B13-47CF-981C-EE28E1B40999}"/>
    <hyperlink ref="B199" r:id="rId189" xr:uid="{8D9495BC-B500-47E7-9D45-8B05BC38873D}"/>
    <hyperlink ref="B200" r:id="rId190" xr:uid="{107EF12E-0B43-4608-8217-8BBA2DEF0DF9}"/>
    <hyperlink ref="B201" r:id="rId191" xr:uid="{ECCEE558-94D2-407A-8F01-540BC876216E}"/>
    <hyperlink ref="B202" r:id="rId192" xr:uid="{A33245FF-21C6-43C1-BDF3-6979B8870941}"/>
    <hyperlink ref="B203" r:id="rId193" xr:uid="{D908A149-1E4B-43B2-90A2-988187E79D3E}"/>
    <hyperlink ref="B204" r:id="rId194" xr:uid="{215FD788-D7EC-4209-9160-9E9EA874A0C6}"/>
    <hyperlink ref="B205" r:id="rId195" xr:uid="{B85CF3E0-BD46-447A-9857-87082D078F22}"/>
    <hyperlink ref="B206" r:id="rId196" xr:uid="{FC97A187-5115-4523-A0B8-183BC63C66E3}"/>
    <hyperlink ref="B207" r:id="rId197" xr:uid="{77F6DE23-E3FD-4D1B-9D12-66CCF39ADE0E}"/>
    <hyperlink ref="B209" r:id="rId198" xr:uid="{44458FF8-7C6F-4F62-8A98-8CB212532EEB}"/>
    <hyperlink ref="B210" r:id="rId199" xr:uid="{52988E58-5AE5-41D0-9236-1855964DFF83}"/>
    <hyperlink ref="B211" r:id="rId200" xr:uid="{13ADC2F0-EDA9-479A-ADCA-F1453246DF6A}"/>
    <hyperlink ref="B212" r:id="rId201" xr:uid="{3669842B-87AE-44DF-9463-9DCC15119F32}"/>
    <hyperlink ref="B213" r:id="rId202" xr:uid="{708FCB1C-9250-47AD-9CCD-BD7D51EC4E2D}"/>
    <hyperlink ref="B214" r:id="rId203" xr:uid="{333B9113-7EA0-4F4F-8553-CF31F9932B63}"/>
    <hyperlink ref="B216" r:id="rId204" xr:uid="{05DE57BD-4E9E-43F8-A7A8-CB5CBE2BC870}"/>
    <hyperlink ref="B217" r:id="rId205" xr:uid="{0EA07D19-3A9A-4266-AC69-77A220DFBF5B}"/>
    <hyperlink ref="B218" r:id="rId206" xr:uid="{327343F6-725C-4469-B46E-F92D881ED4AE}"/>
    <hyperlink ref="B219" r:id="rId207" xr:uid="{D8BDB6C3-B109-4B38-9B2C-700F5A06D476}"/>
    <hyperlink ref="B220" r:id="rId208" xr:uid="{81636858-EC49-4A6F-B725-C7C6E12D3604}"/>
    <hyperlink ref="B221" r:id="rId209" xr:uid="{5B26C1D2-A8D9-4F58-BACC-150E831D8D4F}"/>
    <hyperlink ref="B222" r:id="rId210" xr:uid="{90BCD766-2DC4-4932-B38F-7D9A40A5177D}"/>
    <hyperlink ref="C222" r:id="rId211" xr:uid="{ED99DE7E-8179-4CF0-AA1E-DCCE6D9B5349}"/>
    <hyperlink ref="B223" r:id="rId212" xr:uid="{A1DB3D44-892F-4013-93EF-0043759E84B2}"/>
    <hyperlink ref="C223" r:id="rId213" xr:uid="{2667FD43-D2AA-47A4-91E7-B5722361F8BC}"/>
    <hyperlink ref="B224" r:id="rId214" xr:uid="{D509C804-4170-4F4B-A349-5FAF25523B02}"/>
    <hyperlink ref="B225" r:id="rId215" xr:uid="{AE18A28A-BA98-48E5-B42C-B0F1A8355869}"/>
    <hyperlink ref="B226" r:id="rId216" xr:uid="{602D99E1-6681-4211-BC05-3D529FC9084E}"/>
    <hyperlink ref="B227" r:id="rId217" xr:uid="{A06429F2-411E-45D6-BF20-8F609C1FAD8E}"/>
    <hyperlink ref="B228" r:id="rId218" xr:uid="{5C9EFC90-8FC8-4DC6-9BC4-969F14CCA432}"/>
    <hyperlink ref="B229" r:id="rId219" xr:uid="{1FA38DF7-65C0-49DC-BD95-683EC074CDC4}"/>
    <hyperlink ref="B230" r:id="rId220" xr:uid="{B4BFFC7D-C21E-4FBD-A082-AB67FF467692}"/>
    <hyperlink ref="B232" r:id="rId221" xr:uid="{A896EF86-9B31-469D-B22A-DB733DF8D2EB}"/>
    <hyperlink ref="B233" r:id="rId222" xr:uid="{BA2E7953-0B9D-4977-8A23-DB81F822F691}"/>
    <hyperlink ref="B234" r:id="rId223" xr:uid="{ECDDE32E-1F57-44F2-A9D1-E9498ACA7FE0}"/>
    <hyperlink ref="B235" r:id="rId224" xr:uid="{FEA8F2E1-B76F-430A-9C65-F92C37A27825}"/>
    <hyperlink ref="B236" r:id="rId225" xr:uid="{260106AE-5369-4D50-AC31-A72F1B99B66A}"/>
    <hyperlink ref="B237" r:id="rId226" xr:uid="{A5B26DBA-5908-44C9-92AC-B597FEAE3F08}"/>
    <hyperlink ref="B238" r:id="rId227" xr:uid="{C8D9CB4F-F61C-490D-8F3C-B8398B56ED84}"/>
    <hyperlink ref="B239" r:id="rId228" xr:uid="{1BB72B93-F815-4143-9240-3CFD399C05F7}"/>
    <hyperlink ref="B241" r:id="rId229" xr:uid="{CCDA60C0-5723-4FD2-B4B2-1AAAC0026C2A}"/>
    <hyperlink ref="B242" r:id="rId230" xr:uid="{CF3E14FB-626E-4E3A-AA07-2F781A35F04E}"/>
    <hyperlink ref="C242" r:id="rId231" xr:uid="{1A821D63-8B6E-4D5A-A0D7-7CE84CF64864}"/>
    <hyperlink ref="B243" r:id="rId232" xr:uid="{596B8217-635E-488F-9B77-D96C8A408F2E}"/>
    <hyperlink ref="B244" r:id="rId233" xr:uid="{4E8ECBD5-6D0A-448C-8AF5-3BB7BC13DC31}"/>
    <hyperlink ref="B245" r:id="rId234" xr:uid="{C2118147-F239-4A09-866C-6D16AA6FA492}"/>
    <hyperlink ref="B246" r:id="rId235" xr:uid="{133C9310-0255-4E22-9C76-672AC7DF22D5}"/>
    <hyperlink ref="B247" r:id="rId236" xr:uid="{96E22512-5BC9-4BBA-8451-0503B415E21A}"/>
    <hyperlink ref="B248" r:id="rId237" xr:uid="{0B463EA8-0E57-4283-B09A-8EBC3B5A7E9F}"/>
    <hyperlink ref="B249" r:id="rId238" xr:uid="{ED9835E9-9CD3-4BBD-869E-5FBF07070652}"/>
    <hyperlink ref="B250" r:id="rId239" xr:uid="{61CF12AC-09F0-402C-91E8-D18121ADFAE1}"/>
    <hyperlink ref="B251" r:id="rId240" xr:uid="{1607256B-985A-42DD-8021-40F01DD35465}"/>
    <hyperlink ref="B252" r:id="rId241" xr:uid="{AA5C09CD-1A83-465B-9DB8-0B35F1882B47}"/>
    <hyperlink ref="B253" r:id="rId242" xr:uid="{72C2B8A7-7222-4AC2-872C-80F66A8AF949}"/>
    <hyperlink ref="B254" r:id="rId243" xr:uid="{1EF52740-6884-4F51-9331-AD5F0697D308}"/>
    <hyperlink ref="C254" r:id="rId244" xr:uid="{B87A1255-3E96-4ABA-9F73-375E2187252A}"/>
    <hyperlink ref="B255" r:id="rId245" xr:uid="{811E6E9C-6F0E-496F-9FBA-53878625E829}"/>
    <hyperlink ref="B256" r:id="rId246" xr:uid="{BF26226C-C5C1-4334-864A-ADC0BACBBB79}"/>
    <hyperlink ref="B257" r:id="rId247" xr:uid="{BD308C83-C619-4543-B9A9-579FD63393AD}"/>
    <hyperlink ref="B258" r:id="rId248" xr:uid="{AD0A89F1-3945-4841-BE4E-A54AFEA1E179}"/>
    <hyperlink ref="B259" r:id="rId249" xr:uid="{503CA7A0-FC06-4145-9773-376915BAF10F}"/>
    <hyperlink ref="B260" r:id="rId250" xr:uid="{043DD49C-5318-4E93-B7C6-9C9992EA2C54}"/>
    <hyperlink ref="B261" r:id="rId251" xr:uid="{216E3745-2E49-4668-A295-ED21BE7CF1F7}"/>
    <hyperlink ref="B262" r:id="rId252" xr:uid="{F2104627-F215-4C68-A2D3-66158F356FA9}"/>
    <hyperlink ref="B263" r:id="rId253" xr:uid="{DF9C1A74-D8C2-4F5A-8711-DE9B7C368BC9}"/>
    <hyperlink ref="B264" r:id="rId254" xr:uid="{B78D3A63-1792-4130-B385-09BB05FAD3EE}"/>
    <hyperlink ref="B266" r:id="rId255" xr:uid="{A7D16A32-C345-4EA5-9A39-0579AC5AFAB3}"/>
    <hyperlink ref="B267" r:id="rId256" xr:uid="{F11C1CB4-636F-4F75-B5B0-BB206279AC33}"/>
    <hyperlink ref="B268" r:id="rId257" xr:uid="{F0D921D6-448D-4853-B81F-A1D90ABCD9E6}"/>
    <hyperlink ref="B269" r:id="rId258" xr:uid="{B13441DB-90B4-4B81-B3A7-1111E82CC84D}"/>
    <hyperlink ref="B270" r:id="rId259" xr:uid="{594671DF-93ED-4C1E-9014-91BADCD2C56D}"/>
    <hyperlink ref="B271" r:id="rId260" xr:uid="{1257919B-1A1A-411C-B61C-350C1FE4BF3A}"/>
    <hyperlink ref="B272" r:id="rId261" xr:uid="{02CDB401-67B4-4715-B8B4-77E87FCE7C33}"/>
    <hyperlink ref="B273" r:id="rId262" xr:uid="{5112D272-1AA4-495C-AF4A-64DD8FD678A9}"/>
    <hyperlink ref="B274" r:id="rId263" xr:uid="{A6567A68-A8C4-4473-914E-2024579EA5AC}"/>
    <hyperlink ref="B276" r:id="rId264" xr:uid="{19CDC55A-C9F6-4F0B-AA94-6EACE8E2153B}"/>
    <hyperlink ref="B277" r:id="rId265" xr:uid="{0AD455B4-0043-4FD1-B229-EEF5CE15FEA6}"/>
    <hyperlink ref="B278" r:id="rId266" xr:uid="{99466D58-37AB-4990-AB1C-E6A4C5AE17A6}"/>
    <hyperlink ref="B279" r:id="rId267" xr:uid="{CD54A788-3761-4CDB-8413-907284CAF2BF}"/>
    <hyperlink ref="B280" r:id="rId268" xr:uid="{2D5AC416-0225-436D-9CE3-FD3AFA4D7307}"/>
    <hyperlink ref="B281" r:id="rId269" xr:uid="{7C8A21FC-D80D-4854-AD13-8BD81D7AE79B}"/>
    <hyperlink ref="B283" r:id="rId270" xr:uid="{69A54CC9-D4AB-4FCC-A238-6FE967E4E763}"/>
    <hyperlink ref="B284" r:id="rId271" xr:uid="{5B0A8F4F-D71C-4CFF-B020-7F32AE1935E1}"/>
    <hyperlink ref="B285" r:id="rId272" xr:uid="{D374E09E-6F8C-4F89-87FA-4714FC2976D6}"/>
    <hyperlink ref="B286" r:id="rId273" xr:uid="{C57F24DF-BEFE-4FDA-94D1-230F301BBC40}"/>
    <hyperlink ref="B287" r:id="rId274" xr:uid="{0AEDCDD1-B1ED-4CCB-ABFA-3B0F64AD06FF}"/>
    <hyperlink ref="B288" r:id="rId275" xr:uid="{FBC7C7D7-FEFD-4AF2-A409-D7AB3173EBDA}"/>
    <hyperlink ref="B289" r:id="rId276" xr:uid="{221651A3-B1C1-4F43-B407-04039CBA76E9}"/>
    <hyperlink ref="B290" r:id="rId277" xr:uid="{79FE689B-31A9-410C-A639-59310ABBB165}"/>
    <hyperlink ref="B291" r:id="rId278" xr:uid="{D1E97132-3159-41A5-B9C3-BD53B0839D01}"/>
    <hyperlink ref="B292" r:id="rId279" xr:uid="{E349B1F0-F2E8-4B4E-9B6A-E72171EA7BF9}"/>
    <hyperlink ref="B293" r:id="rId280" xr:uid="{277D580B-5D99-473F-A98D-0662DB407425}"/>
    <hyperlink ref="B294" r:id="rId281" xr:uid="{FB36523B-5CB4-417D-9EAA-E7C0BBD1032C}"/>
    <hyperlink ref="B295" r:id="rId282" xr:uid="{A868B9D6-4260-49D2-8EED-7ED262AE06E6}"/>
    <hyperlink ref="B296" r:id="rId283" xr:uid="{050E8EFE-6506-4EF8-9FA6-0788CC040D5D}"/>
    <hyperlink ref="B298" r:id="rId284" xr:uid="{D996C557-9A9D-4A40-9F43-276103E8AB35}"/>
    <hyperlink ref="B299" r:id="rId285" xr:uid="{CBEFF6BD-0CFC-48F8-A439-BC238DE5F458}"/>
    <hyperlink ref="B300" r:id="rId286" xr:uid="{6788120B-E058-4D89-B532-35CCAC38E4E8}"/>
    <hyperlink ref="B301" r:id="rId287" xr:uid="{60026F0D-4135-429D-8467-D13303E52232}"/>
    <hyperlink ref="B302" r:id="rId288" xr:uid="{217636DC-C819-4877-A620-A7A0C1EE7C43}"/>
    <hyperlink ref="B303" r:id="rId289" xr:uid="{C635877E-0778-40A7-AD98-B294486C7142}"/>
    <hyperlink ref="B304" r:id="rId290" xr:uid="{5847CE45-A03A-43AD-84C5-0C0DE23592DC}"/>
    <hyperlink ref="B305" r:id="rId291" xr:uid="{279BA4E1-8D6C-433C-AD2E-ADF5982F0B28}"/>
    <hyperlink ref="B306" r:id="rId292" xr:uid="{866F7CDD-D97A-4881-AB9C-809187F2D661}"/>
    <hyperlink ref="B308" r:id="rId293" xr:uid="{CBA45A2D-C775-4493-B489-3AF1A45F3A11}"/>
    <hyperlink ref="B310" r:id="rId294" xr:uid="{2A4F8990-84CD-4F79-B44C-EC21F1FCCA1C}"/>
    <hyperlink ref="B311" r:id="rId295" xr:uid="{2CC026D3-792C-4096-85CE-2EB4AAD3E5CD}"/>
    <hyperlink ref="B312" r:id="rId296" xr:uid="{ED08E45E-EC4C-414F-99DC-CB58B2999970}"/>
    <hyperlink ref="B315" r:id="rId297" xr:uid="{2A2D3E78-DD5B-4F17-9C81-4E2B6FD72719}"/>
    <hyperlink ref="B309" r:id="rId298" xr:uid="{6D4E9141-6C27-4E30-84DF-4A6EC852DC14}"/>
    <hyperlink ref="C309" r:id="rId299" xr:uid="{4CA391BB-9500-43AD-94A1-6B529C1AD472}"/>
    <hyperlink ref="B314" r:id="rId300" xr:uid="{189A811E-CD37-4AD7-A49D-18F655140F20}"/>
    <hyperlink ref="C314" r:id="rId301" xr:uid="{552AECD4-9581-4411-965E-835318000E74}"/>
    <hyperlink ref="B313" r:id="rId302" xr:uid="{E04307DC-0DBF-436B-BB81-5CBB82402560}"/>
    <hyperlink ref="B316" r:id="rId303" xr:uid="{C6005E82-D7B4-4769-B083-AA2B834F6E16}"/>
    <hyperlink ref="B317" r:id="rId304" xr:uid="{098C2023-DF98-454A-B4A0-F03261328B10}"/>
    <hyperlink ref="B318" r:id="rId305" xr:uid="{7386991D-F75E-4E0F-AB09-B10F38CD9476}"/>
    <hyperlink ref="B319" r:id="rId306" xr:uid="{32043644-8EBE-4BEC-BBFF-01A375B712AB}"/>
    <hyperlink ref="B320" r:id="rId307" xr:uid="{257C3D23-0080-471D-8796-E96C8E8A884F}"/>
    <hyperlink ref="B321" r:id="rId308" xr:uid="{DCFA1693-FBA2-45F0-96EF-2C587CC16540}"/>
    <hyperlink ref="B322" r:id="rId309" xr:uid="{62C1691A-E13B-4B65-9D44-31226D6CDCFB}"/>
    <hyperlink ref="B323" r:id="rId310" xr:uid="{7688B943-DB70-4C49-87B4-3BF540A06E95}"/>
    <hyperlink ref="B324" r:id="rId311" xr:uid="{D461BFA7-0D39-4469-AADA-C75DA9951346}"/>
    <hyperlink ref="B326" r:id="rId312" xr:uid="{8E26D9EA-838B-4D90-8A55-863D97A6AECC}"/>
    <hyperlink ref="B327" r:id="rId313" xr:uid="{DB17CA4B-736B-4B7E-816A-4CA328A767BC}"/>
    <hyperlink ref="B328" r:id="rId314" xr:uid="{71D1C020-5E99-47AD-81F0-0FA94DD6AEAB}"/>
    <hyperlink ref="B329" r:id="rId315" xr:uid="{551A2AFA-1EB3-4ED6-9546-ADBE4A6A9DFF}"/>
    <hyperlink ref="B330" r:id="rId316" xr:uid="{AB00E3AE-89D7-4160-B214-F0180A0F1D86}"/>
    <hyperlink ref="B331" r:id="rId317" xr:uid="{0C83D39A-01C3-4BA1-A940-63B434F31FA9}"/>
    <hyperlink ref="B332" r:id="rId318" xr:uid="{CE7F9307-EABB-4919-AFBB-C2A3CB36C6E3}"/>
    <hyperlink ref="B333" r:id="rId319" xr:uid="{FA3B8394-A95A-4839-8542-C0D76332257E}"/>
    <hyperlink ref="B335" r:id="rId320" xr:uid="{96A6C3F0-5212-46A2-B004-1193858B1532}"/>
    <hyperlink ref="B336" r:id="rId321" xr:uid="{633CD6BC-67FA-4C04-ACAF-89314FF55D95}"/>
    <hyperlink ref="B337" r:id="rId322" xr:uid="{17419F4B-39BE-4334-905D-CFE7646FEAB9}"/>
    <hyperlink ref="B338" r:id="rId323" xr:uid="{98EC350F-8FB1-441E-B3F6-468A3222A1F0}"/>
    <hyperlink ref="B339" r:id="rId324" xr:uid="{6CDB1969-789B-4F66-AD97-2371B8926662}"/>
    <hyperlink ref="B341" r:id="rId325" xr:uid="{D0C4F626-6B7E-4B14-B2A3-44A0FA528DDC}"/>
    <hyperlink ref="B344" r:id="rId326" xr:uid="{CF028512-E42E-46F0-8223-BC2B93E50EA9}"/>
    <hyperlink ref="C344" r:id="rId327" xr:uid="{91D5C50E-C268-4459-9845-E767CAC253CB}"/>
    <hyperlink ref="B345" r:id="rId328" xr:uid="{DC72693F-B75A-4DBD-A920-454240C12B1D}"/>
    <hyperlink ref="B347" r:id="rId329" xr:uid="{3FD3C86F-5081-4950-BFD1-17D4A91E46BA}"/>
    <hyperlink ref="B348" r:id="rId330" xr:uid="{99FBE0A9-DE95-49E0-89C4-327E36641472}"/>
    <hyperlink ref="B349" r:id="rId331" xr:uid="{AF79A96E-E9F2-4115-9E65-F87DD597033E}"/>
    <hyperlink ref="B350" r:id="rId332" xr:uid="{997BFA53-603E-4867-9A00-CAA2558B4B3E}"/>
    <hyperlink ref="B351" r:id="rId333" xr:uid="{5B2DE715-1B9E-4BC1-B31A-F86B345AF797}"/>
    <hyperlink ref="B352" r:id="rId334" xr:uid="{06B7A1D8-9676-459B-B004-102F69ACD8E7}"/>
    <hyperlink ref="B353" r:id="rId335" xr:uid="{16410055-D753-4419-A797-452283D9A712}"/>
    <hyperlink ref="B354" r:id="rId336" xr:uid="{6B9A365F-8E76-45B1-9865-899E8D66467E}"/>
    <hyperlink ref="B355" r:id="rId337" xr:uid="{0B1D0B03-F545-44C1-BA97-C08A25F9417B}"/>
    <hyperlink ref="B356" r:id="rId338" xr:uid="{93876BC3-4E33-4D90-ACD6-E8C04E6B9C33}"/>
    <hyperlink ref="B357" r:id="rId339" xr:uid="{4AF8610F-68ED-4A74-AE7A-A26EA2276C41}"/>
    <hyperlink ref="B358" r:id="rId340" xr:uid="{DB231DEF-9E5C-41BD-862D-F50694B338CE}"/>
    <hyperlink ref="B359" r:id="rId341" xr:uid="{B2CFE6B4-F13C-4D83-9434-99076E39C2E8}"/>
    <hyperlink ref="B360" r:id="rId342" xr:uid="{82D47C46-C2A5-46F8-9B17-C3AB9533404D}"/>
    <hyperlink ref="B362" r:id="rId343" xr:uid="{6FF8FAED-8AFB-49D9-9664-2A1815D86188}"/>
    <hyperlink ref="B365" r:id="rId344" xr:uid="{F3A5DDDD-5C39-4479-8BBA-CEC60223ED4A}"/>
    <hyperlink ref="B366" r:id="rId345" xr:uid="{DF25D498-D5B9-4868-B6CE-3DFADCC2C5BD}"/>
    <hyperlink ref="B367" r:id="rId346" xr:uid="{F05C3F7A-81D2-4A30-8D90-3AE45DB7C303}"/>
    <hyperlink ref="B369" r:id="rId347" xr:uid="{945C09CA-94E5-426A-9CDB-5BC86FAFA105}"/>
    <hyperlink ref="B370" r:id="rId348" xr:uid="{988C89CE-468D-4CF7-A1B8-3EE0C3B7471E}"/>
    <hyperlink ref="B371" r:id="rId349" xr:uid="{6A4C7474-E46C-4E7F-BF58-D906C5683818}"/>
    <hyperlink ref="B373" r:id="rId350" xr:uid="{7461BBF4-21E5-4879-87FB-C3E1DCC254B4}"/>
    <hyperlink ref="B374" r:id="rId351" xr:uid="{D498EB3F-52C2-4591-9591-D2FEE176B308}"/>
    <hyperlink ref="B375" r:id="rId352" xr:uid="{F98CCAD9-8D0E-4266-829C-592B7D8769A8}"/>
    <hyperlink ref="B377" r:id="rId353" xr:uid="{3BBE8915-7194-4167-8B51-49334B36B848}"/>
    <hyperlink ref="B378" r:id="rId354" xr:uid="{2D6D2F72-636F-4D13-940C-98EB75886DAF}"/>
    <hyperlink ref="B379" r:id="rId355" xr:uid="{E8BCF595-897C-4288-B576-36A87F430C7E}"/>
    <hyperlink ref="B380" r:id="rId356" xr:uid="{3441AF55-AE2F-45DA-B781-27BBFDEDBFA8}"/>
    <hyperlink ref="B381" r:id="rId357" xr:uid="{4EED9F18-9120-4D99-BD13-6F3F12FA0C1F}"/>
    <hyperlink ref="B382" r:id="rId358" xr:uid="{99A4ECB5-C843-4D13-AE6F-F889AA3AB4CB}"/>
    <hyperlink ref="B383" r:id="rId359" xr:uid="{920BF3EC-E6D9-4532-813F-4323BC4E583C}"/>
    <hyperlink ref="B384" r:id="rId360" xr:uid="{B236CA5A-D627-441B-8491-2827BF96874B}"/>
    <hyperlink ref="B385" r:id="rId361" xr:uid="{A7204126-7DD5-42C1-8F3C-9C195FACDD92}"/>
    <hyperlink ref="B386" r:id="rId362" xr:uid="{33BCD58D-E36E-4714-BB11-AD1C513F6B13}"/>
    <hyperlink ref="B387" r:id="rId363" xr:uid="{42E9CFF8-AF04-47A3-ACEE-0B2743C10E8D}"/>
    <hyperlink ref="B388" r:id="rId364" xr:uid="{7F3A0B48-1547-494D-84F2-8544354B4E68}"/>
    <hyperlink ref="B389" r:id="rId365" xr:uid="{7D5C5AB4-37C1-496E-A387-7C071CE43E6E}"/>
    <hyperlink ref="B390" r:id="rId366" xr:uid="{696DCE4A-C81E-47EF-AF77-F58B8DCC3E09}"/>
    <hyperlink ref="B391" r:id="rId367" xr:uid="{FA2C8A6E-73B9-4C94-849E-4536EE11D6D7}"/>
    <hyperlink ref="B392" r:id="rId368" xr:uid="{04B9D425-4BFF-4B27-9709-4E9B60CE1D57}"/>
    <hyperlink ref="B393" r:id="rId369" xr:uid="{8D75C6D5-2EFD-408A-8E53-14ACD819337B}"/>
    <hyperlink ref="B394" r:id="rId370" xr:uid="{20130F79-7164-44AC-ACD8-0AD882A5C7B4}"/>
    <hyperlink ref="B395" r:id="rId371" xr:uid="{8C8A427D-E64B-43E5-A716-3FE59EB998FF}"/>
    <hyperlink ref="B396" r:id="rId372" xr:uid="{446151A4-E9EA-4CEE-8088-166BBC992042}"/>
    <hyperlink ref="B397" r:id="rId373" xr:uid="{9AE3AD25-B16E-45C4-9D6E-2321A5D6DD70}"/>
    <hyperlink ref="B398" r:id="rId374" xr:uid="{D77632D7-7266-4D1E-BD11-8C1D00E79F28}"/>
    <hyperlink ref="B399" r:id="rId375" xr:uid="{6B423A99-B717-43A8-922C-A51832C52D2C}"/>
    <hyperlink ref="B400" r:id="rId376" xr:uid="{0F63218D-274D-4AA1-85C8-B81079967DE5}"/>
    <hyperlink ref="B401" r:id="rId377" xr:uid="{21FD2BA5-4D87-46AB-A7C0-95EE15E52F80}"/>
    <hyperlink ref="B402" r:id="rId378" xr:uid="{D682D0D9-E029-41EB-AB31-8D323638108D}"/>
    <hyperlink ref="B403" r:id="rId379" xr:uid="{23D889B7-8D14-4018-8BB4-FBDD1151F18B}"/>
    <hyperlink ref="B404" r:id="rId380" xr:uid="{EB8B5F39-F403-491E-8DC9-387CDF67EE75}"/>
    <hyperlink ref="B405" r:id="rId381" xr:uid="{0F1689AA-E084-4BC1-9A05-3E0E09FC6D2F}"/>
    <hyperlink ref="B406" r:id="rId382" xr:uid="{06B59918-A3BE-4573-AD67-BE7166CAD2D0}"/>
    <hyperlink ref="B407" r:id="rId383" xr:uid="{25845F84-ADB1-499F-B9C9-EBFC69374DC3}"/>
    <hyperlink ref="B408" r:id="rId384" xr:uid="{90D9167C-4DC3-4887-9184-67DB2677906A}"/>
    <hyperlink ref="B409" r:id="rId385" xr:uid="{0110F890-2114-4E24-A401-83FC7AE7090C}"/>
    <hyperlink ref="B410" r:id="rId386" xr:uid="{355FA4BE-A8CD-4290-9891-210F711130E7}"/>
    <hyperlink ref="B414" r:id="rId387" xr:uid="{7AB11666-44B1-4C13-85E3-DB61E9514DC6}"/>
    <hyperlink ref="B415" r:id="rId388" xr:uid="{9919B785-3DC6-4FC9-88B9-7E9433BD512C}"/>
    <hyperlink ref="B416" r:id="rId389" xr:uid="{77276471-A971-457D-9C9C-0DAB55CC9860}"/>
    <hyperlink ref="B417" r:id="rId390" xr:uid="{945EC411-2EC8-4006-B09C-339ED775B97D}"/>
    <hyperlink ref="B418" r:id="rId391" xr:uid="{D91BE0B0-C6E2-4A6F-9FC1-649FA2060675}"/>
    <hyperlink ref="B419" r:id="rId392" xr:uid="{CE84A211-BE7B-4A49-9875-D77F3CBC25B7}"/>
    <hyperlink ref="B420" r:id="rId393" xr:uid="{9870FA0D-0B2C-4551-894D-D3A7FA14F8A6}"/>
    <hyperlink ref="B421" r:id="rId394" xr:uid="{A2A327CF-9F51-4F8E-AEDC-3D298C5AB2A0}"/>
    <hyperlink ref="B422" r:id="rId395" xr:uid="{6927A91E-B738-4540-882B-F623A44A2418}"/>
    <hyperlink ref="B423" r:id="rId396" xr:uid="{45506405-4443-4673-8F70-A0DAAF7D87DB}"/>
    <hyperlink ref="C423" r:id="rId397" xr:uid="{7D20E2DE-535D-425D-A13D-1D7437AF8D09}"/>
    <hyperlink ref="B424" r:id="rId398" xr:uid="{7D87070E-4A93-46E4-93DE-F8529D69E1F5}"/>
    <hyperlink ref="B425" r:id="rId399" xr:uid="{98ED0095-412D-4B2F-B066-5738BA90AF88}"/>
    <hyperlink ref="C425" r:id="rId400" xr:uid="{1E0A894B-7AC7-4914-BD43-7E87BC923E23}"/>
    <hyperlink ref="B426" r:id="rId401" xr:uid="{0CF62DA2-853B-4445-998D-00FD8A5FDC5D}"/>
    <hyperlink ref="C426" r:id="rId402" xr:uid="{72B12ADC-B80B-4A9A-AF2C-D4A2362E5E82}"/>
    <hyperlink ref="B427" r:id="rId403" xr:uid="{D6FE6DCA-C815-4797-8F5F-C874F70644D9}"/>
    <hyperlink ref="C427" r:id="rId404" xr:uid="{247E48A9-1E2B-4E9D-B0E8-3BA233C9255F}"/>
    <hyperlink ref="B428" r:id="rId405" xr:uid="{A713BF24-EDCA-43DC-9A01-FF2EC54C8193}"/>
    <hyperlink ref="B429" r:id="rId406" xr:uid="{C63BD3DD-E6ED-4A38-92F4-A033A74988E0}"/>
    <hyperlink ref="B430" r:id="rId407" xr:uid="{C45F801A-A048-450F-8458-69D9F21F266F}"/>
    <hyperlink ref="B431" r:id="rId408" xr:uid="{3FE36E95-3B34-4828-9D9E-FDBB722B8AFA}"/>
    <hyperlink ref="C431" r:id="rId409" xr:uid="{687C0C00-869D-4BC5-B366-B4044EDA87FD}"/>
    <hyperlink ref="B432" r:id="rId410" xr:uid="{E71BC193-68FC-4E0F-8EC5-2A68266A3427}"/>
    <hyperlink ref="B433" r:id="rId411" xr:uid="{AF0B8544-0018-4EF6-ACE2-BB1BE96C7961}"/>
    <hyperlink ref="B434" r:id="rId412" xr:uid="{5F03DD2F-E006-4B99-A781-AE9AA0AD3C9C}"/>
    <hyperlink ref="B435" r:id="rId413" xr:uid="{6A65F117-F6E2-4F5B-97E3-A4A64B2E526F}"/>
    <hyperlink ref="B436" r:id="rId414" xr:uid="{C2DE8F47-D582-48A2-B4A8-4A67B1E64350}"/>
    <hyperlink ref="B437" r:id="rId415" xr:uid="{B99412CB-7F26-4411-B59D-2D93C9C9FDE1}"/>
    <hyperlink ref="B438" r:id="rId416" xr:uid="{48530178-1B95-43F4-9E4E-4D1E13EF5890}"/>
    <hyperlink ref="B439" r:id="rId417" xr:uid="{955599ED-A343-4147-B115-AF434337FE6D}"/>
    <hyperlink ref="B440" r:id="rId418" xr:uid="{E6214BD1-02C9-4C2B-9774-9A349B35A935}"/>
    <hyperlink ref="B441" r:id="rId419" xr:uid="{58B80FC2-51EF-40CD-A1D1-AADFD64ACF38}"/>
    <hyperlink ref="B442" r:id="rId420" xr:uid="{0A9CE864-5890-4CE0-82FA-0FFE838A4CEC}"/>
    <hyperlink ref="B443" r:id="rId421" xr:uid="{95642958-6F2F-4119-8F67-9B041930D3CE}"/>
    <hyperlink ref="B444" r:id="rId422" xr:uid="{99F39156-93DB-4712-9F07-3ADA47077360}"/>
    <hyperlink ref="B445" r:id="rId423" xr:uid="{336E2A33-35E0-4297-94C5-D0F1C9317E77}"/>
    <hyperlink ref="B446" r:id="rId424" xr:uid="{16DD649D-3B31-47D5-800A-4473ABBAD0B8}"/>
    <hyperlink ref="B447" r:id="rId425" xr:uid="{209F625A-ADCE-4C44-A1C7-D924FA1B446C}"/>
    <hyperlink ref="B448" r:id="rId426" xr:uid="{0D77BFD8-0FFD-4646-9991-934ECFB9B074}"/>
    <hyperlink ref="B449" r:id="rId427" xr:uid="{A1963A7B-20A1-4B9F-A3E8-485ED3489F2E}"/>
    <hyperlink ref="B451" r:id="rId428" xr:uid="{CE803E8F-006B-4272-A05D-147A9E11E6CD}"/>
    <hyperlink ref="B452" r:id="rId429" xr:uid="{9113EE6F-F115-4410-90C8-97FE24F4B092}"/>
    <hyperlink ref="B453" r:id="rId430" xr:uid="{7A70243B-A78F-42EE-9DFC-0A2DB50C0948}"/>
    <hyperlink ref="B454" r:id="rId431" xr:uid="{1E4D757E-FAE0-4025-86D1-3E5149754942}"/>
    <hyperlink ref="B455" r:id="rId432" xr:uid="{4C0DEE89-75C0-4FBD-B7BD-BA349961B40A}"/>
    <hyperlink ref="B457" r:id="rId433" xr:uid="{F2F277B5-763C-40ED-ACAB-7BB38C8B6901}"/>
    <hyperlink ref="B458" r:id="rId434" xr:uid="{9033602B-3904-44EE-A684-A11AC223380A}"/>
    <hyperlink ref="B459" r:id="rId435" xr:uid="{12209E4D-9CD0-406B-BDE3-0C9C4D152B4A}"/>
    <hyperlink ref="B460" r:id="rId436" xr:uid="{658BE5DE-8026-4C2E-9634-4C13C2BFD285}"/>
    <hyperlink ref="B462" r:id="rId437" xr:uid="{CB27F225-A900-4B2B-A97F-D52A65C25F60}"/>
    <hyperlink ref="B463" r:id="rId438" xr:uid="{CAA02FAA-7834-4E89-830E-C16710E6DD49}"/>
    <hyperlink ref="B464" r:id="rId439" xr:uid="{EBA4FC0F-0227-4983-BDE8-28107EEBD6C5}"/>
    <hyperlink ref="C464" r:id="rId440" xr:uid="{74147CAE-9D53-40F3-BE18-0D2C950741EA}"/>
    <hyperlink ref="B465" r:id="rId441" xr:uid="{CFC0E618-8EFA-4D0E-A7C5-4ED93A39AB33}"/>
    <hyperlink ref="C465" r:id="rId442" xr:uid="{94075732-05CA-4644-BCA5-8FB37B7A28FE}"/>
    <hyperlink ref="B467" r:id="rId443" xr:uid="{2DB4A3E6-D85E-422C-8351-924B6C9D22DD}"/>
    <hyperlink ref="B468" r:id="rId444" xr:uid="{3A5BEBE4-65D8-4CF1-9AAA-C882119032B6}"/>
    <hyperlink ref="B469" r:id="rId445" xr:uid="{2C507EC1-9665-47AC-900C-A2655B424A50}"/>
    <hyperlink ref="B470" r:id="rId446" xr:uid="{A23AEC9B-C476-42FB-A140-7AEFF3509CAB}"/>
    <hyperlink ref="B472" r:id="rId447" xr:uid="{024D45A6-B562-4FE4-A6AE-8EB035511B02}"/>
    <hyperlink ref="B474" r:id="rId448" xr:uid="{EF3F809F-B196-45D5-B0AF-71D3C43962DE}"/>
    <hyperlink ref="B475" r:id="rId449" xr:uid="{03764BC9-6E80-4EA2-8D23-CBCBB2AA5C47}"/>
    <hyperlink ref="B476" r:id="rId450" xr:uid="{DB0A84F4-E61C-43CC-AE54-20C44F38BBED}"/>
    <hyperlink ref="B477" r:id="rId451" xr:uid="{016A2539-9FFF-496E-A6D6-DFB7B5DF6C46}"/>
    <hyperlink ref="B478" r:id="rId452" xr:uid="{A7719A7F-0282-4107-B4E2-D4B54336F3EA}"/>
    <hyperlink ref="B479" r:id="rId453" xr:uid="{68237B3B-D2EF-4A97-BE53-6CA3CC27A28C}"/>
    <hyperlink ref="B480" r:id="rId454" xr:uid="{B0861675-586A-4EE1-B92D-EA7563DA5021}"/>
    <hyperlink ref="B481" r:id="rId455" xr:uid="{FD4CDE13-DF13-49C4-8C17-699197C56F2E}"/>
    <hyperlink ref="B482" r:id="rId456" xr:uid="{EBA23172-CAE2-4498-BB7B-47D7DACD4CAB}"/>
    <hyperlink ref="B483" r:id="rId457" xr:uid="{79D9861F-1CA0-409A-AD2D-A5031E61274C}"/>
    <hyperlink ref="B484" r:id="rId458" xr:uid="{D0FADE28-7AC1-4EE9-B225-01DF8E9CD962}"/>
    <hyperlink ref="B485" r:id="rId459" xr:uid="{DFB314A2-8FDE-4AFD-A3BB-564AC0F486E4}"/>
    <hyperlink ref="B487" r:id="rId460" xr:uid="{B38C1BD2-8A32-4D96-BEFB-B72C8D13D6A0}"/>
    <hyperlink ref="B488" r:id="rId461" xr:uid="{B612F291-6A2E-487B-ABEC-886F83C927D8}"/>
    <hyperlink ref="C488" r:id="rId462" xr:uid="{B3EF1043-9978-4428-906A-5D7E091C05E2}"/>
    <hyperlink ref="B489" r:id="rId463" xr:uid="{A56B8D03-D65F-4589-83FE-740DBF3D18F6}"/>
    <hyperlink ref="C489" r:id="rId464" xr:uid="{62165E45-FEB8-4A41-AF30-4A6F71D3BD47}"/>
    <hyperlink ref="B490" r:id="rId465" xr:uid="{4A4E35EB-7972-4320-836A-D42E98427EE2}"/>
    <hyperlink ref="B491" r:id="rId466" xr:uid="{B38760E5-E87B-48F9-A665-C71622E2C10E}"/>
    <hyperlink ref="B492" r:id="rId467" xr:uid="{D9A052A9-5958-47A8-BE75-6CF7F26971B8}"/>
    <hyperlink ref="B493" r:id="rId468" xr:uid="{26D2B7A6-2E5C-464E-B9C9-97DC1B46693F}"/>
    <hyperlink ref="B494" r:id="rId469" xr:uid="{BFD979E0-D11A-4C4D-9412-14425BC3E066}"/>
    <hyperlink ref="B495" r:id="rId470" xr:uid="{74A6BD28-9942-49C6-9297-3AA931030656}"/>
    <hyperlink ref="B496" r:id="rId471" xr:uid="{79A07AB4-826D-41E8-B38A-A7335627E4C1}"/>
    <hyperlink ref="C496" r:id="rId472" xr:uid="{3A728FDE-A918-4EB3-8DF4-0763A24F8C50}"/>
    <hyperlink ref="B497" r:id="rId473" xr:uid="{30410531-7B8B-4E32-96D2-95DD62E19806}"/>
    <hyperlink ref="B498" r:id="rId474" xr:uid="{A65F869D-B7E1-492B-99E8-1BF95ECCC054}"/>
    <hyperlink ref="B499" r:id="rId475" xr:uid="{8A775E61-EB24-4E0C-96E5-F1185360B991}"/>
    <hyperlink ref="B500" r:id="rId476" xr:uid="{5FFC393B-7728-4673-A871-9DF059A99E26}"/>
    <hyperlink ref="B501" r:id="rId477" xr:uid="{ED6DE0CE-09D7-4498-A948-22C1DA25B376}"/>
    <hyperlink ref="B502" r:id="rId478" xr:uid="{2796AE57-EB02-42D0-B237-1DDEC2E0B281}"/>
    <hyperlink ref="B503" r:id="rId479" xr:uid="{52DC58D8-E723-43F8-8759-8B422B762973}"/>
    <hyperlink ref="B504" r:id="rId480" xr:uid="{DF323194-75FA-4E4C-B48F-A9D4FFA7C10B}"/>
    <hyperlink ref="B505" r:id="rId481" xr:uid="{AE8CC96D-0937-4157-BA53-6FA4FEC468D0}"/>
    <hyperlink ref="B506" r:id="rId482" xr:uid="{0F40B8DD-B20D-4C53-91A6-77A2B7EC160F}"/>
    <hyperlink ref="B507" r:id="rId483" xr:uid="{AE24989D-BD36-4C41-AD5B-95C1CCDF7AB9}"/>
    <hyperlink ref="B508" r:id="rId484" xr:uid="{89DBBF03-4A76-4E62-B8A9-E19EB49DD9A5}"/>
    <hyperlink ref="B509" r:id="rId485" xr:uid="{69A2C91B-1B74-443A-97E2-711858276276}"/>
    <hyperlink ref="B510" r:id="rId486" xr:uid="{B8DA0566-4F1A-4FB0-BAC8-9EE862A14954}"/>
    <hyperlink ref="B511" r:id="rId487" xr:uid="{347D2011-5EF0-426A-97AE-ECD3DA765213}"/>
    <hyperlink ref="B512" r:id="rId488" xr:uid="{30A28AB1-046C-49A1-B650-F8C72B2E1DD4}"/>
    <hyperlink ref="B513" r:id="rId489" xr:uid="{CA58399D-67BA-4C46-91E1-887E751642A8}"/>
    <hyperlink ref="B514" r:id="rId490" xr:uid="{FD2A2A80-331E-4BD7-8070-2CFF772150B5}"/>
    <hyperlink ref="B515" r:id="rId491" xr:uid="{69667FEF-442A-4F7F-92AC-87EFF8E313D8}"/>
    <hyperlink ref="B516" r:id="rId492" xr:uid="{B0D738EF-96CA-41BB-BC02-A20B57A28CD0}"/>
    <hyperlink ref="B517" r:id="rId493" xr:uid="{9544186F-5AFA-4932-B861-BB10FFAACC09}"/>
    <hyperlink ref="B518" r:id="rId494" xr:uid="{3FEC50B8-A044-4EA5-9FF5-C8DA0A8EBAA2}"/>
    <hyperlink ref="B519" r:id="rId495" xr:uid="{32CD4339-84E6-4F63-A71F-24D300B565DB}"/>
    <hyperlink ref="B520" r:id="rId496" xr:uid="{AFA73989-B1B4-465E-8D4E-BB5D43B6E49E}"/>
    <hyperlink ref="B521" r:id="rId497" xr:uid="{AFA2A907-49B9-4075-BD8E-1D51C095DC8C}"/>
    <hyperlink ref="B522" r:id="rId498" xr:uid="{E5FCC3BB-9B73-4128-9252-859762992437}"/>
    <hyperlink ref="B523" r:id="rId499" xr:uid="{2A89E173-23E0-4543-8BFE-13C505AF5620}"/>
    <hyperlink ref="B524" r:id="rId500" xr:uid="{B9C2AA65-BDDD-4876-B7E2-3BBBE3A8B321}"/>
    <hyperlink ref="B525" r:id="rId501" xr:uid="{65183645-7828-45CD-90B3-6F57B906B077}"/>
    <hyperlink ref="B526" r:id="rId502" xr:uid="{2056013A-9733-48D9-84FA-127EBED9A585}"/>
    <hyperlink ref="B527" r:id="rId503" xr:uid="{266FB734-2368-4260-AA54-BA0DC1BC415C}"/>
    <hyperlink ref="B528" r:id="rId504" xr:uid="{FF245BB4-1292-4B56-8EDF-F3B412FE3FB0}"/>
    <hyperlink ref="B529" r:id="rId505" xr:uid="{3D2BCF75-4650-4259-84FE-617A1BB695AA}"/>
    <hyperlink ref="B530" r:id="rId506" xr:uid="{90418ED1-EA1B-4526-871C-CE85C9B5A5CD}"/>
    <hyperlink ref="B531" r:id="rId507" xr:uid="{33A72706-9F35-464E-A6A3-D517FCF410B9}"/>
    <hyperlink ref="B532" r:id="rId508" xr:uid="{A363C69E-55B7-49FD-9524-BE769C52F116}"/>
    <hyperlink ref="B533" r:id="rId509" xr:uid="{F9D24DB6-4894-4E19-B7F2-C21654866D02}"/>
    <hyperlink ref="B534" r:id="rId510" xr:uid="{7449AEF0-FE10-4EDB-ADBA-D79EC18FB7D6}"/>
    <hyperlink ref="B535" r:id="rId511" xr:uid="{2B8EAE23-AE4F-4585-A007-4FCC4E453903}"/>
    <hyperlink ref="B536" r:id="rId512" xr:uid="{5BC9E1B8-9240-4F7D-B59A-ED62772D871F}"/>
    <hyperlink ref="B537" r:id="rId513" xr:uid="{4EFB2F7E-B291-4AA9-9DBD-9BA7473BFAAF}"/>
    <hyperlink ref="B538" r:id="rId514" xr:uid="{BA2FD0B6-56B1-4DEB-90F2-4A2C4D038092}"/>
    <hyperlink ref="B539" r:id="rId515" xr:uid="{39E0AB1B-0894-4DB8-8FD6-B583EC44089E}"/>
    <hyperlink ref="B540" r:id="rId516" xr:uid="{AC68E144-3626-4228-9574-A63067F3FF11}"/>
    <hyperlink ref="B541" r:id="rId517" xr:uid="{2B0BE3A7-7BBB-45C3-A48A-504EF6B84510}"/>
    <hyperlink ref="B542" r:id="rId518" xr:uid="{E7589594-CC4A-4356-A9C3-FD776880D0F3}"/>
    <hyperlink ref="B543" r:id="rId519" xr:uid="{4B9596DB-F194-438C-B150-F072B3F9C39D}"/>
    <hyperlink ref="C543" r:id="rId520" xr:uid="{4E3DED99-B266-40B0-BE50-28FD7E21B698}"/>
    <hyperlink ref="B544" r:id="rId521" xr:uid="{B5AE6A13-5CF8-4249-83C5-E331E72264E4}"/>
    <hyperlink ref="B545" r:id="rId522" xr:uid="{CC27056A-BF29-46D8-8299-47EBB709B6A3}"/>
    <hyperlink ref="C545" r:id="rId523" xr:uid="{9BB5A24B-854B-4933-B282-DB43D13B6145}"/>
    <hyperlink ref="B546" r:id="rId524" xr:uid="{6C80D7BC-7EFB-4B90-9187-814A7B21371D}"/>
    <hyperlink ref="B547" r:id="rId525" xr:uid="{1EFAA887-F352-4186-90E1-B161805D6EB2}"/>
    <hyperlink ref="B548" r:id="rId526" xr:uid="{6B8D8175-FCF6-4DBC-82D1-5D281AC6A658}"/>
    <hyperlink ref="B549" r:id="rId527" xr:uid="{868429E0-9D3F-4CA0-9D72-0A0E1052A16A}"/>
    <hyperlink ref="B551" r:id="rId528" xr:uid="{3F1A6D94-38C4-48BB-9306-03A2D5A57A69}"/>
    <hyperlink ref="B553" r:id="rId529" xr:uid="{F99E85F0-C963-41BB-92E6-B3E26683E666}"/>
    <hyperlink ref="B554" r:id="rId530" xr:uid="{671C04BB-CEE2-4266-976F-A6312D606B4E}"/>
    <hyperlink ref="B555" r:id="rId531" xr:uid="{4AC6BE4C-B48C-4C1F-8A22-74C1BF5865C8}"/>
    <hyperlink ref="B556" r:id="rId532" xr:uid="{853BA1A5-2B01-4E45-8730-3757F567C87F}"/>
    <hyperlink ref="B557" r:id="rId533" xr:uid="{B6E9A1C0-D303-4973-8643-A689A23E8740}"/>
    <hyperlink ref="B558" r:id="rId534" xr:uid="{B762114B-11B8-4755-8ABE-788717852F47}"/>
    <hyperlink ref="B560" r:id="rId535" xr:uid="{2D58BA53-0EDF-49B0-894B-A339D0C9A8A1}"/>
    <hyperlink ref="C560" r:id="rId536" xr:uid="{18A58FB2-5D0D-412C-944B-FFF199C11728}"/>
    <hyperlink ref="B562" r:id="rId537" xr:uid="{6DBE64A0-4DAC-442E-8132-B175DC8EF1FE}"/>
    <hyperlink ref="B563" r:id="rId538" xr:uid="{5D6234DD-724B-46B3-9556-94F3DDB4F33A}"/>
    <hyperlink ref="B564" r:id="rId539" xr:uid="{34A83852-058D-4BAF-BEC1-542C9933AB4E}"/>
    <hyperlink ref="B565" r:id="rId540" xr:uid="{3ED5A700-CDCC-4054-8447-8CD09AF2DAF6}"/>
    <hyperlink ref="B566" r:id="rId541" xr:uid="{AC292079-A5C3-4446-9B8F-1D299A0484C7}"/>
    <hyperlink ref="B567" r:id="rId542" xr:uid="{065CC357-939D-42D6-A5B6-837326CC9373}"/>
    <hyperlink ref="B568" r:id="rId543" xr:uid="{BA7B3F7A-AF62-464C-AE88-8C5281F5CE7A}"/>
    <hyperlink ref="B569" r:id="rId544" xr:uid="{87463BF4-3183-4939-B1E7-875B04472E96}"/>
    <hyperlink ref="B570" r:id="rId545" xr:uid="{199A6740-6D6F-4640-B2A2-2C37E4220EE3}"/>
    <hyperlink ref="B571" r:id="rId546" xr:uid="{46C21B07-BC03-4851-B753-5CB099423149}"/>
    <hyperlink ref="B572" r:id="rId547" xr:uid="{3A4544AD-2015-4DED-B8D0-9FAC2F10430B}"/>
    <hyperlink ref="B573" r:id="rId548" xr:uid="{DE74DD73-2FE5-4187-B245-03DB63A1729F}"/>
    <hyperlink ref="B574" r:id="rId549" xr:uid="{AF9B45FB-F13D-40F9-AB55-AD4A91C59255}"/>
    <hyperlink ref="B575" r:id="rId550" xr:uid="{3025F134-C54D-4BFE-BC54-F379575CC02F}"/>
    <hyperlink ref="B576" r:id="rId551" xr:uid="{F47F7EB7-F484-485E-B72F-D87926EF17C8}"/>
    <hyperlink ref="B577" r:id="rId552" xr:uid="{C1FBF733-4D81-4DB9-B83B-FE696B6A9974}"/>
    <hyperlink ref="B578" r:id="rId553" xr:uid="{D23B1670-621C-47FD-8402-50B7F56A6F53}"/>
    <hyperlink ref="B579" r:id="rId554" xr:uid="{74001432-8398-49D8-AA26-2AD39650E585}"/>
    <hyperlink ref="B580" r:id="rId555" xr:uid="{DA07BF1F-EEE1-4A01-BBB6-F796C60D95ED}"/>
    <hyperlink ref="B581" r:id="rId556" xr:uid="{2CB91DCD-CF7D-497F-80F8-9E970AA1CC37}"/>
    <hyperlink ref="B582" r:id="rId557" xr:uid="{51A0708A-EEBE-4FDF-A801-B2F2634DF705}"/>
    <hyperlink ref="B583" r:id="rId558" xr:uid="{394129B0-9DA6-4663-85A6-4DBC497B5077}"/>
    <hyperlink ref="B584" r:id="rId559" xr:uid="{10FB48D1-D3D1-4E77-AB18-CA7A9C319EB1}"/>
    <hyperlink ref="B585" r:id="rId560" xr:uid="{6DFC2C4B-7D48-4F66-ACFE-E16977301F3F}"/>
    <hyperlink ref="B586" r:id="rId561" xr:uid="{F44A1192-C1F6-4A90-9F95-7C20BD8BB842}"/>
    <hyperlink ref="B587" r:id="rId562" xr:uid="{A645E36E-468B-4163-AFCF-BCB0B1B8C67D}"/>
    <hyperlink ref="B588" r:id="rId563" xr:uid="{C11B759B-DC4E-4E8A-9F6F-5441A61164FD}"/>
    <hyperlink ref="B589" r:id="rId564" xr:uid="{38C4BCA5-8F24-4B5E-9B76-705B7A006E81}"/>
    <hyperlink ref="B590" r:id="rId565" xr:uid="{E8CFEED3-9961-46E1-80AA-EAA7D8839DBE}"/>
    <hyperlink ref="B591" r:id="rId566" xr:uid="{54231086-C4FE-4A94-BEE5-64C987AD2F13}"/>
    <hyperlink ref="B592" r:id="rId567" xr:uid="{FCA296CE-B9B9-483B-8F6A-06E12B181C1B}"/>
    <hyperlink ref="B593" r:id="rId568" xr:uid="{AFDFCF28-8175-404A-87C1-9CF9C14E8449}"/>
    <hyperlink ref="B594" r:id="rId569" xr:uid="{69E332F7-C44B-40A2-ABA4-9F70970A523C}"/>
    <hyperlink ref="B595" r:id="rId570" xr:uid="{B0D5C072-96F2-47CC-96E7-CB3C516687AA}"/>
    <hyperlink ref="B596" r:id="rId571" xr:uid="{F08577A8-56F5-463B-8CBB-9933CD36279B}"/>
    <hyperlink ref="C596" r:id="rId572" xr:uid="{6EC774E9-1331-46F9-B512-47C32294E7CC}"/>
    <hyperlink ref="B597" r:id="rId573" xr:uid="{89753EC0-AE58-4085-99C0-548918FA4B65}"/>
    <hyperlink ref="B598" r:id="rId574" xr:uid="{C8F8AF31-676D-4722-BE9B-2F166FD7D686}"/>
    <hyperlink ref="B599" r:id="rId575" xr:uid="{84CA3408-70B4-4719-BC4E-C888860433A1}"/>
    <hyperlink ref="C599" r:id="rId576" xr:uid="{54C0D92E-1D07-4195-9D79-0666657C821D}"/>
    <hyperlink ref="B600" r:id="rId577" xr:uid="{870BC687-F009-412D-8D6F-EB6B1371DE57}"/>
    <hyperlink ref="B601" r:id="rId578" xr:uid="{83E2C806-0509-4B31-AC28-A2CBF575341A}"/>
    <hyperlink ref="B602" r:id="rId579" xr:uid="{3CCD68B5-B17D-4D80-929C-39034C4AEC7B}"/>
    <hyperlink ref="B603" r:id="rId580" xr:uid="{812C04C7-7311-40EA-B728-EDC374EBA06D}"/>
    <hyperlink ref="B604" r:id="rId581" xr:uid="{1C08C3CD-B5F0-4ADD-9195-9C1D671523F7}"/>
    <hyperlink ref="B605" r:id="rId582" xr:uid="{36A80C50-F6C7-4D62-B52F-86908529D66A}"/>
    <hyperlink ref="B606" r:id="rId583" xr:uid="{9E9AAF2E-41AC-40B9-B466-43A6A14834A8}"/>
    <hyperlink ref="B607" r:id="rId584" xr:uid="{96E7D88D-ACC6-46BD-BDBD-DD31A909001D}"/>
    <hyperlink ref="B608" r:id="rId585" xr:uid="{85F94F8C-D2D0-4073-A5C8-65776321ADD5}"/>
    <hyperlink ref="B609" r:id="rId586" xr:uid="{43622008-FC7B-44AA-A6FB-22A9F77B5FBD}"/>
    <hyperlink ref="B610" r:id="rId587" xr:uid="{AE54964D-80B4-4508-949D-97EF35F3FC86}"/>
    <hyperlink ref="B611" r:id="rId588" xr:uid="{06AFE5D4-1593-407C-8366-572CAB571C72}"/>
    <hyperlink ref="C612" r:id="rId589" xr:uid="{A39AE94A-CFD5-4E66-990E-3C99B9ACFF2D}"/>
    <hyperlink ref="B613" r:id="rId590" xr:uid="{86DB919B-2629-4795-B684-8773C09F826A}"/>
    <hyperlink ref="B614" r:id="rId591" xr:uid="{D05BD66E-6AC1-4DC5-8D1F-B8BB822F08A4}"/>
    <hyperlink ref="B615" r:id="rId592" xr:uid="{8046513B-D41D-4E41-AE0E-3EBABF470B6B}"/>
    <hyperlink ref="B616" r:id="rId593" xr:uid="{DD7BF245-06B6-46EA-B33E-AD98A5F3DFAE}"/>
    <hyperlink ref="B618" r:id="rId594" xr:uid="{7C6962BA-53E9-4C26-AE4D-4903469572FB}"/>
    <hyperlink ref="B88" r:id="rId595" xr:uid="{4EEE4673-09CF-4EFD-AA60-5300A548B3D6}"/>
    <hyperlink ref="B108" r:id="rId596" xr:uid="{CE2966C4-CA68-4923-8A14-AF51D9CA990E}"/>
    <hyperlink ref="B125" r:id="rId597" xr:uid="{A29A657B-3154-4A2A-8632-32E9AFA731F7}"/>
    <hyperlink ref="B343" r:id="rId598" xr:uid="{7633E2E4-75F3-46A6-AB4A-0B10A568E485}"/>
    <hyperlink ref="B372" r:id="rId599" xr:uid="{83BFF348-96B3-471D-A856-E5CC812BF100}"/>
    <hyperlink ref="B208" r:id="rId600" xr:uid="{6992F565-B72A-45D2-BEBE-66ED8BE07273}"/>
    <hyperlink ref="B215" r:id="rId601" xr:uid="{AD023A40-59A0-4CB6-A8EB-17EE0A7E761D}"/>
    <hyperlink ref="B561" r:id="rId602" xr:uid="{7642D859-3312-411B-8756-F3A689A69234}"/>
    <hyperlink ref="B617" r:id="rId603" xr:uid="{7D3B416F-2741-4727-AC81-B5C297771A26}"/>
    <hyperlink ref="C617" r:id="rId604" xr:uid="{7CCD8130-220D-4BFE-BB3C-0EAFC177A0FB}"/>
    <hyperlink ref="B559" r:id="rId605" xr:uid="{FCB7E79B-B846-47DC-9F67-4EC5101F5083}"/>
    <hyperlink ref="B265" r:id="rId606" xr:uid="{C461E4EA-BFAB-4FAB-8DCE-674EA21B063D}"/>
    <hyperlink ref="B340" r:id="rId607" xr:uid="{B4427EA9-5466-4751-8315-C63BDCBE7C07}"/>
    <hyperlink ref="B325" r:id="rId608" xr:uid="{2CEE45A0-CF7B-4E88-BEE2-7A09F7600D80}"/>
    <hyperlink ref="B456" r:id="rId609" xr:uid="{AEEF0769-BC71-48F2-87FD-261AB704E3F3}"/>
    <hyperlink ref="B90" r:id="rId610" xr:uid="{D6C6D118-F224-4393-9E92-F40FB157A4F5}"/>
    <hyperlink ref="B473" r:id="rId611" xr:uid="{5D9C24CF-2279-46A3-A51A-4E03DF032504}"/>
    <hyperlink ref="B376" r:id="rId612" xr:uid="{991DF0C3-243B-4B4D-8070-413379A630D7}"/>
    <hyperlink ref="B334" r:id="rId613" xr:uid="{B9C1E8EF-1C6E-4635-9A92-D664027EFFFD}"/>
    <hyperlink ref="B168" r:id="rId614" xr:uid="{07102FFF-5900-4160-834E-FA341D237600}"/>
    <hyperlink ref="B79" r:id="rId615" xr:uid="{235E9921-E8BC-43E9-B13A-80A2A3500C02}"/>
    <hyperlink ref="B92" r:id="rId616" xr:uid="{DEA0957D-DD4E-4A97-A291-A93DC84FEF59}"/>
    <hyperlink ref="B364" r:id="rId617" xr:uid="{E320D66B-F121-4A77-A461-EB90510BEF4C}"/>
    <hyperlink ref="B297" r:id="rId618" xr:uid="{AE727F6B-BBA6-4C89-9E42-0A4148DF3460}"/>
    <hyperlink ref="B361" r:id="rId619" xr:uid="{526D8EA9-D78C-4B7D-B1D6-50AC7C7B8336}"/>
    <hyperlink ref="B363" r:id="rId620" xr:uid="{C5E8BE37-5F68-4C5F-BAEC-19312342A8C8}"/>
    <hyperlink ref="B550" r:id="rId621" xr:uid="{098DF521-CED3-41D9-9ABC-09D9A27DE2A4}"/>
    <hyperlink ref="B450" r:id="rId622" xr:uid="{F7297992-0841-40F0-87D0-97E53D63BFFB}"/>
    <hyperlink ref="B282" r:id="rId623" xr:uid="{38A9589A-77BB-4064-B2DA-50CE3FC30FDC}"/>
    <hyperlink ref="B466" r:id="rId624" xr:uid="{512E327B-3BF2-4829-8729-C4ECD8A5C0F4}"/>
    <hyperlink ref="B346" r:id="rId625" xr:uid="{B7E5D4F0-3945-435D-A56F-A704E9F2B1A7}"/>
    <hyperlink ref="B461" r:id="rId626" xr:uid="{7EB6C99A-2C86-4654-84B3-C5802CD4CD88}"/>
    <hyperlink ref="B342" r:id="rId627" xr:uid="{3FB441CE-DAA3-439B-8AA4-6C21F4E46941}"/>
    <hyperlink ref="B71" r:id="rId628" xr:uid="{212AC324-45ED-4955-AE93-D1C06F3B641F}"/>
    <hyperlink ref="B80" r:id="rId629" xr:uid="{DC3F88EF-6D74-41EA-8FCD-D936A153D76C}"/>
    <hyperlink ref="B275" r:id="rId630" xr:uid="{13F17D92-0CD3-4EAE-B22A-5A73F5C5F6BC}"/>
    <hyperlink ref="B240" r:id="rId631" xr:uid="{7D401620-06FA-41E0-8075-4631579AD6C0}"/>
    <hyperlink ref="B231" r:id="rId632" xr:uid="{F231ADAD-BD34-450E-810B-E9D1A2A55C96}"/>
    <hyperlink ref="B411" r:id="rId633" display="iQ300 Düz Davlumbaz, 60cm, 649m3, Siyah Cam" xr:uid="{4653ADE8-1E3A-49F0-80FE-00C8AD39BAB9}"/>
    <hyperlink ref="B412" r:id="rId634" xr:uid="{E3FC2DB1-8D0A-43F6-9EAC-80921C97F038}"/>
    <hyperlink ref="B413" r:id="rId635" xr:uid="{35AB7D22-0ECE-43C2-965A-B17296FFF3E2}"/>
    <hyperlink ref="C184" r:id="rId636" xr:uid="{91139249-CF14-4D89-93CB-0CCDB950B426}"/>
    <hyperlink ref="B184" r:id="rId637" xr:uid="{C2C5DDAA-0E5B-4D7F-9201-59D7EF735631}"/>
    <hyperlink ref="C313" r:id="rId638" xr:uid="{9D6A86C4-C497-4D35-B6B6-0FFC67D606C5}"/>
    <hyperlink ref="B121" r:id="rId639" xr:uid="{14E03B2A-1E44-4417-9A5F-C89717BE1978}"/>
    <hyperlink ref="B13" r:id="rId640" xr:uid="{1BB619EA-750E-46BE-9827-450F121F98B1}"/>
    <hyperlink ref="B16" r:id="rId641" xr:uid="{4C9637AD-287F-4347-ABEF-7EC74407262E}"/>
    <hyperlink ref="B619" r:id="rId642" xr:uid="{AED9CDC2-8D1A-4B45-90AD-2C9E5196A15D}"/>
    <hyperlink ref="C619" r:id="rId643" xr:uid="{F32EF4D1-2816-439C-B205-A4FA1FF78B60}"/>
    <hyperlink ref="B141" r:id="rId644" xr:uid="{CBF2C57D-A802-4E35-98F7-86448CE3C86B}"/>
    <hyperlink ref="B145" r:id="rId645" xr:uid="{5EFDD70C-28AF-41AC-9E31-265E70189B1A}"/>
    <hyperlink ref="B307" r:id="rId646" xr:uid="{3F8EF0F0-9D57-4ACD-87BD-F45D46AC7257}"/>
    <hyperlink ref="B368" r:id="rId647" display="iQ300 Düz Davlumbaz, 60cm, 368m3, Inox" xr:uid="{330241E8-54E3-4D30-9CBA-B402DA33E61C}"/>
    <hyperlink ref="B552" r:id="rId648" xr:uid="{14F1345F-60E5-443C-921D-032EA75E2EBD}"/>
    <hyperlink ref="B471" r:id="rId649" xr:uid="{E11926F2-651F-4DCC-BAAE-437DBDFE1503}"/>
    <hyperlink ref="B486" r:id="rId650" xr:uid="{32698FF5-F8B1-4B44-83B4-1EF67849AF83}"/>
    <hyperlink ref="B625" r:id="rId651" xr:uid="{BEBCBAE8-27AA-4755-800C-7CE4FDE29AE3}"/>
    <hyperlink ref="B620" r:id="rId652" display="iQ700 Çamaşır Makinesi, 11kg/1400devir, intelligentDosing, Gümüş" xr:uid="{8AF1A5B1-4D0B-4176-8182-9986B08BBF2B}"/>
    <hyperlink ref="B621" r:id="rId653" xr:uid="{AD222302-505D-4A98-AF49-0624E4B7E127}"/>
    <hyperlink ref="B626" r:id="rId654" xr:uid="{32EE9360-1244-442B-9390-6758C0129C29}"/>
    <hyperlink ref="B627" r:id="rId655" xr:uid="{B7D31148-8597-45F0-86F1-C14843292501}"/>
    <hyperlink ref="C627" r:id="rId656" xr:uid="{827178DB-C1F0-4310-A4DB-88EC1D50DBE0}"/>
    <hyperlink ref="B628" r:id="rId657" xr:uid="{E9EF50E4-AF1B-429F-8294-7FCE4C67B8C6}"/>
    <hyperlink ref="B629" r:id="rId658" display="iQ700 Gazlı Ocak, 60cm, Seramik, Siyah, Döküm" xr:uid="{C7C4A86E-8FB2-44EA-B79C-1842EC2853B5}"/>
    <hyperlink ref="B630" r:id="rId659" xr:uid="{F706E69F-7252-42CA-98DD-679E2711AF60}"/>
    <hyperlink ref="B631" r:id="rId660" xr:uid="{95769AFB-EC44-468A-9676-C9E295D86D03}"/>
    <hyperlink ref="B632" r:id="rId661" xr:uid="{860412CA-7A3D-4F3B-9C7A-4AB5C001B097}"/>
    <hyperlink ref="B633" r:id="rId662" xr:uid="{90832075-1BAB-437B-B3D6-DF052A76738A}"/>
    <hyperlink ref="B622" r:id="rId663" xr:uid="{9DF53E32-09EF-40D8-A1E0-5737AEF1AE2D}"/>
    <hyperlink ref="B623" r:id="rId664" xr:uid="{A3DB42EC-C7A1-4755-92F8-1B952175DEF9}"/>
    <hyperlink ref="B624" r:id="rId665" xr:uid="{1860D9FC-18C0-493D-BF8D-737AB38690DE}"/>
    <hyperlink ref="B635" r:id="rId666" xr:uid="{072A56A8-1C98-46B8-A1A9-2029D4E9991E}"/>
    <hyperlink ref="B636" r:id="rId667" xr:uid="{5415A5FC-1741-44F3-950A-BC08D05D3D47}"/>
  </hyperlinks>
  <pageMargins left="0.7" right="0.7" top="0.75" bottom="0.75" header="0.3" footer="0.3"/>
  <pageSetup paperSize="9" orientation="portrait" verticalDpi="0" r:id="rId6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HESAPLAYICI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Sedat</dc:creator>
  <cp:lastModifiedBy>Kaan Gökdemir</cp:lastModifiedBy>
  <cp:lastPrinted>2025-12-28T18:08:32Z</cp:lastPrinted>
  <dcterms:created xsi:type="dcterms:W3CDTF">2025-12-13T07:27:33Z</dcterms:created>
  <dcterms:modified xsi:type="dcterms:W3CDTF">2026-09-10T11:07:54Z</dcterms:modified>
</cp:coreProperties>
</file>