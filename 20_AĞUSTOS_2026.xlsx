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66" documentId="8_{04D112BD-6BD0-48D2-BCD0-B02DB0158664}" xr6:coauthVersionLast="47" xr6:coauthVersionMax="47" xr10:uidLastSave="{10A44923-195B-42B3-BBE4-74076222458C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2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36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2" i="1"/>
  <c r="N381" i="1"/>
  <c r="N380" i="1"/>
  <c r="N379" i="1"/>
  <c r="N377" i="1"/>
  <c r="N376" i="1"/>
  <c r="N375" i="1"/>
  <c r="N378" i="1" s="1"/>
  <c r="N374" i="1"/>
  <c r="N373" i="1"/>
  <c r="N372" i="1"/>
  <c r="N371" i="1"/>
  <c r="N370" i="1"/>
  <c r="N369" i="1"/>
  <c r="N368" i="1"/>
  <c r="N366" i="1"/>
  <c r="N365" i="1"/>
  <c r="N364" i="1"/>
  <c r="N363" i="1"/>
  <c r="N362" i="1"/>
  <c r="N361" i="1"/>
  <c r="N367" i="1" s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360" i="1" s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79" i="1" s="1"/>
  <c r="N234" i="1"/>
  <c r="N233" i="1"/>
  <c r="N232" i="1"/>
  <c r="N231" i="1"/>
  <c r="N230" i="1"/>
  <c r="N229" i="1"/>
  <c r="N228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208" i="1" s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4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42" i="1" s="1"/>
  <c r="N122" i="1"/>
  <c r="N121" i="1"/>
  <c r="N120" i="1"/>
  <c r="N119" i="1"/>
  <c r="N118" i="1"/>
  <c r="N117" i="1"/>
  <c r="N115" i="1"/>
  <c r="N114" i="1"/>
  <c r="N113" i="1"/>
  <c r="N112" i="1"/>
  <c r="N111" i="1"/>
  <c r="N110" i="1"/>
  <c r="N109" i="1"/>
  <c r="N116" i="1" s="1"/>
  <c r="N108" i="1"/>
  <c r="N107" i="1"/>
  <c r="N106" i="1"/>
  <c r="N105" i="1"/>
  <c r="N104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103" i="1" s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75" i="1" s="1"/>
  <c r="N59" i="1"/>
  <c r="N58" i="1"/>
  <c r="N57" i="1"/>
  <c r="N56" i="1"/>
  <c r="N55" i="1"/>
  <c r="N54" i="1"/>
  <c r="N53" i="1"/>
  <c r="N60" i="1" s="1"/>
  <c r="N52" i="1"/>
  <c r="N51" i="1"/>
  <c r="N50" i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9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D689A378-6C18-48D7-8FDD-57255A56C78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<sst xmlns="http://schemas.openxmlformats.org/spreadsheetml/2006/main" count="3936" uniqueCount="1846">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</sst>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5" fillId="32" borderId="0" xfId="1" applyNumberFormat="1" applyFont="1" applyFill="1" applyAlignment="1">
      <alignment horizontal="center" vertical="center"/>
    </xf>
    <xf numFmtId="164" fontId="15" fillId="32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8"/>
  <sheetViews>
    <sheetView tabSelected="1" zoomScale="90" zoomScaleNormal="90" workbookViewId="0">
      <pane ySplit="1" topLeftCell="A460" activePane="bottomLeft" state="frozen"/>
      <selection pane="bottomLeft" activeCell="A490" sqref="A490"/>
    </sheetView>
  </sheetViews>
  <sheetFormatPr defaultColWidth="17.85546875" defaultRowHeight="17.25"/>
  <cols>
    <col min="1" max="1" width="15.85546875" style="114" customWidth="1"/>
    <col min="2" max="2" width="30.57031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6.5703125" customWidth="1"/>
    <col min="10" max="10" width="5.7109375" bestFit="1" customWidth="1"/>
    <col min="11" max="11" width="8.28515625" style="85" customWidth="1"/>
    <col min="12" max="12" width="6.42578125" style="85" customWidth="1"/>
    <col min="13" max="13" width="7.140625" customWidth="1"/>
    <col min="14" max="14" width="6.85546875" style="110" customWidth="1"/>
    <col min="15" max="15" width="7.85546875" style="109" customWidth="1"/>
    <col min="16" max="16" width="8.7109375" style="171" customWidth="1"/>
    <col min="17" max="17" width="10.28515625" style="45" customWidth="1"/>
    <col min="18" max="18" width="16.5703125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  <col min="24" max="24" width="17.85546875" style="185"/>
  </cols>
  <sheetData>
    <row r="1" spans="1:27" s="7" customFormat="1" ht="67.5">
      <c r="A1" s="90" t="s">
        <v>0</v>
      </c>
      <c r="B1" s="90" t="s">
        <v>1</v>
      </c>
      <c r="C1" s="2" t="s">
        <v>1808</v>
      </c>
      <c r="D1" s="40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5" t="s">
        <v>1803</v>
      </c>
      <c r="P1" s="94" t="s">
        <v>1544</v>
      </c>
      <c r="Q1" s="144" t="s">
        <v>1786</v>
      </c>
      <c r="R1" s="66" t="s">
        <v>7</v>
      </c>
      <c r="S1" s="38" t="s">
        <v>8</v>
      </c>
      <c r="T1" s="38" t="s">
        <v>1662</v>
      </c>
      <c r="U1" s="181" t="s">
        <v>1784</v>
      </c>
      <c r="V1" s="163" t="s">
        <v>1804</v>
      </c>
      <c r="W1" s="89" t="s">
        <v>465</v>
      </c>
      <c r="X1" s="175" t="s">
        <v>1805</v>
      </c>
      <c r="Y1" s="176" t="s">
        <v>1787</v>
      </c>
    </row>
    <row r="2" spans="1:27">
      <c r="A2" s="21" t="s">
        <v>9</v>
      </c>
      <c r="B2" s="44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8" si="0">M2+K2+L2+J2+I2+H2+G2+F2+E2+D2+C2</f>
        <v>2</v>
      </c>
      <c r="O2" s="107"/>
      <c r="P2" s="95"/>
      <c r="Q2" s="65" t="s">
        <v>1788</v>
      </c>
      <c r="R2" s="18">
        <v>80000</v>
      </c>
      <c r="S2" s="12">
        <v>83200</v>
      </c>
      <c r="T2" s="12">
        <v>86400</v>
      </c>
      <c r="U2" s="167"/>
      <c r="V2" s="168"/>
      <c r="W2" s="182">
        <v>1000</v>
      </c>
    </row>
    <row r="3" spans="1:27">
      <c r="A3" s="111" t="s">
        <v>10</v>
      </c>
      <c r="B3" s="44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7">
        <v>6594.3523603817166</v>
      </c>
      <c r="V3" s="168"/>
      <c r="W3" s="13"/>
    </row>
    <row r="4" spans="1:27">
      <c r="A4" s="111" t="s">
        <v>11</v>
      </c>
      <c r="B4" s="44" t="str">
        <f>IFERROR(HYPERLINK(VLOOKUP(A4,ÜRÜNLER!A:C,3,FALSE),VLOOKUP(A4,ÜRÜNLER!A:B,2,FALSE)),"")</f>
        <v>iQ300 Gardırop Tipi Buzdolabı, 90.5cm, BlackSteel</v>
      </c>
      <c r="C4" s="8">
        <v>1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7</v>
      </c>
      <c r="O4" s="107">
        <v>11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7">
        <v>41230.11784244806</v>
      </c>
      <c r="V4" s="168"/>
      <c r="W4" s="13"/>
    </row>
    <row r="5" spans="1:27">
      <c r="A5" s="226" t="s">
        <v>12</v>
      </c>
      <c r="B5" s="44" t="str">
        <f>IFERROR(HYPERLINK(VLOOKUP(A5,ÜRÜNLER!A:C,3,FALSE),VLOOKUP(A5,ÜRÜNLER!A:B,2,FALSE)),"")</f>
        <v>iQ300 Gardırop Tipi Buzdolabı, 90.5cm, Inox</v>
      </c>
      <c r="C5" s="8">
        <v>32</v>
      </c>
      <c r="D5" s="8"/>
      <c r="E5" s="9"/>
      <c r="F5" s="9">
        <v>1</v>
      </c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177">
        <v>102600</v>
      </c>
      <c r="S5" s="180">
        <v>106704</v>
      </c>
      <c r="T5" s="180">
        <v>110808</v>
      </c>
      <c r="U5" s="167">
        <v>26517.501572742476</v>
      </c>
      <c r="V5" s="168"/>
      <c r="W5" s="182">
        <v>250</v>
      </c>
    </row>
    <row r="6" spans="1:27">
      <c r="A6" s="21" t="s">
        <v>13</v>
      </c>
      <c r="B6" s="44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7"/>
      <c r="V6" s="168"/>
      <c r="W6" s="13"/>
    </row>
    <row r="7" spans="1:27">
      <c r="A7" s="21" t="s">
        <v>14</v>
      </c>
      <c r="B7" s="44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7">
        <v>968.7795256814934</v>
      </c>
      <c r="V7" s="168"/>
      <c r="W7" s="13"/>
    </row>
    <row r="8" spans="1:27">
      <c r="A8" s="21" t="s">
        <v>1331</v>
      </c>
      <c r="B8" s="44" t="str">
        <f>IFERROR(HYPERLINK(VLOOKUP(A8,ÜRÜNLER!A:C,3,FALSE),VLOOKUP(A8,ÜRÜNLER!A:B,2,FALSE)),"")</f>
        <v>iQ300 Üstten Donduruculu Kulpsuz Buzdolabı, 70cm, Inox Görünümlü</v>
      </c>
      <c r="C8" s="8">
        <v>6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6</v>
      </c>
      <c r="O8" s="107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7">
        <v>5972.6765500954425</v>
      </c>
      <c r="V8" s="168"/>
      <c r="W8" s="13"/>
    </row>
    <row r="9" spans="1:27">
      <c r="A9" s="21" t="s">
        <v>15</v>
      </c>
      <c r="B9" s="44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1788</v>
      </c>
      <c r="R9" s="14">
        <v>40000</v>
      </c>
      <c r="S9" s="12">
        <v>41600</v>
      </c>
      <c r="T9" s="12">
        <v>43200</v>
      </c>
      <c r="U9" s="167"/>
      <c r="V9" s="168"/>
      <c r="W9" s="182">
        <v>500</v>
      </c>
      <c r="Y9" s="15"/>
      <c r="Z9" s="15"/>
      <c r="AA9" s="15"/>
    </row>
    <row r="10" spans="1:27">
      <c r="A10" s="21" t="s">
        <v>17</v>
      </c>
      <c r="B10" s="44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7">
        <v>21128.647974287935</v>
      </c>
      <c r="V10" s="168"/>
      <c r="W10" s="13"/>
    </row>
    <row r="11" spans="1:27">
      <c r="A11" s="21" t="s">
        <v>1547</v>
      </c>
      <c r="B11" s="44" t="str">
        <f>IFERROR(HYPERLINK(VLOOKUP(A11,ÜRÜNLER!A:C,3,FALSE),VLOOKUP(A11,ÜRÜNLER!A:B,2,FALSE)),"")</f>
        <v>iQ500 Üstten Donduruculu Kulplu Buzdolabı, 75cm, Beyaz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8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7">
        <v>6705.3654215116185</v>
      </c>
      <c r="V11" s="168"/>
      <c r="W11" s="13"/>
    </row>
    <row r="12" spans="1:27">
      <c r="A12" s="112" t="s">
        <v>19</v>
      </c>
      <c r="B12" s="44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7">
        <v>11938.806543399609</v>
      </c>
      <c r="V12" s="168"/>
      <c r="W12" s="16"/>
    </row>
    <row r="13" spans="1:27">
      <c r="A13" s="112" t="s">
        <v>20</v>
      </c>
      <c r="B13" s="44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4</v>
      </c>
      <c r="O13" s="107">
        <v>6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7">
        <v>16712.254307332914</v>
      </c>
      <c r="V13" s="168"/>
      <c r="W13" s="16"/>
    </row>
    <row r="14" spans="1:27">
      <c r="A14" s="112" t="s">
        <v>1322</v>
      </c>
      <c r="B14" s="44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1788</v>
      </c>
      <c r="R14" s="22">
        <v>55000</v>
      </c>
      <c r="S14" s="12">
        <v>57200</v>
      </c>
      <c r="T14" s="12">
        <v>59400</v>
      </c>
      <c r="U14" s="167"/>
      <c r="V14" s="168"/>
      <c r="W14" s="182">
        <v>500</v>
      </c>
    </row>
    <row r="15" spans="1:27">
      <c r="A15" s="112" t="s">
        <v>1811</v>
      </c>
      <c r="B15" s="44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/>
      <c r="L15" s="10"/>
      <c r="M15" s="11"/>
      <c r="N15" s="106">
        <f t="shared" si="0"/>
        <v>0</v>
      </c>
      <c r="O15" s="107">
        <v>3</v>
      </c>
      <c r="P15" s="95"/>
      <c r="Q15" s="45">
        <v>56792.905181497161</v>
      </c>
      <c r="R15" s="22">
        <v>56793</v>
      </c>
      <c r="S15" s="12">
        <v>59064.72</v>
      </c>
      <c r="T15" s="12">
        <v>61336.44</v>
      </c>
      <c r="U15" s="167"/>
      <c r="V15" s="168"/>
      <c r="W15" s="182"/>
    </row>
    <row r="16" spans="1:27">
      <c r="A16" s="21" t="s">
        <v>21</v>
      </c>
      <c r="B16" s="44" t="str">
        <f>IFERROR(HYPERLINK(VLOOKUP(A16,ÜRÜNLER!A:C,3,FALSE),VLOOKUP(A16,ÜRÜNLER!A:B,2,FALSE)),"")</f>
        <v>iQ500 Üstten Donduruculu Kulplu Buzdolabı, 86cm, Inox</v>
      </c>
      <c r="C16" s="8">
        <v>12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>
        <v>1</v>
      </c>
      <c r="L16" s="10"/>
      <c r="M16" s="11"/>
      <c r="N16" s="106">
        <f t="shared" si="0"/>
        <v>16</v>
      </c>
      <c r="O16" s="107">
        <v>1</v>
      </c>
      <c r="P16" s="95"/>
      <c r="Q16" s="45">
        <v>98053.757359079536</v>
      </c>
      <c r="R16" s="17">
        <v>93151.069491125556</v>
      </c>
      <c r="S16" s="12">
        <v>96877.11227077058</v>
      </c>
      <c r="T16" s="12">
        <v>100603.1550504156</v>
      </c>
      <c r="U16" s="167">
        <v>27646.780614893491</v>
      </c>
      <c r="V16" s="168"/>
      <c r="W16" s="13"/>
    </row>
    <row r="17" spans="1:27">
      <c r="A17" s="21" t="s">
        <v>24</v>
      </c>
      <c r="B17" s="44" t="str">
        <f>IFERROR(HYPERLINK(VLOOKUP(A17,ÜRÜNLER!A:C,3,FALSE),VLOOKUP(A17,ÜRÜNLER!A:B,2,FALSE)),"")</f>
        <v>iQ500 Üstten Donduruculu Kulplu Buzdolabı, 86cm, Beyaz</v>
      </c>
      <c r="C17" s="8">
        <v>4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06">
        <f t="shared" si="0"/>
        <v>4</v>
      </c>
      <c r="O17" s="107">
        <v>1</v>
      </c>
      <c r="P17" s="95"/>
      <c r="Q17" s="45">
        <v>85320.530544562032</v>
      </c>
      <c r="R17" s="17">
        <v>81054.504017333937</v>
      </c>
      <c r="S17" s="12">
        <v>84296.684178027295</v>
      </c>
      <c r="T17" s="12">
        <v>87538.864338720654</v>
      </c>
      <c r="U17" s="167">
        <v>20122.856125957376</v>
      </c>
      <c r="V17" s="168"/>
      <c r="W17" s="13"/>
    </row>
    <row r="18" spans="1:27" s="15" customFormat="1">
      <c r="A18" s="21" t="s">
        <v>25</v>
      </c>
      <c r="B18" s="44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/>
      <c r="L18" s="10">
        <v>1</v>
      </c>
      <c r="M18" s="11"/>
      <c r="N18" s="106">
        <f t="shared" si="0"/>
        <v>1</v>
      </c>
      <c r="O18" s="107"/>
      <c r="P18" s="95"/>
      <c r="Q18" s="65" t="s">
        <v>1788</v>
      </c>
      <c r="R18" s="14">
        <v>55000</v>
      </c>
      <c r="S18" s="12">
        <v>57200</v>
      </c>
      <c r="T18" s="12">
        <v>59400</v>
      </c>
      <c r="U18" s="167"/>
      <c r="V18" s="168"/>
      <c r="W18" s="182">
        <v>500</v>
      </c>
      <c r="X18" s="185"/>
      <c r="Y18"/>
      <c r="Z18"/>
      <c r="AA18"/>
    </row>
    <row r="19" spans="1:27">
      <c r="A19" s="112" t="s">
        <v>26</v>
      </c>
      <c r="B19" s="44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0"/>
      <c r="M19" s="11"/>
      <c r="N19" s="106">
        <f t="shared" si="0"/>
        <v>1</v>
      </c>
      <c r="O19" s="107"/>
      <c r="P19" s="95"/>
      <c r="Q19" s="65" t="s">
        <v>1788</v>
      </c>
      <c r="R19" s="14">
        <v>40000</v>
      </c>
      <c r="S19" s="12">
        <v>41600</v>
      </c>
      <c r="T19" s="12">
        <v>43200</v>
      </c>
      <c r="U19" s="167"/>
      <c r="V19" s="168"/>
      <c r="W19" s="13">
        <v>250</v>
      </c>
    </row>
    <row r="20" spans="1:27">
      <c r="A20" s="21" t="s">
        <v>27</v>
      </c>
      <c r="B20" s="44" t="str">
        <f>IFERROR(HYPERLINK(VLOOKUP(A20,ÜRÜNLER!A:C,3,FALSE),VLOOKUP(A20,ÜRÜNLER!A:B,2,FALSE)),"")</f>
        <v>iQ300 Alttan Donduruculu Kulpsuz Buzdolabı, 70cm, Inox</v>
      </c>
      <c r="C20" s="8">
        <v>84</v>
      </c>
      <c r="D20" s="8"/>
      <c r="E20" s="9">
        <v>4</v>
      </c>
      <c r="F20" s="9"/>
      <c r="G20" s="10"/>
      <c r="H20" s="10"/>
      <c r="I20" s="11">
        <v>1</v>
      </c>
      <c r="J20" s="11">
        <v>1</v>
      </c>
      <c r="K20" s="10"/>
      <c r="L20" s="10">
        <v>1</v>
      </c>
      <c r="M20" s="11">
        <v>1</v>
      </c>
      <c r="N20" s="106">
        <f t="shared" si="0"/>
        <v>92</v>
      </c>
      <c r="O20" s="107">
        <v>3</v>
      </c>
      <c r="P20" s="95"/>
      <c r="Q20" s="45">
        <v>65373.710842426284</v>
      </c>
      <c r="R20" s="186">
        <v>65373.710842426284</v>
      </c>
      <c r="S20" s="12">
        <v>67988.659276123333</v>
      </c>
      <c r="T20" s="12">
        <v>70603.607709820382</v>
      </c>
      <c r="U20" s="167">
        <v>16210.920144751864</v>
      </c>
      <c r="V20" s="168"/>
      <c r="W20" s="13"/>
      <c r="Y20" s="185">
        <v>54300</v>
      </c>
    </row>
    <row r="21" spans="1:27">
      <c r="A21" s="21" t="s">
        <v>28</v>
      </c>
      <c r="B21" s="44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10"/>
      <c r="H21" s="10"/>
      <c r="I21" s="11">
        <v>1</v>
      </c>
      <c r="J21" s="11"/>
      <c r="K21" s="10">
        <v>1</v>
      </c>
      <c r="L21" s="10">
        <v>2</v>
      </c>
      <c r="M21" s="11"/>
      <c r="N21" s="106">
        <f t="shared" si="0"/>
        <v>87</v>
      </c>
      <c r="O21" s="107">
        <v>5</v>
      </c>
      <c r="P21" s="95"/>
      <c r="Q21" s="45">
        <v>60461.404943148395</v>
      </c>
      <c r="R21" s="186">
        <v>60461.404943148395</v>
      </c>
      <c r="S21" s="12">
        <v>62879.861140874331</v>
      </c>
      <c r="T21" s="12">
        <v>65298.317338600267</v>
      </c>
      <c r="U21" s="167">
        <v>11705.590989660021</v>
      </c>
      <c r="V21" s="168"/>
      <c r="W21" s="13"/>
      <c r="Y21" s="185">
        <v>53800</v>
      </c>
    </row>
    <row r="22" spans="1:27">
      <c r="A22" s="21" t="s">
        <v>29</v>
      </c>
      <c r="B22" s="44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/>
      <c r="L22" s="10">
        <v>1</v>
      </c>
      <c r="M22" s="11"/>
      <c r="N22" s="106">
        <f t="shared" si="0"/>
        <v>8</v>
      </c>
      <c r="O22" s="107"/>
      <c r="P22" s="95"/>
      <c r="Q22" s="65" t="s">
        <v>1788</v>
      </c>
      <c r="R22" s="177">
        <v>50000</v>
      </c>
      <c r="S22" s="180">
        <v>52000</v>
      </c>
      <c r="T22" s="180">
        <v>54000</v>
      </c>
      <c r="U22" s="167">
        <v>8118.2662856856987</v>
      </c>
      <c r="V22" s="168"/>
      <c r="W22" s="13"/>
    </row>
    <row r="23" spans="1:27">
      <c r="A23" s="21" t="s">
        <v>30</v>
      </c>
      <c r="B23" s="44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/>
      <c r="L23" s="10">
        <v>1</v>
      </c>
      <c r="M23" s="11"/>
      <c r="N23" s="106">
        <f t="shared" si="0"/>
        <v>3</v>
      </c>
      <c r="O23" s="107"/>
      <c r="P23" s="95"/>
      <c r="Q23" s="65" t="s">
        <v>1788</v>
      </c>
      <c r="R23" s="67">
        <v>44000</v>
      </c>
      <c r="S23" s="157">
        <v>45760</v>
      </c>
      <c r="T23" s="157">
        <v>47520</v>
      </c>
      <c r="U23" s="167">
        <v>6729.5715803717103</v>
      </c>
      <c r="V23" s="168"/>
      <c r="W23" s="182">
        <v>500</v>
      </c>
    </row>
    <row r="24" spans="1:27">
      <c r="A24" s="111" t="s">
        <v>31</v>
      </c>
      <c r="B24" s="44" t="str">
        <f>IFERROR(HYPERLINK(VLOOKUP(A24,ÜRÜNLER!A:C,3,FALSE),VLOOKUP(A24,ÜRÜNLER!A:B,2,FALSE)),"")</f>
        <v>iQ500 Alttan Donduruculu Kulpsuz Buzdolabı, 70cm, Parlak Siyah</v>
      </c>
      <c r="C24" s="8"/>
      <c r="D24" s="8"/>
      <c r="E24" s="9"/>
      <c r="F24" s="9">
        <v>1</v>
      </c>
      <c r="G24" s="10"/>
      <c r="H24" s="10"/>
      <c r="I24" s="11">
        <v>2</v>
      </c>
      <c r="J24" s="11">
        <v>1</v>
      </c>
      <c r="K24" s="10">
        <v>1</v>
      </c>
      <c r="L24" s="10"/>
      <c r="M24" s="11">
        <v>2</v>
      </c>
      <c r="N24" s="106">
        <f t="shared" si="0"/>
        <v>7</v>
      </c>
      <c r="O24" s="107">
        <v>11</v>
      </c>
      <c r="P24" s="95"/>
      <c r="Q24" s="45">
        <v>59227.138431632891</v>
      </c>
      <c r="R24" s="17">
        <v>56265.781510051245</v>
      </c>
      <c r="S24" s="12">
        <v>58516.412770453295</v>
      </c>
      <c r="T24" s="12">
        <v>60767.044030855344</v>
      </c>
      <c r="U24" s="167"/>
      <c r="V24" s="168"/>
      <c r="W24" s="13"/>
    </row>
    <row r="25" spans="1:27">
      <c r="A25" s="113" t="s">
        <v>32</v>
      </c>
      <c r="B25" s="44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06">
        <f t="shared" si="0"/>
        <v>1</v>
      </c>
      <c r="O25" s="107"/>
      <c r="P25" s="95"/>
      <c r="Q25" s="65" t="s">
        <v>1788</v>
      </c>
      <c r="R25" s="18">
        <v>48000</v>
      </c>
      <c r="S25" s="12">
        <v>49920</v>
      </c>
      <c r="T25" s="12">
        <v>51840</v>
      </c>
      <c r="U25" s="167"/>
      <c r="V25" s="168"/>
      <c r="W25" s="182">
        <v>500</v>
      </c>
    </row>
    <row r="26" spans="1:27">
      <c r="A26" s="113" t="s">
        <v>33</v>
      </c>
      <c r="B26" s="44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06">
        <f t="shared" si="0"/>
        <v>1</v>
      </c>
      <c r="O26" s="107"/>
      <c r="P26" s="95"/>
      <c r="Q26" s="65" t="s">
        <v>1788</v>
      </c>
      <c r="R26" s="18">
        <v>48000</v>
      </c>
      <c r="S26" s="12">
        <v>49920</v>
      </c>
      <c r="T26" s="12">
        <v>51840</v>
      </c>
      <c r="U26" s="167"/>
      <c r="V26" s="168"/>
      <c r="W26" s="182">
        <v>500</v>
      </c>
    </row>
    <row r="27" spans="1:27">
      <c r="A27" s="113" t="s">
        <v>34</v>
      </c>
      <c r="B27" s="44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/>
      <c r="J27" s="11"/>
      <c r="K27" s="10"/>
      <c r="L27" s="10">
        <v>1</v>
      </c>
      <c r="M27" s="11"/>
      <c r="N27" s="106">
        <f t="shared" si="0"/>
        <v>1</v>
      </c>
      <c r="O27" s="107"/>
      <c r="P27" s="95"/>
      <c r="Q27" s="65" t="s">
        <v>1788</v>
      </c>
      <c r="R27" s="18">
        <v>48000</v>
      </c>
      <c r="S27" s="12">
        <v>49920</v>
      </c>
      <c r="T27" s="12">
        <v>51840</v>
      </c>
      <c r="U27" s="167"/>
      <c r="V27" s="168"/>
      <c r="W27" s="182">
        <v>500</v>
      </c>
    </row>
    <row r="28" spans="1:27">
      <c r="A28" s="21" t="s">
        <v>1646</v>
      </c>
      <c r="B28" s="44" t="str">
        <f>IFERROR(HYPERLINK(VLOOKUP(A28,ÜRÜNLER!A:C,3,FALSE),VLOOKUP(A28,ÜRÜNLER!A:B,2,FALSE)),"")</f>
        <v>iQ100 Alttan Donduruculu Kulpsuz Buzdolabı, 70cm, Beyaz (Wi-Fi)</v>
      </c>
      <c r="C28" s="8">
        <v>32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06">
        <f t="shared" si="0"/>
        <v>32</v>
      </c>
      <c r="O28" s="107">
        <v>21</v>
      </c>
      <c r="P28" s="95"/>
      <c r="Q28" s="45">
        <v>41395.899999999994</v>
      </c>
      <c r="R28" s="17">
        <v>39326.104999999996</v>
      </c>
      <c r="S28" s="12">
        <v>40899.149199999993</v>
      </c>
      <c r="T28" s="12">
        <v>42472.193399999996</v>
      </c>
      <c r="U28" s="167"/>
      <c r="V28" s="168"/>
      <c r="W28" s="13"/>
    </row>
    <row r="29" spans="1:27">
      <c r="A29" s="21" t="s">
        <v>1652</v>
      </c>
      <c r="B29" s="44" t="str">
        <f>IFERROR(HYPERLINK(VLOOKUP(A29,ÜRÜNLER!A:C,3,FALSE),VLOOKUP(A29,ÜRÜNLER!A:B,2,FALSE)),"")</f>
        <v>iQ300 Alttan Donduruculu Kulpsuz Buzdolabı, 70cm, Inox (Wi-Fi)</v>
      </c>
      <c r="C29" s="8">
        <v>35</v>
      </c>
      <c r="D29" s="8"/>
      <c r="E29" s="9"/>
      <c r="F29" s="9"/>
      <c r="G29" s="10"/>
      <c r="H29" s="10"/>
      <c r="I29" s="11">
        <v>1</v>
      </c>
      <c r="J29" s="11"/>
      <c r="K29" s="10"/>
      <c r="L29" s="10"/>
      <c r="M29" s="11"/>
      <c r="N29" s="106">
        <f t="shared" si="0"/>
        <v>36</v>
      </c>
      <c r="O29" s="107">
        <v>24</v>
      </c>
      <c r="P29" s="95"/>
      <c r="Q29" s="45">
        <v>49000.062970401705</v>
      </c>
      <c r="R29" s="17">
        <v>46550.059821881616</v>
      </c>
      <c r="S29" s="12">
        <v>48412.062214756879</v>
      </c>
      <c r="T29" s="12">
        <v>50274.064607632143</v>
      </c>
      <c r="U29" s="167">
        <v>325.64436575053696</v>
      </c>
      <c r="V29" s="168"/>
      <c r="W29" s="13"/>
    </row>
    <row r="30" spans="1:27">
      <c r="A30" s="21" t="s">
        <v>1649</v>
      </c>
      <c r="B30" s="44" t="str">
        <f>IFERROR(HYPERLINK(VLOOKUP(A30,ÜRÜNLER!A:C,3,FALSE),VLOOKUP(A30,ÜRÜNLER!A:B,2,FALSE)),"")</f>
        <v>iQ300 Alttan Donduruculu Kulpsuz Buzdolabı, 70cm, Beyaz (Wi-Fi)</v>
      </c>
      <c r="C30" s="8">
        <v>33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33</v>
      </c>
      <c r="O30" s="107">
        <v>21</v>
      </c>
      <c r="P30" s="95"/>
      <c r="Q30" s="45">
        <v>45360.936416490491</v>
      </c>
      <c r="R30" s="17">
        <v>43092.889595665969</v>
      </c>
      <c r="S30" s="12">
        <v>44816.60517949261</v>
      </c>
      <c r="T30" s="12">
        <v>46540.320763319243</v>
      </c>
      <c r="U30" s="167"/>
      <c r="V30" s="168"/>
      <c r="W30" s="13"/>
    </row>
    <row r="31" spans="1:27">
      <c r="A31" s="20" t="s">
        <v>1812</v>
      </c>
      <c r="B31" s="44" t="str">
        <f>IFERROR(HYPERLINK(VLOOKUP(A31,ÜRÜNLER!A:C,3,FALSE),VLOOKUP(A31,ÜRÜNLER!A:B,2,FALSE)),"")</f>
        <v>iQ300 Alttan Donduruculu Kulpsuz Buzdolabı, 70cm, Inox (Wi-Fi)</v>
      </c>
      <c r="C31" s="8"/>
      <c r="D31" s="8"/>
      <c r="E31" s="9"/>
      <c r="F31" s="9"/>
      <c r="G31" s="10"/>
      <c r="H31" s="10"/>
      <c r="I31" s="11"/>
      <c r="J31" s="11"/>
      <c r="K31" s="10"/>
      <c r="L31" s="10"/>
      <c r="M31" s="11"/>
      <c r="N31" s="106">
        <f t="shared" si="0"/>
        <v>0</v>
      </c>
      <c r="O31" s="107">
        <v>5</v>
      </c>
      <c r="P31" s="95"/>
      <c r="Q31" s="45">
        <v>60254.001126083655</v>
      </c>
      <c r="R31" s="22">
        <v>60254.001126083655</v>
      </c>
      <c r="S31" s="12">
        <v>62664.161171127002</v>
      </c>
      <c r="T31" s="12">
        <v>65074.321216170349</v>
      </c>
      <c r="U31" s="167"/>
      <c r="V31" s="168"/>
      <c r="W31" s="13"/>
    </row>
    <row r="32" spans="1:27">
      <c r="A32" s="20" t="s">
        <v>1813</v>
      </c>
      <c r="B32" s="44" t="str">
        <f>IFERROR(HYPERLINK(VLOOKUP(A32,ÜRÜNLER!A:C,3,FALSE),VLOOKUP(A32,ÜRÜNLER!A:B,2,FALSE)),"")</f>
        <v>iQ300 Alttan Donduruculu Kulpsuz Buzdolabı, 70cm, Beyaz (Wi-Fi)</v>
      </c>
      <c r="C32" s="8"/>
      <c r="D32" s="8"/>
      <c r="E32" s="9"/>
      <c r="F32" s="9"/>
      <c r="G32" s="10"/>
      <c r="H32" s="10"/>
      <c r="I32" s="11"/>
      <c r="J32" s="11"/>
      <c r="K32" s="10"/>
      <c r="L32" s="10"/>
      <c r="M32" s="11"/>
      <c r="N32" s="106">
        <f t="shared" si="0"/>
        <v>0</v>
      </c>
      <c r="O32" s="107">
        <v>5</v>
      </c>
      <c r="P32" s="95"/>
      <c r="Q32" s="45">
        <v>55360.410160065025</v>
      </c>
      <c r="R32" s="22">
        <v>55360.410160065025</v>
      </c>
      <c r="S32" s="12">
        <v>57574.826566467629</v>
      </c>
      <c r="T32" s="12">
        <v>59789.242972870226</v>
      </c>
      <c r="U32" s="167"/>
      <c r="V32" s="168"/>
      <c r="W32" s="13"/>
    </row>
    <row r="33" spans="1:24">
      <c r="A33" s="111" t="s">
        <v>1814</v>
      </c>
      <c r="B33" s="44" t="str">
        <f>IFERROR(HYPERLINK(VLOOKUP(A33,ÜRÜNLER!A:C,3,FALSE),VLOOKUP(A33,ÜRÜNLER!A:B,2,FALSE)),"")</f>
        <v>iQ300 Alttan Donduruculu Kulpsuz Buzdolabı, 70cm, Black Inox (Wi-Fi)</v>
      </c>
      <c r="C33" s="8"/>
      <c r="D33" s="8"/>
      <c r="E33" s="9"/>
      <c r="F33" s="9"/>
      <c r="G33" s="10"/>
      <c r="H33" s="10"/>
      <c r="I33" s="11"/>
      <c r="J33" s="11"/>
      <c r="K33" s="10"/>
      <c r="L33" s="10"/>
      <c r="M33" s="11"/>
      <c r="N33" s="106">
        <f t="shared" si="0"/>
        <v>0</v>
      </c>
      <c r="O33" s="107">
        <v>5</v>
      </c>
      <c r="P33" s="95"/>
      <c r="Q33" s="45">
        <v>63899.365449394172</v>
      </c>
      <c r="R33" s="22">
        <v>63899.365449394172</v>
      </c>
      <c r="S33" s="12">
        <v>66455.340067369936</v>
      </c>
      <c r="T33" s="12">
        <v>69011.3146853457</v>
      </c>
      <c r="U33" s="167"/>
      <c r="V33" s="168"/>
      <c r="W33" s="13"/>
    </row>
    <row r="34" spans="1:24">
      <c r="A34" s="21" t="s">
        <v>36</v>
      </c>
      <c r="B34" s="44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10"/>
      <c r="H34" s="10"/>
      <c r="I34" s="11"/>
      <c r="J34" s="11"/>
      <c r="K34" s="10"/>
      <c r="L34" s="10"/>
      <c r="M34" s="11"/>
      <c r="N34" s="106">
        <f t="shared" si="0"/>
        <v>14</v>
      </c>
      <c r="O34" s="107"/>
      <c r="P34" s="95"/>
      <c r="Q34" s="45">
        <v>84646.164438751875</v>
      </c>
      <c r="R34" s="17">
        <v>80413.856216814282</v>
      </c>
      <c r="S34" s="12">
        <v>83630.410465486857</v>
      </c>
      <c r="T34" s="12">
        <v>86846.964714159418</v>
      </c>
      <c r="U34" s="167">
        <v>9762.4435085193254</v>
      </c>
      <c r="V34" s="168"/>
      <c r="W34" s="13"/>
    </row>
    <row r="35" spans="1:24">
      <c r="A35" s="21" t="s">
        <v>37</v>
      </c>
      <c r="B35" s="44" t="str">
        <f>IFERROR(HYPERLINK(VLOOKUP(A35,ÜRÜNLER!A:C,3,FALSE),VLOOKUP(A35,ÜRÜNLER!A:B,2,FALSE)),"")</f>
        <v>iQ500 Alttan Donduruculu Kulplu Buzdolabı, 75cm, Inox</v>
      </c>
      <c r="C35" s="8">
        <v>1</v>
      </c>
      <c r="D35" s="8"/>
      <c r="E35" s="9"/>
      <c r="F35" s="9">
        <v>2</v>
      </c>
      <c r="G35" s="10"/>
      <c r="H35" s="10"/>
      <c r="I35" s="11">
        <v>1</v>
      </c>
      <c r="J35" s="11">
        <v>1</v>
      </c>
      <c r="K35" s="10">
        <v>1</v>
      </c>
      <c r="L35" s="10">
        <v>3</v>
      </c>
      <c r="M35" s="11">
        <v>1</v>
      </c>
      <c r="N35" s="106">
        <f t="shared" si="0"/>
        <v>10</v>
      </c>
      <c r="O35" s="107">
        <v>21</v>
      </c>
      <c r="P35" s="95"/>
      <c r="Q35" s="45">
        <v>89337.569444670866</v>
      </c>
      <c r="R35" s="17">
        <v>84870.690972437325</v>
      </c>
      <c r="S35" s="12">
        <v>88265.518611334817</v>
      </c>
      <c r="T35" s="12">
        <v>91660.346250232309</v>
      </c>
      <c r="U35" s="167">
        <v>26744.546188856912</v>
      </c>
      <c r="V35" s="168"/>
      <c r="W35" s="13"/>
    </row>
    <row r="36" spans="1:24" s="19" customFormat="1">
      <c r="A36" s="21" t="s">
        <v>38</v>
      </c>
      <c r="B36" s="44" t="str">
        <f>IFERROR(HYPERLINK(VLOOKUP(A36,ÜRÜNLER!A:C,3,FALSE),VLOOKUP(A36,ÜRÜNLER!A:B,2,FALSE)),"")</f>
        <v>iQ500 Alttan Donduruculu Kulplu Buzdolabı, 75cm, Beyaz</v>
      </c>
      <c r="C36" s="8">
        <v>41</v>
      </c>
      <c r="D36" s="8"/>
      <c r="E36" s="9"/>
      <c r="F36" s="9"/>
      <c r="G36" s="10"/>
      <c r="H36" s="10"/>
      <c r="I36" s="11">
        <v>1</v>
      </c>
      <c r="J36" s="11"/>
      <c r="K36" s="10"/>
      <c r="L36" s="10">
        <v>1</v>
      </c>
      <c r="M36" s="11"/>
      <c r="N36" s="106">
        <f t="shared" si="0"/>
        <v>43</v>
      </c>
      <c r="O36" s="107">
        <v>1</v>
      </c>
      <c r="P36" s="95"/>
      <c r="Q36" s="45">
        <v>80897.295942227123</v>
      </c>
      <c r="R36" s="41">
        <v>75234.485226271223</v>
      </c>
      <c r="S36" s="157">
        <v>78243.864635322068</v>
      </c>
      <c r="T36" s="157">
        <v>81253.244044372928</v>
      </c>
      <c r="U36" s="167">
        <v>18955.435477110841</v>
      </c>
      <c r="V36" s="168"/>
      <c r="W36" s="13"/>
      <c r="X36" s="185"/>
    </row>
    <row r="37" spans="1:24">
      <c r="A37" s="111" t="s">
        <v>39</v>
      </c>
      <c r="B37" s="44" t="str">
        <f>IFERROR(HYPERLINK(VLOOKUP(A37,ÜRÜNLER!A:C,3,FALSE),VLOOKUP(A37,ÜRÜNLER!A:B,2,FALSE)),"")</f>
        <v>iQ500 Alttan Donduruculu Kulpsuz Buzdolabı, 75cm, darkSteel</v>
      </c>
      <c r="C37" s="8">
        <v>11</v>
      </c>
      <c r="D37" s="8"/>
      <c r="E37" s="9"/>
      <c r="F37" s="9"/>
      <c r="G37" s="10"/>
      <c r="H37" s="10"/>
      <c r="I37" s="11">
        <v>1</v>
      </c>
      <c r="J37" s="11">
        <v>1</v>
      </c>
      <c r="K37" s="10"/>
      <c r="L37" s="10"/>
      <c r="M37" s="11">
        <v>1</v>
      </c>
      <c r="N37" s="106">
        <f t="shared" si="0"/>
        <v>14</v>
      </c>
      <c r="O37" s="107">
        <v>119</v>
      </c>
      <c r="P37" s="95"/>
      <c r="Q37" s="45">
        <v>99433.899972588129</v>
      </c>
      <c r="R37" s="17">
        <v>94462.204973958724</v>
      </c>
      <c r="S37" s="12">
        <v>98240.693172917076</v>
      </c>
      <c r="T37" s="12">
        <v>102019.18137187543</v>
      </c>
      <c r="U37" s="167">
        <v>30980.411600495107</v>
      </c>
      <c r="V37" s="168"/>
      <c r="W37" s="13"/>
    </row>
    <row r="38" spans="1:24">
      <c r="A38" s="21" t="s">
        <v>40</v>
      </c>
      <c r="B38" s="44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/>
      <c r="G38" s="10">
        <v>1</v>
      </c>
      <c r="H38" s="10"/>
      <c r="I38" s="11">
        <v>1</v>
      </c>
      <c r="J38" s="11"/>
      <c r="K38" s="10"/>
      <c r="L38" s="10">
        <v>2</v>
      </c>
      <c r="M38" s="11"/>
      <c r="N38" s="106">
        <f t="shared" si="0"/>
        <v>41</v>
      </c>
      <c r="O38" s="107">
        <v>1</v>
      </c>
      <c r="P38" s="95"/>
      <c r="Q38" s="45">
        <v>80743.425892217376</v>
      </c>
      <c r="R38" s="41">
        <v>75091.38607976216</v>
      </c>
      <c r="S38" s="157">
        <v>78095.041522952641</v>
      </c>
      <c r="T38" s="157">
        <v>81098.696966143136</v>
      </c>
      <c r="U38" s="167">
        <v>19696.914264310399</v>
      </c>
      <c r="V38" s="168"/>
      <c r="W38" s="13"/>
    </row>
    <row r="39" spans="1:24">
      <c r="A39" s="21" t="s">
        <v>41</v>
      </c>
      <c r="B39" s="44" t="str">
        <f>IFERROR(HYPERLINK(VLOOKUP(A39,ÜRÜNLER!A:C,3,FALSE),VLOOKUP(A39,ÜRÜNLER!A:B,2,FALSE)),"")</f>
        <v>iQ300 Alttan Donduruculu Kulpsuz Buzdolabı, 75cm, Beyaz</v>
      </c>
      <c r="C39" s="8">
        <v>32</v>
      </c>
      <c r="D39" s="8"/>
      <c r="E39" s="9"/>
      <c r="F39" s="9"/>
      <c r="G39" s="10"/>
      <c r="H39" s="10"/>
      <c r="I39" s="11">
        <v>1</v>
      </c>
      <c r="J39" s="11">
        <v>1</v>
      </c>
      <c r="K39" s="10"/>
      <c r="L39" s="10"/>
      <c r="M39" s="11">
        <v>1</v>
      </c>
      <c r="N39" s="106">
        <f t="shared" si="0"/>
        <v>35</v>
      </c>
      <c r="O39" s="107">
        <v>1</v>
      </c>
      <c r="P39" s="95"/>
      <c r="Q39" s="45">
        <v>72507.334385134804</v>
      </c>
      <c r="R39" s="17">
        <v>68881.967665878066</v>
      </c>
      <c r="S39" s="12">
        <v>71637.246372513182</v>
      </c>
      <c r="T39" s="12">
        <v>74392.525079148312</v>
      </c>
      <c r="U39" s="167">
        <v>20821.287873506895</v>
      </c>
      <c r="V39" s="168"/>
      <c r="W39" s="13"/>
    </row>
    <row r="40" spans="1:24">
      <c r="A40" s="21" t="s">
        <v>42</v>
      </c>
      <c r="B40" s="44" t="str">
        <f>IFERROR(HYPERLINK(VLOOKUP(A40,ÜRÜNLER!A:C,3,FALSE),VLOOKUP(A40,ÜRÜNLER!A:B,2,FALSE)),"")</f>
        <v>iQ700 Alttan Donduruculu Kulplu Buzdolabı, 75cm, Inox</v>
      </c>
      <c r="C40" s="8">
        <v>47</v>
      </c>
      <c r="D40" s="8"/>
      <c r="E40" s="9">
        <v>2</v>
      </c>
      <c r="F40" s="9">
        <v>1</v>
      </c>
      <c r="G40" s="10"/>
      <c r="H40" s="10"/>
      <c r="I40" s="11">
        <v>1</v>
      </c>
      <c r="J40" s="11">
        <v>1</v>
      </c>
      <c r="K40" s="10"/>
      <c r="L40" s="10"/>
      <c r="M40" s="11">
        <v>1</v>
      </c>
      <c r="N40" s="106">
        <f t="shared" si="0"/>
        <v>53</v>
      </c>
      <c r="O40" s="107">
        <v>1</v>
      </c>
      <c r="P40" s="95"/>
      <c r="Q40" s="45">
        <v>93563.754304094517</v>
      </c>
      <c r="R40" s="17">
        <v>88885.566588889793</v>
      </c>
      <c r="S40" s="12">
        <v>92440.98925244539</v>
      </c>
      <c r="T40" s="12">
        <v>95996.411916000972</v>
      </c>
      <c r="U40" s="167">
        <v>18924.219420373571</v>
      </c>
      <c r="V40" s="168"/>
      <c r="W40" s="13"/>
    </row>
    <row r="41" spans="1:24">
      <c r="A41" s="21" t="s">
        <v>43</v>
      </c>
      <c r="B41" s="44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10"/>
      <c r="H41" s="10"/>
      <c r="I41" s="11">
        <v>1</v>
      </c>
      <c r="J41" s="11"/>
      <c r="K41" s="10">
        <v>1</v>
      </c>
      <c r="L41" s="10">
        <v>3</v>
      </c>
      <c r="M41" s="11"/>
      <c r="N41" s="106">
        <f t="shared" si="0"/>
        <v>38</v>
      </c>
      <c r="O41" s="107">
        <v>1</v>
      </c>
      <c r="P41" s="96"/>
      <c r="Q41" s="45">
        <v>85858.484053583932</v>
      </c>
      <c r="R41" s="41">
        <v>79848.390169833059</v>
      </c>
      <c r="S41" s="157">
        <v>83042.325776626385</v>
      </c>
      <c r="T41" s="157">
        <v>86236.261383419711</v>
      </c>
      <c r="U41" s="167">
        <v>16428.25149544439</v>
      </c>
      <c r="V41" s="168"/>
      <c r="W41" s="13"/>
    </row>
    <row r="42" spans="1:24" s="19" customFormat="1">
      <c r="A42" s="20" t="s">
        <v>44</v>
      </c>
      <c r="B42" s="44" t="str">
        <f>IFERROR(HYPERLINK(VLOOKUP(A42,ÜRÜNLER!A:C,3,FALSE),VLOOKUP(A42,ÜRÜNLER!A:B,2,FALSE)),"")</f>
        <v>iQ500 Alttan Donduruculu Kulplu Buzdolabı, 86cm, Inox</v>
      </c>
      <c r="C42" s="8">
        <v>121</v>
      </c>
      <c r="D42" s="8"/>
      <c r="E42" s="9">
        <v>1</v>
      </c>
      <c r="F42" s="9">
        <v>2</v>
      </c>
      <c r="G42" s="10"/>
      <c r="H42" s="10"/>
      <c r="I42" s="11">
        <v>1</v>
      </c>
      <c r="J42" s="11">
        <v>1</v>
      </c>
      <c r="K42" s="10">
        <v>1</v>
      </c>
      <c r="L42" s="10">
        <v>1</v>
      </c>
      <c r="M42" s="11">
        <v>1</v>
      </c>
      <c r="N42" s="106">
        <f t="shared" si="0"/>
        <v>129</v>
      </c>
      <c r="O42" s="107">
        <v>1</v>
      </c>
      <c r="P42" s="95"/>
      <c r="Q42" s="45">
        <v>104311.67380670749</v>
      </c>
      <c r="R42" s="41">
        <v>97009.856640237966</v>
      </c>
      <c r="S42" s="157">
        <v>100890.25090584748</v>
      </c>
      <c r="T42" s="157">
        <v>104770.645171457</v>
      </c>
      <c r="U42" s="167">
        <v>37486.092411358652</v>
      </c>
      <c r="V42" s="168"/>
      <c r="W42" s="13"/>
      <c r="X42" s="185"/>
    </row>
    <row r="43" spans="1:24" s="19" customFormat="1">
      <c r="A43" s="21" t="s">
        <v>45</v>
      </c>
      <c r="B43" s="44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/>
      <c r="N43" s="106">
        <f t="shared" si="0"/>
        <v>14</v>
      </c>
      <c r="O43" s="107">
        <v>1</v>
      </c>
      <c r="P43" s="96"/>
      <c r="Q43" s="45">
        <v>89598.547283956679</v>
      </c>
      <c r="R43" s="17">
        <v>85118.619919758843</v>
      </c>
      <c r="S43" s="12">
        <v>88523.3647165492</v>
      </c>
      <c r="T43" s="12">
        <v>91928.109513339557</v>
      </c>
      <c r="U43" s="167">
        <v>26272.96588860784</v>
      </c>
      <c r="V43" s="168"/>
      <c r="W43" s="13"/>
      <c r="X43" s="185"/>
    </row>
    <row r="44" spans="1:24" s="19" customFormat="1">
      <c r="A44" s="21" t="s">
        <v>46</v>
      </c>
      <c r="B44" s="44" t="str">
        <f>IFERROR(HYPERLINK(VLOOKUP(A44,ÜRÜNLER!A:C,3,FALSE),VLOOKUP(A44,ÜRÜNLER!A:B,2,FALSE)),"")</f>
        <v>iQ500 Alttan Donduruculu Kulpsuz Buzdolabı, 86cm, Beyaz</v>
      </c>
      <c r="C44" s="8">
        <v>42</v>
      </c>
      <c r="D44" s="8"/>
      <c r="E44" s="9"/>
      <c r="F44" s="9">
        <v>1</v>
      </c>
      <c r="G44" s="10"/>
      <c r="H44" s="10"/>
      <c r="I44" s="11"/>
      <c r="J44" s="11">
        <v>1</v>
      </c>
      <c r="K44" s="10"/>
      <c r="L44" s="10"/>
      <c r="M44" s="11"/>
      <c r="N44" s="106">
        <f t="shared" si="0"/>
        <v>44</v>
      </c>
      <c r="O44" s="107">
        <v>1</v>
      </c>
      <c r="P44" s="95"/>
      <c r="Q44" s="45">
        <v>79438.432781814583</v>
      </c>
      <c r="R44" s="17">
        <v>75466.511142723859</v>
      </c>
      <c r="S44" s="12">
        <v>78485.171588432815</v>
      </c>
      <c r="T44" s="12">
        <v>81503.832034141771</v>
      </c>
      <c r="U44" s="167">
        <v>18147.73510739598</v>
      </c>
      <c r="V44" s="168"/>
      <c r="W44" s="13"/>
      <c r="X44" s="185"/>
    </row>
    <row r="45" spans="1:24" s="19" customFormat="1">
      <c r="A45" s="111" t="s">
        <v>47</v>
      </c>
      <c r="B45" s="44" t="str">
        <f>IFERROR(HYPERLINK(VLOOKUP(A45,ÜRÜNLER!A:C,3,FALSE),VLOOKUP(A45,ÜRÜNLER!A:B,2,FALSE)),"")</f>
        <v>iQ700 Alttan Donduruculu Kulpsuz Buzdolabı, 86cm, darkSteel</v>
      </c>
      <c r="C45" s="8">
        <v>43</v>
      </c>
      <c r="D45" s="8"/>
      <c r="E45" s="9"/>
      <c r="F45" s="9">
        <v>1</v>
      </c>
      <c r="G45" s="10"/>
      <c r="H45" s="10"/>
      <c r="I45" s="11">
        <v>1</v>
      </c>
      <c r="J45" s="11"/>
      <c r="K45" s="10"/>
      <c r="L45" s="10"/>
      <c r="M45" s="11">
        <v>1</v>
      </c>
      <c r="N45" s="106">
        <f t="shared" si="0"/>
        <v>46</v>
      </c>
      <c r="O45" s="107">
        <v>21</v>
      </c>
      <c r="P45" s="95"/>
      <c r="Q45" s="45">
        <v>119402.30490978497</v>
      </c>
      <c r="R45" s="17">
        <v>113432.18966429573</v>
      </c>
      <c r="S45" s="12">
        <v>117969.47725086755</v>
      </c>
      <c r="T45" s="12">
        <v>122506.76483743939</v>
      </c>
      <c r="U45" s="167">
        <v>36053.467700482637</v>
      </c>
      <c r="V45" s="168"/>
      <c r="W45" s="13"/>
      <c r="X45" s="185"/>
    </row>
    <row r="46" spans="1:24" s="19" customFormat="1">
      <c r="A46" s="21" t="s">
        <v>48</v>
      </c>
      <c r="B46" s="44" t="str">
        <f>IFERROR(HYPERLINK(VLOOKUP(A46,ÜRÜNLER!A:C,3,FALSE),VLOOKUP(A46,ÜRÜNLER!A:B,2,FALSE)),"")</f>
        <v>iQ700 Alttan Donduruculu Kulplu Buzdolabı, 86cm, Inox</v>
      </c>
      <c r="C46" s="8">
        <v>2</v>
      </c>
      <c r="D46" s="8"/>
      <c r="E46" s="9"/>
      <c r="F46" s="9"/>
      <c r="G46" s="10"/>
      <c r="H46" s="10"/>
      <c r="I46" s="11"/>
      <c r="J46" s="11"/>
      <c r="K46" s="10"/>
      <c r="L46" s="10"/>
      <c r="M46" s="11"/>
      <c r="N46" s="106">
        <f t="shared" si="0"/>
        <v>2</v>
      </c>
      <c r="O46" s="107"/>
      <c r="P46" s="95"/>
      <c r="Q46" s="65" t="s">
        <v>1788</v>
      </c>
      <c r="R46" s="18">
        <v>80000</v>
      </c>
      <c r="S46" s="12">
        <v>83200</v>
      </c>
      <c r="T46" s="12">
        <v>86400</v>
      </c>
      <c r="U46" s="167"/>
      <c r="V46" s="168"/>
      <c r="W46" s="13"/>
      <c r="X46" s="185"/>
    </row>
    <row r="47" spans="1:24" s="19" customFormat="1">
      <c r="A47" s="21" t="s">
        <v>49</v>
      </c>
      <c r="B47" s="44" t="str">
        <f>IFERROR(HYPERLINK(VLOOKUP(A47,ÜRÜNLER!A:C,3,FALSE),VLOOKUP(A47,ÜRÜNLER!A:B,2,FALSE)),"")</f>
        <v>iQ700 Alttan Donduruculu Kulplu Buzdolabı, 86cm, Inox</v>
      </c>
      <c r="C47" s="8">
        <v>146</v>
      </c>
      <c r="D47" s="8"/>
      <c r="E47" s="9"/>
      <c r="F47" s="9">
        <v>4</v>
      </c>
      <c r="G47" s="10"/>
      <c r="H47" s="10"/>
      <c r="I47" s="11">
        <v>1</v>
      </c>
      <c r="J47" s="11"/>
      <c r="K47" s="10">
        <v>1</v>
      </c>
      <c r="L47" s="10">
        <v>1</v>
      </c>
      <c r="M47" s="11">
        <v>1</v>
      </c>
      <c r="N47" s="106">
        <f t="shared" si="0"/>
        <v>154</v>
      </c>
      <c r="O47" s="107">
        <v>1</v>
      </c>
      <c r="P47" s="96"/>
      <c r="Q47" s="45">
        <v>113812.0276797781</v>
      </c>
      <c r="R47" s="41">
        <v>105845.18574219363</v>
      </c>
      <c r="S47" s="157">
        <v>110078.99317188138</v>
      </c>
      <c r="T47" s="157">
        <v>114312.80060156912</v>
      </c>
      <c r="U47" s="167">
        <v>36323.65558675483</v>
      </c>
      <c r="V47" s="168"/>
      <c r="W47" s="13"/>
      <c r="X47" s="185"/>
    </row>
    <row r="48" spans="1:24">
      <c r="A48" s="21" t="s">
        <v>50</v>
      </c>
      <c r="B48" s="44" t="str">
        <f>IFERROR(HYPERLINK(VLOOKUP(A48,ÜRÜNLER!A:C,3,FALSE),VLOOKUP(A48,ÜRÜNLER!A:B,2,FALSE)),"")</f>
        <v>iQ700 Alttan Donduruculu Kulplu Buzdolabı, 86cm, Beyaz</v>
      </c>
      <c r="C48" s="8">
        <v>60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06">
        <f t="shared" si="0"/>
        <v>63</v>
      </c>
      <c r="O48" s="107">
        <v>1</v>
      </c>
      <c r="P48" s="95"/>
      <c r="Q48" s="45">
        <v>102827.95689172141</v>
      </c>
      <c r="R48" s="41">
        <v>95629.99990930091</v>
      </c>
      <c r="S48" s="157">
        <v>99455.19990567294</v>
      </c>
      <c r="T48" s="157">
        <v>103280.39990204498</v>
      </c>
      <c r="U48" s="167">
        <v>31688.42200800046</v>
      </c>
      <c r="V48" s="168"/>
      <c r="W48" s="13"/>
    </row>
    <row r="49" spans="1:25" ht="37.5" customHeight="1">
      <c r="A49" s="47" t="s">
        <v>1496</v>
      </c>
      <c r="B49" s="44" t="str">
        <f>IFERROR(HYPERLINK(VLOOKUP(A49,ÜRÜNLER!A:C,3,FALSE),VLOOKUP(A49,ÜRÜNLER!A:B,2,FALSE)),"")</f>
        <v/>
      </c>
      <c r="C49" s="8"/>
      <c r="D49" s="8"/>
      <c r="E49" s="9"/>
      <c r="F49" s="9"/>
      <c r="G49" s="10"/>
      <c r="H49" s="10"/>
      <c r="I49" s="11"/>
      <c r="J49" s="11"/>
      <c r="K49" s="10"/>
      <c r="L49" s="10"/>
      <c r="M49" s="11"/>
      <c r="N49" s="106">
        <f>SUM(N2:N48)</f>
        <v>1129</v>
      </c>
      <c r="O49" s="107">
        <f>SUM(O2:O48)</f>
        <v>295</v>
      </c>
      <c r="P49" s="9"/>
      <c r="Q49" s="65"/>
      <c r="R49" s="13"/>
      <c r="S49" s="12"/>
      <c r="T49" s="12"/>
      <c r="U49" s="167"/>
      <c r="V49" s="168"/>
      <c r="W49" s="13"/>
    </row>
    <row r="50" spans="1:25">
      <c r="A50" s="21" t="s">
        <v>51</v>
      </c>
      <c r="B50" s="44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10"/>
      <c r="H50" s="10"/>
      <c r="I50" s="11"/>
      <c r="J50" s="11"/>
      <c r="K50" s="10"/>
      <c r="L50" s="10"/>
      <c r="M50" s="11"/>
      <c r="N50" s="106">
        <f t="shared" ref="N50:N59" si="1">M50+K50+L50+J50+I50+H50+G50+F50+E50+D50+C50</f>
        <v>97</v>
      </c>
      <c r="O50" s="107"/>
      <c r="P50" s="95" t="s">
        <v>1545</v>
      </c>
      <c r="Q50" s="45">
        <v>24592.564804472826</v>
      </c>
      <c r="R50" s="17">
        <v>23000</v>
      </c>
      <c r="S50" s="12">
        <v>23920</v>
      </c>
      <c r="T50" s="12">
        <v>24840</v>
      </c>
      <c r="U50" s="167"/>
      <c r="V50" s="168"/>
      <c r="W50" s="13"/>
    </row>
    <row r="51" spans="1:25">
      <c r="A51" s="21" t="s">
        <v>52</v>
      </c>
      <c r="B51" s="44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10"/>
      <c r="H51" s="10"/>
      <c r="I51" s="11"/>
      <c r="J51" s="11"/>
      <c r="K51" s="10"/>
      <c r="L51" s="10">
        <v>1</v>
      </c>
      <c r="M51" s="11"/>
      <c r="N51" s="106">
        <f t="shared" si="1"/>
        <v>2</v>
      </c>
      <c r="O51" s="107"/>
      <c r="P51" s="95" t="s">
        <v>1545</v>
      </c>
      <c r="Q51" s="65" t="s">
        <v>1788</v>
      </c>
      <c r="R51" s="18">
        <v>20000</v>
      </c>
      <c r="S51" s="12">
        <v>20800</v>
      </c>
      <c r="T51" s="12">
        <v>21600</v>
      </c>
      <c r="U51" s="167"/>
      <c r="V51" s="168"/>
      <c r="W51" s="182">
        <v>500</v>
      </c>
    </row>
    <row r="52" spans="1:25">
      <c r="A52" s="112" t="s">
        <v>53</v>
      </c>
      <c r="B52" s="44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14</v>
      </c>
      <c r="O52" s="107"/>
      <c r="P52" s="95" t="s">
        <v>1545</v>
      </c>
      <c r="Q52" s="45">
        <v>37824.325084093936</v>
      </c>
      <c r="R52" s="186">
        <v>39715.54133829863</v>
      </c>
      <c r="S52" s="12">
        <v>41304.162991830577</v>
      </c>
      <c r="T52" s="12">
        <v>42892.784645362517</v>
      </c>
      <c r="U52" s="167"/>
      <c r="V52" s="168"/>
      <c r="W52" s="13"/>
      <c r="Y52" s="185">
        <v>41200</v>
      </c>
    </row>
    <row r="53" spans="1:25">
      <c r="A53" s="112" t="s">
        <v>54</v>
      </c>
      <c r="B53" s="44" t="str">
        <f>IFERROR(HYPERLINK(VLOOKUP(A53,ÜRÜNLER!A:C,3,FALSE),VLOOKUP(A53,ÜRÜNLER!A:B,2,FALSE)),"")</f>
        <v>iQ300 Derin Dondurucu, 161x60cm, Statik, Beyaz</v>
      </c>
      <c r="C53" s="8">
        <v>107</v>
      </c>
      <c r="D53" s="8"/>
      <c r="E53" s="9"/>
      <c r="F53" s="9">
        <v>2</v>
      </c>
      <c r="G53" s="10"/>
      <c r="H53" s="10"/>
      <c r="I53" s="11">
        <v>1</v>
      </c>
      <c r="J53" s="11"/>
      <c r="K53" s="10">
        <v>1</v>
      </c>
      <c r="L53" s="10"/>
      <c r="M53" s="11"/>
      <c r="N53" s="106">
        <f t="shared" si="1"/>
        <v>111</v>
      </c>
      <c r="O53" s="107"/>
      <c r="P53" s="95" t="s">
        <v>1545</v>
      </c>
      <c r="Q53" s="45">
        <v>25437.803391758665</v>
      </c>
      <c r="R53" s="186">
        <v>26709.693561346598</v>
      </c>
      <c r="S53" s="12">
        <v>27778.08130380046</v>
      </c>
      <c r="T53" s="12">
        <v>28846.469046254326</v>
      </c>
      <c r="U53" s="167"/>
      <c r="V53" s="168"/>
      <c r="W53" s="13"/>
      <c r="Y53" s="185">
        <v>28200</v>
      </c>
    </row>
    <row r="54" spans="1:25">
      <c r="A54" s="112" t="s">
        <v>55</v>
      </c>
      <c r="B54" s="44" t="str">
        <f>IFERROR(HYPERLINK(VLOOKUP(A54,ÜRÜNLER!A:C,3,FALSE),VLOOKUP(A54,ÜRÜNLER!A:B,2,FALSE)),"")</f>
        <v>iQ300 Derin Dondurucu, 176x60cm, Statik, Inox</v>
      </c>
      <c r="C54" s="8">
        <v>97</v>
      </c>
      <c r="D54" s="8"/>
      <c r="E54" s="9">
        <v>2</v>
      </c>
      <c r="F54" s="9">
        <v>5</v>
      </c>
      <c r="G54" s="10"/>
      <c r="H54" s="10"/>
      <c r="I54" s="11">
        <v>1</v>
      </c>
      <c r="J54" s="11"/>
      <c r="K54" s="10"/>
      <c r="L54" s="10">
        <v>1</v>
      </c>
      <c r="M54" s="11">
        <v>1</v>
      </c>
      <c r="N54" s="106">
        <f t="shared" si="1"/>
        <v>107</v>
      </c>
      <c r="O54" s="107"/>
      <c r="P54" s="95" t="s">
        <v>1545</v>
      </c>
      <c r="Q54" s="45">
        <v>31580.842639611688</v>
      </c>
      <c r="R54" s="186">
        <v>33159.884771592275</v>
      </c>
      <c r="S54" s="12">
        <v>34486.280162455965</v>
      </c>
      <c r="T54" s="12">
        <v>35812.675553319656</v>
      </c>
      <c r="U54" s="167"/>
      <c r="V54" s="168"/>
      <c r="W54" s="13"/>
      <c r="Y54" s="185">
        <v>35100</v>
      </c>
    </row>
    <row r="55" spans="1:25">
      <c r="A55" s="112" t="s">
        <v>56</v>
      </c>
      <c r="B55" s="44" t="str">
        <f>IFERROR(HYPERLINK(VLOOKUP(A55,ÜRÜNLER!A:C,3,FALSE),VLOOKUP(A55,ÜRÜNLER!A:B,2,FALSE)),"")</f>
        <v>iQ300 Derin Dondurucu, 176x60cm, Statik, Beyaz</v>
      </c>
      <c r="C55" s="8">
        <v>117</v>
      </c>
      <c r="D55" s="8"/>
      <c r="E55" s="9">
        <v>5</v>
      </c>
      <c r="F55" s="9">
        <v>1</v>
      </c>
      <c r="G55" s="10"/>
      <c r="H55" s="10"/>
      <c r="I55" s="11">
        <v>1</v>
      </c>
      <c r="J55" s="11">
        <v>1</v>
      </c>
      <c r="K55" s="10"/>
      <c r="L55" s="10"/>
      <c r="M55" s="11"/>
      <c r="N55" s="106">
        <f t="shared" si="1"/>
        <v>125</v>
      </c>
      <c r="O55" s="107"/>
      <c r="P55" s="95" t="s">
        <v>1545</v>
      </c>
      <c r="Q55" s="45">
        <v>28432.702244249125</v>
      </c>
      <c r="R55" s="186">
        <v>29854.337356461583</v>
      </c>
      <c r="S55" s="12">
        <v>31048.510850720046</v>
      </c>
      <c r="T55" s="12">
        <v>32242.684344978508</v>
      </c>
      <c r="U55" s="167"/>
      <c r="V55" s="168"/>
      <c r="W55" s="13"/>
      <c r="Y55" s="185">
        <v>31600</v>
      </c>
    </row>
    <row r="56" spans="1:25">
      <c r="A56" s="112" t="s">
        <v>1332</v>
      </c>
      <c r="B56" s="44" t="str">
        <f>IFERROR(HYPERLINK(VLOOKUP(A56,ÜRÜNLER!A:C,3,FALSE),VLOOKUP(A56,ÜRÜNLER!A:B,2,FALSE)),"")</f>
        <v>iQ300 Derin Dondurucu, 186x60cm, No-Frost, Inox</v>
      </c>
      <c r="C56" s="8">
        <v>12</v>
      </c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 t="shared" si="1"/>
        <v>12</v>
      </c>
      <c r="O56" s="107"/>
      <c r="P56" s="95" t="s">
        <v>1545</v>
      </c>
      <c r="Q56" s="45">
        <v>34578.68292151163</v>
      </c>
      <c r="R56" s="186">
        <v>36307.617067587213</v>
      </c>
      <c r="S56" s="12">
        <v>37759.921750290698</v>
      </c>
      <c r="T56" s="12">
        <v>39212.22643299419</v>
      </c>
      <c r="U56" s="167"/>
      <c r="V56" s="168"/>
      <c r="W56" s="13"/>
      <c r="Y56" s="185">
        <v>38800</v>
      </c>
    </row>
    <row r="57" spans="1:25">
      <c r="A57" s="76" t="s">
        <v>57</v>
      </c>
      <c r="B57" s="44" t="str">
        <f>IFERROR(HYPERLINK(VLOOKUP(A57,ÜRÜNLER!A:C,3,FALSE),VLOOKUP(A57,ÜRÜNLER!A:B,2,FALSE)),"")</f>
        <v>iQ300 Derin Dondurucu, 186x60cm, No-Frost Inox</v>
      </c>
      <c r="C57" s="8"/>
      <c r="D57" s="8"/>
      <c r="E57" s="9"/>
      <c r="F57" s="9">
        <v>1</v>
      </c>
      <c r="G57" s="10"/>
      <c r="H57" s="10"/>
      <c r="I57" s="11"/>
      <c r="J57" s="11"/>
      <c r="K57" s="10"/>
      <c r="L57" s="10"/>
      <c r="M57" s="11"/>
      <c r="N57" s="106">
        <f t="shared" si="1"/>
        <v>1</v>
      </c>
      <c r="O57" s="107"/>
      <c r="P57" s="95" t="s">
        <v>1545</v>
      </c>
      <c r="Q57" s="65" t="s">
        <v>1788</v>
      </c>
      <c r="R57" s="18">
        <v>37000</v>
      </c>
      <c r="S57" s="12">
        <v>38480</v>
      </c>
      <c r="T57" s="12">
        <v>39960</v>
      </c>
      <c r="U57" s="167"/>
      <c r="V57" s="168"/>
      <c r="W57" s="182">
        <v>500</v>
      </c>
      <c r="Y57" s="185"/>
    </row>
    <row r="58" spans="1:25">
      <c r="A58" s="112" t="s">
        <v>58</v>
      </c>
      <c r="B58" s="44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10"/>
      <c r="H58" s="10"/>
      <c r="I58" s="11"/>
      <c r="J58" s="11"/>
      <c r="K58" s="10"/>
      <c r="L58" s="10">
        <v>1</v>
      </c>
      <c r="M58" s="11"/>
      <c r="N58" s="106">
        <f t="shared" si="1"/>
        <v>1</v>
      </c>
      <c r="O58" s="107"/>
      <c r="P58" s="95" t="s">
        <v>1545</v>
      </c>
      <c r="Q58" s="65" t="s">
        <v>1788</v>
      </c>
      <c r="R58" s="18">
        <v>30000</v>
      </c>
      <c r="S58" s="12">
        <v>31200</v>
      </c>
      <c r="T58" s="12">
        <v>32400</v>
      </c>
      <c r="U58" s="167"/>
      <c r="V58" s="168"/>
      <c r="W58" s="182">
        <v>500</v>
      </c>
      <c r="Y58" s="185"/>
    </row>
    <row r="59" spans="1:25">
      <c r="A59" s="76" t="s">
        <v>59</v>
      </c>
      <c r="B59" s="44" t="str">
        <f>IFERROR(HYPERLINK(VLOOKUP(A59,ÜRÜNLER!A:C,3,FALSE),VLOOKUP(A59,ÜRÜNLER!A:B,2,FALSE)),"")</f>
        <v>iQ300 Derin Dondurucu, 176x70cm, No-Frost, Beyaz</v>
      </c>
      <c r="C59" s="8">
        <v>75</v>
      </c>
      <c r="D59" s="8"/>
      <c r="E59" s="9">
        <v>3</v>
      </c>
      <c r="F59" s="9">
        <v>1</v>
      </c>
      <c r="G59" s="10"/>
      <c r="H59" s="10"/>
      <c r="I59" s="11"/>
      <c r="J59" s="11"/>
      <c r="K59" s="10"/>
      <c r="L59" s="10"/>
      <c r="M59" s="11"/>
      <c r="N59" s="106">
        <f t="shared" si="1"/>
        <v>79</v>
      </c>
      <c r="O59" s="107"/>
      <c r="P59" s="95" t="s">
        <v>1545</v>
      </c>
      <c r="Q59" s="45">
        <v>41328.219470344258</v>
      </c>
      <c r="R59" s="186">
        <v>43394.630443861468</v>
      </c>
      <c r="S59" s="12">
        <v>45130.415661615923</v>
      </c>
      <c r="T59" s="12">
        <v>46866.200879370386</v>
      </c>
      <c r="U59" s="167"/>
      <c r="V59" s="168"/>
      <c r="W59" s="13"/>
      <c r="Y59" s="185">
        <v>45100</v>
      </c>
    </row>
    <row r="60" spans="1:25" ht="36" customHeight="1">
      <c r="A60" s="47" t="s">
        <v>1497</v>
      </c>
      <c r="B60" s="44" t="str">
        <f>IFERROR(HYPERLINK(VLOOKUP(A60,ÜRÜNLER!A:C,3,FALSE),VLOOKUP(A60,ÜRÜNLER!A:B,2,FALSE)),"")</f>
        <v/>
      </c>
      <c r="C60" s="8"/>
      <c r="D60" s="8"/>
      <c r="E60" s="9"/>
      <c r="F60" s="9"/>
      <c r="G60" s="10"/>
      <c r="H60" s="10"/>
      <c r="I60" s="11"/>
      <c r="J60" s="11"/>
      <c r="K60" s="10"/>
      <c r="L60" s="10"/>
      <c r="M60" s="11"/>
      <c r="N60" s="106">
        <f>SUM(N50:N59)</f>
        <v>549</v>
      </c>
      <c r="O60" s="107"/>
      <c r="P60" s="9"/>
      <c r="Q60" s="65"/>
      <c r="R60" s="13"/>
      <c r="S60" s="12"/>
      <c r="T60" s="12"/>
      <c r="U60" s="167"/>
      <c r="V60" s="168"/>
      <c r="W60" s="13"/>
    </row>
    <row r="61" spans="1:25">
      <c r="A61" s="21" t="s">
        <v>60</v>
      </c>
      <c r="B61" s="44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10"/>
      <c r="H61" s="10">
        <v>1</v>
      </c>
      <c r="I61" s="11"/>
      <c r="J61" s="11"/>
      <c r="K61" s="10"/>
      <c r="L61" s="10"/>
      <c r="M61" s="11"/>
      <c r="N61" s="106">
        <f t="shared" ref="N61:N74" si="2">M61+K61+L61+J61+I61+H61+G61+F61+E61+D61+C61</f>
        <v>5</v>
      </c>
      <c r="O61" s="107"/>
      <c r="P61" s="95"/>
      <c r="Q61" s="159">
        <v>320728.45808950713</v>
      </c>
      <c r="R61" s="159">
        <v>288655.61228055641</v>
      </c>
      <c r="S61" s="12">
        <v>300201.83677177865</v>
      </c>
      <c r="T61" s="12">
        <v>311748.06126300094</v>
      </c>
      <c r="U61" s="167"/>
      <c r="V61" s="168"/>
      <c r="W61" s="13">
        <v>250</v>
      </c>
    </row>
    <row r="62" spans="1:25">
      <c r="A62" s="21" t="s">
        <v>61</v>
      </c>
      <c r="B62" s="44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10"/>
      <c r="H62" s="10">
        <v>1</v>
      </c>
      <c r="I62" s="11"/>
      <c r="J62" s="11"/>
      <c r="K62" s="10"/>
      <c r="L62" s="10"/>
      <c r="M62" s="11"/>
      <c r="N62" s="106">
        <f t="shared" si="2"/>
        <v>3</v>
      </c>
      <c r="O62" s="107"/>
      <c r="P62" s="95"/>
      <c r="Q62" s="65" t="s">
        <v>1788</v>
      </c>
      <c r="R62" s="159">
        <v>350000</v>
      </c>
      <c r="S62" s="12">
        <v>364000</v>
      </c>
      <c r="T62" s="12">
        <v>378000</v>
      </c>
      <c r="U62" s="167"/>
      <c r="V62" s="168"/>
      <c r="W62" s="13">
        <v>250</v>
      </c>
    </row>
    <row r="63" spans="1:25">
      <c r="A63" s="114" t="s">
        <v>62</v>
      </c>
      <c r="B63" s="44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10">
        <v>1</v>
      </c>
      <c r="H63" s="10"/>
      <c r="I63" s="11"/>
      <c r="J63" s="11">
        <v>1</v>
      </c>
      <c r="K63" s="10"/>
      <c r="L63" s="10"/>
      <c r="M63" s="11"/>
      <c r="N63" s="106">
        <f t="shared" si="2"/>
        <v>7</v>
      </c>
      <c r="O63" s="107"/>
      <c r="P63" s="95"/>
      <c r="Q63" s="65" t="s">
        <v>1788</v>
      </c>
      <c r="R63" s="159">
        <v>375000</v>
      </c>
      <c r="S63" s="12">
        <v>390000</v>
      </c>
      <c r="T63" s="12">
        <v>405000</v>
      </c>
      <c r="U63" s="167"/>
      <c r="V63" s="168"/>
      <c r="W63" s="13">
        <v>250</v>
      </c>
    </row>
    <row r="64" spans="1:25">
      <c r="A64" s="21" t="s">
        <v>63</v>
      </c>
      <c r="B64" s="44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10"/>
      <c r="H64" s="10">
        <v>1</v>
      </c>
      <c r="I64" s="11"/>
      <c r="J64" s="11"/>
      <c r="K64" s="10"/>
      <c r="L64" s="10">
        <v>1</v>
      </c>
      <c r="M64" s="11"/>
      <c r="N64" s="106">
        <f t="shared" si="2"/>
        <v>3</v>
      </c>
      <c r="O64" s="107"/>
      <c r="P64" s="95"/>
      <c r="Q64" s="65" t="s">
        <v>1788</v>
      </c>
      <c r="R64" s="159">
        <v>300000</v>
      </c>
      <c r="S64" s="12">
        <v>312000</v>
      </c>
      <c r="T64" s="12">
        <v>324000</v>
      </c>
      <c r="U64" s="167"/>
      <c r="V64" s="168"/>
      <c r="W64" s="182">
        <v>1000</v>
      </c>
    </row>
    <row r="65" spans="1:24">
      <c r="A65" s="114" t="s">
        <v>64</v>
      </c>
      <c r="B65" s="44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10"/>
      <c r="H65" s="10"/>
      <c r="I65" s="11"/>
      <c r="J65" s="11">
        <v>1</v>
      </c>
      <c r="K65" s="10"/>
      <c r="L65" s="10">
        <v>1</v>
      </c>
      <c r="M65" s="11"/>
      <c r="N65" s="106">
        <f t="shared" si="2"/>
        <v>3</v>
      </c>
      <c r="O65" s="107"/>
      <c r="P65" s="95"/>
      <c r="Q65" s="65" t="s">
        <v>1788</v>
      </c>
      <c r="R65" s="159">
        <v>250000</v>
      </c>
      <c r="S65" s="12">
        <v>260000</v>
      </c>
      <c r="T65" s="12">
        <v>270000</v>
      </c>
      <c r="U65" s="167"/>
      <c r="V65" s="168"/>
      <c r="W65" s="182">
        <v>1000</v>
      </c>
    </row>
    <row r="66" spans="1:24">
      <c r="A66" s="114" t="s">
        <v>65</v>
      </c>
      <c r="B66" s="44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10"/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45">
        <v>323156.50178004295</v>
      </c>
      <c r="R66" s="17">
        <v>306998.6766910408</v>
      </c>
      <c r="S66" s="12">
        <v>319278.62375868246</v>
      </c>
      <c r="T66" s="12">
        <v>331558.57082632405</v>
      </c>
      <c r="U66" s="167"/>
      <c r="V66" s="168"/>
      <c r="W66" s="13"/>
    </row>
    <row r="67" spans="1:24">
      <c r="A67" s="114" t="s">
        <v>66</v>
      </c>
      <c r="B67" s="44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06">
        <f t="shared" si="2"/>
        <v>0</v>
      </c>
      <c r="O67" s="107">
        <v>3</v>
      </c>
      <c r="P67" s="95"/>
      <c r="Q67" s="45">
        <v>66893.157793042163</v>
      </c>
      <c r="R67" s="17">
        <v>63548.499903390053</v>
      </c>
      <c r="S67" s="12">
        <v>66090.439899525649</v>
      </c>
      <c r="T67" s="12">
        <v>68632.379895661259</v>
      </c>
      <c r="U67" s="167"/>
      <c r="V67" s="168"/>
      <c r="W67" s="13"/>
    </row>
    <row r="68" spans="1:24">
      <c r="A68" s="114" t="s">
        <v>67</v>
      </c>
      <c r="B68" s="44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10"/>
      <c r="H68" s="10"/>
      <c r="I68" s="11"/>
      <c r="J68" s="11">
        <v>1</v>
      </c>
      <c r="K68" s="10"/>
      <c r="L68" s="10"/>
      <c r="M68" s="11">
        <v>1</v>
      </c>
      <c r="N68" s="106">
        <f t="shared" si="2"/>
        <v>2</v>
      </c>
      <c r="O68" s="107">
        <v>3</v>
      </c>
      <c r="P68" s="95"/>
      <c r="Q68" s="45">
        <v>98571.074159275013</v>
      </c>
      <c r="R68" s="17">
        <v>93642.520451311255</v>
      </c>
      <c r="S68" s="12">
        <v>97388.221269363712</v>
      </c>
      <c r="T68" s="12">
        <v>101133.92208741615</v>
      </c>
      <c r="U68" s="167"/>
      <c r="V68" s="168"/>
      <c r="W68" s="13"/>
    </row>
    <row r="69" spans="1:24">
      <c r="A69" s="115" t="s">
        <v>68</v>
      </c>
      <c r="B69" s="44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10"/>
      <c r="H69" s="10"/>
      <c r="I69" s="11"/>
      <c r="J69" s="11"/>
      <c r="K69" s="10"/>
      <c r="L69" s="10"/>
      <c r="M69" s="11"/>
      <c r="N69" s="106">
        <f t="shared" si="2"/>
        <v>12</v>
      </c>
      <c r="O69" s="107"/>
      <c r="P69" s="95"/>
      <c r="Q69" s="45">
        <v>95992.543845008942</v>
      </c>
      <c r="R69" s="17">
        <v>91192.916652758489</v>
      </c>
      <c r="S69" s="12">
        <v>94840.63331886883</v>
      </c>
      <c r="T69" s="12">
        <v>98488.34998497917</v>
      </c>
      <c r="U69" s="167"/>
      <c r="V69" s="168"/>
      <c r="W69" s="13"/>
    </row>
    <row r="70" spans="1:24">
      <c r="A70" s="114" t="s">
        <v>69</v>
      </c>
      <c r="B70" s="44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10">
        <v>1</v>
      </c>
      <c r="H70" s="10"/>
      <c r="I70" s="11"/>
      <c r="J70" s="11"/>
      <c r="K70" s="10"/>
      <c r="L70" s="10"/>
      <c r="M70" s="11"/>
      <c r="N70" s="106">
        <f t="shared" si="2"/>
        <v>1</v>
      </c>
      <c r="O70" s="107"/>
      <c r="P70" s="95"/>
      <c r="Q70" s="65" t="s">
        <v>1788</v>
      </c>
      <c r="R70" s="18">
        <v>75000</v>
      </c>
      <c r="S70" s="12">
        <v>78000</v>
      </c>
      <c r="T70" s="12">
        <v>81000</v>
      </c>
      <c r="U70" s="167"/>
      <c r="V70" s="168"/>
      <c r="W70" s="188">
        <v>1000</v>
      </c>
    </row>
    <row r="71" spans="1:24">
      <c r="A71" s="21" t="s">
        <v>70</v>
      </c>
      <c r="B71" s="44" t="str">
        <f>IFERROR(HYPERLINK(VLOOKUP(A71,ÜRÜNLER!A:C,3,FALSE),VLOOKUP(A71,ÜRÜNLER!A:B,2,FALSE)),"")</f>
        <v>iQ500 Alttan Donduruculu Ankastre Buzdolabı, 177.2x55.8cm, Düz Menteşe</v>
      </c>
      <c r="C71" s="8">
        <v>3</v>
      </c>
      <c r="D71" s="8"/>
      <c r="E71" s="9">
        <v>2</v>
      </c>
      <c r="F71" s="9"/>
      <c r="G71" s="10"/>
      <c r="H71" s="10"/>
      <c r="I71" s="11"/>
      <c r="J71" s="11">
        <v>1</v>
      </c>
      <c r="K71" s="10"/>
      <c r="L71" s="10">
        <v>1</v>
      </c>
      <c r="M71" s="11"/>
      <c r="N71" s="106">
        <f t="shared" si="2"/>
        <v>7</v>
      </c>
      <c r="O71" s="107"/>
      <c r="P71" s="95"/>
      <c r="Q71" s="45">
        <v>97354.167416930461</v>
      </c>
      <c r="R71" s="17">
        <v>92486.459046083939</v>
      </c>
      <c r="S71" s="12">
        <v>96185.917407927293</v>
      </c>
      <c r="T71" s="12">
        <v>99885.375769770661</v>
      </c>
      <c r="U71" s="167"/>
      <c r="V71" s="168"/>
      <c r="W71" s="13"/>
    </row>
    <row r="72" spans="1:24">
      <c r="A72" s="21" t="s">
        <v>1806</v>
      </c>
      <c r="B72" s="44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10"/>
      <c r="H72" s="10"/>
      <c r="I72" s="11"/>
      <c r="J72" s="11"/>
      <c r="K72" s="10"/>
      <c r="L72" s="10"/>
      <c r="M72" s="11"/>
      <c r="N72" s="106">
        <f t="shared" si="2"/>
        <v>0</v>
      </c>
      <c r="O72" s="107">
        <v>4</v>
      </c>
      <c r="P72" s="95"/>
      <c r="Q72" s="45">
        <v>115104</v>
      </c>
      <c r="R72" s="17">
        <v>109348.8</v>
      </c>
      <c r="S72" s="12">
        <v>113722.75200000001</v>
      </c>
      <c r="T72" s="12">
        <v>118096.704</v>
      </c>
      <c r="U72" s="167"/>
      <c r="V72" s="168"/>
      <c r="W72" s="13"/>
    </row>
    <row r="73" spans="1:24">
      <c r="A73" s="114" t="s">
        <v>71</v>
      </c>
      <c r="B73" s="44" t="str">
        <f>IFERROR(HYPERLINK(VLOOKUP(A73,ÜRÜNLER!A:C,3,FALSE),VLOOKUP(A73,ÜRÜNLER!A:B,2,FALSE)),"")</f>
        <v>iQ500 Alttan Donduruculu Ankastre Buzdolabı, 193.5x70.8cm, softClosing Düz Menteşe</v>
      </c>
      <c r="C73" s="8">
        <v>2</v>
      </c>
      <c r="D73" s="8"/>
      <c r="E73" s="9"/>
      <c r="F73" s="9"/>
      <c r="G73" s="10"/>
      <c r="H73" s="10"/>
      <c r="I73" s="11"/>
      <c r="J73" s="11"/>
      <c r="K73" s="10"/>
      <c r="L73" s="10"/>
      <c r="M73" s="11"/>
      <c r="N73" s="106">
        <f t="shared" si="2"/>
        <v>2</v>
      </c>
      <c r="O73" s="107">
        <v>1</v>
      </c>
      <c r="P73" s="95"/>
      <c r="Q73" s="45">
        <v>115104.07039541117</v>
      </c>
      <c r="R73" s="17">
        <v>109348.86687564061</v>
      </c>
      <c r="S73" s="12">
        <v>113722.82155066624</v>
      </c>
      <c r="T73" s="12">
        <v>118096.77622569186</v>
      </c>
      <c r="U73" s="167"/>
      <c r="V73" s="168"/>
      <c r="W73" s="13"/>
    </row>
    <row r="74" spans="1:24">
      <c r="A74" s="114" t="s">
        <v>1486</v>
      </c>
      <c r="B74" s="44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10"/>
      <c r="H74" s="10"/>
      <c r="I74" s="11"/>
      <c r="J74" s="11"/>
      <c r="K74" s="10"/>
      <c r="L74" s="10"/>
      <c r="M74" s="11"/>
      <c r="N74" s="106">
        <f t="shared" si="2"/>
        <v>12</v>
      </c>
      <c r="O74" s="107"/>
      <c r="P74" s="95"/>
      <c r="Q74" s="150">
        <v>140478.01774099542</v>
      </c>
      <c r="R74" s="150">
        <v>126430.21596689588</v>
      </c>
      <c r="S74" s="12">
        <v>131487.42460557172</v>
      </c>
      <c r="T74" s="12">
        <v>136544.63324424755</v>
      </c>
      <c r="U74" s="167"/>
      <c r="V74" s="168"/>
      <c r="W74" s="182">
        <v>500</v>
      </c>
    </row>
    <row r="75" spans="1:24" s="23" customFormat="1" ht="30">
      <c r="A75" s="47" t="s">
        <v>72</v>
      </c>
      <c r="B75" s="44" t="str">
        <f>IFERROR(HYPERLINK(VLOOKUP(A75,ÜRÜNLER!A:C,3,FALSE),VLOOKUP(A75,ÜRÜNLER!A:B,2,FALSE)),"")</f>
        <v/>
      </c>
      <c r="C75" s="8"/>
      <c r="D75" s="8"/>
      <c r="E75" s="9"/>
      <c r="F75" s="9"/>
      <c r="G75" s="10"/>
      <c r="H75" s="10"/>
      <c r="I75" s="11"/>
      <c r="J75" s="11"/>
      <c r="K75" s="10"/>
      <c r="L75" s="10"/>
      <c r="M75" s="11"/>
      <c r="N75" s="106">
        <f>SUM(N61:N74)</f>
        <v>58</v>
      </c>
      <c r="O75" s="107"/>
      <c r="P75" s="9"/>
      <c r="Q75" s="65"/>
      <c r="R75" s="65"/>
      <c r="S75" s="65"/>
      <c r="T75" s="12"/>
      <c r="U75" s="167"/>
      <c r="V75" s="168"/>
      <c r="W75" s="22"/>
      <c r="X75" s="185"/>
    </row>
    <row r="76" spans="1:24">
      <c r="A76" s="21" t="s">
        <v>75</v>
      </c>
      <c r="B76" s="44" t="str">
        <f>IFERROR(HYPERLINK(VLOOKUP(A76,ÜRÜNLER!A:C,3,FALSE),VLOOKUP(A76,ÜRÜNLER!A:B,2,FALSE)),"")</f>
        <v>iQ300 Çamaşır Makinesi, 9kg/1200devir, Beyaz</v>
      </c>
      <c r="C76" s="8">
        <v>88</v>
      </c>
      <c r="D76" s="8"/>
      <c r="E76" s="9"/>
      <c r="F76" s="9">
        <v>3</v>
      </c>
      <c r="G76" s="10"/>
      <c r="H76" s="10"/>
      <c r="I76" s="11">
        <v>1</v>
      </c>
      <c r="J76" s="11">
        <v>2</v>
      </c>
      <c r="K76" s="10">
        <v>1</v>
      </c>
      <c r="L76" s="10"/>
      <c r="M76" s="11">
        <v>1</v>
      </c>
      <c r="N76" s="106">
        <f t="shared" ref="N76:N102" si="3">M76+K76+L76+J76+I76+H76+G76+F76+E76+D76+C76</f>
        <v>96</v>
      </c>
      <c r="O76" s="107">
        <v>1</v>
      </c>
      <c r="P76" s="96"/>
      <c r="Q76" s="45">
        <v>33951.071927080571</v>
      </c>
      <c r="R76" s="17">
        <v>32253.518330726543</v>
      </c>
      <c r="S76" s="12">
        <v>33543.659063955602</v>
      </c>
      <c r="T76" s="12">
        <v>34833.799797184663</v>
      </c>
      <c r="U76" s="167">
        <v>2206.8858805689415</v>
      </c>
      <c r="V76" s="168"/>
      <c r="W76" s="13"/>
    </row>
    <row r="77" spans="1:24">
      <c r="A77" s="21" t="s">
        <v>76</v>
      </c>
      <c r="B77" s="44" t="str">
        <f>IFERROR(HYPERLINK(VLOOKUP(A77,ÜRÜNLER!A:C,3,FALSE),VLOOKUP(A77,ÜRÜNLER!A:B,2,FALSE)),"")</f>
        <v>iQ500 Çamaşır Makinesi, 9kg/1200devir, Beyaz</v>
      </c>
      <c r="C77" s="8">
        <v>34</v>
      </c>
      <c r="D77" s="8"/>
      <c r="E77" s="9"/>
      <c r="F77" s="9"/>
      <c r="G77" s="10"/>
      <c r="H77" s="10"/>
      <c r="I77" s="11">
        <v>1</v>
      </c>
      <c r="J77" s="11"/>
      <c r="K77" s="10"/>
      <c r="L77" s="10">
        <v>1</v>
      </c>
      <c r="M77" s="11"/>
      <c r="N77" s="106">
        <f t="shared" si="3"/>
        <v>36</v>
      </c>
      <c r="O77" s="107">
        <v>1</v>
      </c>
      <c r="P77" s="95"/>
      <c r="Q77" s="45">
        <v>41235.904546221471</v>
      </c>
      <c r="R77" s="158">
        <v>38349.391227985965</v>
      </c>
      <c r="S77" s="12">
        <v>39883.366877105407</v>
      </c>
      <c r="T77" s="12">
        <v>41417.342526224842</v>
      </c>
      <c r="U77" s="167"/>
      <c r="V77" s="168"/>
      <c r="W77" s="13"/>
    </row>
    <row r="78" spans="1:24">
      <c r="A78" s="77" t="s">
        <v>77</v>
      </c>
      <c r="B78" s="44" t="str">
        <f>IFERROR(HYPERLINK(VLOOKUP(A78,ÜRÜNLER!A:C,3,FALSE),VLOOKUP(A78,ÜRÜNLER!A:B,2,FALSE)),"")</f>
        <v>iQ500 Çamaşır Makinesi, 9kg/1200devir, Gümüş</v>
      </c>
      <c r="C78" s="8">
        <v>67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>
        <v>1</v>
      </c>
      <c r="N78" s="106">
        <f t="shared" si="3"/>
        <v>71</v>
      </c>
      <c r="O78" s="107">
        <v>1</v>
      </c>
      <c r="P78" s="96"/>
      <c r="Q78" s="45">
        <v>43000.68650930588</v>
      </c>
      <c r="R78" s="158">
        <v>39990.638453654472</v>
      </c>
      <c r="S78" s="18">
        <v>41590.263991800653</v>
      </c>
      <c r="T78" s="12">
        <v>43189.889529946828</v>
      </c>
      <c r="U78" s="167"/>
      <c r="V78" s="168"/>
      <c r="W78" s="13"/>
    </row>
    <row r="79" spans="1:24">
      <c r="A79" s="21" t="s">
        <v>78</v>
      </c>
      <c r="B79" s="44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10"/>
      <c r="H79" s="10"/>
      <c r="I79" s="11">
        <v>1</v>
      </c>
      <c r="J79" s="11"/>
      <c r="K79" s="10"/>
      <c r="L79" s="10"/>
      <c r="M79" s="11"/>
      <c r="N79" s="106">
        <f t="shared" si="3"/>
        <v>1</v>
      </c>
      <c r="O79" s="107"/>
      <c r="P79" s="95"/>
      <c r="Q79" s="65" t="s">
        <v>1788</v>
      </c>
      <c r="R79" s="14">
        <v>32000</v>
      </c>
      <c r="S79" s="12">
        <v>33280</v>
      </c>
      <c r="T79" s="12">
        <v>34560</v>
      </c>
      <c r="U79" s="167"/>
      <c r="V79" s="168"/>
      <c r="W79" s="182">
        <v>500</v>
      </c>
    </row>
    <row r="80" spans="1:24">
      <c r="A80" s="21" t="s">
        <v>80</v>
      </c>
      <c r="B80" s="44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10"/>
      <c r="H80" s="10"/>
      <c r="I80" s="11"/>
      <c r="J80" s="11">
        <v>1</v>
      </c>
      <c r="K80" s="10"/>
      <c r="L80" s="10">
        <v>1</v>
      </c>
      <c r="M80" s="11">
        <v>1</v>
      </c>
      <c r="N80" s="106">
        <f t="shared" si="3"/>
        <v>3</v>
      </c>
      <c r="O80" s="107">
        <v>5</v>
      </c>
      <c r="P80" s="95"/>
      <c r="Q80" s="45">
        <v>50877.593851705358</v>
      </c>
      <c r="R80" s="22">
        <v>50878</v>
      </c>
      <c r="S80" s="12">
        <v>52913.120000000003</v>
      </c>
      <c r="T80" s="12">
        <v>54948.24</v>
      </c>
      <c r="U80" s="167"/>
      <c r="V80" s="168"/>
      <c r="W80" s="13"/>
    </row>
    <row r="81" spans="1:25">
      <c r="A81" s="21" t="s">
        <v>1472</v>
      </c>
      <c r="B81" s="44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6">
        <f t="shared" si="3"/>
        <v>1</v>
      </c>
      <c r="O81" s="107"/>
      <c r="P81" s="95"/>
      <c r="Q81" s="65" t="s">
        <v>1788</v>
      </c>
      <c r="R81" s="18">
        <v>46000</v>
      </c>
      <c r="S81" s="12">
        <v>47840</v>
      </c>
      <c r="T81" s="12">
        <v>49680</v>
      </c>
      <c r="U81" s="167"/>
      <c r="V81" s="168"/>
      <c r="W81" s="13"/>
    </row>
    <row r="82" spans="1:25">
      <c r="A82" s="21" t="s">
        <v>81</v>
      </c>
      <c r="B82" s="44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10"/>
      <c r="H82" s="10"/>
      <c r="I82" s="11"/>
      <c r="J82" s="11">
        <v>1</v>
      </c>
      <c r="K82" s="10"/>
      <c r="L82" s="10"/>
      <c r="M82" s="11"/>
      <c r="N82" s="106">
        <f t="shared" si="3"/>
        <v>21</v>
      </c>
      <c r="O82" s="107"/>
      <c r="P82" s="95"/>
      <c r="Q82" s="45">
        <v>41632.284576738944</v>
      </c>
      <c r="R82" s="158">
        <v>38718.024656367219</v>
      </c>
      <c r="S82" s="12">
        <v>40266.745642621907</v>
      </c>
      <c r="T82" s="12">
        <v>41815.466628876595</v>
      </c>
      <c r="U82" s="167"/>
      <c r="V82" s="168"/>
      <c r="W82" s="13"/>
    </row>
    <row r="83" spans="1:25" s="24" customFormat="1">
      <c r="A83" s="21" t="s">
        <v>82</v>
      </c>
      <c r="B83" s="44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10"/>
      <c r="H83" s="10"/>
      <c r="I83" s="11">
        <v>1</v>
      </c>
      <c r="J83" s="11">
        <v>1</v>
      </c>
      <c r="K83" s="10"/>
      <c r="L83" s="10">
        <v>1</v>
      </c>
      <c r="M83" s="11"/>
      <c r="N83" s="106">
        <f t="shared" si="3"/>
        <v>3</v>
      </c>
      <c r="O83" s="107"/>
      <c r="P83" s="95"/>
      <c r="Q83" s="65" t="s">
        <v>1788</v>
      </c>
      <c r="R83" s="18">
        <v>35189</v>
      </c>
      <c r="S83" s="12">
        <v>36596.559999999998</v>
      </c>
      <c r="T83" s="12">
        <v>38004.120000000003</v>
      </c>
      <c r="U83" s="167">
        <v>1556.7337650080808</v>
      </c>
      <c r="V83" s="168"/>
      <c r="W83" s="182">
        <v>500</v>
      </c>
      <c r="X83" s="185"/>
    </row>
    <row r="84" spans="1:25" s="24" customFormat="1">
      <c r="A84" s="21" t="s">
        <v>1437</v>
      </c>
      <c r="B84" s="44" t="str">
        <f>IFERROR(HYPERLINK(VLOOKUP(A84,ÜRÜNLER!A:C,3,FALSE),VLOOKUP(A84,ÜRÜNLER!A:B,2,FALSE)),"")</f>
        <v>iQ300 Çamaşır Makinesi, 10kg/1200devir, Beyaz</v>
      </c>
      <c r="C84" s="8">
        <v>42</v>
      </c>
      <c r="D84" s="8"/>
      <c r="E84" s="9"/>
      <c r="F84" s="9">
        <v>3</v>
      </c>
      <c r="G84" s="10"/>
      <c r="H84" s="10"/>
      <c r="I84" s="11">
        <v>1</v>
      </c>
      <c r="J84" s="11">
        <v>1</v>
      </c>
      <c r="K84" s="10">
        <v>1</v>
      </c>
      <c r="L84" s="10"/>
      <c r="M84" s="11"/>
      <c r="N84" s="106">
        <f t="shared" si="3"/>
        <v>48</v>
      </c>
      <c r="O84" s="107">
        <v>1</v>
      </c>
      <c r="P84" s="95"/>
      <c r="Q84" s="45">
        <v>37943.230203866005</v>
      </c>
      <c r="R84" s="17">
        <v>36046.068693672707</v>
      </c>
      <c r="S84" s="12">
        <v>37487.911441419616</v>
      </c>
      <c r="T84" s="12">
        <v>38929.754189166524</v>
      </c>
      <c r="U84" s="167">
        <v>1315.3232271218224</v>
      </c>
      <c r="V84" s="168"/>
      <c r="W84" s="13"/>
      <c r="X84" s="185"/>
    </row>
    <row r="85" spans="1:25" s="24" customFormat="1">
      <c r="A85" s="77" t="s">
        <v>1542</v>
      </c>
      <c r="B85" s="44" t="str">
        <f>IFERROR(HYPERLINK(VLOOKUP(A85,ÜRÜNLER!A:C,3,FALSE),VLOOKUP(A85,ÜRÜNLER!A:B,2,FALSE)),"")</f>
        <v>iQ500 Çamaşır Makinesi, 10kg/1200devir, Gümüş</v>
      </c>
      <c r="C85" s="8">
        <v>11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06">
        <f t="shared" si="3"/>
        <v>12</v>
      </c>
      <c r="O85" s="107"/>
      <c r="P85" s="95"/>
      <c r="Q85" s="45">
        <v>46383.474381571999</v>
      </c>
      <c r="R85" s="17">
        <v>44064.300662493399</v>
      </c>
      <c r="S85" s="12">
        <v>45826.872688993135</v>
      </c>
      <c r="T85" s="12">
        <v>47589.444715492871</v>
      </c>
      <c r="U85" s="167"/>
      <c r="V85" s="168"/>
      <c r="W85" s="13"/>
      <c r="X85" s="185"/>
    </row>
    <row r="86" spans="1:25">
      <c r="A86" s="112" t="s">
        <v>83</v>
      </c>
      <c r="B86" s="44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65" t="s">
        <v>1788</v>
      </c>
      <c r="R86" s="18">
        <v>36000</v>
      </c>
      <c r="S86" s="12">
        <v>37440</v>
      </c>
      <c r="T86" s="12">
        <v>38880</v>
      </c>
      <c r="U86" s="167"/>
      <c r="V86" s="168"/>
      <c r="W86" s="182">
        <v>500</v>
      </c>
    </row>
    <row r="87" spans="1:25">
      <c r="A87" s="112" t="s">
        <v>84</v>
      </c>
      <c r="B87" s="44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>
        <v>1</v>
      </c>
      <c r="N87" s="106">
        <f t="shared" si="3"/>
        <v>6</v>
      </c>
      <c r="O87" s="107"/>
      <c r="P87" s="95"/>
      <c r="Q87" s="65" t="s">
        <v>1788</v>
      </c>
      <c r="R87" s="14">
        <v>36000</v>
      </c>
      <c r="S87" s="12">
        <v>37440</v>
      </c>
      <c r="T87" s="12">
        <v>38880</v>
      </c>
      <c r="U87" s="167"/>
      <c r="V87" s="168"/>
      <c r="W87" s="182">
        <v>500</v>
      </c>
    </row>
    <row r="88" spans="1:25">
      <c r="A88" s="77" t="s">
        <v>85</v>
      </c>
      <c r="B88" s="44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10"/>
      <c r="H88" s="10"/>
      <c r="I88" s="11"/>
      <c r="J88" s="11"/>
      <c r="K88" s="10"/>
      <c r="L88" s="10"/>
      <c r="M88" s="11"/>
      <c r="N88" s="106">
        <f t="shared" si="3"/>
        <v>1</v>
      </c>
      <c r="O88" s="107"/>
      <c r="P88" s="95"/>
      <c r="Q88" s="65" t="s">
        <v>1788</v>
      </c>
      <c r="R88" s="14">
        <v>36000</v>
      </c>
      <c r="S88" s="12">
        <v>37440</v>
      </c>
      <c r="T88" s="12">
        <v>38880</v>
      </c>
      <c r="U88" s="167"/>
      <c r="V88" s="168"/>
      <c r="W88" s="182">
        <v>500</v>
      </c>
    </row>
    <row r="89" spans="1:25">
      <c r="A89" s="78" t="s">
        <v>86</v>
      </c>
      <c r="B89" s="44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10"/>
      <c r="H89" s="10"/>
      <c r="I89" s="11">
        <v>1</v>
      </c>
      <c r="J89" s="11">
        <v>1</v>
      </c>
      <c r="K89" s="10"/>
      <c r="L89" s="10"/>
      <c r="M89" s="11"/>
      <c r="N89" s="106">
        <f t="shared" si="3"/>
        <v>3</v>
      </c>
      <c r="O89" s="107"/>
      <c r="P89" s="95"/>
      <c r="Q89" s="65" t="s">
        <v>1788</v>
      </c>
      <c r="R89" s="18">
        <v>38000</v>
      </c>
      <c r="S89" s="12">
        <v>39520</v>
      </c>
      <c r="T89" s="12">
        <v>41040</v>
      </c>
      <c r="U89" s="167"/>
      <c r="V89" s="168"/>
      <c r="W89" s="182">
        <v>500</v>
      </c>
    </row>
    <row r="90" spans="1:25">
      <c r="A90" s="77" t="s">
        <v>87</v>
      </c>
      <c r="B90" s="44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06">
        <f t="shared" si="3"/>
        <v>1</v>
      </c>
      <c r="O90" s="107"/>
      <c r="P90" s="95"/>
      <c r="Q90" s="65" t="s">
        <v>1788</v>
      </c>
      <c r="R90" s="18">
        <v>40000</v>
      </c>
      <c r="S90" s="12">
        <v>41600</v>
      </c>
      <c r="T90" s="12">
        <v>43200</v>
      </c>
      <c r="U90" s="167"/>
      <c r="V90" s="168"/>
      <c r="W90" s="182">
        <v>500</v>
      </c>
    </row>
    <row r="91" spans="1:25">
      <c r="A91" s="21" t="s">
        <v>88</v>
      </c>
      <c r="B91" s="44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65" t="s">
        <v>1788</v>
      </c>
      <c r="R91" s="14">
        <v>42000</v>
      </c>
      <c r="S91" s="12">
        <v>43680</v>
      </c>
      <c r="T91" s="12">
        <v>45360</v>
      </c>
      <c r="U91" s="167"/>
      <c r="V91" s="168"/>
      <c r="W91" s="182">
        <v>500</v>
      </c>
    </row>
    <row r="92" spans="1:25">
      <c r="A92" s="21" t="s">
        <v>89</v>
      </c>
      <c r="B92" s="44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/>
      <c r="L92" s="10">
        <v>1</v>
      </c>
      <c r="M92" s="11"/>
      <c r="N92" s="106">
        <f t="shared" si="3"/>
        <v>2</v>
      </c>
      <c r="O92" s="107">
        <v>1</v>
      </c>
      <c r="P92" s="95"/>
      <c r="Q92" s="65" t="s">
        <v>1788</v>
      </c>
      <c r="R92" s="177">
        <v>53000</v>
      </c>
      <c r="S92" s="12">
        <v>55120</v>
      </c>
      <c r="T92" s="12">
        <v>57240</v>
      </c>
      <c r="U92" s="167"/>
      <c r="V92" s="168"/>
      <c r="W92" s="182">
        <v>500</v>
      </c>
    </row>
    <row r="93" spans="1:25">
      <c r="A93" s="116" t="s">
        <v>1442</v>
      </c>
      <c r="B93" s="44" t="str">
        <f>IFERROR(HYPERLINK(VLOOKUP(A93,ÜRÜNLER!A:C,3,FALSE),VLOOKUP(A93,ÜRÜNLER!A:B,2,FALSE)),"")</f>
        <v>iQ500 Çamaşır Makinesi, 10kg/1200devir, Beyaz</v>
      </c>
      <c r="C93" s="8">
        <v>16</v>
      </c>
      <c r="D93" s="8"/>
      <c r="E93" s="9"/>
      <c r="F93" s="9">
        <v>1</v>
      </c>
      <c r="G93" s="10"/>
      <c r="H93" s="10"/>
      <c r="I93" s="11"/>
      <c r="J93" s="11">
        <v>1</v>
      </c>
      <c r="K93" s="10">
        <v>1</v>
      </c>
      <c r="L93" s="10"/>
      <c r="M93" s="11"/>
      <c r="N93" s="106">
        <f t="shared" si="3"/>
        <v>19</v>
      </c>
      <c r="O93" s="107"/>
      <c r="P93" s="95"/>
      <c r="Q93" s="45">
        <v>44563.312472470672</v>
      </c>
      <c r="R93" s="17">
        <v>42335.146848847136</v>
      </c>
      <c r="S93" s="12">
        <v>44028.552722801025</v>
      </c>
      <c r="T93" s="12">
        <v>45721.958596754906</v>
      </c>
      <c r="U93" s="167"/>
      <c r="V93" s="168"/>
      <c r="W93" s="13"/>
    </row>
    <row r="94" spans="1:25">
      <c r="A94" s="116" t="s">
        <v>1449</v>
      </c>
      <c r="B94" s="44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>
        <v>1</v>
      </c>
      <c r="G94" s="10"/>
      <c r="H94" s="10"/>
      <c r="I94" s="11">
        <v>1</v>
      </c>
      <c r="J94" s="11"/>
      <c r="K94" s="10"/>
      <c r="L94" s="10"/>
      <c r="M94" s="11">
        <v>1</v>
      </c>
      <c r="N94" s="106">
        <f t="shared" si="3"/>
        <v>27</v>
      </c>
      <c r="O94" s="107">
        <v>1</v>
      </c>
      <c r="P94" s="95"/>
      <c r="Q94" s="45">
        <v>44697.368203516198</v>
      </c>
      <c r="R94" s="17">
        <v>42462.499793340387</v>
      </c>
      <c r="S94" s="12">
        <v>44160.999785074004</v>
      </c>
      <c r="T94" s="12">
        <v>45859.499776807614</v>
      </c>
      <c r="U94" s="167"/>
      <c r="V94" s="168"/>
      <c r="W94" s="13"/>
      <c r="Y94" s="185">
        <v>46800</v>
      </c>
    </row>
    <row r="95" spans="1:25">
      <c r="A95" s="116" t="s">
        <v>1451</v>
      </c>
      <c r="B95" s="44" t="str">
        <f>IFERROR(HYPERLINK(VLOOKUP(A95,ÜRÜNLER!A:C,3,FALSE),VLOOKUP(A95,ÜRÜNLER!A:B,2,FALSE)),"")</f>
        <v>iQ500 Çamaşır Makinesi, 11kg/1400devir, i-dos, Beyaz</v>
      </c>
      <c r="C95" s="8">
        <v>7</v>
      </c>
      <c r="D95" s="8"/>
      <c r="E95" s="9"/>
      <c r="F95" s="9"/>
      <c r="G95" s="10"/>
      <c r="H95" s="10"/>
      <c r="I95" s="11"/>
      <c r="J95" s="11"/>
      <c r="K95" s="10"/>
      <c r="L95" s="10"/>
      <c r="M95" s="11"/>
      <c r="N95" s="106">
        <f t="shared" si="3"/>
        <v>7</v>
      </c>
      <c r="O95" s="107">
        <v>2</v>
      </c>
      <c r="P95" s="95"/>
      <c r="Q95" s="45">
        <v>47968.710920659025</v>
      </c>
      <c r="R95" s="17">
        <v>45570.275374626071</v>
      </c>
      <c r="S95" s="12">
        <v>47393.086389611111</v>
      </c>
      <c r="T95" s="12">
        <v>49215.897404596159</v>
      </c>
      <c r="U95" s="167"/>
      <c r="V95" s="168"/>
      <c r="W95" s="13"/>
      <c r="Y95" s="185"/>
    </row>
    <row r="96" spans="1:25">
      <c r="A96" s="112" t="s">
        <v>91</v>
      </c>
      <c r="B96" s="44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10"/>
      <c r="H96" s="10"/>
      <c r="I96" s="11"/>
      <c r="J96" s="11"/>
      <c r="K96" s="10"/>
      <c r="L96" s="10">
        <v>1</v>
      </c>
      <c r="M96" s="11"/>
      <c r="N96" s="106">
        <f t="shared" si="3"/>
        <v>1</v>
      </c>
      <c r="O96" s="107"/>
      <c r="P96" s="95"/>
      <c r="Q96" s="65" t="s">
        <v>1788</v>
      </c>
      <c r="R96" s="18">
        <v>40000</v>
      </c>
      <c r="S96" s="12">
        <v>41600</v>
      </c>
      <c r="T96" s="12">
        <v>43200</v>
      </c>
      <c r="U96" s="167"/>
      <c r="V96" s="168"/>
      <c r="W96" s="182">
        <v>500</v>
      </c>
      <c r="Y96" s="185"/>
    </row>
    <row r="97" spans="1:25">
      <c r="A97" s="112" t="s">
        <v>92</v>
      </c>
      <c r="B97" s="44" t="str">
        <f>IFERROR(HYPERLINK(VLOOKUP(A97,ÜRÜNLER!A:C,3,FALSE),VLOOKUP(A97,ÜRÜNLER!A:B,2,FALSE)),"")</f>
        <v>iQ500 Çamaşır Makinesi, 11kg/1400devir, Beyaz</v>
      </c>
      <c r="C97" s="8">
        <v>53</v>
      </c>
      <c r="D97" s="8"/>
      <c r="E97" s="9"/>
      <c r="F97" s="9">
        <v>4</v>
      </c>
      <c r="G97" s="10"/>
      <c r="H97" s="10"/>
      <c r="I97" s="11">
        <v>1</v>
      </c>
      <c r="J97" s="11">
        <v>1</v>
      </c>
      <c r="K97" s="10">
        <v>1</v>
      </c>
      <c r="L97" s="10">
        <v>1</v>
      </c>
      <c r="M97" s="11">
        <v>1</v>
      </c>
      <c r="N97" s="106">
        <f t="shared" si="3"/>
        <v>62</v>
      </c>
      <c r="O97" s="107">
        <v>1</v>
      </c>
      <c r="P97" s="95"/>
      <c r="Q97" s="45">
        <v>46659.343205755678</v>
      </c>
      <c r="R97" s="41">
        <v>43393.189181352784</v>
      </c>
      <c r="S97" s="157">
        <v>45128.916748606898</v>
      </c>
      <c r="T97" s="157">
        <v>46864.644315861005</v>
      </c>
      <c r="U97" s="167"/>
      <c r="V97" s="168"/>
      <c r="W97" s="13"/>
      <c r="Y97" s="185"/>
    </row>
    <row r="98" spans="1:25">
      <c r="A98" s="111" t="s">
        <v>93</v>
      </c>
      <c r="B98" s="44" t="str">
        <f>IFERROR(HYPERLINK(VLOOKUP(A98,ÜRÜNLER!A:C,3,FALSE),VLOOKUP(A98,ÜRÜNLER!A:B,2,FALSE)),"")</f>
        <v>iQ500 Çamaşır Makinesi, 11kg/1400devir, Antrasit/Dark</v>
      </c>
      <c r="C98" s="8">
        <v>84</v>
      </c>
      <c r="D98" s="8"/>
      <c r="E98" s="9"/>
      <c r="F98" s="9"/>
      <c r="G98" s="10"/>
      <c r="H98" s="10"/>
      <c r="I98" s="11">
        <v>1</v>
      </c>
      <c r="J98" s="11">
        <v>1</v>
      </c>
      <c r="K98" s="10">
        <v>1</v>
      </c>
      <c r="L98" s="10"/>
      <c r="M98" s="11">
        <v>1</v>
      </c>
      <c r="N98" s="106">
        <f t="shared" si="3"/>
        <v>88</v>
      </c>
      <c r="O98" s="107">
        <v>1</v>
      </c>
      <c r="P98" s="95"/>
      <c r="Q98" s="45">
        <v>49893.288864141352</v>
      </c>
      <c r="R98" s="41">
        <v>46400.758643651454</v>
      </c>
      <c r="S98" s="157">
        <v>48256.788989397515</v>
      </c>
      <c r="T98" s="157">
        <v>50112.819335143569</v>
      </c>
      <c r="U98" s="167"/>
      <c r="V98" s="168"/>
      <c r="W98" s="13"/>
      <c r="Y98" s="185"/>
    </row>
    <row r="99" spans="1:25">
      <c r="A99" s="21" t="s">
        <v>94</v>
      </c>
      <c r="B99" s="44" t="str">
        <f>IFERROR(HYPERLINK(VLOOKUP(A99,ÜRÜNLER!A:C,3,FALSE),VLOOKUP(A99,ÜRÜNLER!A:B,2,FALSE)),"")</f>
        <v>iQ300 Çamaşır Makinesi, 9kg/1200devir, Beyaz</v>
      </c>
      <c r="C99" s="8"/>
      <c r="D99" s="8"/>
      <c r="E99" s="9"/>
      <c r="F99" s="9"/>
      <c r="G99" s="10"/>
      <c r="H99" s="10"/>
      <c r="I99" s="11"/>
      <c r="J99" s="11"/>
      <c r="K99" s="10">
        <v>1</v>
      </c>
      <c r="L99" s="10">
        <v>1</v>
      </c>
      <c r="M99" s="11"/>
      <c r="N99" s="106">
        <f t="shared" si="3"/>
        <v>2</v>
      </c>
      <c r="O99" s="107"/>
      <c r="P99" s="97" t="s">
        <v>1545</v>
      </c>
      <c r="Q99" s="65" t="s">
        <v>1788</v>
      </c>
      <c r="R99" s="18">
        <v>27000</v>
      </c>
      <c r="S99" s="12">
        <v>28080</v>
      </c>
      <c r="T99" s="12">
        <v>29160</v>
      </c>
      <c r="U99" s="167"/>
      <c r="V99" s="168"/>
      <c r="W99" s="182">
        <v>500</v>
      </c>
      <c r="Y99" s="185"/>
    </row>
    <row r="100" spans="1:25">
      <c r="A100" s="112" t="s">
        <v>95</v>
      </c>
      <c r="B100" s="44" t="str">
        <f>IFERROR(HYPERLINK(VLOOKUP(A100,ÜRÜNLER!A:C,3,FALSE),VLOOKUP(A100,ÜRÜNLER!A:B,2,FALSE)),"")</f>
        <v>iQ500 Çamaşır Makinesi, 9kg/1400devir, i-dos,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0">
        <v>1</v>
      </c>
      <c r="M100" s="11"/>
      <c r="N100" s="106">
        <f t="shared" si="3"/>
        <v>2</v>
      </c>
      <c r="O100" s="107"/>
      <c r="P100" s="95"/>
      <c r="Q100" s="65" t="s">
        <v>1788</v>
      </c>
      <c r="R100" s="18">
        <v>40000</v>
      </c>
      <c r="S100" s="12">
        <v>41600</v>
      </c>
      <c r="T100" s="12">
        <v>43200</v>
      </c>
      <c r="U100" s="167"/>
      <c r="V100" s="168"/>
      <c r="W100" s="182">
        <v>500</v>
      </c>
      <c r="Y100" s="185"/>
    </row>
    <row r="101" spans="1:25">
      <c r="A101" s="112" t="s">
        <v>96</v>
      </c>
      <c r="B101" s="44" t="str">
        <f>IFERROR(HYPERLINK(VLOOKUP(A101,ÜRÜNLER!A:C,3,FALSE),VLOOKUP(A101,ÜRÜNLER!A:B,2,FALSE)),"")</f>
        <v>iQ700 Çamaşır Makinesi, 10kg/1400devir, i-dos,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/>
      <c r="M101" s="11"/>
      <c r="N101" s="106">
        <f t="shared" si="3"/>
        <v>1</v>
      </c>
      <c r="O101" s="107"/>
      <c r="P101" s="95"/>
      <c r="Q101" s="65" t="s">
        <v>1788</v>
      </c>
      <c r="R101" s="18">
        <v>40000</v>
      </c>
      <c r="S101" s="12">
        <v>41600</v>
      </c>
      <c r="T101" s="12">
        <v>43200</v>
      </c>
      <c r="U101" s="167"/>
      <c r="V101" s="168"/>
      <c r="W101" s="182">
        <v>500</v>
      </c>
      <c r="Y101" s="185"/>
    </row>
    <row r="102" spans="1:25">
      <c r="A102" s="112" t="s">
        <v>97</v>
      </c>
      <c r="B102" s="44" t="str">
        <f>IFERROR(HYPERLINK(VLOOKUP(A102,ÜRÜNLER!A:C,3,FALSE),VLOOKUP(A102,ÜRÜNLER!A:B,2,FALSE)),"")</f>
        <v>iQ700 Kurutmalı Çamaşır Makinesi, 10.5kg/6kg/1400devir, i-dos,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>
        <v>1</v>
      </c>
      <c r="L102" s="10"/>
      <c r="M102" s="11"/>
      <c r="N102" s="106">
        <f t="shared" si="3"/>
        <v>2</v>
      </c>
      <c r="O102" s="107">
        <v>2</v>
      </c>
      <c r="P102" s="95"/>
      <c r="Q102" s="45">
        <v>80702.411827662814</v>
      </c>
      <c r="R102" s="187">
        <v>79895.387709386181</v>
      </c>
      <c r="S102" s="12">
        <v>83091.203217761635</v>
      </c>
      <c r="T102" s="12">
        <v>86287.018726137074</v>
      </c>
      <c r="U102" s="167"/>
      <c r="V102" s="168"/>
      <c r="W102" s="182">
        <v>500</v>
      </c>
      <c r="Y102" s="185">
        <v>83200</v>
      </c>
    </row>
    <row r="103" spans="1:25" ht="30">
      <c r="A103" s="87" t="s">
        <v>98</v>
      </c>
      <c r="B103" s="44" t="str">
        <f>IFERROR(HYPERLINK(VLOOKUP(A103,ÜRÜNLER!A:C,3,FALSE),VLOOKUP(A103,ÜRÜNLER!A:B,2,FALSE)),"")</f>
        <v/>
      </c>
      <c r="C103" s="8"/>
      <c r="D103" s="8"/>
      <c r="E103" s="9"/>
      <c r="F103" s="9"/>
      <c r="G103" s="10"/>
      <c r="H103" s="10"/>
      <c r="I103" s="11"/>
      <c r="J103" s="11"/>
      <c r="K103" s="10"/>
      <c r="L103" s="10"/>
      <c r="M103" s="11"/>
      <c r="N103" s="106">
        <f>SUM(N76:N102)</f>
        <v>518</v>
      </c>
      <c r="O103" s="107"/>
      <c r="Q103" s="65"/>
      <c r="R103" s="13"/>
      <c r="S103" s="12"/>
      <c r="T103" s="12"/>
      <c r="U103" s="167"/>
      <c r="V103" s="168"/>
      <c r="W103" s="13"/>
    </row>
    <row r="104" spans="1:25">
      <c r="A104" s="21" t="s">
        <v>102</v>
      </c>
      <c r="B104" s="44" t="str">
        <f>IFERROR(HYPERLINK(VLOOKUP(A104,ÜRÜNLER!A:C,3,FALSE),VLOOKUP(A104,ÜRÜNLER!A:B,2,FALSE)),"")</f>
        <v>iQ500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/>
      <c r="K104" s="10"/>
      <c r="L104" s="10"/>
      <c r="M104" s="11"/>
      <c r="N104" s="106">
        <f t="shared" ref="N104:N115" si="4">M104+K104+L104+J104+I104+H104+G104+F104+E104+D104+C104</f>
        <v>1</v>
      </c>
      <c r="O104" s="107"/>
      <c r="P104" s="95"/>
      <c r="Q104" s="65" t="s">
        <v>1788</v>
      </c>
      <c r="R104" s="39">
        <v>35000</v>
      </c>
      <c r="S104" s="12">
        <v>36400</v>
      </c>
      <c r="T104" s="12">
        <v>37800</v>
      </c>
      <c r="U104" s="167"/>
      <c r="V104" s="168"/>
      <c r="W104" s="182">
        <v>500</v>
      </c>
    </row>
    <row r="105" spans="1:25">
      <c r="A105" s="21" t="s">
        <v>103</v>
      </c>
      <c r="B105" s="44" t="str">
        <f>IFERROR(HYPERLINK(VLOOKUP(A105,ÜRÜNLER!A:C,3,FALSE),VLOOKUP(A105,ÜRÜNLER!A:B,2,FALSE)),"")</f>
        <v>iQ300 Isı Pompalı Kurutma Makinesi, 9kg, Beyaz</v>
      </c>
      <c r="C105" s="8">
        <v>76</v>
      </c>
      <c r="D105" s="8"/>
      <c r="E105" s="9"/>
      <c r="F105" s="9"/>
      <c r="G105" s="10"/>
      <c r="H105" s="10"/>
      <c r="I105" s="11">
        <v>1</v>
      </c>
      <c r="J105" s="11">
        <v>1</v>
      </c>
      <c r="K105" s="10">
        <v>1</v>
      </c>
      <c r="L105" s="10">
        <v>1</v>
      </c>
      <c r="M105" s="11">
        <v>1</v>
      </c>
      <c r="N105" s="106">
        <f t="shared" si="4"/>
        <v>81</v>
      </c>
      <c r="O105" s="107">
        <v>298</v>
      </c>
      <c r="P105" s="95"/>
      <c r="Q105" s="45">
        <v>39552.883298190849</v>
      </c>
      <c r="R105" s="158">
        <v>36784.181467317489</v>
      </c>
      <c r="S105" s="12">
        <v>38255.548726010187</v>
      </c>
      <c r="T105" s="12">
        <v>39726.915984702886</v>
      </c>
      <c r="U105" s="167">
        <v>1459.8600423768951</v>
      </c>
      <c r="V105" s="168"/>
      <c r="W105" s="13"/>
    </row>
    <row r="106" spans="1:25">
      <c r="A106" s="117" t="s">
        <v>99</v>
      </c>
      <c r="B106" s="44" t="str">
        <f>IFERROR(HYPERLINK(VLOOKUP(A106,ÜRÜNLER!A:C,3,FALSE),VLOOKUP(A106,ÜRÜNLER!A:B,2,FALSE)),"")</f>
        <v>iQ500 Isı Pompalı Kurutma Makinesi, 9kg, Beyaz</v>
      </c>
      <c r="C106" s="8">
        <v>45</v>
      </c>
      <c r="D106" s="8"/>
      <c r="E106" s="9"/>
      <c r="F106" s="9"/>
      <c r="G106" s="10"/>
      <c r="H106" s="10"/>
      <c r="I106" s="11"/>
      <c r="J106" s="11">
        <v>1</v>
      </c>
      <c r="K106" s="10"/>
      <c r="L106" s="10"/>
      <c r="M106" s="11"/>
      <c r="N106" s="106">
        <f t="shared" si="4"/>
        <v>46</v>
      </c>
      <c r="O106" s="107">
        <v>13</v>
      </c>
      <c r="P106" s="95"/>
      <c r="Q106" s="45">
        <v>43183.847091032105</v>
      </c>
      <c r="R106" s="158">
        <v>40160.977794659855</v>
      </c>
      <c r="S106" s="12">
        <v>41767.416906446248</v>
      </c>
      <c r="T106" s="12">
        <v>43373.856018232647</v>
      </c>
      <c r="U106" s="167">
        <v>1265.2424398693111</v>
      </c>
      <c r="V106" s="168"/>
      <c r="W106" s="13"/>
    </row>
    <row r="107" spans="1:25">
      <c r="A107" s="69" t="s">
        <v>1340</v>
      </c>
      <c r="B107" s="44" t="str">
        <f>IFERROR(HYPERLINK(VLOOKUP(A107,ÜRÜNLER!A:C,3,FALSE),VLOOKUP(A107,ÜRÜNLER!A:B,2,FALSE)),"")</f>
        <v>iQ500 Isı Pompalı Kurutma Makinesi, 9kg, Gümüş</v>
      </c>
      <c r="C107" s="8">
        <v>204</v>
      </c>
      <c r="D107" s="8"/>
      <c r="E107" s="9"/>
      <c r="F107" s="9"/>
      <c r="G107" s="10"/>
      <c r="H107" s="10"/>
      <c r="I107" s="11">
        <v>2</v>
      </c>
      <c r="J107" s="11">
        <v>1</v>
      </c>
      <c r="K107" s="10"/>
      <c r="L107" s="10"/>
      <c r="M107" s="11"/>
      <c r="N107" s="106">
        <f t="shared" si="4"/>
        <v>207</v>
      </c>
      <c r="O107" s="107">
        <v>20</v>
      </c>
      <c r="P107" s="95"/>
      <c r="Q107" s="45">
        <v>43404.733782129748</v>
      </c>
      <c r="R107" s="158">
        <v>40366.402417380668</v>
      </c>
      <c r="S107" s="12">
        <v>41981.058514075892</v>
      </c>
      <c r="T107" s="12">
        <v>43595.714610771123</v>
      </c>
      <c r="U107" s="167"/>
      <c r="V107" s="168"/>
      <c r="W107" s="13"/>
    </row>
    <row r="108" spans="1:25">
      <c r="A108" s="118" t="s">
        <v>100</v>
      </c>
      <c r="B108" s="44" t="str">
        <f>IFERROR(HYPERLINK(VLOOKUP(A108,ÜRÜNLER!A:C,3,FALSE),VLOOKUP(A108,ÜRÜNLER!A:B,2,FALSE)),"")</f>
        <v>iQ500 Isı Pompalı Kurutma Makinesi, 9kg, Beyaz</v>
      </c>
      <c r="C108" s="8">
        <v>124</v>
      </c>
      <c r="D108" s="8"/>
      <c r="E108" s="9"/>
      <c r="F108" s="9">
        <v>1</v>
      </c>
      <c r="G108" s="10"/>
      <c r="H108" s="10"/>
      <c r="I108" s="11">
        <v>1</v>
      </c>
      <c r="J108" s="11"/>
      <c r="K108" s="10">
        <v>1</v>
      </c>
      <c r="L108" s="10"/>
      <c r="M108" s="11">
        <v>1</v>
      </c>
      <c r="N108" s="106">
        <f t="shared" si="4"/>
        <v>128</v>
      </c>
      <c r="O108" s="107">
        <v>30</v>
      </c>
      <c r="P108" s="96"/>
      <c r="Q108" s="45">
        <v>46206.703389937567</v>
      </c>
      <c r="R108" s="158">
        <v>42972.23415264194</v>
      </c>
      <c r="S108" s="12">
        <v>44691.12351874762</v>
      </c>
      <c r="T108" s="12">
        <v>46410.012884853299</v>
      </c>
      <c r="U108" s="167">
        <v>1602.0522271468728</v>
      </c>
      <c r="V108" s="168"/>
      <c r="W108" s="16"/>
    </row>
    <row r="109" spans="1:25">
      <c r="A109" s="21" t="s">
        <v>104</v>
      </c>
      <c r="B109" s="44" t="str">
        <f>IFERROR(HYPERLINK(VLOOKUP(A109,ÜRÜNLER!A:C,3,FALSE),VLOOKUP(A109,ÜRÜNLER!A:B,2,FALSE)),"")</f>
        <v>iQ500 Isı Pompalı Kurutma Makinesi, 9kg, SelfClean, Beyaz</v>
      </c>
      <c r="C109" s="8">
        <v>44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>
        <v>1</v>
      </c>
      <c r="M109" s="11">
        <v>1</v>
      </c>
      <c r="N109" s="106">
        <f t="shared" si="4"/>
        <v>48</v>
      </c>
      <c r="O109" s="107"/>
      <c r="P109" s="95"/>
      <c r="Q109" s="65" t="s">
        <v>1788</v>
      </c>
      <c r="R109" s="18">
        <v>38000</v>
      </c>
      <c r="S109" s="12">
        <v>39520</v>
      </c>
      <c r="T109" s="12">
        <v>41040</v>
      </c>
      <c r="U109" s="167"/>
      <c r="V109" s="168"/>
      <c r="W109" s="13">
        <v>250</v>
      </c>
    </row>
    <row r="110" spans="1:25">
      <c r="A110" s="21" t="s">
        <v>105</v>
      </c>
      <c r="B110" s="44" t="str">
        <f>IFERROR(HYPERLINK(VLOOKUP(A110,ÜRÜNLER!A:C,3,FALSE),VLOOKUP(A110,ÜRÜNLER!A:B,2,FALSE)),"")</f>
        <v>iQ700 Isı Pompalı Kurutma Makinesi, 9kg, Beyaz</v>
      </c>
      <c r="C110" s="8">
        <v>159</v>
      </c>
      <c r="D110" s="8"/>
      <c r="E110" s="9"/>
      <c r="F110" s="9">
        <v>1</v>
      </c>
      <c r="G110" s="10"/>
      <c r="H110" s="10"/>
      <c r="I110" s="11">
        <v>2</v>
      </c>
      <c r="J110" s="11"/>
      <c r="K110" s="10"/>
      <c r="L110" s="10">
        <v>1</v>
      </c>
      <c r="M110" s="11"/>
      <c r="N110" s="106">
        <f t="shared" si="4"/>
        <v>163</v>
      </c>
      <c r="O110" s="107">
        <v>5</v>
      </c>
      <c r="P110" s="95"/>
      <c r="Q110" s="45">
        <v>61286.692413916055</v>
      </c>
      <c r="R110" s="158">
        <v>56996.62394494193</v>
      </c>
      <c r="S110" s="12">
        <v>59276.488902739606</v>
      </c>
      <c r="T110" s="12">
        <v>61556.353860537281</v>
      </c>
      <c r="U110" s="167"/>
      <c r="V110" s="168"/>
      <c r="W110" s="13"/>
    </row>
    <row r="111" spans="1:25">
      <c r="A111" s="69" t="s">
        <v>106</v>
      </c>
      <c r="B111" s="44" t="str">
        <f>IFERROR(HYPERLINK(VLOOKUP(A111,ÜRÜNLER!A:C,3,FALSE),VLOOKUP(A111,ÜRÜNLER!A:B,2,FALSE)),"")</f>
        <v>iQ700 Isı Pompalı Kurutma Makinesi, 9kg, Gümüş</v>
      </c>
      <c r="C111" s="8">
        <v>106</v>
      </c>
      <c r="D111" s="8"/>
      <c r="E111" s="9"/>
      <c r="F111" s="9">
        <v>1</v>
      </c>
      <c r="G111" s="10"/>
      <c r="H111" s="10"/>
      <c r="I111" s="11">
        <v>1</v>
      </c>
      <c r="J111" s="11">
        <v>1</v>
      </c>
      <c r="K111" s="10">
        <v>1</v>
      </c>
      <c r="L111" s="10"/>
      <c r="M111" s="11">
        <v>1</v>
      </c>
      <c r="N111" s="106">
        <f t="shared" si="4"/>
        <v>111</v>
      </c>
      <c r="O111" s="107">
        <v>5</v>
      </c>
      <c r="P111" s="95"/>
      <c r="Q111" s="45">
        <v>62304.674762486175</v>
      </c>
      <c r="R111" s="158">
        <v>57943.347529112143</v>
      </c>
      <c r="S111" s="12">
        <v>60261.08143027663</v>
      </c>
      <c r="T111" s="12">
        <v>62578.815331441117</v>
      </c>
      <c r="U111" s="167"/>
      <c r="V111" s="168"/>
      <c r="W111" s="13"/>
    </row>
    <row r="112" spans="1:25">
      <c r="A112" s="21" t="s">
        <v>469</v>
      </c>
      <c r="B112" s="44" t="str">
        <f>IFERROR(HYPERLINK(VLOOKUP(A112,ÜRÜNLER!A:C,3,FALSE),VLOOKUP(A112,ÜRÜNLER!A:B,2,FALSE)),"")</f>
        <v>iQ300 Isı Pompalı Kurutma Makinesi, 10kg, Beyaz</v>
      </c>
      <c r="C112" s="8">
        <v>329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06">
        <f t="shared" si="4"/>
        <v>330</v>
      </c>
      <c r="O112" s="107">
        <v>18</v>
      </c>
      <c r="P112" s="95"/>
      <c r="Q112" s="45">
        <v>42717.122969696531</v>
      </c>
      <c r="R112" s="158">
        <v>39726.924361817772</v>
      </c>
      <c r="S112" s="12">
        <v>41316.001336290479</v>
      </c>
      <c r="T112" s="12">
        <v>42905.078310763194</v>
      </c>
      <c r="U112" s="167">
        <v>879.91366737095086</v>
      </c>
      <c r="V112" s="168"/>
      <c r="W112" s="160"/>
    </row>
    <row r="113" spans="1:24">
      <c r="A113" s="111" t="s">
        <v>1309</v>
      </c>
      <c r="B113" s="44" t="str">
        <f>IFERROR(HYPERLINK(VLOOKUP(A113,ÜRÜNLER!A:C,3,FALSE),VLOOKUP(A113,ÜRÜNLER!A:B,2,FALSE)),"")</f>
        <v>iQ500 Isı Pompalı Kurutma Makinesi, 10kg, Antrasit/Dark</v>
      </c>
      <c r="C113" s="8">
        <v>142</v>
      </c>
      <c r="D113" s="8"/>
      <c r="E113" s="9"/>
      <c r="F113" s="9">
        <v>2</v>
      </c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4"/>
        <v>147</v>
      </c>
      <c r="O113" s="107"/>
      <c r="P113" s="95"/>
      <c r="Q113" s="45">
        <v>45281.496328029381</v>
      </c>
      <c r="R113" s="158">
        <v>42111.791585067323</v>
      </c>
      <c r="S113" s="12">
        <v>43796.263248470015</v>
      </c>
      <c r="T113" s="12">
        <v>45480.734911872707</v>
      </c>
      <c r="U113" s="167"/>
      <c r="V113" s="168"/>
      <c r="W113" s="160"/>
    </row>
    <row r="114" spans="1:24">
      <c r="A114" s="21" t="s">
        <v>108</v>
      </c>
      <c r="B114" s="44" t="str">
        <f>IFERROR(HYPERLINK(VLOOKUP(A114,ÜRÜNLER!A:C,3,FALSE),VLOOKUP(A114,ÜRÜNLER!A:B,2,FALSE)),"")</f>
        <v>iQ500 Isı Pompalı Kurutma Makinesi, 10kg, Beyaz</v>
      </c>
      <c r="C114" s="8"/>
      <c r="D114" s="8"/>
      <c r="E114" s="9"/>
      <c r="F114" s="9"/>
      <c r="G114" s="10"/>
      <c r="H114" s="10"/>
      <c r="I114" s="11"/>
      <c r="J114" s="11">
        <v>1</v>
      </c>
      <c r="K114" s="10">
        <v>1</v>
      </c>
      <c r="L114" s="10"/>
      <c r="M114" s="11"/>
      <c r="N114" s="106">
        <f t="shared" si="4"/>
        <v>2</v>
      </c>
      <c r="O114" s="107">
        <v>27</v>
      </c>
      <c r="P114" s="95"/>
      <c r="Q114" s="45">
        <v>45280.150347878327</v>
      </c>
      <c r="R114" s="22">
        <v>45280.150347878327</v>
      </c>
      <c r="S114" s="12">
        <v>47091.356361793463</v>
      </c>
      <c r="T114" s="12">
        <v>48902.562375708592</v>
      </c>
      <c r="U114" s="167"/>
      <c r="V114" s="168"/>
      <c r="W114" s="13"/>
    </row>
    <row r="115" spans="1:24">
      <c r="A115" s="21" t="s">
        <v>101</v>
      </c>
      <c r="B115" s="44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/>
      <c r="J115" s="11">
        <v>1</v>
      </c>
      <c r="K115" s="10"/>
      <c r="L115" s="10"/>
      <c r="M115" s="11">
        <v>1</v>
      </c>
      <c r="N115" s="106">
        <f t="shared" si="4"/>
        <v>3</v>
      </c>
      <c r="O115" s="107"/>
      <c r="P115" s="95"/>
      <c r="Q115" s="65" t="s">
        <v>1788</v>
      </c>
      <c r="R115" s="39">
        <v>35000</v>
      </c>
      <c r="S115" s="12">
        <v>36400</v>
      </c>
      <c r="T115" s="12">
        <v>37800</v>
      </c>
      <c r="U115" s="167"/>
      <c r="V115" s="168"/>
      <c r="W115" s="182">
        <v>1000</v>
      </c>
    </row>
    <row r="116" spans="1:24" s="23" customFormat="1" ht="34.5" customHeight="1">
      <c r="A116" s="104" t="s">
        <v>109</v>
      </c>
      <c r="B116" s="44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06">
        <f>SUM(N104:N115)</f>
        <v>1267</v>
      </c>
      <c r="O116" s="107"/>
      <c r="P116" s="95"/>
      <c r="Q116" s="65"/>
      <c r="R116" s="22"/>
      <c r="S116" s="12"/>
      <c r="T116" s="12"/>
      <c r="U116" s="167"/>
      <c r="V116" s="168"/>
      <c r="W116" s="22"/>
      <c r="X116" s="185"/>
    </row>
    <row r="117" spans="1:24">
      <c r="A117" s="21" t="s">
        <v>112</v>
      </c>
      <c r="B117" s="44" t="str">
        <f>IFERROR(HYPERLINK(VLOOKUP(A117,ÜRÜNLER!A:C,3,FALSE),VLOOKUP(A117,ÜRÜNLER!A:B,2,FALSE)),"")</f>
        <v>iQ500 Solo Bulaşık Makinesi, autoOpen dry, glassZone, Inox</v>
      </c>
      <c r="C117" s="8">
        <v>24</v>
      </c>
      <c r="D117" s="8"/>
      <c r="E117" s="9"/>
      <c r="F117" s="9">
        <v>1</v>
      </c>
      <c r="G117" s="10"/>
      <c r="H117" s="10"/>
      <c r="I117" s="11"/>
      <c r="J117" s="11"/>
      <c r="K117" s="10">
        <v>1</v>
      </c>
      <c r="L117" s="10"/>
      <c r="M117" s="11"/>
      <c r="N117" s="106">
        <f t="shared" ref="N117:N141" si="5">M117+K117+L117+J117+I117+H117+G117+F117+E117+D117+C117</f>
        <v>26</v>
      </c>
      <c r="O117" s="107">
        <v>1</v>
      </c>
      <c r="P117" s="95"/>
      <c r="Q117" s="45">
        <v>39598.508002816263</v>
      </c>
      <c r="R117" s="41">
        <v>36826.612442619124</v>
      </c>
      <c r="S117" s="12">
        <v>38299.676940323887</v>
      </c>
      <c r="T117" s="12">
        <v>39772.74143802865</v>
      </c>
      <c r="U117" s="167"/>
      <c r="V117" s="168"/>
      <c r="W117" s="13"/>
    </row>
    <row r="118" spans="1:24">
      <c r="A118" s="119" t="s">
        <v>113</v>
      </c>
      <c r="B118" s="44" t="str">
        <f>IFERROR(HYPERLINK(VLOOKUP(A118,ÜRÜNLER!A:C,3,FALSE),VLOOKUP(A118,ÜRÜNLER!A:B,2,FALSE)),"")</f>
        <v>iQ500 Solo Bulaşık Makinesi, autoOpen dry, glassZone, darkSteel</v>
      </c>
      <c r="C118" s="8">
        <v>130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/>
      <c r="M118" s="11">
        <v>1</v>
      </c>
      <c r="N118" s="106">
        <f t="shared" si="5"/>
        <v>133</v>
      </c>
      <c r="O118" s="107">
        <v>1</v>
      </c>
      <c r="P118" s="95"/>
      <c r="Q118" s="45">
        <v>41560.499949914731</v>
      </c>
      <c r="R118" s="41">
        <v>38651.264953420701</v>
      </c>
      <c r="S118" s="12">
        <v>40197.315551557527</v>
      </c>
      <c r="T118" s="12">
        <v>41743.366149694361</v>
      </c>
      <c r="U118" s="167"/>
      <c r="V118" s="168"/>
      <c r="W118" s="13"/>
    </row>
    <row r="119" spans="1:24">
      <c r="A119" s="21" t="s">
        <v>111</v>
      </c>
      <c r="B119" s="44" t="str">
        <f>IFERROR(HYPERLINK(VLOOKUP(A119,ÜRÜNLER!A:C,3,FALSE),VLOOKUP(A119,ÜRÜNLER!A:B,2,FALSE)),"")</f>
        <v>iQ500 Solo Bulaşık Makinesi, autoOpen dry, glassZone, Beyaz</v>
      </c>
      <c r="C119" s="8">
        <v>47</v>
      </c>
      <c r="D119" s="8"/>
      <c r="E119" s="9"/>
      <c r="F119" s="9">
        <v>2</v>
      </c>
      <c r="G119" s="10"/>
      <c r="H119" s="10"/>
      <c r="I119" s="11"/>
      <c r="J119" s="11"/>
      <c r="K119" s="10"/>
      <c r="L119" s="10"/>
      <c r="M119" s="11"/>
      <c r="N119" s="106">
        <f t="shared" si="5"/>
        <v>49</v>
      </c>
      <c r="O119" s="107"/>
      <c r="P119" s="95"/>
      <c r="Q119" s="45">
        <v>36919.657672117362</v>
      </c>
      <c r="R119" s="41">
        <v>34335.28163506915</v>
      </c>
      <c r="S119" s="12">
        <v>35708.692900471913</v>
      </c>
      <c r="T119" s="12">
        <v>37082.104165874684</v>
      </c>
      <c r="U119" s="167"/>
      <c r="V119" s="168"/>
      <c r="W119" s="13"/>
    </row>
    <row r="120" spans="1:24">
      <c r="A120" s="21" t="s">
        <v>114</v>
      </c>
      <c r="B120" s="44" t="str">
        <f>IFERROR(HYPERLINK(VLOOKUP(A120,ÜRÜNLER!A:C,3,FALSE),VLOOKUP(A120,ÜRÜNLER!A:B,2,FALSE)),"")</f>
        <v>iQ100 Solo Bulaşık Makinesi, Inox</v>
      </c>
      <c r="C120" s="8">
        <v>70</v>
      </c>
      <c r="D120" s="8"/>
      <c r="E120" s="9"/>
      <c r="F120" s="9">
        <v>1</v>
      </c>
      <c r="G120" s="10"/>
      <c r="H120" s="10"/>
      <c r="I120" s="11">
        <v>1</v>
      </c>
      <c r="J120" s="11">
        <v>1</v>
      </c>
      <c r="K120" s="10"/>
      <c r="L120" s="10">
        <v>1</v>
      </c>
      <c r="M120" s="11">
        <v>1</v>
      </c>
      <c r="N120" s="106">
        <f t="shared" si="5"/>
        <v>75</v>
      </c>
      <c r="O120" s="107"/>
      <c r="P120" s="98" t="s">
        <v>1545</v>
      </c>
      <c r="Q120" s="45">
        <v>28392.60538072262</v>
      </c>
      <c r="R120" s="45">
        <v>27000</v>
      </c>
      <c r="S120" s="12">
        <v>28080</v>
      </c>
      <c r="T120" s="12">
        <v>29160</v>
      </c>
      <c r="U120" s="167">
        <v>1206.5588690947116</v>
      </c>
      <c r="V120" s="168"/>
      <c r="W120" s="13"/>
    </row>
    <row r="121" spans="1:24">
      <c r="A121" s="21" t="s">
        <v>115</v>
      </c>
      <c r="B121" s="44" t="str">
        <f>IFERROR(HYPERLINK(VLOOKUP(A121,ÜRÜNLER!A:C,3,FALSE),VLOOKUP(A121,ÜRÜNLER!A:B,2,FALSE)),"")</f>
        <v>iQ100 Solo Bulaşık Makinesi, Beyaz</v>
      </c>
      <c r="C121" s="8">
        <v>21</v>
      </c>
      <c r="D121" s="8"/>
      <c r="E121" s="9"/>
      <c r="F121" s="9">
        <v>1</v>
      </c>
      <c r="G121" s="10"/>
      <c r="H121" s="10"/>
      <c r="I121" s="11">
        <v>1</v>
      </c>
      <c r="J121" s="11">
        <v>1</v>
      </c>
      <c r="K121" s="10">
        <v>1</v>
      </c>
      <c r="L121" s="10">
        <v>2</v>
      </c>
      <c r="M121" s="11"/>
      <c r="N121" s="106">
        <f t="shared" si="5"/>
        <v>27</v>
      </c>
      <c r="O121" s="107">
        <v>1</v>
      </c>
      <c r="P121" s="98" t="s">
        <v>1545</v>
      </c>
      <c r="Q121" s="45">
        <v>27155.374846273568</v>
      </c>
      <c r="R121" s="45">
        <v>26000</v>
      </c>
      <c r="S121" s="12">
        <v>27040</v>
      </c>
      <c r="T121" s="12">
        <v>28080</v>
      </c>
      <c r="U121" s="167">
        <v>2492.5841485991482</v>
      </c>
      <c r="V121" s="168"/>
      <c r="W121" s="13"/>
    </row>
    <row r="122" spans="1:24">
      <c r="A122" s="70" t="s">
        <v>125</v>
      </c>
      <c r="B122" s="44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1</v>
      </c>
      <c r="J122" s="11"/>
      <c r="K122" s="10"/>
      <c r="L122" s="10"/>
      <c r="M122" s="11"/>
      <c r="N122" s="106">
        <f t="shared" si="5"/>
        <v>1</v>
      </c>
      <c r="O122" s="107"/>
      <c r="P122" s="95"/>
      <c r="Q122" s="65" t="s">
        <v>1788</v>
      </c>
      <c r="R122" s="14">
        <v>33624</v>
      </c>
      <c r="S122" s="12">
        <v>34968.959999999999</v>
      </c>
      <c r="T122" s="12">
        <v>36313.919999999998</v>
      </c>
      <c r="U122" s="167"/>
      <c r="V122" s="168">
        <v>7623.5399999999991</v>
      </c>
      <c r="W122" s="182">
        <v>1000</v>
      </c>
    </row>
    <row r="123" spans="1:24">
      <c r="A123" s="21" t="s">
        <v>126</v>
      </c>
      <c r="B123" s="44" t="str">
        <f>IFERROR(HYPERLINK(VLOOKUP(A123,ÜRÜNLER!A:C,3,FALSE),VLOOKUP(A123,ÜRÜNLER!A:B,2,FALSE)),"")</f>
        <v>iQ500 Solo Bulaşık Makinesi, autoOpen dry, Beyaz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2</v>
      </c>
      <c r="M123" s="11"/>
      <c r="N123" s="106">
        <f t="shared" si="5"/>
        <v>4</v>
      </c>
      <c r="O123" s="107"/>
      <c r="P123" s="95"/>
      <c r="Q123" s="65" t="s">
        <v>1788</v>
      </c>
      <c r="R123" s="39">
        <v>35377</v>
      </c>
      <c r="S123" s="12">
        <v>36792.080000000002</v>
      </c>
      <c r="T123" s="12">
        <v>38207.160000000003</v>
      </c>
      <c r="U123" s="167"/>
      <c r="V123" s="168">
        <v>7376.8919999999998</v>
      </c>
      <c r="W123" s="182">
        <v>1000</v>
      </c>
    </row>
    <row r="124" spans="1:24">
      <c r="A124" s="21" t="s">
        <v>116</v>
      </c>
      <c r="B124" s="44" t="str">
        <f>IFERROR(HYPERLINK(VLOOKUP(A124,ÜRÜNLER!A:C,3,FALSE),VLOOKUP(A124,ÜRÜNLER!A:B,2,FALSE)),"")</f>
        <v>iQ300 Solo Bulaşık Makinesi, autoOpen dry, Beyaz</v>
      </c>
      <c r="C124" s="8">
        <v>68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06">
        <f t="shared" si="5"/>
        <v>69</v>
      </c>
      <c r="O124" s="107">
        <v>1</v>
      </c>
      <c r="P124" s="95"/>
      <c r="Q124" s="45">
        <v>34609.794751972418</v>
      </c>
      <c r="R124" s="41">
        <v>32187.109119334349</v>
      </c>
      <c r="S124" s="12">
        <v>33474.593484107725</v>
      </c>
      <c r="T124" s="12">
        <v>34762.077848881097</v>
      </c>
      <c r="U124" s="167">
        <v>5307.4691705770683</v>
      </c>
      <c r="V124" s="168"/>
      <c r="W124" s="13"/>
    </row>
    <row r="125" spans="1:24">
      <c r="A125" s="119" t="s">
        <v>117</v>
      </c>
      <c r="B125" s="44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/>
      <c r="L125" s="10">
        <v>1</v>
      </c>
      <c r="M125" s="11"/>
      <c r="N125" s="106">
        <f t="shared" si="5"/>
        <v>1</v>
      </c>
      <c r="O125" s="107"/>
      <c r="P125" s="95"/>
      <c r="Q125" s="65" t="s">
        <v>1788</v>
      </c>
      <c r="R125" s="39">
        <v>44765</v>
      </c>
      <c r="S125" s="12">
        <v>46555.6</v>
      </c>
      <c r="T125" s="12">
        <v>48346.2</v>
      </c>
      <c r="U125" s="167">
        <v>765.47776519042975</v>
      </c>
      <c r="V125" s="168"/>
      <c r="W125" s="182">
        <v>1000</v>
      </c>
    </row>
    <row r="126" spans="1:24">
      <c r="A126" s="25" t="s">
        <v>118</v>
      </c>
      <c r="B126" s="44" t="str">
        <f>IFERROR(HYPERLINK(VLOOKUP(A126,ÜRÜNLER!A:C,3,FALSE),VLOOKUP(A126,ÜRÜNLER!A:B,2,FALSE)),"")</f>
        <v>iQ500 Solo Bulaşık Makinesi, Üstten Sepetli, Beyaz Cam</v>
      </c>
      <c r="C126" s="173">
        <v>1</v>
      </c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06">
        <f t="shared" si="5"/>
        <v>2</v>
      </c>
      <c r="O126" s="107"/>
      <c r="P126" s="95"/>
      <c r="Q126" s="65" t="s">
        <v>1788</v>
      </c>
      <c r="R126" s="39">
        <v>43000</v>
      </c>
      <c r="S126" s="12">
        <v>44720</v>
      </c>
      <c r="T126" s="12">
        <v>46440</v>
      </c>
      <c r="U126" s="167">
        <v>765.47476309561171</v>
      </c>
      <c r="V126" s="168"/>
      <c r="W126" s="13"/>
    </row>
    <row r="127" spans="1:24">
      <c r="A127" s="70" t="s">
        <v>119</v>
      </c>
      <c r="B127" s="44" t="str">
        <f>IFERROR(HYPERLINK(VLOOKUP(A127,ÜRÜNLER!A:C,3,FALSE),VLOOKUP(A127,ÜRÜNLER!A:B,2,FALSE)),"")</f>
        <v>iQ500 Solo Bulaşık Makinesi, Üstten Sepetli, Antrasit Cam</v>
      </c>
      <c r="C127" s="8">
        <v>4</v>
      </c>
      <c r="D127" s="8"/>
      <c r="E127" s="9"/>
      <c r="F127" s="9"/>
      <c r="G127" s="10"/>
      <c r="H127" s="10"/>
      <c r="I127" s="11">
        <v>1</v>
      </c>
      <c r="J127" s="11"/>
      <c r="K127" s="10"/>
      <c r="L127" s="10">
        <v>1</v>
      </c>
      <c r="M127" s="11"/>
      <c r="N127" s="106">
        <f t="shared" si="5"/>
        <v>6</v>
      </c>
      <c r="O127" s="107"/>
      <c r="P127" s="95"/>
      <c r="Q127" s="45">
        <v>45858.498018909566</v>
      </c>
      <c r="R127" s="17">
        <v>43565.573117964086</v>
      </c>
      <c r="S127" s="12">
        <v>45308.196042682648</v>
      </c>
      <c r="T127" s="12">
        <v>47050.81896740121</v>
      </c>
      <c r="U127" s="167">
        <v>765.47476309561171</v>
      </c>
      <c r="V127" s="168"/>
      <c r="W127" s="13"/>
    </row>
    <row r="128" spans="1:24">
      <c r="A128" s="111" t="s">
        <v>120</v>
      </c>
      <c r="B128" s="44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/>
      <c r="L128" s="10">
        <v>1</v>
      </c>
      <c r="M128" s="11"/>
      <c r="N128" s="106">
        <f t="shared" si="5"/>
        <v>3</v>
      </c>
      <c r="O128" s="107"/>
      <c r="P128" s="95"/>
      <c r="Q128" s="65" t="s">
        <v>1788</v>
      </c>
      <c r="R128" s="39">
        <v>36000</v>
      </c>
      <c r="S128" s="12">
        <v>37440</v>
      </c>
      <c r="T128" s="12">
        <v>38880</v>
      </c>
      <c r="U128" s="167"/>
      <c r="V128" s="168"/>
      <c r="W128" s="182">
        <v>500</v>
      </c>
    </row>
    <row r="129" spans="1:25">
      <c r="A129" s="70" t="s">
        <v>121</v>
      </c>
      <c r="B129" s="44" t="str">
        <f>IFERROR(HYPERLINK(VLOOKUP(A129,ÜRÜNLER!A:C,3,FALSE),VLOOKUP(A129,ÜRÜNLER!A:B,2,FALSE)),"")</f>
        <v>iQ300 Solo Bulaşık Makinesi, Inox</v>
      </c>
      <c r="C129" s="8">
        <v>68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>
        <v>1</v>
      </c>
      <c r="M129" s="11"/>
      <c r="N129" s="106">
        <f t="shared" si="5"/>
        <v>72</v>
      </c>
      <c r="O129" s="107">
        <v>1</v>
      </c>
      <c r="P129" s="96"/>
      <c r="Q129" s="45">
        <v>36240.481354441705</v>
      </c>
      <c r="R129" s="17">
        <v>34428.457286719618</v>
      </c>
      <c r="S129" s="12">
        <v>35805.595578188404</v>
      </c>
      <c r="T129" s="12">
        <v>37182.73386965719</v>
      </c>
      <c r="U129" s="167">
        <v>5961.4115869998423</v>
      </c>
      <c r="V129" s="168"/>
      <c r="W129" s="13"/>
    </row>
    <row r="130" spans="1:25">
      <c r="A130" s="25" t="s">
        <v>123</v>
      </c>
      <c r="B130" s="44" t="str">
        <f>IFERROR(HYPERLINK(VLOOKUP(A130,ÜRÜNLER!A:C,3,FALSE),VLOOKUP(A130,ÜRÜNLER!A:B,2,FALSE)),"")</f>
        <v>iQ300 Solo Bulaşık Makinesi, Beyaz</v>
      </c>
      <c r="C130" s="8">
        <v>127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>
        <v>1</v>
      </c>
      <c r="M130" s="11">
        <v>1</v>
      </c>
      <c r="N130" s="106">
        <f t="shared" si="5"/>
        <v>133</v>
      </c>
      <c r="O130" s="107">
        <v>1</v>
      </c>
      <c r="P130" s="96"/>
      <c r="Q130" s="45">
        <v>33948.361891003922</v>
      </c>
      <c r="R130" s="41">
        <v>31571.976558633647</v>
      </c>
      <c r="S130" s="157">
        <v>32834.855620978989</v>
      </c>
      <c r="T130" s="157">
        <v>34097.734683324335</v>
      </c>
      <c r="U130" s="167">
        <v>5704.1758444922925</v>
      </c>
      <c r="V130" s="168"/>
      <c r="W130" s="13"/>
    </row>
    <row r="131" spans="1:25">
      <c r="A131" s="25" t="s">
        <v>122</v>
      </c>
      <c r="B131" s="44" t="str">
        <f>IFERROR(HYPERLINK(VLOOKUP(A131,ÜRÜNLER!A:C,3,FALSE),VLOOKUP(A131,ÜRÜNLER!A:B,2,FALSE)),"")</f>
        <v>iQ300 Solo Bulaşık Makinesi, Üstten Sepetli, Inox</v>
      </c>
      <c r="C131" s="8">
        <v>4</v>
      </c>
      <c r="D131" s="8"/>
      <c r="E131" s="9"/>
      <c r="F131" s="9">
        <v>1</v>
      </c>
      <c r="G131" s="10"/>
      <c r="H131" s="10"/>
      <c r="I131" s="11">
        <v>1</v>
      </c>
      <c r="J131" s="11">
        <v>1</v>
      </c>
      <c r="K131" s="10"/>
      <c r="L131" s="10">
        <v>1</v>
      </c>
      <c r="M131" s="11"/>
      <c r="N131" s="106">
        <f t="shared" si="5"/>
        <v>8</v>
      </c>
      <c r="O131" s="107"/>
      <c r="P131" s="95"/>
      <c r="Q131" s="65" t="s">
        <v>1788</v>
      </c>
      <c r="R131" s="17">
        <v>33000</v>
      </c>
      <c r="S131" s="12">
        <v>34320</v>
      </c>
      <c r="T131" s="12">
        <v>35640</v>
      </c>
      <c r="U131" s="167">
        <v>1300.6503648836806</v>
      </c>
      <c r="V131" s="168"/>
      <c r="W131" s="13"/>
    </row>
    <row r="132" spans="1:25">
      <c r="A132" s="21" t="s">
        <v>124</v>
      </c>
      <c r="B132" s="44" t="str">
        <f>IFERROR(HYPERLINK(VLOOKUP(A132,ÜRÜNLER!A:C,3,FALSE),VLOOKUP(A132,ÜRÜNLER!A:B,2,FALSE)),"")</f>
        <v>iQ300 Solo Bulaşık Makinesi, Üstten Sepetli, Beyaz</v>
      </c>
      <c r="C132" s="8">
        <v>10</v>
      </c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0">
        <v>3</v>
      </c>
      <c r="M132" s="11"/>
      <c r="N132" s="106">
        <f t="shared" si="5"/>
        <v>16</v>
      </c>
      <c r="O132" s="107"/>
      <c r="P132" s="95"/>
      <c r="Q132" s="65" t="s">
        <v>1788</v>
      </c>
      <c r="R132" s="17">
        <v>31000</v>
      </c>
      <c r="S132" s="12">
        <v>32240</v>
      </c>
      <c r="T132" s="12">
        <v>33480</v>
      </c>
      <c r="U132" s="167">
        <v>1655.4598710930989</v>
      </c>
      <c r="V132" s="168"/>
      <c r="W132" s="13"/>
    </row>
    <row r="133" spans="1:25">
      <c r="A133" s="21" t="s">
        <v>127</v>
      </c>
      <c r="B133" s="44" t="str">
        <f>IFERROR(HYPERLINK(VLOOKUP(A133,ÜRÜNLER!A:C,3,FALSE),VLOOKUP(A133,ÜRÜNLER!A:B,2,FALSE)),"")</f>
        <v>iQ500 Solo Bulaşık Makinesi, autoOpen dry, Inox</v>
      </c>
      <c r="C133" s="8">
        <v>8</v>
      </c>
      <c r="D133" s="8"/>
      <c r="E133" s="9"/>
      <c r="F133" s="9">
        <v>4</v>
      </c>
      <c r="G133" s="10"/>
      <c r="H133" s="10"/>
      <c r="I133" s="11"/>
      <c r="J133" s="11">
        <v>1</v>
      </c>
      <c r="K133" s="10"/>
      <c r="L133" s="10"/>
      <c r="M133" s="11"/>
      <c r="N133" s="106">
        <f t="shared" si="5"/>
        <v>13</v>
      </c>
      <c r="O133" s="107">
        <v>1</v>
      </c>
      <c r="P133" s="95"/>
      <c r="Q133" s="45">
        <v>38700.70038666964</v>
      </c>
      <c r="R133" s="187">
        <v>38313.693382802943</v>
      </c>
      <c r="S133" s="12">
        <v>39846.24111811506</v>
      </c>
      <c r="T133" s="12">
        <v>41378.788853427177</v>
      </c>
      <c r="U133" s="167"/>
      <c r="V133" s="168"/>
      <c r="W133" s="13"/>
      <c r="Y133" s="185">
        <v>40600</v>
      </c>
    </row>
    <row r="134" spans="1:25">
      <c r="A134" s="21" t="s">
        <v>110</v>
      </c>
      <c r="B134" s="44" t="str">
        <f>IFERROR(HYPERLINK(VLOOKUP(A134,ÜRÜNLER!A:C,3,FALSE),VLOOKUP(A134,ÜRÜNLER!A:B,2,FALSE)),"")</f>
        <v>iQ500 Solo Bulaşık Makinesi, autoOpen dry, Üstten Sepetli, Inox</v>
      </c>
      <c r="C134" s="8">
        <v>18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06">
        <f t="shared" si="5"/>
        <v>18</v>
      </c>
      <c r="O134" s="107"/>
      <c r="P134" s="95"/>
      <c r="Q134" s="45">
        <v>40180.240789955569</v>
      </c>
      <c r="R134" s="187">
        <v>39778.438382056011</v>
      </c>
      <c r="S134" s="12">
        <v>41369.575917338254</v>
      </c>
      <c r="T134" s="12">
        <v>42960.71345262049</v>
      </c>
      <c r="U134" s="167"/>
      <c r="V134" s="168"/>
      <c r="W134" s="13"/>
      <c r="Y134" s="185">
        <v>42000</v>
      </c>
    </row>
    <row r="135" spans="1:25">
      <c r="A135" s="25" t="s">
        <v>129</v>
      </c>
      <c r="B135" s="44" t="str">
        <f>IFERROR(HYPERLINK(VLOOKUP(A135,ÜRÜNLER!A:C,3,FALSE),VLOOKUP(A135,ÜRÜNLER!A:B,2,FALSE)),"")</f>
        <v>iQ500 Solo Bulaşık Makinesi, autoOpen dry, Üstten Sepetli, Inox</v>
      </c>
      <c r="C135" s="8">
        <v>3</v>
      </c>
      <c r="D135" s="8"/>
      <c r="E135" s="9"/>
      <c r="F135" s="9">
        <v>1</v>
      </c>
      <c r="G135" s="10"/>
      <c r="H135" s="10"/>
      <c r="I135" s="11">
        <v>1</v>
      </c>
      <c r="J135" s="11"/>
      <c r="K135" s="10"/>
      <c r="L135" s="10">
        <v>1</v>
      </c>
      <c r="M135" s="11"/>
      <c r="N135" s="106">
        <f t="shared" si="5"/>
        <v>6</v>
      </c>
      <c r="O135" s="107">
        <v>16</v>
      </c>
      <c r="P135" s="95"/>
      <c r="Q135" s="45">
        <v>46240.767259781307</v>
      </c>
      <c r="R135" s="17">
        <v>43928.728896792243</v>
      </c>
      <c r="S135" s="12">
        <v>45685.878052663931</v>
      </c>
      <c r="T135" s="12">
        <v>47443.027208535626</v>
      </c>
      <c r="U135" s="167"/>
      <c r="V135" s="168"/>
      <c r="W135" s="13"/>
      <c r="Y135" s="185"/>
    </row>
    <row r="136" spans="1:25">
      <c r="A136" s="25" t="s">
        <v>130</v>
      </c>
      <c r="B136" s="44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06">
        <f t="shared" si="5"/>
        <v>2</v>
      </c>
      <c r="O136" s="107"/>
      <c r="P136" s="95"/>
      <c r="Q136" s="65" t="s">
        <v>1788</v>
      </c>
      <c r="R136" s="39">
        <v>49000</v>
      </c>
      <c r="S136" s="12">
        <v>50960</v>
      </c>
      <c r="T136" s="12">
        <v>52920</v>
      </c>
      <c r="U136" s="167"/>
      <c r="V136" s="168"/>
      <c r="W136" s="182">
        <v>1000</v>
      </c>
      <c r="Y136" s="185"/>
    </row>
    <row r="137" spans="1:25">
      <c r="A137" s="21" t="s">
        <v>133</v>
      </c>
      <c r="B137" s="44" t="str">
        <f>IFERROR(HYPERLINK(VLOOKUP(A137,ÜRÜNLER!A:C,3,FALSE),VLOOKUP(A137,ÜRÜNLER!A:B,2,FALSE)),"")</f>
        <v>iQ500 Solo Bulaşık Makinesi, autoOpen dry, glassZone, Üstten Sepetli, Inox</v>
      </c>
      <c r="C137" s="8">
        <v>6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 t="shared" si="5"/>
        <v>6</v>
      </c>
      <c r="O137" s="107"/>
      <c r="P137" s="95"/>
      <c r="Q137" s="45">
        <v>54303.594860370264</v>
      </c>
      <c r="R137" s="17">
        <v>51588.415117351753</v>
      </c>
      <c r="S137" s="12">
        <v>53651.951722045822</v>
      </c>
      <c r="T137" s="12">
        <v>55715.488326739891</v>
      </c>
      <c r="U137" s="167"/>
      <c r="V137" s="168"/>
      <c r="W137" s="13"/>
      <c r="Y137" s="185"/>
    </row>
    <row r="138" spans="1:25">
      <c r="A138" s="21" t="s">
        <v>128</v>
      </c>
      <c r="B138" s="44" t="str">
        <f>IFERROR(HYPERLINK(VLOOKUP(A138,ÜRÜNLER!A:C,3,FALSE),VLOOKUP(A138,ÜRÜNLER!A:B,2,FALSE)),"")</f>
        <v>iQ500 Solo Bulaşık Makinesi, autoOpen dry, Beyaz</v>
      </c>
      <c r="C138" s="8">
        <v>3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06">
        <f t="shared" si="5"/>
        <v>4</v>
      </c>
      <c r="O138" s="107">
        <v>2</v>
      </c>
      <c r="P138" s="95"/>
      <c r="Q138" s="45">
        <v>36941.986573765011</v>
      </c>
      <c r="R138" s="187">
        <v>36572.566708027363</v>
      </c>
      <c r="S138" s="12">
        <v>38035.469376348461</v>
      </c>
      <c r="T138" s="12">
        <v>39498.372044669552</v>
      </c>
      <c r="U138" s="167">
        <v>639.66099236965965</v>
      </c>
      <c r="V138" s="168"/>
      <c r="W138" s="13"/>
      <c r="Y138" s="185">
        <v>36800</v>
      </c>
    </row>
    <row r="139" spans="1:25">
      <c r="A139" s="21" t="s">
        <v>131</v>
      </c>
      <c r="B139" s="44" t="str">
        <f>IFERROR(HYPERLINK(VLOOKUP(A139,ÜRÜNLER!A:C,3,FALSE),VLOOKUP(A139,ÜRÜNLER!A:B,2,FALSE)),"")</f>
        <v>iQ500 Solo Bulaşık Makinesi, autoOpen dry, Üstten Sepetli, Beyaz</v>
      </c>
      <c r="C139" s="8"/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06">
        <f t="shared" si="5"/>
        <v>1</v>
      </c>
      <c r="O139" s="107"/>
      <c r="P139" s="95"/>
      <c r="Q139" s="65" t="s">
        <v>1788</v>
      </c>
      <c r="R139" s="39">
        <v>43000</v>
      </c>
      <c r="S139" s="12">
        <v>44720</v>
      </c>
      <c r="T139" s="12">
        <v>46440</v>
      </c>
      <c r="U139" s="167"/>
      <c r="V139" s="168"/>
      <c r="W139" s="183">
        <v>1000</v>
      </c>
    </row>
    <row r="140" spans="1:25">
      <c r="A140" s="21" t="s">
        <v>132</v>
      </c>
      <c r="B140" s="44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06">
        <f t="shared" si="5"/>
        <v>1</v>
      </c>
      <c r="O140" s="107"/>
      <c r="P140" s="95"/>
      <c r="Q140" s="65" t="s">
        <v>1788</v>
      </c>
      <c r="R140" s="18">
        <v>44000</v>
      </c>
      <c r="S140" s="12">
        <v>45760</v>
      </c>
      <c r="T140" s="12">
        <v>47520</v>
      </c>
      <c r="U140" s="167"/>
      <c r="V140" s="168"/>
      <c r="W140" s="183">
        <v>1000</v>
      </c>
    </row>
    <row r="141" spans="1:25">
      <c r="A141" s="25" t="s">
        <v>134</v>
      </c>
      <c r="B141" s="44" t="str">
        <f>IFERROR(HYPERLINK(VLOOKUP(A141,ÜRÜNLER!A:C,3,FALSE),VLOOKUP(A141,ÜRÜNLER!A:B,2,FALSE)),"")</f>
        <v>iQ700 Solo Bulaşık Makinesi, Zeolith dry, glassZone, Inox</v>
      </c>
      <c r="C141" s="8">
        <v>27</v>
      </c>
      <c r="D141" s="8"/>
      <c r="E141" s="9"/>
      <c r="F141" s="9">
        <v>2</v>
      </c>
      <c r="G141" s="10"/>
      <c r="H141" s="10"/>
      <c r="I141" s="11">
        <v>1</v>
      </c>
      <c r="J141" s="11">
        <v>1</v>
      </c>
      <c r="K141" s="10">
        <v>1</v>
      </c>
      <c r="L141" s="10">
        <v>1</v>
      </c>
      <c r="M141" s="11">
        <v>1</v>
      </c>
      <c r="N141" s="106">
        <f t="shared" si="5"/>
        <v>34</v>
      </c>
      <c r="O141" s="107">
        <v>1</v>
      </c>
      <c r="P141" s="96"/>
      <c r="Q141" s="45">
        <v>58596.057623159752</v>
      </c>
      <c r="R141" s="41">
        <v>54494.333589538568</v>
      </c>
      <c r="S141" s="157">
        <v>56674.106933120114</v>
      </c>
      <c r="T141" s="157">
        <v>58853.880276701653</v>
      </c>
      <c r="U141" s="167"/>
      <c r="V141" s="168"/>
      <c r="W141" s="16"/>
    </row>
    <row r="142" spans="1:25" s="27" customFormat="1" ht="30">
      <c r="A142" s="26" t="s">
        <v>1548</v>
      </c>
      <c r="B142" s="44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>SUM(N117:N141)</f>
        <v>710</v>
      </c>
      <c r="O142" s="107"/>
      <c r="P142" s="95"/>
      <c r="Q142" s="65"/>
      <c r="R142" s="13"/>
      <c r="S142" s="12"/>
      <c r="T142" s="12"/>
      <c r="U142" s="167"/>
      <c r="V142" s="168"/>
      <c r="W142" s="13"/>
      <c r="X142" s="185"/>
    </row>
    <row r="143" spans="1:25">
      <c r="A143" s="114" t="s">
        <v>470</v>
      </c>
      <c r="B143" s="44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23</v>
      </c>
      <c r="D143" s="8"/>
      <c r="E143" s="9"/>
      <c r="F143" s="9"/>
      <c r="G143" s="10"/>
      <c r="H143" s="10"/>
      <c r="I143" s="11">
        <v>1</v>
      </c>
      <c r="J143" s="11"/>
      <c r="K143" s="10">
        <v>1</v>
      </c>
      <c r="L143" s="10"/>
      <c r="M143" s="11"/>
      <c r="N143" s="106">
        <f t="shared" ref="N143:N163" si="6">M143+K143+L143+J143+I143+H143+G143+F143+E143+D143+C143</f>
        <v>25</v>
      </c>
      <c r="O143" s="107">
        <v>1</v>
      </c>
      <c r="P143" s="95"/>
      <c r="Q143" s="45">
        <v>44436.132617510397</v>
      </c>
      <c r="R143" s="17">
        <v>42214.325986634874</v>
      </c>
      <c r="S143" s="12">
        <v>43902.899026100269</v>
      </c>
      <c r="T143" s="12">
        <v>45591.472065565664</v>
      </c>
      <c r="V143" s="168"/>
      <c r="W143" s="13"/>
      <c r="Y143" s="167" t="s">
        <v>1807</v>
      </c>
    </row>
    <row r="144" spans="1:25">
      <c r="A144" s="114" t="s">
        <v>471</v>
      </c>
      <c r="B144" s="44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11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06">
        <f t="shared" si="6"/>
        <v>11</v>
      </c>
      <c r="O144" s="107">
        <v>1</v>
      </c>
      <c r="P144" s="95"/>
      <c r="Q144" s="45">
        <v>44436.132617510397</v>
      </c>
      <c r="R144" s="17">
        <v>42214.325986634874</v>
      </c>
      <c r="S144" s="12">
        <v>43902.899026100269</v>
      </c>
      <c r="T144" s="12">
        <v>45591.472065565664</v>
      </c>
      <c r="V144" s="168"/>
      <c r="W144" s="13"/>
      <c r="Y144" s="167" t="s">
        <v>1807</v>
      </c>
    </row>
    <row r="145" spans="1:23">
      <c r="A145" s="114" t="s">
        <v>137</v>
      </c>
      <c r="B145" s="44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06">
        <f t="shared" si="6"/>
        <v>1</v>
      </c>
      <c r="O145" s="107"/>
      <c r="P145" s="95"/>
      <c r="Q145" s="65" t="s">
        <v>1788</v>
      </c>
      <c r="R145" s="18">
        <v>20000</v>
      </c>
      <c r="S145" s="12">
        <v>20800</v>
      </c>
      <c r="T145" s="12">
        <v>21600</v>
      </c>
      <c r="U145" s="167"/>
      <c r="V145" s="168"/>
      <c r="W145" s="182">
        <v>500</v>
      </c>
    </row>
    <row r="146" spans="1:23">
      <c r="A146" s="114" t="s">
        <v>136</v>
      </c>
      <c r="B146" s="44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1</v>
      </c>
      <c r="G146" s="10">
        <v>1</v>
      </c>
      <c r="H146" s="10"/>
      <c r="I146" s="11"/>
      <c r="J146" s="11"/>
      <c r="K146" s="10"/>
      <c r="L146" s="10"/>
      <c r="M146" s="11"/>
      <c r="N146" s="106">
        <f t="shared" si="6"/>
        <v>2</v>
      </c>
      <c r="O146" s="107"/>
      <c r="P146" s="95"/>
      <c r="Q146" s="65" t="s">
        <v>1788</v>
      </c>
      <c r="R146" s="18">
        <v>22140</v>
      </c>
      <c r="S146" s="12">
        <v>23025.599999999999</v>
      </c>
      <c r="T146" s="12">
        <v>23911.200000000001</v>
      </c>
      <c r="U146" s="167"/>
      <c r="V146" s="168">
        <v>2139.9119999999998</v>
      </c>
      <c r="W146" s="182">
        <v>500</v>
      </c>
    </row>
    <row r="147" spans="1:23">
      <c r="A147" s="114" t="s">
        <v>1779</v>
      </c>
      <c r="B147" s="44" t="str">
        <f>IFERROR(HYPERLINK(VLOOKUP(A147,ÜRÜNLER!A:C,3,FALSE),VLOOKUP(A147,ÜRÜNLER!A:B,2,FALSE)),"")</f>
        <v>iQ300 Yarı Ankastre Bulaşık Makinesi, Siyah/Inox</v>
      </c>
      <c r="C147" s="8">
        <v>4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/>
      <c r="N147" s="106">
        <f t="shared" si="6"/>
        <v>4</v>
      </c>
      <c r="O147" s="107"/>
      <c r="P147" s="95"/>
      <c r="Q147" s="45">
        <v>36719.514204545456</v>
      </c>
      <c r="R147" s="17">
        <v>34883.538494318185</v>
      </c>
      <c r="S147" s="12">
        <v>36278.880034090915</v>
      </c>
      <c r="T147" s="12">
        <v>37674.221573863637</v>
      </c>
      <c r="U147" s="167"/>
      <c r="V147" s="168"/>
      <c r="W147" s="13"/>
    </row>
    <row r="148" spans="1:23">
      <c r="A148" s="114" t="s">
        <v>140</v>
      </c>
      <c r="B148" s="44" t="str">
        <f>IFERROR(HYPERLINK(VLOOKUP(A148,ÜRÜNLER!A:C,3,FALSE),VLOOKUP(A148,ÜRÜNLER!A:B,2,FALSE)),"")</f>
        <v>iQ300 Yarı Ankastre Bulaşık Makinesi, Siyah/Inox</v>
      </c>
      <c r="C148" s="8">
        <v>5</v>
      </c>
      <c r="D148" s="8"/>
      <c r="E148" s="9"/>
      <c r="F148" s="9"/>
      <c r="G148" s="10"/>
      <c r="H148" s="10"/>
      <c r="I148" s="11"/>
      <c r="J148" s="11"/>
      <c r="K148" s="10">
        <v>1</v>
      </c>
      <c r="L148" s="10"/>
      <c r="M148" s="11">
        <v>1</v>
      </c>
      <c r="N148" s="106">
        <f t="shared" si="6"/>
        <v>7</v>
      </c>
      <c r="O148" s="107">
        <v>11</v>
      </c>
      <c r="P148" s="95"/>
      <c r="Q148" s="45">
        <v>34746.625638432444</v>
      </c>
      <c r="R148" s="17">
        <v>33009.294356510822</v>
      </c>
      <c r="S148" s="12">
        <v>34329.666130771257</v>
      </c>
      <c r="T148" s="12">
        <v>35650.037905031684</v>
      </c>
      <c r="U148" s="167"/>
      <c r="V148" s="168"/>
      <c r="W148" s="13"/>
    </row>
    <row r="149" spans="1:23">
      <c r="A149" s="20" t="s">
        <v>138</v>
      </c>
      <c r="B149" s="44" t="str">
        <f>IFERROR(HYPERLINK(VLOOKUP(A149,ÜRÜNLER!A:C,3,FALSE),VLOOKUP(A149,ÜRÜNLER!A:B,2,FALSE)),"")</f>
        <v>iQ500 Yarı Ankastre Bulaşık Makinesi, Üstten Sepetli, Inox</v>
      </c>
      <c r="C149" s="8">
        <v>12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>
        <v>1</v>
      </c>
      <c r="M149" s="11"/>
      <c r="N149" s="106">
        <f t="shared" si="6"/>
        <v>16</v>
      </c>
      <c r="O149" s="107">
        <v>1</v>
      </c>
      <c r="P149" s="95"/>
      <c r="Q149" s="45">
        <v>36384.545466601077</v>
      </c>
      <c r="R149" s="17">
        <v>34565.318193271021</v>
      </c>
      <c r="S149" s="12">
        <v>35947.930921001862</v>
      </c>
      <c r="T149" s="12">
        <v>37330.543648732702</v>
      </c>
      <c r="U149" s="167"/>
      <c r="V149" s="168"/>
      <c r="W149" s="13"/>
    </row>
    <row r="150" spans="1:23">
      <c r="A150" s="114" t="s">
        <v>139</v>
      </c>
      <c r="B150" s="44" t="str">
        <f>IFERROR(HYPERLINK(VLOOKUP(A150,ÜRÜNLER!A:C,3,FALSE),VLOOKUP(A150,ÜRÜNLER!A:B,2,FALSE)),"")</f>
        <v>iQ300 Yarı Ankastre Bulaşık Makinesi, Beyaz/Inox</v>
      </c>
      <c r="C150" s="8">
        <v>1</v>
      </c>
      <c r="D150" s="8"/>
      <c r="E150" s="9"/>
      <c r="F150" s="9"/>
      <c r="G150" s="10"/>
      <c r="H150" s="10"/>
      <c r="I150" s="11">
        <v>1</v>
      </c>
      <c r="J150" s="11">
        <v>1</v>
      </c>
      <c r="K150" s="10"/>
      <c r="L150" s="10"/>
      <c r="M150" s="11"/>
      <c r="N150" s="106">
        <f t="shared" si="6"/>
        <v>3</v>
      </c>
      <c r="O150" s="107"/>
      <c r="P150" s="95"/>
      <c r="Q150" s="65" t="s">
        <v>1788</v>
      </c>
      <c r="R150" s="39">
        <v>27756.046587678491</v>
      </c>
      <c r="S150" s="12">
        <v>28866.288451185632</v>
      </c>
      <c r="T150" s="12">
        <v>29976.530314692769</v>
      </c>
      <c r="U150" s="167"/>
      <c r="V150" s="168"/>
      <c r="W150" s="13"/>
    </row>
    <row r="151" spans="1:23">
      <c r="A151" s="120" t="s">
        <v>142</v>
      </c>
      <c r="B151" s="44" t="str">
        <f>IFERROR(HYPERLINK(VLOOKUP(A151,ÜRÜNLER!A:C,3,FALSE),VLOOKUP(A151,ÜRÜNLER!A:B,2,FALSE)),"")</f>
        <v>iQ500 Yarı Ankastre Bulaşık Makinesi, autoOpen dry, Siyah/Inox</v>
      </c>
      <c r="C151" s="8">
        <v>13</v>
      </c>
      <c r="D151" s="8"/>
      <c r="E151" s="9"/>
      <c r="F151" s="9">
        <v>2</v>
      </c>
      <c r="G151" s="10"/>
      <c r="H151" s="10"/>
      <c r="I151" s="11"/>
      <c r="J151" s="11"/>
      <c r="K151" s="10"/>
      <c r="L151" s="10">
        <v>1</v>
      </c>
      <c r="M151" s="11"/>
      <c r="N151" s="106">
        <f t="shared" si="6"/>
        <v>16</v>
      </c>
      <c r="O151" s="107"/>
      <c r="P151" s="95"/>
      <c r="Q151" s="45">
        <v>51145.09185598667</v>
      </c>
      <c r="R151" s="17">
        <v>48587.837263187335</v>
      </c>
      <c r="S151" s="12">
        <v>50531.350753714825</v>
      </c>
      <c r="T151" s="12">
        <v>52474.864244242322</v>
      </c>
      <c r="U151" s="167"/>
      <c r="V151" s="168"/>
      <c r="W151" s="13"/>
    </row>
    <row r="152" spans="1:23">
      <c r="A152" s="114" t="s">
        <v>143</v>
      </c>
      <c r="B152" s="44" t="str">
        <f>IFERROR(HYPERLINK(VLOOKUP(A152,ÜRÜNLER!A:C,3,FALSE),VLOOKUP(A152,ÜRÜNLER!A:B,2,FALSE)),"")</f>
        <v>iQ700 Yarı Ankastre Bulaşık Makinesi, Zeolith dry, Siyah/Inox</v>
      </c>
      <c r="C152" s="8"/>
      <c r="D152" s="8"/>
      <c r="E152" s="9"/>
      <c r="F152" s="9">
        <v>1</v>
      </c>
      <c r="G152" s="10"/>
      <c r="H152" s="10"/>
      <c r="I152" s="11"/>
      <c r="J152" s="11"/>
      <c r="K152" s="10"/>
      <c r="L152" s="10"/>
      <c r="M152" s="11"/>
      <c r="N152" s="106">
        <f t="shared" si="6"/>
        <v>1</v>
      </c>
      <c r="O152" s="107"/>
      <c r="P152" s="95"/>
      <c r="Q152" s="65" t="s">
        <v>1788</v>
      </c>
      <c r="R152" s="14">
        <v>50000</v>
      </c>
      <c r="S152" s="12">
        <v>52000</v>
      </c>
      <c r="T152" s="12">
        <v>54000</v>
      </c>
      <c r="U152" s="167"/>
      <c r="V152" s="168"/>
      <c r="W152" s="182">
        <v>500</v>
      </c>
    </row>
    <row r="153" spans="1:23">
      <c r="A153" s="120" t="s">
        <v>144</v>
      </c>
      <c r="B153" s="44" t="str">
        <f>IFERROR(HYPERLINK(VLOOKUP(A153,ÜRÜNLER!A:C,3,FALSE),VLOOKUP(A153,ÜRÜNLER!A:B,2,FALSE)),"")</f>
        <v>iQ700 Yarı Ankastre Bulaşık Makinesi, Zeolith dry, Siyah/Inox</v>
      </c>
      <c r="C153" s="8">
        <v>1</v>
      </c>
      <c r="D153" s="8"/>
      <c r="E153" s="9"/>
      <c r="F153" s="9"/>
      <c r="G153" s="10"/>
      <c r="H153" s="10"/>
      <c r="I153" s="11"/>
      <c r="J153" s="11"/>
      <c r="K153" s="10"/>
      <c r="L153" s="10"/>
      <c r="M153" s="11"/>
      <c r="N153" s="106">
        <f t="shared" si="6"/>
        <v>1</v>
      </c>
      <c r="O153" s="107">
        <v>1</v>
      </c>
      <c r="P153" s="95"/>
      <c r="Q153" s="45">
        <v>74149.383023688104</v>
      </c>
      <c r="R153" s="17">
        <v>70441.913872503705</v>
      </c>
      <c r="S153" s="12">
        <v>73259.590427403848</v>
      </c>
      <c r="T153" s="12">
        <v>76077.266982304005</v>
      </c>
      <c r="U153" s="167"/>
      <c r="V153" s="168"/>
      <c r="W153" s="13"/>
    </row>
    <row r="154" spans="1:23">
      <c r="A154" s="114" t="s">
        <v>145</v>
      </c>
      <c r="B154" s="44" t="str">
        <f>IFERROR(HYPERLINK(VLOOKUP(A154,ÜRÜNLER!A:C,3,FALSE),VLOOKUP(A154,ÜRÜNLER!A:B,2,FALSE)),"")</f>
        <v>iQ100 Tam Ankastre Bulaşık Makinesi</v>
      </c>
      <c r="C154" s="8">
        <v>6</v>
      </c>
      <c r="D154" s="8"/>
      <c r="E154" s="9"/>
      <c r="F154" s="9">
        <v>1</v>
      </c>
      <c r="G154" s="10"/>
      <c r="H154" s="10"/>
      <c r="I154" s="11">
        <v>1</v>
      </c>
      <c r="J154" s="11">
        <v>1</v>
      </c>
      <c r="K154" s="10"/>
      <c r="L154" s="10"/>
      <c r="M154" s="11"/>
      <c r="N154" s="106">
        <f t="shared" si="6"/>
        <v>9</v>
      </c>
      <c r="O154" s="107">
        <v>1</v>
      </c>
      <c r="P154" s="95"/>
      <c r="Q154" s="45">
        <v>36065.014908365629</v>
      </c>
      <c r="R154" s="17">
        <v>34261.764162947351</v>
      </c>
      <c r="S154" s="12">
        <v>35632.234729465243</v>
      </c>
      <c r="T154" s="12">
        <v>37002.705295983142</v>
      </c>
      <c r="U154" s="167"/>
      <c r="V154" s="168"/>
      <c r="W154" s="13"/>
    </row>
    <row r="155" spans="1:23">
      <c r="A155" s="121" t="s">
        <v>147</v>
      </c>
      <c r="B155" s="44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06">
        <f t="shared" si="6"/>
        <v>1</v>
      </c>
      <c r="O155" s="107"/>
      <c r="P155" s="95"/>
      <c r="Q155" s="65" t="s">
        <v>1788</v>
      </c>
      <c r="R155" s="18">
        <v>42000</v>
      </c>
      <c r="S155" s="12">
        <v>43680</v>
      </c>
      <c r="T155" s="12">
        <v>45360</v>
      </c>
      <c r="U155" s="167"/>
      <c r="V155" s="168"/>
      <c r="W155" s="182">
        <v>500</v>
      </c>
    </row>
    <row r="156" spans="1:23">
      <c r="A156" s="125" t="s">
        <v>1780</v>
      </c>
      <c r="B156" s="44" t="str">
        <f>IFERROR(HYPERLINK(VLOOKUP(A156,ÜRÜNLER!A:C,3,FALSE),VLOOKUP(A156,ÜRÜNLER!A:B,2,FALSE)),"")</f>
        <v>iQ500 Tam Ankastre Bulaşık Makinesi, Üstten Sepetli</v>
      </c>
      <c r="C156" s="8">
        <v>5</v>
      </c>
      <c r="D156" s="8"/>
      <c r="E156" s="9"/>
      <c r="F156" s="9"/>
      <c r="G156" s="10"/>
      <c r="H156" s="10"/>
      <c r="I156" s="11"/>
      <c r="J156" s="11"/>
      <c r="K156" s="10"/>
      <c r="L156" s="10"/>
      <c r="M156" s="11"/>
      <c r="N156" s="106">
        <f t="shared" si="6"/>
        <v>5</v>
      </c>
      <c r="O156" s="107"/>
      <c r="P156" s="95"/>
      <c r="Q156" s="45">
        <v>52048.208333333336</v>
      </c>
      <c r="R156" s="17">
        <v>49445.79791666667</v>
      </c>
      <c r="S156" s="12">
        <v>51423.62983333334</v>
      </c>
      <c r="T156" s="12">
        <v>53401.461750000002</v>
      </c>
      <c r="U156" s="167"/>
      <c r="V156" s="168"/>
      <c r="W156" s="13"/>
    </row>
    <row r="157" spans="1:23">
      <c r="A157" s="25" t="s">
        <v>1552</v>
      </c>
      <c r="B157" s="44" t="str">
        <f>IFERROR(HYPERLINK(VLOOKUP(A157,ÜRÜNLER!A:C,3,FALSE),VLOOKUP(A157,ÜRÜNLER!A:B,2,FALSE)),"")</f>
        <v>iQ500 Tam Ankastre Bulaşık Makinesi, autoOpen dry, glassZone, Üstten Sepetli</v>
      </c>
      <c r="C157" s="8">
        <v>4</v>
      </c>
      <c r="D157" s="8"/>
      <c r="E157" s="9"/>
      <c r="F157" s="9"/>
      <c r="G157" s="10"/>
      <c r="H157" s="10"/>
      <c r="I157" s="11"/>
      <c r="J157" s="11">
        <v>1</v>
      </c>
      <c r="K157" s="10"/>
      <c r="L157" s="10"/>
      <c r="M157" s="11"/>
      <c r="N157" s="106">
        <f t="shared" si="6"/>
        <v>5</v>
      </c>
      <c r="O157" s="107">
        <v>1</v>
      </c>
      <c r="P157" s="95"/>
      <c r="Q157" s="45">
        <v>59467.969729411772</v>
      </c>
      <c r="R157" s="17">
        <v>56494.57124294118</v>
      </c>
      <c r="S157" s="12">
        <v>58754.354092658825</v>
      </c>
      <c r="T157" s="12">
        <v>61014.13694237647</v>
      </c>
      <c r="U157" s="167"/>
      <c r="V157" s="168"/>
      <c r="W157" s="13"/>
    </row>
    <row r="158" spans="1:23">
      <c r="A158" s="20" t="s">
        <v>150</v>
      </c>
      <c r="B158" s="44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0"/>
      <c r="M158" s="11"/>
      <c r="N158" s="106">
        <f t="shared" si="6"/>
        <v>3</v>
      </c>
      <c r="O158" s="107"/>
      <c r="P158" s="95"/>
      <c r="Q158" s="65" t="s">
        <v>1788</v>
      </c>
      <c r="R158" s="159">
        <v>80000</v>
      </c>
      <c r="S158" s="12">
        <v>83200</v>
      </c>
      <c r="T158" s="12">
        <v>86400</v>
      </c>
      <c r="U158" s="167"/>
      <c r="V158" s="168"/>
      <c r="W158" s="13">
        <v>250</v>
      </c>
    </row>
    <row r="159" spans="1:23">
      <c r="A159" s="20" t="s">
        <v>1503</v>
      </c>
      <c r="B159" s="44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 t="shared" si="6"/>
        <v>2</v>
      </c>
      <c r="O159" s="107"/>
      <c r="P159" s="95"/>
      <c r="Q159" s="150">
        <v>97469.161993155925</v>
      </c>
      <c r="R159" s="150">
        <v>87722.245793840324</v>
      </c>
      <c r="S159" s="12">
        <v>91231.135625593932</v>
      </c>
      <c r="T159" s="12">
        <v>94740.025457347554</v>
      </c>
      <c r="U159" s="167"/>
      <c r="V159" s="168"/>
      <c r="W159" s="13">
        <v>250</v>
      </c>
    </row>
    <row r="160" spans="1:23">
      <c r="A160" s="20" t="s">
        <v>149</v>
      </c>
      <c r="B160" s="44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0"/>
      <c r="M160" s="11"/>
      <c r="N160" s="106">
        <f t="shared" si="6"/>
        <v>3</v>
      </c>
      <c r="O160" s="107"/>
      <c r="P160" s="95"/>
      <c r="Q160" s="150">
        <v>113981.44901922168</v>
      </c>
      <c r="R160" s="150">
        <v>102583.3041172995</v>
      </c>
      <c r="S160" s="12">
        <v>106686.63628199148</v>
      </c>
      <c r="T160" s="12">
        <v>110789.96844668346</v>
      </c>
      <c r="U160" s="167"/>
      <c r="V160" s="168"/>
      <c r="W160" s="13">
        <v>250</v>
      </c>
    </row>
    <row r="161" spans="1:24">
      <c r="A161" s="20" t="s">
        <v>151</v>
      </c>
      <c r="B161" s="44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/>
      <c r="L161" s="10">
        <v>1</v>
      </c>
      <c r="M161" s="11"/>
      <c r="N161" s="106">
        <f t="shared" si="6"/>
        <v>2</v>
      </c>
      <c r="O161" s="107"/>
      <c r="P161" s="95"/>
      <c r="Q161" s="65" t="s">
        <v>1788</v>
      </c>
      <c r="R161" s="39">
        <v>50000</v>
      </c>
      <c r="S161" s="12">
        <v>52000</v>
      </c>
      <c r="T161" s="12">
        <v>54000</v>
      </c>
      <c r="U161" s="167"/>
      <c r="V161" s="168"/>
      <c r="W161" s="182">
        <v>500</v>
      </c>
    </row>
    <row r="162" spans="1:24">
      <c r="A162" s="20" t="s">
        <v>1532</v>
      </c>
      <c r="B162" s="44" t="str">
        <f>IFERROR(HYPERLINK(VLOOKUP(A162,ÜRÜNLER!A:C,3,FALSE),VLOOKUP(A162,ÜRÜNLER!A:B,2,FALSE)),"")</f>
        <v>iQ500 Tam Ankastre Bulaşık Makinesi, autoOpen dry, glassZone, XXL 86,5 - 92,5cm</v>
      </c>
      <c r="C162" s="8">
        <v>2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6"/>
        <v>2</v>
      </c>
      <c r="O162" s="107">
        <v>1</v>
      </c>
      <c r="P162" s="95"/>
      <c r="Q162" s="45">
        <v>60884.098552941185</v>
      </c>
      <c r="R162" s="17">
        <v>57839.893625294128</v>
      </c>
      <c r="S162" s="12">
        <v>60153.489370305891</v>
      </c>
      <c r="T162" s="12">
        <v>62467.085115317655</v>
      </c>
      <c r="U162" s="167"/>
      <c r="V162" s="168"/>
      <c r="W162" s="18"/>
    </row>
    <row r="163" spans="1:24">
      <c r="A163" s="20" t="s">
        <v>1487</v>
      </c>
      <c r="B163" s="44" t="str">
        <f>IFERROR(HYPERLINK(VLOOKUP(A163,ÜRÜNLER!A:C,3,FALSE),VLOOKUP(A163,ÜRÜNLER!A:B,2,FALSE)),"")</f>
        <v>Siemens Bulaşık Makinesi 3. Tepsi</v>
      </c>
      <c r="C163" s="8"/>
      <c r="D163" s="8">
        <v>14</v>
      </c>
      <c r="E163" s="9"/>
      <c r="F163" s="9"/>
      <c r="G163" s="10"/>
      <c r="H163" s="10"/>
      <c r="I163" s="11"/>
      <c r="J163" s="11"/>
      <c r="K163" s="10"/>
      <c r="L163" s="10"/>
      <c r="M163" s="11"/>
      <c r="N163" s="106">
        <f t="shared" si="6"/>
        <v>14</v>
      </c>
      <c r="O163" s="107"/>
      <c r="P163" s="95"/>
      <c r="Q163" s="65"/>
      <c r="R163" s="161">
        <v>1250</v>
      </c>
      <c r="S163" s="12">
        <v>1300</v>
      </c>
      <c r="T163" s="12">
        <v>1350</v>
      </c>
      <c r="U163" s="167"/>
      <c r="V163" s="168"/>
      <c r="W163" s="13"/>
    </row>
    <row r="164" spans="1:24" s="27" customFormat="1" ht="30">
      <c r="A164" s="48" t="s">
        <v>152</v>
      </c>
      <c r="B164" s="44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0"/>
      <c r="M164" s="11"/>
      <c r="N164" s="106">
        <f>SUM(N143:N163)</f>
        <v>133</v>
      </c>
      <c r="O164" s="107"/>
      <c r="P164" s="95"/>
      <c r="Q164" s="65"/>
      <c r="R164" s="13"/>
      <c r="S164" s="12"/>
      <c r="T164" s="12"/>
      <c r="U164" s="167"/>
      <c r="V164" s="168"/>
      <c r="W164" s="13"/>
      <c r="X164" s="185"/>
    </row>
    <row r="165" spans="1:24">
      <c r="A165" s="122" t="s">
        <v>198</v>
      </c>
      <c r="B165" s="44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0"/>
      <c r="M165" s="11"/>
      <c r="N165" s="106">
        <f t="shared" ref="N165:N207" si="7">M165+K165+L165+J165+I165+H165+G165+F165+E165+D165+C165</f>
        <v>1</v>
      </c>
      <c r="O165" s="107"/>
      <c r="P165" s="95"/>
      <c r="Q165" s="65" t="s">
        <v>1788</v>
      </c>
      <c r="R165" s="18">
        <v>70000</v>
      </c>
      <c r="S165" s="12">
        <v>72800</v>
      </c>
      <c r="T165" s="12">
        <v>75600</v>
      </c>
      <c r="U165" s="167"/>
      <c r="V165" s="168"/>
      <c r="W165" s="182">
        <v>1000</v>
      </c>
    </row>
    <row r="166" spans="1:24">
      <c r="A166" s="122" t="s">
        <v>199</v>
      </c>
      <c r="B166" s="44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06">
        <f t="shared" si="7"/>
        <v>4</v>
      </c>
      <c r="O166" s="107"/>
      <c r="P166" s="95"/>
      <c r="Q166" s="45">
        <v>83684.840806879074</v>
      </c>
      <c r="R166" s="17">
        <v>79500.598766535113</v>
      </c>
      <c r="S166" s="12">
        <v>82680.622717196515</v>
      </c>
      <c r="T166" s="12">
        <v>85860.646667857916</v>
      </c>
      <c r="U166" s="167"/>
      <c r="V166" s="168"/>
      <c r="W166" s="13">
        <v>250</v>
      </c>
    </row>
    <row r="167" spans="1:24">
      <c r="A167" s="114" t="s">
        <v>197</v>
      </c>
      <c r="B167" s="44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0"/>
      <c r="M167" s="11"/>
      <c r="N167" s="106">
        <f t="shared" si="7"/>
        <v>2</v>
      </c>
      <c r="O167" s="107"/>
      <c r="P167" s="95"/>
      <c r="Q167" s="150">
        <v>182905.81785834834</v>
      </c>
      <c r="R167" s="150">
        <v>164615.23607251351</v>
      </c>
      <c r="S167" s="12">
        <v>171199.84551541405</v>
      </c>
      <c r="T167" s="12">
        <v>177784.4549583146</v>
      </c>
      <c r="U167" s="167"/>
      <c r="V167" s="168"/>
      <c r="W167" s="13">
        <v>250</v>
      </c>
    </row>
    <row r="168" spans="1:24">
      <c r="A168" s="114" t="s">
        <v>200</v>
      </c>
      <c r="B168" s="44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0"/>
      <c r="M168" s="11"/>
      <c r="N168" s="106">
        <f t="shared" si="7"/>
        <v>4</v>
      </c>
      <c r="O168" s="107"/>
      <c r="P168" s="95"/>
      <c r="Q168" s="65" t="s">
        <v>1788</v>
      </c>
      <c r="R168" s="18">
        <v>120000</v>
      </c>
      <c r="S168" s="12">
        <v>124800</v>
      </c>
      <c r="T168" s="12">
        <v>129600</v>
      </c>
      <c r="U168" s="167"/>
      <c r="V168" s="168"/>
      <c r="W168" s="13">
        <v>250</v>
      </c>
    </row>
    <row r="169" spans="1:24">
      <c r="A169" s="120" t="s">
        <v>164</v>
      </c>
      <c r="B169" s="44" t="str">
        <f>IFERROR(HYPERLINK(VLOOKUP(A169,ÜRÜNLER!A:C,3,FALSE),VLOOKUP(A169,ÜRÜNLER!A:B,2,FALSE)),"")</f>
        <v>iQ100 Ankastre Fırın, Siyah</v>
      </c>
      <c r="C169" s="8">
        <v>17</v>
      </c>
      <c r="D169" s="8"/>
      <c r="E169" s="9"/>
      <c r="F169" s="9"/>
      <c r="G169" s="10"/>
      <c r="H169" s="10"/>
      <c r="I169" s="11"/>
      <c r="J169" s="11">
        <v>1</v>
      </c>
      <c r="K169" s="10"/>
      <c r="L169" s="10"/>
      <c r="M169" s="11"/>
      <c r="N169" s="106">
        <f t="shared" si="7"/>
        <v>18</v>
      </c>
      <c r="O169" s="107">
        <v>1</v>
      </c>
      <c r="P169" s="99"/>
      <c r="Q169" s="45">
        <v>22622.529801048742</v>
      </c>
      <c r="R169" s="177">
        <v>20360.276820943869</v>
      </c>
      <c r="S169" s="12">
        <v>21174.687893781625</v>
      </c>
      <c r="T169" s="12">
        <v>21989.098966619378</v>
      </c>
      <c r="U169" s="167"/>
      <c r="V169" s="168"/>
      <c r="W169" s="13"/>
    </row>
    <row r="170" spans="1:24">
      <c r="A170" s="123" t="s">
        <v>165</v>
      </c>
      <c r="B170" s="44" t="str">
        <f>IFERROR(HYPERLINK(VLOOKUP(A170,ÜRÜNLER!A:C,3,FALSE),VLOOKUP(A170,ÜRÜNLER!A:B,2,FALSE)),"")</f>
        <v>iQ100 Ankastre Fırın, Antrasit</v>
      </c>
      <c r="C170" s="8">
        <v>42</v>
      </c>
      <c r="D170" s="8"/>
      <c r="E170" s="9"/>
      <c r="F170" s="9"/>
      <c r="G170" s="10"/>
      <c r="H170" s="10"/>
      <c r="I170" s="11">
        <v>1</v>
      </c>
      <c r="J170" s="11"/>
      <c r="K170" s="10">
        <v>1</v>
      </c>
      <c r="L170" s="10"/>
      <c r="M170" s="11">
        <v>1</v>
      </c>
      <c r="N170" s="106">
        <f t="shared" si="7"/>
        <v>45</v>
      </c>
      <c r="O170" s="107">
        <v>1</v>
      </c>
      <c r="P170" s="99"/>
      <c r="Q170" s="45">
        <v>22622.529801048742</v>
      </c>
      <c r="R170" s="177">
        <v>20360.276820943869</v>
      </c>
      <c r="S170" s="12">
        <v>21174.687893781625</v>
      </c>
      <c r="T170" s="12">
        <v>21989.098966619378</v>
      </c>
      <c r="U170" s="167"/>
      <c r="V170" s="168"/>
      <c r="W170" s="13"/>
    </row>
    <row r="171" spans="1:24">
      <c r="A171" s="114" t="s">
        <v>166</v>
      </c>
      <c r="B171" s="44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>
        <v>1</v>
      </c>
      <c r="L171" s="10"/>
      <c r="M171" s="11">
        <v>1</v>
      </c>
      <c r="N171" s="106">
        <f t="shared" si="7"/>
        <v>27</v>
      </c>
      <c r="O171" s="107">
        <v>1</v>
      </c>
      <c r="P171" s="99"/>
      <c r="Q171" s="45">
        <v>22622.529801048742</v>
      </c>
      <c r="R171" s="177">
        <v>20360.276820943869</v>
      </c>
      <c r="S171" s="12">
        <v>21174.687893781625</v>
      </c>
      <c r="T171" s="12">
        <v>21989.098966619378</v>
      </c>
      <c r="U171" s="167"/>
      <c r="V171" s="168"/>
      <c r="W171" s="13"/>
    </row>
    <row r="172" spans="1:24">
      <c r="A172" s="20" t="s">
        <v>1342</v>
      </c>
      <c r="B172" s="44" t="str">
        <f>IFERROR(HYPERLINK(VLOOKUP(A172,ÜRÜNLER!A:C,3,FALSE),VLOOKUP(A172,ÜRÜNLER!A:B,2,FALSE)),"")</f>
        <v>iQ100 Ankastre Fırın, Siyah</v>
      </c>
      <c r="C172" s="8"/>
      <c r="D172" s="8"/>
      <c r="E172" s="9"/>
      <c r="F172" s="9"/>
      <c r="G172" s="10"/>
      <c r="H172" s="10"/>
      <c r="I172" s="11"/>
      <c r="J172" s="11"/>
      <c r="K172" s="10">
        <v>1</v>
      </c>
      <c r="L172" s="10">
        <v>1</v>
      </c>
      <c r="M172" s="11"/>
      <c r="N172" s="106">
        <f t="shared" si="7"/>
        <v>2</v>
      </c>
      <c r="O172" s="107"/>
      <c r="P172" s="95"/>
      <c r="Q172" s="65" t="s">
        <v>1788</v>
      </c>
      <c r="R172" s="18">
        <v>17797</v>
      </c>
      <c r="S172" s="12">
        <v>18508.88</v>
      </c>
      <c r="T172" s="12">
        <v>19220.759999999998</v>
      </c>
      <c r="U172" s="167"/>
      <c r="V172" s="168">
        <v>2797.2959999999998</v>
      </c>
      <c r="W172" s="182">
        <v>500</v>
      </c>
    </row>
    <row r="173" spans="1:24">
      <c r="A173" s="123" t="s">
        <v>171</v>
      </c>
      <c r="B173" s="44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06">
        <f t="shared" si="7"/>
        <v>1</v>
      </c>
      <c r="O173" s="107"/>
      <c r="P173" s="95"/>
      <c r="Q173" s="65" t="s">
        <v>1788</v>
      </c>
      <c r="R173" s="18">
        <v>23000</v>
      </c>
      <c r="S173" s="12">
        <v>23920</v>
      </c>
      <c r="T173" s="12">
        <v>24840</v>
      </c>
      <c r="U173" s="167"/>
      <c r="V173" s="168">
        <v>3040.14</v>
      </c>
      <c r="W173" s="182">
        <v>500</v>
      </c>
    </row>
    <row r="174" spans="1:24">
      <c r="A174" s="120" t="s">
        <v>172</v>
      </c>
      <c r="B174" s="44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/>
      <c r="J174" s="11"/>
      <c r="K174" s="10"/>
      <c r="L174" s="10"/>
      <c r="M174" s="11"/>
      <c r="N174" s="106">
        <f t="shared" si="7"/>
        <v>1</v>
      </c>
      <c r="O174" s="107"/>
      <c r="P174" s="95"/>
      <c r="Q174" s="65" t="s">
        <v>1788</v>
      </c>
      <c r="R174" s="18">
        <v>19000</v>
      </c>
      <c r="S174" s="12">
        <v>19760</v>
      </c>
      <c r="T174" s="12">
        <v>20520</v>
      </c>
      <c r="U174" s="167"/>
      <c r="V174" s="168"/>
      <c r="W174" s="13"/>
    </row>
    <row r="175" spans="1:24">
      <c r="A175" s="120" t="s">
        <v>173</v>
      </c>
      <c r="B175" s="44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06">
        <f t="shared" si="7"/>
        <v>3</v>
      </c>
      <c r="O175" s="107"/>
      <c r="P175" s="95"/>
      <c r="Q175" s="65" t="s">
        <v>1788</v>
      </c>
      <c r="R175" s="159">
        <v>85000</v>
      </c>
      <c r="S175" s="12">
        <v>88400</v>
      </c>
      <c r="T175" s="12">
        <v>91800</v>
      </c>
      <c r="U175" s="167"/>
      <c r="V175" s="168"/>
      <c r="W175" s="13">
        <v>250</v>
      </c>
    </row>
    <row r="176" spans="1:24">
      <c r="A176" s="20" t="s">
        <v>1019</v>
      </c>
      <c r="B176" s="44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/>
      <c r="L176" s="10"/>
      <c r="M176" s="11"/>
      <c r="N176" s="106">
        <f t="shared" si="7"/>
        <v>1</v>
      </c>
      <c r="O176" s="107"/>
      <c r="P176" s="95"/>
      <c r="Q176" s="65" t="s">
        <v>1788</v>
      </c>
      <c r="R176" s="18">
        <v>17423</v>
      </c>
      <c r="S176" s="12">
        <v>18119.919999999998</v>
      </c>
      <c r="T176" s="12">
        <v>18816.84</v>
      </c>
      <c r="U176" s="167"/>
      <c r="V176" s="168">
        <v>1422.5519999999999</v>
      </c>
      <c r="W176" s="182">
        <v>500</v>
      </c>
    </row>
    <row r="177" spans="1:23">
      <c r="A177" s="120" t="s">
        <v>176</v>
      </c>
      <c r="B177" s="44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/>
      <c r="L177" s="10">
        <v>1</v>
      </c>
      <c r="M177" s="11">
        <v>1</v>
      </c>
      <c r="N177" s="106">
        <f t="shared" si="7"/>
        <v>3</v>
      </c>
      <c r="O177" s="107"/>
      <c r="P177" s="95"/>
      <c r="Q177" s="65" t="s">
        <v>1788</v>
      </c>
      <c r="R177" s="18">
        <v>18607</v>
      </c>
      <c r="S177" s="12">
        <v>19351.28</v>
      </c>
      <c r="T177" s="12">
        <v>20095.560000000001</v>
      </c>
      <c r="U177" s="167"/>
      <c r="V177" s="168">
        <v>1606.5839999999998</v>
      </c>
      <c r="W177" s="182">
        <v>500</v>
      </c>
    </row>
    <row r="178" spans="1:23">
      <c r="A178" s="120" t="s">
        <v>177</v>
      </c>
      <c r="B178" s="44" t="str">
        <f>IFERROR(HYPERLINK(VLOOKUP(A178,ÜRÜNLER!A:C,3,FALSE),VLOOKUP(A178,ÜRÜNLER!A:B,2,FALSE)),"")</f>
        <v>iQ500 Ankastre Fırın, 1 Teleskopik Ray, Komple Kendini Temizler, Siyah</v>
      </c>
      <c r="C178" s="8">
        <v>1</v>
      </c>
      <c r="D178" s="8"/>
      <c r="E178" s="9"/>
      <c r="F178" s="9">
        <v>1</v>
      </c>
      <c r="G178" s="10"/>
      <c r="H178" s="10"/>
      <c r="I178" s="11">
        <v>1</v>
      </c>
      <c r="J178" s="11">
        <v>1</v>
      </c>
      <c r="K178" s="10"/>
      <c r="L178" s="10"/>
      <c r="M178" s="11"/>
      <c r="N178" s="106">
        <f t="shared" si="7"/>
        <v>4</v>
      </c>
      <c r="O178" s="107">
        <v>10</v>
      </c>
      <c r="P178" s="95"/>
      <c r="Q178" s="45">
        <v>35082.612400638449</v>
      </c>
      <c r="R178" s="169">
        <v>34030.134028619294</v>
      </c>
      <c r="S178" s="12">
        <v>35391.339389764064</v>
      </c>
      <c r="T178" s="12">
        <v>36752.544750908841</v>
      </c>
      <c r="U178" s="167"/>
      <c r="V178" s="168"/>
      <c r="W178" s="13"/>
    </row>
    <row r="179" spans="1:23">
      <c r="A179" s="123" t="s">
        <v>178</v>
      </c>
      <c r="B179" s="44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/>
      <c r="L179" s="10">
        <v>1</v>
      </c>
      <c r="M179" s="11"/>
      <c r="N179" s="106">
        <f t="shared" si="7"/>
        <v>3</v>
      </c>
      <c r="O179" s="107"/>
      <c r="P179" s="95"/>
      <c r="Q179" s="65" t="s">
        <v>1788</v>
      </c>
      <c r="R179" s="18">
        <v>20000</v>
      </c>
      <c r="S179" s="12">
        <v>20800</v>
      </c>
      <c r="T179" s="12">
        <v>21600</v>
      </c>
      <c r="U179" s="167"/>
      <c r="V179" s="168"/>
      <c r="W179" s="182">
        <v>500</v>
      </c>
    </row>
    <row r="180" spans="1:23">
      <c r="A180" s="147" t="s">
        <v>1634</v>
      </c>
      <c r="B180" s="44" t="str">
        <f>IFERROR(HYPERLINK(VLOOKUP(A180,ÜRÜNLER!A:C,3,FALSE),VLOOKUP(A180,ÜRÜNLER!A:B,2,FALSE)),"")</f>
        <v>iQ100 Ankastre Fırın, Siyah</v>
      </c>
      <c r="C180" s="8">
        <v>4</v>
      </c>
      <c r="D180" s="8"/>
      <c r="E180" s="9"/>
      <c r="F180" s="9"/>
      <c r="G180" s="10"/>
      <c r="H180" s="10"/>
      <c r="I180" s="11"/>
      <c r="J180" s="11"/>
      <c r="K180" s="10"/>
      <c r="L180" s="10"/>
      <c r="M180" s="11"/>
      <c r="N180" s="106">
        <f t="shared" si="7"/>
        <v>4</v>
      </c>
      <c r="O180" s="107"/>
      <c r="P180" s="95"/>
      <c r="Q180" s="45">
        <v>15307.657304072218</v>
      </c>
      <c r="R180" s="169">
        <v>14848.427584950052</v>
      </c>
      <c r="S180" s="12">
        <v>15442.364688348054</v>
      </c>
      <c r="T180" s="12">
        <v>16036.301791746057</v>
      </c>
      <c r="U180" s="167"/>
      <c r="V180" s="168"/>
      <c r="W180" s="13"/>
    </row>
    <row r="181" spans="1:23">
      <c r="A181" s="147" t="s">
        <v>1016</v>
      </c>
      <c r="B181" s="44" t="str">
        <f>IFERROR(HYPERLINK(VLOOKUP(A181,ÜRÜNLER!A:C,3,FALSE),VLOOKUP(A181,ÜRÜNLER!A:B,2,FALSE)),"")</f>
        <v>iQ500 Ankastre Fırın, 1 Teleskopik Ray, darkSteel</v>
      </c>
      <c r="C181" s="8">
        <v>5</v>
      </c>
      <c r="D181" s="8"/>
      <c r="E181" s="9"/>
      <c r="F181" s="9"/>
      <c r="G181" s="10"/>
      <c r="H181" s="10"/>
      <c r="I181" s="11"/>
      <c r="J181" s="11"/>
      <c r="K181" s="10"/>
      <c r="L181" s="10"/>
      <c r="M181" s="11"/>
      <c r="N181" s="106">
        <f t="shared" si="7"/>
        <v>5</v>
      </c>
      <c r="O181" s="107"/>
      <c r="P181" s="95"/>
      <c r="Q181" s="65" t="s">
        <v>1788</v>
      </c>
      <c r="R181" s="18">
        <v>21000</v>
      </c>
      <c r="S181" s="12">
        <v>21840</v>
      </c>
      <c r="T181" s="12">
        <v>22680</v>
      </c>
      <c r="U181" s="167"/>
      <c r="V181" s="168"/>
      <c r="W181" s="182">
        <v>500</v>
      </c>
    </row>
    <row r="182" spans="1:23">
      <c r="A182" s="147" t="s">
        <v>1022</v>
      </c>
      <c r="B182" s="44" t="str">
        <f>IFERROR(HYPERLINK(VLOOKUP(A182,ÜRÜNLER!A:C,3,FALSE),VLOOKUP(A182,ÜRÜNLER!A:B,2,FALSE)),"")</f>
        <v>iQ300 Ankastre Fırın, 1 Teleskopik Ray, Arkası Kendini Temizler, Siyah/Inox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06">
        <f t="shared" si="7"/>
        <v>1</v>
      </c>
      <c r="O182" s="107"/>
      <c r="P182" s="95"/>
      <c r="Q182" s="65" t="s">
        <v>1788</v>
      </c>
      <c r="R182" s="18">
        <v>20933</v>
      </c>
      <c r="S182" s="12">
        <v>21770.32</v>
      </c>
      <c r="T182" s="12">
        <v>22607.64</v>
      </c>
      <c r="U182" s="167"/>
      <c r="V182" s="168">
        <v>2933.3759999999997</v>
      </c>
      <c r="W182" s="182">
        <v>500</v>
      </c>
    </row>
    <row r="183" spans="1:23">
      <c r="A183" s="20" t="s">
        <v>1344</v>
      </c>
      <c r="B183" s="44" t="str">
        <f>IFERROR(HYPERLINK(VLOOKUP(A183,ÜRÜNLER!A:C,3,FALSE),VLOOKUP(A183,ÜRÜNLER!A:B,2,FALSE)),"")</f>
        <v>iQ700 Ankastre Fırın, Siyah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06">
        <f t="shared" si="7"/>
        <v>1</v>
      </c>
      <c r="O183" s="107"/>
      <c r="P183" s="95"/>
      <c r="Q183" s="65" t="s">
        <v>1788</v>
      </c>
      <c r="R183" s="18">
        <v>45000</v>
      </c>
      <c r="S183" s="12">
        <v>46800</v>
      </c>
      <c r="T183" s="12">
        <v>48600</v>
      </c>
      <c r="U183" s="167"/>
      <c r="V183" s="168"/>
      <c r="W183" s="182">
        <v>500</v>
      </c>
    </row>
    <row r="184" spans="1:23">
      <c r="A184" s="20" t="s">
        <v>1345</v>
      </c>
      <c r="B184" s="44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1</v>
      </c>
      <c r="O184" s="107"/>
      <c r="P184" s="95"/>
      <c r="Q184" s="65" t="s">
        <v>1788</v>
      </c>
      <c r="R184" s="18">
        <v>45000</v>
      </c>
      <c r="S184" s="12">
        <v>46800</v>
      </c>
      <c r="T184" s="12">
        <v>48600</v>
      </c>
      <c r="U184" s="167"/>
      <c r="V184" s="168"/>
      <c r="W184" s="182">
        <v>500</v>
      </c>
    </row>
    <row r="185" spans="1:23">
      <c r="A185" s="114" t="s">
        <v>184</v>
      </c>
      <c r="B185" s="44" t="str">
        <f>IFERROR(HYPERLINK(VLOOKUP(A185,ÜRÜNLER!A:C,3,FALSE),VLOOKUP(A185,ÜRÜNLER!A:B,2,FALSE)),"")</f>
        <v>iQ700 Ankastre Fırın, Arkası Kendini Temizler, Siyah</v>
      </c>
      <c r="C185" s="8">
        <v>4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>
        <v>1</v>
      </c>
      <c r="M185" s="11"/>
      <c r="N185" s="106">
        <f t="shared" si="7"/>
        <v>8</v>
      </c>
      <c r="O185" s="107">
        <v>1</v>
      </c>
      <c r="P185" s="95"/>
      <c r="Q185" s="45">
        <v>57373.180557222018</v>
      </c>
      <c r="R185" s="17">
        <v>54504.521529360914</v>
      </c>
      <c r="S185" s="12">
        <v>56684.702390535349</v>
      </c>
      <c r="T185" s="12">
        <v>58864.883251709791</v>
      </c>
      <c r="U185" s="167"/>
      <c r="V185" s="168"/>
      <c r="W185" s="13"/>
    </row>
    <row r="186" spans="1:23">
      <c r="A186" s="114" t="s">
        <v>185</v>
      </c>
      <c r="B186" s="44" t="str">
        <f>IFERROR(HYPERLINK(VLOOKUP(A186,ÜRÜNLER!A:C,3,FALSE),VLOOKUP(A186,ÜRÜNLER!A:B,2,FALSE)),"")</f>
        <v>iQ700 Ankastre Fırın, Arkası Kendini Temizler, Beyaz</v>
      </c>
      <c r="C186" s="8">
        <v>3</v>
      </c>
      <c r="D186" s="8"/>
      <c r="E186" s="9"/>
      <c r="F186" s="9"/>
      <c r="G186" s="10"/>
      <c r="H186" s="10"/>
      <c r="I186" s="11">
        <v>1</v>
      </c>
      <c r="J186" s="11"/>
      <c r="K186" s="10"/>
      <c r="L186" s="10"/>
      <c r="M186" s="11"/>
      <c r="N186" s="106">
        <f t="shared" si="7"/>
        <v>4</v>
      </c>
      <c r="O186" s="107"/>
      <c r="P186" s="95"/>
      <c r="Q186" s="65" t="s">
        <v>1788</v>
      </c>
      <c r="R186" s="18">
        <v>60000</v>
      </c>
      <c r="S186" s="12">
        <v>62400</v>
      </c>
      <c r="T186" s="12">
        <v>64800</v>
      </c>
      <c r="U186" s="167"/>
      <c r="V186" s="168"/>
      <c r="W186" s="13"/>
    </row>
    <row r="187" spans="1:23">
      <c r="A187" s="120" t="s">
        <v>186</v>
      </c>
      <c r="B187" s="44" t="str">
        <f>IFERROR(HYPERLINK(VLOOKUP(A187,ÜRÜNLER!A:C,3,FALSE),VLOOKUP(A187,ÜRÜNLER!A:B,2,FALSE)),"")</f>
        <v>iQ700 Ankastre Fırın, Siyah</v>
      </c>
      <c r="C187" s="8">
        <v>2</v>
      </c>
      <c r="D187" s="8"/>
      <c r="E187" s="9"/>
      <c r="F187" s="9">
        <v>1</v>
      </c>
      <c r="G187" s="10"/>
      <c r="H187" s="10"/>
      <c r="I187" s="11"/>
      <c r="J187" s="11">
        <v>1</v>
      </c>
      <c r="K187" s="10"/>
      <c r="L187" s="10"/>
      <c r="M187" s="11">
        <v>1</v>
      </c>
      <c r="N187" s="106">
        <f t="shared" si="7"/>
        <v>5</v>
      </c>
      <c r="O187" s="107">
        <v>6</v>
      </c>
      <c r="P187" s="95"/>
      <c r="Q187" s="45">
        <v>72956.019720911921</v>
      </c>
      <c r="R187" s="17">
        <v>69308.218734866328</v>
      </c>
      <c r="S187" s="12">
        <v>72080.547484260984</v>
      </c>
      <c r="T187" s="12">
        <v>74852.876233655639</v>
      </c>
      <c r="U187" s="167"/>
      <c r="V187" s="168"/>
      <c r="W187" s="13"/>
    </row>
    <row r="188" spans="1:23">
      <c r="A188" s="120" t="s">
        <v>187</v>
      </c>
      <c r="B188" s="44" t="str">
        <f>IFERROR(HYPERLINK(VLOOKUP(A188,ÜRÜNLER!A:C,3,FALSE),VLOOKUP(A188,ÜRÜNLER!A:B,2,FALSE)),"")</f>
        <v>iQ700 Ankastre Fırın, Komple Kendini Temizler, Siyah</v>
      </c>
      <c r="C188" s="8">
        <v>7</v>
      </c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7</v>
      </c>
      <c r="O188" s="107">
        <v>6</v>
      </c>
      <c r="P188" s="95"/>
      <c r="Q188" s="45">
        <v>84838.39222819134</v>
      </c>
      <c r="R188" s="17">
        <v>80596.472616781772</v>
      </c>
      <c r="S188" s="12">
        <v>83820.331521453045</v>
      </c>
      <c r="T188" s="12">
        <v>87044.190426124318</v>
      </c>
      <c r="U188" s="167"/>
      <c r="V188" s="168"/>
      <c r="W188" s="13"/>
    </row>
    <row r="189" spans="1:23">
      <c r="A189" s="120" t="s">
        <v>188</v>
      </c>
      <c r="B189" s="44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06">
        <f t="shared" si="7"/>
        <v>3</v>
      </c>
      <c r="O189" s="107"/>
      <c r="P189" s="95"/>
      <c r="Q189" s="65" t="s">
        <v>1788</v>
      </c>
      <c r="R189" s="18">
        <v>90000</v>
      </c>
      <c r="S189" s="12">
        <v>93600</v>
      </c>
      <c r="T189" s="12">
        <v>97200</v>
      </c>
      <c r="U189" s="167"/>
      <c r="V189" s="168"/>
      <c r="W189" s="13">
        <v>250</v>
      </c>
    </row>
    <row r="190" spans="1:23">
      <c r="A190" s="120" t="s">
        <v>195</v>
      </c>
      <c r="B190" s="44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4</v>
      </c>
      <c r="E190" s="9"/>
      <c r="F190" s="9"/>
      <c r="G190" s="10"/>
      <c r="H190" s="10"/>
      <c r="I190" s="11"/>
      <c r="J190" s="11"/>
      <c r="K190" s="10"/>
      <c r="L190" s="10"/>
      <c r="M190" s="11"/>
      <c r="N190" s="106">
        <f t="shared" si="7"/>
        <v>4</v>
      </c>
      <c r="O190" s="107"/>
      <c r="P190" s="95"/>
      <c r="Q190" s="150">
        <v>135350.30521517774</v>
      </c>
      <c r="R190" s="150">
        <v>121815.27469365997</v>
      </c>
      <c r="S190" s="12">
        <v>126687.88568140638</v>
      </c>
      <c r="T190" s="12">
        <v>131560.49666915278</v>
      </c>
      <c r="U190" s="167"/>
      <c r="V190" s="168"/>
      <c r="W190" s="13">
        <v>250</v>
      </c>
    </row>
    <row r="191" spans="1:23">
      <c r="A191" s="122" t="s">
        <v>1313</v>
      </c>
      <c r="B191" s="44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0"/>
      <c r="M191" s="11"/>
      <c r="N191" s="106">
        <f t="shared" si="7"/>
        <v>1</v>
      </c>
      <c r="O191" s="107"/>
      <c r="P191" s="95"/>
      <c r="Q191" s="65" t="s">
        <v>1788</v>
      </c>
      <c r="R191" s="18">
        <v>20000</v>
      </c>
      <c r="S191" s="12">
        <v>20800</v>
      </c>
      <c r="T191" s="12">
        <v>21600</v>
      </c>
      <c r="U191" s="167"/>
      <c r="V191" s="168"/>
      <c r="W191" s="182">
        <v>500</v>
      </c>
    </row>
    <row r="192" spans="1:23">
      <c r="A192" s="124" t="s">
        <v>154</v>
      </c>
      <c r="B192" s="44" t="str">
        <f>IFERROR(HYPERLINK(VLOOKUP(A192,ÜRÜNLER!A:C,3,FALSE),VLOOKUP(A192,ÜRÜNLER!A:B,2,FALSE)),"")</f>
        <v>iQ500 Ankastre Fırın, 2 Teleskopik Ray, Komple Kendini Temizler, Siyah</v>
      </c>
      <c r="C192" s="8">
        <v>59</v>
      </c>
      <c r="D192" s="8"/>
      <c r="E192" s="9"/>
      <c r="F192" s="9">
        <v>4</v>
      </c>
      <c r="G192" s="10"/>
      <c r="H192" s="10"/>
      <c r="I192" s="11">
        <v>1</v>
      </c>
      <c r="J192" s="11"/>
      <c r="K192" s="10"/>
      <c r="L192" s="10">
        <v>2</v>
      </c>
      <c r="M192" s="11">
        <v>1</v>
      </c>
      <c r="N192" s="106">
        <f t="shared" si="7"/>
        <v>67</v>
      </c>
      <c r="O192" s="107">
        <v>21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7"/>
      <c r="V192" s="168"/>
      <c r="W192" s="13"/>
    </row>
    <row r="193" spans="1:24">
      <c r="A193" s="123" t="s">
        <v>156</v>
      </c>
      <c r="B193" s="44" t="str">
        <f>IFERROR(HYPERLINK(VLOOKUP(A193,ÜRÜNLER!A:C,3,FALSE),VLOOKUP(A193,ÜRÜNLER!A:B,2,FALSE)),"")</f>
        <v>iQ500 Ankastre Fırın, 2 Teleskopik Ray, Komple Kendini Temizler, Antrasit</v>
      </c>
      <c r="C193" s="8">
        <v>22</v>
      </c>
      <c r="D193" s="8"/>
      <c r="E193" s="9"/>
      <c r="F193" s="9">
        <v>3</v>
      </c>
      <c r="G193" s="10"/>
      <c r="H193" s="10"/>
      <c r="I193" s="11"/>
      <c r="J193" s="11">
        <v>1</v>
      </c>
      <c r="K193" s="10"/>
      <c r="L193" s="10"/>
      <c r="M193" s="11"/>
      <c r="N193" s="106">
        <f t="shared" si="7"/>
        <v>26</v>
      </c>
      <c r="O193" s="107">
        <v>21</v>
      </c>
      <c r="P193" s="99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7"/>
      <c r="V193" s="168"/>
      <c r="W193" s="13"/>
    </row>
    <row r="194" spans="1:24">
      <c r="A194" s="114" t="s">
        <v>155</v>
      </c>
      <c r="B194" s="44" t="str">
        <f>IFERROR(HYPERLINK(VLOOKUP(A194,ÜRÜNLER!A:C,3,FALSE),VLOOKUP(A194,ÜRÜNLER!A:B,2,FALSE)),"")</f>
        <v>iQ500 Ankastre Fırın, 2 Teleskopik Ray, Komple Kendini Temizler, Beyaz</v>
      </c>
      <c r="C194" s="8">
        <v>20</v>
      </c>
      <c r="D194" s="8"/>
      <c r="E194" s="9"/>
      <c r="F194" s="9">
        <v>1</v>
      </c>
      <c r="G194" s="10">
        <v>1</v>
      </c>
      <c r="H194" s="10"/>
      <c r="I194" s="11">
        <v>1</v>
      </c>
      <c r="J194" s="11">
        <v>1</v>
      </c>
      <c r="K194" s="10">
        <v>1</v>
      </c>
      <c r="L194" s="10"/>
      <c r="M194" s="11"/>
      <c r="N194" s="106">
        <f t="shared" si="7"/>
        <v>25</v>
      </c>
      <c r="O194" s="107">
        <v>1</v>
      </c>
      <c r="P194" s="99"/>
      <c r="Q194" s="45">
        <v>34081.05594955603</v>
      </c>
      <c r="R194" s="17">
        <v>32377.003152078229</v>
      </c>
      <c r="S194" s="12">
        <v>33672.083278161357</v>
      </c>
      <c r="T194" s="12">
        <v>34967.163404244486</v>
      </c>
      <c r="U194" s="167"/>
      <c r="V194" s="168"/>
      <c r="W194" s="13"/>
    </row>
    <row r="195" spans="1:24">
      <c r="A195" s="114" t="s">
        <v>196</v>
      </c>
      <c r="B195" s="44" t="str">
        <f>IFERROR(HYPERLINK(VLOOKUP(A195,ÜRÜNLER!A:C,3,FALSE),VLOOKUP(A195,ÜRÜNLER!A:B,2,FALSE)),"")</f>
        <v>iQ700 studioLine Buhar ve Mikrodalga Fonksiyonlu Ankastre Fırın, Komple Kendini Temizler, Siyah</v>
      </c>
      <c r="C195" s="8"/>
      <c r="D195" s="8">
        <v>1</v>
      </c>
      <c r="E195" s="9"/>
      <c r="F195" s="9"/>
      <c r="G195" s="10"/>
      <c r="H195" s="10"/>
      <c r="I195" s="11"/>
      <c r="J195" s="11"/>
      <c r="K195" s="10"/>
      <c r="L195" s="10"/>
      <c r="M195" s="11"/>
      <c r="N195" s="106">
        <f t="shared" si="7"/>
        <v>1</v>
      </c>
      <c r="O195" s="107"/>
      <c r="P195" s="95"/>
      <c r="Q195" s="150">
        <v>234549.81348894077</v>
      </c>
      <c r="R195" s="150">
        <v>211094.8321400467</v>
      </c>
      <c r="S195" s="12">
        <v>219538.62542564856</v>
      </c>
      <c r="T195" s="12">
        <v>227982.41871125042</v>
      </c>
      <c r="U195" s="167"/>
      <c r="V195" s="168"/>
      <c r="W195" s="13">
        <v>250</v>
      </c>
    </row>
    <row r="196" spans="1:24">
      <c r="A196" s="124" t="s">
        <v>153</v>
      </c>
      <c r="B196" s="44" t="str">
        <f>IFERROR(HYPERLINK(VLOOKUP(A196,ÜRÜNLER!A:C,3,FALSE),VLOOKUP(A196,ÜRÜNLER!A:B,2,FALSE)),"")</f>
        <v>iQ300 Buhar Destekli Ankastre Fırın, 1 Teleskopik Ray, Arkası Kendini Temizler, Siyah/Dark Inox</v>
      </c>
      <c r="C196" s="8">
        <v>1</v>
      </c>
      <c r="D196" s="8"/>
      <c r="E196" s="9"/>
      <c r="F196" s="9">
        <v>1</v>
      </c>
      <c r="G196" s="10"/>
      <c r="H196" s="10"/>
      <c r="I196" s="11">
        <v>1</v>
      </c>
      <c r="J196" s="11"/>
      <c r="K196" s="10"/>
      <c r="L196" s="10"/>
      <c r="M196" s="11"/>
      <c r="N196" s="106">
        <f t="shared" si="7"/>
        <v>3</v>
      </c>
      <c r="O196" s="107">
        <v>1</v>
      </c>
      <c r="P196" s="95"/>
      <c r="Q196" s="45">
        <v>38287.938612271246</v>
      </c>
      <c r="R196" s="169">
        <v>37139.30045390311</v>
      </c>
      <c r="S196" s="12">
        <v>38624.872472059236</v>
      </c>
      <c r="T196" s="12">
        <v>40110.444490215355</v>
      </c>
      <c r="U196" s="167"/>
      <c r="V196" s="168"/>
      <c r="W196" s="13"/>
    </row>
    <row r="197" spans="1:24">
      <c r="A197" s="120" t="s">
        <v>191</v>
      </c>
      <c r="B197" s="44" t="str">
        <f>IFERROR(HYPERLINK(VLOOKUP(A197,ÜRÜNLER!A:C,3,FALSE),VLOOKUP(A197,ÜRÜNLER!A:B,2,FALSE)),"")</f>
        <v>iQ500 Buhar Destekli Ankastre Fırın, Arkası Kendini Temizler, Siyah/Inox</v>
      </c>
      <c r="C197" s="8">
        <v>4</v>
      </c>
      <c r="D197" s="8"/>
      <c r="E197" s="9"/>
      <c r="F197" s="9"/>
      <c r="G197" s="10"/>
      <c r="H197" s="10"/>
      <c r="I197" s="11">
        <v>1</v>
      </c>
      <c r="J197" s="11">
        <v>1</v>
      </c>
      <c r="K197" s="10">
        <v>1</v>
      </c>
      <c r="L197" s="10"/>
      <c r="M197" s="11">
        <v>1</v>
      </c>
      <c r="N197" s="106">
        <f t="shared" si="7"/>
        <v>8</v>
      </c>
      <c r="O197" s="107"/>
      <c r="P197" s="95"/>
      <c r="Q197" s="65" t="s">
        <v>1788</v>
      </c>
      <c r="R197" s="18">
        <v>26144</v>
      </c>
      <c r="S197" s="12">
        <v>27189.759999999998</v>
      </c>
      <c r="T197" s="12">
        <v>28235.52</v>
      </c>
      <c r="U197" s="167"/>
      <c r="V197" s="168"/>
      <c r="W197" s="13"/>
    </row>
    <row r="198" spans="1:24">
      <c r="A198" s="114" t="s">
        <v>192</v>
      </c>
      <c r="B198" s="44" t="str">
        <f>IFERROR(HYPERLINK(VLOOKUP(A198,ÜRÜNLER!A:C,3,FALSE),VLOOKUP(A198,ÜRÜNLER!A:B,2,FALSE)),"")</f>
        <v>iQ700 Ankastre Fırın, Siyah</v>
      </c>
      <c r="C198" s="8">
        <v>1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/>
      <c r="L198" s="10">
        <v>1</v>
      </c>
      <c r="M198" s="11">
        <v>2</v>
      </c>
      <c r="N198" s="106">
        <f t="shared" si="7"/>
        <v>6</v>
      </c>
      <c r="O198" s="107">
        <v>2</v>
      </c>
      <c r="P198" s="95"/>
      <c r="Q198" s="45">
        <v>87225.358872207915</v>
      </c>
      <c r="R198" s="17">
        <v>82864.090928597521</v>
      </c>
      <c r="S198" s="12">
        <v>86178.654565741424</v>
      </c>
      <c r="T198" s="12">
        <v>89493.218202885328</v>
      </c>
      <c r="U198" s="167"/>
      <c r="V198" s="168"/>
      <c r="W198" s="16"/>
    </row>
    <row r="199" spans="1:24">
      <c r="A199" s="122" t="s">
        <v>193</v>
      </c>
      <c r="B199" s="44" t="str">
        <f>IFERROR(HYPERLINK(VLOOKUP(A199,ÜRÜNLER!A:C,3,FALSE),VLOOKUP(A199,ÜRÜNLER!A:B,2,FALSE)),"")</f>
        <v>iQ700 Buhar Destekli Ankastre Fırın, Arkası Kendini Temizler, Siyah/Inox</v>
      </c>
      <c r="C199" s="8">
        <v>1</v>
      </c>
      <c r="D199" s="8"/>
      <c r="E199" s="9"/>
      <c r="F199" s="9"/>
      <c r="G199" s="10"/>
      <c r="H199" s="10"/>
      <c r="I199" s="11">
        <v>1</v>
      </c>
      <c r="J199" s="11"/>
      <c r="K199" s="10"/>
      <c r="L199" s="10"/>
      <c r="M199" s="11"/>
      <c r="N199" s="106">
        <f t="shared" si="7"/>
        <v>2</v>
      </c>
      <c r="O199" s="107"/>
      <c r="P199" s="95"/>
      <c r="Q199" s="65" t="s">
        <v>1788</v>
      </c>
      <c r="R199" s="18">
        <v>66000</v>
      </c>
      <c r="S199" s="12">
        <v>68640</v>
      </c>
      <c r="T199" s="12">
        <v>71280</v>
      </c>
      <c r="U199" s="167"/>
      <c r="V199" s="168"/>
      <c r="W199" s="13"/>
    </row>
    <row r="200" spans="1:24">
      <c r="A200" s="120" t="s">
        <v>194</v>
      </c>
      <c r="B200" s="44" t="str">
        <f>IFERROR(HYPERLINK(VLOOKUP(A200,ÜRÜNLER!A:C,3,FALSE),VLOOKUP(A200,ÜRÜNLER!A:B,2,FALSE)),"")</f>
        <v>iQ700 studioLine Buhar Destekli Ankastre Fırın, 3 Teleskopik Ray, Komple Kendini Temizler, Siyah</v>
      </c>
      <c r="C200" s="8"/>
      <c r="D200" s="8"/>
      <c r="E200" s="9"/>
      <c r="F200" s="9"/>
      <c r="G200" s="10"/>
      <c r="H200" s="10">
        <v>1</v>
      </c>
      <c r="I200" s="11"/>
      <c r="J200" s="11"/>
      <c r="K200" s="10"/>
      <c r="L200" s="10"/>
      <c r="M200" s="11"/>
      <c r="N200" s="106">
        <f t="shared" si="7"/>
        <v>1</v>
      </c>
      <c r="O200" s="107"/>
      <c r="P200" s="95"/>
      <c r="Q200" s="184" t="s">
        <v>1788</v>
      </c>
      <c r="R200" s="150">
        <v>90000</v>
      </c>
      <c r="S200" s="12">
        <v>93600</v>
      </c>
      <c r="T200" s="12">
        <v>97200</v>
      </c>
      <c r="U200" s="167"/>
      <c r="V200" s="168"/>
      <c r="W200" s="182">
        <v>1000</v>
      </c>
    </row>
    <row r="201" spans="1:24">
      <c r="A201" s="124" t="s">
        <v>158</v>
      </c>
      <c r="B201" s="44" t="str">
        <f>IFERROR(HYPERLINK(VLOOKUP(A201,ÜRÜNLER!A:C,3,FALSE),VLOOKUP(A201,ÜRÜNLER!A:B,2,FALSE)),"")</f>
        <v>iQ300 Buhar Destekli Ankastre Fırın, Siyah</v>
      </c>
      <c r="C201" s="8">
        <v>29</v>
      </c>
      <c r="D201" s="8"/>
      <c r="E201" s="9"/>
      <c r="F201" s="9">
        <v>1</v>
      </c>
      <c r="G201" s="10"/>
      <c r="H201" s="10"/>
      <c r="I201" s="11">
        <v>1</v>
      </c>
      <c r="J201" s="11">
        <v>1</v>
      </c>
      <c r="K201" s="10"/>
      <c r="L201" s="10"/>
      <c r="M201" s="11"/>
      <c r="N201" s="106">
        <f t="shared" si="7"/>
        <v>32</v>
      </c>
      <c r="O201" s="107">
        <v>6</v>
      </c>
      <c r="P201" s="99"/>
      <c r="Q201" s="45">
        <v>25175.562628326243</v>
      </c>
      <c r="R201" s="158">
        <v>23413.273244343407</v>
      </c>
      <c r="S201" s="12">
        <v>24349.804174117144</v>
      </c>
      <c r="T201" s="12">
        <v>25286.33510389088</v>
      </c>
      <c r="U201" s="167"/>
      <c r="V201" s="168"/>
      <c r="W201" s="13"/>
    </row>
    <row r="202" spans="1:24">
      <c r="A202" s="123" t="s">
        <v>159</v>
      </c>
      <c r="B202" s="44" t="str">
        <f>IFERROR(HYPERLINK(VLOOKUP(A202,ÜRÜNLER!A:C,3,FALSE),VLOOKUP(A202,ÜRÜNLER!A:B,2,FALSE)),"")</f>
        <v>iQ300 Buhar Destekli Ankastre Fırın, Antrasit</v>
      </c>
      <c r="C202" s="8">
        <v>2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/>
      <c r="L202" s="10"/>
      <c r="M202" s="11">
        <v>1</v>
      </c>
      <c r="N202" s="106">
        <f t="shared" si="7"/>
        <v>5</v>
      </c>
      <c r="O202" s="107">
        <v>6</v>
      </c>
      <c r="P202" s="99"/>
      <c r="Q202" s="45">
        <v>25175.562628326243</v>
      </c>
      <c r="R202" s="158">
        <v>23413.273244343407</v>
      </c>
      <c r="S202" s="12">
        <v>24349.804174117144</v>
      </c>
      <c r="T202" s="12">
        <v>25286.33510389088</v>
      </c>
      <c r="U202" s="167"/>
      <c r="V202" s="168"/>
      <c r="W202" s="13"/>
    </row>
    <row r="203" spans="1:24">
      <c r="A203" s="114" t="s">
        <v>157</v>
      </c>
      <c r="B203" s="44" t="str">
        <f>IFERROR(HYPERLINK(VLOOKUP(A203,ÜRÜNLER!A:C,3,FALSE),VLOOKUP(A203,ÜRÜNLER!A:B,2,FALSE)),"")</f>
        <v>iQ300 Buhar Destekli Ankastre Fırın, Beyaz</v>
      </c>
      <c r="C203" s="8">
        <v>1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0"/>
      <c r="M203" s="11"/>
      <c r="N203" s="106">
        <f t="shared" si="7"/>
        <v>4</v>
      </c>
      <c r="O203" s="107">
        <v>13</v>
      </c>
      <c r="P203" s="99"/>
      <c r="Q203" s="45">
        <v>25175.562628326243</v>
      </c>
      <c r="R203" s="17">
        <v>23916.784496909931</v>
      </c>
      <c r="S203" s="12">
        <v>24873.455876786327</v>
      </c>
      <c r="T203" s="12">
        <v>25830.127256662727</v>
      </c>
      <c r="U203" s="167"/>
      <c r="V203" s="168"/>
      <c r="W203" s="13"/>
    </row>
    <row r="204" spans="1:24">
      <c r="A204" s="124" t="s">
        <v>160</v>
      </c>
      <c r="B204" s="44" t="str">
        <f>IFERROR(HYPERLINK(VLOOKUP(A204,ÜRÜNLER!A:C,3,FALSE),VLOOKUP(A204,ÜRÜNLER!A:B,2,FALSE)),"")</f>
        <v>iQ300 Ankastre Fırın, 1 Teleskopik Ray, Arkası Kendini Temizler, Siyah</v>
      </c>
      <c r="C204" s="8">
        <v>23</v>
      </c>
      <c r="D204" s="8"/>
      <c r="E204" s="9"/>
      <c r="F204" s="9"/>
      <c r="G204" s="10"/>
      <c r="H204" s="10"/>
      <c r="I204" s="11"/>
      <c r="J204" s="11"/>
      <c r="K204" s="10"/>
      <c r="L204" s="10"/>
      <c r="M204" s="11">
        <v>1</v>
      </c>
      <c r="N204" s="106">
        <f t="shared" si="7"/>
        <v>24</v>
      </c>
      <c r="O204" s="107">
        <v>6</v>
      </c>
      <c r="P204" s="99"/>
      <c r="Q204" s="45">
        <v>28352.487630744396</v>
      </c>
      <c r="R204" s="158">
        <v>26367.813496592287</v>
      </c>
      <c r="S204" s="12">
        <v>27422.52603645598</v>
      </c>
      <c r="T204" s="12">
        <v>28477.238576319669</v>
      </c>
      <c r="U204" s="167"/>
      <c r="V204" s="168"/>
      <c r="W204" s="13"/>
    </row>
    <row r="205" spans="1:24">
      <c r="A205" s="124" t="s">
        <v>161</v>
      </c>
      <c r="B205" s="44" t="str">
        <f>IFERROR(HYPERLINK(VLOOKUP(A205,ÜRÜNLER!A:C,3,FALSE),VLOOKUP(A205,ÜRÜNLER!A:B,2,FALSE)),"")</f>
        <v>iQ300 Buhar Destekli Ankastre Fırın, 1 Teleskopik Ray, Arkası Kendini Temizler, darkSteel Line</v>
      </c>
      <c r="C205" s="8">
        <v>18</v>
      </c>
      <c r="D205" s="8"/>
      <c r="E205" s="9"/>
      <c r="F205" s="9">
        <v>1</v>
      </c>
      <c r="G205" s="10"/>
      <c r="H205" s="10"/>
      <c r="I205" s="11">
        <v>1</v>
      </c>
      <c r="J205" s="11"/>
      <c r="K205" s="10"/>
      <c r="L205" s="10"/>
      <c r="M205" s="11"/>
      <c r="N205" s="106">
        <f t="shared" si="7"/>
        <v>20</v>
      </c>
      <c r="O205" s="107"/>
      <c r="P205" s="99"/>
      <c r="Q205" s="45">
        <v>28352.487630744396</v>
      </c>
      <c r="R205" s="158">
        <v>26367.813496592287</v>
      </c>
      <c r="S205" s="12">
        <v>27422.52603645598</v>
      </c>
      <c r="T205" s="12">
        <v>28477.238576319669</v>
      </c>
      <c r="U205" s="167"/>
      <c r="V205" s="168"/>
      <c r="W205" s="13"/>
    </row>
    <row r="206" spans="1:24">
      <c r="A206" s="123" t="s">
        <v>162</v>
      </c>
      <c r="B206" s="44" t="str">
        <f>IFERROR(HYPERLINK(VLOOKUP(A206,ÜRÜNLER!A:C,3,FALSE),VLOOKUP(A206,ÜRÜNLER!A:B,2,FALSE)),"")</f>
        <v>iQ300 Ankastre Fırın, 1 Teleskopik Ray, Arkası Kendini Temizler, Antrasit</v>
      </c>
      <c r="C206" s="8">
        <v>16</v>
      </c>
      <c r="D206" s="8"/>
      <c r="E206" s="9"/>
      <c r="F206" s="9">
        <v>2</v>
      </c>
      <c r="G206" s="10"/>
      <c r="H206" s="10"/>
      <c r="I206" s="11"/>
      <c r="J206" s="11">
        <v>1</v>
      </c>
      <c r="K206" s="10">
        <v>1</v>
      </c>
      <c r="L206" s="10"/>
      <c r="M206" s="11">
        <v>1</v>
      </c>
      <c r="N206" s="106">
        <f t="shared" si="7"/>
        <v>21</v>
      </c>
      <c r="O206" s="107">
        <v>1</v>
      </c>
      <c r="P206" s="99"/>
      <c r="Q206" s="45">
        <v>28085.011332341153</v>
      </c>
      <c r="R206" s="158">
        <v>26119.060539077273</v>
      </c>
      <c r="S206" s="12">
        <v>27163.822960640362</v>
      </c>
      <c r="T206" s="12">
        <v>28208.585382203455</v>
      </c>
      <c r="U206" s="167"/>
      <c r="V206" s="168"/>
      <c r="W206" s="13"/>
    </row>
    <row r="207" spans="1:24">
      <c r="A207" s="114" t="s">
        <v>163</v>
      </c>
      <c r="B207" s="44" t="str">
        <f>IFERROR(HYPERLINK(VLOOKUP(A207,ÜRÜNLER!A:C,3,FALSE),VLOOKUP(A207,ÜRÜNLER!A:B,2,FALSE)),"")</f>
        <v>iQ300 Buhar Destekli Ankastre Fırın, 1 Teleskopik Ray, Arkası Kendini Temizler, Beyaz</v>
      </c>
      <c r="C207" s="8">
        <v>4</v>
      </c>
      <c r="D207" s="8"/>
      <c r="E207" s="9"/>
      <c r="F207" s="9">
        <v>1</v>
      </c>
      <c r="G207" s="10"/>
      <c r="H207" s="10"/>
      <c r="I207" s="11">
        <v>1</v>
      </c>
      <c r="J207" s="11">
        <v>1</v>
      </c>
      <c r="K207" s="10"/>
      <c r="L207" s="10"/>
      <c r="M207" s="11"/>
      <c r="N207" s="106">
        <f t="shared" si="7"/>
        <v>7</v>
      </c>
      <c r="O207" s="107"/>
      <c r="P207" s="99"/>
      <c r="Q207" s="45">
        <v>28352.487630744396</v>
      </c>
      <c r="R207" s="158">
        <v>26367.813496592287</v>
      </c>
      <c r="S207" s="12">
        <v>27422.52603645598</v>
      </c>
      <c r="T207" s="12">
        <v>28477.238576319669</v>
      </c>
      <c r="U207" s="167"/>
      <c r="V207" s="168"/>
      <c r="W207" s="13"/>
    </row>
    <row r="208" spans="1:24" s="27" customFormat="1" ht="40.5" customHeight="1">
      <c r="A208" s="29" t="s">
        <v>203</v>
      </c>
      <c r="B208" s="44" t="str">
        <f>IFERROR(HYPERLINK(VLOOKUP(A208,ÜRÜNLER!A:C,3,FALSE),VLOOKUP(A208,ÜRÜNLER!A:B,2,FALSE)),"")</f>
        <v/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06">
        <f>SUM(N165:N207)</f>
        <v>415</v>
      </c>
      <c r="O208" s="107"/>
      <c r="P208" s="95"/>
      <c r="Q208" s="65"/>
      <c r="R208" s="65"/>
      <c r="S208" s="12"/>
      <c r="T208" s="12"/>
      <c r="U208" s="167"/>
      <c r="V208" s="168"/>
      <c r="W208" s="16"/>
      <c r="X208" s="185"/>
    </row>
    <row r="209" spans="1:25">
      <c r="A209" s="121" t="s">
        <v>204</v>
      </c>
      <c r="B209" s="44" t="str">
        <f>IFERROR(HYPERLINK(VLOOKUP(A209,ÜRÜNLER!A:C,3,FALSE),VLOOKUP(A209,ÜRÜNLER!A:B,2,FALSE)),"")</f>
        <v>iQ500 Ankastre Mikrodalga, Izgaralı, Siyah</v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06">
        <f t="shared" ref="N209:N226" si="8">M209+K209+L209+J209+I209+H209+G209+F209+E209+D209+C209</f>
        <v>0</v>
      </c>
      <c r="O209" s="107">
        <v>11</v>
      </c>
      <c r="P209" s="95"/>
      <c r="Q209" s="45">
        <v>21342.536832264141</v>
      </c>
      <c r="R209" s="187">
        <v>20702.260727296216</v>
      </c>
      <c r="S209" s="12">
        <v>21530.351156388064</v>
      </c>
      <c r="T209" s="12">
        <v>22358.441585479912</v>
      </c>
      <c r="U209" s="167"/>
      <c r="V209" s="168"/>
      <c r="W209" s="16"/>
      <c r="Y209" s="185">
        <v>20700</v>
      </c>
    </row>
    <row r="210" spans="1:25">
      <c r="A210" s="125" t="s">
        <v>205</v>
      </c>
      <c r="B210" s="44" t="str">
        <f>IFERROR(HYPERLINK(VLOOKUP(A210,ÜRÜNLER!A:C,3,FALSE),VLOOKUP(A210,ÜRÜNLER!A:B,2,FALSE)),"")</f>
        <v>iQ500 Ankastre Mikrodalga, Izgara Fonksiyonlu, 20L, Siyah/darkSteel</v>
      </c>
      <c r="C210" s="8">
        <v>8</v>
      </c>
      <c r="D210" s="8"/>
      <c r="E210" s="9"/>
      <c r="F210" s="9">
        <v>1</v>
      </c>
      <c r="G210" s="10"/>
      <c r="H210" s="10"/>
      <c r="I210" s="11"/>
      <c r="J210" s="11"/>
      <c r="K210" s="10"/>
      <c r="L210" s="10">
        <v>1</v>
      </c>
      <c r="M210" s="11"/>
      <c r="N210" s="106">
        <f t="shared" si="8"/>
        <v>10</v>
      </c>
      <c r="O210" s="107">
        <v>1</v>
      </c>
      <c r="P210" s="95"/>
      <c r="Q210" s="45">
        <v>21342.536832264141</v>
      </c>
      <c r="R210" s="169">
        <v>20702.260727296216</v>
      </c>
      <c r="S210" s="12">
        <v>21530.351156388064</v>
      </c>
      <c r="T210" s="12">
        <v>22358.441585479912</v>
      </c>
      <c r="U210" s="167"/>
      <c r="V210" s="168"/>
      <c r="W210" s="13"/>
      <c r="Y210" s="185"/>
    </row>
    <row r="211" spans="1:25">
      <c r="A211" s="123" t="s">
        <v>206</v>
      </c>
      <c r="B211" s="44" t="str">
        <f>IFERROR(HYPERLINK(VLOOKUP(A211,ÜRÜNLER!A:C,3,FALSE),VLOOKUP(A211,ÜRÜNLER!A:B,2,FALSE)),"")</f>
        <v>iQ500 Ankastre Mikrodalga, Izgaralı, Anstrasit</v>
      </c>
      <c r="C211" s="8"/>
      <c r="D211" s="8"/>
      <c r="E211" s="9"/>
      <c r="F211" s="9">
        <v>2</v>
      </c>
      <c r="G211" s="10"/>
      <c r="H211" s="10"/>
      <c r="I211" s="11"/>
      <c r="J211" s="11"/>
      <c r="K211" s="10"/>
      <c r="L211" s="10"/>
      <c r="M211" s="11"/>
      <c r="N211" s="106">
        <f t="shared" si="8"/>
        <v>2</v>
      </c>
      <c r="O211" s="107">
        <v>1</v>
      </c>
      <c r="P211" s="95"/>
      <c r="Q211" s="45">
        <v>21342.536832264141</v>
      </c>
      <c r="R211" s="169">
        <v>20702.260727296216</v>
      </c>
      <c r="S211" s="12">
        <v>21530.351156388064</v>
      </c>
      <c r="T211" s="12">
        <v>22358.441585479912</v>
      </c>
      <c r="U211" s="167"/>
      <c r="V211" s="168"/>
      <c r="W211" s="13"/>
      <c r="Y211" s="185"/>
    </row>
    <row r="212" spans="1:25">
      <c r="A212" s="20" t="s">
        <v>207</v>
      </c>
      <c r="B212" s="44" t="str">
        <f>IFERROR(HYPERLINK(VLOOKUP(A212,ÜRÜNLER!A:C,3,FALSE),VLOOKUP(A212,ÜRÜNLER!A:B,2,FALSE)),"")</f>
        <v>iQ500 Ankastre Mikrodalga, Izgara Fonksiyonlu, 20L, Beyaz</v>
      </c>
      <c r="C212" s="8">
        <v>3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06">
        <f t="shared" si="8"/>
        <v>3</v>
      </c>
      <c r="O212" s="107">
        <v>1</v>
      </c>
      <c r="P212" s="95"/>
      <c r="Q212" s="45">
        <v>21342.536832264141</v>
      </c>
      <c r="R212" s="169">
        <v>20702.260727296216</v>
      </c>
      <c r="S212" s="12">
        <v>21530.351156388064</v>
      </c>
      <c r="T212" s="12">
        <v>22358.441585479912</v>
      </c>
      <c r="U212" s="167"/>
      <c r="V212" s="168"/>
      <c r="W212" s="13"/>
      <c r="Y212" s="185"/>
    </row>
    <row r="213" spans="1:25">
      <c r="A213" s="20" t="s">
        <v>208</v>
      </c>
      <c r="B213" s="44" t="str">
        <f>IFERROR(HYPERLINK(VLOOKUP(A213,ÜRÜNLER!A:C,3,FALSE),VLOOKUP(A213,ÜRÜNLER!A:B,2,FALSE)),"")</f>
        <v>iQ500 Ankastre Mikrodalga, Izgara Fonksiyonlu, 20L, Siyah/Inox</v>
      </c>
      <c r="C213" s="8"/>
      <c r="D213" s="8"/>
      <c r="E213" s="9"/>
      <c r="F213" s="9"/>
      <c r="G213" s="10"/>
      <c r="H213" s="10"/>
      <c r="I213" s="11"/>
      <c r="J213" s="11"/>
      <c r="K213" s="10"/>
      <c r="L213" s="10"/>
      <c r="M213" s="11">
        <v>1</v>
      </c>
      <c r="N213" s="106">
        <f t="shared" si="8"/>
        <v>1</v>
      </c>
      <c r="O213" s="107"/>
      <c r="P213" s="95"/>
      <c r="Q213" s="65" t="s">
        <v>1788</v>
      </c>
      <c r="R213" s="18">
        <v>20000</v>
      </c>
      <c r="S213" s="12">
        <v>20800</v>
      </c>
      <c r="T213" s="12">
        <v>21600</v>
      </c>
      <c r="U213" s="167"/>
      <c r="V213" s="168"/>
      <c r="W213" s="183">
        <v>500</v>
      </c>
      <c r="Y213" s="185"/>
    </row>
    <row r="214" spans="1:25">
      <c r="A214" s="121" t="s">
        <v>210</v>
      </c>
      <c r="B214" s="44" t="str">
        <f>IFERROR(HYPERLINK(VLOOKUP(A214,ÜRÜNLER!A:C,3,FALSE),VLOOKUP(A214,ÜRÜNLER!A:B,2,FALSE)),"")</f>
        <v>iQ500 Ankastre Mikrodalga, Izgaralı, Siyah</v>
      </c>
      <c r="C214" s="8">
        <v>3</v>
      </c>
      <c r="D214" s="8"/>
      <c r="E214" s="9"/>
      <c r="F214" s="9"/>
      <c r="G214" s="10"/>
      <c r="H214" s="10"/>
      <c r="I214" s="11">
        <v>1</v>
      </c>
      <c r="J214" s="11"/>
      <c r="K214" s="10">
        <v>1</v>
      </c>
      <c r="L214" s="10"/>
      <c r="M214" s="11"/>
      <c r="N214" s="106">
        <f t="shared" si="8"/>
        <v>5</v>
      </c>
      <c r="O214" s="107">
        <v>6</v>
      </c>
      <c r="P214" s="95"/>
      <c r="Q214" s="45">
        <v>23913.175291561605</v>
      </c>
      <c r="R214" s="169">
        <v>23195.780032814757</v>
      </c>
      <c r="S214" s="12">
        <v>24123.611234127347</v>
      </c>
      <c r="T214" s="12">
        <v>25051.442435439938</v>
      </c>
      <c r="U214" s="167"/>
      <c r="V214" s="168"/>
      <c r="W214" s="16"/>
      <c r="Y214" s="185"/>
    </row>
    <row r="215" spans="1:25">
      <c r="A215" s="20" t="s">
        <v>211</v>
      </c>
      <c r="B215" s="44" t="str">
        <f>IFERROR(HYPERLINK(VLOOKUP(A215,ÜRÜNLER!A:C,3,FALSE),VLOOKUP(A215,ÜRÜNLER!A:B,2,FALSE)),"")</f>
        <v>iQ700 Ankastre Mikrodalga, Izgara Fonksiyonlu, 21L, Siyah</v>
      </c>
      <c r="C215" s="8">
        <v>1</v>
      </c>
      <c r="D215" s="8"/>
      <c r="E215" s="9"/>
      <c r="F215" s="9">
        <v>4</v>
      </c>
      <c r="G215" s="10"/>
      <c r="H215" s="10"/>
      <c r="I215" s="11"/>
      <c r="J215" s="11"/>
      <c r="K215" s="10"/>
      <c r="L215" s="10"/>
      <c r="M215" s="11"/>
      <c r="N215" s="106">
        <f t="shared" si="8"/>
        <v>5</v>
      </c>
      <c r="O215" s="107">
        <v>1</v>
      </c>
      <c r="P215" s="95"/>
      <c r="Q215" s="45">
        <v>35710.442070253615</v>
      </c>
      <c r="R215" s="169">
        <v>34639.128808146008</v>
      </c>
      <c r="S215" s="12">
        <v>36024.69396047185</v>
      </c>
      <c r="T215" s="12">
        <v>37410.259112797692</v>
      </c>
      <c r="U215" s="167"/>
      <c r="V215" s="168"/>
      <c r="W215" s="16"/>
      <c r="Y215" s="185"/>
    </row>
    <row r="216" spans="1:25">
      <c r="A216" s="121" t="s">
        <v>212</v>
      </c>
      <c r="B216" s="44" t="str">
        <f>IFERROR(HYPERLINK(VLOOKUP(A216,ÜRÜNLER!A:C,3,FALSE),VLOOKUP(A216,ÜRÜNLER!A:B,2,FALSE)),"")</f>
        <v>iQ300 Ankastre Mikrodalga, 20L, Siyah</v>
      </c>
      <c r="C216" s="8"/>
      <c r="D216" s="8"/>
      <c r="E216" s="9"/>
      <c r="F216" s="9"/>
      <c r="G216" s="10"/>
      <c r="H216" s="10"/>
      <c r="I216" s="11"/>
      <c r="J216" s="11"/>
      <c r="K216" s="10"/>
      <c r="L216" s="10"/>
      <c r="M216" s="11"/>
      <c r="N216" s="106">
        <f t="shared" si="8"/>
        <v>0</v>
      </c>
      <c r="O216" s="107">
        <v>1</v>
      </c>
      <c r="P216" s="95"/>
      <c r="Q216" s="45">
        <v>18113.770449440766</v>
      </c>
      <c r="R216" s="169">
        <v>17570.357335957542</v>
      </c>
      <c r="S216" s="12">
        <v>18273.171629395845</v>
      </c>
      <c r="T216" s="12">
        <v>18975.985922834145</v>
      </c>
      <c r="U216" s="167"/>
      <c r="V216" s="168"/>
      <c r="W216" s="16"/>
      <c r="Y216" s="185"/>
    </row>
    <row r="217" spans="1:25">
      <c r="A217" s="20" t="s">
        <v>213</v>
      </c>
      <c r="B217" s="44" t="str">
        <f>IFERROR(HYPERLINK(VLOOKUP(A217,ÜRÜNLER!A:C,3,FALSE),VLOOKUP(A217,ÜRÜNLER!A:B,2,FALSE)),"")</f>
        <v>iQ300 Ankastre Mikrodalga, 20L, Siyah/Inox</v>
      </c>
      <c r="C217" s="8"/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2</v>
      </c>
      <c r="O217" s="107"/>
      <c r="P217" s="95"/>
      <c r="Q217" s="65" t="s">
        <v>1788</v>
      </c>
      <c r="R217" s="18">
        <v>19500</v>
      </c>
      <c r="S217" s="12">
        <v>20280</v>
      </c>
      <c r="T217" s="12">
        <v>21060</v>
      </c>
      <c r="U217" s="167"/>
      <c r="V217" s="168"/>
      <c r="W217" s="183">
        <v>500</v>
      </c>
      <c r="Y217" s="185"/>
    </row>
    <row r="218" spans="1:25">
      <c r="A218" s="20" t="s">
        <v>215</v>
      </c>
      <c r="B218" s="44" t="str">
        <f>IFERROR(HYPERLINK(VLOOKUP(A218,ÜRÜNLER!A:C,3,FALSE),VLOOKUP(A218,ÜRÜNLER!A:B,2,FALSE)),"")</f>
        <v>iQ500 Ankastre Mikrodalga, 20L, Beyaz/Inox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>
        <v>2</v>
      </c>
      <c r="M218" s="11"/>
      <c r="N218" s="106">
        <f t="shared" si="8"/>
        <v>4</v>
      </c>
      <c r="O218" s="107"/>
      <c r="P218" s="95"/>
      <c r="Q218" s="65" t="s">
        <v>1788</v>
      </c>
      <c r="R218" s="18">
        <v>19500</v>
      </c>
      <c r="S218" s="12">
        <v>20280</v>
      </c>
      <c r="T218" s="12">
        <v>21060</v>
      </c>
      <c r="U218" s="167"/>
      <c r="V218" s="168"/>
      <c r="W218" s="183">
        <v>500</v>
      </c>
      <c r="Y218" s="185"/>
    </row>
    <row r="219" spans="1:25">
      <c r="A219" s="123" t="s">
        <v>216</v>
      </c>
      <c r="B219" s="44" t="str">
        <f>IFERROR(HYPERLINK(VLOOKUP(A219,ÜRÜNLER!A:C,3,FALSE),VLOOKUP(A219,ÜRÜNLER!A:B,2,FALSE)),"")</f>
        <v>iQ300 Ankastre Mikrodalga, 20L, Antrasit/Titanyum Gri</v>
      </c>
      <c r="C219" s="8">
        <v>10</v>
      </c>
      <c r="D219" s="8"/>
      <c r="E219" s="9"/>
      <c r="F219" s="9"/>
      <c r="G219" s="10"/>
      <c r="H219" s="10"/>
      <c r="I219" s="11">
        <v>1</v>
      </c>
      <c r="J219" s="11">
        <v>1</v>
      </c>
      <c r="K219" s="10"/>
      <c r="L219" s="10"/>
      <c r="M219" s="11"/>
      <c r="N219" s="106">
        <f t="shared" si="8"/>
        <v>12</v>
      </c>
      <c r="O219" s="107">
        <v>3</v>
      </c>
      <c r="P219" s="95"/>
      <c r="Q219" s="45">
        <v>16906.864357675429</v>
      </c>
      <c r="R219" s="187">
        <v>16061.521139791657</v>
      </c>
      <c r="S219" s="12">
        <v>16703.981985383325</v>
      </c>
      <c r="T219" s="12">
        <v>17346.442830974989</v>
      </c>
      <c r="U219" s="167"/>
      <c r="V219" s="168"/>
      <c r="W219" s="16"/>
      <c r="Y219" s="185">
        <v>16400</v>
      </c>
    </row>
    <row r="220" spans="1:25">
      <c r="A220" s="20" t="s">
        <v>217</v>
      </c>
      <c r="B220" s="44" t="str">
        <f>IFERROR(HYPERLINK(VLOOKUP(A220,ÜRÜNLER!A:C,3,FALSE),VLOOKUP(A220,ÜRÜNLER!A:B,2,FALSE)),"")</f>
        <v>iQ300 Ankastre Mikrodalga, Inox</v>
      </c>
      <c r="C220" s="8">
        <v>7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>
        <v>1</v>
      </c>
      <c r="L220" s="10"/>
      <c r="M220" s="11">
        <v>1</v>
      </c>
      <c r="N220" s="106">
        <f t="shared" si="8"/>
        <v>11</v>
      </c>
      <c r="O220" s="107">
        <v>3</v>
      </c>
      <c r="P220" s="95"/>
      <c r="Q220" s="45">
        <v>16903.466423373164</v>
      </c>
      <c r="R220" s="187">
        <v>16396.362430671968</v>
      </c>
      <c r="S220" s="12">
        <v>17052.216927898848</v>
      </c>
      <c r="T220" s="12">
        <v>17708.071425125727</v>
      </c>
      <c r="U220" s="167"/>
      <c r="V220" s="168"/>
      <c r="W220" s="13"/>
      <c r="Y220" s="185">
        <v>16400</v>
      </c>
    </row>
    <row r="221" spans="1:25">
      <c r="A221" s="20" t="s">
        <v>218</v>
      </c>
      <c r="B221" s="44" t="str">
        <f>IFERROR(HYPERLINK(VLOOKUP(A221,ÜRÜNLER!A:C,3,FALSE),VLOOKUP(A221,ÜRÜNLER!A:B,2,FALSE)),"")</f>
        <v>iQ300 Ankastre Mikrodalga, 20L, Beyaz</v>
      </c>
      <c r="C221" s="8">
        <v>8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/>
      <c r="N221" s="106">
        <f t="shared" si="8"/>
        <v>10</v>
      </c>
      <c r="O221" s="107">
        <v>1</v>
      </c>
      <c r="P221" s="95"/>
      <c r="Q221" s="45">
        <v>16903.466423373164</v>
      </c>
      <c r="R221" s="187">
        <v>16396.362430671968</v>
      </c>
      <c r="S221" s="12">
        <v>17052.216927898848</v>
      </c>
      <c r="T221" s="12">
        <v>17708.071425125727</v>
      </c>
      <c r="U221" s="167"/>
      <c r="V221" s="168"/>
      <c r="W221" s="13"/>
      <c r="Y221" s="185">
        <v>16400</v>
      </c>
    </row>
    <row r="222" spans="1:25">
      <c r="A222" s="20" t="s">
        <v>219</v>
      </c>
      <c r="B222" s="44" t="str">
        <f>IFERROR(HYPERLINK(VLOOKUP(A222,ÜRÜNLER!A:C,3,FALSE),VLOOKUP(A222,ÜRÜNLER!A:B,2,FALSE)),"")</f>
        <v>iQ700 studioLine Ankastre Mikrodalga, 21L, Siyah</v>
      </c>
      <c r="C222" s="8"/>
      <c r="D222" s="8">
        <v>2</v>
      </c>
      <c r="E222" s="9"/>
      <c r="F222" s="9"/>
      <c r="G222" s="10"/>
      <c r="H222" s="10">
        <v>1</v>
      </c>
      <c r="I222" s="11"/>
      <c r="J222" s="11"/>
      <c r="K222" s="10"/>
      <c r="L222" s="10"/>
      <c r="M222" s="11"/>
      <c r="N222" s="106">
        <f t="shared" si="8"/>
        <v>3</v>
      </c>
      <c r="O222" s="107"/>
      <c r="P222" s="95"/>
      <c r="Q222" s="65" t="s">
        <v>1788</v>
      </c>
      <c r="R222" s="159">
        <v>45000</v>
      </c>
      <c r="S222" s="12">
        <v>46800</v>
      </c>
      <c r="T222" s="12">
        <v>48600</v>
      </c>
      <c r="U222" s="167"/>
      <c r="V222" s="168"/>
      <c r="W222" s="182">
        <v>500</v>
      </c>
    </row>
    <row r="223" spans="1:25">
      <c r="A223" s="121" t="s">
        <v>220</v>
      </c>
      <c r="B223" s="44" t="str">
        <f>IFERROR(HYPERLINK(VLOOKUP(A223,ÜRÜNLER!A:C,3,FALSE),VLOOKUP(A223,ÜRÜNLER!A:B,2,FALSE)),"")</f>
        <v>iQ700 studioLine Ankastre Mikrodalga, 21L, Siyah</v>
      </c>
      <c r="C223" s="8"/>
      <c r="D223" s="8">
        <v>1</v>
      </c>
      <c r="E223" s="9"/>
      <c r="F223" s="9"/>
      <c r="G223" s="10"/>
      <c r="H223" s="10"/>
      <c r="I223" s="11"/>
      <c r="J223" s="11"/>
      <c r="K223" s="10"/>
      <c r="L223" s="10"/>
      <c r="M223" s="11"/>
      <c r="N223" s="106">
        <f t="shared" si="8"/>
        <v>1</v>
      </c>
      <c r="O223" s="107"/>
      <c r="P223" s="95"/>
      <c r="Q223" s="150">
        <v>54530.754017160434</v>
      </c>
      <c r="R223" s="169">
        <v>52894.831396645619</v>
      </c>
      <c r="S223" s="12">
        <v>55010.62465251144</v>
      </c>
      <c r="T223" s="12">
        <v>57126.417908377269</v>
      </c>
      <c r="U223" s="167"/>
      <c r="V223" s="168"/>
      <c r="W223" s="182">
        <v>500</v>
      </c>
    </row>
    <row r="224" spans="1:25">
      <c r="A224" s="112" t="s">
        <v>221</v>
      </c>
      <c r="B224" s="44" t="str">
        <f>IFERROR(HYPERLINK(VLOOKUP(A224,ÜRÜNLER!A:C,3,FALSE),VLOOKUP(A224,ÜRÜNLER!A:B,2,FALSE)),"")</f>
        <v>iQ300 Solo Mikrodalga, 20L, Siyah</v>
      </c>
      <c r="C224" s="8">
        <v>9</v>
      </c>
      <c r="D224" s="8"/>
      <c r="E224" s="9"/>
      <c r="F224" s="9">
        <v>3</v>
      </c>
      <c r="G224" s="10"/>
      <c r="H224" s="10"/>
      <c r="I224" s="11">
        <v>1</v>
      </c>
      <c r="J224" s="11"/>
      <c r="K224" s="10"/>
      <c r="L224" s="10">
        <v>1</v>
      </c>
      <c r="M224" s="11">
        <v>1</v>
      </c>
      <c r="N224" s="106">
        <f t="shared" si="8"/>
        <v>15</v>
      </c>
      <c r="O224" s="107">
        <v>1</v>
      </c>
      <c r="P224" s="95"/>
      <c r="Q224" s="45">
        <v>7515.0928761612995</v>
      </c>
      <c r="R224" s="169">
        <v>7289.6400898764605</v>
      </c>
      <c r="S224" s="12">
        <v>7581.2256934715188</v>
      </c>
      <c r="T224" s="12">
        <v>7872.811297066577</v>
      </c>
      <c r="U224" s="167"/>
      <c r="V224" s="168"/>
      <c r="W224" s="16"/>
    </row>
    <row r="225" spans="1:23">
      <c r="A225" s="112" t="s">
        <v>222</v>
      </c>
      <c r="B225" s="44" t="str">
        <f>IFERROR(HYPERLINK(VLOOKUP(A225,ÜRÜNLER!A:C,3,FALSE),VLOOKUP(A225,ÜRÜNLER!A:B,2,FALSE)),"")</f>
        <v>iQ300 Solo Mikrodalga, 20L, Beyaz</v>
      </c>
      <c r="C225" s="8">
        <v>12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06">
        <f t="shared" si="8"/>
        <v>16</v>
      </c>
      <c r="O225" s="107">
        <v>1</v>
      </c>
      <c r="P225" s="95"/>
      <c r="Q225" s="45">
        <v>6972.3318616699362</v>
      </c>
      <c r="R225" s="169">
        <v>6763.1619058198385</v>
      </c>
      <c r="S225" s="12">
        <v>7033.6883820526318</v>
      </c>
      <c r="T225" s="12">
        <v>7304.2148582854252</v>
      </c>
      <c r="U225" s="167"/>
      <c r="V225" s="168"/>
      <c r="W225" s="16"/>
    </row>
    <row r="226" spans="1:23">
      <c r="A226" s="112" t="s">
        <v>223</v>
      </c>
      <c r="B226" s="44" t="str">
        <f>IFERROR(HYPERLINK(VLOOKUP(A226,ÜRÜNLER!A:C,3,FALSE),VLOOKUP(A226,ÜRÜNLER!A:B,2,FALSE)),"")</f>
        <v>iQ300 Solo Mikrodalga, 20L, Siyah/Inox</v>
      </c>
      <c r="C226" s="8"/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0"/>
      <c r="M226" s="11">
        <v>1</v>
      </c>
      <c r="N226" s="106">
        <f t="shared" si="8"/>
        <v>3</v>
      </c>
      <c r="O226" s="107">
        <v>11</v>
      </c>
      <c r="P226" s="95"/>
      <c r="Q226" s="45">
        <v>8327.9003012042613</v>
      </c>
      <c r="R226" s="169">
        <v>8078.0632921681336</v>
      </c>
      <c r="S226" s="12">
        <v>8401.1858238548593</v>
      </c>
      <c r="T226" s="12">
        <v>8724.3083555415833</v>
      </c>
      <c r="U226" s="167"/>
      <c r="V226" s="168"/>
      <c r="W226" s="16"/>
    </row>
    <row r="227" spans="1:23" ht="35.25" customHeight="1">
      <c r="A227" s="26" t="s">
        <v>224</v>
      </c>
      <c r="B227" s="44" t="str">
        <f>IFERROR(HYPERLINK(VLOOKUP(A227,ÜRÜNLER!A:C,3,FALSE),VLOOKUP(A227,ÜRÜNLER!A:B,2,FALSE)),"")</f>
        <v/>
      </c>
      <c r="C227" s="8"/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>SUM(N209:N226)</f>
        <v>103</v>
      </c>
      <c r="O227" s="107"/>
      <c r="P227" s="95"/>
      <c r="Q227" s="65"/>
      <c r="R227" s="65"/>
      <c r="S227" s="12"/>
      <c r="T227" s="12"/>
      <c r="U227" s="167"/>
      <c r="V227" s="168"/>
      <c r="W227" s="16"/>
    </row>
    <row r="228" spans="1:23">
      <c r="A228" s="114" t="s">
        <v>225</v>
      </c>
      <c r="B228" s="44" t="str">
        <f>IFERROR(HYPERLINK(VLOOKUP(A228,ÜRÜNLER!A:C,3,FALSE),VLOOKUP(A228,ÜRÜNLER!A:B,2,FALSE)),"")</f>
        <v>iQ100 Düz Davlumbaz, 60cm, 380m3, Beyaz</v>
      </c>
      <c r="C228" s="8">
        <v>1</v>
      </c>
      <c r="D228" s="8"/>
      <c r="E228" s="9"/>
      <c r="F228" s="9"/>
      <c r="G228" s="10"/>
      <c r="H228" s="10"/>
      <c r="I228" s="11">
        <v>1</v>
      </c>
      <c r="J228" s="11"/>
      <c r="K228" s="10"/>
      <c r="L228" s="10">
        <v>1</v>
      </c>
      <c r="M228" s="11"/>
      <c r="N228" s="106">
        <f t="shared" ref="N228:N278" si="9">M228+K228+L228+J228+I228+H228+G228+F228+E228+D228+C228</f>
        <v>3</v>
      </c>
      <c r="O228" s="107"/>
      <c r="P228" s="95"/>
      <c r="Q228" s="65" t="s">
        <v>1788</v>
      </c>
      <c r="R228" s="18">
        <v>8000</v>
      </c>
      <c r="S228" s="12">
        <v>8320</v>
      </c>
      <c r="T228" s="12">
        <v>8640</v>
      </c>
      <c r="U228" s="167"/>
      <c r="V228" s="168"/>
      <c r="W228" s="182">
        <v>500</v>
      </c>
    </row>
    <row r="229" spans="1:23">
      <c r="A229" s="148" t="s">
        <v>1636</v>
      </c>
      <c r="B229" s="44" t="str">
        <f>IFERROR(HYPERLINK(VLOOKUP(A229,ÜRÜNLER!A:C,3,FALSE),VLOOKUP(A229,ÜRÜNLER!A:B,2,FALSE)),"")</f>
        <v>iQ300 Düz Davlumbaz, 60cm, 582m3, Magnet Silver</v>
      </c>
      <c r="C229" s="8">
        <v>1</v>
      </c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06">
        <f t="shared" si="9"/>
        <v>1</v>
      </c>
      <c r="O229" s="107"/>
      <c r="P229" s="95"/>
      <c r="Q229" s="45">
        <v>18296.350661364198</v>
      </c>
      <c r="R229" s="169">
        <v>17747.460141523272</v>
      </c>
      <c r="S229" s="12">
        <v>18457.358547184202</v>
      </c>
      <c r="T229" s="12">
        <v>19167.256952845135</v>
      </c>
      <c r="U229" s="167"/>
      <c r="V229" s="168"/>
      <c r="W229" s="13">
        <v>250</v>
      </c>
    </row>
    <row r="230" spans="1:23">
      <c r="A230" s="148" t="s">
        <v>1522</v>
      </c>
      <c r="B230" s="44" t="str">
        <f>IFERROR(HYPERLINK(VLOOKUP(A230,ÜRÜNLER!A:C,3,FALSE),VLOOKUP(A230,ÜRÜNLER!A:B,2,FALSE)),"")</f>
        <v>iQ300 Düz Davlumbaz, 90cm, 649m3, Beyaz Cam</v>
      </c>
      <c r="C230" s="8"/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06">
        <f t="shared" si="9"/>
        <v>0</v>
      </c>
      <c r="O230" s="107"/>
      <c r="P230" s="95"/>
      <c r="Q230" s="45">
        <v>27453.160934229298</v>
      </c>
      <c r="R230" s="169">
        <v>26629.566106202419</v>
      </c>
      <c r="S230" s="12">
        <v>27694.748750450515</v>
      </c>
      <c r="T230" s="12">
        <v>28759.931394698611</v>
      </c>
      <c r="U230" s="167"/>
      <c r="V230" s="168"/>
      <c r="W230" s="13">
        <v>250</v>
      </c>
    </row>
    <row r="231" spans="1:23">
      <c r="A231" s="148" t="s">
        <v>1409</v>
      </c>
      <c r="B231" s="44" t="str">
        <f>IFERROR(HYPERLINK(VLOOKUP(A231,ÜRÜNLER!A:C,3,FALSE),VLOOKUP(A231,ÜRÜNLER!A:B,2,FALSE)),"")</f>
        <v>iQ300 Eğimli Davlumbaz, 90cm, 629m3, Siyah Cam</v>
      </c>
      <c r="C231" s="8"/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06">
        <f t="shared" si="9"/>
        <v>1</v>
      </c>
      <c r="O231" s="107"/>
      <c r="P231" s="95"/>
      <c r="Q231" s="65" t="s">
        <v>1788</v>
      </c>
      <c r="R231" s="18">
        <v>25000</v>
      </c>
      <c r="S231" s="12">
        <v>26000</v>
      </c>
      <c r="T231" s="12">
        <v>27000</v>
      </c>
      <c r="U231" s="167"/>
      <c r="V231" s="168"/>
      <c r="W231" s="182">
        <v>500</v>
      </c>
    </row>
    <row r="232" spans="1:23">
      <c r="A232" s="114" t="s">
        <v>226</v>
      </c>
      <c r="B232" s="44" t="str">
        <f>IFERROR(HYPERLINK(VLOOKUP(A232,ÜRÜNLER!A:C,3,FALSE),VLOOKUP(A232,ÜRÜNLER!A:B,2,FALSE)),"")</f>
        <v>iQ100 Düz Davlumbaz, 60cm, 380m3, Inox</v>
      </c>
      <c r="C232" s="8">
        <v>4</v>
      </c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06">
        <f t="shared" si="9"/>
        <v>5</v>
      </c>
      <c r="O232" s="107"/>
      <c r="P232" s="100" t="s">
        <v>1546</v>
      </c>
      <c r="Q232" s="65" t="s">
        <v>1788</v>
      </c>
      <c r="R232" s="18">
        <v>9000</v>
      </c>
      <c r="S232" s="12">
        <v>9360</v>
      </c>
      <c r="T232" s="12">
        <v>9720</v>
      </c>
      <c r="U232" s="167"/>
      <c r="V232" s="168"/>
      <c r="W232" s="13">
        <v>250</v>
      </c>
    </row>
    <row r="233" spans="1:23">
      <c r="A233" s="114" t="s">
        <v>227</v>
      </c>
      <c r="B233" s="44" t="str">
        <f>IFERROR(HYPERLINK(VLOOKUP(A233,ÜRÜNLER!A:C,3,FALSE),VLOOKUP(A233,ÜRÜNLER!A:B,2,FALSE)),"")</f>
        <v>iQ100 Düz Davlumbaz, 60cm, 380m3, Siyah</v>
      </c>
      <c r="C233" s="8">
        <v>2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>
        <v>2</v>
      </c>
      <c r="M233" s="11"/>
      <c r="N233" s="106">
        <f t="shared" si="9"/>
        <v>5</v>
      </c>
      <c r="O233" s="107"/>
      <c r="P233" s="95"/>
      <c r="Q233" s="65" t="s">
        <v>1788</v>
      </c>
      <c r="R233" s="18">
        <v>9000</v>
      </c>
      <c r="S233" s="12">
        <v>9360</v>
      </c>
      <c r="T233" s="12">
        <v>9720</v>
      </c>
      <c r="U233" s="167"/>
      <c r="V233" s="168"/>
      <c r="W233" s="13">
        <v>250</v>
      </c>
    </row>
    <row r="234" spans="1:23">
      <c r="A234" s="114" t="s">
        <v>228</v>
      </c>
      <c r="B234" s="44" t="str">
        <f>IFERROR(HYPERLINK(VLOOKUP(A234,ÜRÜNLER!A:C,3,FALSE),VLOOKUP(A234,ÜRÜNLER!A:B,2,FALSE)),"")</f>
        <v>iQ100 Eğimli Davlumbaz, 59cm, 360m3, Beyaz Cam</v>
      </c>
      <c r="C234" s="8"/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/>
      <c r="N234" s="106">
        <f t="shared" si="9"/>
        <v>1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7"/>
      <c r="V234" s="168"/>
      <c r="W234" s="16"/>
    </row>
    <row r="235" spans="1:23">
      <c r="A235" s="114" t="s">
        <v>229</v>
      </c>
      <c r="B235" s="44" t="str">
        <f>IFERROR(HYPERLINK(VLOOKUP(A235,ÜRÜNLER!A:C,3,FALSE),VLOOKUP(A235,ÜRÜNLER!A:B,2,FALSE)),"")</f>
        <v>iQ100 Eğimli Davlumbaz, 59cm, 360m3, Siyah Cam</v>
      </c>
      <c r="C235" s="8"/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>
        <v>1</v>
      </c>
      <c r="N235" s="106">
        <f t="shared" si="9"/>
        <v>2</v>
      </c>
      <c r="O235" s="107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7"/>
      <c r="V235" s="168"/>
      <c r="W235" s="16"/>
    </row>
    <row r="236" spans="1:23">
      <c r="A236" s="114" t="s">
        <v>230</v>
      </c>
      <c r="B236" s="44" t="str">
        <f>IFERROR(HYPERLINK(VLOOKUP(A236,ÜRÜNLER!A:C,3,FALSE),VLOOKUP(A236,ÜRÜNLER!A:B,2,FALSE)),"")</f>
        <v>iQ100 Eğimli Davlumbaz, 59cm, 360m3, Siyah Cam</v>
      </c>
      <c r="C236" s="8">
        <v>1</v>
      </c>
      <c r="D236" s="8"/>
      <c r="E236" s="9"/>
      <c r="F236" s="9"/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3</v>
      </c>
      <c r="O236" s="107"/>
      <c r="P236" s="95" t="s">
        <v>1545</v>
      </c>
      <c r="Q236" s="45">
        <v>9567.2215549669108</v>
      </c>
      <c r="R236" s="18">
        <v>9567.2215549669108</v>
      </c>
      <c r="S236" s="12">
        <v>9949.9104171655872</v>
      </c>
      <c r="T236" s="12">
        <v>10332.599279364264</v>
      </c>
      <c r="U236" s="167"/>
      <c r="V236" s="168"/>
      <c r="W236" s="16"/>
    </row>
    <row r="237" spans="1:23">
      <c r="A237" s="114" t="s">
        <v>231</v>
      </c>
      <c r="B237" s="44" t="str">
        <f>IFERROR(HYPERLINK(VLOOKUP(A237,ÜRÜNLER!A:C,3,FALSE),VLOOKUP(A237,ÜRÜNLER!A:B,2,FALSE)),"")</f>
        <v>iQ100 Düz Davlumbaz, 60cm, 612m3, Paslanmaz Çelik</v>
      </c>
      <c r="C237" s="8">
        <v>5</v>
      </c>
      <c r="D237" s="8"/>
      <c r="E237" s="9"/>
      <c r="F237" s="9">
        <v>1</v>
      </c>
      <c r="G237" s="10"/>
      <c r="H237" s="10"/>
      <c r="I237" s="11">
        <v>1</v>
      </c>
      <c r="J237" s="11"/>
      <c r="K237" s="10"/>
      <c r="L237" s="10"/>
      <c r="M237" s="11"/>
      <c r="N237" s="106">
        <f t="shared" si="9"/>
        <v>7</v>
      </c>
      <c r="O237" s="107"/>
      <c r="P237" s="95"/>
      <c r="Q237" s="45">
        <v>17646.76623983535</v>
      </c>
      <c r="R237" s="17">
        <v>16764.427927843582</v>
      </c>
      <c r="S237" s="12">
        <v>17435.005044957325</v>
      </c>
      <c r="T237" s="12">
        <v>18105.58216207107</v>
      </c>
      <c r="U237" s="167"/>
      <c r="V237" s="168"/>
      <c r="W237" s="16"/>
    </row>
    <row r="238" spans="1:23">
      <c r="A238" s="114" t="s">
        <v>233</v>
      </c>
      <c r="B238" s="44" t="str">
        <f>IFERROR(HYPERLINK(VLOOKUP(A238,ÜRÜNLER!A:C,3,FALSE),VLOOKUP(A238,ÜRÜNLER!A:B,2,FALSE)),"")</f>
        <v>iQ300 Düz Davlumbaz, 60cm, 649m3, Beyaz Cam</v>
      </c>
      <c r="C238" s="8">
        <v>10</v>
      </c>
      <c r="D238" s="8"/>
      <c r="E238" s="9"/>
      <c r="F238" s="9">
        <v>1</v>
      </c>
      <c r="G238" s="10"/>
      <c r="H238" s="10"/>
      <c r="I238" s="11"/>
      <c r="J238" s="11">
        <v>1</v>
      </c>
      <c r="K238" s="10"/>
      <c r="L238" s="10">
        <v>1</v>
      </c>
      <c r="M238" s="11"/>
      <c r="N238" s="106">
        <f t="shared" si="9"/>
        <v>13</v>
      </c>
      <c r="O238" s="107"/>
      <c r="P238" s="95"/>
      <c r="Q238" s="45">
        <v>20797.868299448692</v>
      </c>
      <c r="R238" s="158">
        <v>19342.017518487282</v>
      </c>
      <c r="S238" s="12">
        <v>20115.698219226775</v>
      </c>
      <c r="T238" s="12">
        <v>20889.378919966264</v>
      </c>
      <c r="U238" s="167"/>
      <c r="V238" s="168"/>
      <c r="W238" s="16"/>
    </row>
    <row r="239" spans="1:23">
      <c r="A239" s="114" t="s">
        <v>234</v>
      </c>
      <c r="B239" s="44" t="str">
        <f>IFERROR(HYPERLINK(VLOOKUP(A239,ÜRÜNLER!A:C,3,FALSE),VLOOKUP(A239,ÜRÜNLER!A:B,2,FALSE)),"")</f>
        <v>iQ300 Düz Davlumbaz, 60cm, 649m3, Siyah Cam</v>
      </c>
      <c r="C239" s="8"/>
      <c r="D239" s="8"/>
      <c r="E239" s="9"/>
      <c r="F239" s="9"/>
      <c r="G239" s="10"/>
      <c r="H239" s="10"/>
      <c r="I239" s="11">
        <v>2</v>
      </c>
      <c r="J239" s="11"/>
      <c r="K239" s="10"/>
      <c r="L239" s="10">
        <v>1</v>
      </c>
      <c r="M239" s="11"/>
      <c r="N239" s="106">
        <f t="shared" si="9"/>
        <v>3</v>
      </c>
      <c r="O239" s="107">
        <v>1</v>
      </c>
      <c r="P239" s="95"/>
      <c r="Q239" s="45">
        <v>20797.868299448692</v>
      </c>
      <c r="R239" s="22">
        <v>19807.493618522563</v>
      </c>
      <c r="S239" s="12">
        <v>20599.793363263467</v>
      </c>
      <c r="T239" s="12">
        <v>21392.093108004367</v>
      </c>
      <c r="U239" s="167"/>
      <c r="V239" s="168"/>
      <c r="W239" s="16"/>
    </row>
    <row r="240" spans="1:23">
      <c r="A240" s="121" t="s">
        <v>235</v>
      </c>
      <c r="B240" s="44" t="str">
        <f>IFERROR(HYPERLINK(VLOOKUP(A240,ÜRÜNLER!A:C,3,FALSE),VLOOKUP(A240,ÜRÜNLER!A:B,2,FALSE)),"")</f>
        <v>iQ300 Eğimli Davlumbaz, 60cm, 593m3, Siyah Cam</v>
      </c>
      <c r="C240" s="8"/>
      <c r="D240" s="8"/>
      <c r="E240" s="9"/>
      <c r="F240" s="9">
        <v>1</v>
      </c>
      <c r="G240" s="10"/>
      <c r="H240" s="10"/>
      <c r="I240" s="11"/>
      <c r="J240" s="11"/>
      <c r="K240" s="10"/>
      <c r="L240" s="10"/>
      <c r="M240" s="11"/>
      <c r="N240" s="106">
        <f t="shared" si="9"/>
        <v>1</v>
      </c>
      <c r="O240" s="107"/>
      <c r="P240" s="95"/>
      <c r="Q240" s="65" t="s">
        <v>1788</v>
      </c>
      <c r="R240" s="18">
        <v>13000</v>
      </c>
      <c r="S240" s="12">
        <v>13520</v>
      </c>
      <c r="T240" s="12">
        <v>14040</v>
      </c>
      <c r="U240" s="167"/>
      <c r="V240" s="168"/>
      <c r="W240" s="16">
        <v>250</v>
      </c>
    </row>
    <row r="241" spans="1:23">
      <c r="A241" s="20" t="s">
        <v>237</v>
      </c>
      <c r="B241" s="44" t="str">
        <f>IFERROR(HYPERLINK(VLOOKUP(A241,ÜRÜNLER!A:C,3,FALSE),VLOOKUP(A241,ÜRÜNLER!A:B,2,FALSE)),"")</f>
        <v>iQ100 Eğimli Davlumbaz, 60cm, 400m3, Beyaz Cam</v>
      </c>
      <c r="C241" s="8">
        <v>1</v>
      </c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06">
        <f t="shared" si="9"/>
        <v>2</v>
      </c>
      <c r="O241" s="107">
        <v>12</v>
      </c>
      <c r="P241" s="95"/>
      <c r="Q241" s="45">
        <v>14859.061413714655</v>
      </c>
      <c r="R241" s="169">
        <v>14413.289571303216</v>
      </c>
      <c r="S241" s="12">
        <v>14989.821154155345</v>
      </c>
      <c r="T241" s="12">
        <v>15566.352737007473</v>
      </c>
      <c r="U241" s="167"/>
      <c r="V241" s="168"/>
      <c r="W241" s="16"/>
    </row>
    <row r="242" spans="1:23">
      <c r="A242" s="20" t="s">
        <v>238</v>
      </c>
      <c r="B242" s="44" t="str">
        <f>IFERROR(HYPERLINK(VLOOKUP(A242,ÜRÜNLER!A:C,3,FALSE),VLOOKUP(A242,ÜRÜNLER!A:B,2,FALSE)),"")</f>
        <v>iQ100 Eğimli Davlumbaz, 60cm, 400m3, Siyah Cam</v>
      </c>
      <c r="C242" s="8">
        <v>7</v>
      </c>
      <c r="D242" s="8"/>
      <c r="E242" s="9"/>
      <c r="F242" s="9"/>
      <c r="G242" s="10"/>
      <c r="H242" s="10"/>
      <c r="I242" s="11"/>
      <c r="J242" s="11">
        <v>1</v>
      </c>
      <c r="K242" s="10"/>
      <c r="L242" s="10"/>
      <c r="M242" s="11"/>
      <c r="N242" s="106">
        <f t="shared" si="9"/>
        <v>8</v>
      </c>
      <c r="O242" s="107">
        <v>10</v>
      </c>
      <c r="P242" s="95"/>
      <c r="Q242" s="45">
        <v>14859.061413714655</v>
      </c>
      <c r="R242" s="169">
        <v>14413.289571303216</v>
      </c>
      <c r="S242" s="12">
        <v>14989.821154155345</v>
      </c>
      <c r="T242" s="12">
        <v>15566.352737007473</v>
      </c>
      <c r="U242" s="167"/>
      <c r="V242" s="168"/>
      <c r="W242" s="16"/>
    </row>
    <row r="243" spans="1:23">
      <c r="A243" s="123" t="s">
        <v>239</v>
      </c>
      <c r="B243" s="44" t="str">
        <f>IFERROR(HYPERLINK(VLOOKUP(A243,ÜRÜNLER!A:C,3,FALSE),VLOOKUP(A243,ÜRÜNLER!A:B,2,FALSE)),"")</f>
        <v>iQ100 Eğimli Davlumbaz, 60cm, 400m3, Antrasit Gri Cam</v>
      </c>
      <c r="C243" s="8"/>
      <c r="D243" s="8"/>
      <c r="E243" s="9"/>
      <c r="F243" s="9">
        <v>1</v>
      </c>
      <c r="G243" s="10"/>
      <c r="H243" s="10"/>
      <c r="I243" s="11">
        <v>1</v>
      </c>
      <c r="J243" s="11"/>
      <c r="K243" s="10">
        <v>1</v>
      </c>
      <c r="L243" s="10"/>
      <c r="M243" s="11">
        <v>1</v>
      </c>
      <c r="N243" s="106">
        <f t="shared" si="9"/>
        <v>4</v>
      </c>
      <c r="O243" s="107">
        <v>26</v>
      </c>
      <c r="P243" s="95"/>
      <c r="Q243" s="45">
        <v>14859.061413714655</v>
      </c>
      <c r="R243" s="169">
        <v>14413.289571303216</v>
      </c>
      <c r="S243" s="12">
        <v>14989.821154155345</v>
      </c>
      <c r="T243" s="12">
        <v>15566.352737007473</v>
      </c>
      <c r="U243" s="167"/>
      <c r="V243" s="168"/>
      <c r="W243" s="16"/>
    </row>
    <row r="244" spans="1:23">
      <c r="A244" s="20" t="s">
        <v>240</v>
      </c>
      <c r="B244" s="44" t="str">
        <f>IFERROR(HYPERLINK(VLOOKUP(A244,ÜRÜNLER!A:C,3,FALSE),VLOOKUP(A244,ÜRÜNLER!A:B,2,FALSE)),"")</f>
        <v>iQ300 Eğimli Davlumbaz, 60cm, 510m3, Beyaz Cam</v>
      </c>
      <c r="C244" s="8">
        <v>11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06">
        <f t="shared" si="9"/>
        <v>13</v>
      </c>
      <c r="O244" s="107">
        <v>11</v>
      </c>
      <c r="P244" s="95"/>
      <c r="Q244" s="45">
        <v>18598.465925781686</v>
      </c>
      <c r="R244" s="169">
        <v>18040.511948008236</v>
      </c>
      <c r="S244" s="12">
        <v>18762.132425928565</v>
      </c>
      <c r="T244" s="12">
        <v>19483.752903848894</v>
      </c>
      <c r="U244" s="167"/>
      <c r="V244" s="168"/>
      <c r="W244" s="16"/>
    </row>
    <row r="245" spans="1:23">
      <c r="A245" s="121" t="s">
        <v>241</v>
      </c>
      <c r="B245" s="44" t="str">
        <f>IFERROR(HYPERLINK(VLOOKUP(A245,ÜRÜNLER!A:C,3,FALSE),VLOOKUP(A245,ÜRÜNLER!A:B,2,FALSE)),"")</f>
        <v>iQ300 Eğimli Davlumbaz, 60cm, 510m3, Siyah Cam</v>
      </c>
      <c r="C245" s="8">
        <v>3</v>
      </c>
      <c r="D245" s="8"/>
      <c r="E245" s="9"/>
      <c r="F245" s="9"/>
      <c r="G245" s="10"/>
      <c r="H245" s="10"/>
      <c r="I245" s="11"/>
      <c r="J245" s="11"/>
      <c r="K245" s="10">
        <v>1</v>
      </c>
      <c r="L245" s="10">
        <v>1</v>
      </c>
      <c r="M245" s="11"/>
      <c r="N245" s="106">
        <f t="shared" si="9"/>
        <v>5</v>
      </c>
      <c r="O245" s="107">
        <v>26</v>
      </c>
      <c r="P245" s="95"/>
      <c r="Q245" s="45">
        <v>18598.465925781686</v>
      </c>
      <c r="R245" s="169">
        <v>18040.511948008236</v>
      </c>
      <c r="S245" s="12">
        <v>18762.132425928565</v>
      </c>
      <c r="T245" s="12">
        <v>19483.752903848894</v>
      </c>
      <c r="U245" s="167"/>
      <c r="V245" s="168"/>
      <c r="W245" s="16"/>
    </row>
    <row r="246" spans="1:23">
      <c r="A246" s="123" t="s">
        <v>242</v>
      </c>
      <c r="B246" s="44" t="str">
        <f>IFERROR(HYPERLINK(VLOOKUP(A246,ÜRÜNLER!A:C,3,FALSE),VLOOKUP(A246,ÜRÜNLER!A:B,2,FALSE)),"")</f>
        <v>iQ300 Eğimli Davlumbaz, 60cm, 510m3, Antrasit Gri Cam</v>
      </c>
      <c r="C246" s="8">
        <v>20</v>
      </c>
      <c r="D246" s="8"/>
      <c r="E246" s="9"/>
      <c r="F246" s="9"/>
      <c r="G246" s="10"/>
      <c r="H246" s="10"/>
      <c r="I246" s="11">
        <v>1</v>
      </c>
      <c r="J246" s="11"/>
      <c r="K246" s="10"/>
      <c r="L246" s="10"/>
      <c r="M246" s="11"/>
      <c r="N246" s="106">
        <f t="shared" si="9"/>
        <v>21</v>
      </c>
      <c r="O246" s="107">
        <v>11</v>
      </c>
      <c r="P246" s="95"/>
      <c r="Q246" s="45">
        <v>18598.465925781686</v>
      </c>
      <c r="R246" s="169">
        <v>18040.511948008236</v>
      </c>
      <c r="S246" s="12">
        <v>18762.132425928565</v>
      </c>
      <c r="T246" s="12">
        <v>19483.752903848894</v>
      </c>
      <c r="U246" s="167"/>
      <c r="V246" s="168"/>
      <c r="W246" s="16"/>
    </row>
    <row r="247" spans="1:23">
      <c r="A247" s="114" t="s">
        <v>243</v>
      </c>
      <c r="B247" s="44" t="str">
        <f>IFERROR(HYPERLINK(VLOOKUP(A247,ÜRÜNLER!A:C,3,FALSE),VLOOKUP(A247,ÜRÜNLER!A:B,2,FALSE)),"")</f>
        <v>iQ300 Düz Davlumbaz, 60cm, 582m3, Beyaz/Inox</v>
      </c>
      <c r="C247" s="8">
        <v>15</v>
      </c>
      <c r="D247" s="8"/>
      <c r="E247" s="9"/>
      <c r="F247" s="9">
        <v>2</v>
      </c>
      <c r="G247" s="10"/>
      <c r="H247" s="10"/>
      <c r="I247" s="11"/>
      <c r="J247" s="11">
        <v>1</v>
      </c>
      <c r="K247" s="10"/>
      <c r="L247" s="10"/>
      <c r="M247" s="11"/>
      <c r="N247" s="106">
        <f t="shared" si="9"/>
        <v>18</v>
      </c>
      <c r="O247" s="107">
        <v>10</v>
      </c>
      <c r="P247" s="95"/>
      <c r="Q247" s="45">
        <v>19211.168194432408</v>
      </c>
      <c r="R247" s="177">
        <v>17290.051374989169</v>
      </c>
      <c r="S247" s="12">
        <v>17981.653429988735</v>
      </c>
      <c r="T247" s="12">
        <v>18673.255484988302</v>
      </c>
      <c r="U247" s="167"/>
      <c r="V247" s="168"/>
      <c r="W247" s="13">
        <v>250</v>
      </c>
    </row>
    <row r="248" spans="1:23">
      <c r="A248" s="120" t="s">
        <v>244</v>
      </c>
      <c r="B248" s="44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10"/>
      <c r="H248" s="10"/>
      <c r="I248" s="11"/>
      <c r="J248" s="11">
        <v>1</v>
      </c>
      <c r="K248" s="10"/>
      <c r="L248" s="10">
        <v>3</v>
      </c>
      <c r="M248" s="11">
        <v>1</v>
      </c>
      <c r="N248" s="106">
        <f t="shared" si="9"/>
        <v>20</v>
      </c>
      <c r="O248" s="107">
        <v>23</v>
      </c>
      <c r="P248" s="95"/>
      <c r="Q248" s="45">
        <v>19211.168194432408</v>
      </c>
      <c r="R248" s="177">
        <v>17290.051374989169</v>
      </c>
      <c r="S248" s="12">
        <v>17981.653429988735</v>
      </c>
      <c r="T248" s="12">
        <v>18673.255484988302</v>
      </c>
      <c r="U248" s="167"/>
      <c r="V248" s="168"/>
      <c r="W248" s="16"/>
    </row>
    <row r="249" spans="1:23">
      <c r="A249" s="123" t="s">
        <v>245</v>
      </c>
      <c r="B249" s="44" t="str">
        <f>IFERROR(HYPERLINK(VLOOKUP(A249,ÜRÜNLER!A:C,3,FALSE),VLOOKUP(A249,ÜRÜNLER!A:B,2,FALSE)),"")</f>
        <v>iQ300 Düz Davlumbaz, 60cm, 649m3, Antrasit Gri Cam</v>
      </c>
      <c r="C249" s="8">
        <v>5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>
        <v>1</v>
      </c>
      <c r="M249" s="11"/>
      <c r="N249" s="106">
        <f t="shared" si="9"/>
        <v>7</v>
      </c>
      <c r="O249" s="107">
        <v>1</v>
      </c>
      <c r="P249" s="95"/>
      <c r="Q249" s="45">
        <v>20797.868299448692</v>
      </c>
      <c r="R249" s="177">
        <v>18718.081469503821</v>
      </c>
      <c r="S249" s="12">
        <v>19466.804728283973</v>
      </c>
      <c r="T249" s="12">
        <v>20215.527987064128</v>
      </c>
      <c r="U249" s="167"/>
      <c r="V249" s="168"/>
      <c r="W249" s="16"/>
    </row>
    <row r="250" spans="1:23">
      <c r="A250" s="114" t="s">
        <v>246</v>
      </c>
      <c r="B250" s="44" t="str">
        <f>IFERROR(HYPERLINK(VLOOKUP(A250,ÜRÜNLER!A:C,3,FALSE),VLOOKUP(A250,ÜRÜNLER!A:B,2,FALSE)),"")</f>
        <v>iQ500 Düz Davlumbaz, 60cm, 645m3, Beyaz Cam</v>
      </c>
      <c r="C250" s="8">
        <v>14</v>
      </c>
      <c r="D250" s="8"/>
      <c r="E250" s="9"/>
      <c r="F250" s="9"/>
      <c r="G250" s="10"/>
      <c r="H250" s="10"/>
      <c r="I250" s="11">
        <v>1</v>
      </c>
      <c r="J250" s="11"/>
      <c r="K250" s="10"/>
      <c r="L250" s="10"/>
      <c r="M250" s="11"/>
      <c r="N250" s="106">
        <f t="shared" si="9"/>
        <v>15</v>
      </c>
      <c r="O250" s="107"/>
      <c r="P250" s="95"/>
      <c r="Q250" s="65" t="s">
        <v>1788</v>
      </c>
      <c r="R250" s="17">
        <v>16000</v>
      </c>
      <c r="S250" s="12">
        <v>16640</v>
      </c>
      <c r="T250" s="12">
        <v>17280</v>
      </c>
      <c r="U250" s="167"/>
      <c r="V250" s="168"/>
      <c r="W250" s="13">
        <v>250</v>
      </c>
    </row>
    <row r="251" spans="1:23">
      <c r="A251" s="120" t="s">
        <v>247</v>
      </c>
      <c r="B251" s="44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06">
        <f t="shared" si="9"/>
        <v>1</v>
      </c>
      <c r="O251" s="107"/>
      <c r="P251" s="95"/>
      <c r="Q251" s="65" t="s">
        <v>1788</v>
      </c>
      <c r="R251" s="17">
        <v>17000</v>
      </c>
      <c r="S251" s="12">
        <v>17680</v>
      </c>
      <c r="T251" s="12">
        <v>18360</v>
      </c>
      <c r="U251" s="167"/>
      <c r="V251" s="168"/>
      <c r="W251" s="183">
        <v>500</v>
      </c>
    </row>
    <row r="252" spans="1:23">
      <c r="A252" s="120" t="s">
        <v>248</v>
      </c>
      <c r="B252" s="44" t="str">
        <f>IFERROR(HYPERLINK(VLOOKUP(A252,ÜRÜNLER!A:C,3,FALSE),VLOOKUP(A252,ÜRÜNLER!A:B,2,FALSE)),"")</f>
        <v>iQ500 Eğimli Davlumbaz, 60cm, 510m3, Siyah Cam</v>
      </c>
      <c r="C252" s="8">
        <v>19</v>
      </c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06">
        <f t="shared" si="9"/>
        <v>20</v>
      </c>
      <c r="O252" s="107">
        <v>1</v>
      </c>
      <c r="P252" s="95"/>
      <c r="Q252" s="45">
        <v>21166.719792593096</v>
      </c>
      <c r="R252" s="169">
        <v>20531.718198815302</v>
      </c>
      <c r="S252" s="12">
        <v>21352.986926767913</v>
      </c>
      <c r="T252" s="12">
        <v>22174.255654720528</v>
      </c>
      <c r="U252" s="167"/>
      <c r="V252" s="168"/>
      <c r="W252" s="16"/>
    </row>
    <row r="253" spans="1:23">
      <c r="A253" s="123" t="s">
        <v>249</v>
      </c>
      <c r="B253" s="44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/>
      <c r="L253" s="10">
        <v>1</v>
      </c>
      <c r="M253" s="11"/>
      <c r="N253" s="106">
        <f t="shared" si="9"/>
        <v>2</v>
      </c>
      <c r="O253" s="107">
        <v>22</v>
      </c>
      <c r="P253" s="95"/>
      <c r="Q253" s="45">
        <v>21166.719792593096</v>
      </c>
      <c r="R253" s="22">
        <v>21166.719792593096</v>
      </c>
      <c r="S253" s="12">
        <v>22013.388584296819</v>
      </c>
      <c r="T253" s="12">
        <v>22860.057376000543</v>
      </c>
      <c r="U253" s="167"/>
      <c r="V253" s="168"/>
      <c r="W253" s="16"/>
    </row>
    <row r="254" spans="1:23">
      <c r="A254" s="114" t="s">
        <v>250</v>
      </c>
      <c r="B254" s="44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0">
        <v>1</v>
      </c>
      <c r="M254" s="11">
        <v>1</v>
      </c>
      <c r="N254" s="106">
        <f t="shared" si="9"/>
        <v>2</v>
      </c>
      <c r="O254" s="107"/>
      <c r="P254" s="95"/>
      <c r="Q254" s="65" t="s">
        <v>1788</v>
      </c>
      <c r="R254" s="18">
        <v>19000</v>
      </c>
      <c r="S254" s="12">
        <v>19760</v>
      </c>
      <c r="T254" s="12">
        <v>20520</v>
      </c>
      <c r="U254" s="167"/>
      <c r="V254" s="168"/>
      <c r="W254" s="183">
        <v>500</v>
      </c>
    </row>
    <row r="255" spans="1:23">
      <c r="A255" s="126" t="s">
        <v>251</v>
      </c>
      <c r="B255" s="44" t="str">
        <f>IFERROR(HYPERLINK(VLOOKUP(A255,ÜRÜNLER!A:C,3,FALSE),VLOOKUP(A255,ÜRÜNLER!A:B,2,FALSE)),"")</f>
        <v>iQ500 Eğimli Davlumbaz, 60cm, 510m3, Beyaz Cam</v>
      </c>
      <c r="C255" s="8">
        <v>5</v>
      </c>
      <c r="D255" s="8"/>
      <c r="E255" s="9"/>
      <c r="F255" s="9">
        <v>1</v>
      </c>
      <c r="G255" s="10"/>
      <c r="H255" s="10"/>
      <c r="I255" s="11"/>
      <c r="J255" s="11"/>
      <c r="K255" s="10">
        <v>1</v>
      </c>
      <c r="L255" s="10"/>
      <c r="M255" s="11"/>
      <c r="N255" s="106">
        <f t="shared" si="9"/>
        <v>7</v>
      </c>
      <c r="O255" s="107">
        <v>1</v>
      </c>
      <c r="P255" s="95"/>
      <c r="Q255" s="45">
        <v>21166.719792593096</v>
      </c>
      <c r="R255" s="169">
        <v>20531.718198815302</v>
      </c>
      <c r="S255" s="12">
        <v>21352.986926767913</v>
      </c>
      <c r="T255" s="12">
        <v>22174.255654720528</v>
      </c>
      <c r="U255" s="167"/>
      <c r="V255" s="168"/>
      <c r="W255" s="16"/>
    </row>
    <row r="256" spans="1:23">
      <c r="A256" s="120" t="s">
        <v>252</v>
      </c>
      <c r="B256" s="44" t="str">
        <f>IFERROR(HYPERLINK(VLOOKUP(A256,ÜRÜNLER!A:C,3,FALSE),VLOOKUP(A256,ÜRÜNLER!A:B,2,FALSE)),"")</f>
        <v>iQ500 Eğimli Davlumbaz, 60cm, 700m3, Siyah Cam</v>
      </c>
      <c r="C256" s="8">
        <v>12</v>
      </c>
      <c r="D256" s="8"/>
      <c r="E256" s="9"/>
      <c r="F256" s="9">
        <v>1</v>
      </c>
      <c r="G256" s="10"/>
      <c r="H256" s="10"/>
      <c r="I256" s="11"/>
      <c r="J256" s="11"/>
      <c r="K256" s="10"/>
      <c r="L256" s="10">
        <v>1</v>
      </c>
      <c r="M256" s="11"/>
      <c r="N256" s="106">
        <f t="shared" si="9"/>
        <v>14</v>
      </c>
      <c r="O256" s="107"/>
      <c r="P256" s="95"/>
      <c r="Q256" s="45">
        <v>21166.719792593096</v>
      </c>
      <c r="R256" s="169">
        <v>20531.718198815302</v>
      </c>
      <c r="S256" s="12">
        <v>21352.986926767913</v>
      </c>
      <c r="T256" s="12">
        <v>22174.255654720528</v>
      </c>
      <c r="U256" s="167"/>
      <c r="V256" s="168"/>
      <c r="W256" s="16"/>
    </row>
    <row r="257" spans="1:23">
      <c r="A257" s="120" t="s">
        <v>1504</v>
      </c>
      <c r="B257" s="44" t="str">
        <f>IFERROR(HYPERLINK(VLOOKUP(A257,ÜRÜNLER!A:C,3,FALSE),VLOOKUP(A257,ÜRÜNLER!A:B,2,FALSE)),"")</f>
        <v>iQ700 Eğimli Davlumbaz, 60cm, 616m3, Siyah Cam</v>
      </c>
      <c r="C257" s="8">
        <v>10</v>
      </c>
      <c r="D257" s="8"/>
      <c r="E257" s="9"/>
      <c r="F257" s="9"/>
      <c r="G257" s="10"/>
      <c r="H257" s="10"/>
      <c r="I257" s="11">
        <v>1</v>
      </c>
      <c r="J257" s="11">
        <v>1</v>
      </c>
      <c r="K257" s="10">
        <v>1</v>
      </c>
      <c r="L257" s="10"/>
      <c r="M257" s="11"/>
      <c r="N257" s="106">
        <f t="shared" si="9"/>
        <v>13</v>
      </c>
      <c r="O257" s="107"/>
      <c r="P257" s="95"/>
      <c r="Q257" s="45">
        <v>34632.177194004187</v>
      </c>
      <c r="R257" s="169">
        <v>33593.211878184062</v>
      </c>
      <c r="S257" s="12">
        <v>34936.940353311424</v>
      </c>
      <c r="T257" s="12">
        <v>36280.668828438786</v>
      </c>
      <c r="U257" s="167"/>
      <c r="V257" s="168"/>
      <c r="W257" s="16"/>
    </row>
    <row r="258" spans="1:23">
      <c r="A258" s="114" t="s">
        <v>254</v>
      </c>
      <c r="B258" s="44" t="str">
        <f>IFERROR(HYPERLINK(VLOOKUP(A258,ÜRÜNLER!A:C,3,FALSE),VLOOKUP(A258,ÜRÜNLER!A:B,2,FALSE)),"")</f>
        <v>iQ700 Eğimli Davlumbaz, 90cm, 441m3,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06">
        <f t="shared" si="9"/>
        <v>0</v>
      </c>
      <c r="O258" s="107">
        <v>2</v>
      </c>
      <c r="P258" s="95"/>
      <c r="Q258" s="45">
        <v>63354.790117035249</v>
      </c>
      <c r="R258" s="169">
        <v>61454.146413524191</v>
      </c>
      <c r="S258" s="12">
        <v>63912.312270065158</v>
      </c>
      <c r="T258" s="12">
        <v>66370.478126606133</v>
      </c>
      <c r="U258" s="167"/>
      <c r="V258" s="168"/>
      <c r="W258" s="16"/>
    </row>
    <row r="259" spans="1:23">
      <c r="A259" s="114" t="s">
        <v>255</v>
      </c>
      <c r="B259" s="44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/>
      <c r="L259" s="10">
        <v>1</v>
      </c>
      <c r="M259" s="11"/>
      <c r="N259" s="106">
        <f t="shared" si="9"/>
        <v>2</v>
      </c>
      <c r="O259" s="107"/>
      <c r="P259" s="95"/>
      <c r="Q259" s="150">
        <v>94988.006737169926</v>
      </c>
      <c r="R259" s="150">
        <v>85489.206063452933</v>
      </c>
      <c r="S259" s="12">
        <v>88908.774305991057</v>
      </c>
      <c r="T259" s="12">
        <v>92328.342548529166</v>
      </c>
      <c r="U259" s="167"/>
      <c r="V259" s="168"/>
      <c r="W259" s="13">
        <v>250</v>
      </c>
    </row>
    <row r="260" spans="1:23">
      <c r="A260" s="114" t="s">
        <v>256</v>
      </c>
      <c r="B260" s="44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06">
        <f t="shared" si="9"/>
        <v>2</v>
      </c>
      <c r="O260" s="107">
        <v>1</v>
      </c>
      <c r="P260" s="95"/>
      <c r="Q260" s="45">
        <v>26283.389872894157</v>
      </c>
      <c r="R260" s="169">
        <v>25494.888176707333</v>
      </c>
      <c r="S260" s="12">
        <v>26514.683703775627</v>
      </c>
      <c r="T260" s="12">
        <v>27534.479230843921</v>
      </c>
      <c r="U260" s="167"/>
      <c r="V260" s="168"/>
      <c r="W260" s="16"/>
    </row>
    <row r="261" spans="1:23">
      <c r="A261" s="127" t="s">
        <v>257</v>
      </c>
      <c r="B261" s="44" t="str">
        <f>IFERROR(HYPERLINK(VLOOKUP(A261,ÜRÜNLER!A:C,3,FALSE),VLOOKUP(A261,ÜRÜNLER!A:B,2,FALSE)),"")</f>
        <v>iQ300 Düz Davlumbaz, 90cm, 649m3, Antrasit Gri Cam</v>
      </c>
      <c r="C261" s="8">
        <v>4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06">
        <f t="shared" si="9"/>
        <v>4</v>
      </c>
      <c r="O261" s="107"/>
      <c r="P261" s="95"/>
      <c r="Q261" s="45">
        <v>27453.160934229298</v>
      </c>
      <c r="R261" s="169">
        <v>26629.566106202419</v>
      </c>
      <c r="S261" s="12">
        <v>27694.748750450515</v>
      </c>
      <c r="T261" s="12">
        <v>28759.931394698611</v>
      </c>
      <c r="U261" s="167"/>
      <c r="V261" s="168"/>
      <c r="W261" s="16"/>
    </row>
    <row r="262" spans="1:23">
      <c r="A262" s="125" t="s">
        <v>258</v>
      </c>
      <c r="B262" s="44" t="str">
        <f>IFERROR(HYPERLINK(VLOOKUP(A262,ÜRÜNLER!A:C,3,FALSE),VLOOKUP(A262,ÜRÜNLER!A:B,2,FALSE)),"")</f>
        <v>iQ300 Düz Davlumbaz, 90cm, 649m3, Beyaz Cam</v>
      </c>
      <c r="C262" s="8">
        <v>18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06">
        <f t="shared" si="9"/>
        <v>18</v>
      </c>
      <c r="O262" s="107"/>
      <c r="P262" s="95"/>
      <c r="Q262" s="45">
        <v>27453.160934229298</v>
      </c>
      <c r="R262" s="158">
        <v>25531.439668833245</v>
      </c>
      <c r="S262" s="12">
        <v>26552.697255586576</v>
      </c>
      <c r="T262" s="12">
        <v>27573.954842339906</v>
      </c>
      <c r="U262" s="167"/>
      <c r="V262" s="168"/>
      <c r="W262" s="16"/>
    </row>
    <row r="263" spans="1:23">
      <c r="A263" s="123" t="s">
        <v>259</v>
      </c>
      <c r="B263" s="44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06">
        <f t="shared" si="9"/>
        <v>4</v>
      </c>
      <c r="O263" s="107"/>
      <c r="P263" s="95"/>
      <c r="Q263" s="65" t="s">
        <v>1788</v>
      </c>
      <c r="R263" s="18">
        <v>25000</v>
      </c>
      <c r="S263" s="12">
        <v>26000</v>
      </c>
      <c r="T263" s="12">
        <v>27000</v>
      </c>
      <c r="U263" s="167"/>
      <c r="V263" s="168"/>
      <c r="W263" s="16"/>
    </row>
    <row r="264" spans="1:23">
      <c r="A264" s="114" t="s">
        <v>260</v>
      </c>
      <c r="B264" s="44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10"/>
      <c r="H264" s="10"/>
      <c r="I264" s="11">
        <v>1</v>
      </c>
      <c r="J264" s="11">
        <v>1</v>
      </c>
      <c r="K264" s="10">
        <v>1</v>
      </c>
      <c r="L264" s="10">
        <v>1</v>
      </c>
      <c r="M264" s="11"/>
      <c r="N264" s="106">
        <f t="shared" si="9"/>
        <v>24</v>
      </c>
      <c r="O264" s="107"/>
      <c r="P264" s="95"/>
      <c r="Q264" s="65" t="s">
        <v>1788</v>
      </c>
      <c r="R264" s="18">
        <v>20000</v>
      </c>
      <c r="S264" s="12">
        <v>20800</v>
      </c>
      <c r="T264" s="12">
        <v>21600</v>
      </c>
      <c r="U264" s="167"/>
      <c r="V264" s="168"/>
      <c r="W264" s="13">
        <v>250</v>
      </c>
    </row>
    <row r="265" spans="1:23">
      <c r="A265" s="114" t="s">
        <v>261</v>
      </c>
      <c r="B265" s="44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4</v>
      </c>
      <c r="O265" s="107"/>
      <c r="P265" s="95"/>
      <c r="Q265" s="45">
        <v>39195.714086911241</v>
      </c>
      <c r="R265" s="169">
        <v>38019.842664303906</v>
      </c>
      <c r="S265" s="12">
        <v>39540.636370876062</v>
      </c>
      <c r="T265" s="12">
        <v>41061.430077448218</v>
      </c>
      <c r="U265" s="167"/>
      <c r="V265" s="168"/>
      <c r="W265" s="16"/>
    </row>
    <row r="266" spans="1:23">
      <c r="A266" s="114" t="s">
        <v>262</v>
      </c>
      <c r="B266" s="44" t="str">
        <f>IFERROR(HYPERLINK(VLOOKUP(A266,ÜRÜNLER!A:C,3,FALSE),VLOOKUP(A266,ÜRÜNLER!A:B,2,FALSE)),"")</f>
        <v>iQ500 Düz Davlumbaz, 90cm, 394m3,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6">
        <f t="shared" si="9"/>
        <v>1</v>
      </c>
      <c r="O266" s="107"/>
      <c r="P266" s="95"/>
      <c r="Q266" s="65" t="s">
        <v>1788</v>
      </c>
      <c r="R266" s="18">
        <v>51000</v>
      </c>
      <c r="S266" s="12">
        <v>53040</v>
      </c>
      <c r="T266" s="12">
        <v>55080</v>
      </c>
      <c r="U266" s="167"/>
      <c r="V266" s="168"/>
      <c r="W266" s="13">
        <v>250</v>
      </c>
    </row>
    <row r="267" spans="1:23">
      <c r="A267" s="114" t="s">
        <v>263</v>
      </c>
      <c r="B267" s="44" t="str">
        <f>IFERROR(HYPERLINK(VLOOKUP(A267,ÜRÜNLER!A:C,3,FALSE),VLOOKUP(A267,ÜRÜNLER!A:B,2,FALSE)),"")</f>
        <v>iQ700 Düz Davlumbaz, 90cm, 394m3,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1</v>
      </c>
      <c r="O267" s="107"/>
      <c r="P267" s="95"/>
      <c r="Q267" s="65" t="s">
        <v>1788</v>
      </c>
      <c r="R267" s="18">
        <v>51000</v>
      </c>
      <c r="S267" s="12">
        <v>53040</v>
      </c>
      <c r="T267" s="12">
        <v>55080</v>
      </c>
      <c r="U267" s="167"/>
      <c r="V267" s="168"/>
      <c r="W267" s="13">
        <v>250</v>
      </c>
    </row>
    <row r="268" spans="1:23">
      <c r="A268" s="114" t="s">
        <v>264</v>
      </c>
      <c r="B268" s="44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06">
        <f t="shared" si="9"/>
        <v>1</v>
      </c>
      <c r="O268" s="107"/>
      <c r="P268" s="95"/>
      <c r="Q268" s="65" t="s">
        <v>1788</v>
      </c>
      <c r="R268" s="18">
        <v>56000</v>
      </c>
      <c r="S268" s="12">
        <v>58240</v>
      </c>
      <c r="T268" s="12">
        <v>60480</v>
      </c>
      <c r="U268" s="167"/>
      <c r="V268" s="168"/>
      <c r="W268" s="182">
        <v>1000</v>
      </c>
    </row>
    <row r="269" spans="1:23">
      <c r="A269" s="126" t="s">
        <v>265</v>
      </c>
      <c r="B269" s="44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4</v>
      </c>
      <c r="O269" s="107"/>
      <c r="P269" s="95"/>
      <c r="Q269" s="45">
        <v>31914.311669782874</v>
      </c>
      <c r="R269" s="169">
        <v>30956.882319689386</v>
      </c>
      <c r="S269" s="12">
        <v>32195.157612476964</v>
      </c>
      <c r="T269" s="12">
        <v>33433.432905264533</v>
      </c>
      <c r="U269" s="167"/>
      <c r="V269" s="168"/>
      <c r="W269" s="16"/>
    </row>
    <row r="270" spans="1:23">
      <c r="A270" s="120" t="s">
        <v>266</v>
      </c>
      <c r="B270" s="44" t="str">
        <f>IFERROR(HYPERLINK(VLOOKUP(A270,ÜRÜNLER!A:C,3,FALSE),VLOOKUP(A270,ÜRÜNLER!A:B,2,FALSE)),"")</f>
        <v>iQ500 Eğimli Davlumbaz, 90cm, 510m3, Siyah Cam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>
        <v>1</v>
      </c>
      <c r="P270" s="95"/>
      <c r="Q270" s="45">
        <v>31914.311669782874</v>
      </c>
      <c r="R270" s="169">
        <v>30956.882319689386</v>
      </c>
      <c r="S270" s="12">
        <v>32195.157612476964</v>
      </c>
      <c r="T270" s="12">
        <v>33433.432905264533</v>
      </c>
      <c r="U270" s="167"/>
      <c r="V270" s="168"/>
      <c r="W270" s="16"/>
    </row>
    <row r="271" spans="1:23">
      <c r="A271" s="123" t="s">
        <v>267</v>
      </c>
      <c r="B271" s="44" t="str">
        <f>IFERROR(HYPERLINK(VLOOKUP(A271,ÜRÜNLER!A:C,3,FALSE),VLOOKUP(A271,ÜRÜNLER!A:B,2,FALSE)),"")</f>
        <v>iQ500 Eğimli Davlumbaz, 90cm, 510m3, Antrasit Gri Cam</v>
      </c>
      <c r="C271" s="8">
        <v>5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5</v>
      </c>
      <c r="O271" s="107"/>
      <c r="P271" s="95"/>
      <c r="Q271" s="45">
        <v>31914.311669782874</v>
      </c>
      <c r="R271" s="169">
        <v>30956.882319689386</v>
      </c>
      <c r="S271" s="12">
        <v>32195.157612476964</v>
      </c>
      <c r="T271" s="12">
        <v>33433.432905264533</v>
      </c>
      <c r="U271" s="167"/>
      <c r="V271" s="168"/>
      <c r="W271" s="16"/>
    </row>
    <row r="272" spans="1:23">
      <c r="A272" s="114" t="s">
        <v>268</v>
      </c>
      <c r="B272" s="44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6">
        <f t="shared" si="9"/>
        <v>2</v>
      </c>
      <c r="O272" s="107"/>
      <c r="P272" s="95"/>
      <c r="Q272" s="65" t="s">
        <v>1788</v>
      </c>
      <c r="R272" s="18">
        <v>26000</v>
      </c>
      <c r="S272" s="12">
        <v>27040</v>
      </c>
      <c r="T272" s="12">
        <v>28080</v>
      </c>
      <c r="U272" s="167"/>
      <c r="V272" s="168"/>
      <c r="W272" s="13">
        <v>250</v>
      </c>
    </row>
    <row r="273" spans="1:23">
      <c r="A273" s="114" t="s">
        <v>269</v>
      </c>
      <c r="B273" s="44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06">
        <f t="shared" si="9"/>
        <v>7</v>
      </c>
      <c r="O273" s="107"/>
      <c r="P273" s="95"/>
      <c r="Q273" s="65" t="s">
        <v>1788</v>
      </c>
      <c r="R273" s="18">
        <v>26000</v>
      </c>
      <c r="S273" s="12">
        <v>27040</v>
      </c>
      <c r="T273" s="12">
        <v>28080</v>
      </c>
      <c r="U273" s="167"/>
      <c r="V273" s="168"/>
      <c r="W273" s="13">
        <v>250</v>
      </c>
    </row>
    <row r="274" spans="1:23">
      <c r="A274" s="114" t="s">
        <v>270</v>
      </c>
      <c r="B274" s="44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1</v>
      </c>
      <c r="O274" s="107"/>
      <c r="P274" s="95"/>
      <c r="Q274" s="65" t="s">
        <v>1788</v>
      </c>
      <c r="R274" s="150">
        <v>65000</v>
      </c>
      <c r="S274" s="12">
        <v>67600</v>
      </c>
      <c r="T274" s="12">
        <v>70200</v>
      </c>
      <c r="U274" s="167"/>
      <c r="V274" s="168"/>
      <c r="W274" s="182">
        <v>1000</v>
      </c>
    </row>
    <row r="275" spans="1:23">
      <c r="A275" s="114" t="s">
        <v>271</v>
      </c>
      <c r="B275" s="44" t="str">
        <f>IFERROR(HYPERLINK(VLOOKUP(A275,ÜRÜNLER!A:C,3,FALSE),VLOOKUP(A275,ÜRÜNLER!A:B,2,FALSE)),"")</f>
        <v>iQ700 studioLine Tavan Tipi Davlumbaz, 105cm, Siyah</v>
      </c>
      <c r="C275" s="8"/>
      <c r="D275" s="8">
        <v>6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7</v>
      </c>
      <c r="O275" s="107"/>
      <c r="P275" s="95"/>
      <c r="Q275" s="150">
        <v>300095.24017008184</v>
      </c>
      <c r="R275" s="68">
        <v>250000</v>
      </c>
      <c r="S275" s="12">
        <v>260000</v>
      </c>
      <c r="T275" s="12">
        <v>270000</v>
      </c>
      <c r="U275" s="167"/>
      <c r="V275" s="168"/>
      <c r="W275" s="13">
        <v>250</v>
      </c>
    </row>
    <row r="276" spans="1:23">
      <c r="A276" s="114" t="s">
        <v>272</v>
      </c>
      <c r="B276" s="44" t="str">
        <f>IFERROR(HYPERLINK(VLOOKUP(A276,ÜRÜNLER!A:C,3,FALSE),VLOOKUP(A276,ÜRÜNLER!A:B,2,FALSE)),"")</f>
        <v>iQ700 studioLine Tezgaha Entegre Davlumbaz, 80cm, Siyah/Cam</v>
      </c>
      <c r="C276" s="8"/>
      <c r="D276" s="8">
        <v>1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6">
        <f t="shared" si="9"/>
        <v>2</v>
      </c>
      <c r="O276" s="107"/>
      <c r="P276" s="95"/>
      <c r="Q276" s="150">
        <v>169958.88822324324</v>
      </c>
      <c r="R276" s="150">
        <v>152962.99940091892</v>
      </c>
      <c r="S276" s="12">
        <v>159081.51937695569</v>
      </c>
      <c r="T276" s="12">
        <v>165200.03935299243</v>
      </c>
      <c r="U276" s="167"/>
      <c r="V276" s="168"/>
      <c r="W276" s="13">
        <v>250</v>
      </c>
    </row>
    <row r="277" spans="1:23">
      <c r="A277" s="114" t="s">
        <v>274</v>
      </c>
      <c r="B277" s="44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06">
        <f t="shared" si="9"/>
        <v>3</v>
      </c>
      <c r="O277" s="107"/>
      <c r="P277" s="95"/>
      <c r="Q277" s="150">
        <v>101659.36988634142</v>
      </c>
      <c r="R277" s="150">
        <v>91493.432897707273</v>
      </c>
      <c r="S277" s="12">
        <v>95153.170213615565</v>
      </c>
      <c r="T277" s="12">
        <v>98812.907529523858</v>
      </c>
      <c r="U277" s="167"/>
      <c r="V277" s="168"/>
      <c r="W277" s="13">
        <v>250</v>
      </c>
    </row>
    <row r="278" spans="1:23">
      <c r="A278" s="114" t="s">
        <v>273</v>
      </c>
      <c r="B278" s="44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/>
      <c r="L278" s="10">
        <v>2</v>
      </c>
      <c r="M278" s="11"/>
      <c r="N278" s="106">
        <f t="shared" si="9"/>
        <v>5</v>
      </c>
      <c r="O278" s="107"/>
      <c r="P278" s="95"/>
      <c r="Q278" s="45">
        <v>60490.854623537656</v>
      </c>
      <c r="R278" s="169">
        <v>58676.128984831528</v>
      </c>
      <c r="S278" s="12">
        <v>61023.174144224788</v>
      </c>
      <c r="T278" s="12">
        <v>63370.219303618054</v>
      </c>
      <c r="U278" s="167"/>
      <c r="V278" s="168"/>
      <c r="W278" s="16"/>
    </row>
    <row r="279" spans="1:23" ht="33.75" customHeight="1">
      <c r="A279" s="26" t="s">
        <v>1749</v>
      </c>
      <c r="B279" s="44" t="str">
        <f>IFERROR(HYPERLINK(VLOOKUP(A279,ÜRÜNLER!A:C,3,FALSE),VLOOKUP(A279,ÜRÜNLER!A:B,2,FALSE)),"")</f>
        <v/>
      </c>
      <c r="C279" s="8"/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>SUM(N228:N278)</f>
        <v>316</v>
      </c>
      <c r="O279" s="107"/>
      <c r="P279" s="9"/>
      <c r="Q279" s="65"/>
      <c r="R279" s="18"/>
      <c r="S279" s="12"/>
      <c r="T279" s="12"/>
      <c r="U279" s="167"/>
      <c r="V279" s="168"/>
      <c r="W279" s="16"/>
    </row>
    <row r="280" spans="1:23">
      <c r="A280" s="20" t="s">
        <v>278</v>
      </c>
      <c r="B280" s="44" t="str">
        <f>IFERROR(HYPERLINK(VLOOKUP(A280,ÜRÜNLER!A:C,3,FALSE),VLOOKUP(A280,ÜRÜNLER!A:B,2,FALSE)),"")</f>
        <v>iQ100 Gömme Aspiratör, 53cm, 302m3, Gri</v>
      </c>
      <c r="C280" s="8">
        <v>4</v>
      </c>
      <c r="D280" s="8"/>
      <c r="E280" s="9"/>
      <c r="F280" s="9">
        <v>2</v>
      </c>
      <c r="G280" s="10"/>
      <c r="H280" s="10"/>
      <c r="I280" s="11"/>
      <c r="J280" s="11"/>
      <c r="K280" s="10"/>
      <c r="L280" s="10"/>
      <c r="M280" s="11"/>
      <c r="N280" s="106">
        <f t="shared" ref="N280:N290" si="10">M280+K280+L280+J280+I280+H280+G280+F280+E280+D280+C280</f>
        <v>6</v>
      </c>
      <c r="O280" s="107">
        <v>11</v>
      </c>
      <c r="P280" s="95"/>
      <c r="Q280" s="45">
        <v>11588.01382984625</v>
      </c>
      <c r="R280" s="169">
        <v>11240.373414950862</v>
      </c>
      <c r="S280" s="12">
        <v>11689.988351548896</v>
      </c>
      <c r="T280" s="12">
        <v>12139.603288146931</v>
      </c>
      <c r="U280" s="167"/>
      <c r="V280" s="168"/>
      <c r="W280" s="16"/>
    </row>
    <row r="281" spans="1:23">
      <c r="A281" s="21" t="s">
        <v>277</v>
      </c>
      <c r="B281" s="44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06">
        <f t="shared" si="10"/>
        <v>0</v>
      </c>
      <c r="O281" s="107">
        <v>4</v>
      </c>
      <c r="P281" s="95"/>
      <c r="Q281" s="45">
        <v>30701.396746168586</v>
      </c>
      <c r="R281" s="169">
        <v>29780.354843783527</v>
      </c>
      <c r="S281" s="12">
        <v>30971.569037534868</v>
      </c>
      <c r="T281" s="12">
        <v>32162.783231286208</v>
      </c>
      <c r="U281" s="167"/>
      <c r="V281" s="168"/>
      <c r="W281" s="16"/>
    </row>
    <row r="282" spans="1:23">
      <c r="A282" s="20" t="s">
        <v>1637</v>
      </c>
      <c r="B282" s="44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45">
        <v>13394.970915059126</v>
      </c>
      <c r="R282" s="169">
        <v>12993.121787607352</v>
      </c>
      <c r="S282" s="12">
        <v>13512.846659111645</v>
      </c>
      <c r="T282" s="12">
        <v>14032.57153061594</v>
      </c>
      <c r="U282" s="167"/>
      <c r="V282" s="168"/>
      <c r="W282" s="16"/>
    </row>
    <row r="283" spans="1:23">
      <c r="A283" s="20" t="s">
        <v>1517</v>
      </c>
      <c r="B283" s="44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10"/>
      <c r="H283" s="10"/>
      <c r="I283" s="11">
        <v>1</v>
      </c>
      <c r="J283" s="11"/>
      <c r="K283" s="10"/>
      <c r="L283" s="10"/>
      <c r="M283" s="11"/>
      <c r="N283" s="106">
        <f t="shared" si="10"/>
        <v>1</v>
      </c>
      <c r="O283" s="107"/>
      <c r="P283" s="95"/>
      <c r="Q283" s="65" t="s">
        <v>1788</v>
      </c>
      <c r="R283" s="18">
        <v>35000</v>
      </c>
      <c r="S283" s="12">
        <v>36400</v>
      </c>
      <c r="T283" s="12">
        <v>37800</v>
      </c>
      <c r="U283" s="167"/>
      <c r="V283" s="168"/>
      <c r="W283" s="183">
        <v>1000</v>
      </c>
    </row>
    <row r="284" spans="1:23">
      <c r="A284" s="20" t="s">
        <v>280</v>
      </c>
      <c r="B284" s="44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10"/>
      <c r="H284" s="10"/>
      <c r="I284" s="11"/>
      <c r="J284" s="11"/>
      <c r="K284" s="10"/>
      <c r="L284" s="10"/>
      <c r="M284" s="11"/>
      <c r="N284" s="106">
        <f t="shared" si="10"/>
        <v>2</v>
      </c>
      <c r="O284" s="107">
        <v>1</v>
      </c>
      <c r="P284" s="95"/>
      <c r="Q284" s="45">
        <v>41753.899574789284</v>
      </c>
      <c r="R284" s="169">
        <v>40501.282587545604</v>
      </c>
      <c r="S284" s="12">
        <v>42121.333891047427</v>
      </c>
      <c r="T284" s="12">
        <v>43741.38519454925</v>
      </c>
      <c r="U284" s="167"/>
      <c r="V284" s="168"/>
      <c r="W284" s="16"/>
    </row>
    <row r="285" spans="1:23">
      <c r="A285" s="121" t="s">
        <v>279</v>
      </c>
      <c r="B285" s="44" t="str">
        <f>IFERROR(HYPERLINK(VLOOKUP(A285,ÜRÜNLER!A:C,3,FALSE),VLOOKUP(A285,ÜRÜNLER!A:B,2,FALSE)),"")</f>
        <v>iQ700 Gömme Aspiratör, 86cm, 595m3, Siyah</v>
      </c>
      <c r="C285" s="8">
        <v>4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06">
        <f t="shared" si="10"/>
        <v>4</v>
      </c>
      <c r="O285" s="107">
        <v>1</v>
      </c>
      <c r="P285" s="95"/>
      <c r="Q285" s="45">
        <v>46760.809604888731</v>
      </c>
      <c r="R285" s="169">
        <v>45357.985316742066</v>
      </c>
      <c r="S285" s="12">
        <v>47172.30472941175</v>
      </c>
      <c r="T285" s="12">
        <v>48986.624142081433</v>
      </c>
      <c r="U285" s="167"/>
      <c r="V285" s="168"/>
      <c r="W285" s="16"/>
    </row>
    <row r="286" spans="1:23">
      <c r="A286" s="20" t="s">
        <v>275</v>
      </c>
      <c r="B286" s="44" t="str">
        <f>IFERROR(HYPERLINK(VLOOKUP(A286,ÜRÜNLER!A:C,3,FALSE),VLOOKUP(A286,ÜRÜNLER!A:B,2,FALSE)),"")</f>
        <v>iQ100 Teleskopik Aspiratör, 60cm, 310m3, Gümüş</v>
      </c>
      <c r="C286" s="8">
        <v>2</v>
      </c>
      <c r="D286" s="8"/>
      <c r="E286" s="9"/>
      <c r="F286" s="9">
        <v>1</v>
      </c>
      <c r="G286" s="10">
        <v>1</v>
      </c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3</v>
      </c>
      <c r="P286" s="95"/>
      <c r="Q286" s="45">
        <v>7711.0096519718609</v>
      </c>
      <c r="R286" s="169">
        <v>7479.6793624127049</v>
      </c>
      <c r="S286" s="12">
        <v>7778.8665369092132</v>
      </c>
      <c r="T286" s="12">
        <v>8078.0537114057215</v>
      </c>
      <c r="U286" s="167"/>
      <c r="V286" s="168"/>
      <c r="W286" s="16"/>
    </row>
    <row r="287" spans="1:23">
      <c r="A287" s="20" t="s">
        <v>276</v>
      </c>
      <c r="B287" s="44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7</v>
      </c>
      <c r="O287" s="107">
        <v>1</v>
      </c>
      <c r="P287" s="95"/>
      <c r="Q287" s="45">
        <v>7713.1786639885086</v>
      </c>
      <c r="R287" s="169">
        <v>7481.7833040688529</v>
      </c>
      <c r="S287" s="12">
        <v>7781.0546362316072</v>
      </c>
      <c r="T287" s="12">
        <v>8080.3259683943616</v>
      </c>
      <c r="U287" s="167"/>
      <c r="V287" s="168"/>
      <c r="W287" s="16"/>
    </row>
    <row r="288" spans="1:23">
      <c r="A288" s="20" t="s">
        <v>1740</v>
      </c>
      <c r="B288" s="44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4</v>
      </c>
      <c r="O288" s="107">
        <v>1</v>
      </c>
      <c r="P288" s="95"/>
      <c r="Q288" s="45">
        <v>22278.754724958268</v>
      </c>
      <c r="R288" s="169">
        <v>21610.392083209521</v>
      </c>
      <c r="S288" s="12">
        <v>22474.807766537902</v>
      </c>
      <c r="T288" s="12">
        <v>23339.223449866284</v>
      </c>
      <c r="U288" s="167"/>
      <c r="V288" s="168"/>
      <c r="W288" s="16"/>
    </row>
    <row r="289" spans="1:23">
      <c r="A289" s="20" t="s">
        <v>1743</v>
      </c>
      <c r="B289" s="44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>
        <f t="shared" si="10"/>
        <v>0</v>
      </c>
      <c r="O289" s="107">
        <v>5</v>
      </c>
      <c r="P289" s="95"/>
      <c r="Q289" s="45">
        <v>34228.197120000004</v>
      </c>
      <c r="R289" s="169">
        <v>33201.351206400002</v>
      </c>
      <c r="S289" s="12">
        <v>34529.405254656005</v>
      </c>
      <c r="T289" s="12">
        <v>35857.459302912001</v>
      </c>
      <c r="U289" s="167"/>
      <c r="V289" s="168"/>
      <c r="W289" s="16"/>
    </row>
    <row r="290" spans="1:23">
      <c r="A290" s="20" t="s">
        <v>1746</v>
      </c>
      <c r="B290" s="44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si="10"/>
        <v>0</v>
      </c>
      <c r="O290" s="107">
        <v>5</v>
      </c>
      <c r="P290" s="95"/>
      <c r="Q290" s="45">
        <v>29858.609646155564</v>
      </c>
      <c r="R290" s="169">
        <v>28962.851356770898</v>
      </c>
      <c r="S290" s="12">
        <v>30121.365411041734</v>
      </c>
      <c r="T290" s="12">
        <v>31279.87946531257</v>
      </c>
      <c r="U290" s="167"/>
      <c r="V290" s="168"/>
      <c r="W290" s="16"/>
    </row>
    <row r="291" spans="1:23" ht="30">
      <c r="A291" s="26" t="s">
        <v>281</v>
      </c>
      <c r="B291" s="44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>SUM(N280:N290)</f>
        <v>31</v>
      </c>
      <c r="O291" s="107"/>
      <c r="P291" s="9"/>
      <c r="Q291" s="65"/>
      <c r="R291" s="18"/>
      <c r="S291" s="12"/>
      <c r="T291" s="12"/>
      <c r="U291" s="167"/>
      <c r="V291" s="168"/>
      <c r="W291" s="16"/>
    </row>
    <row r="292" spans="1:23">
      <c r="A292" s="84" t="s">
        <v>1797</v>
      </c>
      <c r="B292" s="44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ref="N292:N355" si="11">M292+K292+L292+J292+I292+H292+G292+F292+E292+D292+C292</f>
        <v>0</v>
      </c>
      <c r="O292" s="107">
        <v>2</v>
      </c>
      <c r="P292" s="9"/>
      <c r="Q292" s="45">
        <v>59438.778761459514</v>
      </c>
      <c r="R292" s="169">
        <v>57655.61539861573</v>
      </c>
      <c r="S292" s="12">
        <v>59961.840014560359</v>
      </c>
      <c r="T292" s="12">
        <v>62268.064630504989</v>
      </c>
      <c r="U292" s="167"/>
      <c r="V292" s="168"/>
      <c r="W292" s="16"/>
    </row>
    <row r="293" spans="1:23">
      <c r="A293" s="84" t="s">
        <v>1798</v>
      </c>
      <c r="B293" s="44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>
        <v>2</v>
      </c>
      <c r="P293" s="9"/>
      <c r="Q293" s="45">
        <v>41724.197750343483</v>
      </c>
      <c r="R293" s="169">
        <v>40472.471817833175</v>
      </c>
      <c r="S293" s="12">
        <v>42091.370690546501</v>
      </c>
      <c r="T293" s="12">
        <v>43710.269563259826</v>
      </c>
      <c r="U293" s="167"/>
      <c r="V293" s="168"/>
      <c r="W293" s="16"/>
    </row>
    <row r="294" spans="1:23">
      <c r="A294" s="84" t="s">
        <v>1799</v>
      </c>
      <c r="B294" s="44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>
        <v>2</v>
      </c>
      <c r="P294" s="9"/>
      <c r="Q294" s="45">
        <v>40278.897752026904</v>
      </c>
      <c r="R294" s="169">
        <v>39070.530819466097</v>
      </c>
      <c r="S294" s="12">
        <v>40633.352052244743</v>
      </c>
      <c r="T294" s="12">
        <v>42196.173285023382</v>
      </c>
      <c r="U294" s="167"/>
      <c r="V294" s="168"/>
      <c r="W294" s="16"/>
    </row>
    <row r="295" spans="1:23">
      <c r="A295" s="84" t="s">
        <v>1800</v>
      </c>
      <c r="B295" s="44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0</v>
      </c>
      <c r="O295" s="107">
        <v>2</v>
      </c>
      <c r="P295" s="9"/>
      <c r="Q295" s="45">
        <v>56796</v>
      </c>
      <c r="R295" s="169">
        <v>55092.12</v>
      </c>
      <c r="S295" s="12">
        <v>57295.804800000005</v>
      </c>
      <c r="T295" s="12">
        <v>59499.489600000001</v>
      </c>
      <c r="U295" s="167"/>
      <c r="V295" s="168"/>
      <c r="W295" s="16"/>
    </row>
    <row r="296" spans="1:23">
      <c r="A296" s="84" t="s">
        <v>1801</v>
      </c>
      <c r="B296" s="44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0</v>
      </c>
      <c r="O296" s="107"/>
      <c r="P296" s="9"/>
      <c r="Q296" s="45">
        <v>38552</v>
      </c>
      <c r="R296" s="169">
        <v>37395.440000000002</v>
      </c>
      <c r="S296" s="12">
        <v>38891.257600000004</v>
      </c>
      <c r="T296" s="12">
        <v>40387.075199999999</v>
      </c>
      <c r="U296" s="167"/>
      <c r="V296" s="168"/>
      <c r="W296" s="16"/>
    </row>
    <row r="297" spans="1:23">
      <c r="A297" s="84" t="s">
        <v>1490</v>
      </c>
      <c r="B297" s="44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>
        <v>1</v>
      </c>
      <c r="G297" s="10"/>
      <c r="H297" s="10"/>
      <c r="I297" s="11"/>
      <c r="J297" s="11"/>
      <c r="K297" s="10"/>
      <c r="L297" s="10"/>
      <c r="M297" s="11"/>
      <c r="N297" s="106">
        <f t="shared" si="11"/>
        <v>1</v>
      </c>
      <c r="O297" s="107"/>
      <c r="P297" s="9"/>
      <c r="Q297" s="45">
        <v>15851.282820596934</v>
      </c>
      <c r="R297" s="169">
        <v>15375.744335979027</v>
      </c>
      <c r="S297" s="12">
        <v>15990.774109418187</v>
      </c>
      <c r="T297" s="12">
        <v>16605.803882857348</v>
      </c>
      <c r="U297" s="167"/>
      <c r="V297" s="168"/>
      <c r="W297" s="16"/>
    </row>
    <row r="298" spans="1:23">
      <c r="A298" s="149" t="s">
        <v>1638</v>
      </c>
      <c r="B298" s="44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0"/>
      <c r="M298" s="11"/>
      <c r="N298" s="106">
        <f t="shared" si="11"/>
        <v>1</v>
      </c>
      <c r="O298" s="107"/>
      <c r="P298" s="95"/>
      <c r="Q298" s="65" t="s">
        <v>1788</v>
      </c>
      <c r="R298" s="18">
        <v>7500</v>
      </c>
      <c r="S298" s="12">
        <v>7800</v>
      </c>
      <c r="T298" s="12">
        <v>8100</v>
      </c>
      <c r="U298" s="167"/>
      <c r="V298" s="168"/>
      <c r="W298" s="183">
        <v>500</v>
      </c>
    </row>
    <row r="299" spans="1:23">
      <c r="A299" s="149" t="s">
        <v>1507</v>
      </c>
      <c r="B299" s="44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06">
        <f t="shared" si="11"/>
        <v>1</v>
      </c>
      <c r="O299" s="107"/>
      <c r="P299" s="95"/>
      <c r="Q299" s="65" t="s">
        <v>1788</v>
      </c>
      <c r="R299" s="18">
        <v>16000</v>
      </c>
      <c r="S299" s="12">
        <v>16640</v>
      </c>
      <c r="T299" s="12">
        <v>17280</v>
      </c>
      <c r="U299" s="167"/>
      <c r="V299" s="168"/>
      <c r="W299" s="183">
        <v>500</v>
      </c>
    </row>
    <row r="300" spans="1:23">
      <c r="A300" s="149" t="s">
        <v>291</v>
      </c>
      <c r="B300" s="44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06">
        <f t="shared" si="11"/>
        <v>1</v>
      </c>
      <c r="O300" s="107"/>
      <c r="P300" s="95"/>
      <c r="Q300" s="45">
        <v>21396.457539553983</v>
      </c>
      <c r="R300" s="169">
        <v>20754.563813367364</v>
      </c>
      <c r="S300" s="12">
        <v>21584.746365902058</v>
      </c>
      <c r="T300" s="12">
        <v>22414.928918436752</v>
      </c>
      <c r="U300" s="167"/>
      <c r="V300" s="168"/>
      <c r="W300" s="16"/>
    </row>
    <row r="301" spans="1:23">
      <c r="A301" s="149" t="s">
        <v>1639</v>
      </c>
      <c r="B301" s="44" t="str">
        <f>IFERROR(HYPERLINK(VLOOKUP(A301,ÜRÜNLER!A:C,3,FALSE),VLOOKUP(A301,ÜRÜNLER!A:B,2,FALSE)),"")</f>
        <v>iQ100 Ankastre Gazlı Ocak, 60cm, Sert Cam, Beyaz</v>
      </c>
      <c r="C301" s="8">
        <v>3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6">
        <f t="shared" si="11"/>
        <v>3</v>
      </c>
      <c r="O301" s="107"/>
      <c r="P301" s="95"/>
      <c r="Q301" s="65" t="s">
        <v>1788</v>
      </c>
      <c r="R301" s="18">
        <v>12500</v>
      </c>
      <c r="S301" s="12">
        <v>13000</v>
      </c>
      <c r="T301" s="12">
        <v>13500</v>
      </c>
      <c r="U301" s="167"/>
      <c r="V301" s="168"/>
      <c r="W301" s="16"/>
    </row>
    <row r="302" spans="1:23">
      <c r="A302" s="149" t="s">
        <v>1366</v>
      </c>
      <c r="B302" s="44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10"/>
      <c r="H302" s="10"/>
      <c r="I302" s="11">
        <v>1</v>
      </c>
      <c r="J302" s="11"/>
      <c r="K302" s="10"/>
      <c r="L302" s="10"/>
      <c r="M302" s="11"/>
      <c r="N302" s="106">
        <f t="shared" si="11"/>
        <v>6</v>
      </c>
      <c r="O302" s="107"/>
      <c r="P302" s="95"/>
      <c r="Q302" s="65" t="s">
        <v>1788</v>
      </c>
      <c r="R302" s="18">
        <v>13000</v>
      </c>
      <c r="S302" s="12">
        <v>13520</v>
      </c>
      <c r="T302" s="12">
        <v>14040</v>
      </c>
      <c r="U302" s="167"/>
      <c r="V302" s="168"/>
      <c r="W302" s="16"/>
    </row>
    <row r="303" spans="1:23">
      <c r="A303" s="149" t="s">
        <v>1640</v>
      </c>
      <c r="B303" s="44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10"/>
      <c r="H303" s="10"/>
      <c r="I303" s="11"/>
      <c r="J303" s="11"/>
      <c r="K303" s="10"/>
      <c r="L303" s="10"/>
      <c r="M303" s="11"/>
      <c r="N303" s="106">
        <f t="shared" si="11"/>
        <v>3</v>
      </c>
      <c r="O303" s="107"/>
      <c r="P303" s="95"/>
      <c r="Q303" s="65" t="s">
        <v>1788</v>
      </c>
      <c r="R303" s="18">
        <v>12500</v>
      </c>
      <c r="S303" s="12">
        <v>13000</v>
      </c>
      <c r="T303" s="12">
        <v>13500</v>
      </c>
      <c r="U303" s="167"/>
      <c r="V303" s="168"/>
      <c r="W303" s="16"/>
    </row>
    <row r="304" spans="1:23">
      <c r="A304" s="113" t="s">
        <v>284</v>
      </c>
      <c r="B304" s="44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10"/>
      <c r="H304" s="10"/>
      <c r="I304" s="11">
        <v>1</v>
      </c>
      <c r="J304" s="11"/>
      <c r="K304" s="10"/>
      <c r="L304" s="10">
        <v>1</v>
      </c>
      <c r="M304" s="11"/>
      <c r="N304" s="106">
        <f t="shared" si="11"/>
        <v>4</v>
      </c>
      <c r="O304" s="107"/>
      <c r="P304" s="95"/>
      <c r="Q304" s="65" t="s">
        <v>1788</v>
      </c>
      <c r="R304" s="18">
        <v>7500</v>
      </c>
      <c r="S304" s="12">
        <v>7800</v>
      </c>
      <c r="T304" s="12">
        <v>8100</v>
      </c>
      <c r="U304" s="167"/>
      <c r="V304" s="168"/>
      <c r="W304" s="13">
        <v>250</v>
      </c>
    </row>
    <row r="305" spans="1:23">
      <c r="A305" s="113" t="s">
        <v>285</v>
      </c>
      <c r="B305" s="44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06">
        <f t="shared" si="11"/>
        <v>3</v>
      </c>
      <c r="O305" s="107"/>
      <c r="P305" s="95"/>
      <c r="Q305" s="65" t="s">
        <v>1788</v>
      </c>
      <c r="R305" s="18">
        <v>9000</v>
      </c>
      <c r="S305" s="12">
        <v>9360</v>
      </c>
      <c r="T305" s="12">
        <v>9720</v>
      </c>
      <c r="U305" s="167"/>
      <c r="V305" s="168"/>
      <c r="W305" s="13">
        <v>250</v>
      </c>
    </row>
    <row r="306" spans="1:23">
      <c r="A306" s="113" t="s">
        <v>286</v>
      </c>
      <c r="B306" s="44" t="str">
        <f>IFERROR(HYPERLINK(VLOOKUP(A306,ÜRÜNLER!A:C,3,FALSE),VLOOKUP(A306,ÜRÜNLER!A:B,2,FALSE)),"")</f>
        <v>iQ100 Gazlı Ocak, 60cm, Emaye, Siyah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>
        <v>1</v>
      </c>
      <c r="M306" s="11"/>
      <c r="N306" s="106">
        <f t="shared" si="11"/>
        <v>6</v>
      </c>
      <c r="O306" s="107"/>
      <c r="P306" s="95"/>
      <c r="Q306" s="65" t="s">
        <v>1788</v>
      </c>
      <c r="R306" s="18">
        <v>7500</v>
      </c>
      <c r="S306" s="12">
        <v>7800</v>
      </c>
      <c r="T306" s="12">
        <v>8100</v>
      </c>
      <c r="U306" s="167"/>
      <c r="V306" s="168"/>
      <c r="W306" s="13">
        <v>250</v>
      </c>
    </row>
    <row r="307" spans="1:23">
      <c r="A307" s="128" t="s">
        <v>287</v>
      </c>
      <c r="B307" s="44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10"/>
      <c r="H307" s="10"/>
      <c r="I307" s="11"/>
      <c r="J307" s="11"/>
      <c r="K307" s="10"/>
      <c r="L307" s="10">
        <v>1</v>
      </c>
      <c r="M307" s="11"/>
      <c r="N307" s="106">
        <f t="shared" si="11"/>
        <v>1</v>
      </c>
      <c r="O307" s="107"/>
      <c r="P307" s="95"/>
      <c r="Q307" s="65" t="s">
        <v>1788</v>
      </c>
      <c r="R307" s="18">
        <v>30000</v>
      </c>
      <c r="S307" s="12">
        <v>31200</v>
      </c>
      <c r="T307" s="12">
        <v>32400</v>
      </c>
      <c r="U307" s="167"/>
      <c r="V307" s="168"/>
      <c r="W307" s="182">
        <v>1000</v>
      </c>
    </row>
    <row r="308" spans="1:23">
      <c r="A308" s="114" t="s">
        <v>289</v>
      </c>
      <c r="B308" s="44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10"/>
      <c r="H308" s="10"/>
      <c r="I308" s="11">
        <v>1</v>
      </c>
      <c r="J308" s="11"/>
      <c r="K308" s="10"/>
      <c r="L308" s="10"/>
      <c r="M308" s="11"/>
      <c r="N308" s="106">
        <f t="shared" si="11"/>
        <v>1</v>
      </c>
      <c r="O308" s="107"/>
      <c r="P308" s="95"/>
      <c r="Q308" s="65" t="s">
        <v>1788</v>
      </c>
      <c r="R308" s="18">
        <v>20000</v>
      </c>
      <c r="S308" s="12">
        <v>20800</v>
      </c>
      <c r="T308" s="12">
        <v>21600</v>
      </c>
      <c r="U308" s="167"/>
      <c r="V308" s="168"/>
      <c r="W308" s="182">
        <v>1000</v>
      </c>
    </row>
    <row r="309" spans="1:23">
      <c r="A309" s="114" t="s">
        <v>290</v>
      </c>
      <c r="B309" s="44" t="str">
        <f>IFERROR(HYPERLINK(VLOOKUP(A309,ÜRÜNLER!A:C,3,FALSE),VLOOKUP(A309,ÜRÜNLER!A:B,2,FALSE)),"")</f>
        <v>iQ300 Gazlı Ocak, 60cm, Sert Cam, Beyaz, Döküm</v>
      </c>
      <c r="C309" s="8">
        <v>3</v>
      </c>
      <c r="D309" s="8"/>
      <c r="E309" s="9"/>
      <c r="F309" s="9">
        <v>2</v>
      </c>
      <c r="G309" s="10"/>
      <c r="H309" s="10"/>
      <c r="I309" s="11"/>
      <c r="J309" s="11"/>
      <c r="K309" s="10"/>
      <c r="L309" s="10"/>
      <c r="M309" s="11"/>
      <c r="N309" s="106">
        <f t="shared" si="11"/>
        <v>5</v>
      </c>
      <c r="O309" s="107"/>
      <c r="P309" s="95"/>
      <c r="Q309" s="45">
        <v>21396.457539553983</v>
      </c>
      <c r="R309" s="169">
        <v>20754.563813367364</v>
      </c>
      <c r="S309" s="12">
        <v>21584.746365902058</v>
      </c>
      <c r="T309" s="12">
        <v>22414.928918436752</v>
      </c>
      <c r="U309" s="167"/>
      <c r="V309" s="168"/>
      <c r="W309" s="18"/>
    </row>
    <row r="310" spans="1:23">
      <c r="A310" s="120" t="s">
        <v>292</v>
      </c>
      <c r="B310" s="44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10"/>
      <c r="H310" s="10"/>
      <c r="I310" s="11"/>
      <c r="J310" s="11">
        <v>1</v>
      </c>
      <c r="K310" s="10"/>
      <c r="L310" s="10"/>
      <c r="M310" s="11"/>
      <c r="N310" s="106">
        <f t="shared" si="11"/>
        <v>1</v>
      </c>
      <c r="O310" s="107"/>
      <c r="P310" s="95"/>
      <c r="Q310" s="65" t="s">
        <v>1788</v>
      </c>
      <c r="R310" s="18">
        <v>20000</v>
      </c>
      <c r="S310" s="12">
        <v>20800</v>
      </c>
      <c r="T310" s="12">
        <v>21600</v>
      </c>
      <c r="U310" s="167"/>
      <c r="V310" s="168"/>
      <c r="W310" s="182">
        <v>500</v>
      </c>
    </row>
    <row r="311" spans="1:23">
      <c r="A311" s="123" t="s">
        <v>293</v>
      </c>
      <c r="B311" s="44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10"/>
      <c r="H311" s="10"/>
      <c r="I311" s="11"/>
      <c r="J311" s="11">
        <v>1</v>
      </c>
      <c r="K311" s="10"/>
      <c r="L311" s="10"/>
      <c r="M311" s="11"/>
      <c r="N311" s="106">
        <f t="shared" si="11"/>
        <v>3</v>
      </c>
      <c r="O311" s="107"/>
      <c r="P311" s="95"/>
      <c r="Q311" s="65" t="s">
        <v>1788</v>
      </c>
      <c r="R311" s="18">
        <v>17000</v>
      </c>
      <c r="S311" s="12">
        <v>17680</v>
      </c>
      <c r="T311" s="12">
        <v>18360</v>
      </c>
      <c r="U311" s="167"/>
      <c r="V311" s="168"/>
      <c r="W311" s="182">
        <v>500</v>
      </c>
    </row>
    <row r="312" spans="1:23">
      <c r="A312" s="123" t="s">
        <v>294</v>
      </c>
      <c r="B312" s="44" t="str">
        <f>IFERROR(HYPERLINK(VLOOKUP(A312,ÜRÜNLER!A:C,3,FALSE),VLOOKUP(A312,ÜRÜNLER!A:B,2,FALSE)),"")</f>
        <v>iQ100 Gazlı Ocak, 60cm, Sert Cam, Antrasit Gri</v>
      </c>
      <c r="C312" s="8">
        <v>21</v>
      </c>
      <c r="D312" s="8"/>
      <c r="E312" s="9"/>
      <c r="F312" s="9"/>
      <c r="G312" s="10"/>
      <c r="H312" s="10"/>
      <c r="I312" s="11">
        <v>1</v>
      </c>
      <c r="J312" s="11">
        <v>1</v>
      </c>
      <c r="K312" s="10">
        <v>1</v>
      </c>
      <c r="L312" s="10">
        <v>1</v>
      </c>
      <c r="M312" s="11"/>
      <c r="N312" s="106">
        <f t="shared" si="11"/>
        <v>25</v>
      </c>
      <c r="O312" s="107"/>
      <c r="P312" s="95"/>
      <c r="Q312" s="65" t="s">
        <v>1788</v>
      </c>
      <c r="R312" s="18">
        <v>17000</v>
      </c>
      <c r="S312" s="12">
        <v>17680</v>
      </c>
      <c r="T312" s="12">
        <v>18360</v>
      </c>
      <c r="U312" s="167"/>
      <c r="V312" s="168"/>
      <c r="W312" s="182">
        <v>500</v>
      </c>
    </row>
    <row r="313" spans="1:23">
      <c r="A313" s="129" t="s">
        <v>295</v>
      </c>
      <c r="B313" s="44" t="str">
        <f>IFERROR(HYPERLINK(VLOOKUP(A313,ÜRÜNLER!A:C,3,FALSE),VLOOKUP(A313,ÜRÜNLER!A:B,2,FALSE)),"")</f>
        <v>iQ300 Gazlı Ocak, 60cm, Sert Cam, Beyaz</v>
      </c>
      <c r="C313" s="8">
        <v>4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>
        <v>1</v>
      </c>
      <c r="N313" s="106">
        <f t="shared" si="11"/>
        <v>5</v>
      </c>
      <c r="O313" s="107"/>
      <c r="P313" s="95"/>
      <c r="Q313" s="65" t="s">
        <v>1788</v>
      </c>
      <c r="R313" s="18">
        <v>14000</v>
      </c>
      <c r="S313" s="12">
        <v>14560</v>
      </c>
      <c r="T313" s="12">
        <v>15120</v>
      </c>
      <c r="U313" s="167"/>
      <c r="V313" s="168"/>
      <c r="W313" s="182">
        <v>500</v>
      </c>
    </row>
    <row r="314" spans="1:23">
      <c r="A314" s="114" t="s">
        <v>296</v>
      </c>
      <c r="B314" s="44" t="str">
        <f>IFERROR(HYPERLINK(VLOOKUP(A314,ÜRÜNLER!A:C,3,FALSE),VLOOKUP(A314,ÜRÜNLER!A:B,2,FALSE)),"")</f>
        <v>iQ300 Gazlı Ocak, 60cm, Sert Cam, Beyaz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06">
        <f t="shared" si="11"/>
        <v>3</v>
      </c>
      <c r="O314" s="107">
        <v>11</v>
      </c>
      <c r="P314" s="95"/>
      <c r="Q314" s="45">
        <v>13503.039617528162</v>
      </c>
      <c r="R314" s="169">
        <v>13097.948429002317</v>
      </c>
      <c r="S314" s="12">
        <v>13621.86636616241</v>
      </c>
      <c r="T314" s="12">
        <v>14145.784303322504</v>
      </c>
      <c r="U314" s="167"/>
      <c r="V314" s="168"/>
      <c r="W314" s="16"/>
    </row>
    <row r="315" spans="1:23">
      <c r="A315" s="120" t="s">
        <v>300</v>
      </c>
      <c r="B315" s="44" t="str">
        <f>IFERROR(HYPERLINK(VLOOKUP(A315,ÜRÜNLER!A:C,3,FALSE),VLOOKUP(A315,ÜRÜNLER!A:B,2,FALSE)),"")</f>
        <v>iQ300 Gazlı Ocak, 60cm, Sert Cam, Siyah</v>
      </c>
      <c r="C315" s="8">
        <v>11</v>
      </c>
      <c r="D315" s="8"/>
      <c r="E315" s="9"/>
      <c r="F315" s="9"/>
      <c r="G315" s="10"/>
      <c r="H315" s="10"/>
      <c r="I315" s="11">
        <v>1</v>
      </c>
      <c r="J315" s="11"/>
      <c r="K315" s="10"/>
      <c r="L315" s="10"/>
      <c r="M315" s="11">
        <v>1</v>
      </c>
      <c r="N315" s="106">
        <f t="shared" si="11"/>
        <v>13</v>
      </c>
      <c r="O315" s="107">
        <v>11</v>
      </c>
      <c r="P315" s="95"/>
      <c r="Q315" s="45">
        <v>13503.039617528162</v>
      </c>
      <c r="R315" s="169">
        <v>13097.948429002317</v>
      </c>
      <c r="S315" s="12">
        <v>13621.86636616241</v>
      </c>
      <c r="T315" s="12">
        <v>14145.784303322504</v>
      </c>
      <c r="U315" s="167"/>
      <c r="V315" s="168"/>
      <c r="W315" s="16"/>
    </row>
    <row r="316" spans="1:23">
      <c r="A316" s="123" t="s">
        <v>301</v>
      </c>
      <c r="B316" s="44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10"/>
      <c r="H316" s="10"/>
      <c r="I316" s="11"/>
      <c r="J316" s="11"/>
      <c r="K316" s="10"/>
      <c r="L316" s="10">
        <v>1</v>
      </c>
      <c r="M316" s="11"/>
      <c r="N316" s="106">
        <f t="shared" si="11"/>
        <v>1</v>
      </c>
      <c r="O316" s="107"/>
      <c r="P316" s="95"/>
      <c r="Q316" s="65" t="s">
        <v>1788</v>
      </c>
      <c r="R316" s="18">
        <v>13000</v>
      </c>
      <c r="S316" s="12">
        <v>13520</v>
      </c>
      <c r="T316" s="12">
        <v>14040</v>
      </c>
      <c r="U316" s="167"/>
      <c r="V316" s="168"/>
      <c r="W316" s="183">
        <v>500</v>
      </c>
    </row>
    <row r="317" spans="1:23">
      <c r="A317" s="123" t="s">
        <v>302</v>
      </c>
      <c r="B317" s="44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06">
        <f t="shared" si="11"/>
        <v>4</v>
      </c>
      <c r="O317" s="107"/>
      <c r="P317" s="95"/>
      <c r="Q317" s="65" t="s">
        <v>1788</v>
      </c>
      <c r="R317" s="18">
        <v>17000</v>
      </c>
      <c r="S317" s="12">
        <v>17680</v>
      </c>
      <c r="T317" s="12">
        <v>18360</v>
      </c>
      <c r="U317" s="167"/>
      <c r="V317" s="168"/>
      <c r="W317" s="16">
        <v>250</v>
      </c>
    </row>
    <row r="318" spans="1:23">
      <c r="A318" s="123" t="s">
        <v>303</v>
      </c>
      <c r="B318" s="44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0"/>
      <c r="M318" s="11"/>
      <c r="N318" s="106">
        <f t="shared" si="11"/>
        <v>3</v>
      </c>
      <c r="O318" s="107">
        <v>21</v>
      </c>
      <c r="P318" s="95"/>
      <c r="Q318" s="45">
        <v>13503.039617528162</v>
      </c>
      <c r="R318" s="169">
        <v>13097.948429002317</v>
      </c>
      <c r="S318" s="12">
        <v>13621.86636616241</v>
      </c>
      <c r="T318" s="12">
        <v>14145.784303322504</v>
      </c>
      <c r="U318" s="167"/>
      <c r="V318" s="168"/>
      <c r="W318" s="16"/>
    </row>
    <row r="319" spans="1:23">
      <c r="A319" s="123" t="s">
        <v>304</v>
      </c>
      <c r="B319" s="44" t="str">
        <f>IFERROR(HYPERLINK(VLOOKUP(A319,ÜRÜNLER!A:C,3,FALSE),VLOOKUP(A319,ÜRÜNLER!A:B,2,FALSE)),"")</f>
        <v>iQ300 Gazlı Ocak, 60cm, Sert Cam, Antrasit Gri</v>
      </c>
      <c r="C319" s="8">
        <v>11</v>
      </c>
      <c r="D319" s="8"/>
      <c r="E319" s="9"/>
      <c r="F319" s="9">
        <v>1</v>
      </c>
      <c r="G319" s="10"/>
      <c r="H319" s="10"/>
      <c r="I319" s="11">
        <v>1</v>
      </c>
      <c r="J319" s="11"/>
      <c r="K319" s="10"/>
      <c r="L319" s="10"/>
      <c r="M319" s="11">
        <v>1</v>
      </c>
      <c r="N319" s="106">
        <f t="shared" si="11"/>
        <v>14</v>
      </c>
      <c r="O319" s="107"/>
      <c r="P319" s="95"/>
      <c r="Q319" s="65" t="s">
        <v>1788</v>
      </c>
      <c r="R319" s="18">
        <v>12000</v>
      </c>
      <c r="S319" s="12">
        <v>12480</v>
      </c>
      <c r="T319" s="12">
        <v>12960</v>
      </c>
      <c r="U319" s="167"/>
      <c r="V319" s="168"/>
      <c r="W319" s="13">
        <v>250</v>
      </c>
    </row>
    <row r="320" spans="1:23">
      <c r="A320" s="20" t="s">
        <v>305</v>
      </c>
      <c r="B320" s="44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10"/>
      <c r="H320" s="10"/>
      <c r="I320" s="11">
        <v>1</v>
      </c>
      <c r="J320" s="11">
        <v>1</v>
      </c>
      <c r="K320" s="10"/>
      <c r="L320" s="10"/>
      <c r="M320" s="11"/>
      <c r="N320" s="106">
        <f t="shared" si="11"/>
        <v>15</v>
      </c>
      <c r="O320" s="107">
        <v>1</v>
      </c>
      <c r="P320" s="95"/>
      <c r="Q320" s="45">
        <v>19824.710321531657</v>
      </c>
      <c r="R320" s="169">
        <v>19229.969011885707</v>
      </c>
      <c r="S320" s="12">
        <v>19999.167772361136</v>
      </c>
      <c r="T320" s="12">
        <v>20768.366532836564</v>
      </c>
      <c r="U320" s="167"/>
      <c r="V320" s="168"/>
      <c r="W320" s="16"/>
    </row>
    <row r="321" spans="1:23">
      <c r="A321" s="20" t="s">
        <v>306</v>
      </c>
      <c r="B321" s="44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06">
        <f t="shared" si="11"/>
        <v>0</v>
      </c>
      <c r="O321" s="107">
        <v>31</v>
      </c>
      <c r="P321" s="95"/>
      <c r="Q321" s="45">
        <v>15851.282820596934</v>
      </c>
      <c r="R321" s="169">
        <v>15375.744335979027</v>
      </c>
      <c r="S321" s="12">
        <v>15990.774109418187</v>
      </c>
      <c r="T321" s="12">
        <v>16605.803882857348</v>
      </c>
      <c r="U321" s="167"/>
      <c r="V321" s="168"/>
      <c r="W321" s="16"/>
    </row>
    <row r="322" spans="1:23">
      <c r="A322" s="20" t="s">
        <v>307</v>
      </c>
      <c r="B322" s="44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10"/>
      <c r="H322" s="10"/>
      <c r="I322" s="11"/>
      <c r="J322" s="11"/>
      <c r="K322" s="10"/>
      <c r="L322" s="10">
        <v>1</v>
      </c>
      <c r="M322" s="11"/>
      <c r="N322" s="106">
        <f t="shared" si="11"/>
        <v>1</v>
      </c>
      <c r="O322" s="107"/>
      <c r="P322" s="95"/>
      <c r="Q322" s="65" t="s">
        <v>1788</v>
      </c>
      <c r="R322" s="18">
        <v>12000</v>
      </c>
      <c r="S322" s="12">
        <v>12480</v>
      </c>
      <c r="T322" s="12">
        <v>12960</v>
      </c>
      <c r="U322" s="167"/>
      <c r="V322" s="168"/>
      <c r="W322" s="183">
        <v>500</v>
      </c>
    </row>
    <row r="323" spans="1:23">
      <c r="A323" s="130" t="s">
        <v>308</v>
      </c>
      <c r="B323" s="44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89">
        <v>5</v>
      </c>
      <c r="M323" s="11"/>
      <c r="N323" s="106">
        <f t="shared" si="11"/>
        <v>6</v>
      </c>
      <c r="O323" s="107"/>
      <c r="P323" s="95"/>
      <c r="Q323" s="65" t="s">
        <v>1788</v>
      </c>
      <c r="R323" s="18">
        <v>12000</v>
      </c>
      <c r="S323" s="12">
        <v>12480</v>
      </c>
      <c r="T323" s="12">
        <v>12960</v>
      </c>
      <c r="U323" s="167"/>
      <c r="V323" s="168"/>
      <c r="W323" s="183">
        <v>500</v>
      </c>
    </row>
    <row r="324" spans="1:23">
      <c r="A324" s="20" t="s">
        <v>309</v>
      </c>
      <c r="B324" s="44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06">
        <f t="shared" si="11"/>
        <v>1</v>
      </c>
      <c r="O324" s="107"/>
      <c r="P324" s="95"/>
      <c r="Q324" s="65" t="s">
        <v>1788</v>
      </c>
      <c r="R324" s="18">
        <v>15000</v>
      </c>
      <c r="S324" s="12">
        <v>15600</v>
      </c>
      <c r="T324" s="12">
        <v>16200</v>
      </c>
      <c r="U324" s="167"/>
      <c r="V324" s="168"/>
      <c r="W324" s="183">
        <v>500</v>
      </c>
    </row>
    <row r="325" spans="1:23">
      <c r="A325" s="20" t="s">
        <v>310</v>
      </c>
      <c r="B325" s="44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06">
        <f t="shared" si="11"/>
        <v>15</v>
      </c>
      <c r="O325" s="107"/>
      <c r="P325" s="95"/>
      <c r="Q325" s="45">
        <v>19824.710321531657</v>
      </c>
      <c r="R325" s="158">
        <v>18436.980599024442</v>
      </c>
      <c r="S325" s="12">
        <v>19174.45982298542</v>
      </c>
      <c r="T325" s="12">
        <v>19911.939046946398</v>
      </c>
      <c r="U325" s="167"/>
      <c r="V325" s="168"/>
      <c r="W325" s="16"/>
    </row>
    <row r="326" spans="1:23">
      <c r="A326" s="20" t="s">
        <v>311</v>
      </c>
      <c r="B326" s="44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10"/>
      <c r="H326" s="10"/>
      <c r="I326" s="11"/>
      <c r="J326" s="11">
        <v>2</v>
      </c>
      <c r="K326" s="10"/>
      <c r="L326" s="10">
        <v>3</v>
      </c>
      <c r="M326" s="11"/>
      <c r="N326" s="106">
        <f t="shared" si="11"/>
        <v>5</v>
      </c>
      <c r="O326" s="107"/>
      <c r="P326" s="95"/>
      <c r="Q326" s="65" t="s">
        <v>1788</v>
      </c>
      <c r="R326" s="18">
        <v>13000</v>
      </c>
      <c r="S326" s="12">
        <v>13520</v>
      </c>
      <c r="T326" s="12">
        <v>14040</v>
      </c>
      <c r="U326" s="167"/>
      <c r="V326" s="168"/>
      <c r="W326" s="183">
        <v>500</v>
      </c>
    </row>
    <row r="327" spans="1:23">
      <c r="A327" s="20" t="s">
        <v>312</v>
      </c>
      <c r="B327" s="44" t="str">
        <f>IFERROR(HYPERLINK(VLOOKUP(A327,ÜRÜNLER!A:C,3,FALSE),VLOOKUP(A327,ÜRÜNLER!A:B,2,FALSE)),"")</f>
        <v>iQ300 Gazlı Ocak, 67cm, Sert Cam, Siyah</v>
      </c>
      <c r="C327" s="8">
        <v>8</v>
      </c>
      <c r="D327" s="8"/>
      <c r="E327" s="9"/>
      <c r="F327" s="9"/>
      <c r="G327" s="10"/>
      <c r="H327" s="10"/>
      <c r="I327" s="11">
        <v>1</v>
      </c>
      <c r="J327" s="11"/>
      <c r="K327" s="10"/>
      <c r="L327" s="10">
        <v>1</v>
      </c>
      <c r="M327" s="11">
        <v>1</v>
      </c>
      <c r="N327" s="106">
        <f t="shared" si="11"/>
        <v>11</v>
      </c>
      <c r="O327" s="107">
        <v>11</v>
      </c>
      <c r="P327" s="95"/>
      <c r="Q327" s="45">
        <v>15851.282820596934</v>
      </c>
      <c r="R327" s="169">
        <v>15375.744335979027</v>
      </c>
      <c r="S327" s="12">
        <v>15990.774109418187</v>
      </c>
      <c r="T327" s="12">
        <v>16605.803882857348</v>
      </c>
      <c r="U327" s="167"/>
      <c r="V327" s="168"/>
      <c r="W327" s="16"/>
    </row>
    <row r="328" spans="1:23">
      <c r="A328" s="123" t="s">
        <v>313</v>
      </c>
      <c r="B328" s="44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06">
        <f t="shared" si="11"/>
        <v>12</v>
      </c>
      <c r="O328" s="107">
        <v>10</v>
      </c>
      <c r="P328" s="95"/>
      <c r="Q328" s="45">
        <v>19824.710321531657</v>
      </c>
      <c r="R328" s="169">
        <v>19229.969011885707</v>
      </c>
      <c r="S328" s="12">
        <v>19999.167772361136</v>
      </c>
      <c r="T328" s="12">
        <v>20768.366532836564</v>
      </c>
      <c r="U328" s="167"/>
      <c r="V328" s="168"/>
      <c r="W328" s="16"/>
    </row>
    <row r="329" spans="1:23">
      <c r="A329" s="123" t="s">
        <v>314</v>
      </c>
      <c r="B329" s="44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10"/>
      <c r="H329" s="10"/>
      <c r="I329" s="11"/>
      <c r="J329" s="11"/>
      <c r="K329" s="10"/>
      <c r="L329" s="10">
        <v>2</v>
      </c>
      <c r="M329" s="11"/>
      <c r="N329" s="106">
        <f t="shared" si="11"/>
        <v>10</v>
      </c>
      <c r="O329" s="107"/>
      <c r="P329" s="95"/>
      <c r="Q329" s="65" t="s">
        <v>1788</v>
      </c>
      <c r="R329" s="18">
        <v>12500</v>
      </c>
      <c r="S329" s="12">
        <v>13000</v>
      </c>
      <c r="T329" s="12">
        <v>13500</v>
      </c>
      <c r="U329" s="167"/>
      <c r="V329" s="168"/>
      <c r="W329" s="13"/>
    </row>
    <row r="330" spans="1:23">
      <c r="A330" s="123" t="s">
        <v>315</v>
      </c>
      <c r="B330" s="44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10"/>
      <c r="H330" s="10"/>
      <c r="I330" s="11">
        <v>1</v>
      </c>
      <c r="J330" s="11"/>
      <c r="K330" s="10"/>
      <c r="L330" s="10"/>
      <c r="M330" s="11"/>
      <c r="N330" s="106">
        <f t="shared" si="11"/>
        <v>2</v>
      </c>
      <c r="O330" s="107">
        <v>26</v>
      </c>
      <c r="P330" s="95"/>
      <c r="Q330" s="45">
        <v>15851.282820596934</v>
      </c>
      <c r="R330" s="169">
        <v>15375.744335979027</v>
      </c>
      <c r="S330" s="12">
        <v>15990.774109418187</v>
      </c>
      <c r="T330" s="12">
        <v>16605.803882857348</v>
      </c>
      <c r="U330" s="167"/>
      <c r="V330" s="168"/>
      <c r="W330" s="16"/>
    </row>
    <row r="331" spans="1:23">
      <c r="A331" s="123" t="s">
        <v>316</v>
      </c>
      <c r="B331" s="44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10"/>
      <c r="H331" s="10"/>
      <c r="I331" s="11"/>
      <c r="J331" s="11"/>
      <c r="K331" s="10"/>
      <c r="L331" s="10">
        <v>1</v>
      </c>
      <c r="M331" s="11">
        <v>1</v>
      </c>
      <c r="N331" s="106">
        <f t="shared" si="11"/>
        <v>2</v>
      </c>
      <c r="O331" s="107"/>
      <c r="P331" s="95"/>
      <c r="Q331" s="65" t="s">
        <v>1788</v>
      </c>
      <c r="R331" s="18">
        <v>15000</v>
      </c>
      <c r="S331" s="12">
        <v>15600</v>
      </c>
      <c r="T331" s="12">
        <v>16200</v>
      </c>
      <c r="U331" s="167"/>
      <c r="V331" s="168"/>
      <c r="W331" s="16"/>
    </row>
    <row r="332" spans="1:23">
      <c r="A332" s="121" t="s">
        <v>317</v>
      </c>
      <c r="B332" s="44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06">
        <f t="shared" si="11"/>
        <v>3</v>
      </c>
      <c r="O332" s="107"/>
      <c r="P332" s="95"/>
      <c r="Q332" s="45">
        <v>40395.512974238918</v>
      </c>
      <c r="R332" s="169">
        <v>39183.647585011749</v>
      </c>
      <c r="S332" s="12">
        <v>40750.993488412219</v>
      </c>
      <c r="T332" s="12">
        <v>42318.339391812689</v>
      </c>
      <c r="U332" s="167"/>
      <c r="V332" s="168"/>
      <c r="W332" s="16"/>
    </row>
    <row r="333" spans="1:23">
      <c r="A333" s="121" t="s">
        <v>318</v>
      </c>
      <c r="B333" s="44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10"/>
      <c r="H333" s="10"/>
      <c r="I333" s="11">
        <v>1</v>
      </c>
      <c r="J333" s="11"/>
      <c r="K333" s="10"/>
      <c r="L333" s="10"/>
      <c r="M333" s="11">
        <v>1</v>
      </c>
      <c r="N333" s="106">
        <f t="shared" si="11"/>
        <v>5</v>
      </c>
      <c r="O333" s="107"/>
      <c r="P333" s="95"/>
      <c r="Q333" s="45">
        <v>38552.992463289222</v>
      </c>
      <c r="R333" s="169">
        <v>37396.402689390547</v>
      </c>
      <c r="S333" s="12">
        <v>38892.258796966169</v>
      </c>
      <c r="T333" s="12">
        <v>40388.114904541791</v>
      </c>
      <c r="U333" s="167"/>
      <c r="V333" s="168"/>
      <c r="W333" s="16"/>
    </row>
    <row r="334" spans="1:23">
      <c r="A334" s="114" t="s">
        <v>319</v>
      </c>
      <c r="B334" s="44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10"/>
      <c r="H334" s="10"/>
      <c r="I334" s="11"/>
      <c r="J334" s="11">
        <v>1</v>
      </c>
      <c r="K334" s="10">
        <v>1</v>
      </c>
      <c r="L334" s="10">
        <v>2</v>
      </c>
      <c r="M334" s="11"/>
      <c r="N334" s="106">
        <f t="shared" si="11"/>
        <v>8</v>
      </c>
      <c r="O334" s="107"/>
      <c r="P334" s="95"/>
      <c r="Q334" s="65" t="s">
        <v>1788</v>
      </c>
      <c r="R334" s="18">
        <v>28000</v>
      </c>
      <c r="S334" s="12">
        <v>29120</v>
      </c>
      <c r="T334" s="12">
        <v>30240</v>
      </c>
      <c r="U334" s="167"/>
      <c r="V334" s="168"/>
      <c r="W334" s="13">
        <v>250</v>
      </c>
    </row>
    <row r="335" spans="1:23">
      <c r="A335" s="114" t="s">
        <v>320</v>
      </c>
      <c r="B335" s="44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10"/>
      <c r="H335" s="10"/>
      <c r="I335" s="11"/>
      <c r="J335" s="11"/>
      <c r="K335" s="10"/>
      <c r="L335" s="10">
        <v>2</v>
      </c>
      <c r="M335" s="11"/>
      <c r="N335" s="106">
        <f t="shared" si="11"/>
        <v>4</v>
      </c>
      <c r="O335" s="107"/>
      <c r="P335" s="95"/>
      <c r="Q335" s="65" t="s">
        <v>1788</v>
      </c>
      <c r="R335" s="18">
        <v>28000</v>
      </c>
      <c r="S335" s="12">
        <v>29120</v>
      </c>
      <c r="T335" s="12">
        <v>30240</v>
      </c>
      <c r="U335" s="167"/>
      <c r="V335" s="168"/>
      <c r="W335" s="182">
        <v>1000</v>
      </c>
    </row>
    <row r="336" spans="1:23">
      <c r="A336" s="114" t="s">
        <v>321</v>
      </c>
      <c r="B336" s="44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10"/>
      <c r="H336" s="10"/>
      <c r="I336" s="11"/>
      <c r="J336" s="11"/>
      <c r="K336" s="10"/>
      <c r="L336" s="10">
        <v>1</v>
      </c>
      <c r="M336" s="11"/>
      <c r="N336" s="106">
        <f t="shared" si="11"/>
        <v>4</v>
      </c>
      <c r="O336" s="107"/>
      <c r="P336" s="95"/>
      <c r="Q336" s="65" t="s">
        <v>1788</v>
      </c>
      <c r="R336" s="18">
        <v>28000</v>
      </c>
      <c r="S336" s="12">
        <v>29120</v>
      </c>
      <c r="T336" s="12">
        <v>30240</v>
      </c>
      <c r="U336" s="167"/>
      <c r="V336" s="168"/>
      <c r="W336" s="13">
        <v>250</v>
      </c>
    </row>
    <row r="337" spans="1:23">
      <c r="A337" s="123" t="s">
        <v>323</v>
      </c>
      <c r="B337" s="44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>
        <v>1</v>
      </c>
      <c r="M337" s="11"/>
      <c r="N337" s="106">
        <f t="shared" si="11"/>
        <v>2</v>
      </c>
      <c r="O337" s="107"/>
      <c r="P337" s="95"/>
      <c r="Q337" s="65" t="s">
        <v>1788</v>
      </c>
      <c r="R337" s="18">
        <v>28000</v>
      </c>
      <c r="S337" s="12">
        <v>29120</v>
      </c>
      <c r="T337" s="12">
        <v>30240</v>
      </c>
      <c r="U337" s="167"/>
      <c r="V337" s="168"/>
      <c r="W337" s="182">
        <v>1000</v>
      </c>
    </row>
    <row r="338" spans="1:23">
      <c r="A338" s="114" t="s">
        <v>324</v>
      </c>
      <c r="B338" s="44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06">
        <f t="shared" si="11"/>
        <v>6</v>
      </c>
      <c r="O338" s="107">
        <v>1</v>
      </c>
      <c r="P338" s="95"/>
      <c r="Q338" s="45">
        <v>21396.457539553983</v>
      </c>
      <c r="R338" s="158">
        <v>19898.705511785203</v>
      </c>
      <c r="S338" s="12">
        <v>20694.653732256611</v>
      </c>
      <c r="T338" s="12">
        <v>21490.601952728019</v>
      </c>
      <c r="U338" s="167"/>
      <c r="V338" s="168"/>
      <c r="W338" s="16"/>
    </row>
    <row r="339" spans="1:23">
      <c r="A339" s="114" t="s">
        <v>325</v>
      </c>
      <c r="B339" s="44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06">
        <f t="shared" si="11"/>
        <v>1</v>
      </c>
      <c r="O339" s="107"/>
      <c r="P339" s="95"/>
      <c r="Q339" s="65" t="s">
        <v>1788</v>
      </c>
      <c r="R339" s="18">
        <v>15000</v>
      </c>
      <c r="S339" s="12">
        <v>15600</v>
      </c>
      <c r="T339" s="12">
        <v>16200</v>
      </c>
      <c r="U339" s="167"/>
      <c r="V339" s="168"/>
      <c r="W339" s="183">
        <v>500</v>
      </c>
    </row>
    <row r="340" spans="1:23">
      <c r="A340" s="114" t="s">
        <v>326</v>
      </c>
      <c r="B340" s="44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10"/>
      <c r="H340" s="10"/>
      <c r="I340" s="11"/>
      <c r="J340" s="11">
        <v>1</v>
      </c>
      <c r="K340" s="10"/>
      <c r="L340" s="10"/>
      <c r="M340" s="11"/>
      <c r="N340" s="106">
        <f t="shared" si="11"/>
        <v>1</v>
      </c>
      <c r="O340" s="107"/>
      <c r="P340" s="95"/>
      <c r="Q340" s="65" t="s">
        <v>1788</v>
      </c>
      <c r="R340" s="18">
        <v>25000</v>
      </c>
      <c r="S340" s="12">
        <v>26000</v>
      </c>
      <c r="T340" s="12">
        <v>27000</v>
      </c>
      <c r="U340" s="167"/>
      <c r="V340" s="168"/>
      <c r="W340" s="183">
        <v>500</v>
      </c>
    </row>
    <row r="341" spans="1:23">
      <c r="A341" s="20" t="s">
        <v>327</v>
      </c>
      <c r="B341" s="44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>
        <v>1</v>
      </c>
      <c r="N341" s="106">
        <f t="shared" si="11"/>
        <v>6</v>
      </c>
      <c r="O341" s="107">
        <v>5</v>
      </c>
      <c r="P341" s="95"/>
      <c r="Q341" s="45">
        <v>26326.54065408629</v>
      </c>
      <c r="R341" s="169">
        <v>25536.744434463701</v>
      </c>
      <c r="S341" s="12">
        <v>26558.214211842249</v>
      </c>
      <c r="T341" s="12">
        <v>27579.683989220797</v>
      </c>
      <c r="U341" s="167"/>
      <c r="V341" s="168"/>
      <c r="W341" s="16"/>
    </row>
    <row r="342" spans="1:23">
      <c r="A342" s="114" t="s">
        <v>328</v>
      </c>
      <c r="B342" s="44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10"/>
      <c r="H342" s="10"/>
      <c r="I342" s="11"/>
      <c r="J342" s="11"/>
      <c r="K342" s="10"/>
      <c r="L342" s="10">
        <v>1</v>
      </c>
      <c r="M342" s="11"/>
      <c r="N342" s="106">
        <f t="shared" si="11"/>
        <v>1</v>
      </c>
      <c r="O342" s="107"/>
      <c r="P342" s="95"/>
      <c r="Q342" s="65" t="s">
        <v>1788</v>
      </c>
      <c r="R342" s="18">
        <v>25000</v>
      </c>
      <c r="S342" s="12">
        <v>26000</v>
      </c>
      <c r="T342" s="12">
        <v>27000</v>
      </c>
      <c r="U342" s="167"/>
      <c r="V342" s="168"/>
      <c r="W342" s="183">
        <v>500</v>
      </c>
    </row>
    <row r="343" spans="1:23">
      <c r="A343" s="121" t="s">
        <v>329</v>
      </c>
      <c r="B343" s="44" t="str">
        <f>IFERROR(HYPERLINK(VLOOKUP(A343,ÜRÜNLER!A:C,3,FALSE),VLOOKUP(A343,ÜRÜNLER!A:B,2,FALSE)),"")</f>
        <v>iQ300 Gazlı Ocak, 75cm, 5 Gözlü, Sert Cam, Siyah, Wok</v>
      </c>
      <c r="C343" s="8">
        <v>3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3</v>
      </c>
      <c r="O343" s="107">
        <v>5</v>
      </c>
      <c r="P343" s="95"/>
      <c r="Q343" s="45">
        <v>26326.54065408629</v>
      </c>
      <c r="R343" s="169">
        <v>25536.744434463701</v>
      </c>
      <c r="S343" s="12">
        <v>26558.214211842249</v>
      </c>
      <c r="T343" s="12">
        <v>27579.683989220797</v>
      </c>
      <c r="U343" s="167"/>
      <c r="V343" s="168"/>
      <c r="W343" s="16"/>
    </row>
    <row r="344" spans="1:23">
      <c r="A344" s="123" t="s">
        <v>330</v>
      </c>
      <c r="B344" s="44" t="str">
        <f>IFERROR(HYPERLINK(VLOOKUP(A344,ÜRÜNLER!A:C,3,FALSE),VLOOKUP(A344,ÜRÜNLER!A:B,2,FALSE)),"")</f>
        <v>iQ300 Gazlı Ocak, 75cm, 5 Gözlü, Sert Cam, Titanyum Gri, Wok</v>
      </c>
      <c r="C344" s="8">
        <v>2</v>
      </c>
      <c r="D344" s="8"/>
      <c r="E344" s="9"/>
      <c r="F344" s="9">
        <v>1</v>
      </c>
      <c r="G344" s="10"/>
      <c r="H344" s="10"/>
      <c r="I344" s="11">
        <v>2</v>
      </c>
      <c r="J344" s="11"/>
      <c r="K344" s="10"/>
      <c r="L344" s="10">
        <v>1</v>
      </c>
      <c r="M344" s="11"/>
      <c r="N344" s="106">
        <f t="shared" si="11"/>
        <v>6</v>
      </c>
      <c r="O344" s="107"/>
      <c r="P344" s="95"/>
      <c r="Q344" s="65" t="s">
        <v>1788</v>
      </c>
      <c r="R344" s="18">
        <v>20000</v>
      </c>
      <c r="S344" s="12">
        <v>20800</v>
      </c>
      <c r="T344" s="12">
        <v>21600</v>
      </c>
      <c r="U344" s="167"/>
      <c r="V344" s="168"/>
      <c r="W344" s="13">
        <v>250</v>
      </c>
    </row>
    <row r="345" spans="1:23">
      <c r="A345" s="123" t="s">
        <v>466</v>
      </c>
      <c r="B345" s="44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06">
        <f t="shared" si="11"/>
        <v>6</v>
      </c>
      <c r="O345" s="107"/>
      <c r="P345" s="95"/>
      <c r="Q345" s="45">
        <v>26326.54065408629</v>
      </c>
      <c r="R345" s="17">
        <v>25010.213621381976</v>
      </c>
      <c r="S345" s="12">
        <v>26010.622166237255</v>
      </c>
      <c r="T345" s="12">
        <v>27011.030711092535</v>
      </c>
      <c r="U345" s="167"/>
      <c r="V345" s="168"/>
      <c r="W345" s="16"/>
    </row>
    <row r="346" spans="1:23">
      <c r="A346" s="114" t="s">
        <v>1324</v>
      </c>
      <c r="B346" s="44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06">
        <f t="shared" si="11"/>
        <v>7</v>
      </c>
      <c r="O346" s="107"/>
      <c r="P346" s="95"/>
      <c r="Q346" s="45">
        <v>52022.050628775905</v>
      </c>
      <c r="R346" s="17">
        <v>49420.94809733711</v>
      </c>
      <c r="S346" s="12">
        <v>51397.786021230597</v>
      </c>
      <c r="T346" s="12">
        <v>53374.623945124076</v>
      </c>
      <c r="U346" s="167"/>
      <c r="V346" s="168"/>
      <c r="W346" s="13">
        <v>250</v>
      </c>
    </row>
    <row r="347" spans="1:23">
      <c r="A347" s="114" t="s">
        <v>331</v>
      </c>
      <c r="B347" s="44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10"/>
      <c r="H347" s="10"/>
      <c r="I347" s="11">
        <v>2</v>
      </c>
      <c r="J347" s="11">
        <v>1</v>
      </c>
      <c r="K347" s="10"/>
      <c r="L347" s="10">
        <v>2</v>
      </c>
      <c r="M347" s="11">
        <v>1</v>
      </c>
      <c r="N347" s="106">
        <f t="shared" si="11"/>
        <v>7</v>
      </c>
      <c r="O347" s="107"/>
      <c r="P347" s="95"/>
      <c r="Q347" s="65" t="s">
        <v>1788</v>
      </c>
      <c r="R347" s="18">
        <v>42000</v>
      </c>
      <c r="S347" s="12">
        <v>43680</v>
      </c>
      <c r="T347" s="12">
        <v>45360</v>
      </c>
      <c r="U347" s="167"/>
      <c r="V347" s="168"/>
      <c r="W347" s="182">
        <v>1000</v>
      </c>
    </row>
    <row r="348" spans="1:23">
      <c r="A348" s="114" t="s">
        <v>332</v>
      </c>
      <c r="B348" s="44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10"/>
      <c r="H348" s="10"/>
      <c r="I348" s="11">
        <v>1</v>
      </c>
      <c r="J348" s="11">
        <v>1</v>
      </c>
      <c r="K348" s="10"/>
      <c r="L348" s="10">
        <v>2</v>
      </c>
      <c r="M348" s="11"/>
      <c r="N348" s="106">
        <f t="shared" si="11"/>
        <v>4</v>
      </c>
      <c r="O348" s="107"/>
      <c r="P348" s="95"/>
      <c r="Q348" s="65" t="s">
        <v>1788</v>
      </c>
      <c r="R348" s="18">
        <v>42000</v>
      </c>
      <c r="S348" s="12">
        <v>43680</v>
      </c>
      <c r="T348" s="12">
        <v>45360</v>
      </c>
      <c r="U348" s="167"/>
      <c r="V348" s="168"/>
      <c r="W348" s="182">
        <v>1000</v>
      </c>
    </row>
    <row r="349" spans="1:23">
      <c r="A349" s="20" t="s">
        <v>333</v>
      </c>
      <c r="B349" s="44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/>
      <c r="M349" s="11"/>
      <c r="N349" s="106">
        <f t="shared" si="11"/>
        <v>1</v>
      </c>
      <c r="O349" s="107"/>
      <c r="P349" s="95"/>
      <c r="Q349" s="65" t="s">
        <v>1788</v>
      </c>
      <c r="R349" s="18">
        <v>42000</v>
      </c>
      <c r="S349" s="12">
        <v>43680</v>
      </c>
      <c r="T349" s="12">
        <v>45360</v>
      </c>
      <c r="U349" s="167"/>
      <c r="V349" s="168"/>
      <c r="W349" s="182">
        <v>1000</v>
      </c>
    </row>
    <row r="350" spans="1:23">
      <c r="A350" s="20" t="s">
        <v>334</v>
      </c>
      <c r="B350" s="44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06">
        <f t="shared" si="11"/>
        <v>1</v>
      </c>
      <c r="O350" s="107"/>
      <c r="P350" s="95"/>
      <c r="Q350" s="45">
        <v>47287.583669084859</v>
      </c>
      <c r="R350" s="169">
        <v>45868.956159012312</v>
      </c>
      <c r="S350" s="12">
        <v>47703.714405372804</v>
      </c>
      <c r="T350" s="12">
        <v>49538.472651733297</v>
      </c>
      <c r="U350" s="167"/>
      <c r="V350" s="168"/>
      <c r="W350" s="16"/>
    </row>
    <row r="351" spans="1:23">
      <c r="A351" s="114" t="s">
        <v>335</v>
      </c>
      <c r="B351" s="44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10"/>
      <c r="H351" s="10"/>
      <c r="I351" s="11">
        <v>1</v>
      </c>
      <c r="J351" s="11"/>
      <c r="K351" s="10"/>
      <c r="L351" s="10"/>
      <c r="M351" s="11"/>
      <c r="N351" s="106">
        <f t="shared" si="11"/>
        <v>1</v>
      </c>
      <c r="O351" s="107"/>
      <c r="P351" s="95"/>
      <c r="Q351" s="65" t="s">
        <v>1788</v>
      </c>
      <c r="R351" s="18">
        <v>40000</v>
      </c>
      <c r="S351" s="12">
        <v>41600</v>
      </c>
      <c r="T351" s="12">
        <v>43200</v>
      </c>
      <c r="U351" s="167"/>
      <c r="V351" s="168"/>
      <c r="W351" s="182">
        <v>1000</v>
      </c>
    </row>
    <row r="352" spans="1:23">
      <c r="A352" s="131" t="s">
        <v>336</v>
      </c>
      <c r="B352" s="44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0">
        <v>1</v>
      </c>
      <c r="M352" s="11"/>
      <c r="N352" s="106">
        <f t="shared" si="11"/>
        <v>1</v>
      </c>
      <c r="O352" s="107"/>
      <c r="P352" s="95"/>
      <c r="Q352" s="65" t="s">
        <v>1788</v>
      </c>
      <c r="R352" s="18">
        <v>45000</v>
      </c>
      <c r="S352" s="12">
        <v>46800</v>
      </c>
      <c r="T352" s="12">
        <v>48600</v>
      </c>
      <c r="U352" s="167"/>
      <c r="V352" s="168"/>
      <c r="W352" s="182">
        <v>1000</v>
      </c>
    </row>
    <row r="353" spans="1:23">
      <c r="A353" s="132" t="s">
        <v>337</v>
      </c>
      <c r="B353" s="44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10"/>
      <c r="H353" s="10"/>
      <c r="I353" s="11"/>
      <c r="J353" s="11">
        <v>1</v>
      </c>
      <c r="K353" s="10"/>
      <c r="L353" s="10"/>
      <c r="M353" s="11"/>
      <c r="N353" s="106">
        <f t="shared" si="11"/>
        <v>3</v>
      </c>
      <c r="O353" s="107">
        <v>1</v>
      </c>
      <c r="P353" s="95"/>
      <c r="Q353" s="45">
        <v>64896.371160981398</v>
      </c>
      <c r="R353" s="169">
        <v>62949.480026151956</v>
      </c>
      <c r="S353" s="12">
        <v>65467.459227198036</v>
      </c>
      <c r="T353" s="12">
        <v>67985.438428244117</v>
      </c>
      <c r="U353" s="167"/>
      <c r="V353" s="168"/>
      <c r="W353" s="13">
        <v>250</v>
      </c>
    </row>
    <row r="354" spans="1:23">
      <c r="A354" s="20" t="s">
        <v>339</v>
      </c>
      <c r="B354" s="44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10"/>
      <c r="H354" s="10"/>
      <c r="I354" s="11"/>
      <c r="J354" s="11"/>
      <c r="K354" s="10">
        <v>1</v>
      </c>
      <c r="L354" s="10"/>
      <c r="M354" s="11"/>
      <c r="N354" s="106">
        <f t="shared" si="11"/>
        <v>1</v>
      </c>
      <c r="O354" s="107">
        <v>1</v>
      </c>
      <c r="P354" s="95"/>
      <c r="Q354" s="45">
        <v>52022.050628775905</v>
      </c>
      <c r="R354" s="169">
        <v>50461.389109912627</v>
      </c>
      <c r="S354" s="12">
        <v>52479.844674309134</v>
      </c>
      <c r="T354" s="12">
        <v>54498.300238705633</v>
      </c>
      <c r="U354" s="167"/>
      <c r="V354" s="168"/>
      <c r="W354" s="16"/>
    </row>
    <row r="355" spans="1:23">
      <c r="A355" s="131" t="s">
        <v>1320</v>
      </c>
      <c r="B355" s="44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06">
        <f t="shared" si="11"/>
        <v>0</v>
      </c>
      <c r="O355" s="107">
        <v>2</v>
      </c>
      <c r="P355" s="95"/>
      <c r="Q355" s="150">
        <v>91978.171303200026</v>
      </c>
      <c r="R355" s="150">
        <v>82780.354172880019</v>
      </c>
      <c r="S355" s="12">
        <v>86091.568339795223</v>
      </c>
      <c r="T355" s="12">
        <v>89402.782506710413</v>
      </c>
      <c r="U355" s="167"/>
      <c r="V355" s="168"/>
      <c r="W355" s="16"/>
    </row>
    <row r="356" spans="1:23">
      <c r="A356" s="131" t="s">
        <v>341</v>
      </c>
      <c r="B356" s="44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10"/>
      <c r="H356" s="10"/>
      <c r="I356" s="11">
        <v>1</v>
      </c>
      <c r="J356" s="11"/>
      <c r="K356" s="10"/>
      <c r="L356" s="10">
        <v>3</v>
      </c>
      <c r="M356" s="11"/>
      <c r="N356" s="106">
        <f t="shared" ref="N356:N359" si="12">M356+K356+L356+J356+I356+H356+G356+F356+E356+D356+C356</f>
        <v>4</v>
      </c>
      <c r="O356" s="107"/>
      <c r="P356" s="95"/>
      <c r="Q356" s="65" t="s">
        <v>1788</v>
      </c>
      <c r="R356" s="18">
        <v>40000</v>
      </c>
      <c r="S356" s="12">
        <v>41600</v>
      </c>
      <c r="T356" s="12">
        <v>43200</v>
      </c>
      <c r="U356" s="167"/>
      <c r="V356" s="168"/>
      <c r="W356" s="182">
        <v>1000</v>
      </c>
    </row>
    <row r="357" spans="1:23">
      <c r="A357" s="20" t="s">
        <v>342</v>
      </c>
      <c r="B357" s="44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06">
        <f t="shared" si="12"/>
        <v>2</v>
      </c>
      <c r="O357" s="107"/>
      <c r="P357" s="95"/>
      <c r="Q357" s="65" t="s">
        <v>1788</v>
      </c>
      <c r="R357" s="18">
        <v>100000</v>
      </c>
      <c r="S357" s="12">
        <v>104000</v>
      </c>
      <c r="T357" s="12">
        <v>108000</v>
      </c>
      <c r="U357" s="167"/>
      <c r="V357" s="168"/>
      <c r="W357" s="13">
        <v>250</v>
      </c>
    </row>
    <row r="358" spans="1:23">
      <c r="A358" s="20" t="s">
        <v>340</v>
      </c>
      <c r="B358" s="44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06">
        <f t="shared" si="12"/>
        <v>1</v>
      </c>
      <c r="O358" s="107"/>
      <c r="P358" s="95"/>
      <c r="Q358" s="65" t="s">
        <v>1788</v>
      </c>
      <c r="R358" s="18">
        <v>35000</v>
      </c>
      <c r="S358" s="12">
        <v>36400</v>
      </c>
      <c r="T358" s="12">
        <v>37800</v>
      </c>
      <c r="U358" s="167"/>
      <c r="V358" s="168"/>
      <c r="W358" s="182">
        <v>1000</v>
      </c>
    </row>
    <row r="359" spans="1:23">
      <c r="A359" s="20" t="s">
        <v>338</v>
      </c>
      <c r="B359" s="44" t="str">
        <f>IFERROR(HYPERLINK(VLOOKUP(A359,ÜRÜNLER!A:C,3,FALSE),VLOOKUP(A359,ÜRÜNLER!A:B,2,FALSE)),"")</f>
        <v>iQ700 Gazlı Domino Ocak, 30cm, Tek Gözlü, Seramik, Siyah,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 t="shared" si="12"/>
        <v>2</v>
      </c>
      <c r="O359" s="107"/>
      <c r="P359" s="95"/>
      <c r="Q359" s="65" t="s">
        <v>1788</v>
      </c>
      <c r="R359" s="174">
        <v>30000</v>
      </c>
      <c r="S359" s="12">
        <v>31200</v>
      </c>
      <c r="T359" s="12">
        <v>32400</v>
      </c>
      <c r="U359" s="167"/>
      <c r="V359" s="168"/>
      <c r="W359" s="13">
        <v>250</v>
      </c>
    </row>
    <row r="360" spans="1:23" ht="34.5" customHeight="1">
      <c r="A360" s="49" t="s">
        <v>343</v>
      </c>
      <c r="B360" s="44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6">
        <f>SUM(N298:N359)</f>
        <v>278</v>
      </c>
      <c r="O360" s="107"/>
      <c r="P360" s="9"/>
      <c r="Q360" s="65"/>
      <c r="R360" s="18"/>
      <c r="S360" s="12"/>
      <c r="T360" s="12"/>
      <c r="U360" s="167"/>
      <c r="V360" s="168"/>
      <c r="W360" s="16"/>
    </row>
    <row r="361" spans="1:23">
      <c r="A361" s="114" t="s">
        <v>344</v>
      </c>
      <c r="B361" s="44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10"/>
      <c r="H361" s="10"/>
      <c r="I361" s="11">
        <v>1</v>
      </c>
      <c r="J361" s="11">
        <v>1</v>
      </c>
      <c r="K361" s="10">
        <v>1</v>
      </c>
      <c r="L361" s="10">
        <v>1</v>
      </c>
      <c r="M361" s="11">
        <v>1</v>
      </c>
      <c r="N361" s="106">
        <f t="shared" ref="N361:N366" si="13">M361+K361+L361+J361+I361+H361+G361+F361+E361+D361+C361</f>
        <v>5</v>
      </c>
      <c r="O361" s="107">
        <v>26</v>
      </c>
      <c r="P361" s="95"/>
      <c r="Q361" s="45">
        <v>25644.666299495551</v>
      </c>
      <c r="R361" s="169">
        <v>24875.326310510685</v>
      </c>
      <c r="S361" s="12">
        <v>25870.339362931114</v>
      </c>
      <c r="T361" s="12">
        <v>26865.352415351539</v>
      </c>
      <c r="U361" s="167"/>
      <c r="V361" s="168"/>
      <c r="W361" s="16"/>
    </row>
    <row r="362" spans="1:23">
      <c r="A362" s="114" t="s">
        <v>345</v>
      </c>
      <c r="B362" s="44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10"/>
      <c r="H362" s="10"/>
      <c r="I362" s="11">
        <v>2</v>
      </c>
      <c r="J362" s="11"/>
      <c r="K362" s="10"/>
      <c r="L362" s="10"/>
      <c r="M362" s="11"/>
      <c r="N362" s="106">
        <f t="shared" si="13"/>
        <v>5</v>
      </c>
      <c r="O362" s="107">
        <v>11</v>
      </c>
      <c r="P362" s="95"/>
      <c r="Q362" s="45">
        <v>31951.806157517418</v>
      </c>
      <c r="R362" s="169">
        <v>30993.251972791895</v>
      </c>
      <c r="S362" s="12">
        <v>32232.98205170357</v>
      </c>
      <c r="T362" s="12">
        <v>33472.712130615248</v>
      </c>
      <c r="U362" s="167"/>
      <c r="V362" s="168"/>
      <c r="W362" s="16"/>
    </row>
    <row r="363" spans="1:23">
      <c r="A363" s="114" t="s">
        <v>346</v>
      </c>
      <c r="B363" s="44" t="str">
        <f>IFERROR(HYPERLINK(VLOOKUP(A363,ÜRÜNLER!A:C,3,FALSE),VLOOKUP(A363,ÜRÜNLER!A:B,2,FALSE)),"")</f>
        <v>iQ300 Elektrikli Ocak, 60cm, Çerçevesiz, Siyah</v>
      </c>
      <c r="C363" s="8">
        <v>11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06">
        <f t="shared" si="13"/>
        <v>12</v>
      </c>
      <c r="O363" s="107">
        <v>1</v>
      </c>
      <c r="P363" s="95"/>
      <c r="Q363" s="45">
        <v>31995.448874459253</v>
      </c>
      <c r="R363" s="169">
        <v>31035.585408225474</v>
      </c>
      <c r="S363" s="12">
        <v>32277.008824554494</v>
      </c>
      <c r="T363" s="12">
        <v>33518.432240883514</v>
      </c>
      <c r="U363" s="167"/>
      <c r="V363" s="168"/>
      <c r="W363" s="16"/>
    </row>
    <row r="364" spans="1:23">
      <c r="A364" s="114" t="s">
        <v>347</v>
      </c>
      <c r="B364" s="44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10"/>
      <c r="H364" s="10"/>
      <c r="I364" s="11">
        <v>1</v>
      </c>
      <c r="J364" s="11"/>
      <c r="K364" s="10"/>
      <c r="L364" s="10"/>
      <c r="M364" s="11"/>
      <c r="N364" s="106">
        <f t="shared" si="13"/>
        <v>4</v>
      </c>
      <c r="O364" s="107"/>
      <c r="P364" s="95"/>
      <c r="Q364" s="65" t="s">
        <v>1788</v>
      </c>
      <c r="R364" s="22">
        <v>50000</v>
      </c>
      <c r="S364" s="12">
        <v>52000</v>
      </c>
      <c r="T364" s="12">
        <v>54000</v>
      </c>
      <c r="U364" s="167"/>
      <c r="V364" s="168"/>
      <c r="W364" s="182">
        <v>1000</v>
      </c>
    </row>
    <row r="365" spans="1:23">
      <c r="A365" s="114" t="s">
        <v>348</v>
      </c>
      <c r="B365" s="44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10"/>
      <c r="H365" s="10"/>
      <c r="I365" s="11"/>
      <c r="J365" s="11"/>
      <c r="K365" s="10"/>
      <c r="L365" s="10"/>
      <c r="M365" s="11"/>
      <c r="N365" s="106">
        <f t="shared" si="13"/>
        <v>4</v>
      </c>
      <c r="O365" s="107"/>
      <c r="P365" s="95"/>
      <c r="Q365" s="45">
        <v>61520.528206519193</v>
      </c>
      <c r="R365" s="169">
        <v>59674.912360323615</v>
      </c>
      <c r="S365" s="12">
        <v>62061.908854736561</v>
      </c>
      <c r="T365" s="12">
        <v>64448.905349149507</v>
      </c>
      <c r="U365" s="167"/>
      <c r="V365" s="168"/>
      <c r="W365" s="16"/>
    </row>
    <row r="366" spans="1:23">
      <c r="A366" s="126" t="s">
        <v>1690</v>
      </c>
      <c r="B366" s="44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 t="shared" si="13"/>
        <v>1</v>
      </c>
      <c r="O366" s="107"/>
      <c r="P366" s="95"/>
      <c r="Q366" s="45">
        <v>33104.371369341701</v>
      </c>
      <c r="R366" s="169">
        <v>32111.240228261449</v>
      </c>
      <c r="S366" s="12">
        <v>33395.68983739191</v>
      </c>
      <c r="T366" s="12">
        <v>34680.139446522364</v>
      </c>
      <c r="U366" s="167"/>
      <c r="V366" s="168"/>
      <c r="W366" s="16"/>
    </row>
    <row r="367" spans="1:23" ht="30">
      <c r="A367" s="49" t="s">
        <v>349</v>
      </c>
      <c r="B367" s="44" t="str">
        <f>IFERROR(HYPERLINK(VLOOKUP(A367,ÜRÜNLER!A:C,3,FALSE),VLOOKUP(A367,ÜRÜNLER!A:B,2,FALSE)),"")</f>
        <v/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6">
        <f>SUM(N361:N366)</f>
        <v>31</v>
      </c>
      <c r="O367" s="107"/>
      <c r="P367" s="9"/>
      <c r="Q367" s="65"/>
      <c r="R367" s="18"/>
      <c r="S367" s="12"/>
      <c r="T367" s="12"/>
      <c r="U367" s="167"/>
      <c r="V367" s="168"/>
      <c r="W367" s="16"/>
    </row>
    <row r="368" spans="1:23">
      <c r="A368" s="114" t="s">
        <v>350</v>
      </c>
      <c r="B368" s="44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10"/>
      <c r="H368" s="10"/>
      <c r="I368" s="11">
        <v>1</v>
      </c>
      <c r="J368" s="11">
        <v>1</v>
      </c>
      <c r="K368" s="10"/>
      <c r="L368" s="10"/>
      <c r="M368" s="11">
        <v>1</v>
      </c>
      <c r="N368" s="106">
        <f t="shared" ref="N368:N377" si="14">M368+K368+L368+J368+I368+H368+G368+F368+E368+D368+C368</f>
        <v>4</v>
      </c>
      <c r="O368" s="107">
        <v>31</v>
      </c>
      <c r="P368" s="95"/>
      <c r="Q368" s="45">
        <v>25665.751077140114</v>
      </c>
      <c r="R368" s="17">
        <v>24382.46352328311</v>
      </c>
      <c r="S368" s="12">
        <v>25357.762064214436</v>
      </c>
      <c r="T368" s="12">
        <v>26333.060605145758</v>
      </c>
      <c r="U368" s="167"/>
      <c r="V368" s="168"/>
      <c r="W368" s="16"/>
    </row>
    <row r="369" spans="1:24">
      <c r="A369" s="21" t="s">
        <v>351</v>
      </c>
      <c r="B369" s="44" t="str">
        <f>IFERROR(HYPERLINK(VLOOKUP(A369,ÜRÜNLER!A:C,3,FALSE),VLOOKUP(A369,ÜRÜNLER!A:B,2,FALSE)),"")</f>
        <v>iQ700 İndüksiyonlu Ocak, 60cm, Çerçeveli, Siyah</v>
      </c>
      <c r="C369" s="8">
        <v>1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06">
        <f t="shared" si="14"/>
        <v>1</v>
      </c>
      <c r="O369" s="107">
        <v>2</v>
      </c>
      <c r="P369" s="95"/>
      <c r="Q369" s="45">
        <v>82259.628899275995</v>
      </c>
      <c r="R369" s="22">
        <v>82259.628899275995</v>
      </c>
      <c r="S369" s="12">
        <v>85550.01405524704</v>
      </c>
      <c r="T369" s="12">
        <v>88840.399211218071</v>
      </c>
      <c r="U369" s="167"/>
      <c r="V369" s="168"/>
      <c r="W369" s="13">
        <v>250</v>
      </c>
    </row>
    <row r="370" spans="1:24">
      <c r="A370" s="21" t="s">
        <v>352</v>
      </c>
      <c r="B370" s="44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 t="shared" si="14"/>
        <v>3</v>
      </c>
      <c r="O370" s="107"/>
      <c r="P370" s="95"/>
      <c r="Q370" s="150">
        <v>94104.886510878307</v>
      </c>
      <c r="R370" s="150">
        <v>84694.397859790479</v>
      </c>
      <c r="S370" s="12">
        <v>88082.173774182098</v>
      </c>
      <c r="T370" s="12">
        <v>91469.949688573717</v>
      </c>
      <c r="U370" s="167"/>
      <c r="V370" s="168"/>
      <c r="W370" s="182">
        <v>500</v>
      </c>
    </row>
    <row r="371" spans="1:24">
      <c r="A371" s="21" t="s">
        <v>353</v>
      </c>
      <c r="B371" s="44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10"/>
      <c r="H371" s="10">
        <v>1</v>
      </c>
      <c r="I371" s="11"/>
      <c r="J371" s="11"/>
      <c r="K371" s="10"/>
      <c r="L371" s="10"/>
      <c r="M371" s="11"/>
      <c r="N371" s="106">
        <f t="shared" si="14"/>
        <v>2</v>
      </c>
      <c r="O371" s="107"/>
      <c r="P371" s="95"/>
      <c r="Q371" s="65" t="s">
        <v>1788</v>
      </c>
      <c r="R371" s="159">
        <v>105000</v>
      </c>
      <c r="S371" s="12">
        <v>109200</v>
      </c>
      <c r="T371" s="12">
        <v>113400</v>
      </c>
      <c r="U371" s="167"/>
      <c r="V371" s="168"/>
      <c r="W371" s="182">
        <v>500</v>
      </c>
    </row>
    <row r="372" spans="1:24">
      <c r="A372" s="21" t="s">
        <v>1802</v>
      </c>
      <c r="B372" s="44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 t="shared" si="14"/>
        <v>0</v>
      </c>
      <c r="O372" s="107">
        <v>1</v>
      </c>
      <c r="P372" s="95"/>
      <c r="Q372" s="45">
        <v>104117</v>
      </c>
      <c r="R372" s="17">
        <v>98911.15</v>
      </c>
      <c r="S372" s="12">
        <v>102867.59599999999</v>
      </c>
      <c r="T372" s="12">
        <v>106824.04199999999</v>
      </c>
      <c r="U372" s="167"/>
      <c r="V372" s="168"/>
      <c r="W372" s="13"/>
    </row>
    <row r="373" spans="1:24">
      <c r="A373" s="21" t="s">
        <v>1751</v>
      </c>
      <c r="B373" s="44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2</v>
      </c>
      <c r="E373" s="9"/>
      <c r="F373" s="9"/>
      <c r="G373" s="10"/>
      <c r="H373" s="10"/>
      <c r="I373" s="11"/>
      <c r="J373" s="11"/>
      <c r="K373" s="10"/>
      <c r="L373" s="10"/>
      <c r="M373" s="11"/>
      <c r="N373" s="106">
        <f t="shared" si="14"/>
        <v>2</v>
      </c>
      <c r="O373" s="107"/>
      <c r="P373" s="95"/>
      <c r="Q373" s="150">
        <v>83772.107367933117</v>
      </c>
      <c r="R373" s="150">
        <v>75394.896631139796</v>
      </c>
      <c r="S373" s="12">
        <v>78410.692496385382</v>
      </c>
      <c r="T373" s="12">
        <v>81426.488361630982</v>
      </c>
      <c r="U373" s="167"/>
      <c r="V373" s="168"/>
      <c r="W373" s="13"/>
    </row>
    <row r="374" spans="1:24">
      <c r="A374" s="114" t="s">
        <v>357</v>
      </c>
      <c r="B374" s="44" t="str">
        <f>IFERROR(HYPERLINK(VLOOKUP(A374,ÜRÜNLER!A:C,3,FALSE),VLOOKUP(A374,ÜRÜNLER!A:B,2,FALSE)),"")</f>
        <v>iQ300 İndüksiyonlu Ocak, 90cm, Çerçeveli, Siyah</v>
      </c>
      <c r="C374" s="8"/>
      <c r="D374" s="8"/>
      <c r="E374" s="9"/>
      <c r="F374" s="9">
        <v>1</v>
      </c>
      <c r="G374" s="10"/>
      <c r="H374" s="10"/>
      <c r="I374" s="11"/>
      <c r="J374" s="11">
        <v>1</v>
      </c>
      <c r="K374" s="10"/>
      <c r="L374" s="10">
        <v>1</v>
      </c>
      <c r="M374" s="11"/>
      <c r="N374" s="106">
        <f t="shared" si="14"/>
        <v>3</v>
      </c>
      <c r="O374" s="107"/>
      <c r="P374" s="95"/>
      <c r="Q374" s="45">
        <v>109283.96488584499</v>
      </c>
      <c r="R374" s="17">
        <v>103819.76664155275</v>
      </c>
      <c r="S374" s="12">
        <v>107972.55730721485</v>
      </c>
      <c r="T374" s="12">
        <v>112125.34797287697</v>
      </c>
      <c r="U374" s="167"/>
      <c r="V374" s="168"/>
      <c r="W374" s="13">
        <v>250</v>
      </c>
    </row>
    <row r="375" spans="1:24">
      <c r="A375" s="114" t="s">
        <v>1505</v>
      </c>
      <c r="B375" s="44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10"/>
      <c r="H375" s="10"/>
      <c r="I375" s="11"/>
      <c r="J375" s="11"/>
      <c r="K375" s="10"/>
      <c r="L375" s="10"/>
      <c r="M375" s="11"/>
      <c r="N375" s="106">
        <f t="shared" si="14"/>
        <v>2</v>
      </c>
      <c r="O375" s="107"/>
      <c r="P375" s="95"/>
      <c r="Q375" s="150">
        <v>139656.37675294123</v>
      </c>
      <c r="R375" s="150">
        <v>125690.7390776471</v>
      </c>
      <c r="S375" s="12">
        <v>130718.36864075299</v>
      </c>
      <c r="T375" s="12">
        <v>135745.99820385888</v>
      </c>
      <c r="U375" s="167"/>
      <c r="V375" s="168"/>
      <c r="W375" s="182">
        <v>500</v>
      </c>
    </row>
    <row r="376" spans="1:24">
      <c r="A376" s="21" t="s">
        <v>358</v>
      </c>
      <c r="B376" s="44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>
        <f t="shared" si="14"/>
        <v>3</v>
      </c>
      <c r="O376" s="107"/>
      <c r="P376" s="95"/>
      <c r="Q376" s="45">
        <v>117294.15944339817</v>
      </c>
      <c r="R376" s="17">
        <v>111429.45147122825</v>
      </c>
      <c r="S376" s="12">
        <v>115886.62953007738</v>
      </c>
      <c r="T376" s="12">
        <v>120343.80758892652</v>
      </c>
      <c r="U376" s="167"/>
      <c r="V376" s="168"/>
      <c r="W376" s="13">
        <v>250</v>
      </c>
    </row>
    <row r="377" spans="1:24">
      <c r="A377" s="114" t="s">
        <v>1554</v>
      </c>
      <c r="B377" s="44" t="str">
        <f>IFERROR(HYPERLINK(VLOOKUP(A377,ÜRÜNLER!A:C,3,FALSE),VLOOKUP(A377,ÜRÜNLER!A:B,2,FALSE)),"")</f>
        <v>iQ500 İndüksiyonlu Ocak, 60cm, Çerçevesiz,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 t="shared" si="14"/>
        <v>3</v>
      </c>
      <c r="O377" s="107">
        <v>1</v>
      </c>
      <c r="P377" s="95"/>
      <c r="Q377" s="45">
        <v>60450.98503808002</v>
      </c>
      <c r="R377" s="17">
        <v>57428.435786176022</v>
      </c>
      <c r="S377" s="12">
        <v>59725.573217623059</v>
      </c>
      <c r="T377" s="12">
        <v>62022.710649070104</v>
      </c>
      <c r="U377" s="167"/>
      <c r="V377" s="168"/>
      <c r="W377" s="16"/>
    </row>
    <row r="378" spans="1:24" ht="33.75">
      <c r="A378" s="50" t="s">
        <v>472</v>
      </c>
      <c r="B378" s="44" t="str">
        <f>IFERROR(HYPERLINK(VLOOKUP(A378,ÜRÜNLER!A:C,3,FALSE),VLOOKUP(A378,ÜRÜNLER!A:B,2,FALSE)),"")</f>
        <v/>
      </c>
      <c r="C378" s="8"/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6">
        <f>SUM(N368:N377)</f>
        <v>23</v>
      </c>
      <c r="O378" s="107"/>
      <c r="P378" s="9"/>
      <c r="Q378" s="65"/>
      <c r="R378" s="18"/>
      <c r="S378" s="12"/>
      <c r="T378" s="12"/>
      <c r="U378" s="167"/>
      <c r="V378" s="168"/>
      <c r="W378" s="16"/>
    </row>
    <row r="379" spans="1:24">
      <c r="A379" s="114" t="s">
        <v>464</v>
      </c>
      <c r="B379" s="44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6">
        <f>M379+K379+L379+J379+I379+H379+G379+F379+E379+D379+C379</f>
        <v>3</v>
      </c>
      <c r="O379" s="107">
        <v>1</v>
      </c>
      <c r="P379" s="95"/>
      <c r="Q379" s="45">
        <v>93787.453703335443</v>
      </c>
      <c r="R379" s="17">
        <v>89098.081018168668</v>
      </c>
      <c r="S379" s="12">
        <v>92662.004258895409</v>
      </c>
      <c r="T379" s="12">
        <v>96225.927499622165</v>
      </c>
      <c r="U379" s="167"/>
      <c r="V379" s="168"/>
      <c r="W379" s="13">
        <v>250</v>
      </c>
    </row>
    <row r="380" spans="1:24">
      <c r="A380" s="114" t="s">
        <v>356</v>
      </c>
      <c r="B380" s="44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10">
        <v>1</v>
      </c>
      <c r="H380" s="10"/>
      <c r="I380" s="11"/>
      <c r="J380" s="11"/>
      <c r="K380" s="10"/>
      <c r="L380" s="10"/>
      <c r="M380" s="11"/>
      <c r="N380" s="106">
        <f>M380+K380+L380+J380+I380+H380+G380+F380+E380+D380+C380</f>
        <v>1</v>
      </c>
      <c r="O380" s="107"/>
      <c r="P380" s="95"/>
      <c r="Q380" s="65" t="s">
        <v>1788</v>
      </c>
      <c r="R380" s="18">
        <v>80000</v>
      </c>
      <c r="S380" s="12">
        <v>83200</v>
      </c>
      <c r="T380" s="12">
        <v>86400</v>
      </c>
      <c r="U380" s="167"/>
      <c r="V380" s="168"/>
      <c r="W380" s="182">
        <v>1000</v>
      </c>
    </row>
    <row r="381" spans="1:24">
      <c r="A381" s="114" t="s">
        <v>463</v>
      </c>
      <c r="B381" s="44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10"/>
      <c r="H381" s="10"/>
      <c r="I381" s="11"/>
      <c r="J381" s="11"/>
      <c r="K381" s="10"/>
      <c r="L381" s="10"/>
      <c r="M381" s="11"/>
      <c r="N381" s="106">
        <f>M381+K381+L381+J381+I381+H381+G381+F381+E381+D381+C381</f>
        <v>0</v>
      </c>
      <c r="O381" s="107">
        <v>1</v>
      </c>
      <c r="P381" s="95"/>
      <c r="Q381" s="45">
        <v>113169.96385183184</v>
      </c>
      <c r="R381" s="17">
        <v>107511.46565924025</v>
      </c>
      <c r="S381" s="12">
        <v>111811.92428560986</v>
      </c>
      <c r="T381" s="12">
        <v>116112.38291197947</v>
      </c>
      <c r="U381" s="167"/>
      <c r="V381" s="168"/>
      <c r="W381" s="13">
        <v>250</v>
      </c>
    </row>
    <row r="382" spans="1:24">
      <c r="A382" s="114" t="s">
        <v>355</v>
      </c>
      <c r="B382" s="44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10"/>
      <c r="H382" s="10">
        <v>1</v>
      </c>
      <c r="I382" s="11"/>
      <c r="J382" s="11"/>
      <c r="K382" s="10"/>
      <c r="L382" s="10"/>
      <c r="M382" s="11"/>
      <c r="N382" s="106">
        <f>M382+K382+L382+J382+I382+H382+G382+F382+E382+D382+C382</f>
        <v>4</v>
      </c>
      <c r="O382" s="107"/>
      <c r="P382" s="95"/>
      <c r="Q382" s="150">
        <v>143994.38769395274</v>
      </c>
      <c r="R382" s="150">
        <v>129594.94892455747</v>
      </c>
      <c r="S382" s="12">
        <v>134778.74688153976</v>
      </c>
      <c r="T382" s="12">
        <v>139962.54483852207</v>
      </c>
      <c r="U382" s="167"/>
      <c r="V382" s="168"/>
      <c r="W382" s="13">
        <v>500</v>
      </c>
    </row>
    <row r="383" spans="1:24" s="27" customFormat="1" ht="31.5">
      <c r="A383" s="29" t="s">
        <v>359</v>
      </c>
      <c r="B383" s="44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0"/>
      <c r="M383" s="11"/>
      <c r="N383" s="106"/>
      <c r="O383" s="107"/>
      <c r="P383" s="9"/>
      <c r="Q383" s="65"/>
      <c r="R383" s="18"/>
      <c r="S383" s="12"/>
      <c r="T383" s="12"/>
      <c r="U383" s="175"/>
      <c r="V383" s="176"/>
      <c r="W383" s="16"/>
      <c r="X383" s="185"/>
    </row>
    <row r="384" spans="1:24">
      <c r="A384" s="21" t="s">
        <v>360</v>
      </c>
      <c r="B384" s="44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10"/>
      <c r="H384" s="10"/>
      <c r="I384" s="11"/>
      <c r="J384" s="11"/>
      <c r="K384" s="10"/>
      <c r="L384" s="10">
        <v>1</v>
      </c>
      <c r="M384" s="11"/>
      <c r="N384" s="106">
        <f t="shared" ref="N384:N417" si="15">M384+K384+L384+J384+I384+H384+G384+F384+E384+D384+C384</f>
        <v>1</v>
      </c>
      <c r="O384" s="107"/>
      <c r="P384" s="95"/>
      <c r="Q384" s="65" t="s">
        <v>1788</v>
      </c>
      <c r="R384" s="18">
        <v>100000</v>
      </c>
      <c r="S384" s="12">
        <v>104000</v>
      </c>
      <c r="T384" s="12">
        <v>108000</v>
      </c>
      <c r="U384" s="167"/>
      <c r="V384" s="168"/>
      <c r="W384" s="182">
        <v>1000</v>
      </c>
    </row>
    <row r="385" spans="1:25">
      <c r="A385" s="21" t="s">
        <v>361</v>
      </c>
      <c r="B385" s="44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/>
      <c r="N385" s="106">
        <f t="shared" si="15"/>
        <v>1</v>
      </c>
      <c r="O385" s="107"/>
      <c r="P385" s="95"/>
      <c r="Q385" s="45">
        <v>165596.65974594664</v>
      </c>
      <c r="R385" s="22">
        <v>165596.65974594664</v>
      </c>
      <c r="S385" s="12">
        <v>172220.52613578452</v>
      </c>
      <c r="T385" s="12">
        <v>178844.39252562239</v>
      </c>
      <c r="U385" s="167"/>
      <c r="V385" s="168"/>
      <c r="W385" s="13">
        <v>250</v>
      </c>
    </row>
    <row r="386" spans="1:25">
      <c r="A386" s="21" t="s">
        <v>362</v>
      </c>
      <c r="B386" s="44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10"/>
      <c r="H386" s="10">
        <v>1</v>
      </c>
      <c r="I386" s="11"/>
      <c r="J386" s="11"/>
      <c r="K386" s="10"/>
      <c r="L386" s="10"/>
      <c r="M386" s="11"/>
      <c r="N386" s="106">
        <f t="shared" si="15"/>
        <v>6</v>
      </c>
      <c r="O386" s="107"/>
      <c r="P386" s="95"/>
      <c r="Q386" s="150">
        <v>186210.56655393163</v>
      </c>
      <c r="R386" s="150">
        <v>167589.50989853847</v>
      </c>
      <c r="S386" s="12">
        <v>174293.09029448</v>
      </c>
      <c r="T386" s="12">
        <v>180996.67069042154</v>
      </c>
      <c r="U386" s="167"/>
      <c r="V386" s="168"/>
      <c r="W386" s="13">
        <v>500</v>
      </c>
    </row>
    <row r="387" spans="1:25">
      <c r="A387" s="21" t="s">
        <v>1827</v>
      </c>
      <c r="B387" s="44" t="str">
        <f>IFERROR(HYPERLINK(VLOOKUP(A387,ÜRÜNLER!A:C,3,FALSE),VLOOKUP(A387,ÜRÜNLER!A:B,2,FALSE)),"")</f>
        <v>EQ600 iAroma Tam Otomatik Kahve Makinesi, Siyah/Inox</v>
      </c>
      <c r="C387" s="8"/>
      <c r="D387" s="8"/>
      <c r="E387" s="9"/>
      <c r="F387" s="9"/>
      <c r="G387" s="10"/>
      <c r="H387" s="10"/>
      <c r="I387" s="11"/>
      <c r="J387" s="11"/>
      <c r="K387" s="10"/>
      <c r="L387" s="10"/>
      <c r="M387" s="11"/>
      <c r="N387" s="106">
        <f t="shared" si="15"/>
        <v>0</v>
      </c>
      <c r="O387" s="107"/>
      <c r="P387" s="95"/>
      <c r="Q387" s="45">
        <v>42150.13636363636</v>
      </c>
      <c r="R387" s="22">
        <v>43000</v>
      </c>
      <c r="S387" s="12">
        <v>44720</v>
      </c>
      <c r="T387" s="12">
        <v>46440</v>
      </c>
      <c r="U387" s="167"/>
      <c r="V387" s="168"/>
      <c r="W387" s="13"/>
    </row>
    <row r="388" spans="1:25">
      <c r="A388" s="21" t="s">
        <v>1828</v>
      </c>
      <c r="B388" s="44" t="str">
        <f>IFERROR(HYPERLINK(VLOOKUP(A388,ÜRÜNLER!A:C,3,FALSE),VLOOKUP(A388,ÜRÜNLER!A:B,2,FALSE)),"")</f>
        <v>EQ600 iAroma Tam Otomatik Kahve Makinesi, Siyah/Dark Inox</v>
      </c>
      <c r="C388" s="8"/>
      <c r="D388" s="8"/>
      <c r="E388" s="9"/>
      <c r="F388" s="9"/>
      <c r="G388" s="10"/>
      <c r="H388" s="10"/>
      <c r="I388" s="11"/>
      <c r="J388" s="11"/>
      <c r="K388" s="10"/>
      <c r="L388" s="10"/>
      <c r="M388" s="11"/>
      <c r="N388" s="106">
        <f t="shared" si="15"/>
        <v>0</v>
      </c>
      <c r="O388" s="107"/>
      <c r="P388" s="95"/>
      <c r="Q388" s="45">
        <v>45331.954545454544</v>
      </c>
      <c r="R388" s="22">
        <v>46000</v>
      </c>
      <c r="S388" s="12">
        <v>47840</v>
      </c>
      <c r="T388" s="12">
        <v>49680</v>
      </c>
      <c r="U388" s="167"/>
      <c r="V388" s="168"/>
      <c r="W388" s="13"/>
    </row>
    <row r="389" spans="1:25">
      <c r="A389" s="21" t="s">
        <v>1829</v>
      </c>
      <c r="B389" s="44" t="str">
        <f>IFERROR(HYPERLINK(VLOOKUP(A389,ÜRÜNLER!A:C,3,FALSE),VLOOKUP(A389,ÜRÜNLER!A:B,2,FALSE)),"")</f>
        <v>EQ600 iAroma Tam Otomatik Kahve Makinesi, Sabah Sisi Grisi</v>
      </c>
      <c r="C389" s="8"/>
      <c r="D389" s="8"/>
      <c r="E389" s="9"/>
      <c r="F389" s="9"/>
      <c r="G389" s="10"/>
      <c r="H389" s="10"/>
      <c r="I389" s="11"/>
      <c r="J389" s="11"/>
      <c r="K389" s="10"/>
      <c r="L389" s="10"/>
      <c r="M389" s="11"/>
      <c r="N389" s="106">
        <f t="shared" si="15"/>
        <v>0</v>
      </c>
      <c r="O389" s="107"/>
      <c r="P389" s="95"/>
      <c r="Q389" s="45">
        <v>39763.772727272728</v>
      </c>
      <c r="R389" s="22">
        <v>41000</v>
      </c>
      <c r="S389" s="12">
        <v>42640</v>
      </c>
      <c r="T389" s="12">
        <v>44280</v>
      </c>
      <c r="U389" s="167"/>
      <c r="V389" s="168"/>
      <c r="W389" s="13"/>
    </row>
    <row r="390" spans="1:25">
      <c r="A390" s="20" t="s">
        <v>363</v>
      </c>
      <c r="B390" s="44" t="str">
        <f>IFERROR(HYPERLINK(VLOOKUP(A390,ÜRÜNLER!A:C,3,FALSE),VLOOKUP(A390,ÜRÜNLER!A:B,2,FALSE)),"")</f>
        <v>EQ6 plus s100 Tam Otomatik Kahve Makinesi, Metalik Elmas Titanyum</v>
      </c>
      <c r="C390" s="8"/>
      <c r="D390" s="8"/>
      <c r="E390" s="9"/>
      <c r="F390" s="9">
        <v>5</v>
      </c>
      <c r="G390" s="10"/>
      <c r="H390" s="10"/>
      <c r="I390" s="11">
        <v>5</v>
      </c>
      <c r="J390" s="11">
        <v>3</v>
      </c>
      <c r="K390" s="10">
        <v>1</v>
      </c>
      <c r="L390" s="10">
        <v>2</v>
      </c>
      <c r="M390" s="11">
        <v>3</v>
      </c>
      <c r="N390" s="106">
        <f t="shared" si="15"/>
        <v>19</v>
      </c>
      <c r="O390" s="107">
        <v>1</v>
      </c>
      <c r="P390" s="95"/>
      <c r="Q390" s="45">
        <v>30821</v>
      </c>
      <c r="R390" s="170">
        <v>29000</v>
      </c>
      <c r="S390" s="12">
        <v>30160</v>
      </c>
      <c r="T390" s="12">
        <v>31320</v>
      </c>
      <c r="U390" s="167">
        <v>6746.38</v>
      </c>
      <c r="W390" s="16" t="s">
        <v>1776</v>
      </c>
      <c r="X390" s="185" t="s">
        <v>1785</v>
      </c>
      <c r="Y390" s="168">
        <v>29990</v>
      </c>
    </row>
    <row r="391" spans="1:25">
      <c r="A391" s="20" t="s">
        <v>364</v>
      </c>
      <c r="B391" s="44" t="str">
        <f>IFERROR(HYPERLINK(VLOOKUP(A391,ÜRÜNLER!A:C,3,FALSE),VLOOKUP(A391,ÜRÜNLER!A:B,2,FALSE)),"")</f>
        <v>EQ6 plus s100 Tam Otomatik Kahve Makinesi, Metalik Safir Siyahı</v>
      </c>
      <c r="C391" s="8"/>
      <c r="D391" s="8"/>
      <c r="E391" s="9"/>
      <c r="F391" s="9"/>
      <c r="G391" s="10"/>
      <c r="H391" s="10"/>
      <c r="I391" s="11"/>
      <c r="J391" s="11"/>
      <c r="K391" s="10">
        <v>1</v>
      </c>
      <c r="L391" s="10"/>
      <c r="M391" s="11"/>
      <c r="N391" s="106">
        <f t="shared" si="15"/>
        <v>1</v>
      </c>
      <c r="O391" s="107"/>
      <c r="P391" s="95"/>
      <c r="Q391" s="65" t="s">
        <v>1788</v>
      </c>
      <c r="R391" s="18">
        <v>22999</v>
      </c>
      <c r="S391" s="12">
        <v>23918.959999999999</v>
      </c>
      <c r="T391" s="12">
        <v>24838.92</v>
      </c>
      <c r="U391" s="167"/>
      <c r="W391" s="16">
        <v>250</v>
      </c>
      <c r="Y391" s="168"/>
    </row>
    <row r="392" spans="1:25">
      <c r="A392" s="20" t="s">
        <v>365</v>
      </c>
      <c r="B392" s="44" t="str">
        <f>IFERROR(HYPERLINK(VLOOKUP(A392,ÜRÜNLER!A:C,3,FALSE),VLOOKUP(A392,ÜRÜNLER!A:B,2,FALSE)),"")</f>
        <v>EQ6 plus s300 Tam Otomatik Kahve Makinesi, Gümüş</v>
      </c>
      <c r="C392" s="8"/>
      <c r="D392" s="8"/>
      <c r="E392" s="9"/>
      <c r="F392" s="9">
        <v>1</v>
      </c>
      <c r="G392" s="10"/>
      <c r="H392" s="10"/>
      <c r="I392" s="11"/>
      <c r="J392" s="11">
        <v>1</v>
      </c>
      <c r="K392" s="10"/>
      <c r="L392" s="10"/>
      <c r="M392" s="11">
        <v>1</v>
      </c>
      <c r="N392" s="106">
        <f t="shared" si="15"/>
        <v>3</v>
      </c>
      <c r="O392" s="107"/>
      <c r="P392" s="95"/>
      <c r="Q392" s="65" t="s">
        <v>1788</v>
      </c>
      <c r="R392" s="18">
        <v>29000</v>
      </c>
      <c r="S392" s="12">
        <v>30160</v>
      </c>
      <c r="T392" s="12">
        <v>31320</v>
      </c>
      <c r="U392" s="167"/>
      <c r="W392" s="16">
        <v>250</v>
      </c>
      <c r="Y392" s="168"/>
    </row>
    <row r="393" spans="1:25">
      <c r="A393" s="20" t="s">
        <v>366</v>
      </c>
      <c r="B393" s="44" t="str">
        <f>IFERROR(HYPERLINK(VLOOKUP(A393,ÜRÜNLER!A:C,3,FALSE),VLOOKUP(A393,ÜRÜNLER!A:B,2,FALSE)),"")</f>
        <v>EQ6 plus s500 Tam Otomatik Kahve Makinesi, Sabah Sisi Grisi</v>
      </c>
      <c r="C393" s="8">
        <v>51</v>
      </c>
      <c r="D393" s="8"/>
      <c r="E393" s="9"/>
      <c r="F393" s="9">
        <v>8</v>
      </c>
      <c r="G393" s="10"/>
      <c r="H393" s="10"/>
      <c r="I393" s="11">
        <v>5</v>
      </c>
      <c r="J393" s="11"/>
      <c r="K393" s="10"/>
      <c r="L393" s="10">
        <v>2</v>
      </c>
      <c r="M393" s="11">
        <v>2</v>
      </c>
      <c r="N393" s="106">
        <f t="shared" si="15"/>
        <v>68</v>
      </c>
      <c r="O393" s="107">
        <v>1</v>
      </c>
      <c r="P393" s="95"/>
      <c r="Q393" s="45">
        <v>46150.533752817057</v>
      </c>
      <c r="R393" s="172">
        <v>44000</v>
      </c>
      <c r="S393" s="12">
        <v>45760</v>
      </c>
      <c r="T393" s="12">
        <v>47520</v>
      </c>
      <c r="U393" s="167">
        <v>8429.2099999999991</v>
      </c>
      <c r="W393" s="16" t="s">
        <v>1776</v>
      </c>
      <c r="X393" s="185" t="s">
        <v>1785</v>
      </c>
      <c r="Y393" s="168">
        <v>46990</v>
      </c>
    </row>
    <row r="394" spans="1:25">
      <c r="A394" s="20" t="s">
        <v>367</v>
      </c>
      <c r="B394" s="44" t="str">
        <f>IFERROR(HYPERLINK(VLOOKUP(A394,ÜRÜNLER!A:C,3,FALSE),VLOOKUP(A394,ÜRÜNLER!A:B,2,FALSE)),"")</f>
        <v>EQ6 plus s700 Tam Otomatik Kahve Makinesi, DarkInox/Siyah</v>
      </c>
      <c r="C394" s="8">
        <v>29</v>
      </c>
      <c r="D394" s="8"/>
      <c r="E394" s="9"/>
      <c r="F394" s="9">
        <v>27</v>
      </c>
      <c r="G394" s="10"/>
      <c r="H394" s="10"/>
      <c r="I394" s="11"/>
      <c r="J394" s="11">
        <v>1</v>
      </c>
      <c r="K394" s="10">
        <v>1</v>
      </c>
      <c r="L394" s="10">
        <v>1</v>
      </c>
      <c r="M394" s="11">
        <v>3</v>
      </c>
      <c r="N394" s="106">
        <f t="shared" si="15"/>
        <v>62</v>
      </c>
      <c r="O394" s="107">
        <v>1</v>
      </c>
      <c r="P394" s="95"/>
      <c r="Q394" s="45">
        <v>49964.129333174926</v>
      </c>
      <c r="R394" s="170">
        <v>47000</v>
      </c>
      <c r="S394" s="12">
        <v>48880</v>
      </c>
      <c r="T394" s="12">
        <v>50760</v>
      </c>
      <c r="U394" s="167">
        <v>9834.5400000000009</v>
      </c>
      <c r="W394" s="16" t="s">
        <v>1776</v>
      </c>
      <c r="X394" s="185" t="s">
        <v>1785</v>
      </c>
      <c r="Y394" s="168">
        <v>49990</v>
      </c>
    </row>
    <row r="395" spans="1:25">
      <c r="A395" s="114" t="s">
        <v>368</v>
      </c>
      <c r="B395" s="44" t="str">
        <f>IFERROR(HYPERLINK(VLOOKUP(A395,ÜRÜNLER!A:C,3,FALSE),VLOOKUP(A395,ÜRÜNLER!A:B,2,FALSE)),"")</f>
        <v>EQ300 Tam Otomatik Kahve Makinesi, Siyah</v>
      </c>
      <c r="C395" s="8"/>
      <c r="D395" s="8"/>
      <c r="E395" s="9"/>
      <c r="F395" s="9"/>
      <c r="G395" s="10"/>
      <c r="H395" s="10"/>
      <c r="I395" s="11">
        <v>1</v>
      </c>
      <c r="J395" s="11"/>
      <c r="K395" s="10"/>
      <c r="L395" s="10">
        <v>2</v>
      </c>
      <c r="M395" s="11"/>
      <c r="N395" s="106">
        <f t="shared" si="15"/>
        <v>3</v>
      </c>
      <c r="O395" s="107"/>
      <c r="P395" s="95"/>
      <c r="Q395" s="65" t="s">
        <v>1788</v>
      </c>
      <c r="R395" s="18">
        <v>15999</v>
      </c>
      <c r="S395" s="12">
        <v>16638.96</v>
      </c>
      <c r="T395" s="12">
        <v>17278.919999999998</v>
      </c>
      <c r="U395" s="167"/>
      <c r="W395" s="16">
        <v>500</v>
      </c>
      <c r="Y395" s="168"/>
    </row>
    <row r="396" spans="1:25">
      <c r="A396" s="114" t="s">
        <v>369</v>
      </c>
      <c r="B396" s="44" t="str">
        <f>IFERROR(HYPERLINK(VLOOKUP(A396,ÜRÜNLER!A:C,3,FALSE),VLOOKUP(A396,ÜRÜNLER!A:B,2,FALSE)),"")</f>
        <v>EQ300 Tam Otomatik Kahve Makinesi, Şampanya/Siyah</v>
      </c>
      <c r="C396" s="8"/>
      <c r="D396" s="8"/>
      <c r="E396" s="9"/>
      <c r="F396" s="9"/>
      <c r="G396" s="10"/>
      <c r="H396" s="10"/>
      <c r="I396" s="11"/>
      <c r="J396" s="11">
        <v>1</v>
      </c>
      <c r="K396" s="10"/>
      <c r="L396" s="10">
        <v>2</v>
      </c>
      <c r="M396" s="11">
        <v>1</v>
      </c>
      <c r="N396" s="106">
        <f t="shared" si="15"/>
        <v>4</v>
      </c>
      <c r="O396" s="107"/>
      <c r="P396" s="95"/>
      <c r="Q396" s="65" t="s">
        <v>1788</v>
      </c>
      <c r="R396" s="18">
        <v>15999</v>
      </c>
      <c r="S396" s="12">
        <v>16638.96</v>
      </c>
      <c r="T396" s="12">
        <v>17278.919999999998</v>
      </c>
      <c r="U396" s="167"/>
      <c r="W396" s="16">
        <v>500</v>
      </c>
      <c r="Y396" s="168"/>
    </row>
    <row r="397" spans="1:25">
      <c r="A397" s="114" t="s">
        <v>370</v>
      </c>
      <c r="B397" s="44" t="str">
        <f>IFERROR(HYPERLINK(VLOOKUP(A397,ÜRÜNLER!A:C,3,FALSE),VLOOKUP(A397,ÜRÜNLER!A:B,2,FALSE)),"")</f>
        <v>EQ9 s300 Tam Otomatik Kahve Makinesi, Siyah</v>
      </c>
      <c r="C397" s="8"/>
      <c r="D397" s="8"/>
      <c r="E397" s="9"/>
      <c r="F397" s="9">
        <v>7</v>
      </c>
      <c r="G397" s="10"/>
      <c r="H397" s="10"/>
      <c r="I397" s="11">
        <v>1</v>
      </c>
      <c r="J397" s="11"/>
      <c r="K397" s="10"/>
      <c r="L397" s="10">
        <v>5</v>
      </c>
      <c r="M397" s="11">
        <v>1</v>
      </c>
      <c r="N397" s="106">
        <f t="shared" si="15"/>
        <v>14</v>
      </c>
      <c r="O397" s="107"/>
      <c r="P397" s="95"/>
      <c r="Q397" s="65" t="s">
        <v>1788</v>
      </c>
      <c r="R397" s="18">
        <v>49999</v>
      </c>
      <c r="S397" s="12">
        <v>51998.96</v>
      </c>
      <c r="T397" s="12">
        <v>53998.92</v>
      </c>
      <c r="U397" s="167"/>
      <c r="W397" s="16">
        <v>500</v>
      </c>
      <c r="Y397" s="168"/>
    </row>
    <row r="398" spans="1:25">
      <c r="A398" s="114" t="s">
        <v>371</v>
      </c>
      <c r="B398" s="44" t="str">
        <f>IFERROR(HYPERLINK(VLOOKUP(A398,ÜRÜNLER!A:C,3,FALSE),VLOOKUP(A398,ÜRÜNLER!A:B,2,FALSE)),"")</f>
        <v>EQ9 plus connect s500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/>
      <c r="L398" s="10">
        <v>2</v>
      </c>
      <c r="M398" s="11">
        <v>1</v>
      </c>
      <c r="N398" s="106">
        <f t="shared" si="15"/>
        <v>7</v>
      </c>
      <c r="O398" s="107"/>
      <c r="P398" s="95"/>
      <c r="Q398" s="65" t="s">
        <v>1788</v>
      </c>
      <c r="R398" s="18">
        <v>59999</v>
      </c>
      <c r="S398" s="12">
        <v>62398.96</v>
      </c>
      <c r="T398" s="12">
        <v>64798.92</v>
      </c>
      <c r="U398" s="167"/>
      <c r="W398" s="16">
        <v>500</v>
      </c>
      <c r="Y398" s="168"/>
    </row>
    <row r="399" spans="1:25">
      <c r="A399" s="115" t="s">
        <v>372</v>
      </c>
      <c r="B399" s="44" t="str">
        <f>IFERROR(HYPERLINK(VLOOKUP(A399,ÜRÜNLER!A:C,3,FALSE),VLOOKUP(A399,ÜRÜNLER!A:B,2,FALSE)),"")</f>
        <v>EQ500 classic Tam Otomatik Kahve Makinesi, Piyano Siyahı</v>
      </c>
      <c r="C399" s="8"/>
      <c r="D399" s="8"/>
      <c r="E399" s="9"/>
      <c r="F399" s="9">
        <v>2</v>
      </c>
      <c r="G399" s="10"/>
      <c r="H399" s="10"/>
      <c r="I399" s="11">
        <v>3</v>
      </c>
      <c r="J399" s="11">
        <v>2</v>
      </c>
      <c r="K399" s="10"/>
      <c r="L399" s="10">
        <v>1</v>
      </c>
      <c r="M399" s="11"/>
      <c r="N399" s="106">
        <f t="shared" si="15"/>
        <v>8</v>
      </c>
      <c r="O399" s="107"/>
      <c r="P399" s="95"/>
      <c r="Q399" s="65" t="s">
        <v>1788</v>
      </c>
      <c r="R399" s="18">
        <v>21000</v>
      </c>
      <c r="S399" s="12">
        <v>21840</v>
      </c>
      <c r="T399" s="12">
        <v>22680</v>
      </c>
      <c r="U399" s="167"/>
      <c r="W399" s="16">
        <v>500</v>
      </c>
      <c r="Y399" s="168"/>
    </row>
    <row r="400" spans="1:25">
      <c r="A400" s="115" t="s">
        <v>373</v>
      </c>
      <c r="B400" s="44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4</v>
      </c>
      <c r="G400" s="10"/>
      <c r="H400" s="10"/>
      <c r="I400" s="11"/>
      <c r="J400" s="11">
        <v>1</v>
      </c>
      <c r="K400" s="10"/>
      <c r="L400" s="10"/>
      <c r="M400" s="11">
        <v>1</v>
      </c>
      <c r="N400" s="106">
        <f t="shared" si="15"/>
        <v>6</v>
      </c>
      <c r="O400" s="107"/>
      <c r="P400" s="95"/>
      <c r="Q400" s="65" t="s">
        <v>1788</v>
      </c>
      <c r="R400" s="18">
        <v>19999</v>
      </c>
      <c r="S400" s="12">
        <v>20798.96</v>
      </c>
      <c r="T400" s="12">
        <v>21598.92</v>
      </c>
      <c r="U400" s="167"/>
      <c r="W400" s="16">
        <v>500</v>
      </c>
      <c r="Y400" s="168"/>
    </row>
    <row r="401" spans="1:25">
      <c r="A401" s="133" t="s">
        <v>374</v>
      </c>
      <c r="B401" s="44" t="str">
        <f>IFERROR(HYPERLINK(VLOOKUP(A401,ÜRÜNLER!A:C,3,FALSE),VLOOKUP(A401,ÜRÜNLER!A:B,2,FALSE)),"")</f>
        <v>EQ500 classic Tam Otomatik Kahve Makinesi, Metalik Inox/Gümüş</v>
      </c>
      <c r="C401" s="8"/>
      <c r="D401" s="8"/>
      <c r="E401" s="9"/>
      <c r="F401" s="9">
        <v>2</v>
      </c>
      <c r="G401" s="10"/>
      <c r="H401" s="10"/>
      <c r="I401" s="11">
        <v>1</v>
      </c>
      <c r="J401" s="11"/>
      <c r="K401" s="10"/>
      <c r="L401" s="10">
        <v>1</v>
      </c>
      <c r="M401" s="11"/>
      <c r="N401" s="106">
        <f t="shared" si="15"/>
        <v>4</v>
      </c>
      <c r="O401" s="107"/>
      <c r="P401" s="95"/>
      <c r="Q401" s="65" t="s">
        <v>1788</v>
      </c>
      <c r="R401" s="18">
        <v>19999</v>
      </c>
      <c r="S401" s="12">
        <v>20798.96</v>
      </c>
      <c r="T401" s="12">
        <v>21598.92</v>
      </c>
      <c r="U401" s="167"/>
      <c r="W401" s="16">
        <v>500</v>
      </c>
      <c r="Y401" s="168"/>
    </row>
    <row r="402" spans="1:25">
      <c r="A402" s="133" t="s">
        <v>375</v>
      </c>
      <c r="B402" s="44" t="str">
        <f>IFERROR(HYPERLINK(VLOOKUP(A402,ÜRÜNLER!A:C,3,FALSE),VLOOKUP(A402,ÜRÜNLER!A:B,2,FALSE)),"")</f>
        <v>EQ500 classic Tam Otomatik Kahve Makinesi, Sabah Sisi Grisi</v>
      </c>
      <c r="C402" s="8"/>
      <c r="D402" s="8"/>
      <c r="E402" s="9"/>
      <c r="F402" s="9">
        <v>1</v>
      </c>
      <c r="G402" s="10"/>
      <c r="H402" s="10"/>
      <c r="I402" s="11"/>
      <c r="J402" s="11"/>
      <c r="K402" s="10"/>
      <c r="L402" s="10"/>
      <c r="M402" s="11">
        <v>1</v>
      </c>
      <c r="N402" s="106">
        <f t="shared" si="15"/>
        <v>2</v>
      </c>
      <c r="O402" s="107"/>
      <c r="P402" s="95"/>
      <c r="Q402" s="65" t="s">
        <v>1788</v>
      </c>
      <c r="R402" s="18">
        <v>24999</v>
      </c>
      <c r="S402" s="12">
        <v>25998.959999999999</v>
      </c>
      <c r="T402" s="12">
        <v>26998.92</v>
      </c>
      <c r="U402" s="167"/>
      <c r="W402" s="16">
        <v>500</v>
      </c>
      <c r="Y402" s="168"/>
    </row>
    <row r="403" spans="1:25">
      <c r="A403" s="134" t="s">
        <v>376</v>
      </c>
      <c r="B403" s="44" t="str">
        <f>IFERROR(HYPERLINK(VLOOKUP(A403,ÜRÜNLER!A:C,3,FALSE),VLOOKUP(A403,ÜRÜNLER!A:B,2,FALSE)),"")</f>
        <v>EQ500 classic connect Tam Otomatik Kahve Makinesi, Inox/Siyah</v>
      </c>
      <c r="C403" s="8">
        <v>13</v>
      </c>
      <c r="D403" s="8"/>
      <c r="E403" s="9"/>
      <c r="F403" s="9">
        <v>16</v>
      </c>
      <c r="G403" s="10"/>
      <c r="H403" s="10"/>
      <c r="I403" s="11">
        <v>2</v>
      </c>
      <c r="J403" s="11"/>
      <c r="K403" s="10"/>
      <c r="L403" s="10">
        <v>1</v>
      </c>
      <c r="M403" s="11">
        <v>1</v>
      </c>
      <c r="N403" s="106">
        <f t="shared" si="15"/>
        <v>33</v>
      </c>
      <c r="O403" s="107">
        <v>1</v>
      </c>
      <c r="P403" s="95"/>
      <c r="Q403" s="45">
        <v>40793.307112641975</v>
      </c>
      <c r="R403" s="170">
        <v>37500</v>
      </c>
      <c r="S403" s="12">
        <v>39000</v>
      </c>
      <c r="T403" s="12">
        <v>40500</v>
      </c>
      <c r="U403" s="167">
        <v>8691.24</v>
      </c>
      <c r="W403" s="16" t="s">
        <v>1776</v>
      </c>
      <c r="X403" s="185" t="s">
        <v>1785</v>
      </c>
      <c r="Y403" s="168">
        <v>39990</v>
      </c>
    </row>
    <row r="404" spans="1:25">
      <c r="A404" s="134" t="s">
        <v>377</v>
      </c>
      <c r="B404" s="44" t="str">
        <f>IFERROR(HYPERLINK(VLOOKUP(A404,ÜRÜNLER!A:C,3,FALSE),VLOOKUP(A404,ÜRÜNLER!A:B,2,FALSE)),"")</f>
        <v>EQ500 classic Tam Otomatik Kahve Makinesi, Inox/Siyah</v>
      </c>
      <c r="C404" s="8">
        <v>77</v>
      </c>
      <c r="D404" s="8"/>
      <c r="E404" s="9"/>
      <c r="F404" s="9">
        <v>33</v>
      </c>
      <c r="G404" s="10"/>
      <c r="H404" s="10"/>
      <c r="I404" s="11">
        <v>8</v>
      </c>
      <c r="J404" s="11">
        <v>4</v>
      </c>
      <c r="K404" s="10">
        <v>1</v>
      </c>
      <c r="L404" s="10">
        <v>1</v>
      </c>
      <c r="M404" s="11">
        <v>5</v>
      </c>
      <c r="N404" s="106">
        <f t="shared" si="15"/>
        <v>129</v>
      </c>
      <c r="O404" s="107">
        <v>86</v>
      </c>
      <c r="P404" s="95"/>
      <c r="Q404" s="45">
        <v>32099.651498472376</v>
      </c>
      <c r="R404" s="170">
        <v>30500</v>
      </c>
      <c r="S404" s="12">
        <v>31720</v>
      </c>
      <c r="T404" s="12">
        <v>32940</v>
      </c>
      <c r="U404" s="167">
        <v>6419.6</v>
      </c>
      <c r="W404" s="16" t="s">
        <v>1776</v>
      </c>
      <c r="X404" s="185" t="s">
        <v>1785</v>
      </c>
      <c r="Y404" s="168">
        <v>31990</v>
      </c>
    </row>
    <row r="405" spans="1:25">
      <c r="A405" s="115" t="s">
        <v>378</v>
      </c>
      <c r="B405" s="44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0"/>
      <c r="M405" s="11"/>
      <c r="N405" s="106">
        <f t="shared" si="15"/>
        <v>1</v>
      </c>
      <c r="O405" s="107"/>
      <c r="P405" s="95"/>
      <c r="Q405" s="65" t="s">
        <v>1788</v>
      </c>
      <c r="R405" s="18">
        <v>45000</v>
      </c>
      <c r="S405" s="12">
        <v>46800</v>
      </c>
      <c r="T405" s="12">
        <v>48600</v>
      </c>
      <c r="U405" s="167"/>
      <c r="V405" s="168"/>
      <c r="W405" s="183">
        <v>500</v>
      </c>
    </row>
    <row r="406" spans="1:25">
      <c r="A406" s="133" t="s">
        <v>379</v>
      </c>
      <c r="B406" s="44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0"/>
      <c r="M406" s="11"/>
      <c r="N406" s="106">
        <f t="shared" si="15"/>
        <v>1</v>
      </c>
      <c r="O406" s="107"/>
      <c r="P406" s="95"/>
      <c r="Q406" s="65" t="s">
        <v>1788</v>
      </c>
      <c r="R406" s="18">
        <v>40000</v>
      </c>
      <c r="S406" s="12">
        <v>41600</v>
      </c>
      <c r="T406" s="12">
        <v>43200</v>
      </c>
      <c r="U406" s="167"/>
      <c r="V406" s="168"/>
      <c r="W406" s="183">
        <v>500</v>
      </c>
    </row>
    <row r="407" spans="1:25">
      <c r="A407" s="133" t="s">
        <v>380</v>
      </c>
      <c r="B407" s="44" t="str">
        <f>IFERROR(HYPERLINK(VLOOKUP(A407,ÜRÜNLER!A:C,3,FALSE),VLOOKUP(A407,ÜRÜNLER!A:B,2,FALSE)),"")</f>
        <v>EQ700 classic Tam Otomatik Kahve Makinesi, Piyano Siyahı</v>
      </c>
      <c r="C407" s="8">
        <v>14</v>
      </c>
      <c r="D407" s="8"/>
      <c r="E407" s="9"/>
      <c r="F407" s="9">
        <v>7</v>
      </c>
      <c r="G407" s="10"/>
      <c r="H407" s="10"/>
      <c r="I407" s="11"/>
      <c r="J407" s="11">
        <v>1</v>
      </c>
      <c r="K407" s="10">
        <v>1</v>
      </c>
      <c r="L407" s="10"/>
      <c r="M407" s="11">
        <v>3</v>
      </c>
      <c r="N407" s="106">
        <f t="shared" si="15"/>
        <v>26</v>
      </c>
      <c r="O407" s="107"/>
      <c r="P407" s="95"/>
      <c r="Q407" s="45">
        <v>52494.176938714467</v>
      </c>
      <c r="R407" s="41">
        <v>51000</v>
      </c>
      <c r="S407" s="157">
        <v>53040</v>
      </c>
      <c r="T407" s="157">
        <v>55080</v>
      </c>
      <c r="U407" s="167"/>
      <c r="V407" s="168"/>
      <c r="W407" s="16" t="s">
        <v>1776</v>
      </c>
    </row>
    <row r="408" spans="1:25">
      <c r="A408" s="114" t="s">
        <v>381</v>
      </c>
      <c r="B408" s="44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>
        <v>1</v>
      </c>
      <c r="L408" s="10">
        <v>1</v>
      </c>
      <c r="M408" s="11">
        <v>1</v>
      </c>
      <c r="N408" s="106">
        <f t="shared" si="15"/>
        <v>4</v>
      </c>
      <c r="O408" s="107"/>
      <c r="P408" s="95"/>
      <c r="Q408" s="65" t="s">
        <v>1788</v>
      </c>
      <c r="R408" s="18">
        <v>24000</v>
      </c>
      <c r="S408" s="12">
        <v>24960</v>
      </c>
      <c r="T408" s="12">
        <v>25920</v>
      </c>
      <c r="U408" s="167"/>
      <c r="V408" s="168"/>
      <c r="W408" s="183">
        <v>500</v>
      </c>
    </row>
    <row r="409" spans="1:25">
      <c r="A409" s="120" t="s">
        <v>382</v>
      </c>
      <c r="B409" s="44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1</v>
      </c>
      <c r="G409" s="10"/>
      <c r="H409" s="10"/>
      <c r="I409" s="11">
        <v>1</v>
      </c>
      <c r="J409" s="11">
        <v>1</v>
      </c>
      <c r="K409" s="10"/>
      <c r="L409" s="10">
        <v>1</v>
      </c>
      <c r="M409" s="11">
        <v>1</v>
      </c>
      <c r="N409" s="106">
        <f t="shared" si="15"/>
        <v>5</v>
      </c>
      <c r="O409" s="107"/>
      <c r="P409" s="95"/>
      <c r="Q409" s="65" t="s">
        <v>1788</v>
      </c>
      <c r="R409" s="18">
        <v>23000</v>
      </c>
      <c r="S409" s="12">
        <v>23920</v>
      </c>
      <c r="T409" s="12">
        <v>24840</v>
      </c>
      <c r="U409" s="167"/>
      <c r="V409" s="168"/>
      <c r="W409" s="183">
        <v>500</v>
      </c>
    </row>
    <row r="410" spans="1:25">
      <c r="A410" s="135" t="s">
        <v>383</v>
      </c>
      <c r="B410" s="44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/>
      <c r="G410" s="10">
        <v>1</v>
      </c>
      <c r="H410" s="10"/>
      <c r="I410" s="11"/>
      <c r="J410" s="11">
        <v>1</v>
      </c>
      <c r="K410" s="10"/>
      <c r="L410" s="10"/>
      <c r="M410" s="11"/>
      <c r="N410" s="106">
        <f t="shared" si="15"/>
        <v>2</v>
      </c>
      <c r="O410" s="107"/>
      <c r="P410" s="95"/>
      <c r="Q410" s="65" t="s">
        <v>1788</v>
      </c>
      <c r="R410" s="18">
        <v>39999</v>
      </c>
      <c r="S410" s="12">
        <v>41598.959999999999</v>
      </c>
      <c r="T410" s="12">
        <v>43198.92</v>
      </c>
      <c r="U410" s="167"/>
      <c r="V410" s="168"/>
      <c r="W410" s="183">
        <v>500</v>
      </c>
    </row>
    <row r="411" spans="1:25">
      <c r="A411" s="135" t="s">
        <v>384</v>
      </c>
      <c r="B411" s="44" t="str">
        <f>IFERROR(HYPERLINK(VLOOKUP(A411,ÜRÜNLER!A:C,3,FALSE),VLOOKUP(A411,ÜRÜNLER!A:B,2,FALSE)),"")</f>
        <v>EQ700 Tam Otomatik Kahve Makinesi, Paslanmaz Çelik</v>
      </c>
      <c r="C411" s="8"/>
      <c r="D411" s="8"/>
      <c r="E411" s="9"/>
      <c r="F411" s="9"/>
      <c r="G411" s="10"/>
      <c r="H411" s="10"/>
      <c r="I411" s="11"/>
      <c r="J411" s="11"/>
      <c r="K411" s="10"/>
      <c r="L411" s="10"/>
      <c r="M411" s="11">
        <v>1</v>
      </c>
      <c r="N411" s="106">
        <f t="shared" si="15"/>
        <v>1</v>
      </c>
      <c r="O411" s="107"/>
      <c r="P411" s="95"/>
      <c r="Q411" s="45">
        <v>56989.324165687103</v>
      </c>
      <c r="R411" s="68">
        <v>50000</v>
      </c>
      <c r="S411" s="157">
        <v>52000</v>
      </c>
      <c r="T411" s="157">
        <v>54000</v>
      </c>
      <c r="U411" s="167"/>
      <c r="V411" s="168"/>
      <c r="W411" s="168" t="s">
        <v>1777</v>
      </c>
    </row>
    <row r="412" spans="1:25">
      <c r="A412" s="114" t="s">
        <v>385</v>
      </c>
      <c r="B412" s="44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10"/>
      <c r="H412" s="10"/>
      <c r="I412" s="11">
        <v>1</v>
      </c>
      <c r="J412" s="11"/>
      <c r="K412" s="10"/>
      <c r="L412" s="10">
        <v>1</v>
      </c>
      <c r="M412" s="11">
        <v>1</v>
      </c>
      <c r="N412" s="106">
        <f t="shared" si="15"/>
        <v>24</v>
      </c>
      <c r="O412" s="107"/>
      <c r="P412" s="95"/>
      <c r="Q412" s="45">
        <v>80886.471339026728</v>
      </c>
      <c r="R412" s="22">
        <v>80886.471339026728</v>
      </c>
      <c r="S412" s="12">
        <v>84121.930192587795</v>
      </c>
      <c r="T412" s="12">
        <v>87357.389046148863</v>
      </c>
      <c r="U412" s="167"/>
      <c r="V412" s="168"/>
      <c r="W412" s="168" t="s">
        <v>1777</v>
      </c>
    </row>
    <row r="413" spans="1:25">
      <c r="A413" s="114" t="s">
        <v>386</v>
      </c>
      <c r="B413" s="44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6">
        <f t="shared" si="15"/>
        <v>12</v>
      </c>
      <c r="O413" s="107"/>
      <c r="P413" s="95"/>
      <c r="Q413" s="45">
        <v>101776.37741443558</v>
      </c>
      <c r="R413" s="22">
        <v>101776.37741443558</v>
      </c>
      <c r="S413" s="12">
        <v>105847.432511013</v>
      </c>
      <c r="T413" s="12">
        <v>109918.48760759043</v>
      </c>
      <c r="U413" s="167"/>
      <c r="V413" s="168"/>
      <c r="W413" s="168" t="s">
        <v>1777</v>
      </c>
    </row>
    <row r="414" spans="1:25">
      <c r="A414" s="120" t="s">
        <v>387</v>
      </c>
      <c r="B414" s="44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/>
      <c r="G414" s="10">
        <v>1</v>
      </c>
      <c r="H414" s="10"/>
      <c r="I414" s="11">
        <v>1</v>
      </c>
      <c r="J414" s="11">
        <v>1</v>
      </c>
      <c r="K414" s="10"/>
      <c r="L414" s="10">
        <v>1</v>
      </c>
      <c r="M414" s="11"/>
      <c r="N414" s="106">
        <f t="shared" si="15"/>
        <v>5</v>
      </c>
      <c r="O414" s="107"/>
      <c r="P414" s="95"/>
      <c r="Q414" s="65" t="s">
        <v>1788</v>
      </c>
      <c r="R414" s="18">
        <v>30000</v>
      </c>
      <c r="S414" s="12">
        <v>31200</v>
      </c>
      <c r="T414" s="12">
        <v>32400</v>
      </c>
      <c r="U414" s="167"/>
      <c r="V414" s="168"/>
      <c r="W414" s="183">
        <v>500</v>
      </c>
    </row>
    <row r="415" spans="1:25">
      <c r="A415" s="120" t="s">
        <v>1498</v>
      </c>
      <c r="B415" s="44" t="str">
        <f>IFERROR(HYPERLINK(VLOOKUP(A415,ÜRÜNLER!A:C,3,FALSE),VLOOKUP(A415,ÜRÜNLER!A:B,2,FALSE)),"")</f>
        <v>iQ700 Sıcak Tutma Çekmecesi, 60x14cm, Siyah</v>
      </c>
      <c r="C415" s="8"/>
      <c r="D415" s="8"/>
      <c r="E415" s="9"/>
      <c r="F415" s="9"/>
      <c r="G415" s="10"/>
      <c r="H415" s="10"/>
      <c r="I415" s="11"/>
      <c r="J415" s="11"/>
      <c r="K415" s="10"/>
      <c r="L415" s="10"/>
      <c r="M415" s="11"/>
      <c r="N415" s="106">
        <f t="shared" si="15"/>
        <v>0</v>
      </c>
      <c r="O415" s="107">
        <v>1</v>
      </c>
      <c r="P415" s="95"/>
      <c r="Q415" s="45">
        <v>54431</v>
      </c>
      <c r="R415" s="18">
        <v>54431</v>
      </c>
      <c r="S415" s="12">
        <v>56608.24</v>
      </c>
      <c r="T415" s="12">
        <v>58785.479999999996</v>
      </c>
      <c r="U415" s="167"/>
      <c r="V415" s="168"/>
      <c r="W415" s="183">
        <v>500</v>
      </c>
    </row>
    <row r="416" spans="1:25">
      <c r="A416" s="113" t="s">
        <v>388</v>
      </c>
      <c r="B416" s="44" t="str">
        <f>IFERROR(HYPERLINK(VLOOKUP(A416,ÜRÜNLER!A:C,3,FALSE),VLOOKUP(A416,ÜRÜNLER!A:B,2,FALSE)),"")</f>
        <v>iQ700 Sıcak Tutma Çekmecesi, 60x14cm, Beyaz</v>
      </c>
      <c r="C416" s="8">
        <v>1</v>
      </c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06">
        <f t="shared" si="15"/>
        <v>1</v>
      </c>
      <c r="O416" s="107"/>
      <c r="P416" s="95"/>
      <c r="Q416" s="65" t="s">
        <v>1788</v>
      </c>
      <c r="R416" s="18">
        <v>30000</v>
      </c>
      <c r="S416" s="12">
        <v>31200</v>
      </c>
      <c r="T416" s="12">
        <v>32400</v>
      </c>
      <c r="U416" s="167"/>
      <c r="V416" s="168"/>
      <c r="W416" s="183">
        <v>500</v>
      </c>
    </row>
    <row r="417" spans="1:23">
      <c r="A417" s="113" t="s">
        <v>389</v>
      </c>
      <c r="B417" s="44" t="str">
        <f>IFERROR(HYPERLINK(VLOOKUP(A417,ÜRÜNLER!A:C,3,FALSE),VLOOKUP(A417,ÜRÜNLER!A:B,2,FALSE)),"")</f>
        <v>iQ700 studioLine Sıcak Tutma Çekmecesi, 60x14cm, Siyah</v>
      </c>
      <c r="C417" s="8"/>
      <c r="D417" s="8">
        <v>1</v>
      </c>
      <c r="E417" s="9"/>
      <c r="F417" s="9"/>
      <c r="G417" s="10"/>
      <c r="H417" s="10">
        <v>1</v>
      </c>
      <c r="I417" s="11"/>
      <c r="J417" s="11"/>
      <c r="K417" s="10"/>
      <c r="L417" s="10"/>
      <c r="M417" s="11"/>
      <c r="N417" s="106">
        <f t="shared" si="15"/>
        <v>2</v>
      </c>
      <c r="O417" s="107"/>
      <c r="P417" s="95"/>
      <c r="Q417" s="65" t="s">
        <v>1788</v>
      </c>
      <c r="R417" s="18">
        <v>30000</v>
      </c>
      <c r="S417" s="12">
        <v>31200</v>
      </c>
      <c r="T417" s="12">
        <v>32400</v>
      </c>
      <c r="U417" s="167"/>
      <c r="V417" s="168"/>
      <c r="W417" s="183">
        <v>500</v>
      </c>
    </row>
    <row r="418" spans="1:23" ht="40.5" customHeight="1">
      <c r="A418" s="30" t="s">
        <v>392</v>
      </c>
      <c r="B418" s="44" t="str">
        <f>IFERROR(HYPERLINK(VLOOKUP(A418,ÜRÜNLER!A:C,3,FALSE),VLOOKUP(A418,ÜRÜNLER!A:B,2,FALSE)),"")</f>
        <v/>
      </c>
      <c r="C418" s="8"/>
      <c r="D418" s="8"/>
      <c r="E418" s="9"/>
      <c r="F418" s="9"/>
      <c r="G418" s="10"/>
      <c r="H418" s="10"/>
      <c r="I418" s="11"/>
      <c r="J418" s="11"/>
      <c r="K418" s="10"/>
      <c r="L418" s="10"/>
      <c r="M418" s="11"/>
      <c r="N418" s="106">
        <f>SUM(N384:N417)</f>
        <v>455</v>
      </c>
      <c r="O418" s="107"/>
      <c r="P418" s="95"/>
      <c r="R418" s="18"/>
      <c r="S418" s="12"/>
      <c r="T418" s="12"/>
      <c r="U418" s="167"/>
      <c r="V418" s="168"/>
      <c r="W418" s="43"/>
    </row>
    <row r="419" spans="1:23">
      <c r="A419" s="20" t="s">
        <v>393</v>
      </c>
      <c r="B419" s="44" t="str">
        <f>IFERROR(HYPERLINK(VLOOKUP(A419,ÜRÜNLER!A:C,3,FALSE),VLOOKUP(A419,ÜRÜNLER!A:B,2,FALSE)),"")</f>
        <v>iQ500 Dik Şarjlı Elektrik Süpürgesi</v>
      </c>
      <c r="C419" s="8">
        <v>43</v>
      </c>
      <c r="D419" s="8"/>
      <c r="E419" s="9"/>
      <c r="F419" s="9">
        <v>196</v>
      </c>
      <c r="G419" s="10"/>
      <c r="H419" s="10"/>
      <c r="I419" s="11">
        <v>17</v>
      </c>
      <c r="J419" s="11">
        <v>4</v>
      </c>
      <c r="K419" s="10">
        <v>2</v>
      </c>
      <c r="L419" s="10">
        <v>23</v>
      </c>
      <c r="M419" s="11">
        <v>5</v>
      </c>
      <c r="N419" s="106">
        <f t="shared" ref="N419:N435" si="16">M419+K419+L419+J419+I419+H419+G419+F419+E419+D419+C419</f>
        <v>290</v>
      </c>
      <c r="O419" s="107">
        <v>1</v>
      </c>
      <c r="P419" s="95"/>
      <c r="Q419" s="45">
        <v>16035.596808446544</v>
      </c>
      <c r="R419" s="17">
        <v>14799</v>
      </c>
      <c r="S419" s="12">
        <v>15390.96</v>
      </c>
      <c r="T419" s="12">
        <v>15982.92</v>
      </c>
      <c r="U419" s="167"/>
      <c r="V419" s="168"/>
      <c r="W419" s="183">
        <v>500</v>
      </c>
    </row>
    <row r="420" spans="1:23">
      <c r="A420" s="20" t="s">
        <v>394</v>
      </c>
      <c r="B420" s="44" t="str">
        <f>IFERROR(HYPERLINK(VLOOKUP(A420,ÜRÜNLER!A:C,3,FALSE),VLOOKUP(A420,ÜRÜNLER!A:B,2,FALSE)),"")</f>
        <v>iQ500 Dik Şarjlı Elektrik Süpürgesi, Çift Bataryalı</v>
      </c>
      <c r="C420" s="8">
        <v>45</v>
      </c>
      <c r="D420" s="8"/>
      <c r="E420" s="9"/>
      <c r="F420" s="9">
        <v>17</v>
      </c>
      <c r="G420" s="10"/>
      <c r="H420" s="10"/>
      <c r="I420" s="11">
        <v>1</v>
      </c>
      <c r="J420" s="11">
        <v>3</v>
      </c>
      <c r="K420" s="10">
        <v>2</v>
      </c>
      <c r="L420" s="10">
        <v>2</v>
      </c>
      <c r="M420" s="11">
        <v>4</v>
      </c>
      <c r="N420" s="106">
        <f t="shared" si="16"/>
        <v>74</v>
      </c>
      <c r="O420" s="107">
        <v>1</v>
      </c>
      <c r="P420" s="95"/>
      <c r="Q420" s="45">
        <v>21917.208728307571</v>
      </c>
      <c r="R420" s="17">
        <v>20999</v>
      </c>
      <c r="S420" s="12">
        <v>21838.959999999999</v>
      </c>
      <c r="T420" s="12">
        <v>22678.92</v>
      </c>
      <c r="U420" s="167"/>
      <c r="V420" s="168"/>
      <c r="W420" s="183">
        <v>500</v>
      </c>
    </row>
    <row r="421" spans="1:23">
      <c r="A421" s="20" t="s">
        <v>395</v>
      </c>
      <c r="B421" s="44" t="str">
        <f>IFERROR(HYPERLINK(VLOOKUP(A421,ÜRÜNLER!A:C,3,FALSE),VLOOKUP(A421,ÜRÜNLER!A:B,2,FALSE)),"")</f>
        <v>iQ500 Dik Şarjlı 2'li Süpürme&amp;Silme Elektrik Süpürgesi</v>
      </c>
      <c r="C421" s="8">
        <v>69</v>
      </c>
      <c r="D421" s="8"/>
      <c r="E421" s="9"/>
      <c r="F421" s="9">
        <v>149</v>
      </c>
      <c r="G421" s="10"/>
      <c r="H421" s="10"/>
      <c r="I421" s="11">
        <v>8</v>
      </c>
      <c r="J421" s="11">
        <v>5</v>
      </c>
      <c r="K421" s="10">
        <v>1</v>
      </c>
      <c r="L421" s="10">
        <v>1</v>
      </c>
      <c r="M421" s="11">
        <v>3</v>
      </c>
      <c r="N421" s="106">
        <f t="shared" si="16"/>
        <v>236</v>
      </c>
      <c r="O421" s="107">
        <v>1</v>
      </c>
      <c r="P421" s="95"/>
      <c r="Q421" s="45">
        <v>22889.510310267811</v>
      </c>
      <c r="R421" s="17">
        <v>21999</v>
      </c>
      <c r="S421" s="12">
        <v>22878.959999999999</v>
      </c>
      <c r="T421" s="12">
        <v>23758.92</v>
      </c>
      <c r="U421" s="167"/>
      <c r="V421" s="168"/>
      <c r="W421" s="183">
        <v>500</v>
      </c>
    </row>
    <row r="422" spans="1:23">
      <c r="A422" s="20" t="s">
        <v>396</v>
      </c>
      <c r="B422" s="44" t="str">
        <f>IFERROR(HYPERLINK(VLOOKUP(A422,ÜRÜNLER!A:C,3,FALSE),VLOOKUP(A422,ÜRÜNLER!A:B,2,FALSE)),"")</f>
        <v>Toz torbalı Süpürge synchropower, 600w, Mavi</v>
      </c>
      <c r="C422" s="8"/>
      <c r="D422" s="8"/>
      <c r="E422" s="9"/>
      <c r="F422" s="9"/>
      <c r="G422" s="10">
        <v>1</v>
      </c>
      <c r="H422" s="10"/>
      <c r="I422" s="11">
        <v>5</v>
      </c>
      <c r="J422" s="11"/>
      <c r="K422" s="10"/>
      <c r="L422" s="10"/>
      <c r="M422" s="11"/>
      <c r="N422" s="106">
        <f t="shared" si="16"/>
        <v>6</v>
      </c>
      <c r="O422" s="107"/>
      <c r="P422" s="95"/>
      <c r="Q422" s="45">
        <v>7199.9210291256977</v>
      </c>
      <c r="R422" s="41">
        <v>6500</v>
      </c>
      <c r="S422" s="12">
        <v>6760</v>
      </c>
      <c r="T422" s="12">
        <v>7020</v>
      </c>
      <c r="U422" s="167"/>
      <c r="V422" s="168"/>
      <c r="W422" s="13">
        <v>250</v>
      </c>
    </row>
    <row r="423" spans="1:23">
      <c r="A423" s="20" t="s">
        <v>397</v>
      </c>
      <c r="B423" s="44" t="str">
        <f>IFERROR(HYPERLINK(VLOOKUP(A423,ÜRÜNLER!A:C,3,FALSE),VLOOKUP(A423,ÜRÜNLER!A:B,2,FALSE)),"")</f>
        <v>iQ300 Toz Torbalı Süpürge, 600w, Kırmızı</v>
      </c>
      <c r="C423" s="8"/>
      <c r="D423" s="8"/>
      <c r="E423" s="9"/>
      <c r="F423" s="9">
        <v>21</v>
      </c>
      <c r="G423" s="10"/>
      <c r="H423" s="10"/>
      <c r="I423" s="11">
        <v>1</v>
      </c>
      <c r="J423" s="11"/>
      <c r="K423" s="10"/>
      <c r="L423" s="10"/>
      <c r="M423" s="11">
        <v>3</v>
      </c>
      <c r="N423" s="106">
        <f t="shared" si="16"/>
        <v>25</v>
      </c>
      <c r="O423" s="107"/>
      <c r="P423" s="95"/>
      <c r="Q423" s="45">
        <v>7890.0382904480366</v>
      </c>
      <c r="R423" s="41">
        <v>7000</v>
      </c>
      <c r="S423" s="12">
        <v>7280</v>
      </c>
      <c r="T423" s="12">
        <v>7560</v>
      </c>
      <c r="U423" s="167"/>
      <c r="V423" s="168"/>
      <c r="W423" s="13">
        <v>250</v>
      </c>
    </row>
    <row r="424" spans="1:23">
      <c r="A424" s="125" t="s">
        <v>398</v>
      </c>
      <c r="B424" s="44" t="str">
        <f>IFERROR(HYPERLINK(VLOOKUP(A424,ÜRÜNLER!A:C,3,FALSE),VLOOKUP(A424,ÜRÜNLER!A:B,2,FALSE)),"")</f>
        <v>iQ300 Toz Torbalı Süpürge, 600w, Mavi</v>
      </c>
      <c r="C424" s="8"/>
      <c r="D424" s="8"/>
      <c r="E424" s="9"/>
      <c r="F424" s="9">
        <v>4</v>
      </c>
      <c r="G424" s="10"/>
      <c r="H424" s="10"/>
      <c r="I424" s="11">
        <v>1</v>
      </c>
      <c r="J424" s="11">
        <v>3</v>
      </c>
      <c r="K424" s="10"/>
      <c r="L424" s="10">
        <v>2</v>
      </c>
      <c r="M424" s="11">
        <v>1</v>
      </c>
      <c r="N424" s="106">
        <f t="shared" si="16"/>
        <v>11</v>
      </c>
      <c r="O424" s="107"/>
      <c r="P424" s="95"/>
      <c r="Q424" s="65" t="s">
        <v>1788</v>
      </c>
      <c r="R424" s="14">
        <v>6599</v>
      </c>
      <c r="S424" s="12">
        <v>6862.96</v>
      </c>
      <c r="T424" s="12">
        <v>7126.92</v>
      </c>
      <c r="U424" s="167"/>
      <c r="V424" s="168"/>
      <c r="W424" s="13">
        <v>250</v>
      </c>
    </row>
    <row r="425" spans="1:23">
      <c r="A425" s="125" t="s">
        <v>399</v>
      </c>
      <c r="B425" s="44" t="str">
        <f>IFERROR(HYPERLINK(VLOOKUP(A425,ÜRÜNLER!A:C,3,FALSE),VLOOKUP(A425,ÜRÜNLER!A:B,2,FALSE)),"")</f>
        <v>iQ300 Toz Torbalı Süpürge, 600w, Açık Mavi</v>
      </c>
      <c r="C425" s="8"/>
      <c r="D425" s="8"/>
      <c r="E425" s="9"/>
      <c r="F425" s="9"/>
      <c r="G425" s="10"/>
      <c r="H425" s="10"/>
      <c r="I425" s="11"/>
      <c r="J425" s="11"/>
      <c r="K425" s="10"/>
      <c r="L425" s="10"/>
      <c r="M425" s="11">
        <v>1</v>
      </c>
      <c r="N425" s="106">
        <f t="shared" si="16"/>
        <v>1</v>
      </c>
      <c r="O425" s="107"/>
      <c r="P425" s="95"/>
      <c r="Q425" s="65" t="s">
        <v>1788</v>
      </c>
      <c r="R425" s="18">
        <v>5999</v>
      </c>
      <c r="S425" s="12">
        <v>6238.96</v>
      </c>
      <c r="T425" s="12">
        <v>6478.92</v>
      </c>
      <c r="U425" s="167"/>
      <c r="V425" s="168"/>
      <c r="W425" s="13">
        <v>250</v>
      </c>
    </row>
    <row r="426" spans="1:23">
      <c r="A426" s="20" t="s">
        <v>400</v>
      </c>
      <c r="B426" s="44" t="str">
        <f>IFERROR(HYPERLINK(VLOOKUP(A426,ÜRÜNLER!A:C,3,FALSE),VLOOKUP(A426,ÜRÜNLER!A:B,2,FALSE)),"")</f>
        <v>iQ700 Toz Torbalı Süpürge, 650w, Beyaz</v>
      </c>
      <c r="C426" s="8"/>
      <c r="D426" s="8"/>
      <c r="E426" s="9"/>
      <c r="F426" s="9">
        <v>4</v>
      </c>
      <c r="G426" s="10">
        <v>5</v>
      </c>
      <c r="H426" s="10"/>
      <c r="I426" s="11">
        <v>2</v>
      </c>
      <c r="J426" s="11">
        <v>3</v>
      </c>
      <c r="K426" s="10">
        <v>2</v>
      </c>
      <c r="L426" s="10">
        <v>2</v>
      </c>
      <c r="M426" s="11">
        <v>2</v>
      </c>
      <c r="N426" s="106">
        <f t="shared" si="16"/>
        <v>20</v>
      </c>
      <c r="O426" s="107"/>
      <c r="P426" s="95"/>
      <c r="Q426" s="45">
        <v>17385.606197683526</v>
      </c>
      <c r="R426" s="41">
        <v>16000</v>
      </c>
      <c r="S426" s="12">
        <v>16640</v>
      </c>
      <c r="T426" s="12">
        <v>17280</v>
      </c>
      <c r="U426" s="167"/>
      <c r="V426" s="168"/>
      <c r="W426" s="13">
        <v>250</v>
      </c>
    </row>
    <row r="427" spans="1:23">
      <c r="A427" s="20" t="s">
        <v>401</v>
      </c>
      <c r="B427" s="44" t="str">
        <f>IFERROR(HYPERLINK(VLOOKUP(A427,ÜRÜNLER!A:C,3,FALSE),VLOOKUP(A427,ÜRÜNLER!A:B,2,FALSE)),"")</f>
        <v>iQ700 Toz Torbalı Süpürge, 650w, Kırmızı</v>
      </c>
      <c r="C427" s="8"/>
      <c r="D427" s="8"/>
      <c r="E427" s="9"/>
      <c r="F427" s="9"/>
      <c r="G427" s="10"/>
      <c r="H427" s="10"/>
      <c r="I427" s="11">
        <v>1</v>
      </c>
      <c r="J427" s="11"/>
      <c r="K427" s="10"/>
      <c r="L427" s="10"/>
      <c r="M427" s="11">
        <v>1</v>
      </c>
      <c r="N427" s="106">
        <f t="shared" si="16"/>
        <v>2</v>
      </c>
      <c r="O427" s="107"/>
      <c r="P427" s="95"/>
      <c r="Q427" s="65" t="s">
        <v>1788</v>
      </c>
      <c r="R427" s="18">
        <v>10999</v>
      </c>
      <c r="S427" s="12">
        <v>11438.96</v>
      </c>
      <c r="T427" s="12">
        <v>11878.92</v>
      </c>
      <c r="U427" s="167"/>
      <c r="V427" s="168"/>
      <c r="W427" s="13">
        <v>250</v>
      </c>
    </row>
    <row r="428" spans="1:23">
      <c r="A428" s="20" t="s">
        <v>402</v>
      </c>
      <c r="B428" s="44" t="str">
        <f>IFERROR(HYPERLINK(VLOOKUP(A428,ÜRÜNLER!A:C,3,FALSE),VLOOKUP(A428,ÜRÜNLER!A:B,2,FALSE)),"")</f>
        <v>iQ300 Plus Limited Edition Toz Torbalı Elektrik Süpürgesi, 750w, Kırmızı</v>
      </c>
      <c r="C428" s="8">
        <v>3</v>
      </c>
      <c r="D428" s="8"/>
      <c r="E428" s="9"/>
      <c r="F428" s="9">
        <v>8</v>
      </c>
      <c r="G428" s="10"/>
      <c r="H428" s="10"/>
      <c r="I428" s="11">
        <v>2</v>
      </c>
      <c r="J428" s="11">
        <v>4</v>
      </c>
      <c r="K428" s="10">
        <v>2</v>
      </c>
      <c r="L428" s="10"/>
      <c r="M428" s="11">
        <v>3</v>
      </c>
      <c r="N428" s="106">
        <f t="shared" si="16"/>
        <v>22</v>
      </c>
      <c r="O428" s="107">
        <v>1</v>
      </c>
      <c r="P428" s="95"/>
      <c r="Q428" s="45">
        <v>12473.574901724722</v>
      </c>
      <c r="R428" s="41">
        <v>11424.779999999999</v>
      </c>
      <c r="S428" s="12">
        <v>11881.771199999999</v>
      </c>
      <c r="T428" s="12">
        <v>12338.7624</v>
      </c>
      <c r="U428" s="167"/>
      <c r="V428" s="168"/>
      <c r="W428" s="13">
        <v>250</v>
      </c>
    </row>
    <row r="429" spans="1:23">
      <c r="A429" s="114" t="s">
        <v>403</v>
      </c>
      <c r="B429" s="44" t="str">
        <f>IFERROR(HYPERLINK(VLOOKUP(A429,ÜRÜNLER!A:C,3,FALSE),VLOOKUP(A429,ÜRÜNLER!A:B,2,FALSE)),"")</f>
        <v>iQ300 Toz Torbasız Süpürge, 550w, Kırmızı</v>
      </c>
      <c r="C429" s="8">
        <v>1</v>
      </c>
      <c r="D429" s="8"/>
      <c r="E429" s="9"/>
      <c r="F429" s="9">
        <v>34</v>
      </c>
      <c r="G429" s="10"/>
      <c r="H429" s="10"/>
      <c r="I429" s="11">
        <v>4</v>
      </c>
      <c r="J429" s="11">
        <v>1</v>
      </c>
      <c r="K429" s="10">
        <v>2</v>
      </c>
      <c r="L429" s="10">
        <v>19</v>
      </c>
      <c r="M429" s="11">
        <v>2</v>
      </c>
      <c r="N429" s="106">
        <f t="shared" si="16"/>
        <v>63</v>
      </c>
      <c r="O429" s="107"/>
      <c r="P429" s="95"/>
      <c r="Q429" s="45">
        <v>9014.0958506441748</v>
      </c>
      <c r="R429" s="41">
        <v>8500</v>
      </c>
      <c r="S429" s="12">
        <v>8840</v>
      </c>
      <c r="T429" s="12">
        <v>9180</v>
      </c>
      <c r="U429" s="167"/>
      <c r="V429" s="168"/>
      <c r="W429" s="13">
        <v>250</v>
      </c>
    </row>
    <row r="430" spans="1:23">
      <c r="A430" s="114" t="s">
        <v>404</v>
      </c>
      <c r="B430" s="44" t="str">
        <f>IFERROR(HYPERLINK(VLOOKUP(A430,ÜRÜNLER!A:C,3,FALSE),VLOOKUP(A430,ÜRÜNLER!A:B,2,FALSE)),"")</f>
        <v>iQ300 Toz Torbasız Süpürge, 750w, Mavi</v>
      </c>
      <c r="C430" s="8">
        <v>9</v>
      </c>
      <c r="D430" s="8"/>
      <c r="E430" s="9"/>
      <c r="F430" s="9">
        <v>23</v>
      </c>
      <c r="G430" s="10"/>
      <c r="H430" s="10"/>
      <c r="I430" s="11">
        <v>1</v>
      </c>
      <c r="J430" s="11">
        <v>3</v>
      </c>
      <c r="K430" s="10">
        <v>2</v>
      </c>
      <c r="L430" s="10">
        <v>4</v>
      </c>
      <c r="M430" s="11">
        <v>1</v>
      </c>
      <c r="N430" s="106">
        <f t="shared" si="16"/>
        <v>43</v>
      </c>
      <c r="O430" s="107"/>
      <c r="P430" s="95"/>
      <c r="Q430" s="45">
        <v>11340.828006656646</v>
      </c>
      <c r="R430" s="41">
        <v>10600</v>
      </c>
      <c r="S430" s="12">
        <v>11024</v>
      </c>
      <c r="T430" s="12">
        <v>11448</v>
      </c>
      <c r="U430" s="167"/>
      <c r="V430" s="168"/>
      <c r="W430" s="13">
        <v>250</v>
      </c>
    </row>
    <row r="431" spans="1:23">
      <c r="A431" s="114" t="s">
        <v>405</v>
      </c>
      <c r="B431" s="44" t="str">
        <f>IFERROR(HYPERLINK(VLOOKUP(A431,ÜRÜNLER!A:C,3,FALSE),VLOOKUP(A431,ÜRÜNLER!A:B,2,FALSE)),"")</f>
        <v>iQ500 Toz Torbasız Süpürge, 550w, Kırmızı</v>
      </c>
      <c r="C431" s="8">
        <v>35</v>
      </c>
      <c r="D431" s="8"/>
      <c r="E431" s="9"/>
      <c r="F431" s="9">
        <v>1</v>
      </c>
      <c r="G431" s="10"/>
      <c r="H431" s="10"/>
      <c r="I431" s="11">
        <v>1</v>
      </c>
      <c r="J431" s="11">
        <v>3</v>
      </c>
      <c r="K431" s="10">
        <v>1</v>
      </c>
      <c r="L431" s="10">
        <v>4</v>
      </c>
      <c r="M431" s="11">
        <v>3</v>
      </c>
      <c r="N431" s="106">
        <f t="shared" si="16"/>
        <v>48</v>
      </c>
      <c r="O431" s="107"/>
      <c r="P431" s="95"/>
      <c r="Q431" s="45">
        <v>9537.7576196999089</v>
      </c>
      <c r="R431" s="41">
        <v>9000</v>
      </c>
      <c r="S431" s="12">
        <v>9360</v>
      </c>
      <c r="T431" s="12">
        <v>9720</v>
      </c>
      <c r="U431" s="167"/>
      <c r="V431" s="168"/>
      <c r="W431" s="13">
        <v>250</v>
      </c>
    </row>
    <row r="432" spans="1:23">
      <c r="A432" s="114" t="s">
        <v>406</v>
      </c>
      <c r="B432" s="44" t="str">
        <f>IFERROR(HYPERLINK(VLOOKUP(A432,ÜRÜNLER!A:C,3,FALSE),VLOOKUP(A432,ÜRÜNLER!A:B,2,FALSE)),"")</f>
        <v>iQ500 Toz Torbasız Süpürge, 550w, Mavi</v>
      </c>
      <c r="C432" s="8"/>
      <c r="D432" s="8"/>
      <c r="E432" s="9"/>
      <c r="F432" s="9">
        <v>1</v>
      </c>
      <c r="G432" s="10"/>
      <c r="H432" s="10"/>
      <c r="I432" s="11">
        <v>1</v>
      </c>
      <c r="J432" s="11"/>
      <c r="K432" s="10"/>
      <c r="L432" s="10">
        <v>2</v>
      </c>
      <c r="M432" s="11">
        <v>1</v>
      </c>
      <c r="N432" s="106">
        <f t="shared" si="16"/>
        <v>5</v>
      </c>
      <c r="O432" s="107"/>
      <c r="P432" s="95"/>
      <c r="Q432" s="65" t="s">
        <v>1788</v>
      </c>
      <c r="R432" s="14">
        <v>6500</v>
      </c>
      <c r="S432" s="12">
        <v>6760</v>
      </c>
      <c r="T432" s="12">
        <v>7020</v>
      </c>
      <c r="U432" s="167"/>
      <c r="V432" s="168"/>
      <c r="W432" s="13">
        <v>250</v>
      </c>
    </row>
    <row r="433" spans="1:25">
      <c r="A433" s="114" t="s">
        <v>407</v>
      </c>
      <c r="B433" s="44" t="str">
        <f>IFERROR(HYPERLINK(VLOOKUP(A433,ÜRÜNLER!A:C,3,FALSE),VLOOKUP(A433,ÜRÜNLER!A:B,2,FALSE)),"")</f>
        <v>iQ500 Toz Torbasız Elektrik Süpürgesi, 750w, Siyah</v>
      </c>
      <c r="C433" s="8">
        <v>66</v>
      </c>
      <c r="D433" s="8"/>
      <c r="E433" s="9"/>
      <c r="F433" s="9">
        <v>41</v>
      </c>
      <c r="G433" s="10"/>
      <c r="H433" s="10"/>
      <c r="I433" s="11">
        <v>12</v>
      </c>
      <c r="J433" s="11">
        <v>4</v>
      </c>
      <c r="K433" s="10">
        <v>3</v>
      </c>
      <c r="L433" s="10">
        <v>3</v>
      </c>
      <c r="M433" s="11">
        <v>5</v>
      </c>
      <c r="N433" s="106">
        <f t="shared" si="16"/>
        <v>134</v>
      </c>
      <c r="O433" s="107">
        <v>1</v>
      </c>
      <c r="P433" s="95"/>
      <c r="Q433" s="45">
        <v>12397.26916737494</v>
      </c>
      <c r="R433" s="41">
        <v>11695.536</v>
      </c>
      <c r="S433" s="12">
        <v>12163.35744</v>
      </c>
      <c r="T433" s="12">
        <v>12631.178879999999</v>
      </c>
      <c r="U433" s="167"/>
      <c r="V433" s="168"/>
      <c r="W433" s="13">
        <v>250</v>
      </c>
    </row>
    <row r="434" spans="1:25">
      <c r="A434" s="114" t="s">
        <v>408</v>
      </c>
      <c r="B434" s="44" t="str">
        <f>IFERROR(HYPERLINK(VLOOKUP(A434,ÜRÜNLER!A:C,3,FALSE),VLOOKUP(A434,ÜRÜNLER!A:B,2,FALSE)),"")</f>
        <v>Siemens Toz Torbasız Süpürge, 600w, Kırmızı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06">
        <f t="shared" si="16"/>
        <v>1</v>
      </c>
      <c r="O434" s="107"/>
      <c r="P434" s="95"/>
      <c r="Q434" s="65" t="s">
        <v>1788</v>
      </c>
      <c r="R434" s="18">
        <v>4999</v>
      </c>
      <c r="S434" s="12">
        <v>5198.96</v>
      </c>
      <c r="T434" s="12">
        <v>5398.92</v>
      </c>
      <c r="U434" s="167"/>
      <c r="V434" s="168"/>
      <c r="W434" s="13">
        <v>250</v>
      </c>
    </row>
    <row r="435" spans="1:25">
      <c r="A435" s="114" t="s">
        <v>409</v>
      </c>
      <c r="B435" s="44" t="str">
        <f>IFERROR(HYPERLINK(VLOOKUP(A435,ÜRÜNLER!A:C,3,FALSE),VLOOKUP(A435,ÜRÜNLER!A:B,2,FALSE)),"")</f>
        <v>iQ700 Toz Torbasız Elektrik Süpürgesi, 850w, Siyah</v>
      </c>
      <c r="C435" s="8">
        <v>1</v>
      </c>
      <c r="D435" s="8"/>
      <c r="E435" s="9"/>
      <c r="F435" s="9">
        <v>34</v>
      </c>
      <c r="G435" s="10"/>
      <c r="H435" s="10"/>
      <c r="I435" s="11">
        <v>7</v>
      </c>
      <c r="J435" s="11">
        <v>13</v>
      </c>
      <c r="K435" s="10">
        <v>3</v>
      </c>
      <c r="L435" s="10">
        <v>8</v>
      </c>
      <c r="M435" s="11">
        <v>3</v>
      </c>
      <c r="N435" s="106">
        <f t="shared" si="16"/>
        <v>69</v>
      </c>
      <c r="O435" s="107">
        <v>1</v>
      </c>
      <c r="P435" s="95"/>
      <c r="Q435" s="45">
        <v>21734.966643145952</v>
      </c>
      <c r="R435" s="41">
        <v>20000</v>
      </c>
      <c r="S435" s="12">
        <v>20800</v>
      </c>
      <c r="T435" s="12">
        <v>21600</v>
      </c>
      <c r="U435" s="167"/>
      <c r="V435" s="168"/>
      <c r="W435" s="13">
        <v>250</v>
      </c>
    </row>
    <row r="436" spans="1:25" ht="18.75">
      <c r="A436" s="140" t="s">
        <v>412</v>
      </c>
      <c r="B436" s="44" t="str">
        <f>IFERROR(HYPERLINK(VLOOKUP(A436,ÜRÜNLER!A:C,3,FALSE),VLOOKUP(A436,ÜRÜNLER!A:B,2,FALSE)),"")</f>
        <v/>
      </c>
      <c r="C436" s="8"/>
      <c r="D436" s="8"/>
      <c r="E436" s="9"/>
      <c r="F436" s="9"/>
      <c r="G436" s="10"/>
      <c r="H436" s="10"/>
      <c r="I436" s="11"/>
      <c r="J436" s="11"/>
      <c r="K436" s="10"/>
      <c r="L436" s="10"/>
      <c r="M436" s="11"/>
      <c r="N436" s="106">
        <f>SUM(N419:N435)</f>
        <v>1050</v>
      </c>
      <c r="O436" s="107"/>
      <c r="P436" s="9"/>
      <c r="R436" s="18"/>
      <c r="S436" s="12"/>
      <c r="T436" s="12"/>
      <c r="U436" s="167"/>
      <c r="V436" s="168"/>
      <c r="W436" s="16"/>
    </row>
    <row r="437" spans="1:25">
      <c r="A437" s="20" t="s">
        <v>415</v>
      </c>
      <c r="B437" s="44" t="str">
        <f>IFERROR(HYPERLINK(VLOOKUP(A437,ÜRÜNLER!A:C,3,FALSE),VLOOKUP(A437,ÜRÜNLER!A:B,2,FALSE)),"")</f>
        <v>Soğuk Su Sebili, Gri</v>
      </c>
      <c r="C437" s="8"/>
      <c r="D437" s="8"/>
      <c r="E437" s="9"/>
      <c r="F437" s="9">
        <v>2</v>
      </c>
      <c r="G437" s="10"/>
      <c r="H437" s="10"/>
      <c r="I437" s="11">
        <v>2</v>
      </c>
      <c r="J437" s="11">
        <v>1</v>
      </c>
      <c r="K437" s="10">
        <v>1</v>
      </c>
      <c r="L437" s="10">
        <v>1</v>
      </c>
      <c r="M437" s="11">
        <v>1</v>
      </c>
      <c r="N437" s="106">
        <f t="shared" ref="N437:N469" si="17">M437+K437+L437+J437+I437+H437+G437+F437+E437+D437+C437</f>
        <v>8</v>
      </c>
      <c r="O437" s="107">
        <v>1</v>
      </c>
      <c r="P437" s="95"/>
      <c r="Q437" s="45">
        <v>12135.512944202061</v>
      </c>
      <c r="R437" s="17">
        <v>13955.839885832371</v>
      </c>
      <c r="S437" s="12">
        <v>14514.073481265666</v>
      </c>
      <c r="T437" s="12">
        <v>15072.30707669896</v>
      </c>
      <c r="V437" s="168"/>
      <c r="W437" s="182">
        <v>250</v>
      </c>
      <c r="Y437" s="167" t="s">
        <v>1807</v>
      </c>
    </row>
    <row r="438" spans="1:25">
      <c r="A438" s="20" t="s">
        <v>416</v>
      </c>
      <c r="B438" s="44" t="str">
        <f>IFERROR(HYPERLINK(VLOOKUP(A438,ÜRÜNLER!A:C,3,FALSE),VLOOKUP(A438,ÜRÜNLER!A:B,2,FALSE)),"")</f>
        <v>Soğuk Su Sebili, Siyah/Gri, Dokunmatik</v>
      </c>
      <c r="C438" s="8">
        <v>10</v>
      </c>
      <c r="D438" s="8"/>
      <c r="E438" s="9"/>
      <c r="F438" s="9">
        <v>7</v>
      </c>
      <c r="G438" s="10"/>
      <c r="H438" s="10"/>
      <c r="I438" s="11"/>
      <c r="J438" s="11">
        <v>1</v>
      </c>
      <c r="K438" s="10"/>
      <c r="L438" s="10">
        <v>1</v>
      </c>
      <c r="M438" s="11">
        <v>1</v>
      </c>
      <c r="N438" s="106">
        <f t="shared" si="17"/>
        <v>20</v>
      </c>
      <c r="O438" s="107">
        <v>1</v>
      </c>
      <c r="P438" s="95"/>
      <c r="Q438" s="45">
        <v>17668.041771474731</v>
      </c>
      <c r="R438" s="17">
        <v>20318.248037195939</v>
      </c>
      <c r="S438" s="12">
        <v>21130.977958683776</v>
      </c>
      <c r="T438" s="12">
        <v>21943.707880171612</v>
      </c>
      <c r="V438" s="168"/>
      <c r="W438" s="182">
        <v>250</v>
      </c>
      <c r="Y438" s="167" t="s">
        <v>1807</v>
      </c>
    </row>
    <row r="439" spans="1:25">
      <c r="A439" s="20" t="s">
        <v>417</v>
      </c>
      <c r="B439" s="44" t="str">
        <f>IFERROR(HYPERLINK(VLOOKUP(A439,ÜRÜNLER!A:C,3,FALSE),VLOOKUP(A439,ÜRÜNLER!A:B,2,FALSE)),"")</f>
        <v>Soğuk Su Sebili, Siyah/Gri</v>
      </c>
      <c r="C439" s="8">
        <v>41</v>
      </c>
      <c r="D439" s="8"/>
      <c r="E439" s="9"/>
      <c r="F439" s="9">
        <v>1</v>
      </c>
      <c r="G439" s="10"/>
      <c r="H439" s="10"/>
      <c r="I439" s="11">
        <v>1</v>
      </c>
      <c r="J439" s="11"/>
      <c r="K439" s="10">
        <v>1</v>
      </c>
      <c r="L439" s="10">
        <v>1</v>
      </c>
      <c r="M439" s="11">
        <v>1</v>
      </c>
      <c r="N439" s="106">
        <f t="shared" si="17"/>
        <v>46</v>
      </c>
      <c r="O439" s="107">
        <v>1</v>
      </c>
      <c r="P439" s="95"/>
      <c r="Q439" s="45">
        <v>17457.966393900053</v>
      </c>
      <c r="R439" s="17">
        <v>20076.661352985062</v>
      </c>
      <c r="S439" s="12">
        <v>20879.727807104464</v>
      </c>
      <c r="T439" s="12">
        <v>21682.794261223866</v>
      </c>
      <c r="V439" s="168"/>
      <c r="W439" s="182">
        <v>250</v>
      </c>
      <c r="Y439" s="167" t="s">
        <v>1807</v>
      </c>
    </row>
    <row r="440" spans="1:25">
      <c r="A440" s="20" t="s">
        <v>418</v>
      </c>
      <c r="B440" s="44" t="str">
        <f>IFERROR(HYPERLINK(VLOOKUP(A440,ÜRÜNLER!A:C,3,FALSE),VLOOKUP(A440,ÜRÜNLER!A:B,2,FALSE)),"")</f>
        <v>Sıcak/Soğuk Su Sebili, Beyaz</v>
      </c>
      <c r="C440" s="8">
        <v>29</v>
      </c>
      <c r="D440" s="8"/>
      <c r="E440" s="9"/>
      <c r="F440" s="9">
        <v>2</v>
      </c>
      <c r="G440" s="10"/>
      <c r="H440" s="10"/>
      <c r="I440" s="11">
        <v>2</v>
      </c>
      <c r="J440" s="11">
        <v>2</v>
      </c>
      <c r="K440" s="10">
        <v>1</v>
      </c>
      <c r="L440" s="10"/>
      <c r="M440" s="11">
        <v>1</v>
      </c>
      <c r="N440" s="106">
        <f t="shared" si="17"/>
        <v>37</v>
      </c>
      <c r="O440" s="107">
        <v>1</v>
      </c>
      <c r="P440" s="95"/>
      <c r="Q440" s="45">
        <v>16162.0709903153</v>
      </c>
      <c r="R440" s="17">
        <v>18586.381638862596</v>
      </c>
      <c r="S440" s="12">
        <v>19329.836904417101</v>
      </c>
      <c r="T440" s="12">
        <v>20073.292169971603</v>
      </c>
      <c r="V440" s="168"/>
      <c r="W440" s="182">
        <v>250</v>
      </c>
      <c r="Y440" s="167" t="s">
        <v>1807</v>
      </c>
    </row>
    <row r="441" spans="1:25">
      <c r="A441" s="20" t="s">
        <v>419</v>
      </c>
      <c r="B441" s="44" t="str">
        <f>IFERROR(HYPERLINK(VLOOKUP(A441,ÜRÜNLER!A:C,3,FALSE),VLOOKUP(A441,ÜRÜNLER!A:B,2,FALSE)),"")</f>
        <v>Soğuk Su Sebili, Siyah/Gri, Sensörlü</v>
      </c>
      <c r="C441" s="8">
        <v>35</v>
      </c>
      <c r="D441" s="8"/>
      <c r="E441" s="9"/>
      <c r="F441" s="9">
        <v>13</v>
      </c>
      <c r="G441" s="10"/>
      <c r="H441" s="10"/>
      <c r="I441" s="11"/>
      <c r="J441" s="11"/>
      <c r="K441" s="10"/>
      <c r="L441" s="10"/>
      <c r="M441" s="11"/>
      <c r="N441" s="106">
        <f t="shared" si="17"/>
        <v>48</v>
      </c>
      <c r="O441" s="107">
        <v>1</v>
      </c>
      <c r="P441" s="95"/>
      <c r="Q441" s="45">
        <v>18505.986449058491</v>
      </c>
      <c r="R441" s="17">
        <v>21281.884416417266</v>
      </c>
      <c r="S441" s="12">
        <v>22133.159793073955</v>
      </c>
      <c r="T441" s="12">
        <v>22984.435169730648</v>
      </c>
      <c r="V441" s="168"/>
      <c r="W441" s="182">
        <v>250</v>
      </c>
      <c r="Y441" s="167" t="s">
        <v>1807</v>
      </c>
    </row>
    <row r="442" spans="1:25">
      <c r="A442" s="113" t="s">
        <v>390</v>
      </c>
      <c r="B442" s="44" t="str">
        <f>IFERROR(HYPERLINK(VLOOKUP(A442,ÜRÜNLER!A:C,3,FALSE),VLOOKUP(A442,ÜRÜNLER!A:B,2,FALSE)),"")</f>
        <v>Temizleme Tableti</v>
      </c>
      <c r="C442" s="8"/>
      <c r="D442" s="8"/>
      <c r="E442" s="9"/>
      <c r="F442" s="9">
        <v>66</v>
      </c>
      <c r="G442" s="10"/>
      <c r="H442" s="10"/>
      <c r="I442" s="11">
        <v>42</v>
      </c>
      <c r="J442" s="11">
        <v>26</v>
      </c>
      <c r="K442" s="10">
        <v>7</v>
      </c>
      <c r="L442" s="10">
        <v>12</v>
      </c>
      <c r="M442" s="11">
        <v>16</v>
      </c>
      <c r="N442" s="106">
        <f t="shared" si="17"/>
        <v>169</v>
      </c>
      <c r="O442" s="107"/>
      <c r="P442" s="95"/>
      <c r="Q442" s="45">
        <v>480</v>
      </c>
      <c r="R442" s="18">
        <v>650</v>
      </c>
      <c r="S442" s="12">
        <v>700</v>
      </c>
      <c r="T442" s="12">
        <v>800</v>
      </c>
      <c r="U442" s="167"/>
      <c r="V442" s="168"/>
      <c r="W442" s="16">
        <v>50</v>
      </c>
    </row>
    <row r="443" spans="1:25">
      <c r="A443" s="113" t="s">
        <v>391</v>
      </c>
      <c r="B443" s="44" t="str">
        <f>IFERROR(HYPERLINK(VLOOKUP(A443,ÜRÜNLER!A:C,3,FALSE),VLOOKUP(A443,ÜRÜNLER!A:B,2,FALSE)),"")</f>
        <v>Kireç Temizleme Tableti</v>
      </c>
      <c r="C443" s="8"/>
      <c r="D443" s="8"/>
      <c r="E443" s="9"/>
      <c r="F443" s="9"/>
      <c r="G443" s="10"/>
      <c r="H443" s="10"/>
      <c r="I443" s="11">
        <v>44</v>
      </c>
      <c r="J443" s="11">
        <v>2</v>
      </c>
      <c r="K443" s="10">
        <v>6</v>
      </c>
      <c r="L443" s="10">
        <v>10</v>
      </c>
      <c r="M443" s="11">
        <v>16</v>
      </c>
      <c r="N443" s="106">
        <f t="shared" si="17"/>
        <v>78</v>
      </c>
      <c r="O443" s="107"/>
      <c r="P443" s="95"/>
      <c r="Q443" s="45">
        <v>480</v>
      </c>
      <c r="R443" s="18">
        <v>650</v>
      </c>
      <c r="S443" s="12">
        <v>700</v>
      </c>
      <c r="T443" s="12">
        <v>800</v>
      </c>
      <c r="U443" s="167"/>
      <c r="V443" s="168"/>
      <c r="W443" s="16">
        <v>50</v>
      </c>
    </row>
    <row r="444" spans="1:25">
      <c r="A444" s="114" t="s">
        <v>201</v>
      </c>
      <c r="B444" s="44" t="str">
        <f>IFERROR(HYPERLINK(VLOOKUP(A444,ÜRÜNLER!A:C,3,FALSE),VLOOKUP(A444,ÜRÜNLER!A:B,2,FALSE)),"")</f>
        <v>3D Fry Tepsi</v>
      </c>
      <c r="C444" s="8">
        <v>22</v>
      </c>
      <c r="D444" s="8"/>
      <c r="E444" s="9"/>
      <c r="F444" s="9"/>
      <c r="G444" s="10">
        <v>12</v>
      </c>
      <c r="H444" s="10"/>
      <c r="I444" s="11">
        <v>3</v>
      </c>
      <c r="J444" s="11">
        <v>6</v>
      </c>
      <c r="K444" s="10">
        <v>2</v>
      </c>
      <c r="L444" s="10">
        <v>9</v>
      </c>
      <c r="M444" s="11">
        <v>3</v>
      </c>
      <c r="N444" s="106">
        <f t="shared" si="17"/>
        <v>57</v>
      </c>
      <c r="O444" s="107">
        <v>14</v>
      </c>
      <c r="P444" s="95"/>
      <c r="Q444" s="150">
        <v>344</v>
      </c>
      <c r="R444" s="18">
        <v>700</v>
      </c>
      <c r="S444" s="12">
        <v>700</v>
      </c>
      <c r="T444" s="12">
        <v>800</v>
      </c>
      <c r="U444" s="167"/>
      <c r="V444" s="168"/>
      <c r="W444" s="183">
        <v>100</v>
      </c>
    </row>
    <row r="445" spans="1:25">
      <c r="A445" s="114" t="s">
        <v>202</v>
      </c>
      <c r="B445" s="44" t="str">
        <f>IFERROR(HYPERLINK(VLOOKUP(A445,ÜRÜNLER!A:C,3,FALSE),VLOOKUP(A445,ÜRÜNLER!A:B,2,FALSE)),"")</f>
        <v>Siemens starter kit unducted recirculation</v>
      </c>
      <c r="C445" s="8">
        <v>2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06">
        <f t="shared" si="17"/>
        <v>2</v>
      </c>
      <c r="O445" s="107"/>
      <c r="P445" s="95"/>
      <c r="Q445" s="45">
        <v>420</v>
      </c>
      <c r="R445" s="18">
        <v>750</v>
      </c>
      <c r="S445" s="12">
        <v>850</v>
      </c>
      <c r="T445" s="12">
        <v>900</v>
      </c>
      <c r="U445" s="167"/>
      <c r="V445" s="168"/>
      <c r="W445" s="183">
        <v>100</v>
      </c>
    </row>
    <row r="446" spans="1:25">
      <c r="A446" s="114" t="s">
        <v>410</v>
      </c>
      <c r="B446" s="44" t="str">
        <f>IFERROR(HYPERLINK(VLOOKUP(A446,ÜRÜNLER!A:C,3,FALSE),VLOOKUP(A446,ÜRÜNLER!A:B,2,FALSE)),"")</f>
        <v>Siemens Elektrikli Süpürgeler için Toz Torbası (P Tip) 4'lü Paket</v>
      </c>
      <c r="C446" s="8"/>
      <c r="D446" s="8"/>
      <c r="E446" s="9"/>
      <c r="F446" s="9"/>
      <c r="G446" s="10"/>
      <c r="H446" s="10"/>
      <c r="I446" s="11">
        <v>6</v>
      </c>
      <c r="J446" s="11"/>
      <c r="K446" s="10"/>
      <c r="L446" s="10"/>
      <c r="M446" s="11"/>
      <c r="N446" s="106">
        <f t="shared" si="17"/>
        <v>6</v>
      </c>
      <c r="O446" s="107"/>
      <c r="P446" s="95"/>
      <c r="R446" s="18">
        <v>550</v>
      </c>
      <c r="S446" s="12">
        <v>600</v>
      </c>
      <c r="T446" s="12">
        <v>650</v>
      </c>
      <c r="U446" s="167"/>
      <c r="V446" s="168"/>
      <c r="W446" s="183">
        <v>100</v>
      </c>
    </row>
    <row r="447" spans="1:25">
      <c r="A447" s="114" t="s">
        <v>411</v>
      </c>
      <c r="B447" s="44" t="str">
        <f>IFERROR(HYPERLINK(VLOOKUP(A447,ÜRÜNLER!A:C,3,FALSE),VLOOKUP(A447,ÜRÜNLER!A:B,2,FALSE)),"")</f>
        <v>Elektrik Süpürgesi Toz Torbası 4'lü</v>
      </c>
      <c r="C447" s="8">
        <v>1</v>
      </c>
      <c r="D447" s="8"/>
      <c r="E447" s="9"/>
      <c r="F447" s="9"/>
      <c r="G447" s="10"/>
      <c r="H447" s="10"/>
      <c r="I447" s="11">
        <v>65</v>
      </c>
      <c r="J447" s="11">
        <v>51</v>
      </c>
      <c r="K447" s="10">
        <v>54</v>
      </c>
      <c r="L447" s="10">
        <v>7</v>
      </c>
      <c r="M447" s="11">
        <v>46</v>
      </c>
      <c r="N447" s="106">
        <f t="shared" si="17"/>
        <v>224</v>
      </c>
      <c r="O447" s="107">
        <v>1</v>
      </c>
      <c r="P447" s="95"/>
      <c r="Q447" s="45">
        <v>328</v>
      </c>
      <c r="R447" s="18">
        <v>550</v>
      </c>
      <c r="S447" s="12">
        <v>600</v>
      </c>
      <c r="T447" s="12">
        <v>650</v>
      </c>
      <c r="U447" s="167"/>
      <c r="V447" s="168"/>
      <c r="W447" s="183">
        <v>100</v>
      </c>
    </row>
    <row r="448" spans="1:25">
      <c r="A448" s="114" t="s">
        <v>413</v>
      </c>
      <c r="B448" s="44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10"/>
      <c r="H448" s="10"/>
      <c r="I448" s="11"/>
      <c r="J448" s="11"/>
      <c r="K448" s="10"/>
      <c r="L448" s="10">
        <v>1</v>
      </c>
      <c r="M448" s="11"/>
      <c r="N448" s="106">
        <f t="shared" si="17"/>
        <v>1</v>
      </c>
      <c r="O448" s="107"/>
      <c r="P448" s="95"/>
      <c r="R448" s="18">
        <v>39999</v>
      </c>
      <c r="S448" s="12">
        <v>41598.959999999999</v>
      </c>
      <c r="T448" s="12">
        <v>43198.92</v>
      </c>
      <c r="U448" s="167"/>
      <c r="V448" s="168"/>
      <c r="W448" s="13">
        <v>250</v>
      </c>
    </row>
    <row r="449" spans="1:23">
      <c r="A449" s="114" t="s">
        <v>414</v>
      </c>
      <c r="B449" s="44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>
        <v>1</v>
      </c>
      <c r="H449" s="10"/>
      <c r="I449" s="11"/>
      <c r="J449" s="11"/>
      <c r="K449" s="10"/>
      <c r="L449" s="10"/>
      <c r="M449" s="11"/>
      <c r="N449" s="106">
        <f t="shared" si="17"/>
        <v>1</v>
      </c>
      <c r="O449" s="107"/>
      <c r="P449" s="95"/>
      <c r="R449" s="18">
        <v>49999</v>
      </c>
      <c r="S449" s="12">
        <v>51998.96</v>
      </c>
      <c r="T449" s="12">
        <v>53998.92</v>
      </c>
      <c r="U449" s="167"/>
      <c r="V449" s="168"/>
      <c r="W449" s="13">
        <v>250</v>
      </c>
    </row>
    <row r="450" spans="1:23">
      <c r="A450" s="114" t="s">
        <v>420</v>
      </c>
      <c r="B450" s="44" t="str">
        <f>IFERROR(HYPERLINK(VLOOKUP(A450,ÜRÜNLER!A:C,3,FALSE),VLOOKUP(A450,ÜRÜNLER!A:B,2,FALSE)),"")</f>
        <v>Siemens Çay Makinesi</v>
      </c>
      <c r="C450" s="8"/>
      <c r="D450" s="8"/>
      <c r="E450" s="9"/>
      <c r="F450" s="9"/>
      <c r="G450" s="10"/>
      <c r="H450" s="10"/>
      <c r="I450" s="11">
        <v>3</v>
      </c>
      <c r="J450" s="11">
        <v>1</v>
      </c>
      <c r="K450" s="10"/>
      <c r="L450" s="10">
        <v>1</v>
      </c>
      <c r="M450" s="11">
        <v>1</v>
      </c>
      <c r="N450" s="106">
        <f t="shared" si="17"/>
        <v>6</v>
      </c>
      <c r="O450" s="107"/>
      <c r="P450" s="95"/>
      <c r="R450" s="18">
        <v>3999</v>
      </c>
      <c r="S450" s="12">
        <v>4158.96</v>
      </c>
      <c r="T450" s="12">
        <v>4318.92</v>
      </c>
      <c r="U450" s="167"/>
      <c r="V450" s="168"/>
      <c r="W450" s="13">
        <v>50</v>
      </c>
    </row>
    <row r="451" spans="1:23">
      <c r="A451" s="114" t="s">
        <v>421</v>
      </c>
      <c r="B451" s="44" t="str">
        <f>IFERROR(HYPERLINK(VLOOKUP(A451,ÜRÜNLER!A:C,3,FALSE),VLOOKUP(A451,ÜRÜNLER!A:B,2,FALSE)),"")</f>
        <v>Siemens Filtre Kahve Makinesi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4999</v>
      </c>
      <c r="S451" s="12">
        <v>5198.96</v>
      </c>
      <c r="T451" s="12">
        <v>5398.92</v>
      </c>
      <c r="U451" s="167"/>
      <c r="V451" s="168"/>
      <c r="W451" s="13">
        <v>50</v>
      </c>
    </row>
    <row r="452" spans="1:23">
      <c r="A452" s="114" t="s">
        <v>422</v>
      </c>
      <c r="B452" s="44" t="str">
        <f>IFERROR(HYPERLINK(VLOOKUP(A452,ÜRÜNLER!A:C,3,FALSE),VLOOKUP(A452,ÜRÜNLER!A:B,2,FALSE)),"")</f>
        <v>Siemens El Blenderı ergonomicEdition, 600w, Beyaz/Mavi</v>
      </c>
      <c r="C452" s="8"/>
      <c r="D452" s="8"/>
      <c r="E452" s="9"/>
      <c r="F452" s="9"/>
      <c r="G452" s="10"/>
      <c r="H452" s="10"/>
      <c r="I452" s="11">
        <v>2</v>
      </c>
      <c r="J452" s="11"/>
      <c r="K452" s="10"/>
      <c r="L452" s="10"/>
      <c r="M452" s="11"/>
      <c r="N452" s="106">
        <f t="shared" si="17"/>
        <v>2</v>
      </c>
      <c r="O452" s="107"/>
      <c r="P452" s="95"/>
      <c r="R452" s="18">
        <v>1999</v>
      </c>
      <c r="S452" s="12">
        <v>2078.96</v>
      </c>
      <c r="T452" s="12">
        <v>2158.92</v>
      </c>
      <c r="U452" s="167"/>
      <c r="V452" s="168"/>
      <c r="W452" s="13">
        <v>50</v>
      </c>
    </row>
    <row r="453" spans="1:23">
      <c r="A453" s="114" t="s">
        <v>423</v>
      </c>
      <c r="B453" s="44" t="str">
        <f>IFERROR(HYPERLINK(VLOOKUP(A453,ÜRÜNLER!A:C,3,FALSE),VLOOKUP(A453,ÜRÜNLER!A:B,2,FALSE)),"")</f>
        <v>Siemens El Blenderı, 600w, Beyaz/Mavi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0"/>
      <c r="M453" s="11"/>
      <c r="N453" s="106">
        <f t="shared" si="17"/>
        <v>1</v>
      </c>
      <c r="O453" s="107"/>
      <c r="P453" s="95"/>
      <c r="R453" s="18">
        <v>2499</v>
      </c>
      <c r="S453" s="12">
        <v>2598.96</v>
      </c>
      <c r="T453" s="12">
        <v>2698.92</v>
      </c>
      <c r="U453" s="167"/>
      <c r="V453" s="168"/>
      <c r="W453" s="13">
        <v>50</v>
      </c>
    </row>
    <row r="454" spans="1:23">
      <c r="A454" s="114" t="s">
        <v>424</v>
      </c>
      <c r="B454" s="44" t="str">
        <f>IFERROR(HYPERLINK(VLOOKUP(A454,ÜRÜNLER!A:C,3,FALSE),VLOOKUP(A454,ÜRÜNLER!A:B,2,FALSE)),"")</f>
        <v>Siemens El Blenderı FQ.1, 750w, Siyah/Gri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0"/>
      <c r="M454" s="11"/>
      <c r="N454" s="106">
        <f t="shared" si="17"/>
        <v>2</v>
      </c>
      <c r="O454" s="107"/>
      <c r="P454" s="95"/>
      <c r="R454" s="18">
        <v>1999</v>
      </c>
      <c r="S454" s="12">
        <v>2078.96</v>
      </c>
      <c r="T454" s="12">
        <v>2158.92</v>
      </c>
      <c r="U454" s="167"/>
      <c r="V454" s="168"/>
      <c r="W454" s="13">
        <v>50</v>
      </c>
    </row>
    <row r="455" spans="1:23">
      <c r="A455" s="114" t="s">
        <v>426</v>
      </c>
      <c r="B455" s="44" t="str">
        <f>IFERROR(HYPERLINK(VLOOKUP(A455,ÜRÜNLER!A:C,3,FALSE),VLOOKUP(A455,ÜRÜNLER!A:B,2,FALSE)),"")</f>
        <v>Siemens El Mikseri, 450w, Beyaz/Antrasit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06">
        <f t="shared" si="17"/>
        <v>1</v>
      </c>
      <c r="O455" s="107"/>
      <c r="P455" s="95"/>
      <c r="R455" s="18">
        <v>999</v>
      </c>
      <c r="S455" s="12">
        <v>1038.96</v>
      </c>
      <c r="T455" s="12">
        <v>1078.92</v>
      </c>
      <c r="U455" s="167"/>
      <c r="V455" s="168"/>
      <c r="W455" s="13">
        <v>50</v>
      </c>
    </row>
    <row r="456" spans="1:23">
      <c r="A456" s="114" t="s">
        <v>427</v>
      </c>
      <c r="B456" s="44" t="str">
        <f>IFERROR(HYPERLINK(VLOOKUP(A456,ÜRÜNLER!A:C,3,FALSE),VLOOKUP(A456,ÜRÜNLER!A:B,2,FALSE)),"")</f>
        <v>Siemens El Mikseri, 450w, Beyaz/Mavi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06">
        <f t="shared" si="17"/>
        <v>1</v>
      </c>
      <c r="O456" s="107"/>
      <c r="P456" s="95"/>
      <c r="R456" s="18">
        <v>1499</v>
      </c>
      <c r="S456" s="12">
        <v>1558.96</v>
      </c>
      <c r="T456" s="12">
        <v>1618.92</v>
      </c>
      <c r="U456" s="167"/>
      <c r="V456" s="168"/>
      <c r="W456" s="13">
        <v>50</v>
      </c>
    </row>
    <row r="457" spans="1:23">
      <c r="A457" s="114" t="s">
        <v>428</v>
      </c>
      <c r="B457" s="44" t="str">
        <f>IFERROR(HYPERLINK(VLOOKUP(A457,ÜRÜNLER!A:C,3,FALSE),VLOOKUP(A457,ÜRÜNLER!A:B,2,FALSE)),"")</f>
        <v>El Mikser Seti, 500w, Siyah</v>
      </c>
      <c r="C457" s="8"/>
      <c r="D457" s="8"/>
      <c r="E457" s="9"/>
      <c r="F457" s="9"/>
      <c r="G457" s="10"/>
      <c r="H457" s="10"/>
      <c r="I457" s="11">
        <v>3</v>
      </c>
      <c r="J457" s="11"/>
      <c r="K457" s="10"/>
      <c r="L457" s="10"/>
      <c r="M457" s="11"/>
      <c r="N457" s="106">
        <f t="shared" si="17"/>
        <v>3</v>
      </c>
      <c r="O457" s="107"/>
      <c r="P457" s="95"/>
      <c r="R457" s="18">
        <v>2999</v>
      </c>
      <c r="S457" s="12">
        <v>3118.96</v>
      </c>
      <c r="T457" s="12">
        <v>3238.92</v>
      </c>
      <c r="U457" s="167"/>
      <c r="V457" s="168"/>
      <c r="W457" s="13">
        <v>50</v>
      </c>
    </row>
    <row r="458" spans="1:23">
      <c r="A458" s="114" t="s">
        <v>432</v>
      </c>
      <c r="B458" s="44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/>
      <c r="L458" s="10">
        <v>4</v>
      </c>
      <c r="M458" s="11"/>
      <c r="N458" s="106">
        <f t="shared" si="17"/>
        <v>5</v>
      </c>
      <c r="O458" s="107"/>
      <c r="P458" s="95"/>
      <c r="R458" s="18">
        <v>24999</v>
      </c>
      <c r="S458" s="12">
        <v>25998.959999999999</v>
      </c>
      <c r="T458" s="12">
        <v>26998.92</v>
      </c>
      <c r="U458" s="167"/>
      <c r="V458" s="168"/>
      <c r="W458" s="13">
        <v>250</v>
      </c>
    </row>
    <row r="459" spans="1:23">
      <c r="A459" s="114" t="s">
        <v>433</v>
      </c>
      <c r="B459" s="44" t="str">
        <f>IFERROR(HYPERLINK(VLOOKUP(A459,ÜRÜNLER!A:C,3,FALSE),VLOOKUP(A459,ÜRÜNLER!A:B,2,FALSE)),"")</f>
        <v>Siemens Buzdolabı Kulpu</v>
      </c>
      <c r="C459" s="8"/>
      <c r="D459" s="8"/>
      <c r="E459" s="9"/>
      <c r="F459" s="9"/>
      <c r="G459" s="10"/>
      <c r="H459" s="10"/>
      <c r="I459" s="11"/>
      <c r="J459" s="11">
        <v>1</v>
      </c>
      <c r="K459" s="10"/>
      <c r="L459" s="10">
        <v>1</v>
      </c>
      <c r="M459" s="11"/>
      <c r="N459" s="106">
        <f t="shared" si="17"/>
        <v>2</v>
      </c>
      <c r="O459" s="107"/>
      <c r="P459" s="95"/>
      <c r="R459" s="18">
        <v>6148.9750000000004</v>
      </c>
      <c r="S459" s="12">
        <v>6394.9340000000002</v>
      </c>
      <c r="T459" s="12">
        <v>6640.893</v>
      </c>
      <c r="U459" s="167"/>
      <c r="V459" s="168"/>
      <c r="W459" s="13">
        <v>250</v>
      </c>
    </row>
    <row r="460" spans="1:23">
      <c r="A460" s="114" t="s">
        <v>434</v>
      </c>
      <c r="B460" s="44" t="str">
        <f>IFERROR(HYPERLINK(VLOOKUP(A460,ÜRÜNLER!A:C,3,FALSE),VLOOKUP(A460,ÜRÜNLER!A:B,2,FALSE)),"")</f>
        <v>Siemens Buzdolabı Kulpu</v>
      </c>
      <c r="C460" s="8">
        <v>5</v>
      </c>
      <c r="D460" s="8">
        <v>4</v>
      </c>
      <c r="E460" s="9"/>
      <c r="F460" s="9"/>
      <c r="G460" s="10"/>
      <c r="H460" s="10"/>
      <c r="I460" s="11"/>
      <c r="J460" s="11"/>
      <c r="K460" s="10"/>
      <c r="L460" s="10"/>
      <c r="M460" s="11"/>
      <c r="N460" s="106">
        <f t="shared" si="17"/>
        <v>9</v>
      </c>
      <c r="O460" s="107"/>
      <c r="P460" s="95" t="s">
        <v>1545</v>
      </c>
      <c r="Q460" s="150">
        <v>8867.3785891660682</v>
      </c>
      <c r="R460" s="159">
        <v>7980.6407302494617</v>
      </c>
      <c r="S460" s="12">
        <v>8299.86635945944</v>
      </c>
      <c r="T460" s="12">
        <v>8619.0919886694192</v>
      </c>
      <c r="U460" s="167"/>
      <c r="V460" s="168"/>
      <c r="W460" s="13">
        <v>500</v>
      </c>
    </row>
    <row r="461" spans="1:23">
      <c r="A461" s="114" t="s">
        <v>435</v>
      </c>
      <c r="B461" s="44" t="str">
        <f>IFERROR(HYPERLINK(VLOOKUP(A461,ÜRÜNLER!A:C,3,FALSE),VLOOKUP(A461,ÜRÜNLER!A:B,2,FALSE)),"")</f>
        <v>Siemens studioLine Buzdolabı Kulpu</v>
      </c>
      <c r="C461" s="8"/>
      <c r="D461" s="8">
        <v>4</v>
      </c>
      <c r="E461" s="9"/>
      <c r="F461" s="9"/>
      <c r="G461" s="10"/>
      <c r="H461" s="10"/>
      <c r="I461" s="11"/>
      <c r="J461" s="11"/>
      <c r="K461" s="10"/>
      <c r="L461" s="10"/>
      <c r="M461" s="11"/>
      <c r="N461" s="106">
        <f t="shared" si="17"/>
        <v>4</v>
      </c>
      <c r="O461" s="107"/>
      <c r="P461" s="95" t="s">
        <v>1545</v>
      </c>
      <c r="Q461" s="150">
        <v>3521.1995943386523</v>
      </c>
      <c r="R461" s="159">
        <v>3169.0796349047869</v>
      </c>
      <c r="S461" s="12">
        <v>3295.8428203009785</v>
      </c>
      <c r="T461" s="12">
        <v>3422.6060056971696</v>
      </c>
      <c r="U461" s="167"/>
      <c r="V461" s="168"/>
      <c r="W461" s="13">
        <v>500</v>
      </c>
    </row>
    <row r="462" spans="1:23">
      <c r="A462" s="114" t="s">
        <v>436</v>
      </c>
      <c r="B462" s="44" t="str">
        <f>IFERROR(HYPERLINK(VLOOKUP(A462,ÜRÜNLER!A:C,3,FALSE),VLOOKUP(A462,ÜRÜNLER!A:B,2,FALSE)),"")</f>
        <v>Siemens Buzdolabı Kulpu 79cm, Inox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1</v>
      </c>
      <c r="O462" s="107"/>
      <c r="P462" s="95" t="s">
        <v>1545</v>
      </c>
      <c r="Q462" s="150">
        <v>2510.3949651838452</v>
      </c>
      <c r="R462" s="22">
        <v>2510.3949651838452</v>
      </c>
      <c r="S462" s="12">
        <v>2610.810763791199</v>
      </c>
      <c r="T462" s="12">
        <v>2711.2265623985527</v>
      </c>
      <c r="U462" s="167"/>
      <c r="V462" s="168"/>
      <c r="W462" s="13">
        <v>250</v>
      </c>
    </row>
    <row r="463" spans="1:23">
      <c r="A463" s="20" t="s">
        <v>437</v>
      </c>
      <c r="B463" s="44" t="str">
        <f>IFERROR(HYPERLINK(VLOOKUP(A463,ÜRÜNLER!A:C,3,FALSE),VLOOKUP(A463,ÜRÜNLER!A:B,2,FALSE)),"")</f>
        <v>Siemens studioLine Buzdolabı Kapı Paneli, 202.9x60.3cm</v>
      </c>
      <c r="C463" s="8"/>
      <c r="D463" s="8">
        <v>2</v>
      </c>
      <c r="E463" s="9"/>
      <c r="F463" s="9"/>
      <c r="G463" s="10"/>
      <c r="H463" s="10"/>
      <c r="I463" s="11"/>
      <c r="J463" s="11"/>
      <c r="K463" s="10"/>
      <c r="L463" s="10">
        <v>1</v>
      </c>
      <c r="M463" s="11"/>
      <c r="N463" s="106">
        <f t="shared" si="17"/>
        <v>3</v>
      </c>
      <c r="O463" s="107"/>
      <c r="P463" s="95" t="s">
        <v>1545</v>
      </c>
      <c r="Q463" s="150">
        <v>6515.7970471358785</v>
      </c>
      <c r="R463" s="159">
        <v>5864.217342422291</v>
      </c>
      <c r="S463" s="12">
        <v>6098.7860361191824</v>
      </c>
      <c r="T463" s="12">
        <v>6333.3547298160747</v>
      </c>
      <c r="U463" s="167"/>
      <c r="V463" s="168"/>
      <c r="W463" s="13">
        <v>500</v>
      </c>
    </row>
    <row r="464" spans="1:23">
      <c r="A464" s="20" t="s">
        <v>438</v>
      </c>
      <c r="B464" s="44" t="str">
        <f>IFERROR(HYPERLINK(VLOOKUP(A464,ÜRÜNLER!A:C,3,FALSE),VLOOKUP(A464,ÜRÜNLER!A:B,2,FALSE)),"")</f>
        <v>Siemens Buzdolabı Kapı Paneli, 202.9x75.6cm</v>
      </c>
      <c r="C464" s="8">
        <v>4</v>
      </c>
      <c r="D464" s="8">
        <v>2</v>
      </c>
      <c r="E464" s="9"/>
      <c r="F464" s="9"/>
      <c r="G464" s="10"/>
      <c r="H464" s="10"/>
      <c r="I464" s="11"/>
      <c r="J464" s="11"/>
      <c r="K464" s="10"/>
      <c r="L464" s="10">
        <v>1</v>
      </c>
      <c r="M464" s="11"/>
      <c r="N464" s="106">
        <f t="shared" si="17"/>
        <v>7</v>
      </c>
      <c r="O464" s="107"/>
      <c r="P464" s="95" t="s">
        <v>1545</v>
      </c>
      <c r="Q464" s="150">
        <v>12864.686900934046</v>
      </c>
      <c r="R464" s="159">
        <v>11578.218210840641</v>
      </c>
      <c r="S464" s="12">
        <v>12041.346939274266</v>
      </c>
      <c r="T464" s="12">
        <v>12504.475667707893</v>
      </c>
      <c r="U464" s="167"/>
      <c r="V464" s="168"/>
      <c r="W464" s="13">
        <v>500</v>
      </c>
    </row>
    <row r="465" spans="1:24">
      <c r="A465" s="114" t="s">
        <v>439</v>
      </c>
      <c r="B465" s="44" t="str">
        <f>IFERROR(HYPERLINK(VLOOKUP(A465,ÜRÜNLER!A:C,3,FALSE),VLOOKUP(A465,ÜRÜNLER!A:B,2,FALSE)),"")</f>
        <v>Siemens Buzdolabı Kapı Paneli, 202.9x90.8cm</v>
      </c>
      <c r="C465" s="8">
        <v>5</v>
      </c>
      <c r="D465" s="8">
        <v>2</v>
      </c>
      <c r="E465" s="9"/>
      <c r="F465" s="9"/>
      <c r="G465" s="10"/>
      <c r="H465" s="10"/>
      <c r="I465" s="11"/>
      <c r="J465" s="11">
        <v>1</v>
      </c>
      <c r="K465" s="10"/>
      <c r="L465" s="10">
        <v>1</v>
      </c>
      <c r="M465" s="11"/>
      <c r="N465" s="106">
        <f t="shared" si="17"/>
        <v>9</v>
      </c>
      <c r="O465" s="107"/>
      <c r="P465" s="95" t="s">
        <v>1545</v>
      </c>
      <c r="Q465" s="150">
        <v>18868.450592859805</v>
      </c>
      <c r="R465" s="159">
        <v>16981.605533573824</v>
      </c>
      <c r="S465" s="12">
        <v>17660.869754916777</v>
      </c>
      <c r="T465" s="12">
        <v>18340.133976259731</v>
      </c>
      <c r="U465" s="167"/>
      <c r="V465" s="168"/>
      <c r="W465" s="13">
        <v>500</v>
      </c>
    </row>
    <row r="466" spans="1:24">
      <c r="A466" s="114" t="s">
        <v>440</v>
      </c>
      <c r="B466" s="44" t="str">
        <f>IFERROR(HYPERLINK(VLOOKUP(A466,ÜRÜNLER!A:C,3,FALSE),VLOOKUP(A466,ÜRÜNLER!A:B,2,FALSE)),"")</f>
        <v>Siemens Buzdolabı Bağlantı Seti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>
        <f t="shared" si="17"/>
        <v>4</v>
      </c>
      <c r="O466" s="107"/>
      <c r="P466" s="95" t="s">
        <v>1545</v>
      </c>
      <c r="R466" s="18"/>
      <c r="S466" s="12"/>
      <c r="T466" s="12"/>
      <c r="U466" s="167"/>
      <c r="V466" s="168"/>
      <c r="W466" s="13"/>
    </row>
    <row r="467" spans="1:24">
      <c r="A467" s="114" t="s">
        <v>441</v>
      </c>
      <c r="B467" s="44" t="str">
        <f>IFERROR(HYPERLINK(VLOOKUP(A467,ÜRÜNLER!A:C,3,FALSE),VLOOKUP(A467,ÜRÜNLER!A:B,2,FALSE)),"")</f>
        <v>Siemens Buzdolabı Bağlantı Seti</v>
      </c>
      <c r="C467" s="8">
        <v>2</v>
      </c>
      <c r="D467" s="8">
        <v>1</v>
      </c>
      <c r="E467" s="9"/>
      <c r="F467" s="9"/>
      <c r="G467" s="10"/>
      <c r="H467" s="10">
        <v>2</v>
      </c>
      <c r="I467" s="11"/>
      <c r="J467" s="11"/>
      <c r="K467" s="10"/>
      <c r="L467" s="10"/>
      <c r="M467" s="11"/>
      <c r="N467" s="106">
        <f t="shared" si="17"/>
        <v>5</v>
      </c>
      <c r="O467" s="107"/>
      <c r="P467" s="95" t="s">
        <v>1545</v>
      </c>
      <c r="Q467" s="65" t="s">
        <v>1788</v>
      </c>
      <c r="R467" s="162">
        <v>5000</v>
      </c>
      <c r="S467" s="12">
        <v>5200</v>
      </c>
      <c r="T467" s="12">
        <v>5400</v>
      </c>
      <c r="U467" s="167"/>
      <c r="V467" s="168"/>
      <c r="W467" s="13">
        <v>500</v>
      </c>
    </row>
    <row r="468" spans="1:24">
      <c r="A468" s="114" t="s">
        <v>442</v>
      </c>
      <c r="B468" s="44" t="str">
        <f>IFERROR(HYPERLINK(VLOOKUP(A468,ÜRÜNLER!A:C,3,FALSE),VLOOKUP(A468,ÜRÜNLER!A:B,2,FALSE)),"")</f>
        <v>Siemens studioLine Buzdolabı Çekmecesi</v>
      </c>
      <c r="C468" s="8"/>
      <c r="D468" s="8">
        <v>1</v>
      </c>
      <c r="E468" s="9"/>
      <c r="F468" s="9"/>
      <c r="G468" s="10"/>
      <c r="H468" s="10"/>
      <c r="I468" s="11"/>
      <c r="J468" s="11"/>
      <c r="K468" s="10"/>
      <c r="L468" s="10"/>
      <c r="M468" s="11"/>
      <c r="N468" s="106">
        <f t="shared" si="17"/>
        <v>1</v>
      </c>
      <c r="O468" s="107"/>
      <c r="P468" s="95" t="s">
        <v>1545</v>
      </c>
      <c r="Q468" s="150">
        <v>2251.7843805077478</v>
      </c>
      <c r="R468" s="159">
        <v>2026.605942456973</v>
      </c>
      <c r="S468" s="12">
        <v>2097.5371504429672</v>
      </c>
      <c r="T468" s="12">
        <v>2188.7344178535309</v>
      </c>
      <c r="U468" s="167"/>
      <c r="V468" s="168"/>
      <c r="W468" s="13">
        <v>500</v>
      </c>
    </row>
    <row r="469" spans="1:24">
      <c r="A469" s="114" t="s">
        <v>443</v>
      </c>
      <c r="B469" s="44" t="str">
        <f>IFERROR(HYPERLINK(VLOOKUP(A469,ÜRÜNLER!A:C,3,FALSE),VLOOKUP(A469,ÜRÜNLER!A:B,2,FALSE)),"")</f>
        <v>Siemens studioLine 36'' Buzdolabı Kapı Paneli, Paslanmaz Çelik, 3 Kapı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7"/>
        <v>1</v>
      </c>
      <c r="O469" s="107"/>
      <c r="P469" s="95" t="s">
        <v>1545</v>
      </c>
      <c r="Q469" s="150">
        <v>10600.401058527552</v>
      </c>
      <c r="R469" s="159">
        <v>9540.3609526747969</v>
      </c>
      <c r="S469" s="12">
        <v>9874.2735860184148</v>
      </c>
      <c r="T469" s="12">
        <v>10303.58982888878</v>
      </c>
      <c r="U469" s="167"/>
      <c r="V469" s="168"/>
      <c r="W469" s="13">
        <v>500</v>
      </c>
    </row>
    <row r="470" spans="1:24">
      <c r="A470" s="26" t="s">
        <v>1558</v>
      </c>
      <c r="B470" s="44" t="str">
        <f>IFERROR(HYPERLINK(VLOOKUP(A470,ÜRÜNLER!A:C,3,FALSE),VLOOKUP(A470,ÜRÜNLER!A:B,2,FALSE)),"")</f>
        <v/>
      </c>
      <c r="C470" s="8"/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/>
      <c r="O470" s="107"/>
      <c r="P470" s="95"/>
      <c r="R470" s="31"/>
      <c r="S470" s="12"/>
      <c r="T470" s="12"/>
      <c r="U470" s="167"/>
      <c r="V470" s="168"/>
      <c r="W470" s="13"/>
    </row>
    <row r="471" spans="1:24">
      <c r="A471" s="112" t="s">
        <v>444</v>
      </c>
      <c r="B471" s="44" t="str">
        <f>IFERROR(HYPERLINK(VLOOKUP(A471,ÜRÜNLER!A:C,3,FALSE),VLOOKUP(A471,ÜRÜNLER!A:B,2,FALSE)),"")</f>
        <v>Siemens Ev Tipi Klima İç Ünite, 9.000BTU, Beyaz</v>
      </c>
      <c r="C471" s="8">
        <v>5</v>
      </c>
      <c r="D471" s="8"/>
      <c r="E471" s="9"/>
      <c r="F471" s="9"/>
      <c r="G471" s="10"/>
      <c r="H471" s="10"/>
      <c r="I471" s="11">
        <v>1</v>
      </c>
      <c r="J471" s="11"/>
      <c r="K471" s="10"/>
      <c r="L471" s="10"/>
      <c r="M471" s="11"/>
      <c r="N471" s="106">
        <f t="shared" ref="N471:N488" si="18">M471+K471+L471+J471+I471+H471+G471+F471+E471+D471+C471</f>
        <v>6</v>
      </c>
      <c r="O471" s="107"/>
      <c r="P471" s="95" t="s">
        <v>1545</v>
      </c>
      <c r="Q471" s="45">
        <v>16020.74074189603</v>
      </c>
      <c r="R471" s="82">
        <v>18000</v>
      </c>
      <c r="S471" s="12">
        <v>18630</v>
      </c>
      <c r="T471" s="12">
        <v>19440</v>
      </c>
      <c r="U471" s="167">
        <v>4000.282348013614</v>
      </c>
      <c r="V471" s="168"/>
      <c r="W471" s="13">
        <v>250</v>
      </c>
    </row>
    <row r="472" spans="1:24">
      <c r="A472" s="112" t="s">
        <v>445</v>
      </c>
      <c r="B472" s="44" t="str">
        <f>IFERROR(HYPERLINK(VLOOKUP(A472,ÜRÜNLER!A:C,3,FALSE),VLOOKUP(A472,ÜRÜNLER!A:B,2,FALSE)),"")</f>
        <v>Siemens Ev Tipi Klima Dış Ünite, 9.000BTU, Beyaz</v>
      </c>
      <c r="C472" s="8">
        <v>6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6">
        <f t="shared" si="18"/>
        <v>6</v>
      </c>
      <c r="O472" s="107"/>
      <c r="P472" s="95" t="s">
        <v>1545</v>
      </c>
      <c r="Q472" s="45">
        <v>24031.111112844046</v>
      </c>
      <c r="R472" s="82">
        <v>26000</v>
      </c>
      <c r="S472" s="12">
        <v>26910</v>
      </c>
      <c r="T472" s="12">
        <v>28080</v>
      </c>
      <c r="U472" s="167"/>
      <c r="V472" s="168"/>
      <c r="W472" s="13"/>
    </row>
    <row r="473" spans="1:24">
      <c r="A473" s="136" t="s">
        <v>446</v>
      </c>
      <c r="B473" s="44" t="str">
        <f>IFERROR(HYPERLINK(VLOOKUP(A473,ÜRÜNLER!A:C,3,FALSE),VLOOKUP(A473,ÜRÜNLER!A:B,2,FALSE)),"")</f>
        <v>Siemens Ev Tipi Klima İç Ünite, 12.000BTU, Beyaz</v>
      </c>
      <c r="C473" s="8"/>
      <c r="D473" s="8"/>
      <c r="E473" s="9"/>
      <c r="F473" s="9"/>
      <c r="G473" s="10"/>
      <c r="H473" s="10"/>
      <c r="I473" s="11"/>
      <c r="J473" s="11"/>
      <c r="K473" s="10"/>
      <c r="L473" s="10">
        <v>1</v>
      </c>
      <c r="M473" s="11"/>
      <c r="N473" s="106">
        <f t="shared" si="18"/>
        <v>1</v>
      </c>
      <c r="O473" s="107"/>
      <c r="P473" s="101" t="s">
        <v>1545</v>
      </c>
      <c r="Q473" s="178"/>
      <c r="R473" s="80">
        <v>15000</v>
      </c>
      <c r="S473" s="81">
        <v>15525</v>
      </c>
      <c r="T473" s="12">
        <v>16200</v>
      </c>
      <c r="U473" s="167"/>
      <c r="V473" s="168"/>
      <c r="W473" s="13">
        <v>250</v>
      </c>
    </row>
    <row r="474" spans="1:24">
      <c r="A474" s="136" t="s">
        <v>447</v>
      </c>
      <c r="B474" s="44" t="str">
        <f>IFERROR(HYPERLINK(VLOOKUP(A474,ÜRÜNLER!A:C,3,FALSE),VLOOKUP(A474,ÜRÜNLER!A:B,2,FALSE)),"")</f>
        <v>Siemens Ev Tipi Klima Dış Ünite, 12.000BTU, Beyaz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8"/>
        <v>1</v>
      </c>
      <c r="O474" s="107"/>
      <c r="P474" s="101" t="s">
        <v>1545</v>
      </c>
      <c r="Q474" s="178"/>
      <c r="R474" s="80">
        <v>20000</v>
      </c>
      <c r="S474" s="81">
        <v>20700</v>
      </c>
      <c r="T474" s="12">
        <v>21600</v>
      </c>
      <c r="U474" s="167"/>
      <c r="V474" s="168"/>
      <c r="W474" s="13"/>
    </row>
    <row r="475" spans="1:24">
      <c r="A475" s="137" t="s">
        <v>448</v>
      </c>
      <c r="B475" s="44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>
        <v>1</v>
      </c>
      <c r="G475" s="10"/>
      <c r="H475" s="10"/>
      <c r="I475" s="11">
        <v>1</v>
      </c>
      <c r="J475" s="11"/>
      <c r="K475" s="10"/>
      <c r="L475" s="10"/>
      <c r="M475" s="11"/>
      <c r="N475" s="106">
        <f t="shared" si="18"/>
        <v>2</v>
      </c>
      <c r="O475" s="107"/>
      <c r="P475" s="95" t="s">
        <v>1545</v>
      </c>
      <c r="Q475" s="45">
        <v>17599.318782707702</v>
      </c>
      <c r="R475" s="82">
        <v>19000</v>
      </c>
      <c r="S475" s="12">
        <v>19665</v>
      </c>
      <c r="T475" s="12">
        <v>20520</v>
      </c>
      <c r="U475" s="167">
        <v>4399.6422482490671</v>
      </c>
      <c r="V475" s="168"/>
      <c r="W475" s="13">
        <v>250</v>
      </c>
    </row>
    <row r="476" spans="1:24">
      <c r="A476" s="137" t="s">
        <v>449</v>
      </c>
      <c r="B476" s="44" t="str">
        <f>IFERROR(HYPERLINK(VLOOKUP(A476,ÜRÜNLER!A:C,3,FALSE),VLOOKUP(A476,ÜRÜNLER!A:B,2,FALSE)),"")</f>
        <v>Siemens Ev Tipi Klima Dış Ünite, 12.000BTU, Beyaz</v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>
        <v>1</v>
      </c>
      <c r="M476" s="11"/>
      <c r="N476" s="106">
        <f t="shared" si="18"/>
        <v>2</v>
      </c>
      <c r="O476" s="107"/>
      <c r="P476" s="95" t="s">
        <v>1545</v>
      </c>
      <c r="Q476" s="45">
        <v>26398.978174061547</v>
      </c>
      <c r="R476" s="82">
        <v>28000</v>
      </c>
      <c r="S476" s="12">
        <v>28980</v>
      </c>
      <c r="T476" s="12">
        <v>30240</v>
      </c>
      <c r="U476" s="167"/>
      <c r="V476" s="168"/>
      <c r="W476" s="13"/>
    </row>
    <row r="477" spans="1:24">
      <c r="A477" s="138" t="s">
        <v>450</v>
      </c>
      <c r="B477" s="44" t="str">
        <f>IFERROR(HYPERLINK(VLOOKUP(A477,ÜRÜNLER!A:C,3,FALSE),VLOOKUP(A477,ÜRÜNLER!A:B,2,FALSE)),"")</f>
        <v>Siemens Ev Tipi Klima İç Ünite, 12.000BTU, Siyah</v>
      </c>
      <c r="C477" s="8">
        <v>2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2</v>
      </c>
      <c r="O477" s="107"/>
      <c r="P477" s="101" t="s">
        <v>1545</v>
      </c>
      <c r="Q477" s="178">
        <v>19638.932436439351</v>
      </c>
      <c r="R477" s="82">
        <v>22000</v>
      </c>
      <c r="S477" s="81">
        <v>22770</v>
      </c>
      <c r="T477" s="12">
        <v>23760</v>
      </c>
      <c r="U477" s="167">
        <v>4907.8692076903026</v>
      </c>
      <c r="V477" s="168"/>
      <c r="W477" s="13">
        <v>250</v>
      </c>
    </row>
    <row r="478" spans="1:24">
      <c r="A478" s="138" t="s">
        <v>451</v>
      </c>
      <c r="B478" s="44" t="str">
        <f>IFERROR(HYPERLINK(VLOOKUP(A478,ÜRÜNLER!A:C,3,FALSE),VLOOKUP(A478,ÜRÜNLER!A:B,2,FALSE)),"")</f>
        <v>Siemens Ev Tipi Klima Dış Ünite, 12.000BTU, Beyaz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6">
        <f t="shared" si="18"/>
        <v>2</v>
      </c>
      <c r="O478" s="107"/>
      <c r="P478" s="101" t="s">
        <v>1545</v>
      </c>
      <c r="Q478" s="178">
        <v>29458.398654659028</v>
      </c>
      <c r="R478" s="82">
        <v>32000</v>
      </c>
      <c r="S478" s="81">
        <v>33120</v>
      </c>
      <c r="T478" s="12">
        <v>34560</v>
      </c>
      <c r="U478" s="167"/>
      <c r="V478" s="168"/>
      <c r="W478" s="13"/>
    </row>
    <row r="479" spans="1:24" s="15" customFormat="1">
      <c r="A479" s="137" t="s">
        <v>452</v>
      </c>
      <c r="B479" s="44" t="str">
        <f>IFERROR(HYPERLINK(VLOOKUP(A479,ÜRÜNLER!A:C,3,FALSE),VLOOKUP(A479,ÜRÜNLER!A:B,2,FALSE)),"")</f>
        <v>Siemens Ev Tipi Klima İç Ünite, 18.000BTU, Beyaz</v>
      </c>
      <c r="C479" s="8">
        <v>5</v>
      </c>
      <c r="D479" s="8"/>
      <c r="E479" s="9"/>
      <c r="F479" s="9"/>
      <c r="G479" s="10"/>
      <c r="H479" s="10"/>
      <c r="I479" s="11">
        <v>1</v>
      </c>
      <c r="J479" s="11"/>
      <c r="K479" s="10"/>
      <c r="L479" s="10">
        <v>2</v>
      </c>
      <c r="M479" s="11"/>
      <c r="N479" s="106">
        <f t="shared" si="18"/>
        <v>8</v>
      </c>
      <c r="O479" s="107"/>
      <c r="P479" s="102" t="s">
        <v>1545</v>
      </c>
      <c r="Q479" s="45"/>
      <c r="R479" s="18">
        <v>22000</v>
      </c>
      <c r="S479" s="12">
        <v>22770</v>
      </c>
      <c r="T479" s="12">
        <v>23760</v>
      </c>
      <c r="U479" s="167"/>
      <c r="V479" s="168"/>
      <c r="W479" s="13">
        <v>250</v>
      </c>
      <c r="X479" s="185"/>
    </row>
    <row r="480" spans="1:24" s="15" customFormat="1">
      <c r="A480" s="137" t="s">
        <v>453</v>
      </c>
      <c r="B480" s="44" t="str">
        <f>IFERROR(HYPERLINK(VLOOKUP(A480,ÜRÜNLER!A:C,3,FALSE),VLOOKUP(A480,ÜRÜNLER!A:B,2,FALSE)),"")</f>
        <v>Siemens Ev Tipi Klima Dış Ünite, 18.000BTU, Beyaz</v>
      </c>
      <c r="C480" s="8">
        <v>7</v>
      </c>
      <c r="D480" s="8"/>
      <c r="E480" s="9"/>
      <c r="F480" s="9"/>
      <c r="G480" s="10"/>
      <c r="H480" s="10"/>
      <c r="I480" s="11"/>
      <c r="J480" s="11"/>
      <c r="K480" s="10"/>
      <c r="L480" s="10">
        <v>1</v>
      </c>
      <c r="M480" s="11"/>
      <c r="N480" s="106">
        <f t="shared" si="18"/>
        <v>8</v>
      </c>
      <c r="O480" s="107"/>
      <c r="P480" s="102" t="s">
        <v>1545</v>
      </c>
      <c r="Q480" s="45"/>
      <c r="R480" s="18">
        <v>35000</v>
      </c>
      <c r="S480" s="12">
        <v>36225</v>
      </c>
      <c r="T480" s="12">
        <v>37800</v>
      </c>
      <c r="U480" s="167"/>
      <c r="V480" s="168"/>
      <c r="W480" s="13"/>
      <c r="X480" s="185"/>
    </row>
    <row r="481" spans="1:24">
      <c r="A481" s="138" t="s">
        <v>454</v>
      </c>
      <c r="B481" s="44" t="str">
        <f>IFERROR(HYPERLINK(VLOOKUP(A481,ÜRÜNLER!A:C,3,FALSE),VLOOKUP(A481,ÜRÜNLER!A:B,2,FALSE)),"")</f>
        <v>Siemens Ev Tipi Klima İç Ünite, 18.000BTU, Siyah</v>
      </c>
      <c r="C481" s="8">
        <v>1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1</v>
      </c>
      <c r="O481" s="107"/>
      <c r="P481" s="101" t="s">
        <v>1545</v>
      </c>
      <c r="Q481" s="178">
        <v>27721.370472790273</v>
      </c>
      <c r="R481" s="82">
        <v>30000</v>
      </c>
      <c r="S481" s="81">
        <v>31050</v>
      </c>
      <c r="T481" s="12">
        <v>32400</v>
      </c>
      <c r="U481" s="167">
        <v>6923.3813389263523</v>
      </c>
      <c r="V481" s="168"/>
      <c r="W481" s="13">
        <v>250</v>
      </c>
    </row>
    <row r="482" spans="1:24">
      <c r="A482" s="138" t="s">
        <v>455</v>
      </c>
      <c r="B482" s="44" t="str">
        <f>IFERROR(HYPERLINK(VLOOKUP(A482,ÜRÜNLER!A:C,3,FALSE),VLOOKUP(A482,ÜRÜNLER!A:B,2,FALSE)),"")</f>
        <v>Siemens Ev Tipi Klima Dış Ünite, 18.000BTU, Beyaz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6">
        <f t="shared" si="18"/>
        <v>1</v>
      </c>
      <c r="O482" s="107"/>
      <c r="P482" s="101" t="s">
        <v>1545</v>
      </c>
      <c r="Q482" s="178">
        <v>41582.055709185406</v>
      </c>
      <c r="R482" s="82">
        <v>44000</v>
      </c>
      <c r="S482" s="81">
        <v>45540</v>
      </c>
      <c r="T482" s="12">
        <v>47520</v>
      </c>
      <c r="U482" s="167"/>
      <c r="V482" s="168"/>
      <c r="W482" s="13"/>
    </row>
    <row r="483" spans="1:24" s="15" customFormat="1">
      <c r="A483" s="114" t="s">
        <v>456</v>
      </c>
      <c r="B483" s="44" t="str">
        <f>IFERROR(HYPERLINK(VLOOKUP(A483,ÜRÜNLER!A:C,3,FALSE),VLOOKUP(A483,ÜRÜNLER!A:B,2,FALSE)),"")</f>
        <v>Siemens Ev Tipi Klima İç Ünite, 24.000BTU, Beyaz</v>
      </c>
      <c r="C483" s="8"/>
      <c r="D483" s="8"/>
      <c r="E483" s="9"/>
      <c r="F483" s="9"/>
      <c r="G483" s="10"/>
      <c r="H483" s="10"/>
      <c r="I483" s="11"/>
      <c r="J483" s="11"/>
      <c r="K483" s="10"/>
      <c r="L483" s="10">
        <v>1</v>
      </c>
      <c r="M483" s="11"/>
      <c r="N483" s="106">
        <f t="shared" si="18"/>
        <v>1</v>
      </c>
      <c r="O483" s="107"/>
      <c r="P483" s="102"/>
      <c r="Q483" s="45"/>
      <c r="R483" s="18">
        <v>25000</v>
      </c>
      <c r="S483" s="12">
        <v>25875</v>
      </c>
      <c r="T483" s="12">
        <v>27000</v>
      </c>
      <c r="U483" s="167"/>
      <c r="V483" s="168"/>
      <c r="W483" s="13">
        <v>250</v>
      </c>
      <c r="X483" s="185"/>
    </row>
    <row r="484" spans="1:24" s="15" customFormat="1">
      <c r="A484" s="114" t="s">
        <v>457</v>
      </c>
      <c r="B484" s="44" t="str">
        <f>IFERROR(HYPERLINK(VLOOKUP(A484,ÜRÜNLER!A:C,3,FALSE),VLOOKUP(A484,ÜRÜNLER!A:B,2,FALSE)),"")</f>
        <v>Siemens Ev Tipi Klima Dış Ünite, 24.000BTU, Beyaz</v>
      </c>
      <c r="C484" s="8"/>
      <c r="D484" s="8"/>
      <c r="E484" s="9"/>
      <c r="F484" s="9"/>
      <c r="G484" s="10"/>
      <c r="H484" s="10"/>
      <c r="I484" s="11"/>
      <c r="J484" s="11"/>
      <c r="K484" s="10"/>
      <c r="L484" s="10">
        <v>1</v>
      </c>
      <c r="M484" s="11"/>
      <c r="N484" s="106">
        <f t="shared" si="18"/>
        <v>1</v>
      </c>
      <c r="O484" s="107"/>
      <c r="P484" s="102"/>
      <c r="Q484" s="45"/>
      <c r="R484" s="18">
        <v>36000</v>
      </c>
      <c r="S484" s="12">
        <v>37260</v>
      </c>
      <c r="T484" s="12">
        <v>38880</v>
      </c>
      <c r="U484" s="167"/>
      <c r="V484" s="168"/>
      <c r="W484" s="13"/>
      <c r="X484" s="185"/>
    </row>
    <row r="485" spans="1:24" s="15" customFormat="1">
      <c r="A485" s="139" t="s">
        <v>1477</v>
      </c>
      <c r="B485" s="44" t="str">
        <f>IFERROR(HYPERLINK(VLOOKUP(A485,ÜRÜNLER!A:C,3,FALSE),VLOOKUP(A485,ÜRÜNLER!A:B,2,FALSE)),"")</f>
        <v>Siemens Ev Tipi Klima İç Ünite, 24.000BTU, Beyaz</v>
      </c>
      <c r="C485" s="8">
        <v>3</v>
      </c>
      <c r="D485" s="8"/>
      <c r="E485" s="9"/>
      <c r="F485" s="9"/>
      <c r="G485" s="10"/>
      <c r="H485" s="10"/>
      <c r="I485" s="11"/>
      <c r="J485" s="11"/>
      <c r="K485" s="10"/>
      <c r="L485" s="10"/>
      <c r="M485" s="11"/>
      <c r="N485" s="106">
        <f t="shared" si="18"/>
        <v>3</v>
      </c>
      <c r="O485" s="108"/>
      <c r="P485" s="103"/>
      <c r="Q485" s="178">
        <v>30075.909952049711</v>
      </c>
      <c r="R485" s="82">
        <v>35000</v>
      </c>
      <c r="S485" s="81">
        <v>36225</v>
      </c>
      <c r="T485" s="12">
        <v>37800</v>
      </c>
      <c r="U485" s="167">
        <v>7512.6448352812149</v>
      </c>
      <c r="V485" s="168"/>
      <c r="W485" s="13">
        <v>250</v>
      </c>
      <c r="X485" s="185"/>
    </row>
    <row r="486" spans="1:24" s="15" customFormat="1">
      <c r="A486" s="139" t="s">
        <v>1478</v>
      </c>
      <c r="B486" s="44" t="str">
        <f>IFERROR(HYPERLINK(VLOOKUP(A486,ÜRÜNLER!A:C,3,FALSE),VLOOKUP(A486,ÜRÜNLER!A:B,2,FALSE)),"")</f>
        <v>Siemens Ev Tipi Klima Dış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0"/>
      <c r="M486" s="11"/>
      <c r="N486" s="106">
        <f t="shared" si="18"/>
        <v>3</v>
      </c>
      <c r="O486" s="108"/>
      <c r="P486" s="103"/>
      <c r="Q486" s="178">
        <v>45113.864928074559</v>
      </c>
      <c r="R486" s="82">
        <v>50000</v>
      </c>
      <c r="S486" s="81">
        <v>51750</v>
      </c>
      <c r="T486" s="12">
        <v>54000</v>
      </c>
      <c r="U486" s="167"/>
      <c r="V486" s="168"/>
      <c r="W486" s="13"/>
      <c r="X486" s="185"/>
    </row>
    <row r="487" spans="1:24">
      <c r="A487" s="114" t="s">
        <v>1314</v>
      </c>
      <c r="B487" s="44" t="str">
        <f>IFERROR(HYPERLINK(VLOOKUP(A487,ÜRÜNLER!A:C,3,FALSE),VLOOKUP(A487,ÜRÜNLER!A:B,2,FALSE)),"")</f>
        <v>SHAZA Akım Korumalı Akıllı Priz (Beyaz)</v>
      </c>
      <c r="C487" s="8"/>
      <c r="D487" s="8"/>
      <c r="E487" s="9"/>
      <c r="F487" s="9"/>
      <c r="G487" s="10"/>
      <c r="H487" s="10"/>
      <c r="I487" s="11">
        <v>1</v>
      </c>
      <c r="J487" s="11">
        <v>4</v>
      </c>
      <c r="K487" s="10"/>
      <c r="L487" s="10"/>
      <c r="M487" s="11"/>
      <c r="N487" s="106">
        <f t="shared" si="18"/>
        <v>5</v>
      </c>
      <c r="O487" s="107"/>
      <c r="P487" s="101" t="s">
        <v>1545</v>
      </c>
      <c r="Q487" s="45">
        <v>520</v>
      </c>
      <c r="R487" s="14">
        <v>850</v>
      </c>
      <c r="S487" s="36">
        <v>879.75</v>
      </c>
      <c r="T487" s="12">
        <v>918</v>
      </c>
      <c r="U487" s="167"/>
      <c r="V487" s="168"/>
      <c r="W487" s="166">
        <v>100</v>
      </c>
    </row>
    <row r="488" spans="1:24">
      <c r="A488" s="114" t="s">
        <v>1315</v>
      </c>
      <c r="B488" s="44" t="str">
        <f>IFERROR(HYPERLINK(VLOOKUP(A488,ÜRÜNLER!A:C,3,FALSE),VLOOKUP(A488,ÜRÜNLER!A:B,2,FALSE)),"")</f>
        <v>SHAZA Akım Korumalı Üçlü Priz (Beyaz)</v>
      </c>
      <c r="C488" s="8"/>
      <c r="D488" s="8"/>
      <c r="E488" s="9"/>
      <c r="F488" s="9"/>
      <c r="G488" s="10"/>
      <c r="H488" s="10"/>
      <c r="I488" s="11">
        <v>9</v>
      </c>
      <c r="J488" s="11">
        <v>19</v>
      </c>
      <c r="K488" s="10">
        <v>33</v>
      </c>
      <c r="L488" s="10"/>
      <c r="M488" s="11">
        <v>20</v>
      </c>
      <c r="N488" s="106">
        <f t="shared" si="18"/>
        <v>81</v>
      </c>
      <c r="O488" s="107"/>
      <c r="P488" s="101" t="s">
        <v>1545</v>
      </c>
      <c r="Q488" s="45">
        <v>520</v>
      </c>
      <c r="R488" s="35">
        <v>850</v>
      </c>
      <c r="S488" s="36">
        <v>879.75</v>
      </c>
      <c r="T488" s="12">
        <v>918</v>
      </c>
      <c r="U488" s="167"/>
      <c r="V488" s="168"/>
      <c r="W488" s="166">
        <v>100</v>
      </c>
    </row>
  </sheetData>
  <conditionalFormatting sqref="A2:A1048576">
    <cfRule type="duplicateValues" dxfId="44" priority="3"/>
  </conditionalFormatting>
  <conditionalFormatting sqref="A1">
    <cfRule type="duplicateValues" dxfId="43" priority="2"/>
  </conditionalFormatting>
  <conditionalFormatting sqref="B1">
    <cfRule type="duplicateValues" dxfId="4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93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93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94" t="s">
        <v>458</v>
      </c>
      <c r="B12" s="194"/>
      <c r="C12" s="194"/>
      <c r="D12" s="194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94" t="s">
        <v>459</v>
      </c>
      <c r="B13" s="194"/>
      <c r="C13" s="194"/>
      <c r="D13" s="194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94" t="s">
        <v>1307</v>
      </c>
      <c r="B14" s="194"/>
      <c r="C14" s="194"/>
      <c r="D14" s="194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94" t="s">
        <v>461</v>
      </c>
      <c r="B15" s="194"/>
      <c r="C15" s="194"/>
      <c r="D15" s="194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92" t="s">
        <v>460</v>
      </c>
      <c r="B16" s="192"/>
      <c r="C16" s="192"/>
      <c r="D16" s="192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90" t="s">
        <v>1338</v>
      </c>
      <c r="B17" s="190"/>
      <c r="C17" s="190"/>
      <c r="D17" s="190"/>
      <c r="E17" s="191">
        <f>E16*1.08</f>
        <v>-1607.6448000000016</v>
      </c>
      <c r="F17" s="191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6"/>
      <c r="D3" s="143"/>
      <c r="E3" s="143"/>
      <c r="K3" s="195" t="s">
        <v>1789</v>
      </c>
      <c r="L3" s="216" t="s">
        <v>467</v>
      </c>
      <c r="M3" s="217"/>
    </row>
    <row r="4" spans="3:13" ht="35.25" thickBot="1">
      <c r="K4" s="196"/>
      <c r="L4" s="218"/>
      <c r="M4" s="219"/>
    </row>
    <row r="5" spans="3:13">
      <c r="C5" s="195" t="s">
        <v>1790</v>
      </c>
      <c r="D5" s="198" t="s">
        <v>1791</v>
      </c>
      <c r="E5" s="199"/>
      <c r="K5" s="196"/>
      <c r="L5" s="204" t="s">
        <v>1792</v>
      </c>
      <c r="M5" s="205"/>
    </row>
    <row r="6" spans="3:13">
      <c r="C6" s="196"/>
      <c r="D6" s="200"/>
      <c r="E6" s="201"/>
      <c r="K6" s="196"/>
      <c r="L6" s="206"/>
      <c r="M6" s="207"/>
    </row>
    <row r="7" spans="3:13">
      <c r="C7" s="196"/>
      <c r="D7" s="200"/>
      <c r="E7" s="201"/>
      <c r="K7" s="196"/>
      <c r="L7" s="206"/>
      <c r="M7" s="207"/>
    </row>
    <row r="8" spans="3:13" ht="35.25" thickBot="1">
      <c r="C8" s="196"/>
      <c r="D8" s="200"/>
      <c r="E8" s="201"/>
      <c r="K8" s="196"/>
      <c r="L8" s="208"/>
      <c r="M8" s="209"/>
    </row>
    <row r="9" spans="3:13">
      <c r="C9" s="196"/>
      <c r="D9" s="200"/>
      <c r="E9" s="201"/>
      <c r="K9" s="196"/>
      <c r="L9" s="210" t="s">
        <v>1793</v>
      </c>
      <c r="M9" s="211"/>
    </row>
    <row r="10" spans="3:13">
      <c r="C10" s="196"/>
      <c r="D10" s="200"/>
      <c r="E10" s="201"/>
      <c r="K10" s="196"/>
      <c r="L10" s="212"/>
      <c r="M10" s="213"/>
    </row>
    <row r="11" spans="3:13">
      <c r="C11" s="196"/>
      <c r="D11" s="200"/>
      <c r="E11" s="201"/>
      <c r="K11" s="196"/>
      <c r="L11" s="212"/>
      <c r="M11" s="213"/>
    </row>
    <row r="12" spans="3:13" ht="35.25" thickBot="1">
      <c r="C12" s="197"/>
      <c r="D12" s="202"/>
      <c r="E12" s="203"/>
      <c r="K12" s="196"/>
      <c r="L12" s="212"/>
      <c r="M12" s="213"/>
    </row>
    <row r="13" spans="3:13" ht="35.25">
      <c r="C13" s="179"/>
      <c r="D13" s="143"/>
      <c r="E13" s="143"/>
      <c r="K13" s="196"/>
      <c r="L13" s="212"/>
      <c r="M13" s="213"/>
    </row>
    <row r="14" spans="3:13" ht="35.25" thickBot="1">
      <c r="K14" s="197"/>
      <c r="L14" s="214"/>
      <c r="M14" s="215"/>
    </row>
    <row r="16" spans="3:13" ht="35.25" thickBot="1"/>
    <row r="17" spans="11:33">
      <c r="K17" s="195" t="s">
        <v>1794</v>
      </c>
      <c r="L17" s="216" t="s">
        <v>468</v>
      </c>
      <c r="M17" s="217"/>
    </row>
    <row r="18" spans="11:33" ht="35.25" thickBot="1">
      <c r="K18" s="196"/>
      <c r="L18" s="218"/>
      <c r="M18" s="219"/>
    </row>
    <row r="19" spans="11:33">
      <c r="K19" s="196"/>
      <c r="L19" s="204" t="s">
        <v>1795</v>
      </c>
      <c r="M19" s="205"/>
    </row>
    <row r="20" spans="11:33">
      <c r="K20" s="196"/>
      <c r="L20" s="206"/>
      <c r="M20" s="207"/>
    </row>
    <row r="21" spans="11:33">
      <c r="K21" s="196"/>
      <c r="L21" s="206"/>
      <c r="M21" s="207"/>
    </row>
    <row r="22" spans="11:33" ht="35.25" thickBot="1">
      <c r="K22" s="196"/>
      <c r="L22" s="208"/>
      <c r="M22" s="209"/>
    </row>
    <row r="23" spans="11:33">
      <c r="K23" s="196"/>
      <c r="L23" s="220" t="s">
        <v>1796</v>
      </c>
      <c r="M23" s="221"/>
    </row>
    <row r="24" spans="11:33">
      <c r="K24" s="196"/>
      <c r="L24" s="222"/>
      <c r="M24" s="223"/>
    </row>
    <row r="25" spans="11:33">
      <c r="K25" s="196"/>
      <c r="L25" s="222"/>
      <c r="M25" s="223"/>
      <c r="AG25" s="142"/>
    </row>
    <row r="26" spans="11:33">
      <c r="K26" s="196"/>
      <c r="L26" s="222"/>
      <c r="M26" s="223"/>
      <c r="AG26" s="142"/>
    </row>
    <row r="27" spans="11:33">
      <c r="K27" s="196"/>
      <c r="L27" s="222"/>
      <c r="M27" s="223"/>
      <c r="AG27" s="142"/>
    </row>
    <row r="28" spans="11:33" ht="35.25" thickBot="1">
      <c r="K28" s="197"/>
      <c r="L28" s="224"/>
      <c r="M28" s="225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A637" sqref="A637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39.7109375" style="92" customWidth="1"/>
    <col min="4" max="4" width="24.7109375" style="91" customWidth="1"/>
    <col min="5" max="16384" width="9.140625" style="91"/>
  </cols>
  <sheetData>
    <row r="1" spans="1:5">
      <c r="A1" s="151" t="s">
        <v>845</v>
      </c>
      <c r="B1" s="151" t="s">
        <v>846</v>
      </c>
      <c r="C1" s="152" t="s">
        <v>847</v>
      </c>
      <c r="D1" s="152" t="s">
        <v>1572</v>
      </c>
      <c r="E1" s="152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72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72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5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5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5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5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5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44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72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72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5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72" t="s">
        <v>757</v>
      </c>
      <c r="C184" s="7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5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5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5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5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3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5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44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72" t="s">
        <v>1653</v>
      </c>
      <c r="C313" s="7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5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5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5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5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5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5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72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5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5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5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72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5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72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5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72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5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4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44" t="s">
        <v>545</v>
      </c>
      <c r="C619" s="75" t="s">
        <v>1775</v>
      </c>
      <c r="D619" s="91" t="s">
        <v>1632</v>
      </c>
      <c r="E619" s="91" t="s">
        <v>1755</v>
      </c>
    </row>
    <row r="620" spans="1:5">
      <c r="A620" s="91" t="s">
        <v>1815</v>
      </c>
      <c r="B620" s="165" t="s">
        <v>1816</v>
      </c>
      <c r="C620" s="92" t="s">
        <v>1817</v>
      </c>
      <c r="D620" s="91" t="s">
        <v>1631</v>
      </c>
      <c r="E620" s="91" t="s">
        <v>1755</v>
      </c>
    </row>
    <row r="621" spans="1:5">
      <c r="A621" s="91" t="s">
        <v>1818</v>
      </c>
      <c r="B621" s="165" t="s">
        <v>1819</v>
      </c>
      <c r="C621" s="92" t="s">
        <v>1820</v>
      </c>
      <c r="D621" s="91" t="s">
        <v>1631</v>
      </c>
      <c r="E621" s="91" t="s">
        <v>1755</v>
      </c>
    </row>
    <row r="622" spans="1:5">
      <c r="A622" s="91" t="s">
        <v>1812</v>
      </c>
      <c r="B622" s="156" t="s">
        <v>1653</v>
      </c>
      <c r="C622" s="92" t="s">
        <v>1830</v>
      </c>
      <c r="D622" s="91" t="s">
        <v>1626</v>
      </c>
      <c r="E622" s="91" t="s">
        <v>1755</v>
      </c>
    </row>
    <row r="623" spans="1:5">
      <c r="A623" s="91" t="s">
        <v>1814</v>
      </c>
      <c r="B623" s="156" t="s">
        <v>1821</v>
      </c>
      <c r="C623" s="92" t="s">
        <v>1831</v>
      </c>
      <c r="D623" s="91" t="s">
        <v>1626</v>
      </c>
      <c r="E623" s="91" t="s">
        <v>1755</v>
      </c>
    </row>
    <row r="624" spans="1:5">
      <c r="A624" s="91" t="s">
        <v>1813</v>
      </c>
      <c r="B624" s="156" t="s">
        <v>1650</v>
      </c>
      <c r="C624" s="92" t="s">
        <v>1832</v>
      </c>
      <c r="D624" s="91" t="s">
        <v>1626</v>
      </c>
      <c r="E624" s="91" t="s">
        <v>1755</v>
      </c>
    </row>
    <row r="625" spans="1:5">
      <c r="A625" s="91" t="s">
        <v>1822</v>
      </c>
      <c r="B625" s="165" t="s">
        <v>1823</v>
      </c>
      <c r="C625" s="92" t="s">
        <v>1824</v>
      </c>
      <c r="D625" s="91" t="s">
        <v>1631</v>
      </c>
      <c r="E625" s="91" t="s">
        <v>1755</v>
      </c>
    </row>
    <row r="626" spans="1:5">
      <c r="A626" s="91" t="s">
        <v>1811</v>
      </c>
      <c r="B626" s="156" t="s">
        <v>1327</v>
      </c>
      <c r="C626" s="92" t="s">
        <v>1825</v>
      </c>
      <c r="D626" s="91" t="s">
        <v>1626</v>
      </c>
      <c r="E626" s="91" t="s">
        <v>1755</v>
      </c>
    </row>
    <row r="627" spans="1:5">
      <c r="A627" s="91" t="s">
        <v>1802</v>
      </c>
      <c r="B627" s="156" t="s">
        <v>756</v>
      </c>
      <c r="C627" s="164" t="s">
        <v>1826</v>
      </c>
      <c r="D627" s="91" t="s">
        <v>1620</v>
      </c>
      <c r="E627" s="91" t="s">
        <v>1755</v>
      </c>
    </row>
    <row r="628" spans="1:5">
      <c r="A628" s="91" t="s">
        <v>1806</v>
      </c>
      <c r="B628" s="156" t="s">
        <v>521</v>
      </c>
      <c r="C628" s="92" t="s">
        <v>1833</v>
      </c>
      <c r="D628" s="91" t="s">
        <v>1616</v>
      </c>
      <c r="E628" s="91" t="s">
        <v>1755</v>
      </c>
    </row>
    <row r="629" spans="1:5">
      <c r="A629" s="91" t="s">
        <v>1797</v>
      </c>
      <c r="B629" s="156" t="s">
        <v>1834</v>
      </c>
      <c r="C629" s="92" t="s">
        <v>1835</v>
      </c>
      <c r="D629" s="91" t="s">
        <v>1620</v>
      </c>
      <c r="E629" s="91" t="s">
        <v>1755</v>
      </c>
    </row>
    <row r="630" spans="1:5">
      <c r="A630" s="91" t="s">
        <v>1798</v>
      </c>
      <c r="B630" s="156" t="s">
        <v>740</v>
      </c>
      <c r="C630" s="92" t="s">
        <v>1836</v>
      </c>
      <c r="D630" s="91" t="s">
        <v>1620</v>
      </c>
      <c r="E630" s="91" t="s">
        <v>1755</v>
      </c>
    </row>
    <row r="631" spans="1:5">
      <c r="A631" s="91" t="s">
        <v>1799</v>
      </c>
      <c r="B631" s="156" t="s">
        <v>742</v>
      </c>
      <c r="C631" s="92" t="s">
        <v>1837</v>
      </c>
      <c r="D631" s="91" t="s">
        <v>1620</v>
      </c>
      <c r="E631" s="91" t="s">
        <v>1755</v>
      </c>
    </row>
    <row r="632" spans="1:5">
      <c r="A632" s="91" t="s">
        <v>1800</v>
      </c>
      <c r="B632" s="156" t="s">
        <v>1838</v>
      </c>
      <c r="C632" s="92" t="s">
        <v>1839</v>
      </c>
      <c r="D632" s="91" t="s">
        <v>1620</v>
      </c>
      <c r="E632" s="91" t="s">
        <v>1755</v>
      </c>
    </row>
    <row r="633" spans="1:5">
      <c r="A633" s="91" t="s">
        <v>1801</v>
      </c>
      <c r="B633" s="156" t="s">
        <v>726</v>
      </c>
      <c r="C633" s="92" t="s">
        <v>1840</v>
      </c>
      <c r="D633" s="91" t="s">
        <v>1620</v>
      </c>
      <c r="E633" s="91" t="s">
        <v>1755</v>
      </c>
    </row>
    <row r="634" spans="1:5">
      <c r="A634" s="91" t="s">
        <v>1827</v>
      </c>
      <c r="B634" t="s">
        <v>1841</v>
      </c>
      <c r="D634" s="91" t="s">
        <v>1617</v>
      </c>
      <c r="E634" s="91" t="s">
        <v>1755</v>
      </c>
    </row>
    <row r="635" spans="1:5">
      <c r="A635" s="91" t="s">
        <v>1828</v>
      </c>
      <c r="B635" s="156" t="s">
        <v>1842</v>
      </c>
      <c r="C635" s="92" t="s">
        <v>1843</v>
      </c>
      <c r="D635" s="91" t="s">
        <v>1617</v>
      </c>
      <c r="E635" s="91" t="s">
        <v>1755</v>
      </c>
    </row>
    <row r="636" spans="1:5">
      <c r="A636" s="91" t="s">
        <v>1829</v>
      </c>
      <c r="B636" s="156" t="s">
        <v>1844</v>
      </c>
      <c r="C636" s="92" t="s">
        <v>1845</v>
      </c>
      <c r="D636" s="91" t="s">
        <v>1617</v>
      </c>
      <c r="E636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29:A1048576 A618:A627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2026-08-21T08:34:37Z</dcterms:modified>
</cp:coreProperties>
</file>