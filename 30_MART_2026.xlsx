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1969" documentId="8_{04D112BD-6BD0-48D2-BCD0-B02DB0158664}" xr6:coauthVersionLast="47" xr6:coauthVersionMax="47" xr10:uidLastSave="{59D68EFB-D386-4837-BE87-59EB69ECD547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Sayfa1!$A$1:$X$467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2" i="1"/>
  <c r="N480" i="1"/>
  <c r="N479" i="1"/>
  <c r="N478" i="1"/>
  <c r="N477" i="1"/>
  <c r="N476" i="1"/>
  <c r="N475" i="1"/>
  <c r="N474" i="1"/>
  <c r="N472" i="1"/>
  <c r="N471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18" i="1" s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400" i="1" s="1"/>
  <c r="N368" i="1"/>
  <c r="N367" i="1"/>
  <c r="N366" i="1"/>
  <c r="N365" i="1"/>
  <c r="N369" i="1" s="1"/>
  <c r="N363" i="1"/>
  <c r="N362" i="1"/>
  <c r="N361" i="1"/>
  <c r="N360" i="1"/>
  <c r="N359" i="1"/>
  <c r="N358" i="1"/>
  <c r="N357" i="1"/>
  <c r="N364" i="1" s="1"/>
  <c r="N355" i="1"/>
  <c r="N354" i="1"/>
  <c r="N353" i="1"/>
  <c r="N352" i="1"/>
  <c r="N351" i="1"/>
  <c r="N356" i="1" s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87" i="1" s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30" i="1" s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211" i="1" s="1"/>
  <c r="N162" i="1"/>
  <c r="N161" i="1"/>
  <c r="N160" i="1"/>
  <c r="N159" i="1"/>
  <c r="N158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57" i="1" s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36" i="1" s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110" i="1" s="1"/>
  <c r="N96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95" i="1" s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69" i="1" s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3" i="2"/>
  <c r="J4" i="2"/>
  <c r="J5" i="2"/>
  <c r="J6" i="2"/>
  <c r="J7" i="2"/>
  <c r="J8" i="2"/>
  <c r="J9" i="2"/>
  <c r="J10" i="2"/>
  <c r="J11" i="2"/>
  <c r="J2" i="2"/>
  <c r="J1" i="2"/>
  <c r="H3" i="2"/>
  <c r="H4" i="2"/>
  <c r="H5" i="2"/>
  <c r="H6" i="2"/>
  <c r="H7" i="2"/>
  <c r="H8" i="2"/>
  <c r="H9" i="2"/>
  <c r="H10" i="2"/>
  <c r="H11" i="2"/>
  <c r="H2" i="2"/>
  <c r="G2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H1" i="2"/>
  <c r="G1" i="2"/>
  <c r="F1" i="2"/>
  <c r="E1" i="2"/>
  <c r="D1" i="2"/>
  <c r="F15" i="2"/>
  <c r="E15" i="2"/>
  <c r="G3" i="2"/>
  <c r="G4" i="2"/>
  <c r="G5" i="2"/>
  <c r="G6" i="2"/>
  <c r="G7" i="2"/>
  <c r="G8" i="2"/>
  <c r="G9" i="2"/>
  <c r="G10" i="2"/>
  <c r="G11" i="2"/>
  <c r="B11" i="2"/>
  <c r="C11" i="2"/>
  <c r="E12" i="2" l="1"/>
  <c r="F14" i="2"/>
  <c r="E14" i="2"/>
  <c r="F13" i="2"/>
  <c r="E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<sst xmlns="http://schemas.openxmlformats.org/spreadsheetml/2006/main" count="2406" uniqueCount="1539">
  <si>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</si>
  <si>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</si>
  <si>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</si>
  <si>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</si>
  <si>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</si>
  <si>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</si>
  <si>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</si>
  <si>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VEGA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</si>
  <si>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</si>
  <si>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</si>
  <si>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</si>
  <si>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</si>
  <si>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</si>
  <si>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</si>
  <si>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</si>
  <si>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</si>
  <si>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</si>
  <si>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</si>
  <si>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</si>
  <si>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</si>
  <si>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</si>
  <si>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</si>
  <si>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</si>
  <si>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</si>
  <si>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</si>
  <si>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</si>
  <si>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</si>
  <si>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</si>
  <si>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</si>
  <si>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</si>
  <si>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</si>
  <si>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</si>
  <si>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</si>
  <si>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</si>
  <si>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</si>
  <si>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</si>
  <si>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</si>
  <si>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</si>
  <si>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</si>
  <si>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</si>
  <si>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</si>
  <si>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</si>
  <si>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</si>
  <si>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</si>
  <si>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</si>
  <si>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</si>
  <si>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</si>
  <si>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</si>
  <si>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</si>
  <si>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</si>
  <si>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</si>
  <si>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</si>
  <si>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</si>
  <si>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</si>
  <si>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</si>
  <si>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A.DOLAP DONDURUCU</t>
  </si>
  <si>
    <t>STUDIOLINE ÜRÜNLERİ BUNDLE KAMPANYASINA DAHİL EDİLEMEZ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</si>
  <si>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</si>
  <si>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</si>
  <si>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</si>
  <si>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</si>
  <si>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</si>
  <si>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</si>
  <si>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</si>
  <si>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</si>
  <si>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</si>
  <si>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</si>
  <si>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</si>
  <si>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</si>
  <si>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</si>
  <si>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</si>
  <si>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</si>
  <si>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</si>
  <si>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</si>
  <si>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</si>
  <si>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</si>
  <si>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</si>
  <si>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</si>
  <si>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</si>
  <si>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</si>
  <si>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</si>
  <si>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</si>
  <si>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</si>
  <si>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</si>
  <si>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</si>
  <si>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</si>
  <si>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</si>
  <si>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</si>
  <si>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</si>
  <si>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</si>
  <si>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</si>
  <si>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</si>
  <si>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</si>
  <si>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</si>
  <si>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</si>
  <si>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</si>
  <si>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</si>
  <si>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</si>
  <si>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</si>
  <si>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</si>
  <si>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</si>
  <si>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</si>
  <si>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</si>
  <si>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</si>
  <si>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</si>
  <si>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</si>
  <si>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</si>
  <si>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</si>
  <si>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</si>
  <si>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</si>
  <si>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</si>
  <si>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</si>
  <si>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</si>
  <si>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</si>
  <si>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</si>
  <si>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</si>
  <si>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</si>
  <si>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</si>
  <si>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</si>
  <si>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</si>
  <si>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</si>
  <si>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</si>
  <si>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</si>
  <si>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</si>
  <si>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</si>
  <si>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</si>
  <si>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</si>
  <si>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</si>
  <si>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</si>
  <si>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</si>
  <si>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</si>
  <si>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</si>
  <si>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</si>
  <si>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</si>
  <si>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</si>
  <si>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</si>
  <si>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</si>
  <si>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</si>
  <si>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</si>
  <si>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</si>
  <si>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</si>
  <si>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</si>
  <si>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</si>
  <si>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</si>
  <si>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</si>
  <si>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</si>
  <si>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</si>
  <si>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</si>
  <si>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</si>
  <si>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</si>
  <si>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</si>
  <si>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</si>
  <si>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</si>
  <si>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</si>
  <si>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</si>
  <si>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</si>
  <si>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</si>
  <si>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</si>
  <si>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</si>
  <si>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</si>
  <si>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</si>
  <si>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</si>
  <si>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</si>
  <si>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</si>
  <si>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</si>
  <si>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</si>
  <si>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</si>
  <si>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</si>
  <si>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</si>
  <si>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</si>
  <si>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</si>
  <si>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</si>
  <si>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</si>
  <si>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</si>
  <si>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</si>
  <si>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</si>
  <si>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</si>
  <si>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</si>
  <si>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</si>
  <si>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</si>
  <si>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</si>
  <si>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</si>
  <si>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</si>
  <si>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</si>
  <si>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</si>
  <si>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</si>
  <si>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</si>
  <si>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</si>
  <si>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</si>
  <si>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</si>
  <si>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</si>
  <si>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</si>
  <si>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</si>
  <si>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</si>
  <si>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</si>
  <si>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</si>
  <si>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</si>
  <si>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</si>
  <si>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</si>
  <si>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</si>
  <si>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</si>
  <si>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</si>
  <si>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</si>
  <si>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</si>
  <si>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</si>
  <si>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</si>
  <si>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</si>
  <si>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</si>
  <si>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</si>
  <si>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</si>
  <si>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</si>
  <si>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</si>
  <si>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</si>
  <si>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</si>
  <si>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</si>
  <si>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</si>
  <si>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</si>
  <si>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</si>
  <si>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</si>
  <si>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</si>
  <si>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</si>
  <si>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</si>
  <si>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</si>
  <si>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</si>
  <si>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</si>
  <si>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</si>
  <si>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</si>
  <si>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</si>
  <si>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</si>
  <si>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</si>
  <si>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</si>
  <si>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</si>
  <si>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</si>
  <si>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</si>
  <si>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</si>
  <si>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</si>
  <si>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</si>
  <si>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</si>
  <si>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</si>
  <si>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</si>
  <si>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</si>
  <si>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</si>
  <si>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</si>
  <si>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</si>
  <si>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</si>
  <si>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</si>
  <si>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</si>
  <si>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</si>
  <si>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</si>
  <si>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</si>
  <si>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</si>
  <si>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</si>
  <si>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</si>
  <si>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</si>
  <si>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</si>
  <si>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</si>
  <si>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</si>
  <si>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</si>
  <si>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</si>
  <si>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</si>
  <si>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</si>
  <si>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</si>
  <si>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</si>
  <si>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</si>
  <si>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</si>
  <si>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</si>
  <si>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</si>
  <si>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</si>
  <si>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</si>
  <si>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</si>
  <si>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</si>
  <si>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</si>
  <si>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</si>
  <si>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</si>
  <si>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</si>
  <si>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</si>
  <si>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</si>
  <si>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</si>
  <si>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</si>
  <si>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</si>
  <si>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</si>
  <si>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</si>
  <si>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</si>
  <si>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</si>
  <si>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</si>
  <si>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</si>
  <si>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</si>
  <si>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</si>
  <si>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</si>
  <si>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</si>
  <si>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</si>
  <si>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</si>
  <si>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</si>
  <si>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</si>
  <si>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</si>
  <si>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</si>
  <si>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</si>
  <si>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</si>
  <si>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</si>
  <si>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</si>
  <si>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</si>
  <si>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</si>
  <si>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</si>
  <si>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</si>
  <si>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</si>
  <si>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</si>
  <si>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</si>
  <si>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</si>
  <si>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</si>
  <si>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</si>
  <si>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</si>
  <si>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</si>
  <si>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</si>
  <si>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</si>
  <si>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</si>
  <si>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</si>
  <si>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</si>
  <si>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</si>
  <si>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</si>
  <si>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</si>
  <si>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</si>
  <si>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</si>
  <si>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</si>
  <si>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</si>
  <si>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</si>
  <si>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</si>
  <si>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</si>
  <si>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</si>
  <si>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</si>
  <si>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</si>
  <si>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</si>
  <si>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</si>
  <si>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</si>
  <si>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</si>
  <si>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</si>
  <si>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</si>
  <si>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</si>
  <si>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</si>
  <si>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</si>
  <si>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</si>
  <si>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</si>
  <si>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</si>
  <si>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</si>
  <si>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</si>
  <si>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</si>
  <si>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</si>
  <si>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</si>
  <si>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</si>
  <si>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</si>
  <si>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</si>
  <si>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</si>
  <si>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</si>
  <si>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</si>
  <si>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</si>
  <si>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</si>
  <si>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</si>
  <si>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</si>
  <si>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</si>
  <si>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</si>
  <si>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</si>
  <si>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</si>
  <si>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</si>
  <si>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</si>
  <si>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</si>
  <si>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</si>
  <si>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</si>
  <si>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</si>
  <si>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</si>
  <si>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</si>
  <si>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</si>
  <si>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</si>
  <si>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</si>
  <si>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</si>
  <si>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</si>
  <si>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</si>
  <si>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</si>
  <si>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</si>
  <si>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</si>
  <si>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</si>
  <si>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</si>
  <si>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</si>
  <si>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</si>
  <si>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</si>
  <si>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</si>
  <si>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</si>
  <si>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</si>
  <si>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</si>
  <si>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</si>
  <si>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</si>
  <si>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</si>
  <si>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</si>
  <si>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</si>
  <si>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</si>
  <si>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</si>
  <si>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</si>
  <si>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</si>
  <si>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</si>
  <si>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</si>
  <si>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</si>
  <si>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</si>
  <si>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</si>
  <si>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</si>
  <si>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</si>
  <si>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</si>
  <si>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</si>
  <si>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</si>
  <si>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</si>
  <si>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</si>
  <si>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</si>
  <si>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</si>
  <si>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</si>
  <si>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</si>
  <si>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</si>
  <si>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</si>
  <si>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</si>
  <si>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</si>
  <si>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</si>
  <si>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</si>
  <si>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</si>
  <si>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</si>
  <si>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</si>
  <si>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</si>
  <si>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</si>
  <si>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</si>
  <si>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</si>
  <si>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</si>
  <si>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</si>
  <si>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</si>
  <si>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</si>
  <si>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</si>
  <si>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</si>
  <si>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</si>
  <si>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</si>
  <si>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</si>
  <si>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</si>
  <si>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</si>
  <si>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</si>
  <si>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</si>
  <si>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</si>
  <si>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</si>
  <si>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</si>
  <si>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</si>
  <si>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</si>
  <si>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</si>
  <si>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</si>
  <si>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</si>
  <si>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</si>
  <si>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</si>
  <si>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</si>
  <si>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</si>
  <si>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</si>
  <si>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</si>
  <si>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</si>
  <si>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</si>
  <si>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</si>
  <si>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</si>
  <si>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</si>
  <si>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</si>
  <si>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</si>
  <si>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</si>
  <si>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</si>
  <si>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</si>
  <si>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</si>
  <si>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</si>
  <si>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</si>
  <si>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</si>
  <si>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</si>
  <si>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</si>
  <si>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</si>
  <si>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</si>
  <si>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</si>
  <si>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</si>
  <si>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</si>
  <si>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</si>
  <si>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</si>
  <si>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</si>
  <si>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Seçili Ankastre fırın ile set alana perakende de 6.000 ₺ indirim!</t>
  </si>
  <si>
    <t>Geçerli  Ankastre Fırınlar</t>
  </si>
  <si>
    <t>Geçerli  Ankastre Setler</t>
  </si>
  <si>
    <t>Giriş setler hariçtir.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</si>
  <si>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</si>
  <si>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</si>
  <si>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</si>
  <si>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</si>
  <si>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</si>
  <si>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</si>
  <si>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</si>
  <si>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</si>
  <si>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</si>
  <si>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</si>
  <si>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</si>
  <si>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</si>
  <si>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</si>
  <si>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</si>
  <si>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</si>
  <si>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</si>
  <si>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</si>
  <si>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</si>
  <si>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</si>
  <si>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</si>
  <si>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</si>
  <si>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</si>
  <si>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</si>
  <si>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</si>
  <si>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</si>
  <si>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</si>
  <si>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</si>
  <si>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</si>
  <si>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</si>
  <si>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</si>
  <si>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</si>
  <si>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</si>
  <si>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</si>
  <si>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</si>
  <si>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</si>
  <si>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</si>
  <si>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</si>
  <si>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</si>
  <si>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</si>
  <si>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</si>
  <si>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</si>
  <si>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</si>
  <si>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</si>
  <si>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</si>
  <si>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</si>
  <si>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</si>
  <si>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</si>
  <si>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</si>
  <si>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</si>
  <si>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</si>
  <si>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</si>
  <si>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</si>
  <si>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</si>
  <si>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</si>
  <si>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</si>
  <si>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</si>
  <si>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</si>
  <si>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</si>
  <si>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</si>
  <si>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</si>
  <si>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</si>
  <si>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</si>
  <si>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</si>
  <si>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</si>
  <si>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</si>
  <si>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</si>
  <si>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</si>
  <si>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</si>
  <si>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</si>
  <si>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</si>
  <si>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</si>
  <si>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</si>
  <si>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</si>
  <si>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</si>
  <si>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</si>
  <si>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</si>
  <si>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</si>
  <si>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</si>
  <si>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</si>
  <si>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</si>
  <si>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</si>
  <si>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</si>
  <si>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</si>
  <si>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</si>
  <si>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</si>
  <si>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</si>
  <si>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</si>
  <si>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</si>
  <si>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</si>
  <si>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</si>
  <si>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</si>
  <si>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</si>
  <si>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</si>
  <si>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</si>
  <si>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</si>
  <si>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</si>
  <si>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</si>
  <si>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</si>
  <si>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</si>
  <si>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</si>
  <si>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</si>
  <si>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</si>
  <si>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</si>
  <si>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</si>
  <si>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</si>
  <si>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</si>
  <si>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</si>
  <si>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</si>
  <si>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</si>
  <si>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</si>
  <si>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</si>
  <si>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</si>
  <si>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</si>
  <si>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</si>
  <si>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</si>
  <si>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</si>
  <si>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</si>
  <si>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</si>
  <si>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</si>
  <si>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</si>
  <si>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</si>
  <si>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</si>
  <si>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</si>
  <si>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</si>
  <si>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</si>
  <si>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</si>
  <si>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</si>
  <si>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</si>
  <si>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</si>
  <si>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</si>
  <si>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</si>
  <si>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</si>
  <si>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</si>
  <si>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</si>
  <si>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</si>
  <si>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</si>
  <si>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</si>
  <si>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</si>
  <si>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</si>
  <si>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</si>
  <si>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</si>
  <si>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</si>
  <si>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</si>
  <si>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</si>
  <si>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</si>
  <si>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</si>
  <si>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</si>
  <si>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</si>
  <si>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</si>
  <si>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</si>
  <si>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</si>
  <si>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</si>
  <si>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</si>
  <si>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</si>
  <si>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</si>
  <si>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</si>
  <si>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</si>
  <si>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</si>
  <si>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</si>
  <si>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</si>
  <si>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</si>
  <si>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</si>
  <si>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</si>
  <si>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</si>
  <si>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</si>
  <si>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</si>
  <si>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</si>
  <si>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</si>
  <si>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</si>
  <si>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</si>
  <si>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</si>
  <si>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</si>
  <si>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</si>
  <si>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</si>
  <si>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</si>
  <si>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</si>
  <si>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</si>
  <si>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</si>
  <si>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</si>
  <si>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</si>
  <si>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</si>
  <si>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</si>
  <si>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</si>
  <si>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</si>
  <si>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</si>
  <si>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</si>
  <si>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</si>
  <si>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</si>
  <si>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</si>
  <si>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</si>
  <si>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</si>
  <si>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</si>
  <si>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</si>
  <si>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</si>
  <si>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</si>
  <si>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</si>
  <si>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</si>
  <si>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</si>
  <si>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</si>
  <si>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</si>
  <si>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</si>
  <si>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</si>
  <si>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</si>
  <si>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</si>
  <si>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</si>
  <si>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</si>
  <si>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</si>
  <si>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</si>
  <si>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</si>
  <si>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</si>
  <si>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</si>
  <si>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</si>
  <si>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</si>
  <si>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</si>
  <si>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</si>
  <si>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</si>
  <si>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</si>
  <si>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</si>
  <si>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</si>
  <si>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</si>
  <si>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</si>
  <si>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</si>
  <si>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</si>
  <si>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</si>
  <si>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</si>
  <si>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</si>
  <si>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</si>
  <si>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</si>
  <si>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</si>
  <si>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</si>
  <si>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</si>
  <si>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</si>
  <si>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</si>
  <si>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</si>
  <si>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</si>
  <si>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</si>
  <si>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</si>
  <si>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</si>
  <si>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</si>
  <si>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</si>
  <si>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</si>
  <si>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</si>
  <si>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</si>
  <si>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</si>
  <si>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</si>
  <si>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</si>
  <si>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</si>
  <si>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</si>
  <si>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</si>
  <si>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</si>
  <si>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</si>
  <si>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</si>
  <si>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</si>
  <si>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</si>
  <si>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</si>
  <si>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</si>
  <si>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</si>
  <si>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</si>
  <si>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</si>
  <si>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</si>
  <si>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</si>
  <si>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</si>
  <si>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</si>
  <si>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</si>
  <si>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</si>
  <si>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</si>
  <si>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</si>
  <si>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</si>
  <si>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</si>
  <si>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</si>
  <si>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</si>
  <si>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</si>
  <si>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</si>
  <si>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</si>
  <si>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</si>
  <si>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</si>
  <si>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</si>
  <si>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</si>
  <si>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</si>
  <si>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</si>
  <si>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</si>
  <si>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</si>
  <si>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</si>
  <si>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</si>
  <si>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</si>
  <si>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</si>
  <si>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</si>
  <si>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</si>
  <si>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</si>
  <si>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</si>
  <si>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</si>
  <si>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</si>
  <si>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</si>
  <si>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</si>
  <si>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</si>
  <si>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</si>
  <si>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</si>
  <si>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</si>
  <si>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</si>
  <si>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</si>
  <si>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</si>
  <si>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</si>
  <si>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</si>
  <si>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</si>
  <si>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</si>
  <si>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</si>
  <si>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</si>
  <si>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</si>
  <si>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</si>
  <si>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</si>
  <si>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</si>
  <si>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</si>
  <si>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</si>
  <si>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</si>
  <si>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</si>
  <si>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</si>
  <si>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</si>
  <si>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</si>
  <si>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</si>
  <si>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</si>
  <si>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</si>
  <si>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</si>
  <si>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</si>
  <si>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</si>
  <si>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</si>
  <si>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</si>
  <si>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</si>
  <si>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</si>
  <si>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</si>
  <si>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</si>
  <si>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</si>
  <si>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</si>
  <si>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</si>
  <si>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</si>
  <si>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</si>
  <si>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</si>
  <si>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</si>
  <si>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</si>
  <si>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</si>
  <si>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</si>
  <si>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</si>
  <si>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</si>
  <si>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</si>
  <si>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</si>
  <si>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</si>
  <si>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</si>
  <si>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</si>
  <si>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</si>
  <si>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</si>
  <si>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</si>
  <si>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</si>
  <si>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</si>
  <si>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</si>
  <si>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</si>
  <si>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</si>
  <si>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</si>
  <si>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</si>
  <si>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</si>
  <si>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</si>
  <si>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</si>
  <si>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</si>
  <si>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</si>
  <si>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</si>
  <si>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</si>
  <si>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</si>
  <si>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</si>
  <si>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</si>
  <si>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</si>
  <si>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</si>
  <si>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</si>
  <si>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</si>
  <si>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</si>
  <si>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</si>
  <si>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</si>
  <si>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</si>
  <si>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</si>
  <si>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</si>
  <si>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</si>
  <si>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</si>
  <si>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</si>
  <si>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</si>
  <si>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</si>
  <si>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</si>
  <si>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</si>
  <si>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</si>
  <si>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</si>
  <si>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</si>
  <si>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</si>
  <si>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</si>
  <si>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</si>
  <si>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</si>
  <si>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</si>
  <si>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</si>
  <si>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</si>
  <si>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</si>
  <si>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</si>
  <si>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</si>
  <si>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</si>
  <si>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</si>
  <si>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</si>
  <si>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</si>
  <si>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</si>
  <si>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</si>
  <si>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</si>
  <si>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</si>
  <si>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</si>
  <si>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</si>
  <si>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</si>
  <si>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</si>
  <si>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</si>
  <si>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</si>
  <si>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</si>
  <si>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</si>
  <si>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</si>
  <si>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</si>
  <si>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</si>
  <si>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</si>
  <si>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</si>
  <si>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</si>
  <si>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</si>
  <si>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</si>
  <si>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</si>
  <si>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</si>
  <si>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</si>
  <si>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</si>
  <si>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</si>
  <si>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</si>
  <si>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</si>
  <si>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</si>
  <si>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</si>
  <si>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</si>
  <si>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</si>
  <si>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</si>
  <si>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</si>
  <si>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</si>
  <si>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</si>
  <si>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</si>
  <si>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</si>
  <si>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</si>
  <si>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</si>
  <si>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</si>
  <si>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</si>
  <si>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</si>
  <si>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</si>
  <si>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</si>
  <si>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</si>
  <si>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</si>
  <si>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</si>
  <si>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</si>
  <si>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</si>
  <si>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</si>
  <si>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</si>
  <si>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</si>
  <si>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</si>
  <si>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</si>
  <si>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</si>
  <si>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</si>
  <si>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</si>
  <si>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</si>
  <si>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</si>
  <si>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</si>
  <si>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</si>
  <si>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</si>
  <si>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</si>
  <si>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</si>
  <si>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</si>
  <si>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</si>
  <si>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</si>
  <si>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</si>
  <si>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</si>
  <si>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</si>
  <si>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</si>
  <si>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</si>
  <si>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</si>
  <si>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</si>
  <si>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</si>
  <si>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</si>
  <si>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</si>
  <si>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</si>
  <si>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</si>
  <si>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</si>
  <si>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</si>
  <si>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</si>
  <si>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</si>
  <si>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</si>
  <si>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</si>
  <si>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</si>
  <si>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</si>
  <si>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</si>
  <si>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</si>
  <si>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</si>
  <si>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</si>
  <si>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</si>
  <si>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</si>
  <si>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</si>
  <si>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</si>
  <si>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</si>
  <si>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</si>
  <si>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</si>
  <si>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</si>
  <si>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</si>
  <si>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</si>
  <si>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</si>
  <si>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</si>
  <si>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</si>
  <si>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</si>
  <si>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</si>
  <si>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</si>
  <si>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</si>
  <si>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</si>
  <si>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</si>
  <si>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</si>
  <si>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</si>
  <si>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</si>
  <si>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</si>
  <si>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</si>
  <si>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</si>
  <si>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</si>
  <si>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</si>
  <si>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</si>
  <si>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</si>
  <si>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</si>
  <si>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</si>
  <si>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</si>
  <si>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</si>
  <si>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</si>
  <si>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</si>
  <si>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</si>
  <si>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</si>
  <si>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</si>
  <si>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</si>
  <si>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</si>
  <si>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</si>
  <si>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</si>
  <si>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</si>
  <si>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</si>
  <si>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</si>
  <si>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</si>
  <si>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</si>
  <si>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</si>
  <si>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</si>
  <si>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</si>
  <si>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</si>
  <si>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</si>
  <si>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</si>
  <si>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</si>
  <si>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</si>
  <si>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</si>
  <si>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</si>
  <si>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</si>
  <si>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</si>
  <si>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</si>
  <si>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</si>
  <si>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</si>
  <si>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</si>
  <si>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</si>
  <si>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</si>
  <si>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</si>
  <si>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</si>
  <si>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</si>
  <si>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</si>
  <si>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</si>
  <si>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</si>
  <si>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</si>
  <si>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</si>
  <si>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</si>
  <si>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</si>
  <si>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</si>
  <si>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</si>
  <si>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</si>
  <si>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</si>
  <si>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</si>
  <si>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</si>
  <si>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</si>
  <si>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</si>
  <si>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</si>
  <si>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</si>
  <si>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</si>
  <si>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</si>
  <si>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</si>
  <si>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</si>
  <si>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</si>
  <si>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</si>
  <si>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</si>
  <si>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</si>
  <si>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</si>
  <si>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</si>
  <si>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</si>
  <si>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</si>
  <si>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</si>
  <si>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</si>
  <si>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</si>
  <si>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</si>
  <si>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</si>
  <si>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</si>
  <si>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</si>
  <si>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</si>
  <si>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</si>
  <si>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</si>
  <si>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</si>
  <si>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</si>
  <si>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</si>
  <si>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</si>
  <si>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</si>
  <si>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</si>
  <si>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</si>
  <si>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</si>
  <si>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</si>
  <si>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</si>
  <si>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</si>
  <si>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</si>
  <si>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</si>
  <si>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</si>
  <si>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</si>
  <si>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</si>
  <si>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</si>
  <si>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</si>
  <si>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</si>
  <si>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</si>
  <si>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</si>
  <si>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</si>
  <si>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</si>
  <si>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</si>
  <si>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</si>
  <si>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</si>
  <si>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</si>
  <si>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</si>
  <si>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</si>
  <si>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</si>
  <si>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</si>
  <si>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</si>
  <si>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</si>
  <si>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</si>
  <si>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</si>
  <si>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</si>
  <si>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</si>
  <si>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</si>
  <si>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</si>
  <si>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</si>
  <si>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</si>
  <si>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</si>
  <si>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</si>
  <si>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</si>
  <si>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</si>
  <si>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</si>
  <si>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</si>
  <si>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</si>
  <si>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</si>
  <si>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</si>
  <si>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</si>
  <si>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</si>
  <si>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</si>
  <si>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</si>
  <si>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</si>
  <si>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</si>
  <si>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</si>
  <si>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</si>
  <si>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</si>
  <si>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</si>
  <si>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</si>
  <si>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</si>
  <si>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</si>
  <si>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</si>
  <si>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</si>
  <si>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</si>
  <si>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</si>
  <si>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</si>
  <si>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</si>
  <si>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</si>
  <si>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</si>
  <si>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</si>
  <si>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</si>
  <si>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</si>
  <si>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</si>
  <si>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</si>
  <si>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</si>
  <si>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</si>
  <si>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</si>
  <si>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</si>
  <si>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</si>
  <si>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</si>
  <si>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</si>
  <si>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</si>
  <si>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</si>
  <si>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</si>
  <si>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</si>
  <si>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</si>
  <si>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</si>
  <si>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</si>
  <si>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</si>
  <si>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</si>
  <si>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</si>
  <si>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</si>
  <si>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</si>
  <si>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</si>
  <si>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</si>
  <si>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</si>
  <si>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</si>
  <si>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</si>
  <si>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</si>
  <si>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</si>
  <si>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</si>
  <si>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</si>
  <si>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</si>
  <si>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</si>
  <si>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</si>
  <si>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</si>
  <si>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</si>
  <si>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</si>
  <si>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</si>
  <si>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</si>
  <si>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</si>
  <si>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</si>
  <si>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</si>
  <si>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</si>
  <si>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</si>
  <si>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</si>
  <si>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</si>
  <si>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</si>
  <si>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</si>
  <si>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</si>
  <si>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</si>
  <si>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</si>
  <si>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</si>
  <si>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</si>
  <si>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</si>
  <si>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</si>
  <si>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</si>
  <si>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</si>
  <si>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</si>
  <si>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</si>
  <si>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</si>
  <si>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</si>
  <si>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</si>
  <si>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</si>
  <si>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</si>
  <si>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</si>
  <si>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</si>
  <si>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</si>
  <si>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</si>
  <si>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</si>
  <si>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</si>
  <si>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</si>
  <si>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</si>
  <si>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</si>
  <si>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</si>
  <si>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</si>
  <si>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</si>
  <si>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</si>
  <si>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</si>
  <si>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</si>
  <si>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</si>
  <si>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</si>
  <si>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</si>
  <si>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</si>
  <si>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</si>
  <si>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</si>
  <si>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</si>
  <si>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</si>
  <si>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</si>
  <si>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</si>
  <si>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</si>
  <si>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</si>
  <si>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</si>
  <si>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</si>
  <si>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</si>
  <si>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</si>
  <si>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</si>
  <si>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</si>
  <si>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</si>
  <si>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</si>
  <si>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</si>
  <si>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</si>
  <si>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</si>
  <si>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</si>
  <si>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</si>
  <si>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</si>
  <si>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</si>
  <si>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</si>
  <si>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</si>
  <si>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</si>
  <si>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</si>
  <si>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</si>
  <si>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</si>
  <si>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</si>
  <si>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</si>
  <si>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</si>
  <si>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</si>
  <si>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</si>
  <si>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</si>
  <si>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</si>
  <si>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</si>
  <si>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</si>
  <si>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</si>
  <si>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</si>
  <si>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</si>
  <si>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</si>
  <si>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</si>
  <si>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</si>
  <si>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</si>
  <si>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</si>
  <si>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</si>
  <si>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</si>
  <si>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</si>
  <si>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</si>
  <si>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</si>
  <si>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</si>
  <si>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</si>
  <si>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</si>
  <si>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</si>
  <si>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</si>
  <si>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</si>
  <si>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</si>
  <si>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</si>
  <si>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</si>
  <si>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</si>
  <si>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</si>
  <si>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</si>
  <si>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</si>
  <si>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</si>
  <si>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</si>
  <si>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</si>
  <si>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</si>
  <si>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</si>
  <si>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</si>
  <si>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</si>
  <si>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</si>
  <si>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</si>
  <si>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</si>
  <si>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</si>
  <si>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</si>
  <si>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</si>
  <si>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</si>
  <si>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</si>
  <si>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</si>
  <si>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</si>
  <si>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</si>
  <si>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</si>
  <si>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</si>
  <si>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</si>
  <si>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</si>
  <si>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</si>
  <si>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"HB557" Ankastre fırın segmenti ve üzeri  Set alımlarına  “SN616X00DT” kodlu tam ankastre bulaşık makinesi perakende de %50 indirimli!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</si>
  <si>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</si>
  <si>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</si>
  <si>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</si>
  <si>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</si>
  <si>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</si>
  <si>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</si>
  <si>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</si>
  <si>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</si>
  <si>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</si>
  <si>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</si>
  <si>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</si>
  <si>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</si>
  <si>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</si>
  <si>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</si>
  <si>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</si>
  <si>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</si>
  <si>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</si>
  <si>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</si>
  <si>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</si>
  <si>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</si>
  <si>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</si>
  <si>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</si>
  <si>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</si>
  <si>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</si>
  <si>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</si>
  <si>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 xml:space="preserve">YENİ </t>
  </si>
  <si>
    <t>2’li LDA alımında perakende de                   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</si>
  <si>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</si>
  <si>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2’li LDA alımında Kurutma Makinelerinde perakende de                        10.000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</si>
  <si>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</si>
  <si>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t>(HB214FBS1T, HB012FBB1T, HB214FBW1T, HB012FBW1T, HB514FBH0T, HB514FBH2T, HB012FBH1T, HB514FBR1T, HB514FBR1T) Ankastre fırınlarda geçerlidir.</t>
  </si>
  <si>
    <r>
      <t xml:space="preserve">Uygulama koşulları : Seçili ankastre fırınlar ile set </t>
    </r>
    <r>
      <rPr>
        <sz val="36"/>
        <rFont val="Siemens Progress"/>
      </rPr>
      <t xml:space="preserve">(fırın+ocak+dav.) set alana perakende de 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b/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</si>
  <si>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4'lü çeyiz seti alana perakende de                        15.000 ₺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</si>
  <si>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(Buzdolabı-Derin Dondurucu-Çamaşır-Kurutma-Bulaşık)</t>
    </r>
  </si>
  <si>
    <t>Seçili Ankastre set alana perakende de 8.000 ₺ indirim!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</si>
  <si>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</t>
    </r>
    <r>
      <rPr>
        <b/>
        <sz val="36"/>
        <rFont val="Siemens Progress"/>
      </rPr>
      <t xml:space="preserve"> </t>
    </r>
    <r>
      <rPr>
        <sz val="36"/>
        <rFont val="Siemens Progress"/>
        <charset val="162"/>
      </rPr>
      <t>perakende de</t>
    </r>
    <r>
      <rPr>
        <b/>
        <sz val="36"/>
        <rFont val="Siemens Progress"/>
      </rPr>
      <t xml:space="preserve"> 15.000 ₺ indirim!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12.200 ₺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            (Buzdolab-Derin Dondurucu-Çamaşır-Kurutma-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</si>
  <si>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r>
      <rPr>
        <b/>
        <sz val="36"/>
        <color theme="1"/>
        <rFont val="Siemens Progress"/>
        <charset val="162"/>
      </rPr>
      <t>Uygulama koşulları :</t>
    </r>
    <r>
      <rPr>
        <sz val="36"/>
        <color theme="1"/>
        <rFont val="Siemens Progress"/>
        <charset val="162"/>
      </rPr>
      <t xml:space="preserve"> Seçili ankastre set (fırın+ocak+dav.) alımlarında perakende de 8.000 ₺ net indirim uygulanır. </t>
    </r>
    <r>
      <rPr>
        <sz val="36"/>
        <color rgb="FFFF0000"/>
        <rFont val="Siemens Progress"/>
        <charset val="162"/>
      </rPr>
      <t>Giriş setlerde geçerli değildir.</t>
    </r>
    <r>
      <rPr>
        <sz val="36"/>
        <color theme="1"/>
        <rFont val="Siemens Progress"/>
        <charset val="162"/>
      </rPr>
      <t xml:space="preserve">                                                      KDV dahil 6.200 ₺ hak ediş ödenir.     </t>
    </r>
  </si>
  <si>
    <t>Seçili Premium Ürünlerden 3'lü LDA Alımına Ek Kurutma alana WQ42J200TR Kurutma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</si>
  <si>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WQ44G2C1TR, WQ52K200TR, WQ45B2A0TR, WQ45B2AXTR, WQ52J20RTR)</t>
    </r>
  </si>
  <si>
    <r>
      <t xml:space="preserve">Uygulama koşulları : Seçili premium ürünlerden 3'lü alımına ek kurutma alan tüketicilere WQ42J200TR Kurutma Makinesi perakende de 9.999 ₺! </t>
    </r>
    <r>
      <rPr>
        <sz val="32"/>
        <rFont val="Siemens Progress"/>
      </rPr>
      <t>Diğer seçili kurutmalarda perakende de</t>
    </r>
    <r>
      <rPr>
        <b/>
        <sz val="32"/>
        <rFont val="Siemens Progress"/>
      </rPr>
      <t xml:space="preserve"> 35.271 ₺ indirim uygulanmalıdır. </t>
    </r>
    <r>
      <rPr>
        <sz val="32"/>
        <rFont val="Siemens Progress"/>
      </rPr>
      <t xml:space="preserve">KDV dahil  </t>
    </r>
    <r>
      <rPr>
        <b/>
        <sz val="32"/>
        <rFont val="Siemens Progress"/>
      </rPr>
      <t xml:space="preserve"> 27.000 ₺ </t>
    </r>
    <r>
      <rPr>
        <sz val="32"/>
        <rFont val="Siemens Progress"/>
      </rPr>
      <t>hak ediş ödenir.                                    (Buzdolabı+Çamaşır+Bulaşık+</t>
    </r>
    <r>
      <rPr>
        <b/>
        <sz val="32"/>
        <color rgb="FF0070C0"/>
        <rFont val="Siemens Progress"/>
      </rPr>
      <t>Kurutma</t>
    </r>
    <r>
      <rPr>
        <sz val="32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</si>
  <si>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Giriş setlerde geçerli değildir.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</si>
  <si>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r>
      <t xml:space="preserve">XL veya XXL Buzdolabı Alana perakende de VSC3A210 Toz Torbalı Süpürge Hediye! veya VSM120B IQ500 Şarjlı Süpürge perakende de 7.450 TL 
</t>
    </r>
    <r>
      <rPr>
        <b/>
        <sz val="29"/>
        <color theme="6" tint="0.39997558519241921"/>
        <rFont val="Siemens Progress"/>
      </rPr>
      <t xml:space="preserve">“Diğer kampanyalar ile birleşemez” </t>
    </r>
  </si>
  <si>
    <r>
      <rPr>
        <b/>
        <sz val="32"/>
        <color theme="1"/>
        <rFont val="Siemens Progress"/>
      </rPr>
      <t>XL veya XXL</t>
    </r>
    <r>
      <rPr>
        <sz val="32"/>
        <color theme="1"/>
        <rFont val="Siemens Progress"/>
      </rPr>
      <t xml:space="preserve"> Buzdolabı alana </t>
    </r>
    <r>
      <rPr>
        <b/>
        <sz val="32"/>
        <color theme="1"/>
        <rFont val="Siemens Progress"/>
      </rPr>
      <t xml:space="preserve">VSC3A210 Toz Torbalı Süpürge </t>
    </r>
    <r>
      <rPr>
        <sz val="32"/>
        <color theme="1"/>
        <rFont val="Siemens Progress"/>
      </rPr>
      <t xml:space="preserve">perakende de Hediye verilir veya  </t>
    </r>
    <r>
      <rPr>
        <b/>
        <sz val="32"/>
        <color theme="1"/>
        <rFont val="Siemens Progress"/>
      </rPr>
      <t>VSM120B IQ500</t>
    </r>
    <r>
      <rPr>
        <sz val="32"/>
        <color theme="1"/>
        <rFont val="Siemens Progress"/>
      </rPr>
      <t xml:space="preserve"> Şarjlı Süpürge perakende de </t>
    </r>
    <r>
      <rPr>
        <b/>
        <sz val="32"/>
        <color theme="1"/>
        <rFont val="Siemens Progress"/>
      </rPr>
      <t>7.450  ₺!</t>
    </r>
    <r>
      <rPr>
        <sz val="32"/>
        <color theme="1"/>
        <rFont val="Siemens Progress"/>
      </rPr>
      <t xml:space="preserve"> "Diğer Süpürgelerde perakende de</t>
    </r>
    <r>
      <rPr>
        <b/>
        <sz val="32"/>
        <color rgb="FFFF0000"/>
        <rFont val="Siemens Progress"/>
      </rPr>
      <t xml:space="preserve"> </t>
    </r>
    <r>
      <rPr>
        <b/>
        <sz val="32"/>
        <color theme="1"/>
        <rFont val="Siemens Progress"/>
      </rPr>
      <t>9.750 ₺</t>
    </r>
    <r>
      <rPr>
        <sz val="32"/>
        <color theme="1"/>
        <rFont val="Siemens Progress"/>
      </rPr>
      <t xml:space="preserve"> indirim uygulanır" </t>
    </r>
    <r>
      <rPr>
        <b/>
        <sz val="32"/>
        <color theme="1"/>
        <rFont val="Siemens Progress"/>
      </rPr>
      <t>7.500 ₺</t>
    </r>
    <r>
      <rPr>
        <sz val="32"/>
        <color theme="1"/>
        <rFont val="Siemens Progress"/>
      </rPr>
      <t xml:space="preserve"> kdv dahil fiyat farkı hak edişi ödenecektir. </t>
    </r>
    <r>
      <rPr>
        <b/>
        <sz val="32"/>
        <color rgb="FFFF0000"/>
        <rFont val="Siemens Progress"/>
      </rPr>
      <t>“Diğer kampanyalar ile birleşemez”</t>
    </r>
    <r>
      <rPr>
        <b/>
        <sz val="32"/>
        <color theme="1"/>
        <rFont val="Siemens Progress"/>
      </rPr>
      <t xml:space="preserve">                                                           (</t>
    </r>
    <r>
      <rPr>
        <b/>
        <sz val="32"/>
        <color rgb="FF0070C0"/>
        <rFont val="Siemens Progress"/>
      </rPr>
      <t>Süpürge almak istemeyen tüketiciler için Buzdolaplarında indirim yapılabilir.)</t>
    </r>
  </si>
  <si>
    <t>"HB557" Ankastre fırın segmenti ve üzeri  Set alımlarına  “BF623LMS3” kodlu ankastre mikrodalga perakende de 1.990₺!</t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</si>
  <si>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 xml:space="preserve">“BF623LMS3” </t>
    </r>
    <r>
      <rPr>
        <sz val="36"/>
        <rFont val="Siemens Progress"/>
        <charset val="162"/>
      </rPr>
      <t xml:space="preserve">kodlu ankastre mikrodalga perakende de </t>
    </r>
    <r>
      <rPr>
        <b/>
        <sz val="36"/>
        <rFont val="Siemens Progress"/>
      </rPr>
      <t>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</t>
    </r>
    <r>
      <rPr>
        <b/>
        <sz val="36"/>
        <color rgb="FFFF0000"/>
        <rFont val="Siemens Progress"/>
        <charset val="162"/>
      </rPr>
      <t>Giriş setlerde geçerli değildir</t>
    </r>
    <r>
      <rPr>
        <sz val="36"/>
        <rFont val="Siemens Progress"/>
      </rPr>
      <t>.</t>
    </r>
    <r>
      <rPr>
        <b/>
        <sz val="36"/>
        <rFont val="Siemens Progress"/>
      </rPr>
      <t xml:space="preserve">                 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</si>
  <si>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t>MART BİP</t>
  </si>
  <si>
    <t>MART  TOPTAN</t>
  </si>
  <si>
    <t>Phase out ürünler 30.04.2026 montaj  ZORUNLU</t>
  </si>
  <si>
    <t>ONLINE FİYAT</t>
  </si>
  <si>
    <t>PREMİUM 4 LÜ ÜRÜN ALIMINDA 27.000 TL İNDİRİM</t>
  </si>
  <si>
    <t>PREMIUM 4 LÜ SET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</si>
  <si>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</si>
  <si>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</si>
  <si>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</si>
  <si>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</si>
  <si>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</si>
  <si>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</si>
  <si>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13 MART BEKLEYEN</t>
  </si>
  <si>
    <t>iQ500 Ankastre Fırın, 2 Teleskopik Ray, Siyah/Inox</t>
  </si>
  <si>
    <t>Satılabilir Minimum Taksitli Fiyat</t>
  </si>
  <si>
    <t>19 MART YILDIZ DEPO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</si>
  <si>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</si>
  <si>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</si>
  <si>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</si>
  <si>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</si>
  <si>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</si>
  <si>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</si>
  <si>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</si>
  <si>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</si>
  <si>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</si>
  <si>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</si>
  <si>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</si>
  <si>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</si>
  <si>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</si>
  <si>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</si>
  <si>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</si>
  <si>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</si>
  <si>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</si>
  <si>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</si>
  <si>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</si>
  <si>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</si>
  <si>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</si>
  <si>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</si>
  <si>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</si>
  <si>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</si>
  <si>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</si>
  <si>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</si>
  <si>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</si>
  <si>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</si>
  <si>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</si>
  <si>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</si>
  <si>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</si>
  <si>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</si>
  <si>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</si>
  <si>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</si>
  <si>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</si>
  <si>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</si>
  <si>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</si>
  <si>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</si>
  <si>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</si>
  <si>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</si>
  <si>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</si>
  <si>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</si>
  <si>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</si>
  <si>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</si>
  <si>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</si>
  <si>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</si>
  <si>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</si>
  <si>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</si>
  <si>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</si>
  <si>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</si>
  <si>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</si>
  <si>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</si>
  <si>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</si>
  <si>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</si>
  <si>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</si>
  <si>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</si>
  <si>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</si>
  <si>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</si>
  <si>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</si>
  <si>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</si>
  <si>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</si>
  <si>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</si>
  <si>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</si>
  <si>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</si>
  <si>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</si>
  <si>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</si>
  <si>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</si>
  <si>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</si>
  <si>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</si>
  <si>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</si>
  <si>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</si>
  <si>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</si>
  <si>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</si>
  <si>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</si>
  <si>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</si>
  <si>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</si>
  <si>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</si>
  <si>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</si>
  <si>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</si>
  <si>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</si>
  <si>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</si>
  <si>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</si>
  <si>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</si>
  <si>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</si>
  <si>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</si>
  <si>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</si>
  <si>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</si>
  <si>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</si>
  <si>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</si>
  <si>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</si>
  <si>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</si>
  <si>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</si>
  <si>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</si>
  <si>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</si>
  <si>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</si>
  <si>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</si>
  <si>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</si>
  <si>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</si>
  <si>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</si>
  <si>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</si>
  <si>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</si>
  <si>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</si>
  <si>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</si>
  <si>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</si>
  <si>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</si>
  <si>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</si>
  <si>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</si>
  <si>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</si>
  <si>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</si>
  <si>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</si>
  <si>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</si>
  <si>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</si>
  <si>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</si>
  <si>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</si>
  <si>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</si>
  <si>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</si>
  <si>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</si>
  <si>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</si>
  <si>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</si>
  <si>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</si>
  <si>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</si>
  <si>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</si>
  <si>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</si>
  <si>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</si>
  <si>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</si>
  <si>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</si>
  <si>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</si>
  <si>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</si>
  <si>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</si>
  <si>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</si>
  <si>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</si>
  <si>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</si>
  <si>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</si>
  <si>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</si>
  <si>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</si>
  <si>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</si>
  <si>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</si>
  <si>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</si>
  <si>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</si>
  <si>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</si>
  <si>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</si>
  <si>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</si>
  <si>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</si>
  <si>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</si>
  <si>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</si>
  <si>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</si>
  <si>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</si>
  <si>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</si>
  <si>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BI910C1B1</t>
  </si>
  <si>
    <t>30 Mart  HOROZ</t>
  </si>
  <si>
    <t xml:space="preserve">30 MART Studioline HOROZ </t>
  </si>
  <si>
    <t>KB96NSDD0</t>
  </si>
  <si>
    <t>SZ36RB04</t>
  </si>
  <si>
    <t>https://www.siemens-home.bsh-group.com/tr/tr/productservice/SZ36RB04(00)</t>
  </si>
  <si>
    <t>Siemens Bulaşık Makinesi 3. Tepsi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</si>
</sst>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36"/>
      <color theme="1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32"/>
      <color theme="1"/>
      <name val="Siemens Progress"/>
    </font>
    <font>
      <sz val="36"/>
      <name val="Siemens Progress"/>
      <charset val="162"/>
    </font>
    <font>
      <sz val="48"/>
      <color rgb="FFFF0000"/>
      <name val="Siemens Progress"/>
    </font>
    <font>
      <sz val="36"/>
      <color theme="1"/>
      <name val="Siemens Progress"/>
      <charset val="162"/>
    </font>
    <font>
      <b/>
      <sz val="48"/>
      <name val="Siemens Progress"/>
    </font>
    <font>
      <b/>
      <sz val="48"/>
      <color rgb="FFFF0000"/>
      <name val="Siemens Progress"/>
    </font>
    <font>
      <b/>
      <sz val="32"/>
      <name val="Siemens Progress"/>
    </font>
    <font>
      <sz val="32"/>
      <name val="Siemens Progress"/>
    </font>
    <font>
      <b/>
      <sz val="32"/>
      <color rgb="FF0070C0"/>
      <name val="Siemens Progress"/>
    </font>
    <font>
      <b/>
      <sz val="29"/>
      <name val="Siemens Progress"/>
    </font>
    <font>
      <b/>
      <sz val="29"/>
      <color theme="6" tint="0.39997558519241921"/>
      <name val="Siemens Progress"/>
    </font>
    <font>
      <b/>
      <sz val="32"/>
      <color theme="1"/>
      <name val="Siemens Progress"/>
    </font>
    <font>
      <b/>
      <sz val="32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7" fillId="0" borderId="0"/>
    <xf numFmtId="0" fontId="1" fillId="0" borderId="0"/>
    <xf numFmtId="0" fontId="41" fillId="0" borderId="0"/>
    <xf numFmtId="0" fontId="42" fillId="0" borderId="0"/>
    <xf numFmtId="0" fontId="27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" fillId="0" borderId="0"/>
    <xf numFmtId="0" fontId="1" fillId="0" borderId="0"/>
  </cellStyleXfs>
  <cellXfs count="25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8" fillId="7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23" fillId="0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left" vertical="center"/>
    </xf>
    <xf numFmtId="164" fontId="18" fillId="0" borderId="0" xfId="1" applyNumberFormat="1" applyFont="1" applyFill="1"/>
    <xf numFmtId="0" fontId="3" fillId="0" borderId="0" xfId="0" applyFont="1"/>
    <xf numFmtId="164" fontId="18" fillId="0" borderId="0" xfId="1" applyNumberFormat="1" applyFont="1" applyFill="1" applyAlignment="1">
      <alignment horizontal="left" vertical="center" wrapText="1"/>
    </xf>
    <xf numFmtId="164" fontId="18" fillId="12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2" fillId="12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15" borderId="0" xfId="0" applyFont="1" applyFill="1" applyAlignment="1">
      <alignment horizontal="left" vertical="center" wrapText="1"/>
    </xf>
    <xf numFmtId="0" fontId="26" fillId="0" borderId="0" xfId="0" applyFont="1"/>
    <xf numFmtId="164" fontId="18" fillId="3" borderId="0" xfId="1" applyNumberFormat="1" applyFont="1" applyFill="1" applyAlignment="1">
      <alignment horizontal="center" vertical="center" wrapText="1"/>
    </xf>
    <xf numFmtId="164" fontId="18" fillId="16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3" fillId="0" borderId="0" xfId="1" applyNumberFormat="1" applyFont="1" applyFill="1" applyAlignment="1">
      <alignment horizontal="left" vertical="center"/>
    </xf>
    <xf numFmtId="0" fontId="29" fillId="0" borderId="0" xfId="0" applyFont="1"/>
    <xf numFmtId="0" fontId="11" fillId="9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164" fontId="23" fillId="0" borderId="0" xfId="1" applyNumberFormat="1" applyFont="1" applyFill="1" applyAlignment="1">
      <alignment horizontal="left" vertical="center" wrapText="1"/>
    </xf>
    <xf numFmtId="0" fontId="3" fillId="15" borderId="0" xfId="0" applyFont="1" applyFill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" fillId="9" borderId="0" xfId="0" applyFont="1" applyFill="1" applyAlignment="1">
      <alignment horizontal="left" vertical="center" wrapText="1"/>
    </xf>
    <xf numFmtId="0" fontId="3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34" fillId="9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2" fillId="9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7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164" fontId="18" fillId="0" borderId="0" xfId="1" applyNumberFormat="1" applyFont="1"/>
    <xf numFmtId="0" fontId="22" fillId="0" borderId="0" xfId="0" applyFont="1"/>
    <xf numFmtId="0" fontId="23" fillId="0" borderId="0" xfId="0" applyFont="1"/>
    <xf numFmtId="0" fontId="18" fillId="0" borderId="0" xfId="0" applyFont="1" applyAlignment="1">
      <alignment horizontal="left"/>
    </xf>
    <xf numFmtId="164" fontId="18" fillId="2" borderId="0" xfId="1" applyNumberFormat="1" applyFont="1" applyFill="1" applyAlignment="1">
      <alignment horizontal="center" vertical="center" wrapText="1"/>
    </xf>
    <xf numFmtId="164" fontId="40" fillId="0" borderId="1" xfId="1" applyNumberFormat="1" applyFont="1" applyFill="1" applyBorder="1" applyAlignment="1">
      <alignment horizontal="center" vertical="center" wrapText="1"/>
    </xf>
    <xf numFmtId="164" fontId="18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8" fillId="9" borderId="0" xfId="1" applyNumberFormat="1" applyFont="1" applyFill="1" applyAlignment="1">
      <alignment horizontal="center" vertical="center" wrapText="1"/>
    </xf>
    <xf numFmtId="164" fontId="18" fillId="9" borderId="0" xfId="1" applyNumberFormat="1" applyFont="1" applyFill="1" applyAlignment="1">
      <alignment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58" fillId="0" borderId="0" xfId="8" applyAlignment="1">
      <alignment vertical="center"/>
    </xf>
    <xf numFmtId="0" fontId="58" fillId="0" borderId="0" xfId="8"/>
    <xf numFmtId="49" fontId="58" fillId="0" borderId="0" xfId="8" applyNumberFormat="1"/>
    <xf numFmtId="0" fontId="36" fillId="0" borderId="0" xfId="0" applyFont="1" applyAlignment="1">
      <alignment horizontal="left" vertical="center"/>
    </xf>
    <xf numFmtId="0" fontId="43" fillId="0" borderId="0" xfId="6" applyFont="1" applyAlignment="1">
      <alignment horizontal="center" vertical="center"/>
    </xf>
    <xf numFmtId="0" fontId="58" fillId="0" borderId="0" xfId="7" applyAlignment="1">
      <alignment vertical="center"/>
    </xf>
    <xf numFmtId="164" fontId="23" fillId="0" borderId="0" xfId="1" applyNumberFormat="1" applyFont="1" applyFill="1" applyAlignment="1">
      <alignment horizontal="center" vertical="center"/>
    </xf>
    <xf numFmtId="164" fontId="18" fillId="6" borderId="0" xfId="1" applyNumberFormat="1" applyFont="1" applyFill="1" applyAlignment="1">
      <alignment vertical="center"/>
    </xf>
    <xf numFmtId="164" fontId="14" fillId="15" borderId="1" xfId="1" applyNumberFormat="1" applyFont="1" applyFill="1" applyBorder="1" applyAlignment="1">
      <alignment horizontal="center" vertical="center" wrapText="1"/>
    </xf>
    <xf numFmtId="164" fontId="18" fillId="2" borderId="0" xfId="1" applyNumberFormat="1" applyFont="1" applyFill="1" applyAlignment="1">
      <alignment vertical="center"/>
    </xf>
    <xf numFmtId="0" fontId="11" fillId="21" borderId="0" xfId="0" applyFont="1" applyFill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18" fillId="29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8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3" fillId="15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4" fillId="8" borderId="0" xfId="0" applyFont="1" applyFill="1" applyAlignment="1">
      <alignment horizontal="left"/>
    </xf>
    <xf numFmtId="0" fontId="31" fillId="8" borderId="0" xfId="0" applyFont="1" applyFill="1" applyAlignment="1">
      <alignment horizontal="left"/>
    </xf>
    <xf numFmtId="0" fontId="33" fillId="8" borderId="0" xfId="0" applyFont="1" applyFill="1" applyAlignment="1">
      <alignment horizontal="left"/>
    </xf>
    <xf numFmtId="0" fontId="3" fillId="9" borderId="0" xfId="0" applyFont="1" applyFill="1" applyAlignment="1">
      <alignment horizontal="center" vertical="center" wrapText="1"/>
    </xf>
    <xf numFmtId="0" fontId="33" fillId="19" borderId="0" xfId="0" applyFont="1" applyFill="1" applyAlignment="1">
      <alignment horizontal="left"/>
    </xf>
    <xf numFmtId="0" fontId="3" fillId="17" borderId="0" xfId="0" applyFont="1" applyFill="1" applyAlignment="1">
      <alignment horizontal="left"/>
    </xf>
    <xf numFmtId="0" fontId="0" fillId="2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21" borderId="0" xfId="0" applyFill="1" applyAlignment="1">
      <alignment horizontal="left"/>
    </xf>
    <xf numFmtId="0" fontId="3" fillId="22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5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9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3" fillId="23" borderId="0" xfId="0" applyFont="1" applyFill="1" applyAlignment="1">
      <alignment horizontal="center" vertical="center" wrapText="1"/>
    </xf>
    <xf numFmtId="0" fontId="59" fillId="28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left"/>
    </xf>
    <xf numFmtId="0" fontId="23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8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165" fontId="23" fillId="4" borderId="1" xfId="1" applyNumberFormat="1" applyFont="1" applyFill="1" applyBorder="1" applyAlignment="1" applyProtection="1">
      <alignment horizontal="center" vertical="center" wrapText="1"/>
    </xf>
    <xf numFmtId="165" fontId="18" fillId="0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40" fillId="0" borderId="1" xfId="1" applyNumberFormat="1" applyFont="1" applyFill="1" applyBorder="1" applyAlignment="1" applyProtection="1">
      <alignment horizontal="center" vertical="center" wrapText="1"/>
    </xf>
    <xf numFmtId="164" fontId="20" fillId="0" borderId="1" xfId="1" applyNumberFormat="1" applyFont="1" applyFill="1" applyBorder="1" applyAlignment="1" applyProtection="1">
      <alignment horizontal="center" vertical="center" wrapText="1"/>
    </xf>
    <xf numFmtId="165" fontId="40" fillId="5" borderId="1" xfId="1" applyNumberFormat="1" applyFont="1" applyFill="1" applyBorder="1" applyAlignment="1" applyProtection="1">
      <alignment horizontal="center" vertical="center" wrapText="1"/>
    </xf>
    <xf numFmtId="0" fontId="34" fillId="10" borderId="2" xfId="0" applyFont="1" applyFill="1" applyBorder="1" applyAlignment="1">
      <alignment horizontal="center" vertical="center" wrapText="1"/>
    </xf>
    <xf numFmtId="164" fontId="62" fillId="12" borderId="1" xfId="1" applyNumberFormat="1" applyFont="1" applyFill="1" applyBorder="1" applyAlignment="1" applyProtection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3" borderId="0" xfId="0" applyNumberFormat="1" applyFont="1" applyFill="1" applyAlignment="1">
      <alignment horizontal="right" vertical="center"/>
    </xf>
    <xf numFmtId="165" fontId="3" fillId="25" borderId="0" xfId="0" applyNumberFormat="1" applyFont="1" applyFill="1" applyAlignment="1">
      <alignment horizontal="right" vertical="center"/>
    </xf>
    <xf numFmtId="165" fontId="20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7" fillId="0" borderId="1" xfId="1" applyNumberFormat="1" applyFont="1" applyFill="1" applyBorder="1" applyAlignment="1">
      <alignment horizontal="center" vertical="center" wrapText="1"/>
    </xf>
    <xf numFmtId="0" fontId="53" fillId="5" borderId="1" xfId="6" applyFont="1" applyFill="1" applyBorder="1" applyAlignment="1">
      <alignment horizontal="center" vertical="center"/>
    </xf>
    <xf numFmtId="0" fontId="43" fillId="0" borderId="0" xfId="6" applyFont="1" applyAlignment="1">
      <alignment horizontal="center" vertical="center" wrapText="1"/>
    </xf>
    <xf numFmtId="164" fontId="23" fillId="9" borderId="0" xfId="1" applyNumberFormat="1" applyFont="1" applyFill="1" applyAlignment="1">
      <alignment horizontal="center" vertical="center" wrapText="1"/>
    </xf>
    <xf numFmtId="164" fontId="13" fillId="29" borderId="1" xfId="1" applyNumberFormat="1" applyFont="1" applyFill="1" applyBorder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/>
    </xf>
    <xf numFmtId="164" fontId="18" fillId="9" borderId="0" xfId="1" applyNumberFormat="1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30" fillId="31" borderId="0" xfId="0" applyFont="1" applyFill="1" applyAlignment="1">
      <alignment horizontal="left" vertical="center"/>
    </xf>
    <xf numFmtId="0" fontId="28" fillId="32" borderId="0" xfId="0" applyFont="1" applyFill="1" applyAlignment="1">
      <alignment horizontal="left" vertical="center"/>
    </xf>
    <xf numFmtId="0" fontId="3" fillId="32" borderId="0" xfId="0" applyFont="1" applyFill="1" applyAlignment="1">
      <alignment horizontal="left"/>
    </xf>
    <xf numFmtId="164" fontId="18" fillId="12" borderId="0" xfId="1" applyNumberFormat="1" applyFont="1" applyFill="1" applyAlignment="1">
      <alignment horizontal="center" vertical="center"/>
    </xf>
    <xf numFmtId="164" fontId="12" fillId="12" borderId="0" xfId="1" applyNumberFormat="1" applyFont="1" applyFill="1" applyAlignment="1">
      <alignment horizontal="center" vertical="center"/>
    </xf>
    <xf numFmtId="164" fontId="22" fillId="9" borderId="0" xfId="1" applyNumberFormat="1" applyFont="1" applyFill="1" applyAlignment="1">
      <alignment horizontal="center" vertical="center" wrapText="1"/>
    </xf>
    <xf numFmtId="164" fontId="18" fillId="12" borderId="0" xfId="1" applyNumberFormat="1" applyFont="1" applyFill="1" applyAlignment="1">
      <alignment horizontal="left" vertical="center"/>
    </xf>
    <xf numFmtId="164" fontId="18" fillId="12" borderId="0" xfId="1" applyNumberFormat="1" applyFont="1" applyFill="1" applyAlignment="1">
      <alignment horizontal="left" vertical="center" wrapText="1"/>
    </xf>
    <xf numFmtId="0" fontId="3" fillId="27" borderId="12" xfId="10" applyFont="1" applyFill="1" applyBorder="1" applyAlignment="1">
      <alignment horizontal="center" vertical="center"/>
    </xf>
    <xf numFmtId="49" fontId="3" fillId="27" borderId="12" xfId="10" applyNumberFormat="1" applyFont="1" applyFill="1" applyBorder="1" applyAlignment="1">
      <alignment horizontal="center" vertical="center"/>
    </xf>
    <xf numFmtId="0" fontId="1" fillId="0" borderId="0" xfId="10"/>
    <xf numFmtId="0" fontId="58" fillId="0" borderId="0" xfId="7"/>
    <xf numFmtId="49" fontId="1" fillId="0" borderId="0" xfId="10" applyNumberFormat="1"/>
    <xf numFmtId="0" fontId="1" fillId="0" borderId="0" xfId="10" applyAlignment="1">
      <alignment vertical="center"/>
    </xf>
    <xf numFmtId="49" fontId="58" fillId="0" borderId="0" xfId="7" applyNumberFormat="1"/>
    <xf numFmtId="0" fontId="80" fillId="0" borderId="0" xfId="0" applyFont="1" applyAlignment="1">
      <alignment horizontal="left" vertical="center" wrapText="1"/>
    </xf>
    <xf numFmtId="0" fontId="30" fillId="17" borderId="0" xfId="0" applyFont="1" applyFill="1" applyAlignment="1">
      <alignment horizontal="left" vertical="center"/>
    </xf>
    <xf numFmtId="0" fontId="30" fillId="18" borderId="0" xfId="0" applyFont="1" applyFill="1" applyAlignment="1">
      <alignment horizontal="left" vertical="center"/>
    </xf>
    <xf numFmtId="164" fontId="18" fillId="12" borderId="0" xfId="1" applyNumberFormat="1" applyFont="1" applyFill="1" applyAlignment="1">
      <alignment vertical="center"/>
    </xf>
    <xf numFmtId="0" fontId="1" fillId="0" borderId="0" xfId="9" applyAlignment="1">
      <alignment horizontal="left"/>
    </xf>
    <xf numFmtId="0" fontId="1" fillId="0" borderId="0" xfId="0" applyFont="1"/>
    <xf numFmtId="164" fontId="18" fillId="9" borderId="0" xfId="1" applyNumberFormat="1" applyFont="1" applyFill="1" applyAlignment="1">
      <alignment horizontal="left" vertical="center"/>
    </xf>
    <xf numFmtId="0" fontId="77" fillId="0" borderId="0" xfId="0" applyFont="1" applyAlignment="1">
      <alignment horizontal="left"/>
    </xf>
    <xf numFmtId="0" fontId="81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4" fontId="23" fillId="0" borderId="1" xfId="1" applyNumberFormat="1" applyFont="1" applyFill="1" applyBorder="1" applyAlignment="1">
      <alignment horizontal="center" vertical="center"/>
    </xf>
    <xf numFmtId="164" fontId="18" fillId="0" borderId="1" xfId="1" applyNumberFormat="1" applyFont="1" applyFill="1" applyBorder="1" applyAlignment="1">
      <alignment horizontal="center" vertical="center" wrapText="1"/>
    </xf>
    <xf numFmtId="164" fontId="22" fillId="0" borderId="1" xfId="1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/>
    </xf>
    <xf numFmtId="164" fontId="18" fillId="9" borderId="1" xfId="1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3" fillId="30" borderId="0" xfId="0" applyFont="1" applyFill="1" applyAlignment="1">
      <alignment horizontal="right" vertical="center"/>
    </xf>
    <xf numFmtId="165" fontId="3" fillId="30" borderId="0" xfId="0" applyNumberFormat="1" applyFont="1" applyFill="1" applyAlignment="1">
      <alignment horizontal="center" vertical="center"/>
    </xf>
    <xf numFmtId="0" fontId="3" fillId="24" borderId="0" xfId="0" applyFont="1" applyFill="1" applyAlignment="1">
      <alignment horizontal="right" vertical="center"/>
    </xf>
    <xf numFmtId="165" fontId="39" fillId="10" borderId="1" xfId="0" applyNumberFormat="1" applyFont="1" applyFill="1" applyBorder="1" applyAlignment="1">
      <alignment horizontal="center" vertical="center"/>
    </xf>
    <xf numFmtId="0" fontId="3" fillId="16" borderId="0" xfId="0" applyFont="1" applyFill="1" applyAlignment="1">
      <alignment horizontal="right" vertical="center"/>
    </xf>
    <xf numFmtId="0" fontId="52" fillId="0" borderId="3" xfId="6" applyFont="1" applyBorder="1" applyAlignment="1">
      <alignment horizontal="center" vertical="center" wrapText="1"/>
    </xf>
    <xf numFmtId="0" fontId="52" fillId="0" borderId="5" xfId="6" applyFont="1" applyBorder="1" applyAlignment="1">
      <alignment horizontal="center" vertical="center" wrapText="1"/>
    </xf>
    <xf numFmtId="0" fontId="52" fillId="0" borderId="7" xfId="6" applyFont="1" applyBorder="1" applyAlignment="1">
      <alignment horizontal="center" vertical="center" wrapText="1"/>
    </xf>
    <xf numFmtId="0" fontId="52" fillId="0" borderId="8" xfId="6" applyFont="1" applyBorder="1" applyAlignment="1">
      <alignment horizontal="center" vertical="center" wrapText="1"/>
    </xf>
    <xf numFmtId="0" fontId="52" fillId="0" borderId="9" xfId="6" applyFont="1" applyBorder="1" applyAlignment="1">
      <alignment horizontal="center" vertical="center" wrapText="1"/>
    </xf>
    <xf numFmtId="0" fontId="52" fillId="0" borderId="10" xfId="6" applyFont="1" applyBorder="1" applyAlignment="1">
      <alignment horizontal="center" vertical="center" wrapText="1"/>
    </xf>
    <xf numFmtId="0" fontId="69" fillId="4" borderId="3" xfId="6" applyFont="1" applyFill="1" applyBorder="1" applyAlignment="1">
      <alignment horizontal="center" vertical="center" wrapText="1"/>
    </xf>
    <xf numFmtId="0" fontId="69" fillId="4" borderId="5" xfId="6" applyFont="1" applyFill="1" applyBorder="1" applyAlignment="1">
      <alignment horizontal="center" vertical="center" wrapText="1"/>
    </xf>
    <xf numFmtId="0" fontId="69" fillId="4" borderId="7" xfId="6" applyFont="1" applyFill="1" applyBorder="1" applyAlignment="1">
      <alignment horizontal="center" vertical="center" wrapText="1"/>
    </xf>
    <xf numFmtId="0" fontId="69" fillId="4" borderId="8" xfId="6" applyFont="1" applyFill="1" applyBorder="1" applyAlignment="1">
      <alignment horizontal="center" vertical="center" wrapText="1"/>
    </xf>
    <xf numFmtId="0" fontId="69" fillId="4" borderId="9" xfId="6" applyFont="1" applyFill="1" applyBorder="1" applyAlignment="1">
      <alignment horizontal="center" vertical="center" wrapText="1"/>
    </xf>
    <xf numFmtId="0" fontId="69" fillId="4" borderId="10" xfId="6" applyFont="1" applyFill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  <xf numFmtId="0" fontId="72" fillId="26" borderId="4" xfId="6" applyFont="1" applyFill="1" applyBorder="1" applyAlignment="1">
      <alignment horizontal="center" vertical="center" wrapText="1"/>
    </xf>
    <xf numFmtId="0" fontId="72" fillId="26" borderId="6" xfId="6" applyFont="1" applyFill="1" applyBorder="1" applyAlignment="1">
      <alignment horizontal="center" vertical="center" wrapText="1"/>
    </xf>
    <xf numFmtId="0" fontId="72" fillId="26" borderId="11" xfId="6" applyFont="1" applyFill="1" applyBorder="1" applyAlignment="1">
      <alignment horizontal="center" vertical="center" wrapText="1"/>
    </xf>
    <xf numFmtId="0" fontId="63" fillId="0" borderId="3" xfId="6" applyFont="1" applyBorder="1" applyAlignment="1">
      <alignment horizontal="center" vertical="center" wrapText="1"/>
    </xf>
    <xf numFmtId="0" fontId="63" fillId="0" borderId="5" xfId="6" applyFont="1" applyBorder="1" applyAlignment="1">
      <alignment horizontal="center" vertical="center" wrapText="1"/>
    </xf>
    <xf numFmtId="0" fontId="63" fillId="0" borderId="7" xfId="6" applyFont="1" applyBorder="1" applyAlignment="1">
      <alignment horizontal="center" vertical="center" wrapText="1"/>
    </xf>
    <xf numFmtId="0" fontId="63" fillId="0" borderId="8" xfId="6" applyFont="1" applyBorder="1" applyAlignment="1">
      <alignment horizontal="center" vertical="center" wrapText="1"/>
    </xf>
    <xf numFmtId="0" fontId="63" fillId="0" borderId="9" xfId="6" applyFont="1" applyBorder="1" applyAlignment="1">
      <alignment horizontal="center" vertical="center" wrapText="1"/>
    </xf>
    <xf numFmtId="0" fontId="63" fillId="0" borderId="10" xfId="6" applyFont="1" applyBorder="1" applyAlignment="1">
      <alignment horizontal="center" vertical="center" wrapText="1"/>
    </xf>
    <xf numFmtId="0" fontId="44" fillId="26" borderId="4" xfId="6" applyFont="1" applyFill="1" applyBorder="1" applyAlignment="1">
      <alignment horizontal="center" vertical="center" wrapText="1"/>
    </xf>
    <xf numFmtId="0" fontId="44" fillId="26" borderId="6" xfId="6" applyFont="1" applyFill="1" applyBorder="1" applyAlignment="1">
      <alignment horizontal="center" vertical="center" wrapText="1"/>
    </xf>
    <xf numFmtId="0" fontId="44" fillId="26" borderId="11" xfId="6" applyFont="1" applyFill="1" applyBorder="1" applyAlignment="1">
      <alignment horizontal="center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67" fillId="26" borderId="4" xfId="6" applyFont="1" applyFill="1" applyBorder="1" applyAlignment="1">
      <alignment horizontal="center" vertical="center" wrapText="1"/>
    </xf>
    <xf numFmtId="0" fontId="67" fillId="26" borderId="6" xfId="6" applyFont="1" applyFill="1" applyBorder="1" applyAlignment="1">
      <alignment horizontal="center" vertical="center" wrapText="1"/>
    </xf>
    <xf numFmtId="0" fontId="67" fillId="26" borderId="11" xfId="6" applyFont="1" applyFill="1" applyBorder="1" applyAlignment="1">
      <alignment horizontal="center" vertical="center" wrapText="1"/>
    </xf>
    <xf numFmtId="0" fontId="55" fillId="0" borderId="3" xfId="6" applyFont="1" applyBorder="1" applyAlignment="1">
      <alignment horizontal="left" vertical="center" wrapText="1"/>
    </xf>
    <xf numFmtId="0" fontId="55" fillId="0" borderId="5" xfId="6" applyFont="1" applyBorder="1" applyAlignment="1">
      <alignment horizontal="left" vertical="center" wrapText="1"/>
    </xf>
    <xf numFmtId="0" fontId="55" fillId="0" borderId="7" xfId="6" applyFont="1" applyBorder="1" applyAlignment="1">
      <alignment horizontal="left" vertical="center" wrapText="1"/>
    </xf>
    <xf numFmtId="0" fontId="55" fillId="0" borderId="8" xfId="6" applyFont="1" applyBorder="1" applyAlignment="1">
      <alignment horizontal="left" vertical="center" wrapText="1"/>
    </xf>
    <xf numFmtId="0" fontId="55" fillId="0" borderId="9" xfId="6" applyFont="1" applyBorder="1" applyAlignment="1">
      <alignment horizontal="left" vertical="center" wrapText="1"/>
    </xf>
    <xf numFmtId="0" fontId="55" fillId="0" borderId="10" xfId="6" applyFont="1" applyBorder="1" applyAlignment="1">
      <alignment horizontal="left" vertical="center" wrapText="1"/>
    </xf>
    <xf numFmtId="0" fontId="68" fillId="0" borderId="3" xfId="6" applyFont="1" applyBorder="1" applyAlignment="1">
      <alignment horizontal="center" vertical="center" wrapText="1"/>
    </xf>
    <xf numFmtId="0" fontId="68" fillId="0" borderId="5" xfId="6" applyFont="1" applyBorder="1" applyAlignment="1">
      <alignment horizontal="center" vertical="center" wrapText="1"/>
    </xf>
    <xf numFmtId="0" fontId="68" fillId="0" borderId="9" xfId="6" applyFont="1" applyBorder="1" applyAlignment="1">
      <alignment horizontal="center" vertical="center" wrapText="1"/>
    </xf>
    <xf numFmtId="0" fontId="68" fillId="0" borderId="10" xfId="6" applyFont="1" applyBorder="1" applyAlignment="1">
      <alignment horizontal="center" vertical="center" wrapText="1"/>
    </xf>
    <xf numFmtId="0" fontId="45" fillId="0" borderId="3" xfId="6" applyFont="1" applyBorder="1" applyAlignment="1">
      <alignment horizontal="center" vertical="center" wrapText="1"/>
    </xf>
    <xf numFmtId="0" fontId="45" fillId="0" borderId="5" xfId="6" applyFont="1" applyBorder="1" applyAlignment="1">
      <alignment horizontal="center" vertical="center" wrapText="1"/>
    </xf>
    <xf numFmtId="0" fontId="45" fillId="0" borderId="7" xfId="6" applyFont="1" applyBorder="1" applyAlignment="1">
      <alignment horizontal="center" vertical="center" wrapText="1"/>
    </xf>
    <xf numFmtId="0" fontId="45" fillId="0" borderId="8" xfId="6" applyFont="1" applyBorder="1" applyAlignment="1">
      <alignment horizontal="center" vertical="center" wrapText="1"/>
    </xf>
    <xf numFmtId="0" fontId="45" fillId="0" borderId="9" xfId="6" applyFont="1" applyBorder="1" applyAlignment="1">
      <alignment horizontal="center" vertical="center" wrapText="1"/>
    </xf>
    <xf numFmtId="0" fontId="45" fillId="0" borderId="10" xfId="6" applyFont="1" applyBorder="1" applyAlignment="1">
      <alignment horizontal="center" vertical="center" wrapText="1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6" fillId="4" borderId="3" xfId="6" applyFont="1" applyFill="1" applyBorder="1" applyAlignment="1">
      <alignment horizontal="center" vertical="center" wrapText="1"/>
    </xf>
    <xf numFmtId="0" fontId="66" fillId="4" borderId="5" xfId="6" applyFont="1" applyFill="1" applyBorder="1" applyAlignment="1">
      <alignment horizontal="center" vertical="center" wrapText="1"/>
    </xf>
    <xf numFmtId="0" fontId="66" fillId="4" borderId="7" xfId="6" applyFont="1" applyFill="1" applyBorder="1" applyAlignment="1">
      <alignment horizontal="center" vertical="center" wrapText="1"/>
    </xf>
    <xf numFmtId="0" fontId="66" fillId="4" borderId="8" xfId="6" applyFont="1" applyFill="1" applyBorder="1" applyAlignment="1">
      <alignment horizontal="center" vertical="center" wrapText="1"/>
    </xf>
    <xf numFmtId="0" fontId="66" fillId="4" borderId="9" xfId="6" applyFont="1" applyFill="1" applyBorder="1" applyAlignment="1">
      <alignment horizontal="center" vertical="center" wrapText="1"/>
    </xf>
    <xf numFmtId="0" fontId="66" fillId="4" borderId="10" xfId="6" applyFont="1" applyFill="1" applyBorder="1" applyAlignment="1">
      <alignment horizontal="center" vertical="center" wrapText="1"/>
    </xf>
    <xf numFmtId="164" fontId="18" fillId="23" borderId="0" xfId="1" applyNumberFormat="1" applyFont="1" applyFill="1" applyAlignment="1">
      <alignment horizontal="center" vertical="center" wrapText="1"/>
    </xf>
  </cellXfs>
  <cellStyles count="11">
    <cellStyle name="Köprü" xfId="8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10" xr:uid="{A5B37F71-4C4A-4FD5-B798-F5C641D18973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9" xr:uid="{96944380-1624-46F9-8130-5198376F576B}"/>
    <cellStyle name="ParaBirimi" xfId="1" builtinId="4"/>
    <cellStyle name="Style 1 2" xfId="4" xr:uid="{0203CFEA-F795-474D-9573-A51510BEFF4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yikama-ve-utuleme-grubu/camasir-makineleri/solo-camasir-makineleri/WG44K2Z0TR" TargetMode="External"/><Relationship Id="rId2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24" Type="http://schemas.openxmlformats.org/officeDocument/2006/relationships/hyperlink" Target="https://www.siemens-home.bsh-group.com/tr/tr/product/pisirme-grubu/ocaklar/gazli-ocaklar/EP6A6HB20" TargetMode="External"/><Relationship Id="rId170" Type="http://schemas.openxmlformats.org/officeDocument/2006/relationships/hyperlink" Target="https://www.siemens-home.bsh-group.com/tr/tr/product/pisirme-grubu/aksesuarlar/HZ429000" TargetMode="External"/><Relationship Id="rId268" Type="http://schemas.openxmlformats.org/officeDocument/2006/relationships/hyperlink" Target="https://www.siemens-home.bsh-group.com/tr/tr/product/ankastre/ankastre-davlumbazlar/LR18HLT65" TargetMode="External"/><Relationship Id="rId475" Type="http://schemas.openxmlformats.org/officeDocument/2006/relationships/hyperlink" Target="https://www.siemens-home.bsh-group.com/tr/tr/product/ankastre/ankastre-ocaklar/ET875LMV1D" TargetMode="External"/><Relationship Id="rId32" Type="http://schemas.openxmlformats.org/officeDocument/2006/relationships/hyperlink" Target="https://www.siemens-home.bsh-group.com/tr/tr/product/prsiemensfridge/KG36NNLE0N" TargetMode="External"/><Relationship Id="rId74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12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335" Type="http://schemas.openxmlformats.org/officeDocument/2006/relationships/hyperlink" Target="https://www.siemens-home.bsh-group.com/tr/tr/product/ankastre/ankastre-ocaklar/EP7A6QB10" TargetMode="External"/><Relationship Id="rId377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0" Type="http://schemas.openxmlformats.org/officeDocument/2006/relationships/hyperlink" Target="https://www.siemens-home.bsh-group.com/tr/tr/product/ankastre/ankastre-bulasik-makineleri/SN87Y800BE" TargetMode="External"/><Relationship Id="rId5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181" Type="http://schemas.openxmlformats.org/officeDocument/2006/relationships/hyperlink" Target="https://www.siemens-home.bsh-group.com/tr/tr/product/pisirme-grubu/firinlar/ankastre-firinlar/HB234FEH2T" TargetMode="External"/><Relationship Id="rId237" Type="http://schemas.openxmlformats.org/officeDocument/2006/relationships/hyperlink" Target="https://www.siemens-home.bsh-group.com/tr/tr/product/ankastre/ankastre-davlumbazlar/LC65FCJ60T" TargetMode="External"/><Relationship Id="rId402" Type="http://schemas.openxmlformats.org/officeDocument/2006/relationships/hyperlink" Target="https://www.siemens-home.bsh-group.com/tr/tr/product/elektrikli-supurgeler/toz-torbali-torbasiz-elektrikli-supurgeler/VSX21A320" TargetMode="External"/><Relationship Id="rId279" Type="http://schemas.openxmlformats.org/officeDocument/2006/relationships/hyperlink" Target="https://www.siemens-home.bsh-group.com/tr/tr/product/pisirme-grubu/ocaklar/induksiyonlu-ocaklar/EH975LVC1E" TargetMode="External"/><Relationship Id="rId444" Type="http://schemas.openxmlformats.org/officeDocument/2006/relationships/hyperlink" Target="https://www.siemens-home.bsh-group.com/tr/tr/product/klimalar/AS24XVW32N" TargetMode="External"/><Relationship Id="rId486" Type="http://schemas.openxmlformats.org/officeDocument/2006/relationships/hyperlink" Target="https://www.siemens-home.bsh-group.com/tr/tr/product/ankastre/ankastre-firinlar/HI133FEW3T" TargetMode="External"/><Relationship Id="rId43" Type="http://schemas.openxmlformats.org/officeDocument/2006/relationships/hyperlink" Target="https://www.siemens-home.bsh-group.com/tr/tr/product/pisirme-grubu/firinlar/kompakt-firinlar/BE555LMB2" TargetMode="External"/><Relationship Id="rId139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90" Type="http://schemas.openxmlformats.org/officeDocument/2006/relationships/hyperlink" Target="https://www.siemens-home.bsh-group.com/tr/tr/product/ankastre/ankastre-ocaklar/EU611AGA5E" TargetMode="External"/><Relationship Id="rId304" Type="http://schemas.openxmlformats.org/officeDocument/2006/relationships/hyperlink" Target="https://www.siemens-home.bsh-group.com/tr/tr/product/ankastre/ankastre-ocaklar/EN6C9PO12O" TargetMode="External"/><Relationship Id="rId346" Type="http://schemas.openxmlformats.org/officeDocument/2006/relationships/hyperlink" Target="https://www.siemens-home.bsh-group.com/tr/tr/product/ankastre/ankastre-ocaklar/ET775FGP1E" TargetMode="External"/><Relationship Id="rId388" Type="http://schemas.openxmlformats.org/officeDocument/2006/relationships/hyperlink" Target="https://www.siemens-home.bsh-group.com/tr/tr/product/elektrikli-supurgeler/toz-torbali-torbasiz-elektrikli-supurgeler/VSC3A330" TargetMode="External"/><Relationship Id="rId511" Type="http://schemas.openxmlformats.org/officeDocument/2006/relationships/hyperlink" Target="https://www.siemens-home.bsh-group.com/tr/tr/product/evlilik-kampanyasi-camasir-makineleri/WM14VKH0TR" TargetMode="External"/><Relationship Id="rId85" Type="http://schemas.openxmlformats.org/officeDocument/2006/relationships/hyperlink" Target="https://www.siemens-home.bsh-group.com/tr/tr/product/prsiemensfridge/KG56NTWE0N" TargetMode="External"/><Relationship Id="rId150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192" Type="http://schemas.openxmlformats.org/officeDocument/2006/relationships/hyperlink" Target="https://www.siemens-home.bsh-group.com/tr/tr/product/ankastre/ankastre-firinlar/HB676G5S6" TargetMode="External"/><Relationship Id="rId206" Type="http://schemas.openxmlformats.org/officeDocument/2006/relationships/hyperlink" Target="https://www.siemens-home.bsh-group.com/tr/tr/product/ankastre/ankastre-firinlar/CN838GRB6" TargetMode="External"/><Relationship Id="rId413" Type="http://schemas.openxmlformats.org/officeDocument/2006/relationships/hyperlink" Target="https://www.siemens-home.bsh-group.com/tr/tr/product/MQ66155" TargetMode="External"/><Relationship Id="rId248" Type="http://schemas.openxmlformats.org/officeDocument/2006/relationships/hyperlink" Target="https://www.siemens-home.bsh-group.com/tr/tr/product/ankastre/ankastre-davlumbazlar/LC68KAK60T" TargetMode="External"/><Relationship Id="rId455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7" Type="http://schemas.openxmlformats.org/officeDocument/2006/relationships/hyperlink" Target="https://www.siemens-home.bsh-group.com/tr/tr/product/ankastre/ankastre-bulasik-makineleri/SN615X01DT" TargetMode="External"/><Relationship Id="rId1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108" Type="http://schemas.openxmlformats.org/officeDocument/2006/relationships/hyperlink" Target="https://www.siemens-home.bsh-group.com/tr/tr/product/ankastre/ankastre-buzdolaplari-ve-sogutucular/KI82LADE0" TargetMode="External"/><Relationship Id="rId315" Type="http://schemas.openxmlformats.org/officeDocument/2006/relationships/hyperlink" Target="https://www.siemens-home.bsh-group.com/tr/tr/product/ankastre/ankastre-ocaklar/EO7C6HO12O" TargetMode="External"/><Relationship Id="rId357" Type="http://schemas.openxmlformats.org/officeDocument/2006/relationships/hyperlink" Target="https://www.siemens-home.bsh-group.com/tr/tr/product/kucuk-ev-aletleri/TE651319RW" TargetMode="External"/><Relationship Id="rId522" Type="http://schemas.openxmlformats.org/officeDocument/2006/relationships/hyperlink" Target="https://www.siemens-home.bsh-group.com/tr/tr/product/3d-airfry-ankastre-firinlar/HB634GBS1" TargetMode="External"/><Relationship Id="rId54" Type="http://schemas.openxmlformats.org/officeDocument/2006/relationships/hyperlink" Target="https://www.siemens-home.bsh-group.com/tr/tr/product/yikama-ve-utuleme-grubu/camasir-makineleri/solo-camasir-makineleri/WG54B2ASTR" TargetMode="External"/><Relationship Id="rId96" Type="http://schemas.openxmlformats.org/officeDocument/2006/relationships/hyperlink" Target="https://www.siemens-home.bsh-group.com/tr/tr/product/ldaset2ref/GS33VVIE0N" TargetMode="External"/><Relationship Id="rId161" Type="http://schemas.openxmlformats.org/officeDocument/2006/relationships/hyperlink" Target="https://www.siemens-home.bsh-group.com/tr/tr/product/pisirme-grubu/firinlar/ankastre-firinlar/HJ852GYB0T" TargetMode="External"/><Relationship Id="rId217" Type="http://schemas.openxmlformats.org/officeDocument/2006/relationships/hyperlink" Target="https://www.siemens-home.bsh-group.com/tr/tr/product/studioline/BF834LGB1" TargetMode="External"/><Relationship Id="rId399" Type="http://schemas.openxmlformats.org/officeDocument/2006/relationships/hyperlink" Target="https://www.siemens-home.bsh-group.com/tr/tr/product/VSC3A330A" TargetMode="External"/><Relationship Id="rId259" Type="http://schemas.openxmlformats.org/officeDocument/2006/relationships/hyperlink" Target="https://www.siemens-home.bsh-group.com/tr/tr/product/LC97FQP60" TargetMode="External"/><Relationship Id="rId424" Type="http://schemas.openxmlformats.org/officeDocument/2006/relationships/hyperlink" Target="https://www.siemens-home.bsh-group.com/tr/tr/product/CI10ZH10" TargetMode="External"/><Relationship Id="rId466" Type="http://schemas.openxmlformats.org/officeDocument/2006/relationships/hyperlink" Target="https://www.siemens-home.bsh-group.com/tr/tr/product/ankastre/ankastre-ocaklar/EC9A5TB90" TargetMode="External"/><Relationship Id="rId23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119" Type="http://schemas.openxmlformats.org/officeDocument/2006/relationships/hyperlink" Target="https://www.siemens-home.bsh-group.com/tr/tr/product/yikama-ve-utuleme-grubu/camasir-makineleri/solo-camasir-makineleri/WG52A2F0TR" TargetMode="External"/><Relationship Id="rId27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326" Type="http://schemas.openxmlformats.org/officeDocument/2006/relationships/hyperlink" Target="https://www.siemens-home.bsh-group.com/tr/tr/product/pisirme-grubu/ocaklar/gazli-ocaklar/EP6A8HI40" TargetMode="External"/><Relationship Id="rId65" Type="http://schemas.openxmlformats.org/officeDocument/2006/relationships/hyperlink" Target="https://www.siemens-home.bsh-group.com/tr/tr/product/yikama-ve-utuleme-grubu/kurutma-makineleri/isi-pompali-kurutma-makineleri/WQ51G200TR" TargetMode="External"/><Relationship Id="rId130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368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172" Type="http://schemas.openxmlformats.org/officeDocument/2006/relationships/hyperlink" Target="https://www.siemens-home.bsh-group.com/tr/tr/product/pisirme-grubu/buharli-firinlar/buharli-firinlar/HU717ABN0T" TargetMode="External"/><Relationship Id="rId228" Type="http://schemas.openxmlformats.org/officeDocument/2006/relationships/hyperlink" Target="https://www.siemens-home.bsh-group.com/tr/tr/product/ankastre/ankastre-davlumbazlar/LC77BHM50" TargetMode="External"/><Relationship Id="rId435" Type="http://schemas.openxmlformats.org/officeDocument/2006/relationships/hyperlink" Target="https://www.siemens-home.bsh-group.com/tr/tr/product/klimalar/AS12XVW32N" TargetMode="External"/><Relationship Id="rId477" Type="http://schemas.openxmlformats.org/officeDocument/2006/relationships/hyperlink" Target="https://www.siemens-home.bsh-group.com/tr/tr/product/ankastre/ankastre-ocaklar/EX675FXC1E" TargetMode="External"/><Relationship Id="rId281" Type="http://schemas.openxmlformats.org/officeDocument/2006/relationships/hyperlink" Target="https://www.siemens-home.bsh-group.com/tr/tr/product/pisirme-grubu/ocaklar/gazli-ocaklar/EN7B8QP30O" TargetMode="External"/><Relationship Id="rId337" Type="http://schemas.openxmlformats.org/officeDocument/2006/relationships/hyperlink" Target="https://www.siemens-home.bsh-group.com/tr/tr/product/pisirme-grubu/ocaklar/gazli-ocaklar/EC7A5RB90" TargetMode="External"/><Relationship Id="rId502" Type="http://schemas.openxmlformats.org/officeDocument/2006/relationships/hyperlink" Target="https://www.siemens-home.bsh-group.com/tr/tr/product/ldaset2wm/WG42A1ZXTR" TargetMode="External"/><Relationship Id="rId34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76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141" Type="http://schemas.openxmlformats.org/officeDocument/2006/relationships/hyperlink" Target="https://www.siemens-home.bsh-group.com/tr/tr/product/ankastre/ankastre-bulasik-makineleri/SN515W01DT" TargetMode="External"/><Relationship Id="rId379" Type="http://schemas.openxmlformats.org/officeDocument/2006/relationships/hyperlink" Target="https://www.siemens-home.bsh-group.com/tr/tr/product/kucuk-ev-aletleri/TP703R19" TargetMode="External"/><Relationship Id="rId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183" Type="http://schemas.openxmlformats.org/officeDocument/2006/relationships/hyperlink" Target="https://www.siemens-home.bsh-group.com/tr/tr/product/ankastre/ankastre-firinlar/HB478G5B6" TargetMode="External"/><Relationship Id="rId23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90" Type="http://schemas.openxmlformats.org/officeDocument/2006/relationships/hyperlink" Target="https://www.siemens-home.bsh-group.com/tr/tr/product/elektrikli-supurgeler/sarjli-supurgeler/VSM120B" TargetMode="External"/><Relationship Id="rId404" Type="http://schemas.openxmlformats.org/officeDocument/2006/relationships/hyperlink" Target="https://www.siemens-home.bsh-group.com/tr/tr/product/supurgeler/VSX41A322" TargetMode="External"/><Relationship Id="rId446" Type="http://schemas.openxmlformats.org/officeDocument/2006/relationships/hyperlink" Target="https://shaza.com.tr/shaza-akim-korumali-akilli-priz" TargetMode="External"/><Relationship Id="rId250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292" Type="http://schemas.openxmlformats.org/officeDocument/2006/relationships/hyperlink" Target="https://www.siemens-home.bsh-group.com/tr/tr/product/EB0C2PB82O" TargetMode="External"/><Relationship Id="rId306" Type="http://schemas.openxmlformats.org/officeDocument/2006/relationships/hyperlink" Target="https://www.siemens-home.bsh-group.com/tr/tr/product/ankastre/ankastre-ocaklar/EO6C6PB11O" TargetMode="External"/><Relationship Id="rId488" Type="http://schemas.openxmlformats.org/officeDocument/2006/relationships/hyperlink" Target="https://www.siemens-home.bsh-group.com/tr/tr/product/kampanyalar/supurge-hediye-firsati/KG86PAWC0N" TargetMode="External"/><Relationship Id="rId45" Type="http://schemas.openxmlformats.org/officeDocument/2006/relationships/hyperlink" Target="https://www.siemens-home.bsh-group.com/tr/tr/product/pisirme-grubu/firinlar/kompakt-firinlar/BE525LMB2" TargetMode="External"/><Relationship Id="rId87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110" Type="http://schemas.openxmlformats.org/officeDocument/2006/relationships/hyperlink" Target="https://www.siemens-home.bsh-group.com/tr/tr/product/ankastre/ankastre-buzdolaplari-ve-sogutucular/KI87SAFE0N" TargetMode="External"/><Relationship Id="rId348" Type="http://schemas.openxmlformats.org/officeDocument/2006/relationships/hyperlink" Target="https://www.siemens-home.bsh-group.com/tr/tr/product/pisirme-grubu/ocaklar/induksiyonlu-ocaklar/EX807NYV6E" TargetMode="External"/><Relationship Id="rId513" Type="http://schemas.openxmlformats.org/officeDocument/2006/relationships/hyperlink" Target="https://www.siemens-home.bsh-group.com/tr/tr/product/WN54A2X1TR" TargetMode="External"/><Relationship Id="rId15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94" Type="http://schemas.openxmlformats.org/officeDocument/2006/relationships/hyperlink" Target="https://www.siemens-home.bsh-group.com/tr/tr/product/ankastre/ankastre-firinlar/HB734G1W1" TargetMode="External"/><Relationship Id="rId208" Type="http://schemas.openxmlformats.org/officeDocument/2006/relationships/hyperlink" Target="https://www.siemens-home.bsh-group.com/tr/tr/product/pisirme-grubu/firinlar/kompakt-firinlar/BE525LMW2" TargetMode="External"/><Relationship Id="rId415" Type="http://schemas.openxmlformats.org/officeDocument/2006/relationships/hyperlink" Target="https://www.siemens-home.bsh-group.com/tr/tr/product/MQ955PE" TargetMode="External"/><Relationship Id="rId457" Type="http://schemas.openxmlformats.org/officeDocument/2006/relationships/hyperlink" Target="https://www.siemens-home.bsh-group.com/tr/tr/product/pisirme-grubu/ocaklar/gazli-ocaklar/ER9A6SH40" TargetMode="External"/><Relationship Id="rId261" Type="http://schemas.openxmlformats.org/officeDocument/2006/relationships/hyperlink" Target="https://www.siemens-home.bsh-group.com/tr/tr/product/ankastre/ankastre-davlumbazlar/LC97FVW60" TargetMode="External"/><Relationship Id="rId499" Type="http://schemas.openxmlformats.org/officeDocument/2006/relationships/hyperlink" Target="https://www.siemens-home.bsh-group.com/tr/tr/product/ankastre/ankastre-bulasik-makineleri/SN63IX62MT" TargetMode="External"/><Relationship Id="rId14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6" Type="http://schemas.openxmlformats.org/officeDocument/2006/relationships/hyperlink" Target="https://www.siemens-home.bsh-group.com/tr/tr/product/yikama-ve-utuleme-grubu/camasir-makineleri/solo-camasir-makineleri/WG64K2Z0TR" TargetMode="External"/><Relationship Id="rId317" Type="http://schemas.openxmlformats.org/officeDocument/2006/relationships/hyperlink" Target="https://www.siemens-home.bsh-group.com/tr/tr/product/pisirme-grubu/ocaklar/gazli-ocaklar/EO7C8HP30O" TargetMode="External"/><Relationship Id="rId359" Type="http://schemas.openxmlformats.org/officeDocument/2006/relationships/hyperlink" Target="https://www.siemens-home.bsh-group.com/tr/tr/product/kahve-makineleri/tam-otomatik-kahve-makineleri/eq700/TQ713R03" TargetMode="External"/><Relationship Id="rId524" Type="http://schemas.openxmlformats.org/officeDocument/2006/relationships/hyperlink" Target="https://www.siemens-home.bsh-group.com/tr/tr/product/yikama-ve-utuleme-grubu/camasir-makineleri/solo-camasir-makineleri/WG54K2Y0TR" TargetMode="External"/><Relationship Id="rId98" Type="http://schemas.openxmlformats.org/officeDocument/2006/relationships/hyperlink" Target="https://www.siemens-home.bsh-group.com/tr/tr/product/GS36NVWF0N" TargetMode="External"/><Relationship Id="rId121" Type="http://schemas.openxmlformats.org/officeDocument/2006/relationships/hyperlink" Target="https://www.siemens-home.bsh-group.com/tr/tr/product/yikama-ve-utuleme-grubu/camasir-makineleri/solo-camasir-makineleri/WG54A2Z0TR" TargetMode="External"/><Relationship Id="rId163" Type="http://schemas.openxmlformats.org/officeDocument/2006/relationships/hyperlink" Target="https://www.siemens-home.bsh-group.com/tr/tr/product/pisirme-grubu/firinlar/ankastre-firinlar/HJ852GYW0T" TargetMode="External"/><Relationship Id="rId219" Type="http://schemas.openxmlformats.org/officeDocument/2006/relationships/hyperlink" Target="https://www.siemens-home.bsh-group.com/tr/tr/product/FF020LMB2" TargetMode="External"/><Relationship Id="rId370" Type="http://schemas.openxmlformats.org/officeDocument/2006/relationships/hyperlink" Target="https://www.siemens-home.bsh-group.com/tr/tr/product/TI923309RW" TargetMode="External"/><Relationship Id="rId426" Type="http://schemas.openxmlformats.org/officeDocument/2006/relationships/hyperlink" Target="https://www.siemens-home.bsh-group.com/tr/tr/product/buzdolaplari-ve-derin-dondurucular/aksesuarlar/FI30Z090" TargetMode="External"/><Relationship Id="rId230" Type="http://schemas.openxmlformats.org/officeDocument/2006/relationships/hyperlink" Target="https://www.siemens-home.bsh-group.com/tr/tr/product/ankastre/ankastre-davlumbazlar/LC64PCC50T" TargetMode="External"/><Relationship Id="rId468" Type="http://schemas.openxmlformats.org/officeDocument/2006/relationships/hyperlink" Target="https://www.siemens-home.bsh-group.com/tr/tr/product/pisirme-grubu/ocaklar/gazli-ocaklar/EB0C2PK80O" TargetMode="External"/><Relationship Id="rId25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67" Type="http://schemas.openxmlformats.org/officeDocument/2006/relationships/hyperlink" Target="https://www.siemens-home.bsh-group.com/tr/tr/product/yikama-ve-utuleme-grubu/kurutma-makineleri/isi-pompali-kurutma-makineleri/WT00H201TR" TargetMode="External"/><Relationship Id="rId272" Type="http://schemas.openxmlformats.org/officeDocument/2006/relationships/hyperlink" Target="https://www.siemens-home.bsh-group.com/tr/tr/product/ankastre/ankastre-davlumbazlar/LI63TCA11T" TargetMode="External"/><Relationship Id="rId328" Type="http://schemas.openxmlformats.org/officeDocument/2006/relationships/hyperlink" Target="https://www.siemens-home.bsh-group.com/tr/tr/product/EN7B2PO10O" TargetMode="External"/><Relationship Id="rId13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174" Type="http://schemas.openxmlformats.org/officeDocument/2006/relationships/hyperlink" Target="https://www.siemens-home.bsh-group.com/tr/tr/product/pisirme-grubu/buharli-firinlar/buharli-firinlar/HU736AEV0T" TargetMode="External"/><Relationship Id="rId381" Type="http://schemas.openxmlformats.org/officeDocument/2006/relationships/hyperlink" Target="https://www.siemens-home.bsh-group.com/tr/tr/product/kucuk-ev-aletleri/TQ505R09" TargetMode="External"/><Relationship Id="rId24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37" Type="http://schemas.openxmlformats.org/officeDocument/2006/relationships/hyperlink" Target="https://www.siemens-home.bsh-group.com/tr/tr/product/klimalar/AS12XVW32N" TargetMode="External"/><Relationship Id="rId479" Type="http://schemas.openxmlformats.org/officeDocument/2006/relationships/hyperlink" Target="https://www.siemens-home.bsh-group.com/tr/tr/product/ankastre/ankastre-firinlar/HB010FBR1T" TargetMode="External"/><Relationship Id="rId3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83" Type="http://schemas.openxmlformats.org/officeDocument/2006/relationships/hyperlink" Target="https://www.siemens-home.bsh-group.com/tr/tr/product/pisirme-grubu/ocaklar/gazli-ocaklar/EO6C6PP30O" TargetMode="External"/><Relationship Id="rId339" Type="http://schemas.openxmlformats.org/officeDocument/2006/relationships/hyperlink" Target="https://www.siemens-home.bsh-group.com/tr/tr/product/pisirme-grubu/ocaklar/gazli-ocaklar/EP9A6QI40" TargetMode="External"/><Relationship Id="rId490" Type="http://schemas.openxmlformats.org/officeDocument/2006/relationships/hyperlink" Target="https://www.siemens-home.bsh-group.com/tr/tr/product/ankastre/ankastre-davlumbazlar/LC67BBK70T" TargetMode="External"/><Relationship Id="rId504" Type="http://schemas.openxmlformats.org/officeDocument/2006/relationships/hyperlink" Target="https://www.siemens-home.bsh-group.com/tr/tr/product/yikama-ve-utuleme-grubu/camasir-makineleri/solo-camasir-makineleri/WG42A2ZXTR" TargetMode="External"/><Relationship Id="rId78" Type="http://schemas.openxmlformats.org/officeDocument/2006/relationships/hyperlink" Target="https://www.siemens-home.bsh-group.com/tr/tr/product/prsiemensfridge/KD86NAIE0N" TargetMode="External"/><Relationship Id="rId101" Type="http://schemas.openxmlformats.org/officeDocument/2006/relationships/hyperlink" Target="https://www.siemens-home.bsh-group.com/tr/tr/product/ankastre/ankastre-buzdolaplari-ve-sogutucular/CI30BP02" TargetMode="External"/><Relationship Id="rId143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185" Type="http://schemas.openxmlformats.org/officeDocument/2006/relationships/hyperlink" Target="https://www.siemens-home.bsh-group.com/tr/tr/product/ankastre/ankastre-firinlar/HB514FBR1T" TargetMode="External"/><Relationship Id="rId350" Type="http://schemas.openxmlformats.org/officeDocument/2006/relationships/hyperlink" Target="https://www.siemens-home.bsh-group.com/tr/tr/product/pisirme-grubu/ocaklar/induksiyonlu-ocaklar/EZ877KZY1E" TargetMode="External"/><Relationship Id="rId406" Type="http://schemas.openxmlformats.org/officeDocument/2006/relationships/hyperlink" Target="https://www.siemens-home.bsh-group.com/tr/tr/product/HZ9VRUD0" TargetMode="External"/><Relationship Id="rId9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10" Type="http://schemas.openxmlformats.org/officeDocument/2006/relationships/hyperlink" Target="https://www.siemens-home.bsh-group.com/tr/tr/product/BE555LMS0" TargetMode="External"/><Relationship Id="rId392" Type="http://schemas.openxmlformats.org/officeDocument/2006/relationships/hyperlink" Target="https://www.siemens-home.bsh-group.com/tr/tr/product/elektrikli-supurgeler/sarjli-supurgeler/VSM120XXL" TargetMode="External"/><Relationship Id="rId448" Type="http://schemas.openxmlformats.org/officeDocument/2006/relationships/hyperlink" Target="https://www.siemens-home.bsh-group.com/tr/tr/product/VSX4A212" TargetMode="External"/><Relationship Id="rId252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94" Type="http://schemas.openxmlformats.org/officeDocument/2006/relationships/hyperlink" Target="https://www.siemens-home.bsh-group.com/tr/tr/product/ankastre/ankastre-ocaklar/EB6C2PB82O" TargetMode="External"/><Relationship Id="rId308" Type="http://schemas.openxmlformats.org/officeDocument/2006/relationships/hyperlink" Target="https://www.siemens-home.bsh-group.com/tr/tr/product/EO6C6PO92O" TargetMode="External"/><Relationship Id="rId515" Type="http://schemas.openxmlformats.org/officeDocument/2006/relationships/hyperlink" Target="https://www.siemens-home.bsh-group.com/tr/tr/product/ldaset2wm/WQ42G20RTR" TargetMode="External"/><Relationship Id="rId47" Type="http://schemas.openxmlformats.org/officeDocument/2006/relationships/hyperlink" Target="https://www.siemens-home.bsh-group.com/tr/tr/product/yikama-ve-utuleme-grubu/camasir-makineleri/solo-camasir-makineleri/WG42A2X3TR" TargetMode="External"/><Relationship Id="rId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112" Type="http://schemas.openxmlformats.org/officeDocument/2006/relationships/hyperlink" Target="https://www.siemens-home.bsh-group.com/tr/tr/product/prsiemenswm/WA12LPH0TR" TargetMode="External"/><Relationship Id="rId15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361" Type="http://schemas.openxmlformats.org/officeDocument/2006/relationships/hyperlink" Target="https://www.siemens-home.bsh-group.com/tr/tr/product/kahve-makineleri/aksesuarlar/TZ80001A" TargetMode="External"/><Relationship Id="rId196" Type="http://schemas.openxmlformats.org/officeDocument/2006/relationships/hyperlink" Target="https://www.siemens-home.bsh-group.com/tr/tr/product/ankastre/ankastre-firinlar/HB876G8B6" TargetMode="External"/><Relationship Id="rId417" Type="http://schemas.openxmlformats.org/officeDocument/2006/relationships/hyperlink" Target="https://www.siemens-home.bsh-group.com/tr/tr/product/MR008B1" TargetMode="External"/><Relationship Id="rId459" Type="http://schemas.openxmlformats.org/officeDocument/2006/relationships/hyperlink" Target="https://www.siemens-home.bsh-group.com/tr/tr/product/3d-airfry-ankastre-firinlar/HI133FEW0T" TargetMode="External"/><Relationship Id="rId16" Type="http://schemas.openxmlformats.org/officeDocument/2006/relationships/hyperlink" Target="https://www.siemens-home.bsh-group.com/tr/tr/product/MQ96580" TargetMode="External"/><Relationship Id="rId221" Type="http://schemas.openxmlformats.org/officeDocument/2006/relationships/hyperlink" Target="https://www.siemens-home.bsh-group.com/tr/tr/product/FF023LMS1" TargetMode="External"/><Relationship Id="rId26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19" Type="http://schemas.openxmlformats.org/officeDocument/2006/relationships/hyperlink" Target="https://www.siemens-home.bsh-group.com/tr/tr/product/pisirme-grubu/ocaklar/gazli-ocaklar/EO7C8PP30O" TargetMode="External"/><Relationship Id="rId470" Type="http://schemas.openxmlformats.org/officeDocument/2006/relationships/hyperlink" Target="https://www.siemens-home.bsh-group.com/tr/tr/product/ankastre/ankastre-ocaklar/EN6C2PO12O" TargetMode="External"/><Relationship Id="rId526" Type="http://schemas.openxmlformats.org/officeDocument/2006/relationships/hyperlink" Target="https://www.siemens-home.bsh-group.com/tr/tr/productservice/SZ36RB04(00)" TargetMode="External"/><Relationship Id="rId58" Type="http://schemas.openxmlformats.org/officeDocument/2006/relationships/hyperlink" Target="https://www.siemens-home.bsh-group.com/tr/tr/product/yikama-ve-utuleme-grubu/kurutma-makineleri/isi-pompali-kurutma-makineleri/WQ42A201TR" TargetMode="External"/><Relationship Id="rId123" Type="http://schemas.openxmlformats.org/officeDocument/2006/relationships/hyperlink" Target="https://www.siemens-home.bsh-group.com/tr/tr/product/ldaset2wm/WM14UP91TR" TargetMode="External"/><Relationship Id="rId330" Type="http://schemas.openxmlformats.org/officeDocument/2006/relationships/hyperlink" Target="https://www.siemens-home.bsh-group.com/tr/tr/product/pisirme-grubu/ocaklar/gazli-ocaklar/EN7B2QP30O" TargetMode="External"/><Relationship Id="rId165" Type="http://schemas.openxmlformats.org/officeDocument/2006/relationships/hyperlink" Target="https://www.siemens-home.bsh-group.com/tr/tr/product/pisirme-grubu/buharli-firinlar/buharli-firinlar/HR776G3B1" TargetMode="External"/><Relationship Id="rId372" Type="http://schemas.openxmlformats.org/officeDocument/2006/relationships/hyperlink" Target="https://www.siemens-home.bsh-group.com/tr/tr/product/kucuk-ev-aletleri/TP501R09" TargetMode="External"/><Relationship Id="rId428" Type="http://schemas.openxmlformats.org/officeDocument/2006/relationships/hyperlink" Target="https://www.siemens-home.bsh-group.com/tr/tr/product/arsiv/CI60Z000" TargetMode="External"/><Relationship Id="rId232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274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481" Type="http://schemas.openxmlformats.org/officeDocument/2006/relationships/hyperlink" Target="https://www.siemens-home.bsh-group.com/tr/tr/product/3d-airfry-ankastre-firinlar/HB214FBS1T" TargetMode="External"/><Relationship Id="rId27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13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80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176" Type="http://schemas.openxmlformats.org/officeDocument/2006/relationships/hyperlink" Target="https://www.siemens-home.bsh-group.com/tr/tr/product/pisirme-grubu/firinlar/ankastre-firinlar/HB012FBH1T" TargetMode="External"/><Relationship Id="rId341" Type="http://schemas.openxmlformats.org/officeDocument/2006/relationships/hyperlink" Target="https://www.siemens-home.bsh-group.com/tr/tr/product/pisirme-grubu/ocaklar/domino-ocaklar/ER3A6BB70" TargetMode="External"/><Relationship Id="rId383" Type="http://schemas.openxmlformats.org/officeDocument/2006/relationships/hyperlink" Target="https://www.siemens-home.bsh-group.com/tr/tr/product/kucuk-ev-aletleri/TQ703R07" TargetMode="External"/><Relationship Id="rId439" Type="http://schemas.openxmlformats.org/officeDocument/2006/relationships/hyperlink" Target="https://www.siemens-home.bsh-group.com/tr/tr/product/klimalar/AS12XXB32N" TargetMode="External"/><Relationship Id="rId201" Type="http://schemas.openxmlformats.org/officeDocument/2006/relationships/hyperlink" Target="https://www.siemens-home.bsh-group.com/tr/tr/product/pisirme-grubu/firinlar/ankastre-firinlar/HB976GMB1" TargetMode="External"/><Relationship Id="rId243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285" Type="http://schemas.openxmlformats.org/officeDocument/2006/relationships/hyperlink" Target="https://www.siemens-home.bsh-group.com/tr/tr/product/pisirme-grubu/ocaklar/gazli-ocaklar/EO7C2PP30O" TargetMode="External"/><Relationship Id="rId45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06" Type="http://schemas.openxmlformats.org/officeDocument/2006/relationships/hyperlink" Target="https://www.siemens-home.bsh-group.com/tr/tr/product/yikama-ve-utuleme-grubu/camasir-makineleri/iq300-camasir-makineleri/WG52A2Z0TR" TargetMode="External"/><Relationship Id="rId38" Type="http://schemas.openxmlformats.org/officeDocument/2006/relationships/hyperlink" Target="https://www.siemens-home.bsh-group.com/tr/tr/product/su-sebilleri/DW15703" TargetMode="External"/><Relationship Id="rId103" Type="http://schemas.openxmlformats.org/officeDocument/2006/relationships/hyperlink" Target="https://www.siemens-home.bsh-group.com/tr/tr/product/ankastre/ankastre-buzdolaplari-ve-sogutucular/CI36TP02" TargetMode="External"/><Relationship Id="rId310" Type="http://schemas.openxmlformats.org/officeDocument/2006/relationships/hyperlink" Target="https://www.siemens-home.bsh-group.com/tr/tr/product/EO6C8PO92O" TargetMode="External"/><Relationship Id="rId492" Type="http://schemas.openxmlformats.org/officeDocument/2006/relationships/hyperlink" Target="https://www.siemens-home.bsh-group.com/tr/tr/product/ankastre/ankastre-davlumbazlar/LC95KA670T" TargetMode="External"/><Relationship Id="rId91" Type="http://schemas.openxmlformats.org/officeDocument/2006/relationships/hyperlink" Target="https://www.siemens-home.bsh-group.com/tr/tr/product/kampanyalar/supurge-hediye-firsati/KG86PAIC0N" TargetMode="External"/><Relationship Id="rId145" Type="http://schemas.openxmlformats.org/officeDocument/2006/relationships/hyperlink" Target="https://www.siemens-home.bsh-group.com/tr/tr/product/SN55ES80KT" TargetMode="External"/><Relationship Id="rId187" Type="http://schemas.openxmlformats.org/officeDocument/2006/relationships/hyperlink" Target="https://www.siemens-home.bsh-group.com/tr/tr/product/pisirme-grubu/firinlar/ankastre-firinlar/HB557JEB6T" TargetMode="External"/><Relationship Id="rId352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394" Type="http://schemas.openxmlformats.org/officeDocument/2006/relationships/hyperlink" Target="https://www.siemens-home.bsh-group.com/tr/tr/product/elektrikli-supurgeler/toz-torbali-torbasiz-elektrikli-supurgeler/VSX41XTRM" TargetMode="External"/><Relationship Id="rId408" Type="http://schemas.openxmlformats.org/officeDocument/2006/relationships/hyperlink" Target="https://www.siemens-home.bsh-group.com/tr/tr/product/DE2124407M" TargetMode="External"/><Relationship Id="rId212" Type="http://schemas.openxmlformats.org/officeDocument/2006/relationships/hyperlink" Target="https://www.siemens-home.bsh-group.com/tr/supportdetail/product/BF520LMA1/01" TargetMode="External"/><Relationship Id="rId254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49" Type="http://schemas.openxmlformats.org/officeDocument/2006/relationships/hyperlink" Target="https://www.siemens-home.bsh-group.com/tr/tr/product/yikama-ve-utuleme-grubu/camasir-makineleri/solo-camasir-makineleri/WG42K2ZXTR" TargetMode="External"/><Relationship Id="rId114" Type="http://schemas.openxmlformats.org/officeDocument/2006/relationships/hyperlink" Target="https://www.siemens-home.bsh-group.com/tr/tr/product/yikama-ve-utuleme-grubu/camasir-makineleri/solo-camasir-makineleri/WG44A2Z1TR" TargetMode="External"/><Relationship Id="rId296" Type="http://schemas.openxmlformats.org/officeDocument/2006/relationships/hyperlink" Target="https://www.siemens-home.bsh-group.com/tr/tr/product/ankastre/ankastre-ocaklar/EB6C6PB82O" TargetMode="External"/><Relationship Id="rId4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517" Type="http://schemas.openxmlformats.org/officeDocument/2006/relationships/hyperlink" Target="https://www.siemens-home.bsh-group.com/tr/tr/product/prsiemensdryer/WT45W41STR" TargetMode="External"/><Relationship Id="rId60" Type="http://schemas.openxmlformats.org/officeDocument/2006/relationships/hyperlink" Target="https://www.siemens-home.bsh-group.com/tr/tr/product/yikama-ve-utuleme-grubu/kurutma-makineleri/isi-pompali-kurutma-makineleri/WQ43J2C0TR" TargetMode="External"/><Relationship Id="rId156" Type="http://schemas.openxmlformats.org/officeDocument/2006/relationships/hyperlink" Target="https://www.siemens-home.bsh-group.com/tr/tr/product/pisirme-grubu/firinlar/ankastre-firinlar/HB237FEG5T" TargetMode="External"/><Relationship Id="rId198" Type="http://schemas.openxmlformats.org/officeDocument/2006/relationships/hyperlink" Target="https://www.siemens-home.bsh-group.com/tr/tr/product/3d-airfry-ankastre-firinlar/HN678G4S6" TargetMode="External"/><Relationship Id="rId321" Type="http://schemas.openxmlformats.org/officeDocument/2006/relationships/hyperlink" Target="https://www.siemens-home.bsh-group.com/tr/tr/product/pisirme-grubu/ocaklar/gazli-ocaklar/EP6A6HI40O" TargetMode="External"/><Relationship Id="rId363" Type="http://schemas.openxmlformats.org/officeDocument/2006/relationships/hyperlink" Target="https://www.siemens-home.bsh-group.com/tr/tr/product/CT636LES6" TargetMode="External"/><Relationship Id="rId419" Type="http://schemas.openxmlformats.org/officeDocument/2006/relationships/hyperlink" Target="https://www.siemens-home.bsh-group.com/tr/tr/product/TW3A0103" TargetMode="External"/><Relationship Id="rId223" Type="http://schemas.openxmlformats.org/officeDocument/2006/relationships/hyperlink" Target="https://www.siemens-home.bsh-group.com/tr/tr/product/ankastre/ankastre-davlumbazlar/LC65KA670T" TargetMode="External"/><Relationship Id="rId430" Type="http://schemas.openxmlformats.org/officeDocument/2006/relationships/hyperlink" Target="https://www.siemens-home.bsh-group.com/tr/tr/product/CI60ZBL1" TargetMode="External"/><Relationship Id="rId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265" Type="http://schemas.openxmlformats.org/officeDocument/2006/relationships/hyperlink" Target="https://www.siemens-home.bsh-group.com/tr/tr/product/LC98GA542" TargetMode="External"/><Relationship Id="rId472" Type="http://schemas.openxmlformats.org/officeDocument/2006/relationships/hyperlink" Target="https://www.siemens-home.bsh-group.com/tr/tr/product/EO6C2PO92O" TargetMode="External"/><Relationship Id="rId125" Type="http://schemas.openxmlformats.org/officeDocument/2006/relationships/hyperlink" Target="https://www.siemens-home.bsh-group.com/tr/tr/product/yikama-ve-utuleme-grubu/kurutmali-camasir-makineleri/wash-dryers/WN54C2A0TR" TargetMode="External"/><Relationship Id="rId167" Type="http://schemas.openxmlformats.org/officeDocument/2006/relationships/hyperlink" Target="https://www.siemens-home.bsh-group.com/tr/tr/product/pisirme-grubu/buharli-firinlar/buharli-firinlar/HU717ABV0T" TargetMode="External"/><Relationship Id="rId332" Type="http://schemas.openxmlformats.org/officeDocument/2006/relationships/hyperlink" Target="https://www.siemens-home.bsh-group.com/tr/tr/product/pisirme-grubu/ocaklar/gazli-ocaklar/EN7B6QP30O" TargetMode="External"/><Relationship Id="rId374" Type="http://schemas.openxmlformats.org/officeDocument/2006/relationships/hyperlink" Target="https://www.siemens-home.bsh-group.com/tr/tr/product/kucuk-ev-aletleri/TP505R01" TargetMode="External"/><Relationship Id="rId71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34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2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27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41" Type="http://schemas.openxmlformats.org/officeDocument/2006/relationships/hyperlink" Target="https://www.siemens-home.bsh-group.com/tr/tr/product/klimalar/AS18XVW32N" TargetMode="External"/><Relationship Id="rId483" Type="http://schemas.openxmlformats.org/officeDocument/2006/relationships/hyperlink" Target="https://www.siemens-home.bsh-group.com/tr/tr/product/ankastre/ankastre-firinlar/HB514FBH2T" TargetMode="External"/><Relationship Id="rId40" Type="http://schemas.openxmlformats.org/officeDocument/2006/relationships/hyperlink" Target="https://www.siemens-home.bsh-group.com/tr/tr/product/su-sebilleri/DW15701" TargetMode="External"/><Relationship Id="rId136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178" Type="http://schemas.openxmlformats.org/officeDocument/2006/relationships/hyperlink" Target="https://www.siemens-home.bsh-group.com/tr/tr/product/3d-airfry-ankastre-firinlar/HB214FBS0T" TargetMode="External"/><Relationship Id="rId301" Type="http://schemas.openxmlformats.org/officeDocument/2006/relationships/hyperlink" Target="https://www.siemens-home.bsh-group.com/tr/tr/product/pisirme-grubu/ocaklar/gazli-ocaklar/EN6B8NP40O" TargetMode="External"/><Relationship Id="rId343" Type="http://schemas.openxmlformats.org/officeDocument/2006/relationships/hyperlink" Target="https://www.siemens-home.bsh-group.com/tr/tr/product/ankastre/ankastre-ocaklar/ET475FYB1E" TargetMode="External"/><Relationship Id="rId82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203" Type="http://schemas.openxmlformats.org/officeDocument/2006/relationships/hyperlink" Target="https://www.siemens-home.bsh-group.com/tr/tr/product/pisirme-grubu/firinlar/kompakt-firinlar/CM978GNB1" TargetMode="External"/><Relationship Id="rId385" Type="http://schemas.openxmlformats.org/officeDocument/2006/relationships/hyperlink" Target="https://www.siemens-home.bsh-group.com/tr/tr/product/BI630CNS1" TargetMode="External"/><Relationship Id="rId245" Type="http://schemas.openxmlformats.org/officeDocument/2006/relationships/hyperlink" Target="https://www.siemens-home.bsh-group.com/tr/tr/product/ankastre/ankastre-davlumbazlar/LC67FCK60T" TargetMode="External"/><Relationship Id="rId287" Type="http://schemas.openxmlformats.org/officeDocument/2006/relationships/hyperlink" Target="https://www.siemens-home.bsh-group.com/tr/tr/product/pisirme-grubu/ocaklar/gazli-ocaklar/EO7C6PP30O" TargetMode="External"/><Relationship Id="rId410" Type="http://schemas.openxmlformats.org/officeDocument/2006/relationships/hyperlink" Target="https://www.siemens-home.bsh-group.com/tr/tr/product/TA22005" TargetMode="External"/><Relationship Id="rId45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4" Type="http://schemas.openxmlformats.org/officeDocument/2006/relationships/hyperlink" Target="https://www.siemens-home.bsh-group.com/tr/tr/product/prsiemensdw/SN23HW60MT" TargetMode="External"/><Relationship Id="rId508" Type="http://schemas.openxmlformats.org/officeDocument/2006/relationships/hyperlink" Target="https://www.siemens-home.bsh-group.com/tr/tr/product/yikama-ve-utuleme-grubu/camasir-makineleri/iq700-camasir-makineleri/WG54B2A0TR" TargetMode="External"/><Relationship Id="rId105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147" Type="http://schemas.openxmlformats.org/officeDocument/2006/relationships/hyperlink" Target="https://www.siemens-home.bsh-group.com/tr/tr/product/SN57ZS80DT" TargetMode="External"/><Relationship Id="rId312" Type="http://schemas.openxmlformats.org/officeDocument/2006/relationships/hyperlink" Target="https://www.siemens-home.bsh-group.com/tr/tr/product/pisirme-grubu/ocaklar/gazli-ocaklar/EO7C2HP30O" TargetMode="External"/><Relationship Id="rId354" Type="http://schemas.openxmlformats.org/officeDocument/2006/relationships/hyperlink" Target="https://www.siemens-home.bsh-group.com/tr/tr/product/ankastre/ankastre-ocaklar/EX875LX67E" TargetMode="External"/><Relationship Id="rId51" Type="http://schemas.openxmlformats.org/officeDocument/2006/relationships/hyperlink" Target="https://www.siemens-home.bsh-group.com/tr/tr/product/yikama-ve-utuleme-grubu/camasir-makineleri/solo-camasir-makineleri/WG52K2Z0TR" TargetMode="External"/><Relationship Id="rId93" Type="http://schemas.openxmlformats.org/officeDocument/2006/relationships/hyperlink" Target="https://www.siemens-home.bsh-group.com/tr/tr/product/GS24VVWF0N" TargetMode="External"/><Relationship Id="rId189" Type="http://schemas.openxmlformats.org/officeDocument/2006/relationships/hyperlink" Target="https://www.siemens-home.bsh-group.com/tr/tr/product/prsiemensovenaddedvalue/HB557JYS0T" TargetMode="External"/><Relationship Id="rId396" Type="http://schemas.openxmlformats.org/officeDocument/2006/relationships/hyperlink" Target="https://www.siemens-home.bsh-group.com/tr/tr/product/VZ41FGALL" TargetMode="External"/><Relationship Id="rId214" Type="http://schemas.openxmlformats.org/officeDocument/2006/relationships/hyperlink" Target="https://www.siemens-home.bsh-group.com/tr/tr/product/BF525LMW0" TargetMode="External"/><Relationship Id="rId256" Type="http://schemas.openxmlformats.org/officeDocument/2006/relationships/hyperlink" Target="https://www.siemens-home.bsh-group.com/tr/tr/product/ankastre/ankastre-davlumbazlar/LC95FCJ70T" TargetMode="External"/><Relationship Id="rId298" Type="http://schemas.openxmlformats.org/officeDocument/2006/relationships/hyperlink" Target="https://www.siemens-home.bsh-group.com/tr/tr/product/EG6B5HB60O" TargetMode="External"/><Relationship Id="rId421" Type="http://schemas.openxmlformats.org/officeDocument/2006/relationships/hyperlink" Target="https://www.siemens-home.bsh-group.com/tr/tr/product/CI10Z490" TargetMode="External"/><Relationship Id="rId463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519" Type="http://schemas.openxmlformats.org/officeDocument/2006/relationships/hyperlink" Target="https://www.siemens-home.bsh-group.com/tr/tr/product/yikama-ve-utuleme-grubu/kurutma-makineleri/isi-pompali-kurutma-makineleri/WQ42J20XTR" TargetMode="External"/><Relationship Id="rId116" Type="http://schemas.openxmlformats.org/officeDocument/2006/relationships/hyperlink" Target="https://www.siemens-home.bsh-group.com/tr/tr/product/yikama-ve-utuleme-grubu/camasir-makineleri/solo-camasir-makineleri/WG44B2A0TR" TargetMode="External"/><Relationship Id="rId158" Type="http://schemas.openxmlformats.org/officeDocument/2006/relationships/hyperlink" Target="https://www.siemens-home.bsh-group.com/tr/tr/product/pisirme-grubu/firinlar/ankastre-firinlar/HB534FER3T" TargetMode="External"/><Relationship Id="rId323" Type="http://schemas.openxmlformats.org/officeDocument/2006/relationships/hyperlink" Target="https://www.siemens-home.bsh-group.com/tr/tr/product/ankastre/ankastre-ocaklar/EP6A2PB20O" TargetMode="External"/><Relationship Id="rId20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62" Type="http://schemas.openxmlformats.org/officeDocument/2006/relationships/hyperlink" Target="https://www.siemens-home.bsh-group.com/tr/tr/product/prsiemensdryer/WQ44G2CTTR" TargetMode="External"/><Relationship Id="rId365" Type="http://schemas.openxmlformats.org/officeDocument/2006/relationships/hyperlink" Target="https://www.siemens-home.bsh-group.com/tr/tr/product/kahve-makineleri/ankastre-tam-otomatik-kahve-makineleri/CT918L1B0" TargetMode="External"/><Relationship Id="rId2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267" Type="http://schemas.openxmlformats.org/officeDocument/2006/relationships/hyperlink" Target="https://www.siemens-home.bsh-group.com/tr/tr/product/ankastre/ankastre-davlumbazlar/LC98KLR61S" TargetMode="External"/><Relationship Id="rId432" Type="http://schemas.openxmlformats.org/officeDocument/2006/relationships/hyperlink" Target="https://www.siemens-home.bsh-group.com/tr/tr/product/klimalar/AS09XVW32N" TargetMode="External"/><Relationship Id="rId474" Type="http://schemas.openxmlformats.org/officeDocument/2006/relationships/hyperlink" Target="https://www.siemens-home.bsh-group.com/tr/tr/product/ankastre/ankastre-ocaklar/ET875LMV1D" TargetMode="External"/><Relationship Id="rId127" Type="http://schemas.openxmlformats.org/officeDocument/2006/relationships/hyperlink" Target="https://www.siemens-home.bsh-group.com/tr/tr/product/yikama-ve-utuleme-grubu/kurutma-makineleri/isi-pompali-kurutma-makineleri/WQ52G201TR" TargetMode="External"/><Relationship Id="rId3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73" Type="http://schemas.openxmlformats.org/officeDocument/2006/relationships/hyperlink" Target="https://www.siemens-home.bsh-group.com/tr/tr/product/kampanyalar/supurge-hediye-firsati/KD76NAIE0N" TargetMode="External"/><Relationship Id="rId169" Type="http://schemas.openxmlformats.org/officeDocument/2006/relationships/hyperlink" Target="https://www.siemens-home.bsh-group.com/tr/tr/product/pisirme-grubu/buharli-firinlar/buharli-firinlar/HU736AEN0T" TargetMode="External"/><Relationship Id="rId334" Type="http://schemas.openxmlformats.org/officeDocument/2006/relationships/hyperlink" Target="https://www.siemens-home.bsh-group.com/tr/tr/product/ankastre/ankastre-ocaklar/EP7A2QB20" TargetMode="External"/><Relationship Id="rId376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0" Type="http://schemas.openxmlformats.org/officeDocument/2006/relationships/hyperlink" Target="https://www.siemens-home.bsh-group.com/tr/tr/product/3d-airfry-ankastre-firinlar/HB234FEH0T" TargetMode="External"/><Relationship Id="rId236" Type="http://schemas.openxmlformats.org/officeDocument/2006/relationships/hyperlink" Target="https://www.siemens-home.bsh-group.com/tr/tr/product/ankastre/ankastre-davlumbazlar/LC65FCJ20T" TargetMode="External"/><Relationship Id="rId278" Type="http://schemas.openxmlformats.org/officeDocument/2006/relationships/hyperlink" Target="https://www.siemens-home.bsh-group.com/tr/tr/product/pisirme-grubu/ocaklar/gazli-ocaklar/EC7A5RI90" TargetMode="External"/><Relationship Id="rId401" Type="http://schemas.openxmlformats.org/officeDocument/2006/relationships/hyperlink" Target="https://www.siemens-home.bsh-group.com/tr/tr/product/elektrikli-supurgeler/toz-torbali-torbasiz-elektrikli-supurgeler/VSX21A300" TargetMode="External"/><Relationship Id="rId443" Type="http://schemas.openxmlformats.org/officeDocument/2006/relationships/hyperlink" Target="https://www.siemens-home.bsh-group.com/tr/tr/product/klimalar/AS18XXB32N" TargetMode="External"/><Relationship Id="rId303" Type="http://schemas.openxmlformats.org/officeDocument/2006/relationships/hyperlink" Target="https://www.siemens-home.bsh-group.com/tr/tr/product/ankastre/ankastre-ocaklar/EN6C8PO12O" TargetMode="External"/><Relationship Id="rId485" Type="http://schemas.openxmlformats.org/officeDocument/2006/relationships/hyperlink" Target="https://www.siemens-home.bsh-group.com/tr/tr/product/3d-airfry-ankastre-firinlar/HB656GHW1" TargetMode="External"/><Relationship Id="rId42" Type="http://schemas.openxmlformats.org/officeDocument/2006/relationships/hyperlink" Target="https://www.siemens-home.bsh-group.com/tr/tr/product/BF525LMS0" TargetMode="External"/><Relationship Id="rId84" Type="http://schemas.openxmlformats.org/officeDocument/2006/relationships/hyperlink" Target="https://www.siemens-home.bsh-group.com/tr/tr/product/prsiemensfridge/KG56NTEE0N" TargetMode="External"/><Relationship Id="rId138" Type="http://schemas.openxmlformats.org/officeDocument/2006/relationships/hyperlink" Target="https://www.siemens-home.bsh-group.com/tr/tr/product/prsiemensdw/SN25HW80MT" TargetMode="External"/><Relationship Id="rId345" Type="http://schemas.openxmlformats.org/officeDocument/2006/relationships/hyperlink" Target="https://www.siemens-home.bsh-group.com/tr/tr/product/pisirme-grubu/ocaklar/seramik-ocaklar/ET651FFP2E" TargetMode="External"/><Relationship Id="rId387" Type="http://schemas.openxmlformats.org/officeDocument/2006/relationships/hyperlink" Target="https://www.siemens-home.bsh-group.com/tr/tr/product/studioline/BI830CNB1" TargetMode="External"/><Relationship Id="rId510" Type="http://schemas.openxmlformats.org/officeDocument/2006/relationships/hyperlink" Target="https://www.siemens-home.bsh-group.com/tr/tr/product/yikama-ve-utuleme-grubu/camasir-makineleri/solo-camasir-makineleri/WM12N180TR" TargetMode="External"/><Relationship Id="rId191" Type="http://schemas.openxmlformats.org/officeDocument/2006/relationships/hyperlink" Target="https://www.siemens-home.bsh-group.com/tr/tr/product/arsiv/HB655GNW1" TargetMode="External"/><Relationship Id="rId205" Type="http://schemas.openxmlformats.org/officeDocument/2006/relationships/hyperlink" Target="https://www.siemens-home.bsh-group.com/tr/tr/product/pisirme-grubu/buharli-firinlar/buharli-pisirici/CD714GXB1" TargetMode="External"/><Relationship Id="rId247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412" Type="http://schemas.openxmlformats.org/officeDocument/2006/relationships/hyperlink" Target="https://www.siemens-home.bsh-group.com/tr/tr/product/MQ66120" TargetMode="External"/><Relationship Id="rId107" Type="http://schemas.openxmlformats.org/officeDocument/2006/relationships/hyperlink" Target="https://www.siemens-home.bsh-group.com/tr/tr/product/ankastre/ankastre-buzdolaplari-ve-sogutucular/KU21WAHG0" TargetMode="External"/><Relationship Id="rId289" Type="http://schemas.openxmlformats.org/officeDocument/2006/relationships/hyperlink" Target="https://www.siemens-home.bsh-group.com/tr/tr/product/pisirme-grubu/ocaklar/seramik-ocaklar/ET611HE17E" TargetMode="External"/><Relationship Id="rId454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6" Type="http://schemas.openxmlformats.org/officeDocument/2006/relationships/hyperlink" Target="https://www.siemens-home.bsh-group.com/tr/tr/product/ankastre/ankastre-bulasik-makineleri/SN515S01DT" TargetMode="External"/><Relationship Id="rId11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3" Type="http://schemas.openxmlformats.org/officeDocument/2006/relationships/hyperlink" Target="https://www.siemens-home.bsh-group.com/tr/tr/product/yikama-ve-utuleme-grubu/camasir-makineleri/solo-camasir-makineleri/WG54B2A1TR" TargetMode="External"/><Relationship Id="rId149" Type="http://schemas.openxmlformats.org/officeDocument/2006/relationships/hyperlink" Target="https://www.siemens-home.bsh-group.com/tr/tr/product/SN63HX60MT" TargetMode="External"/><Relationship Id="rId314" Type="http://schemas.openxmlformats.org/officeDocument/2006/relationships/hyperlink" Target="https://www.siemens-home.bsh-group.com/tr/tr/product/ankastre/ankastre-ocaklar/EO7C2PO12O" TargetMode="External"/><Relationship Id="rId356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98" Type="http://schemas.openxmlformats.org/officeDocument/2006/relationships/hyperlink" Target="https://www.siemens-home.bsh-group.com/tr/tr/product/elektrikli-supurgeler/toz-torbali-torbasiz-elektrikli-supurgeler/VSC3A210" TargetMode="External"/><Relationship Id="rId521" Type="http://schemas.openxmlformats.org/officeDocument/2006/relationships/hyperlink" Target="https://www.siemens-home.bsh-group.com/tr/tr/product/3d-airfry-ankastre-firinlar/HB634GBS1" TargetMode="External"/><Relationship Id="rId95" Type="http://schemas.openxmlformats.org/officeDocument/2006/relationships/hyperlink" Target="https://www.siemens-home.bsh-group.com/tr/tr/product/ldaset2ref/GS29VVWE0N" TargetMode="External"/><Relationship Id="rId160" Type="http://schemas.openxmlformats.org/officeDocument/2006/relationships/hyperlink" Target="https://www.siemens-home.bsh-group.com/tr/tr/product/pisirme-grubu/firinlar/ankastre-firinlar/HB776G1B1" TargetMode="External"/><Relationship Id="rId216" Type="http://schemas.openxmlformats.org/officeDocument/2006/relationships/hyperlink" Target="https://www.siemens-home.bsh-group.com/tr/tr/product/pisirme-grubu/firinlar/kompakt-firinlar/BF623LMW3" TargetMode="External"/><Relationship Id="rId423" Type="http://schemas.openxmlformats.org/officeDocument/2006/relationships/hyperlink" Target="https://www.siemens-home.bsh-group.com/tr/tr/product/CI10Z591" TargetMode="External"/><Relationship Id="rId258" Type="http://schemas.openxmlformats.org/officeDocument/2006/relationships/hyperlink" Target="https://www.siemens-home.bsh-group.com/tr/tr/product/ankastre/ankastre-davlumbazlar/LC97BBM50T" TargetMode="External"/><Relationship Id="rId465" Type="http://schemas.openxmlformats.org/officeDocument/2006/relationships/hyperlink" Target="https://www.siemens-home.bsh-group.com/tr/tr/product/ankastre/ankastre-ocaklar/EC9A5TB90" TargetMode="External"/><Relationship Id="rId22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64" Type="http://schemas.openxmlformats.org/officeDocument/2006/relationships/hyperlink" Target="https://www.siemens-home.bsh-group.com/tr/tr/product/yikama-ve-utuleme-grubu/kurutma-makineleri/isi-pompali-kurutma-makineleri/WQ45B2AXTR" TargetMode="External"/><Relationship Id="rId118" Type="http://schemas.openxmlformats.org/officeDocument/2006/relationships/hyperlink" Target="https://www.siemens-home.bsh-group.com/tr/tr/product/prsiemenswm/WG52A2A0TR" TargetMode="External"/><Relationship Id="rId325" Type="http://schemas.openxmlformats.org/officeDocument/2006/relationships/hyperlink" Target="https://www.siemens-home.bsh-group.com/tr/tr/product/ankastre/ankastre-ocaklar/EP6A6PB20" TargetMode="External"/><Relationship Id="rId367" Type="http://schemas.openxmlformats.org/officeDocument/2006/relationships/hyperlink" Target="https://www.siemens-home.bsh-group.com/tr/tr/product/kampanyalar/online-ozel-kahve-makineleri/TE655203RW" TargetMode="External"/><Relationship Id="rId171" Type="http://schemas.openxmlformats.org/officeDocument/2006/relationships/hyperlink" Target="https://www.siemens-home.bsh-group.com/tr/tr/product/pisirme-grubu/buharli-firinlar/buharli-firinlar/HR232GEB3" TargetMode="External"/><Relationship Id="rId227" Type="http://schemas.openxmlformats.org/officeDocument/2006/relationships/hyperlink" Target="https://www.siemens-home.bsh-group.com/tr/tr/product/kampanyalar/ankastre-set-indirim/davlumbazlar/LC67BBK60T" TargetMode="External"/><Relationship Id="rId26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4" Type="http://schemas.openxmlformats.org/officeDocument/2006/relationships/hyperlink" Target="https://www.siemens-home.bsh-group.com/tr/tr/product/klimalar/AS12XVW32N" TargetMode="External"/><Relationship Id="rId476" Type="http://schemas.openxmlformats.org/officeDocument/2006/relationships/hyperlink" Target="https://www.siemens-home.bsh-group.com/tr/tr/product/EU611BEB1E" TargetMode="External"/><Relationship Id="rId33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129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80" Type="http://schemas.openxmlformats.org/officeDocument/2006/relationships/hyperlink" Target="https://www.siemens-home.bsh-group.com/tr/tr/product/pisirme-grubu/ocaklar/gazli-ocaklar/EN6B6NP40R" TargetMode="External"/><Relationship Id="rId336" Type="http://schemas.openxmlformats.org/officeDocument/2006/relationships/hyperlink" Target="https://www.siemens-home.bsh-group.com/tr/tr/product/ankastre/ankastre-ocaklar/EP7A6QB20" TargetMode="External"/><Relationship Id="rId501" Type="http://schemas.openxmlformats.org/officeDocument/2006/relationships/hyperlink" Target="https://www.siemens-home.bsh-group.com/tr/tr/product/VCH6XTRM" TargetMode="External"/><Relationship Id="rId75" Type="http://schemas.openxmlformats.org/officeDocument/2006/relationships/hyperlink" Target="https://www.siemens-home.bsh-group.com/tr/tr/product/prsiemensfridge/KD76NHID1N" TargetMode="External"/><Relationship Id="rId140" Type="http://schemas.openxmlformats.org/officeDocument/2006/relationships/hyperlink" Target="https://www.siemens-home.bsh-group.com/tr/tr/product/ankastre/ankastre-bulasik-makineleri/SN515B01DT" TargetMode="External"/><Relationship Id="rId182" Type="http://schemas.openxmlformats.org/officeDocument/2006/relationships/hyperlink" Target="http://siemens-home.bsh-group.com/tr/tr/product/ankastre/ankastre-firinlar/HB237FEG0T" TargetMode="External"/><Relationship Id="rId378" Type="http://schemas.openxmlformats.org/officeDocument/2006/relationships/hyperlink" Target="https://www.siemens-home.bsh-group.com/tr/tr/product/kucuk-ev-aletleri/TP703R09" TargetMode="External"/><Relationship Id="rId403" Type="http://schemas.openxmlformats.org/officeDocument/2006/relationships/hyperlink" Target="https://www.siemens-home.bsh-group.com/tr/tr/product/elektrikli-supurgeler/toz-torbali-torbasiz-elektrikli-supurgeler/VSX41A300" TargetMode="External"/><Relationship Id="rId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238" Type="http://schemas.openxmlformats.org/officeDocument/2006/relationships/hyperlink" Target="https://www.siemens-home.bsh-group.com/tr/tr/product/ankastre/ankastre-davlumbazlar/LC65KAJ60T" TargetMode="External"/><Relationship Id="rId445" Type="http://schemas.openxmlformats.org/officeDocument/2006/relationships/hyperlink" Target="https://www.siemens-home.bsh-group.com/tr/tr/product/klimalar/AS24XVW32N" TargetMode="External"/><Relationship Id="rId48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291" Type="http://schemas.openxmlformats.org/officeDocument/2006/relationships/hyperlink" Target="https://www.siemens-home.bsh-group.com/tr/tr/product/pisirme-grubu/ocaklar/induksiyonlu-ocaklar/EX675LYV1E" TargetMode="External"/><Relationship Id="rId305" Type="http://schemas.openxmlformats.org/officeDocument/2006/relationships/hyperlink" Target="https://www.siemens-home.bsh-group.com/tr/tr/product/ankastre/ankastre-ocaklar/EO6C2PB11O" TargetMode="External"/><Relationship Id="rId347" Type="http://schemas.openxmlformats.org/officeDocument/2006/relationships/hyperlink" Target="https://www.siemens-home.bsh-group.com/tr/tr/product/pisirme-grubu/ocaklar/seramik-ocaklar/ET875LMP1D" TargetMode="External"/><Relationship Id="rId512" Type="http://schemas.openxmlformats.org/officeDocument/2006/relationships/hyperlink" Target="https://www.siemens-home.bsh-group.com/tr/tr/product/WN54A2X1TR" TargetMode="External"/><Relationship Id="rId44" Type="http://schemas.openxmlformats.org/officeDocument/2006/relationships/hyperlink" Target="https://www.siemens-home.bsh-group.com/tr/tr/product/pisirme-grubu/firinlar/kompakt-firinlar/BE525LMG2" TargetMode="External"/><Relationship Id="rId86" Type="http://schemas.openxmlformats.org/officeDocument/2006/relationships/hyperlink" Target="https://www.siemens-home.bsh-group.com/tr/tr/product/kampanyalar/set-kurutma-firsati/siemensbuiltinset3cooker/KG56NXWE0N" TargetMode="External"/><Relationship Id="rId151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389" Type="http://schemas.openxmlformats.org/officeDocument/2006/relationships/hyperlink" Target="https://www.siemens-home.bsh-group.com/tr/tr/product/elektrikli-supurgeler/toz-torbali-torbasiz-elektrikli-supurgeler/VSC7SIL1" TargetMode="External"/><Relationship Id="rId193" Type="http://schemas.openxmlformats.org/officeDocument/2006/relationships/hyperlink" Target="https://www.siemens-home.bsh-group.com/tr/tr/product/pisirme-grubu/firinlar/ankastre-firinlar/HB734G1B1" TargetMode="External"/><Relationship Id="rId207" Type="http://schemas.openxmlformats.org/officeDocument/2006/relationships/hyperlink" Target="https://www.siemens-home.bsh-group.com/tr/tr/product/pisirme-grubu/firinlar/kompakt-firinlar/BE525LMH2" TargetMode="External"/><Relationship Id="rId249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414" Type="http://schemas.openxmlformats.org/officeDocument/2006/relationships/hyperlink" Target="https://www.siemens-home.bsh-group.com/tr/tr/product/MQ67110" TargetMode="External"/><Relationship Id="rId456" Type="http://schemas.openxmlformats.org/officeDocument/2006/relationships/hyperlink" Target="https://www.siemens-home.bsh-group.com/tr/tr/product/pisirme-grubu/ocaklar/gazli-ocaklar/ER9A6SH40" TargetMode="External"/><Relationship Id="rId498" Type="http://schemas.openxmlformats.org/officeDocument/2006/relationships/hyperlink" Target="https://www.siemens-home.bsh-group.com/tr/tr/product/ankastre/ankastre-bulasik-makineleri/SN61IX01KT" TargetMode="External"/><Relationship Id="rId13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9" Type="http://schemas.openxmlformats.org/officeDocument/2006/relationships/hyperlink" Target="https://www.siemens-home.bsh-group.com/tr/tr/product/ankastre/ankastre-buzdolaplari-ve-sogutucular/KI86NHDF0" TargetMode="External"/><Relationship Id="rId260" Type="http://schemas.openxmlformats.org/officeDocument/2006/relationships/hyperlink" Target="https://www.siemens-home.bsh-group.com/tr/tr/product/LC97FVP60" TargetMode="External"/><Relationship Id="rId316" Type="http://schemas.openxmlformats.org/officeDocument/2006/relationships/hyperlink" Target="https://www.siemens-home.bsh-group.com/tr/tr/product/ankastre/ankastre-ocaklar/EO7C6PO12O" TargetMode="External"/><Relationship Id="rId523" Type="http://schemas.openxmlformats.org/officeDocument/2006/relationships/hyperlink" Target="https://www.siemens-home.bsh-group.com/tr/tr/product/prsiemenswm/WG44B200TR" TargetMode="External"/><Relationship Id="rId55" Type="http://schemas.openxmlformats.org/officeDocument/2006/relationships/hyperlink" Target="https://www.siemens-home.bsh-group.com/tr/tr/product/yikama-ve-utuleme-grubu/camasir-makineleri/solo-camasir-makineleri/WG64K2F0TR" TargetMode="External"/><Relationship Id="rId97" Type="http://schemas.openxmlformats.org/officeDocument/2006/relationships/hyperlink" Target="https://www.siemens-home.bsh-group.com/tr/tr/product/ldaset2ref/GS33VVWE0N" TargetMode="External"/><Relationship Id="rId120" Type="http://schemas.openxmlformats.org/officeDocument/2006/relationships/hyperlink" Target="https://www.siemens-home.bsh-group.com/tr/tr/product/yikama-ve-utuleme-grubu/camasir-makineleri/solo-camasir-makineleri/WG52A2ZXTR" TargetMode="External"/><Relationship Id="rId358" Type="http://schemas.openxmlformats.org/officeDocument/2006/relationships/hyperlink" Target="https://www.siemens-home.bsh-group.com/tr/tr/product/kucuk-ev-aletleri/TI351209RW" TargetMode="External"/><Relationship Id="rId162" Type="http://schemas.openxmlformats.org/officeDocument/2006/relationships/hyperlink" Target="https://www.siemens-home.bsh-group.com/tr/tr/product/pisirme-grubu/firinlar/ankastre-firinlar/HJ852GYN0T" TargetMode="External"/><Relationship Id="rId218" Type="http://schemas.openxmlformats.org/officeDocument/2006/relationships/hyperlink" Target="https://www.siemens-home.bsh-group.com/tr/tr/product/pisirme-grubu/firinlar/kompakt-firinlar/BF922L1B1" TargetMode="External"/><Relationship Id="rId425" Type="http://schemas.openxmlformats.org/officeDocument/2006/relationships/hyperlink" Target="https://www.siemens-home.bsh-group.com/tr/tr/product/buzdolaplari-ve-derin-dondurucular/aksesuarlar/FI24Z090" TargetMode="External"/><Relationship Id="rId467" Type="http://schemas.openxmlformats.org/officeDocument/2006/relationships/hyperlink" Target="https://www.siemens-home.bsh-group.com/tr/tr/product/pisirme-grubu/ocaklar/gazli-ocaklar/EB0C2PK80O" TargetMode="External"/><Relationship Id="rId27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2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66" Type="http://schemas.openxmlformats.org/officeDocument/2006/relationships/hyperlink" Target="https://www.siemens-home.bsh-group.com/tr/tr/product/yikama-ve-utuleme-grubu/kurutma-makineleri/isi-pompali-kurutma-makineleri/WQ52K200TR" TargetMode="External"/><Relationship Id="rId13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327" Type="http://schemas.openxmlformats.org/officeDocument/2006/relationships/hyperlink" Target="https://www.siemens-home.bsh-group.com/tr/tr/product/ankastre/ankastre-ocaklar/EP6A8HB20" TargetMode="External"/><Relationship Id="rId369" Type="http://schemas.openxmlformats.org/officeDocument/2006/relationships/hyperlink" Target="https://www.siemens-home.bsh-group.com/tr/tr/product/TI353204RW" TargetMode="External"/><Relationship Id="rId173" Type="http://schemas.openxmlformats.org/officeDocument/2006/relationships/hyperlink" Target="https://www.siemens-home.bsh-group.com/tr/tr/product/pisirme-grubu/buharli-firinlar/buharli-firinlar/HU736AEG0T" TargetMode="External"/><Relationship Id="rId229" Type="http://schemas.openxmlformats.org/officeDocument/2006/relationships/hyperlink" Target="https://www.siemens-home.bsh-group.com/tr/tr/product/ankastre/ankastre-davlumbazlar/LC64PCC20T" TargetMode="External"/><Relationship Id="rId380" Type="http://schemas.openxmlformats.org/officeDocument/2006/relationships/hyperlink" Target="https://www.siemens-home.bsh-group.com/tr/tr/product/kahve-makineleri/tam-otomatik-kahve-makineleri/eq700/TP713R19" TargetMode="External"/><Relationship Id="rId436" Type="http://schemas.openxmlformats.org/officeDocument/2006/relationships/hyperlink" Target="https://www.siemens-home.bsh-group.com/tr/tr/product/klimalar/AS12XVW32N" TargetMode="External"/><Relationship Id="rId24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478" Type="http://schemas.openxmlformats.org/officeDocument/2006/relationships/hyperlink" Target="https://www.siemens-home.bsh-group.com/tr/tr/product/ankastre/ankastre-ocaklar/EX777NEV6E" TargetMode="External"/><Relationship Id="rId35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77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100" Type="http://schemas.openxmlformats.org/officeDocument/2006/relationships/hyperlink" Target="https://www.siemens-home.bsh-group.com/tr/tr/product/ankastre/ankastre-buzdolaplari-ve-sogutucular/CI24WP03" TargetMode="External"/><Relationship Id="rId282" Type="http://schemas.openxmlformats.org/officeDocument/2006/relationships/hyperlink" Target="https://www.siemens-home.bsh-group.com/tr/tr/product/pisirme-grubu/ocaklar/gazli-ocaklar/EO6C2PP30O" TargetMode="External"/><Relationship Id="rId338" Type="http://schemas.openxmlformats.org/officeDocument/2006/relationships/hyperlink" Target="https://www.siemens-home.bsh-group.com/tr/tr/product/pisirme-grubu/ocaklar/gazli-ocaklar/EP9A6QB90" TargetMode="External"/><Relationship Id="rId503" Type="http://schemas.openxmlformats.org/officeDocument/2006/relationships/hyperlink" Target="https://www.siemens-home.bsh-group.com/tr/tr/product/yikama-ve-utuleme-grubu/camasir-makineleri/solo-camasir-makineleri/WG42A2Z0TR" TargetMode="External"/><Relationship Id="rId8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142" Type="http://schemas.openxmlformats.org/officeDocument/2006/relationships/hyperlink" Target="https://www.siemens-home.bsh-group.com/tr/tr/product/SN515W00DT" TargetMode="External"/><Relationship Id="rId184" Type="http://schemas.openxmlformats.org/officeDocument/2006/relationships/hyperlink" Target="https://www.siemens-home.bsh-group.com/tr/tr/product/pisirme-grubu/firinlar/ankastre-firinlar/HB237JES5T" TargetMode="External"/><Relationship Id="rId391" Type="http://schemas.openxmlformats.org/officeDocument/2006/relationships/hyperlink" Target="https://www.siemens-home.bsh-group.com/tr/tr/product/elektrikli-supurgeler/sarjli-supurgeler/VSM120HYG" TargetMode="External"/><Relationship Id="rId405" Type="http://schemas.openxmlformats.org/officeDocument/2006/relationships/hyperlink" Target="https://www.siemens-home.bsh-group.com/tr/tr/product/VSX4A212" TargetMode="External"/><Relationship Id="rId447" Type="http://schemas.openxmlformats.org/officeDocument/2006/relationships/hyperlink" Target="https://shaza.com.tr/shaza-akim-korumali-uclu-priz" TargetMode="External"/><Relationship Id="rId251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89" Type="http://schemas.openxmlformats.org/officeDocument/2006/relationships/hyperlink" Target="https://www.siemens-home.bsh-group.com/tr/tr/product/ankastre/ankastre-davlumbazlar/LC65KAJ30T" TargetMode="External"/><Relationship Id="rId46" Type="http://schemas.openxmlformats.org/officeDocument/2006/relationships/hyperlink" Target="https://www.siemens-home.bsh-group.com/tr/tr/product/su-sebilleri/WB13CPB0N" TargetMode="External"/><Relationship Id="rId293" Type="http://schemas.openxmlformats.org/officeDocument/2006/relationships/hyperlink" Target="https://www.siemens-home.bsh-group.com/tr/tr/product/EB0C5PB82O" TargetMode="External"/><Relationship Id="rId307" Type="http://schemas.openxmlformats.org/officeDocument/2006/relationships/hyperlink" Target="https://www.siemens-home.bsh-group.com/tr/tr/product/EO6C6PO90O" TargetMode="External"/><Relationship Id="rId349" Type="http://schemas.openxmlformats.org/officeDocument/2006/relationships/hyperlink" Target="https://www.siemens-home.bsh-group.com/tr/tr/product/pisirme-grubu/ocaklar/induksiyonlu-ocaklar/EX808LYV5E" TargetMode="External"/><Relationship Id="rId514" Type="http://schemas.openxmlformats.org/officeDocument/2006/relationships/hyperlink" Target="https://www.siemens-home.bsh-group.com/tr/tr/product/prsiemensdryer/WQ41G200TR" TargetMode="External"/><Relationship Id="rId8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111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15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195" Type="http://schemas.openxmlformats.org/officeDocument/2006/relationships/hyperlink" Target="https://www.siemens-home.bsh-group.com/tr/tr/product/ankastre/ankastre-firinlar/HB778G3B1" TargetMode="External"/><Relationship Id="rId209" Type="http://schemas.openxmlformats.org/officeDocument/2006/relationships/hyperlink" Target="https://www.siemens-home.bsh-group.com/tr/tr/product/BE525LMS0" TargetMode="External"/><Relationship Id="rId360" Type="http://schemas.openxmlformats.org/officeDocument/2006/relationships/hyperlink" Target="https://www.siemens-home.bsh-group.com/tr/tr/product/kahve-makineleri/tam-otomatik-kahve-makineleri/eq900/TQ905R03" TargetMode="External"/><Relationship Id="rId416" Type="http://schemas.openxmlformats.org/officeDocument/2006/relationships/hyperlink" Target="https://www.siemens-home.bsh-group.com/tr/tr/product/MQ96400" TargetMode="External"/><Relationship Id="rId220" Type="http://schemas.openxmlformats.org/officeDocument/2006/relationships/hyperlink" Target="https://www.siemens-home.bsh-group.com/tr/tr/product/FF020LMW0" TargetMode="External"/><Relationship Id="rId458" Type="http://schemas.openxmlformats.org/officeDocument/2006/relationships/hyperlink" Target="https://www.siemens-home.bsh-group.com/tr/tr/product/3d-airfry-ankastre-firinlar/HI133FEW0T" TargetMode="External"/><Relationship Id="rId15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7" Type="http://schemas.openxmlformats.org/officeDocument/2006/relationships/hyperlink" Target="https://www.siemens-home.bsh-group.com/tr/tr/product/yikama-ve-utuleme-grubu/camasir-makineleri/solo-camasir-makineleri/WG64K2ZRTR" TargetMode="External"/><Relationship Id="rId26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18" Type="http://schemas.openxmlformats.org/officeDocument/2006/relationships/hyperlink" Target="https://www.siemens-home.bsh-group.com/tr/tr/product/ankastre/ankastre-ocaklar/EO7C8PO12O" TargetMode="External"/><Relationship Id="rId525" Type="http://schemas.openxmlformats.org/officeDocument/2006/relationships/hyperlink" Target="https://www.siemens-home.bsh-group.com/tr/tr/product/yikama-ve-utuleme-grubu/camasir-makineleri/solo-camasir-makineleri/WG64K2Y0TR" TargetMode="External"/><Relationship Id="rId99" Type="http://schemas.openxmlformats.org/officeDocument/2006/relationships/hyperlink" Target="https://www.siemens-home.bsh-group.com/tr/tr/product/ldaset2ref/GS54NVWE0N" TargetMode="External"/><Relationship Id="rId122" Type="http://schemas.openxmlformats.org/officeDocument/2006/relationships/hyperlink" Target="https://www.siemens-home.bsh-group.com/tr/tr/product/yikama-ve-utuleme-grubu/camasir-makineleri/solo-camasir-makineleri/WM12N200TR" TargetMode="External"/><Relationship Id="rId164" Type="http://schemas.openxmlformats.org/officeDocument/2006/relationships/hyperlink" Target="https://www.siemens-home.bsh-group.com/tr/tr/product/ankastre/ankastre-firinlar/HR538ABS1" TargetMode="External"/><Relationship Id="rId371" Type="http://schemas.openxmlformats.org/officeDocument/2006/relationships/hyperlink" Target="https://www.siemens-home.bsh-group.com/tr/tr/product/TI9553X9RW" TargetMode="External"/><Relationship Id="rId427" Type="http://schemas.openxmlformats.org/officeDocument/2006/relationships/hyperlink" Target="https://www.siemens-home.bsh-group.com/tr/tr/product/CI36Z490" TargetMode="External"/><Relationship Id="rId469" Type="http://schemas.openxmlformats.org/officeDocument/2006/relationships/hyperlink" Target="https://www.siemens-home.bsh-group.com/tr/tr/product/ankastre/ankastre-ocaklar/EN6C2PO12O" TargetMode="External"/><Relationship Id="rId26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231" Type="http://schemas.openxmlformats.org/officeDocument/2006/relationships/hyperlink" Target="https://www.siemens-home.bsh-group.com/tr/tr/product/ankastre/ankastre-davlumbazlar/LC64PCC60T" TargetMode="External"/><Relationship Id="rId273" Type="http://schemas.openxmlformats.org/officeDocument/2006/relationships/hyperlink" Target="https://www.siemens-home.bsh-group.com/tr/tr/product/ankastre/ankastre-davlumbazlar/LI63TCA21T" TargetMode="External"/><Relationship Id="rId329" Type="http://schemas.openxmlformats.org/officeDocument/2006/relationships/hyperlink" Target="https://www.siemens-home.bsh-group.com/tr/tr/product/ankastre/ankastre-ocaklar/EN7B2QO12O" TargetMode="External"/><Relationship Id="rId480" Type="http://schemas.openxmlformats.org/officeDocument/2006/relationships/hyperlink" Target="https://www.siemens-home.bsh-group.com/tr/tr/product/3d-airfry-ankastre-firinlar/HB013FBW1T" TargetMode="External"/><Relationship Id="rId68" Type="http://schemas.openxmlformats.org/officeDocument/2006/relationships/hyperlink" Target="https://www.siemens-home.bsh-group.com/tr/tr/product/KA93NVL30N" TargetMode="External"/><Relationship Id="rId13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175" Type="http://schemas.openxmlformats.org/officeDocument/2006/relationships/hyperlink" Target="https://www.siemens-home.bsh-group.com/tr/tr/product/pisirme-grubu/firinlar/ankastre-firinlar/HB012FBB1T" TargetMode="External"/><Relationship Id="rId340" Type="http://schemas.openxmlformats.org/officeDocument/2006/relationships/hyperlink" Target="https://www.siemens-home.bsh-group.com/tr/tr/product/pisirme-grubu/ocaklar/domino-ocaklar/ER3A6AB70" TargetMode="External"/><Relationship Id="rId200" Type="http://schemas.openxmlformats.org/officeDocument/2006/relationships/hyperlink" Target="https://www.siemens-home.bsh-group.com/tr/tr/product/ankastre/ankastre-firinlar/HS858KXB6" TargetMode="External"/><Relationship Id="rId382" Type="http://schemas.openxmlformats.org/officeDocument/2006/relationships/hyperlink" Target="https://www.siemens-home.bsh-group.com/tr/tr/product/TQ507R02" TargetMode="External"/><Relationship Id="rId438" Type="http://schemas.openxmlformats.org/officeDocument/2006/relationships/hyperlink" Target="https://www.siemens-home.bsh-group.com/tr/tr/product/klimalar/AS12XXB32N" TargetMode="External"/><Relationship Id="rId242" Type="http://schemas.openxmlformats.org/officeDocument/2006/relationships/hyperlink" Target="https://www.siemens-home.bsh-group.com/tr/tr/product/ankastre/ankastre-davlumbazlar/LC67BBK20T" TargetMode="External"/><Relationship Id="rId284" Type="http://schemas.openxmlformats.org/officeDocument/2006/relationships/hyperlink" Target="https://www.siemens-home.bsh-group.com/tr/tr/product/pisirme-grubu/ocaklar/gazli-ocaklar/EO6C8PP30O" TargetMode="External"/><Relationship Id="rId491" Type="http://schemas.openxmlformats.org/officeDocument/2006/relationships/hyperlink" Target="https://www.siemens-home.bsh-group.com/tr/tr/product/ankastre/ankastre-davlumbazlar/LC68KAK20T" TargetMode="External"/><Relationship Id="rId505" Type="http://schemas.openxmlformats.org/officeDocument/2006/relationships/hyperlink" Target="https://www.siemens-home.bsh-group.com/tr/tr/product/evlilik-kampanyasi-camasir-makineleri/WG52A2XVTR" TargetMode="External"/><Relationship Id="rId37" Type="http://schemas.openxmlformats.org/officeDocument/2006/relationships/hyperlink" Target="https://www.siemens-home.bsh-group.com/tr/tr/product/su-sebilleri/DW15704" TargetMode="External"/><Relationship Id="rId79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102" Type="http://schemas.openxmlformats.org/officeDocument/2006/relationships/hyperlink" Target="https://www.siemens-home.bsh-group.com/tr/tr/product/ankastre/ankastre-buzdolaplari-ve-sogutucular/CI30RP02" TargetMode="External"/><Relationship Id="rId14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86" Type="http://schemas.openxmlformats.org/officeDocument/2006/relationships/hyperlink" Target="https://www.siemens-home.bsh-group.com/tr/tr/product/ankastre/ankastre-firinlar/HB534FER0T" TargetMode="External"/><Relationship Id="rId351" Type="http://schemas.openxmlformats.org/officeDocument/2006/relationships/hyperlink" Target="https://www.siemens-home.bsh-group.com/tr/tr/product/pisirme-grubu/ocaklar/induksiyonlu-ocaklar/EX975LXC1E" TargetMode="External"/><Relationship Id="rId393" Type="http://schemas.openxmlformats.org/officeDocument/2006/relationships/hyperlink" Target="https://www.siemens-home.bsh-group.com/tr/tr/product/elektrikli-supurgeler/toz-torbali-torbasiz-elektrikli-supurgeler/VSP3AAAA" TargetMode="External"/><Relationship Id="rId407" Type="http://schemas.openxmlformats.org/officeDocument/2006/relationships/hyperlink" Target="https://www.siemens-home.bsh-group.com/tr/tr/product/VZ41AFP" TargetMode="External"/><Relationship Id="rId44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1" Type="http://schemas.openxmlformats.org/officeDocument/2006/relationships/hyperlink" Target="https://www.siemens-home.bsh-group.com/tr/tr/product/pisirme-grubu/firinlar/kompakt-firinlar/BE732L1B1" TargetMode="External"/><Relationship Id="rId253" Type="http://schemas.openxmlformats.org/officeDocument/2006/relationships/hyperlink" Target="https://www.siemens-home.bsh-group.com/tr/tr/product/ankastre/ankastre-davlumbazlar/LC95BBC50T" TargetMode="External"/><Relationship Id="rId295" Type="http://schemas.openxmlformats.org/officeDocument/2006/relationships/hyperlink" Target="https://www.siemens-home.bsh-group.com/tr/tr/product/EB6C5YB82L" TargetMode="External"/><Relationship Id="rId309" Type="http://schemas.openxmlformats.org/officeDocument/2006/relationships/hyperlink" Target="https://www.siemens-home.bsh-group.com/tr/tr/product/ankastre/ankastre-ocaklar/EO6C8PO00O" TargetMode="External"/><Relationship Id="rId460" Type="http://schemas.openxmlformats.org/officeDocument/2006/relationships/hyperlink" Target="https://www.siemens-home.bsh-group.com/tr/tr/product/pisirme-grubu/ocaklar/gazli-ocaklar/EP7A2QI40" TargetMode="External"/><Relationship Id="rId516" Type="http://schemas.openxmlformats.org/officeDocument/2006/relationships/hyperlink" Target="https://www.siemens-home.bsh-group.com/tr/tr/product/ldaset2wm/WT00H200TR" TargetMode="External"/><Relationship Id="rId48" Type="http://schemas.openxmlformats.org/officeDocument/2006/relationships/hyperlink" Target="https://www.siemens-home.bsh-group.com/tr/tr/product/yikama-ve-utuleme-grubu/camasir-makineleri/solo-camasir-makineleri/WG42K2Z0TR" TargetMode="External"/><Relationship Id="rId113" Type="http://schemas.openxmlformats.org/officeDocument/2006/relationships/hyperlink" Target="https://www.siemens-home.bsh-group.com/tr/tr/product/yikama-ve-utuleme-grubu/camasir-makineleri/solo-camasir-makineleri/WG42A1X2TR" TargetMode="External"/><Relationship Id="rId320" Type="http://schemas.openxmlformats.org/officeDocument/2006/relationships/hyperlink" Target="https://www.siemens-home.bsh-group.com/tr/tr/product/pisirme-grubu/ocaklar/gazli-ocaklar/EO7C9PO12O" TargetMode="External"/><Relationship Id="rId155" Type="http://schemas.openxmlformats.org/officeDocument/2006/relationships/hyperlink" Target="https://www.siemens-home.bsh-group.com/tr/tr/product/pisirme-grubu/firinlar/ankastre-firinlar/HB012FBW1T" TargetMode="External"/><Relationship Id="rId197" Type="http://schemas.openxmlformats.org/officeDocument/2006/relationships/hyperlink" Target="https://www.siemens-home.bsh-group.com/tr/tr/product/3d-airfry-ankastre-firinlar/HI133FES0T" TargetMode="External"/><Relationship Id="rId362" Type="http://schemas.openxmlformats.org/officeDocument/2006/relationships/hyperlink" Target="https://www.siemens-home.bsh-group.com/tr/tr/product/kahve-makineleri/aksesuarlar/TZ80002A" TargetMode="External"/><Relationship Id="rId418" Type="http://schemas.openxmlformats.org/officeDocument/2006/relationships/hyperlink" Target="https://www.siemens-home.bsh-group.com/tr/tr/product/TT86103" TargetMode="External"/><Relationship Id="rId222" Type="http://schemas.openxmlformats.org/officeDocument/2006/relationships/hyperlink" Target="https://www.siemens-home.bsh-group.com/tr/tr/product/ankastre/ankastre-davlumbazlar/LC65BBC50T" TargetMode="External"/><Relationship Id="rId26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71" Type="http://schemas.openxmlformats.org/officeDocument/2006/relationships/hyperlink" Target="https://www.siemens-home.bsh-group.com/tr/tr/product/ankastre/ankastre-ocaklar/EN6C9HO12O" TargetMode="External"/><Relationship Id="rId17" Type="http://schemas.openxmlformats.org/officeDocument/2006/relationships/hyperlink" Target="https://www.siemens-home.bsh-group.com/tr/tr/product/MQ67185" TargetMode="External"/><Relationship Id="rId59" Type="http://schemas.openxmlformats.org/officeDocument/2006/relationships/hyperlink" Target="https://www.siemens-home.bsh-group.com/tr/tr/product/yikama-ve-utuleme-grubu/kurutma-makineleri/isi-pompali-kurutma-makineleri/WQ42J200TR" TargetMode="External"/><Relationship Id="rId124" Type="http://schemas.openxmlformats.org/officeDocument/2006/relationships/hyperlink" Target="https://www.siemens-home.bsh-group.com/tr/tr/product/prsiemenswm/WM14XE50TR" TargetMode="External"/><Relationship Id="rId527" Type="http://schemas.openxmlformats.org/officeDocument/2006/relationships/printerSettings" Target="../printerSettings/printerSettings2.bin"/><Relationship Id="rId7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166" Type="http://schemas.openxmlformats.org/officeDocument/2006/relationships/hyperlink" Target="https://www.siemens-home.bsh-group.com/tr/tr/product/pisirme-grubu/buharli-firinlar/buharli-firinlar/HU717ABA0T" TargetMode="External"/><Relationship Id="rId331" Type="http://schemas.openxmlformats.org/officeDocument/2006/relationships/hyperlink" Target="https://www.siemens-home.bsh-group.com/tr/tr/product/ankastre/ankastre-ocaklar/EN7B6QO12O" TargetMode="External"/><Relationship Id="rId373" Type="http://schemas.openxmlformats.org/officeDocument/2006/relationships/hyperlink" Target="https://www.siemens-home.bsh-group.com/tr/tr/product/kucuk-ev-aletleri/TP503R09" TargetMode="External"/><Relationship Id="rId429" Type="http://schemas.openxmlformats.org/officeDocument/2006/relationships/hyperlink" Target="https://www.siemens-home.bsh-group.com/tr/tr/product/arsiv/CI60Z200" TargetMode="External"/><Relationship Id="rId1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3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40" Type="http://schemas.openxmlformats.org/officeDocument/2006/relationships/hyperlink" Target="https://www.siemens-home.bsh-group.com/tr/tr/product/klimalar/AS18XVW32N" TargetMode="External"/><Relationship Id="rId28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275" Type="http://schemas.openxmlformats.org/officeDocument/2006/relationships/hyperlink" Target="https://www.siemens-home.bsh-group.com/tr/tr/product/ankastre/ankastre-davlumbazlar/LB53NAA30" TargetMode="External"/><Relationship Id="rId300" Type="http://schemas.openxmlformats.org/officeDocument/2006/relationships/hyperlink" Target="https://www.siemens-home.bsh-group.com/tr/tr/product/pisirme-grubu/ocaklar/gazli-ocaklar/EN6B2NP40O" TargetMode="External"/><Relationship Id="rId482" Type="http://schemas.openxmlformats.org/officeDocument/2006/relationships/hyperlink" Target="https://www.siemens-home.bsh-group.com/tr/tr/product/ankastre/ankastre-firinlar/HB237JES0T" TargetMode="External"/><Relationship Id="rId81" Type="http://schemas.openxmlformats.org/officeDocument/2006/relationships/hyperlink" Target="https://www.siemens-home.bsh-group.com/tr/tr/product/prsiemensfridge/KD86NHID1N" TargetMode="External"/><Relationship Id="rId135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177" Type="http://schemas.openxmlformats.org/officeDocument/2006/relationships/hyperlink" Target="https://www.siemens-home.bsh-group.com/tr/tr/product/ankastre/ankastre-firinlar/HB134FES1T" TargetMode="External"/><Relationship Id="rId342" Type="http://schemas.openxmlformats.org/officeDocument/2006/relationships/hyperlink" Target="https://www.siemens-home.bsh-group.com/tr/tr/product/ER6A6PD70" TargetMode="External"/><Relationship Id="rId384" Type="http://schemas.openxmlformats.org/officeDocument/2006/relationships/hyperlink" Target="https://www.siemens-home.bsh-group.com/tr/tr/product/kahve-makineleri/tam-otomatik-kahve-makineleri/eq900/TQ907RZ3" TargetMode="External"/><Relationship Id="rId202" Type="http://schemas.openxmlformats.org/officeDocument/2006/relationships/hyperlink" Target="https://www.siemens-home.bsh-group.com/tr/tr/product/pisirme-grubu/firinlar/mikrodalgali-firinlar/HN978GQB1" TargetMode="External"/><Relationship Id="rId244" Type="http://schemas.openxmlformats.org/officeDocument/2006/relationships/hyperlink" Target="https://www.siemens-home.bsh-group.com/tr/tr/product/ankastre/ankastre-davlumbazlar/LC67FCK20T" TargetMode="External"/><Relationship Id="rId39" Type="http://schemas.openxmlformats.org/officeDocument/2006/relationships/hyperlink" Target="https://www.siemens-home.bsh-group.com/tr/tr/product/su-sebilleri/DW15702" TargetMode="External"/><Relationship Id="rId286" Type="http://schemas.openxmlformats.org/officeDocument/2006/relationships/hyperlink" Target="https://www.siemens-home.bsh-group.com/tr/tr/product/pisirme-grubu/ocaklar/gazli-ocaklar/EO7C6HP30O" TargetMode="External"/><Relationship Id="rId45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3" Type="http://schemas.openxmlformats.org/officeDocument/2006/relationships/hyperlink" Target="https://www.siemens-home.bsh-group.com/tr/tr/product/prsiemensdw/SN234I01DT" TargetMode="External"/><Relationship Id="rId507" Type="http://schemas.openxmlformats.org/officeDocument/2006/relationships/hyperlink" Target="https://www.siemens-home.bsh-group.com/tr/tr/product/prsiemenswm/WG54A200TR" TargetMode="External"/><Relationship Id="rId50" Type="http://schemas.openxmlformats.org/officeDocument/2006/relationships/hyperlink" Target="https://www.siemens-home.bsh-group.com/tr/tr/product/yikama-ve-utuleme-grubu/camasir-makineleri/solo-camasir-makineleri/WG52A202TR" TargetMode="External"/><Relationship Id="rId104" Type="http://schemas.openxmlformats.org/officeDocument/2006/relationships/hyperlink" Target="https://www.siemens-home.bsh-group.com/tr/tr/product/studioline/FI24NP32" TargetMode="External"/><Relationship Id="rId146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188" Type="http://schemas.openxmlformats.org/officeDocument/2006/relationships/hyperlink" Target="https://www.siemens-home.bsh-group.com/tr/tr/product/ankastre/ankastre-firinlar/HB557JYH0T" TargetMode="External"/><Relationship Id="rId311" Type="http://schemas.openxmlformats.org/officeDocument/2006/relationships/hyperlink" Target="https://www.siemens-home.bsh-group.com/tr/tr/product/pisirme-grubu/ocaklar/gazli-ocaklar/EO6C9PO00O" TargetMode="External"/><Relationship Id="rId353" Type="http://schemas.openxmlformats.org/officeDocument/2006/relationships/hyperlink" Target="https://www.siemens-home.bsh-group.com/tr/tr/product/ankastre/ankastre-ocaklar/EH811BE15E" TargetMode="External"/><Relationship Id="rId395" Type="http://schemas.openxmlformats.org/officeDocument/2006/relationships/hyperlink" Target="https://www.siemens-home.bsh-group.com/tr/tr/product/elektrikli-supurgeler/toz-torbali-torbasiz-elektrikli-supurgeler/VSX7XTRM" TargetMode="External"/><Relationship Id="rId409" Type="http://schemas.openxmlformats.org/officeDocument/2006/relationships/hyperlink" Target="https://www.siemens-home.bsh-group.com/tr/tr/product/DE21307M" TargetMode="External"/><Relationship Id="rId9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13" Type="http://schemas.openxmlformats.org/officeDocument/2006/relationships/hyperlink" Target="https://www.siemens-home.bsh-group.com/tr/tr/product/BF520LMR0" TargetMode="External"/><Relationship Id="rId420" Type="http://schemas.openxmlformats.org/officeDocument/2006/relationships/hyperlink" Target="https://www.siemens-home.bsh-group.com/tr/tr/product/CI10Z090" TargetMode="External"/><Relationship Id="rId255" Type="http://schemas.openxmlformats.org/officeDocument/2006/relationships/hyperlink" Target="https://www.siemens-home.bsh-group.com/tr/tr/product/ankastre/ankastre-davlumbazlar/LC95FCJ20T" TargetMode="External"/><Relationship Id="rId297" Type="http://schemas.openxmlformats.org/officeDocument/2006/relationships/hyperlink" Target="https://www.siemens-home.bsh-group.com/tr/tr/product/pisirme-grubu/ocaklar/gazli-ocaklar/EC6A5HB90" TargetMode="External"/><Relationship Id="rId462" Type="http://schemas.openxmlformats.org/officeDocument/2006/relationships/hyperlink" Target="https://www.siemens-home.bsh-group.com/tr/tr/product/ankastre/ankastre-firinlar/HB214FBW1T" TargetMode="External"/><Relationship Id="rId518" Type="http://schemas.openxmlformats.org/officeDocument/2006/relationships/hyperlink" Target="https://www.siemens-home.bsh-group.com/tr/tr/product/prsiemensdryer/WT47XK80TR" TargetMode="External"/><Relationship Id="rId115" Type="http://schemas.openxmlformats.org/officeDocument/2006/relationships/hyperlink" Target="https://www.siemens-home.bsh-group.com/tr/tr/product/yikama-ve-utuleme-grubu/camasir-makineleri/solo-camasir-makineleri/WG44A2ZRTR" TargetMode="External"/><Relationship Id="rId157" Type="http://schemas.openxmlformats.org/officeDocument/2006/relationships/hyperlink" Target="https://www.siemens-home.bsh-group.com/tr/tr/product/3d-airfry-ankastre-firinlar/HB514FBH0T" TargetMode="External"/><Relationship Id="rId322" Type="http://schemas.openxmlformats.org/officeDocument/2006/relationships/hyperlink" Target="https://www.siemens-home.bsh-group.com/tr/tr/product/pisirme-grubu/ocaklar/gazli-ocaklar/EP6A6PI40O" TargetMode="External"/><Relationship Id="rId364" Type="http://schemas.openxmlformats.org/officeDocument/2006/relationships/hyperlink" Target="https://www.siemens-home.bsh-group.com/tr/tr/product/kahve-makineleri/ankastre-tam-otomatik-kahve-makineleri/CT718L1B0" TargetMode="External"/><Relationship Id="rId61" Type="http://schemas.openxmlformats.org/officeDocument/2006/relationships/hyperlink" Target="https://www.siemens-home.bsh-group.com/tr/tr/product/yikama-ve-utuleme-grubu/kurutma-makineleri/isi-pompali-kurutma-makineleri/WQ44G2C1TR" TargetMode="External"/><Relationship Id="rId199" Type="http://schemas.openxmlformats.org/officeDocument/2006/relationships/hyperlink" Target="https://www.siemens-home.bsh-group.com/tr/tr/product/3d-airfry-ankastre-firinlar/HS636GDS2" TargetMode="External"/><Relationship Id="rId19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2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266" Type="http://schemas.openxmlformats.org/officeDocument/2006/relationships/hyperlink" Target="https://www.siemens-home.bsh-group.com/tr/tr/product/LC98KC542" TargetMode="External"/><Relationship Id="rId431" Type="http://schemas.openxmlformats.org/officeDocument/2006/relationships/hyperlink" Target="https://www.siemens-home.bsh-group.com/tr/supportdetail/product/CI30ZSETB2(00)" TargetMode="External"/><Relationship Id="rId473" Type="http://schemas.openxmlformats.org/officeDocument/2006/relationships/hyperlink" Target="https://www.siemens-home.bsh-group.com/tr/tr/product/ankastre/ankastre-ocaklar/EO7C9HO12O" TargetMode="External"/><Relationship Id="rId3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126" Type="http://schemas.openxmlformats.org/officeDocument/2006/relationships/hyperlink" Target="https://www.siemens-home.bsh-group.com/tr/tr/product/kampanyalar/lda-kurutma-kampanyasi/WQ41G2C0TR" TargetMode="External"/><Relationship Id="rId168" Type="http://schemas.openxmlformats.org/officeDocument/2006/relationships/hyperlink" Target="https://www.siemens-home.bsh-group.com/tr/tr/product/pisirme-grubu/buharli-firinlar/buharli-firinlar/HU736AEA0T" TargetMode="External"/><Relationship Id="rId333" Type="http://schemas.openxmlformats.org/officeDocument/2006/relationships/hyperlink" Target="https://www.siemens-home.bsh-group.com/tr/tr/product/ankastre/ankastre-ocaklar/EN7B8QO12O" TargetMode="External"/><Relationship Id="rId72" Type="http://schemas.openxmlformats.org/officeDocument/2006/relationships/hyperlink" Target="https://www.siemens-home.bsh-group.com/tr/tr/product/prsiemensfridge/KD56NXWF1N" TargetMode="External"/><Relationship Id="rId375" Type="http://schemas.openxmlformats.org/officeDocument/2006/relationships/hyperlink" Target="https://www.siemens-home.bsh-group.com/tr/tr/product/TP507R04" TargetMode="External"/><Relationship Id="rId3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235" Type="http://schemas.openxmlformats.org/officeDocument/2006/relationships/hyperlink" Target="https://www.siemens-home.bsh-group.com/tr/tr/product/LC66BBM50" TargetMode="External"/><Relationship Id="rId277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400" Type="http://schemas.openxmlformats.org/officeDocument/2006/relationships/hyperlink" Target="https://www.siemens-home.bsh-group.com/tr/tr/product/kucuk-ev-aletleri/VSC7X300" TargetMode="External"/><Relationship Id="rId442" Type="http://schemas.openxmlformats.org/officeDocument/2006/relationships/hyperlink" Target="https://www.siemens-home.bsh-group.com/tr/tr/product/klimalar/AS18XXB32N" TargetMode="External"/><Relationship Id="rId484" Type="http://schemas.openxmlformats.org/officeDocument/2006/relationships/hyperlink" Target="https://www.siemens-home.bsh-group.com/tr/tr/product/ankastre/ankastre-firinlar/HB557JYH2T" TargetMode="External"/><Relationship Id="rId137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302" Type="http://schemas.openxmlformats.org/officeDocument/2006/relationships/hyperlink" Target="https://www.siemens-home.bsh-group.com/tr/tr/product/ankastre/ankastre-ocaklar/EN6C6HO12O" TargetMode="External"/><Relationship Id="rId344" Type="http://schemas.openxmlformats.org/officeDocument/2006/relationships/hyperlink" Target="https://www.siemens-home.bsh-group.com/tr/tr/product/pisirme-grubu/ocaklar/seramik-ocaklar/ET612FEA1E" TargetMode="External"/><Relationship Id="rId41" Type="http://schemas.openxmlformats.org/officeDocument/2006/relationships/hyperlink" Target="https://www.siemens-home.bsh-group.com/tr/tr/product/pisirme-grubu/firinlar/kompakt-firinlar/BF623LMS3" TargetMode="External"/><Relationship Id="rId83" Type="http://schemas.openxmlformats.org/officeDocument/2006/relationships/hyperlink" Target="https://www.siemens-home.bsh-group.com/tr/tr/product/prsiemensfridge/KG56NQWF0N" TargetMode="External"/><Relationship Id="rId179" Type="http://schemas.openxmlformats.org/officeDocument/2006/relationships/hyperlink" Target="https://www.siemens-home.bsh-group.com/tr/tr/product/3d-airfry-ankastre-firinlar/HB214FBW0T" TargetMode="External"/><Relationship Id="rId386" Type="http://schemas.openxmlformats.org/officeDocument/2006/relationships/hyperlink" Target="https://www.siemens-home.bsh-group.com/tr/tr/product/BI630CNW1" TargetMode="External"/><Relationship Id="rId190" Type="http://schemas.openxmlformats.org/officeDocument/2006/relationships/hyperlink" Target="https://www.siemens-home.bsh-group.com/tr/tr/product/pisirme-grubu/firinlar/ankastre-firinlar/HB557JYW5T" TargetMode="External"/><Relationship Id="rId204" Type="http://schemas.openxmlformats.org/officeDocument/2006/relationships/hyperlink" Target="https://www.siemens-home.bsh-group.com/tr/tr/product/ankastre/ankastre-firinlar/CD634GAS0" TargetMode="External"/><Relationship Id="rId246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288" Type="http://schemas.openxmlformats.org/officeDocument/2006/relationships/hyperlink" Target="https://www.siemens-home.bsh-group.com/tr/tr/product/pisirme-grubu/ocaklar/gazli-ocaklar/EP7A6QI40O" TargetMode="External"/><Relationship Id="rId411" Type="http://schemas.openxmlformats.org/officeDocument/2006/relationships/hyperlink" Target="https://www.siemens-home.bsh-group.com/tr/tr/product/TC86505" TargetMode="External"/><Relationship Id="rId453" Type="http://schemas.openxmlformats.org/officeDocument/2006/relationships/hyperlink" Target="https://www.siemens-home.bsh-group.com/tr/tr/product/yikama-ve-utuleme-grubu/kurutma-makineleri/isi-pompali-kurutma-makineleri/WQ52J20RTR" TargetMode="External"/><Relationship Id="rId509" Type="http://schemas.openxmlformats.org/officeDocument/2006/relationships/hyperlink" Target="https://www.siemens-home.bsh-group.com/tr/tr/product/yikama-ve-utuleme-grubu/camasir-makineleri/iq700-camasir-makineleri/WG54B2AXTR" TargetMode="External"/><Relationship Id="rId106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13" Type="http://schemas.openxmlformats.org/officeDocument/2006/relationships/hyperlink" Target="https://www.siemens-home.bsh-group.com/tr/tr/product/EO7C2PO10O" TargetMode="External"/><Relationship Id="rId495" Type="http://schemas.openxmlformats.org/officeDocument/2006/relationships/hyperlink" Target="https://www.siemens-home.bsh-group.com/tr/tr/product/bulasik-makineleri/siemens-finish-isbirligi-bulasik-makineleri/SN23II51KT" TargetMode="External"/><Relationship Id="rId10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2" Type="http://schemas.openxmlformats.org/officeDocument/2006/relationships/hyperlink" Target="https://www.siemens-home.bsh-group.com/tr/tr/product/yikama-ve-utuleme-grubu/camasir-makineleri/solo-camasir-makineleri/WG52K2ZXTR" TargetMode="External"/><Relationship Id="rId94" Type="http://schemas.openxmlformats.org/officeDocument/2006/relationships/hyperlink" Target="https://www.siemens-home.bsh-group.com/tr/tr/product/ldaset2ref/GS29NVWE0N" TargetMode="External"/><Relationship Id="rId148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35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97" Type="http://schemas.openxmlformats.org/officeDocument/2006/relationships/hyperlink" Target="https://www.siemens-home.bsh-group.com/tr/tr/product/elektrikli-supurgeler/toz-torbali-torbasiz-elektrikli-supurgeler/VS06B1110" TargetMode="External"/><Relationship Id="rId520" Type="http://schemas.openxmlformats.org/officeDocument/2006/relationships/hyperlink" Target="https://www.siemens-home.bsh-group.com/tr/tr/product/ankastre/ankastre-firinlar/HB013FBS1T" TargetMode="External"/><Relationship Id="rId215" Type="http://schemas.openxmlformats.org/officeDocument/2006/relationships/hyperlink" Target="https://www.siemens-home.bsh-group.com/tr/tr/product/pisirme-grubu/firinlar/kompakt-firinlar/BF623LMG3" TargetMode="External"/><Relationship Id="rId257" Type="http://schemas.openxmlformats.org/officeDocument/2006/relationships/hyperlink" Target="https://www.siemens-home.bsh-group.com/tr/tr/product/ankastre/ankastre-davlumbazlar/LC95KA270T" TargetMode="External"/><Relationship Id="rId422" Type="http://schemas.openxmlformats.org/officeDocument/2006/relationships/hyperlink" Target="https://www.siemens-home.bsh-group.com/tr/tr/product/CI10Z491" TargetMode="External"/><Relationship Id="rId464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9" Type="http://schemas.openxmlformats.org/officeDocument/2006/relationships/hyperlink" Target="https://www.siemens-home.bsh-group.com/tr/tr/product/EG6B5PO51" TargetMode="External"/><Relationship Id="rId63" Type="http://schemas.openxmlformats.org/officeDocument/2006/relationships/hyperlink" Target="https://www.siemens-home.bsh-group.com/tr/tr/product/yikama-ve-utuleme-grubu/kurutma-makineleri/isi-pompali-kurutma-makineleri/WQ45B2A0TR" TargetMode="External"/><Relationship Id="rId159" Type="http://schemas.openxmlformats.org/officeDocument/2006/relationships/hyperlink" Target="https://www.siemens-home.bsh-group.com/tr/tr/product/pisirme-grubu/firinlar/ankastre-firinlar/HB557JYS5T" TargetMode="External"/><Relationship Id="rId366" Type="http://schemas.openxmlformats.org/officeDocument/2006/relationships/hyperlink" Target="https://www.siemens-home.bsh-group.com/tr/tr/product/TE653311RW" TargetMode="External"/><Relationship Id="rId2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433" Type="http://schemas.openxmlformats.org/officeDocument/2006/relationships/hyperlink" Target="https://www.siemens-home.bsh-group.com/tr/tr/product/klimalar/AS09XVW32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0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5.75"/>
  <cols>
    <col min="1" max="1" width="16.42578125" style="85" customWidth="1"/>
    <col min="2" max="2" width="34" style="170" customWidth="1"/>
    <col min="3" max="3" width="6.5703125" style="46" customWidth="1"/>
    <col min="4" max="4" width="5.5703125" style="53" customWidth="1"/>
    <col min="5" max="5" width="5.140625" style="54" customWidth="1"/>
    <col min="6" max="6" width="4.28515625" style="54" customWidth="1"/>
    <col min="7" max="7" width="7.42578125" style="55" customWidth="1"/>
    <col min="8" max="8" width="5.85546875" style="55" customWidth="1"/>
    <col min="9" max="9" width="9" customWidth="1"/>
    <col min="10" max="10" width="4.5703125" customWidth="1"/>
    <col min="11" max="11" width="6.42578125" style="37" customWidth="1"/>
    <col min="12" max="12" width="7.140625" customWidth="1"/>
    <col min="13" max="13" width="5" customWidth="1"/>
    <col min="14" max="14" width="7" style="56" customWidth="1"/>
    <col min="15" max="15" width="7.42578125" style="54" customWidth="1"/>
    <col min="16" max="16" width="7.42578125" style="31" customWidth="1"/>
    <col min="17" max="17" width="10.140625" style="75" customWidth="1"/>
    <col min="18" max="18" width="12" style="57" bestFit="1" customWidth="1"/>
    <col min="19" max="19" width="9.5703125" style="58" customWidth="1"/>
    <col min="20" max="20" width="12.42578125" style="59" bestFit="1" customWidth="1"/>
    <col min="21" max="21" width="12.5703125" style="59" bestFit="1" customWidth="1"/>
    <col min="22" max="22" width="10" style="60" bestFit="1" customWidth="1"/>
    <col min="23" max="23" width="17.7109375" style="140" bestFit="1" customWidth="1"/>
  </cols>
  <sheetData>
    <row r="1" spans="1:27" s="9" customFormat="1" ht="55.5" customHeight="1">
      <c r="A1" s="1" t="s">
        <v>0</v>
      </c>
      <c r="B1" s="170" t="s">
        <v>1</v>
      </c>
      <c r="C1" s="2" t="s">
        <v>1533</v>
      </c>
      <c r="D1" s="64" t="s">
        <v>1534</v>
      </c>
      <c r="E1" s="3" t="s">
        <v>1383</v>
      </c>
      <c r="F1" s="3" t="s">
        <v>1384</v>
      </c>
      <c r="G1" s="4" t="s">
        <v>2</v>
      </c>
      <c r="H1" s="4" t="s">
        <v>3</v>
      </c>
      <c r="I1" s="5" t="s">
        <v>1323</v>
      </c>
      <c r="J1" s="5" t="s">
        <v>4</v>
      </c>
      <c r="K1" s="6" t="s">
        <v>5</v>
      </c>
      <c r="L1" s="5" t="s">
        <v>6</v>
      </c>
      <c r="M1" s="5" t="s">
        <v>7</v>
      </c>
      <c r="N1" s="6" t="s">
        <v>8</v>
      </c>
      <c r="O1" s="142" t="s">
        <v>1380</v>
      </c>
      <c r="P1" s="7" t="s">
        <v>9</v>
      </c>
      <c r="Q1" s="132" t="s">
        <v>1369</v>
      </c>
      <c r="R1" s="134" t="s">
        <v>10</v>
      </c>
      <c r="S1" s="62" t="s">
        <v>11</v>
      </c>
      <c r="T1" s="77" t="s">
        <v>1368</v>
      </c>
      <c r="U1" s="138" t="s">
        <v>1370</v>
      </c>
      <c r="V1" s="8" t="s">
        <v>474</v>
      </c>
      <c r="W1" s="139" t="s">
        <v>1372</v>
      </c>
      <c r="X1" s="137" t="s">
        <v>1371</v>
      </c>
    </row>
    <row r="2" spans="1:27">
      <c r="A2" s="82" t="s">
        <v>12</v>
      </c>
      <c r="B2" s="74" t="str">
        <f>IFERROR(HYPERLINK(VLOOKUP(A2,ÜRÜNLER!A:C,3,FALSE),VLOOKUP(A2,ÜRÜNLER!A:B,2,FALSE)),"")</f>
        <v>iQ300 Gardırop Tipi Buzdolabı, 90.8cm, Inox</v>
      </c>
      <c r="C2" s="10"/>
      <c r="D2" s="10"/>
      <c r="E2" s="11"/>
      <c r="F2" s="11"/>
      <c r="G2" s="12"/>
      <c r="H2" s="12"/>
      <c r="I2" s="13"/>
      <c r="J2" s="13">
        <v>1</v>
      </c>
      <c r="K2" s="144">
        <v>1</v>
      </c>
      <c r="L2" s="13"/>
      <c r="M2" s="13"/>
      <c r="N2" s="14">
        <f t="shared" ref="N2:N44" si="0">SUM(C2:M2)</f>
        <v>2</v>
      </c>
      <c r="O2" s="11"/>
      <c r="P2" s="15"/>
      <c r="Q2" s="133" t="s">
        <v>1347</v>
      </c>
      <c r="R2" s="16">
        <v>70000</v>
      </c>
      <c r="S2" s="17">
        <v>72800</v>
      </c>
      <c r="T2" s="18"/>
      <c r="U2" s="18"/>
      <c r="V2" s="19">
        <v>250</v>
      </c>
    </row>
    <row r="3" spans="1:27">
      <c r="A3" s="92" t="s">
        <v>13</v>
      </c>
      <c r="B3" s="74" t="str">
        <f>IFERROR(HYPERLINK(VLOOKUP(A3,ÜRÜNLER!A:C,3,FALSE),VLOOKUP(A3,ÜRÜNLER!A:B,2,FALSE)),"")</f>
        <v>iQ700 Gardırop Tipi Buzdolabı, Cam Kapı, Alkol Çekmeceli, 90.5cm, Siyah</v>
      </c>
      <c r="C3" s="10">
        <v>6</v>
      </c>
      <c r="D3" s="10"/>
      <c r="E3" s="11"/>
      <c r="F3" s="11"/>
      <c r="G3" s="12"/>
      <c r="H3" s="12"/>
      <c r="I3" s="13"/>
      <c r="J3" s="13">
        <v>1</v>
      </c>
      <c r="K3" s="144"/>
      <c r="L3" s="13">
        <v>1</v>
      </c>
      <c r="M3" s="13"/>
      <c r="N3" s="14">
        <f t="shared" si="0"/>
        <v>8</v>
      </c>
      <c r="O3" s="11">
        <v>1</v>
      </c>
      <c r="P3" s="15"/>
      <c r="Q3" s="75">
        <v>210521.1387075088</v>
      </c>
      <c r="R3" s="65">
        <v>199995.08177213336</v>
      </c>
      <c r="S3" s="17">
        <v>207994.8850430187</v>
      </c>
      <c r="T3" s="18"/>
      <c r="U3" s="18"/>
      <c r="V3" s="19"/>
      <c r="W3" s="141" t="s">
        <v>1373</v>
      </c>
    </row>
    <row r="4" spans="1:27">
      <c r="A4" s="92" t="s">
        <v>14</v>
      </c>
      <c r="B4" s="74" t="str">
        <f>IFERROR(HYPERLINK(VLOOKUP(A4,ÜRÜNLER!A:C,3,FALSE),VLOOKUP(A4,ÜRÜNLER!A:B,2,FALSE)),"")</f>
        <v>iQ300 Gardırop Tipi Buzdolabı, 90.5cm, BlackSteel</v>
      </c>
      <c r="C4" s="10">
        <v>7</v>
      </c>
      <c r="D4" s="10"/>
      <c r="E4" s="11"/>
      <c r="F4" s="11"/>
      <c r="G4" s="12"/>
      <c r="H4" s="12"/>
      <c r="I4" s="13">
        <v>1</v>
      </c>
      <c r="J4" s="13">
        <v>1</v>
      </c>
      <c r="K4" s="144">
        <v>2</v>
      </c>
      <c r="L4" s="13">
        <v>1</v>
      </c>
      <c r="M4" s="13"/>
      <c r="N4" s="14">
        <f t="shared" si="0"/>
        <v>12</v>
      </c>
      <c r="O4" s="11">
        <v>35</v>
      </c>
      <c r="P4" s="15"/>
      <c r="Q4" s="75">
        <v>128387.14926793992</v>
      </c>
      <c r="R4" s="81">
        <v>124535.53478990172</v>
      </c>
      <c r="S4" s="17">
        <v>129516.95618149779</v>
      </c>
      <c r="T4" s="18">
        <v>34502.890008680683</v>
      </c>
      <c r="U4" s="18"/>
      <c r="V4" s="19"/>
      <c r="W4" s="141" t="s">
        <v>1373</v>
      </c>
    </row>
    <row r="5" spans="1:27">
      <c r="A5" s="82" t="s">
        <v>15</v>
      </c>
      <c r="B5" s="74" t="str">
        <f>IFERROR(HYPERLINK(VLOOKUP(A5,ÜRÜNLER!A:C,3,FALSE),VLOOKUP(A5,ÜRÜNLER!A:B,2,FALSE)),"")</f>
        <v>iQ300 Gardırop Tipi Buzdolabı, 90.5cm, Inox</v>
      </c>
      <c r="C5" s="10">
        <v>5</v>
      </c>
      <c r="D5" s="10"/>
      <c r="E5" s="11"/>
      <c r="F5" s="11"/>
      <c r="G5" s="12"/>
      <c r="H5" s="12"/>
      <c r="I5" s="13">
        <v>1</v>
      </c>
      <c r="J5" s="13"/>
      <c r="K5" s="144">
        <v>2</v>
      </c>
      <c r="L5" s="13"/>
      <c r="M5" s="13"/>
      <c r="N5" s="14">
        <f t="shared" si="0"/>
        <v>8</v>
      </c>
      <c r="O5" s="11">
        <v>16</v>
      </c>
      <c r="P5" s="15"/>
      <c r="Q5" s="75">
        <v>113545.45097557975</v>
      </c>
      <c r="R5" s="81">
        <v>110139.08744631236</v>
      </c>
      <c r="S5" s="17">
        <v>114544.65094416485</v>
      </c>
      <c r="T5" s="18">
        <v>20657.0788825565</v>
      </c>
      <c r="U5" s="18"/>
      <c r="V5" s="19"/>
      <c r="W5" s="141" t="s">
        <v>1373</v>
      </c>
    </row>
    <row r="6" spans="1:27">
      <c r="A6" s="82" t="s">
        <v>16</v>
      </c>
      <c r="B6" s="74" t="str">
        <f>IFERROR(HYPERLINK(VLOOKUP(A6,ÜRÜNLER!A:C,3,FALSE),VLOOKUP(A6,ÜRÜNLER!A:B,2,FALSE)),"")</f>
        <v>iQ100 Üstten Donduruculu Kulpsuz Buzdolabı, 70cm, Beyaz</v>
      </c>
      <c r="C6" s="10">
        <v>3</v>
      </c>
      <c r="D6" s="10"/>
      <c r="E6" s="11"/>
      <c r="F6" s="11"/>
      <c r="G6" s="12"/>
      <c r="H6" s="12"/>
      <c r="I6" s="13"/>
      <c r="J6" s="13"/>
      <c r="K6" s="144"/>
      <c r="L6" s="13"/>
      <c r="M6" s="13"/>
      <c r="N6" s="14">
        <f t="shared" si="0"/>
        <v>3</v>
      </c>
      <c r="O6" s="11"/>
      <c r="P6" s="15" t="s">
        <v>17</v>
      </c>
      <c r="Q6" s="75">
        <v>30401.260450046222</v>
      </c>
      <c r="R6" s="34">
        <v>30401.260450046222</v>
      </c>
      <c r="S6" s="17">
        <v>31617.310868048073</v>
      </c>
      <c r="T6" s="18"/>
      <c r="U6" s="18"/>
      <c r="V6" s="19"/>
    </row>
    <row r="7" spans="1:27">
      <c r="A7" s="82" t="s">
        <v>18</v>
      </c>
      <c r="B7" s="74" t="str">
        <f>IFERROR(HYPERLINK(VLOOKUP(A7,ÜRÜNLER!A:C,3,FALSE),VLOOKUP(A7,ÜRÜNLER!A:B,2,FALSE)),"")</f>
        <v>iQ300 Üstten Donduruculu Kulpsuz Buzdolabı, 70cm, Beyaz</v>
      </c>
      <c r="C7" s="10">
        <v>5</v>
      </c>
      <c r="D7" s="10"/>
      <c r="E7" s="11"/>
      <c r="F7" s="11"/>
      <c r="G7" s="12"/>
      <c r="H7" s="12"/>
      <c r="I7" s="13"/>
      <c r="J7" s="13"/>
      <c r="K7" s="144"/>
      <c r="L7" s="13"/>
      <c r="M7" s="13"/>
      <c r="N7" s="14">
        <f t="shared" si="0"/>
        <v>5</v>
      </c>
      <c r="O7" s="11">
        <v>2</v>
      </c>
      <c r="P7" s="15"/>
      <c r="Q7" s="75">
        <v>34025.498087228028</v>
      </c>
      <c r="R7" s="81">
        <v>33004.733144611186</v>
      </c>
      <c r="S7" s="17">
        <v>34324.922470395635</v>
      </c>
      <c r="T7" s="18">
        <v>1491.7771569954677</v>
      </c>
      <c r="U7" s="18"/>
      <c r="V7" s="19"/>
    </row>
    <row r="8" spans="1:27">
      <c r="A8" s="82" t="s">
        <v>1374</v>
      </c>
      <c r="B8" s="74" t="str">
        <f>IFERROR(HYPERLINK(VLOOKUP(A8,ÜRÜNLER!A:C,3,FALSE),VLOOKUP(A8,ÜRÜNLER!A:B,2,FALSE)),"")</f>
        <v>iQ300 Üstten Donduruculu Kulpsuz Buzdolabı, 70cm, Inox Görünümlü</v>
      </c>
      <c r="C8" s="10"/>
      <c r="D8" s="10"/>
      <c r="E8" s="11"/>
      <c r="F8" s="11"/>
      <c r="G8" s="12"/>
      <c r="H8" s="12"/>
      <c r="I8" s="13"/>
      <c r="J8" s="13"/>
      <c r="K8" s="144"/>
      <c r="L8" s="13"/>
      <c r="M8" s="13"/>
      <c r="N8" s="14">
        <f t="shared" si="0"/>
        <v>0</v>
      </c>
      <c r="O8" s="11">
        <v>5</v>
      </c>
      <c r="P8" s="15"/>
      <c r="Q8" s="75">
        <v>39960.567034634776</v>
      </c>
      <c r="R8" s="81">
        <v>38761.750023595734</v>
      </c>
      <c r="S8" s="17">
        <v>40312.220024539565</v>
      </c>
      <c r="T8" s="18">
        <v>4171.0321509138448</v>
      </c>
      <c r="U8" s="18"/>
      <c r="V8" s="19"/>
    </row>
    <row r="9" spans="1:27">
      <c r="A9" s="82" t="s">
        <v>19</v>
      </c>
      <c r="B9" s="74" t="str">
        <f>IFERROR(HYPERLINK(VLOOKUP(A9,ÜRÜNLER!A:C,3,FALSE),VLOOKUP(A9,ÜRÜNLER!A:B,2,FALSE)),"")</f>
        <v>iQ300 Üstten Donduruculu Kulpsuz Buzdolabı, 70cm, Beyaz</v>
      </c>
      <c r="C9" s="10"/>
      <c r="D9" s="10"/>
      <c r="E9" s="11"/>
      <c r="F9" s="11"/>
      <c r="G9" s="12"/>
      <c r="H9" s="12"/>
      <c r="I9" s="13"/>
      <c r="J9" s="13"/>
      <c r="K9" s="144">
        <v>1</v>
      </c>
      <c r="L9" s="13"/>
      <c r="M9" s="13"/>
      <c r="N9" s="14">
        <f t="shared" si="0"/>
        <v>1</v>
      </c>
      <c r="O9" s="11"/>
      <c r="P9" s="15"/>
      <c r="Q9" s="133" t="s">
        <v>1347</v>
      </c>
      <c r="R9" s="20">
        <v>40000</v>
      </c>
      <c r="S9" s="17">
        <v>41600</v>
      </c>
      <c r="T9" s="18"/>
      <c r="U9" s="18"/>
      <c r="V9" s="19">
        <v>250</v>
      </c>
      <c r="Y9" s="21"/>
      <c r="Z9" s="21"/>
      <c r="AA9" s="21"/>
    </row>
    <row r="10" spans="1:27">
      <c r="A10" s="82" t="s">
        <v>20</v>
      </c>
      <c r="B10" s="74" t="str">
        <f>IFERROR(HYPERLINK(VLOOKUP(A10,ÜRÜNLER!A:C,3,FALSE),VLOOKUP(A10,ÜRÜNLER!A:B,2,FALSE)),"")</f>
        <v>iQ500 Üstten Donduruculu Kulplu Buzdolabı, 75cm, Inox</v>
      </c>
      <c r="C10" s="10"/>
      <c r="D10" s="10"/>
      <c r="E10" s="11"/>
      <c r="F10" s="11"/>
      <c r="G10" s="12"/>
      <c r="H10" s="12"/>
      <c r="I10" s="13">
        <v>1</v>
      </c>
      <c r="J10" s="13"/>
      <c r="K10" s="144">
        <v>1</v>
      </c>
      <c r="L10" s="13"/>
      <c r="M10" s="13"/>
      <c r="N10" s="14">
        <f t="shared" si="0"/>
        <v>2</v>
      </c>
      <c r="O10" s="11"/>
      <c r="P10" s="15"/>
      <c r="Q10" s="133" t="s">
        <v>1347</v>
      </c>
      <c r="R10" s="20">
        <v>64999</v>
      </c>
      <c r="S10" s="17">
        <v>67598.960000000006</v>
      </c>
      <c r="T10" s="18"/>
      <c r="U10" s="18">
        <v>18233.939999999999</v>
      </c>
      <c r="V10" s="19">
        <v>250</v>
      </c>
    </row>
    <row r="11" spans="1:27">
      <c r="A11" s="82" t="s">
        <v>21</v>
      </c>
      <c r="B11" s="74" t="str">
        <f>IFERROR(HYPERLINK(VLOOKUP(A11,ÜRÜNLER!A:C,3,FALSE),VLOOKUP(A11,ÜRÜNLER!A:B,2,FALSE)),"")</f>
        <v>iQ500 Üstten Donduruculu Kulplu Buzdolabı, 75cm, Inox</v>
      </c>
      <c r="C11" s="10">
        <v>4</v>
      </c>
      <c r="D11" s="10"/>
      <c r="E11" s="11"/>
      <c r="F11" s="11"/>
      <c r="G11" s="12"/>
      <c r="H11" s="12"/>
      <c r="I11" s="13"/>
      <c r="J11" s="13"/>
      <c r="K11" s="144"/>
      <c r="L11" s="13"/>
      <c r="M11" s="13"/>
      <c r="N11" s="14">
        <f t="shared" si="0"/>
        <v>4</v>
      </c>
      <c r="O11" s="11">
        <v>6</v>
      </c>
      <c r="P11" s="15"/>
      <c r="Q11" s="75">
        <v>82878.063449484252</v>
      </c>
      <c r="R11" s="81">
        <v>80391.721545999724</v>
      </c>
      <c r="S11" s="17">
        <v>83607.390407839717</v>
      </c>
      <c r="T11" s="18">
        <v>20757.133216926133</v>
      </c>
      <c r="U11" s="18"/>
      <c r="V11" s="19"/>
    </row>
    <row r="12" spans="1:27">
      <c r="A12" s="82" t="s">
        <v>22</v>
      </c>
      <c r="B12" s="74" t="str">
        <f>IFERROR(HYPERLINK(VLOOKUP(A12,ÜRÜNLER!A:C,3,FALSE),VLOOKUP(A12,ÜRÜNLER!A:B,2,FALSE)),"")</f>
        <v>iQ500 Üstten Donduruculu Kulplu Buzdolabı, 75cm, Inox</v>
      </c>
      <c r="C12" s="10">
        <v>2</v>
      </c>
      <c r="D12" s="10"/>
      <c r="E12" s="11"/>
      <c r="F12" s="11"/>
      <c r="G12" s="12"/>
      <c r="H12" s="12"/>
      <c r="I12" s="13"/>
      <c r="J12" s="13"/>
      <c r="K12" s="144"/>
      <c r="L12" s="13"/>
      <c r="M12" s="13"/>
      <c r="N12" s="14">
        <f t="shared" si="0"/>
        <v>2</v>
      </c>
      <c r="O12" s="11"/>
      <c r="P12" s="15"/>
      <c r="Q12" s="133" t="s">
        <v>1347</v>
      </c>
      <c r="R12" s="20">
        <v>60000</v>
      </c>
      <c r="S12" s="17">
        <v>62400</v>
      </c>
      <c r="T12" s="18"/>
      <c r="U12" s="18"/>
      <c r="V12" s="19"/>
    </row>
    <row r="13" spans="1:27">
      <c r="A13" s="84" t="s">
        <v>23</v>
      </c>
      <c r="B13" s="74" t="str">
        <f>IFERROR(HYPERLINK(VLOOKUP(A13,ÜRÜNLER!A:C,3,FALSE),VLOOKUP(A13,ÜRÜNLER!A:B,2,FALSE)),"")</f>
        <v>iQ500 Üstten Donduruculu Kulpsuz Buzdolabı, 75cm, Inox</v>
      </c>
      <c r="C13" s="10">
        <v>2</v>
      </c>
      <c r="D13" s="10"/>
      <c r="E13" s="11"/>
      <c r="F13" s="11"/>
      <c r="G13" s="12"/>
      <c r="H13" s="12"/>
      <c r="I13" s="13"/>
      <c r="J13" s="13"/>
      <c r="K13" s="144"/>
      <c r="L13" s="13"/>
      <c r="M13" s="13"/>
      <c r="N13" s="14">
        <f t="shared" si="0"/>
        <v>2</v>
      </c>
      <c r="O13" s="11">
        <v>8</v>
      </c>
      <c r="P13" s="15"/>
      <c r="Q13" s="75">
        <v>66166.491473588918</v>
      </c>
      <c r="R13" s="81">
        <v>64181.496729381251</v>
      </c>
      <c r="S13" s="17">
        <v>66748.756598556502</v>
      </c>
      <c r="T13" s="18">
        <v>13096.724031728461</v>
      </c>
      <c r="U13" s="18"/>
      <c r="V13" s="22"/>
    </row>
    <row r="14" spans="1:27">
      <c r="A14" s="84" t="s">
        <v>24</v>
      </c>
      <c r="B14" s="74" t="str">
        <f>IFERROR(HYPERLINK(VLOOKUP(A14,ÜRÜNLER!A:C,3,FALSE),VLOOKUP(A14,ÜRÜNLER!A:B,2,FALSE)),"")</f>
        <v>iQ300 Üstten Donduruculu, Kulpsuz Buzdolabı, 75cm, Beyaz</v>
      </c>
      <c r="C14" s="10">
        <v>6</v>
      </c>
      <c r="D14" s="10"/>
      <c r="E14" s="11"/>
      <c r="F14" s="11"/>
      <c r="G14" s="12"/>
      <c r="H14" s="12"/>
      <c r="I14" s="13">
        <v>1</v>
      </c>
      <c r="J14" s="13">
        <v>1</v>
      </c>
      <c r="K14" s="144"/>
      <c r="L14" s="13">
        <v>1</v>
      </c>
      <c r="M14" s="13"/>
      <c r="N14" s="14">
        <f t="shared" si="0"/>
        <v>9</v>
      </c>
      <c r="O14" s="11">
        <v>14</v>
      </c>
      <c r="P14" s="15"/>
      <c r="Q14" s="75">
        <v>61265.269882952707</v>
      </c>
      <c r="R14" s="81">
        <v>59427.311786464124</v>
      </c>
      <c r="S14" s="17">
        <v>61804.404257922688</v>
      </c>
      <c r="T14" s="18">
        <v>9839.6884876038821</v>
      </c>
      <c r="U14" s="18"/>
      <c r="V14" s="22"/>
    </row>
    <row r="15" spans="1:27">
      <c r="A15" s="84" t="s">
        <v>1338</v>
      </c>
      <c r="B15" s="74" t="str">
        <f>IFERROR(HYPERLINK(VLOOKUP(A15,ÜRÜNLER!A:C,3,FALSE),VLOOKUP(A15,ÜRÜNLER!A:B,2,FALSE)),"")</f>
        <v>iQ300 Üstten Donduruculu Kulpsuz Buzdolabı, 75cm, Beyaz</v>
      </c>
      <c r="C15" s="10"/>
      <c r="D15" s="10"/>
      <c r="E15" s="11"/>
      <c r="F15" s="11"/>
      <c r="G15" s="12"/>
      <c r="H15" s="12"/>
      <c r="I15" s="13"/>
      <c r="J15" s="13"/>
      <c r="K15" s="144">
        <v>1</v>
      </c>
      <c r="L15" s="13"/>
      <c r="M15" s="13"/>
      <c r="N15" s="14">
        <f t="shared" si="0"/>
        <v>1</v>
      </c>
      <c r="O15" s="11"/>
      <c r="P15" s="15"/>
      <c r="Q15" s="133" t="s">
        <v>1347</v>
      </c>
      <c r="R15" s="34">
        <v>50000</v>
      </c>
      <c r="S15" s="17">
        <v>52000</v>
      </c>
      <c r="T15" s="18">
        <v>1783.7897032726178</v>
      </c>
      <c r="U15" s="18"/>
      <c r="V15" s="19">
        <v>250</v>
      </c>
    </row>
    <row r="16" spans="1:27">
      <c r="A16" s="82" t="s">
        <v>25</v>
      </c>
      <c r="B16" s="74" t="str">
        <f>IFERROR(HYPERLINK(VLOOKUP(A16,ÜRÜNLER!A:C,3,FALSE),VLOOKUP(A16,ÜRÜNLER!A:B,2,FALSE)),"")</f>
        <v>iQ500 Üstten Donduruculu Kulplu Buzdolabı, 86cm, Inox</v>
      </c>
      <c r="C16" s="10">
        <v>4</v>
      </c>
      <c r="D16" s="10"/>
      <c r="E16" s="11">
        <v>1</v>
      </c>
      <c r="F16" s="11"/>
      <c r="G16" s="12"/>
      <c r="H16" s="12"/>
      <c r="I16" s="13">
        <v>1</v>
      </c>
      <c r="J16" s="13">
        <v>1</v>
      </c>
      <c r="K16" s="144"/>
      <c r="L16" s="13"/>
      <c r="M16" s="13"/>
      <c r="N16" s="14">
        <f t="shared" si="0"/>
        <v>7</v>
      </c>
      <c r="O16" s="11">
        <v>6</v>
      </c>
      <c r="P16" s="15"/>
      <c r="Q16" s="75">
        <v>95662.202301541009</v>
      </c>
      <c r="R16" s="81">
        <v>92792.336232494781</v>
      </c>
      <c r="S16" s="17">
        <v>96504.029681794578</v>
      </c>
      <c r="T16" s="18">
        <v>23277.318580610794</v>
      </c>
      <c r="U16" s="18"/>
      <c r="V16" s="19"/>
      <c r="W16" s="141" t="s">
        <v>1373</v>
      </c>
    </row>
    <row r="17" spans="1:27">
      <c r="A17" s="82" t="s">
        <v>26</v>
      </c>
      <c r="B17" s="74" t="str">
        <f>IFERROR(HYPERLINK(VLOOKUP(A17,ÜRÜNLER!A:C,3,FALSE),VLOOKUP(A17,ÜRÜNLER!A:B,2,FALSE)),"")</f>
        <v>iQ500 Üstten Donduruculu Kulplu Buzdolabı, 86cm, Inox</v>
      </c>
      <c r="C17" s="10"/>
      <c r="D17" s="10"/>
      <c r="E17" s="11"/>
      <c r="F17" s="11"/>
      <c r="G17" s="12"/>
      <c r="H17" s="12"/>
      <c r="I17" s="13"/>
      <c r="J17" s="13"/>
      <c r="K17" s="144"/>
      <c r="L17" s="13"/>
      <c r="M17" s="13"/>
      <c r="N17" s="14">
        <f t="shared" si="0"/>
        <v>0</v>
      </c>
      <c r="O17" s="11"/>
      <c r="P17" s="15"/>
      <c r="Q17" s="133"/>
      <c r="R17" s="81">
        <v>0</v>
      </c>
      <c r="S17" s="133"/>
      <c r="T17" s="18"/>
      <c r="U17" s="18">
        <v>18538.14</v>
      </c>
      <c r="V17" s="19">
        <v>250</v>
      </c>
      <c r="W17" s="140" t="s">
        <v>26</v>
      </c>
    </row>
    <row r="18" spans="1:27">
      <c r="A18" s="82" t="s">
        <v>28</v>
      </c>
      <c r="B18" s="74" t="str">
        <f>IFERROR(HYPERLINK(VLOOKUP(A18,ÜRÜNLER!A:C,3,FALSE),VLOOKUP(A18,ÜRÜNLER!A:B,2,FALSE)),"")</f>
        <v>iQ500 Üstten Donduruculu Kulplu Buzdolabı, 86cm, Beyaz</v>
      </c>
      <c r="C18" s="10">
        <v>6</v>
      </c>
      <c r="D18" s="10"/>
      <c r="E18" s="11"/>
      <c r="F18" s="11"/>
      <c r="G18" s="12"/>
      <c r="H18" s="12"/>
      <c r="I18" s="13"/>
      <c r="J18" s="13"/>
      <c r="K18" s="144"/>
      <c r="L18" s="13"/>
      <c r="M18" s="13"/>
      <c r="N18" s="14">
        <f t="shared" si="0"/>
        <v>6</v>
      </c>
      <c r="O18" s="11">
        <v>6</v>
      </c>
      <c r="P18" s="15"/>
      <c r="Q18" s="75">
        <v>83239.541994694649</v>
      </c>
      <c r="R18" s="81">
        <v>80742.355734853816</v>
      </c>
      <c r="S18" s="17">
        <v>83972.04996424797</v>
      </c>
      <c r="T18" s="18">
        <v>17244.193157485366</v>
      </c>
      <c r="U18" s="18"/>
      <c r="V18" s="19"/>
      <c r="W18" s="141" t="s">
        <v>1373</v>
      </c>
    </row>
    <row r="19" spans="1:27" s="21" customFormat="1">
      <c r="A19" s="82" t="s">
        <v>29</v>
      </c>
      <c r="B19" s="74" t="str">
        <f>IFERROR(HYPERLINK(VLOOKUP(A19,ÜRÜNLER!A:C,3,FALSE),VLOOKUP(A19,ÜRÜNLER!A:B,2,FALSE)),"")</f>
        <v>iQ500 Üstten Donduruculu Kulplu Buzdolabı, 86cm, Inox</v>
      </c>
      <c r="C19" s="10"/>
      <c r="D19" s="10"/>
      <c r="E19" s="11"/>
      <c r="F19" s="11"/>
      <c r="G19" s="12"/>
      <c r="H19" s="12"/>
      <c r="I19" s="13"/>
      <c r="J19" s="13"/>
      <c r="K19" s="144">
        <v>1</v>
      </c>
      <c r="L19" s="13"/>
      <c r="M19" s="13"/>
      <c r="N19" s="14">
        <f t="shared" si="0"/>
        <v>1</v>
      </c>
      <c r="O19" s="11"/>
      <c r="P19" s="15"/>
      <c r="Q19" s="133" t="s">
        <v>1347</v>
      </c>
      <c r="R19" s="20">
        <v>55000</v>
      </c>
      <c r="S19" s="17">
        <v>57200</v>
      </c>
      <c r="T19" s="18"/>
      <c r="U19" s="18"/>
      <c r="V19" s="19">
        <v>250</v>
      </c>
      <c r="W19" s="140"/>
      <c r="X19"/>
      <c r="Y19"/>
      <c r="Z19"/>
      <c r="AA19"/>
    </row>
    <row r="20" spans="1:27">
      <c r="A20" s="84" t="s">
        <v>30</v>
      </c>
      <c r="B20" s="74" t="str">
        <f>IFERROR(HYPERLINK(VLOOKUP(A20,ÜRÜNLER!A:C,3,FALSE),VLOOKUP(A20,ÜRÜNLER!A:B,2,FALSE)),"")</f>
        <v>iQ100 Alttan Donduruculu Kulpsuz Buzdolabı, 60cm, Inox</v>
      </c>
      <c r="C20" s="10"/>
      <c r="D20" s="10"/>
      <c r="E20" s="11"/>
      <c r="F20" s="11"/>
      <c r="G20" s="12"/>
      <c r="H20" s="12"/>
      <c r="I20" s="13"/>
      <c r="J20" s="13"/>
      <c r="K20" s="144">
        <v>1</v>
      </c>
      <c r="L20" s="13"/>
      <c r="M20" s="13"/>
      <c r="N20" s="14">
        <f t="shared" si="0"/>
        <v>1</v>
      </c>
      <c r="O20" s="11"/>
      <c r="P20" s="15"/>
      <c r="Q20" s="133" t="s">
        <v>1347</v>
      </c>
      <c r="R20" s="20">
        <v>36999</v>
      </c>
      <c r="S20" s="17">
        <v>38478.959999999999</v>
      </c>
      <c r="T20" s="18"/>
      <c r="U20" s="18"/>
      <c r="V20" s="19">
        <v>250</v>
      </c>
      <c r="X20" s="21"/>
    </row>
    <row r="21" spans="1:27">
      <c r="A21" s="82" t="s">
        <v>31</v>
      </c>
      <c r="B21" s="74" t="str">
        <f>IFERROR(HYPERLINK(VLOOKUP(A21,ÜRÜNLER!A:C,3,FALSE),VLOOKUP(A21,ÜRÜNLER!A:B,2,FALSE)),"")</f>
        <v>iQ300 Alttan Donduruculu Kulpsuz Buzdolabı, 70cm, Inox</v>
      </c>
      <c r="C21" s="10">
        <v>65</v>
      </c>
      <c r="D21" s="10"/>
      <c r="E21" s="11">
        <v>4</v>
      </c>
      <c r="F21" s="11"/>
      <c r="G21" s="12"/>
      <c r="H21" s="12"/>
      <c r="I21" s="13">
        <v>1</v>
      </c>
      <c r="J21" s="13">
        <v>1</v>
      </c>
      <c r="K21" s="144">
        <v>1</v>
      </c>
      <c r="L21" s="13">
        <v>1</v>
      </c>
      <c r="M21" s="13"/>
      <c r="N21" s="14">
        <f t="shared" si="0"/>
        <v>73</v>
      </c>
      <c r="O21" s="11">
        <v>40</v>
      </c>
      <c r="P21" s="15"/>
      <c r="Q21" s="75">
        <v>63469.622177112884</v>
      </c>
      <c r="R21" s="81">
        <v>61565.533511799498</v>
      </c>
      <c r="S21" s="17">
        <v>64028.15485227148</v>
      </c>
      <c r="T21" s="18">
        <v>14388.226828275694</v>
      </c>
      <c r="U21" s="18"/>
      <c r="V21" s="19"/>
    </row>
    <row r="22" spans="1:27">
      <c r="A22" s="82" t="s">
        <v>32</v>
      </c>
      <c r="B22" s="74" t="str">
        <f>IFERROR(HYPERLINK(VLOOKUP(A22,ÜRÜNLER!A:C,3,FALSE),VLOOKUP(A22,ÜRÜNLER!A:B,2,FALSE)),"")</f>
        <v>iQ300 Alttan Donduruculu Kulpsuz Buzdolabı, 70cm, Beyaz</v>
      </c>
      <c r="C22" s="10">
        <v>91</v>
      </c>
      <c r="D22" s="10"/>
      <c r="E22" s="11"/>
      <c r="F22" s="11"/>
      <c r="G22" s="12"/>
      <c r="H22" s="12"/>
      <c r="I22" s="13">
        <v>1</v>
      </c>
      <c r="J22" s="13"/>
      <c r="K22" s="144">
        <v>2</v>
      </c>
      <c r="L22" s="13"/>
      <c r="M22" s="13"/>
      <c r="N22" s="14">
        <f t="shared" si="0"/>
        <v>94</v>
      </c>
      <c r="O22" s="11"/>
      <c r="P22" s="15"/>
      <c r="Q22" s="75">
        <v>57039.061267121113</v>
      </c>
      <c r="R22" s="81">
        <v>55327.889429107483</v>
      </c>
      <c r="S22" s="17">
        <v>57541.005006271786</v>
      </c>
      <c r="T22" s="18">
        <v>10228.596150842051</v>
      </c>
      <c r="U22" s="18"/>
      <c r="V22" s="19"/>
    </row>
    <row r="23" spans="1:27">
      <c r="A23" s="82" t="s">
        <v>33</v>
      </c>
      <c r="B23" s="74" t="str">
        <f>IFERROR(HYPERLINK(VLOOKUP(A23,ÜRÜNLER!A:C,3,FALSE),VLOOKUP(A23,ÜRÜNLER!A:B,2,FALSE)),"")</f>
        <v>iQ300 Alttan Donduruculu Kulpsuz Buzdolabı, 70cm, Inox</v>
      </c>
      <c r="C23" s="10">
        <v>9</v>
      </c>
      <c r="D23" s="10"/>
      <c r="E23" s="11">
        <v>1</v>
      </c>
      <c r="F23" s="11"/>
      <c r="G23" s="12"/>
      <c r="H23" s="12"/>
      <c r="I23" s="13"/>
      <c r="J23" s="13"/>
      <c r="K23" s="144">
        <v>1</v>
      </c>
      <c r="L23" s="13"/>
      <c r="M23" s="13"/>
      <c r="N23" s="14">
        <f t="shared" si="0"/>
        <v>11</v>
      </c>
      <c r="O23" s="11"/>
      <c r="P23" s="15"/>
      <c r="Q23" s="75">
        <v>51274.362665302433</v>
      </c>
      <c r="R23" s="81">
        <v>49736.131785343357</v>
      </c>
      <c r="S23" s="17">
        <v>51725.577056757094</v>
      </c>
      <c r="T23" s="18">
        <v>6515.0603397210361</v>
      </c>
      <c r="U23" s="18"/>
      <c r="V23" s="19"/>
    </row>
    <row r="24" spans="1:27">
      <c r="A24" s="82" t="s">
        <v>34</v>
      </c>
      <c r="B24" s="74" t="str">
        <f>IFERROR(HYPERLINK(VLOOKUP(A24,ÜRÜNLER!A:C,3,FALSE),VLOOKUP(A24,ÜRÜNLER!A:B,2,FALSE)),"")</f>
        <v>iQ300 Alttan Donduruculu Kulpsuz Buzdolabı, 70cm, Beyaz</v>
      </c>
      <c r="C24" s="10">
        <v>8</v>
      </c>
      <c r="D24" s="10"/>
      <c r="E24" s="11">
        <v>1</v>
      </c>
      <c r="F24" s="11"/>
      <c r="G24" s="12"/>
      <c r="H24" s="12"/>
      <c r="I24" s="13">
        <v>1</v>
      </c>
      <c r="J24" s="13"/>
      <c r="K24" s="144">
        <v>1</v>
      </c>
      <c r="L24" s="13"/>
      <c r="M24" s="13"/>
      <c r="N24" s="14">
        <f t="shared" si="0"/>
        <v>11</v>
      </c>
      <c r="O24" s="11"/>
      <c r="P24" s="15"/>
      <c r="Q24" s="75">
        <v>46796.712690055007</v>
      </c>
      <c r="R24" s="81">
        <v>45392.811309353354</v>
      </c>
      <c r="S24" s="17">
        <v>47208.523761727491</v>
      </c>
      <c r="T24" s="18">
        <v>6164.154550520122</v>
      </c>
      <c r="U24" s="18"/>
      <c r="V24" s="19"/>
    </row>
    <row r="25" spans="1:27">
      <c r="A25" s="92" t="s">
        <v>35</v>
      </c>
      <c r="B25" s="74" t="str">
        <f>IFERROR(HYPERLINK(VLOOKUP(A25,ÜRÜNLER!A:C,3,FALSE),VLOOKUP(A25,ÜRÜNLER!A:B,2,FALSE)),"")</f>
        <v>iQ500 Alttan Donduruculu Kulpsuz Buzdolabı, 70cm, Parlak Siyah</v>
      </c>
      <c r="C25" s="10">
        <v>19</v>
      </c>
      <c r="D25" s="10"/>
      <c r="E25" s="11"/>
      <c r="F25" s="11"/>
      <c r="G25" s="12"/>
      <c r="H25" s="12"/>
      <c r="I25" s="13">
        <v>2</v>
      </c>
      <c r="J25" s="13">
        <v>1</v>
      </c>
      <c r="K25" s="144"/>
      <c r="L25" s="13">
        <v>2</v>
      </c>
      <c r="M25" s="13"/>
      <c r="N25" s="14">
        <f t="shared" si="0"/>
        <v>24</v>
      </c>
      <c r="O25" s="11"/>
      <c r="P25" s="15"/>
      <c r="Q25" s="75">
        <v>58065.821991796955</v>
      </c>
      <c r="R25" s="65">
        <v>55162.530892207105</v>
      </c>
      <c r="S25" s="17">
        <v>57369.032127895392</v>
      </c>
      <c r="T25" s="18"/>
      <c r="U25" s="18"/>
      <c r="V25" s="19"/>
    </row>
    <row r="26" spans="1:27">
      <c r="A26" s="88" t="s">
        <v>36</v>
      </c>
      <c r="B26" s="74" t="str">
        <f>IFERROR(HYPERLINK(VLOOKUP(A26,ÜRÜNLER!A:C,3,FALSE),VLOOKUP(A26,ÜRÜNLER!A:B,2,FALSE)),"")</f>
        <v>iQ500 Alttan Donduruculu Kulpsuz Buzdolabı, 70cm, Seramik Desen</v>
      </c>
      <c r="C26" s="10"/>
      <c r="D26" s="10"/>
      <c r="E26" s="11"/>
      <c r="F26" s="11"/>
      <c r="G26" s="12"/>
      <c r="H26" s="12"/>
      <c r="I26" s="13"/>
      <c r="J26" s="13">
        <v>1</v>
      </c>
      <c r="K26" s="144"/>
      <c r="L26" s="13"/>
      <c r="M26" s="13"/>
      <c r="N26" s="14">
        <f t="shared" si="0"/>
        <v>1</v>
      </c>
      <c r="O26" s="11"/>
      <c r="P26" s="15"/>
      <c r="Q26" s="133" t="s">
        <v>1347</v>
      </c>
      <c r="R26" s="24">
        <v>45000</v>
      </c>
      <c r="S26" s="17">
        <v>46800</v>
      </c>
      <c r="T26" s="18"/>
      <c r="U26" s="18"/>
      <c r="V26" s="19">
        <v>250</v>
      </c>
    </row>
    <row r="27" spans="1:27">
      <c r="A27" s="88" t="s">
        <v>37</v>
      </c>
      <c r="B27" s="74" t="str">
        <f>IFERROR(HYPERLINK(VLOOKUP(A27,ÜRÜNLER!A:C,3,FALSE),VLOOKUP(A27,ÜRÜNLER!A:B,2,FALSE)),"")</f>
        <v>iQ500 Alttan Donduruculu Kulpsuz Buzdolabı, 70cm, Mat Siyah</v>
      </c>
      <c r="C27" s="10"/>
      <c r="D27" s="10"/>
      <c r="E27" s="11"/>
      <c r="F27" s="11">
        <v>1</v>
      </c>
      <c r="G27" s="12"/>
      <c r="H27" s="12"/>
      <c r="I27" s="13"/>
      <c r="J27" s="13"/>
      <c r="K27" s="144"/>
      <c r="L27" s="13"/>
      <c r="M27" s="13"/>
      <c r="N27" s="14">
        <f t="shared" si="0"/>
        <v>1</v>
      </c>
      <c r="O27" s="11"/>
      <c r="P27" s="15"/>
      <c r="Q27" s="133" t="s">
        <v>1347</v>
      </c>
      <c r="R27" s="24">
        <v>45000</v>
      </c>
      <c r="S27" s="17">
        <v>46800</v>
      </c>
      <c r="T27" s="18"/>
      <c r="U27" s="18"/>
      <c r="V27" s="19">
        <v>250</v>
      </c>
    </row>
    <row r="28" spans="1:27">
      <c r="A28" s="88" t="s">
        <v>38</v>
      </c>
      <c r="B28" s="74" t="str">
        <f>IFERROR(HYPERLINK(VLOOKUP(A28,ÜRÜNLER!A:C,3,FALSE),VLOOKUP(A28,ÜRÜNLER!A:B,2,FALSE)),"")</f>
        <v>iQ500 Alttan Donduruculu Kulpsuz Buzdolabı, 70cm, Seramik Desen</v>
      </c>
      <c r="C28" s="10"/>
      <c r="D28" s="10"/>
      <c r="E28" s="11"/>
      <c r="F28" s="11"/>
      <c r="G28" s="12"/>
      <c r="H28" s="12"/>
      <c r="I28" s="13">
        <v>1</v>
      </c>
      <c r="J28" s="13"/>
      <c r="K28" s="144">
        <v>1</v>
      </c>
      <c r="L28" s="13"/>
      <c r="M28" s="13"/>
      <c r="N28" s="14">
        <f t="shared" si="0"/>
        <v>2</v>
      </c>
      <c r="O28" s="11"/>
      <c r="P28" s="15"/>
      <c r="Q28" s="133" t="s">
        <v>1347</v>
      </c>
      <c r="R28" s="24">
        <v>45000</v>
      </c>
      <c r="S28" s="17">
        <v>46800</v>
      </c>
      <c r="T28" s="18"/>
      <c r="U28" s="18"/>
      <c r="V28" s="19">
        <v>250</v>
      </c>
    </row>
    <row r="29" spans="1:27">
      <c r="A29" s="82" t="s">
        <v>39</v>
      </c>
      <c r="B29" s="74" t="str">
        <f>IFERROR(HYPERLINK(VLOOKUP(A29,ÜRÜNLER!A:C,3,FALSE),VLOOKUP(A29,ÜRÜNLER!A:B,2,FALSE)),"")</f>
        <v>iQ300 Alttan Donduruculu Kulpsuz Buzdolabı, 70cm, Beyaz</v>
      </c>
      <c r="C29" s="10">
        <v>1</v>
      </c>
      <c r="D29" s="10"/>
      <c r="E29" s="11"/>
      <c r="F29" s="11"/>
      <c r="G29" s="12"/>
      <c r="H29" s="12"/>
      <c r="I29" s="13"/>
      <c r="J29" s="13"/>
      <c r="K29" s="144"/>
      <c r="L29" s="13"/>
      <c r="M29" s="13"/>
      <c r="N29" s="14">
        <f t="shared" si="0"/>
        <v>1</v>
      </c>
      <c r="O29" s="11"/>
      <c r="P29" s="15"/>
      <c r="Q29" s="133" t="s">
        <v>1347</v>
      </c>
      <c r="R29" s="24">
        <v>45999</v>
      </c>
      <c r="S29" s="17">
        <v>47838.96</v>
      </c>
      <c r="T29" s="18"/>
      <c r="U29" s="18"/>
      <c r="V29" s="19"/>
    </row>
    <row r="30" spans="1:27">
      <c r="A30" s="82" t="s">
        <v>40</v>
      </c>
      <c r="B30" s="74" t="str">
        <f>IFERROR(HYPERLINK(VLOOKUP(A30,ÜRÜNLER!A:C,3,FALSE),VLOOKUP(A30,ÜRÜNLER!A:B,2,FALSE)),"")</f>
        <v>iQ700 Alttan Donduruculu Kulplu Buzdolabı, 75cm, Inox</v>
      </c>
      <c r="C30" s="10">
        <v>16</v>
      </c>
      <c r="D30" s="10"/>
      <c r="E30" s="11"/>
      <c r="F30" s="11"/>
      <c r="G30" s="12"/>
      <c r="H30" s="12"/>
      <c r="I30" s="13"/>
      <c r="J30" s="13"/>
      <c r="K30" s="144"/>
      <c r="L30" s="13"/>
      <c r="M30" s="13"/>
      <c r="N30" s="14">
        <f t="shared" si="0"/>
        <v>16</v>
      </c>
      <c r="O30" s="11"/>
      <c r="P30" s="15"/>
      <c r="Q30" s="75">
        <v>72088.360336482729</v>
      </c>
      <c r="R30" s="23">
        <v>67042.175112928933</v>
      </c>
      <c r="S30" s="17">
        <v>69723.862117446086</v>
      </c>
      <c r="T30" s="18">
        <v>273.24405741295777</v>
      </c>
      <c r="U30" s="18"/>
      <c r="V30" s="19"/>
    </row>
    <row r="31" spans="1:27">
      <c r="A31" s="82" t="s">
        <v>41</v>
      </c>
      <c r="B31" s="74" t="str">
        <f>IFERROR(HYPERLINK(VLOOKUP(A31,ÜRÜNLER!A:C,3,FALSE),VLOOKUP(A31,ÜRÜNLER!A:B,2,FALSE)),"")</f>
        <v>iQ500 Alttan Donduruculu Kulplu Buzdolabı, 75cm, Inox</v>
      </c>
      <c r="C31" s="10">
        <v>16</v>
      </c>
      <c r="D31" s="10"/>
      <c r="E31" s="11"/>
      <c r="F31" s="11"/>
      <c r="G31" s="12"/>
      <c r="H31" s="12"/>
      <c r="I31" s="13">
        <v>1</v>
      </c>
      <c r="J31" s="13">
        <v>1</v>
      </c>
      <c r="K31" s="144">
        <v>3</v>
      </c>
      <c r="L31" s="13">
        <v>1</v>
      </c>
      <c r="M31" s="13"/>
      <c r="N31" s="14">
        <f t="shared" si="0"/>
        <v>22</v>
      </c>
      <c r="O31" s="11">
        <v>70</v>
      </c>
      <c r="P31" s="15"/>
      <c r="Q31" s="75">
        <v>84280.725891198905</v>
      </c>
      <c r="R31" s="81">
        <v>81752.304114462939</v>
      </c>
      <c r="S31" s="17">
        <v>85022.396279041452</v>
      </c>
      <c r="T31" s="18">
        <v>21679.563100501255</v>
      </c>
      <c r="U31" s="18"/>
      <c r="V31" s="19"/>
      <c r="X31" s="25"/>
    </row>
    <row r="32" spans="1:27" s="25" customFormat="1">
      <c r="A32" s="82" t="s">
        <v>42</v>
      </c>
      <c r="B32" s="74" t="str">
        <f>IFERROR(HYPERLINK(VLOOKUP(A32,ÜRÜNLER!A:C,3,FALSE),VLOOKUP(A32,ÜRÜNLER!A:B,2,FALSE)),"")</f>
        <v>iQ500 Alttan Donduruculu Kulplu Buzdolabı, 75cm, Beyaz</v>
      </c>
      <c r="C32" s="10">
        <v>9</v>
      </c>
      <c r="D32" s="10"/>
      <c r="E32" s="11"/>
      <c r="F32" s="11"/>
      <c r="G32" s="12"/>
      <c r="H32" s="12"/>
      <c r="I32" s="13">
        <v>1</v>
      </c>
      <c r="J32" s="13"/>
      <c r="K32" s="144">
        <v>1</v>
      </c>
      <c r="L32" s="13"/>
      <c r="M32" s="13"/>
      <c r="N32" s="14">
        <f t="shared" si="0"/>
        <v>11</v>
      </c>
      <c r="O32" s="11">
        <v>53</v>
      </c>
      <c r="P32" s="15"/>
      <c r="Q32" s="75">
        <v>77045.04375450201</v>
      </c>
      <c r="R32" s="81">
        <v>74733.692441866951</v>
      </c>
      <c r="S32" s="17">
        <v>77723.040139541627</v>
      </c>
      <c r="T32" s="18">
        <v>17219.462359153185</v>
      </c>
      <c r="U32" s="18"/>
      <c r="V32" s="19"/>
      <c r="W32" s="140"/>
      <c r="X32"/>
    </row>
    <row r="33" spans="1:23">
      <c r="A33" s="92" t="s">
        <v>43</v>
      </c>
      <c r="B33" s="74" t="str">
        <f>IFERROR(HYPERLINK(VLOOKUP(A33,ÜRÜNLER!A:C,3,FALSE),VLOOKUP(A33,ÜRÜNLER!A:B,2,FALSE)),"")</f>
        <v>iQ500 Alttan Donduruculu Kulpsuz Buzdolabı, 75cm, darkSteel</v>
      </c>
      <c r="C33" s="10"/>
      <c r="D33" s="10"/>
      <c r="E33" s="11"/>
      <c r="F33" s="11"/>
      <c r="G33" s="12"/>
      <c r="H33" s="12"/>
      <c r="I33" s="13">
        <v>1</v>
      </c>
      <c r="J33" s="13">
        <v>1</v>
      </c>
      <c r="K33" s="144"/>
      <c r="L33" s="13">
        <v>1</v>
      </c>
      <c r="M33" s="13"/>
      <c r="N33" s="14">
        <f t="shared" si="0"/>
        <v>3</v>
      </c>
      <c r="O33" s="11">
        <v>80</v>
      </c>
      <c r="P33" s="15"/>
      <c r="Q33" s="75">
        <v>95152.057390036483</v>
      </c>
      <c r="R33" s="81">
        <v>92297.495668335396</v>
      </c>
      <c r="S33" s="17">
        <v>95989.395495068806</v>
      </c>
      <c r="T33" s="18">
        <v>29995.080645850452</v>
      </c>
      <c r="U33" s="18"/>
      <c r="V33" s="19"/>
      <c r="W33" s="141" t="s">
        <v>1373</v>
      </c>
    </row>
    <row r="34" spans="1:23">
      <c r="A34" s="82" t="s">
        <v>44</v>
      </c>
      <c r="B34" s="74" t="str">
        <f>IFERROR(HYPERLINK(VLOOKUP(A34,ÜRÜNLER!A:C,3,FALSE),VLOOKUP(A34,ÜRÜNLER!A:B,2,FALSE)),"")</f>
        <v>iQ300 Alttan Donduruculu Kulpsuz Buzdolabı, 75cm, Inox</v>
      </c>
      <c r="C34" s="10">
        <v>28</v>
      </c>
      <c r="D34" s="10"/>
      <c r="E34" s="11"/>
      <c r="F34" s="11">
        <v>1</v>
      </c>
      <c r="G34" s="12"/>
      <c r="H34" s="12"/>
      <c r="I34" s="13">
        <v>1</v>
      </c>
      <c r="J34" s="13"/>
      <c r="K34" s="144">
        <v>2</v>
      </c>
      <c r="L34" s="13"/>
      <c r="M34" s="13"/>
      <c r="N34" s="14">
        <f t="shared" si="0"/>
        <v>32</v>
      </c>
      <c r="O34" s="11">
        <v>30</v>
      </c>
      <c r="P34" s="15"/>
      <c r="Q34" s="75">
        <v>76173.043294544681</v>
      </c>
      <c r="R34" s="81">
        <v>73887.851995708334</v>
      </c>
      <c r="S34" s="17">
        <v>76843.366075536673</v>
      </c>
      <c r="T34" s="18">
        <v>19676.531666637711</v>
      </c>
      <c r="U34" s="18"/>
      <c r="V34" s="19"/>
    </row>
    <row r="35" spans="1:23">
      <c r="A35" s="82" t="s">
        <v>45</v>
      </c>
      <c r="B35" s="74" t="str">
        <f>IFERROR(HYPERLINK(VLOOKUP(A35,ÜRÜNLER!A:C,3,FALSE),VLOOKUP(A35,ÜRÜNLER!A:B,2,FALSE)),"")</f>
        <v>iQ300 Alttan Donduruculu Kulpsuz Buzdolabı, 75cm, Beyaz</v>
      </c>
      <c r="C35" s="10">
        <v>24</v>
      </c>
      <c r="D35" s="10"/>
      <c r="E35" s="11"/>
      <c r="F35" s="11"/>
      <c r="G35" s="12"/>
      <c r="H35" s="12"/>
      <c r="I35" s="13">
        <v>1</v>
      </c>
      <c r="J35" s="13">
        <v>1</v>
      </c>
      <c r="K35" s="144"/>
      <c r="L35" s="13">
        <v>1</v>
      </c>
      <c r="M35" s="13"/>
      <c r="N35" s="14">
        <f t="shared" si="0"/>
        <v>27</v>
      </c>
      <c r="O35" s="11">
        <v>30</v>
      </c>
      <c r="P35" s="15"/>
      <c r="Q35" s="75">
        <v>68727.331170743899</v>
      </c>
      <c r="R35" s="81">
        <v>66665.511235621583</v>
      </c>
      <c r="S35" s="17">
        <v>69332.13168504645</v>
      </c>
      <c r="T35" s="18">
        <v>13712.21489167413</v>
      </c>
      <c r="U35" s="18"/>
      <c r="V35" s="19"/>
    </row>
    <row r="36" spans="1:23">
      <c r="A36" s="82" t="s">
        <v>46</v>
      </c>
      <c r="B36" s="74" t="str">
        <f>IFERROR(HYPERLINK(VLOOKUP(A36,ÜRÜNLER!A:C,3,FALSE),VLOOKUP(A36,ÜRÜNLER!A:B,2,FALSE)),"")</f>
        <v>iQ700 Alttan Donduruculu Kulplu Buzdolabı, 75cm, Inox</v>
      </c>
      <c r="C36" s="10">
        <v>39</v>
      </c>
      <c r="D36" s="10"/>
      <c r="E36" s="11">
        <v>2</v>
      </c>
      <c r="F36" s="11">
        <v>1</v>
      </c>
      <c r="G36" s="12"/>
      <c r="H36" s="12"/>
      <c r="I36" s="13">
        <v>1</v>
      </c>
      <c r="J36" s="13">
        <v>1</v>
      </c>
      <c r="K36" s="144"/>
      <c r="L36" s="13">
        <v>1</v>
      </c>
      <c r="M36" s="13"/>
      <c r="N36" s="14">
        <f t="shared" si="0"/>
        <v>45</v>
      </c>
      <c r="O36" s="11">
        <v>30</v>
      </c>
      <c r="P36" s="15"/>
      <c r="Q36" s="75">
        <v>89108.337432470944</v>
      </c>
      <c r="R36" s="81">
        <v>86435.087309496812</v>
      </c>
      <c r="S36" s="17">
        <v>89892.490801876687</v>
      </c>
      <c r="T36" s="18">
        <v>17382.756037122119</v>
      </c>
      <c r="U36" s="18"/>
      <c r="V36" s="19"/>
    </row>
    <row r="37" spans="1:23">
      <c r="A37" s="82" t="s">
        <v>47</v>
      </c>
      <c r="B37" s="74" t="str">
        <f>IFERROR(HYPERLINK(VLOOKUP(A37,ÜRÜNLER!A:C,3,FALSE),VLOOKUP(A37,ÜRÜNLER!A:B,2,FALSE)),"")</f>
        <v>iQ700 Alttan Donduruculu Kulplu Buzdolabı, 75cm, Beyaz</v>
      </c>
      <c r="C37" s="10">
        <v>18</v>
      </c>
      <c r="D37" s="10"/>
      <c r="E37" s="11">
        <v>1</v>
      </c>
      <c r="F37" s="11"/>
      <c r="G37" s="12"/>
      <c r="H37" s="12"/>
      <c r="I37" s="13">
        <v>1</v>
      </c>
      <c r="J37" s="13"/>
      <c r="K37" s="144">
        <v>3</v>
      </c>
      <c r="L37" s="13"/>
      <c r="M37" s="13"/>
      <c r="N37" s="14">
        <f t="shared" si="0"/>
        <v>23</v>
      </c>
      <c r="O37" s="11">
        <v>12</v>
      </c>
      <c r="P37" s="26"/>
      <c r="Q37" s="75">
        <v>82556.234666907607</v>
      </c>
      <c r="R37" s="81">
        <v>80079.547626900385</v>
      </c>
      <c r="S37" s="17">
        <v>83282.729531976394</v>
      </c>
      <c r="T37" s="18">
        <v>17041.118387837858</v>
      </c>
      <c r="U37" s="18"/>
      <c r="V37" s="19"/>
    </row>
    <row r="38" spans="1:23" s="25" customFormat="1">
      <c r="A38" s="28" t="s">
        <v>48</v>
      </c>
      <c r="B38" s="74" t="str">
        <f>IFERROR(HYPERLINK(VLOOKUP(A38,ÜRÜNLER!A:C,3,FALSE),VLOOKUP(A38,ÜRÜNLER!A:B,2,FALSE)),"")</f>
        <v>iQ500 Alttan Donduruculu Kulplu Buzdolabı, 86cm, Inox</v>
      </c>
      <c r="C38" s="10">
        <v>66</v>
      </c>
      <c r="D38" s="10"/>
      <c r="E38" s="11">
        <v>1</v>
      </c>
      <c r="F38" s="11">
        <v>1</v>
      </c>
      <c r="G38" s="12"/>
      <c r="H38" s="12"/>
      <c r="I38" s="13">
        <v>1</v>
      </c>
      <c r="J38" s="13">
        <v>1</v>
      </c>
      <c r="K38" s="144">
        <v>1</v>
      </c>
      <c r="L38" s="13">
        <v>1</v>
      </c>
      <c r="M38" s="13">
        <v>1</v>
      </c>
      <c r="N38" s="14">
        <f t="shared" si="0"/>
        <v>73</v>
      </c>
      <c r="O38" s="11">
        <v>154</v>
      </c>
      <c r="P38" s="15"/>
      <c r="Q38" s="75">
        <v>97945.23362132156</v>
      </c>
      <c r="R38" s="81">
        <v>95006.87661268191</v>
      </c>
      <c r="S38" s="17">
        <v>98807.151677189191</v>
      </c>
      <c r="T38" s="18">
        <v>27326.628970158796</v>
      </c>
      <c r="U38" s="18"/>
      <c r="V38" s="19"/>
      <c r="W38" s="140"/>
    </row>
    <row r="39" spans="1:23" s="25" customFormat="1">
      <c r="A39" s="82" t="s">
        <v>49</v>
      </c>
      <c r="B39" s="74" t="str">
        <f>IFERROR(HYPERLINK(VLOOKUP(A39,ÜRÜNLER!A:C,3,FALSE),VLOOKUP(A39,ÜRÜNLER!A:B,2,FALSE)),"")</f>
        <v>iQ500 Alttan Donduruculu Kulplu Buzdolabı, 86cm, Beyaz</v>
      </c>
      <c r="C39" s="10">
        <v>11</v>
      </c>
      <c r="D39" s="10"/>
      <c r="E39" s="11"/>
      <c r="F39" s="11">
        <v>1</v>
      </c>
      <c r="G39" s="12"/>
      <c r="H39" s="12"/>
      <c r="I39" s="13">
        <v>1</v>
      </c>
      <c r="J39" s="13"/>
      <c r="K39" s="144"/>
      <c r="L39" s="13"/>
      <c r="M39" s="13"/>
      <c r="N39" s="14">
        <f t="shared" si="0"/>
        <v>13</v>
      </c>
      <c r="O39" s="11">
        <v>24</v>
      </c>
      <c r="P39" s="26"/>
      <c r="Q39" s="75">
        <v>84927.532970575048</v>
      </c>
      <c r="R39" s="81">
        <v>82379.706981457799</v>
      </c>
      <c r="S39" s="17">
        <v>85674.895260716105</v>
      </c>
      <c r="T39" s="18">
        <v>19908.928319412273</v>
      </c>
      <c r="U39" s="18"/>
      <c r="V39" s="19"/>
      <c r="W39" s="140"/>
    </row>
    <row r="40" spans="1:23" s="25" customFormat="1">
      <c r="A40" s="82" t="s">
        <v>50</v>
      </c>
      <c r="B40" s="74" t="str">
        <f>IFERROR(HYPERLINK(VLOOKUP(A40,ÜRÜNLER!A:C,3,FALSE),VLOOKUP(A40,ÜRÜNLER!A:B,2,FALSE)),"")</f>
        <v>iQ500 Alttan Donduruculu Kulpsuz Buzdolabı, 86cm, Beyaz</v>
      </c>
      <c r="C40" s="10">
        <v>13</v>
      </c>
      <c r="D40" s="10"/>
      <c r="E40" s="11"/>
      <c r="F40" s="11">
        <v>1</v>
      </c>
      <c r="G40" s="12"/>
      <c r="H40" s="12"/>
      <c r="I40" s="13"/>
      <c r="J40" s="13">
        <v>1</v>
      </c>
      <c r="K40" s="144"/>
      <c r="L40" s="13"/>
      <c r="M40" s="13"/>
      <c r="N40" s="14">
        <f t="shared" si="0"/>
        <v>15</v>
      </c>
      <c r="O40" s="11">
        <v>12</v>
      </c>
      <c r="P40" s="15"/>
      <c r="Q40" s="75">
        <v>75297.092684184434</v>
      </c>
      <c r="R40" s="81">
        <v>73038.179903658907</v>
      </c>
      <c r="S40" s="17">
        <v>75959.707099805266</v>
      </c>
      <c r="T40" s="18">
        <v>13599.418265579792</v>
      </c>
      <c r="U40" s="18"/>
      <c r="V40" s="19"/>
      <c r="W40" s="140"/>
    </row>
    <row r="41" spans="1:23" s="25" customFormat="1">
      <c r="A41" s="92" t="s">
        <v>51</v>
      </c>
      <c r="B41" s="74" t="str">
        <f>IFERROR(HYPERLINK(VLOOKUP(A41,ÜRÜNLER!A:C,3,FALSE),VLOOKUP(A41,ÜRÜNLER!A:B,2,FALSE)),"")</f>
        <v>iQ700 Alttan Donduruculu Kulpsuz Buzdolabı, 86cm, darkSteel</v>
      </c>
      <c r="C41" s="10">
        <v>85</v>
      </c>
      <c r="D41" s="10"/>
      <c r="E41" s="11"/>
      <c r="F41" s="11"/>
      <c r="G41" s="12"/>
      <c r="H41" s="12"/>
      <c r="I41" s="13">
        <v>1</v>
      </c>
      <c r="J41" s="13"/>
      <c r="K41" s="144"/>
      <c r="L41" s="13">
        <v>1</v>
      </c>
      <c r="M41" s="13"/>
      <c r="N41" s="14">
        <f t="shared" si="0"/>
        <v>87</v>
      </c>
      <c r="O41" s="11">
        <v>40</v>
      </c>
      <c r="P41" s="15"/>
      <c r="Q41" s="75">
        <v>113177.54019884831</v>
      </c>
      <c r="R41" s="81">
        <v>109782.21399288285</v>
      </c>
      <c r="S41" s="17">
        <v>114173.50255259816</v>
      </c>
      <c r="T41" s="18">
        <v>27777.540198848321</v>
      </c>
      <c r="U41" s="18"/>
      <c r="V41" s="19"/>
      <c r="W41" s="141" t="s">
        <v>1373</v>
      </c>
    </row>
    <row r="42" spans="1:23" s="25" customFormat="1">
      <c r="A42" s="29" t="s">
        <v>52</v>
      </c>
      <c r="B42" s="74" t="str">
        <f>IFERROR(HYPERLINK(VLOOKUP(A42,ÜRÜNLER!A:C,3,FALSE),VLOOKUP(A42,ÜRÜNLER!A:B,2,FALSE)),"")</f>
        <v>iQ700 Alttan Donduruculu Kulplu Buzdolabı, 86cm, Inox</v>
      </c>
      <c r="C42" s="10">
        <v>2</v>
      </c>
      <c r="D42" s="10"/>
      <c r="E42" s="11"/>
      <c r="F42" s="11"/>
      <c r="G42" s="12"/>
      <c r="H42" s="12"/>
      <c r="I42" s="13"/>
      <c r="J42" s="13"/>
      <c r="K42" s="144"/>
      <c r="L42" s="13"/>
      <c r="M42" s="13"/>
      <c r="N42" s="14">
        <f t="shared" si="0"/>
        <v>2</v>
      </c>
      <c r="O42" s="11"/>
      <c r="P42" s="15"/>
      <c r="Q42" s="133" t="s">
        <v>1347</v>
      </c>
      <c r="R42" s="24">
        <v>80000</v>
      </c>
      <c r="S42" s="17">
        <v>83200</v>
      </c>
      <c r="T42" s="18"/>
      <c r="U42" s="18"/>
      <c r="V42" s="19"/>
      <c r="W42" s="140"/>
    </row>
    <row r="43" spans="1:23" s="25" customFormat="1">
      <c r="A43" s="29" t="s">
        <v>53</v>
      </c>
      <c r="B43" s="74" t="str">
        <f>IFERROR(HYPERLINK(VLOOKUP(A43,ÜRÜNLER!A:C,3,FALSE),VLOOKUP(A43,ÜRÜNLER!A:B,2,FALSE)),"")</f>
        <v>iQ700 Alttan Donduruculu Kulplu Buzdolabı, 86cm, Inox</v>
      </c>
      <c r="C43" s="10">
        <v>123</v>
      </c>
      <c r="D43" s="10"/>
      <c r="E43" s="11"/>
      <c r="F43" s="11">
        <v>1</v>
      </c>
      <c r="G43" s="12"/>
      <c r="H43" s="12"/>
      <c r="I43" s="13">
        <v>1</v>
      </c>
      <c r="J43" s="13"/>
      <c r="K43" s="144">
        <v>1</v>
      </c>
      <c r="L43" s="13">
        <v>1</v>
      </c>
      <c r="M43" s="13"/>
      <c r="N43" s="14">
        <f t="shared" si="0"/>
        <v>127</v>
      </c>
      <c r="O43" s="11">
        <v>90</v>
      </c>
      <c r="P43" s="26"/>
      <c r="Q43" s="75">
        <v>106366.38100913838</v>
      </c>
      <c r="R43" s="81">
        <v>103175.38957886423</v>
      </c>
      <c r="S43" s="17">
        <v>107302.4051620188</v>
      </c>
      <c r="T43" s="18">
        <v>28991.962404487247</v>
      </c>
      <c r="U43" s="18"/>
      <c r="V43" s="19"/>
      <c r="W43" s="141" t="s">
        <v>1373</v>
      </c>
    </row>
    <row r="44" spans="1:23">
      <c r="A44" s="29" t="s">
        <v>54</v>
      </c>
      <c r="B44" s="74" t="str">
        <f>IFERROR(HYPERLINK(VLOOKUP(A44,ÜRÜNLER!A:C,3,FALSE),VLOOKUP(A44,ÜRÜNLER!A:B,2,FALSE)),"")</f>
        <v>iQ700 Alttan Donduruculu Kulplu Buzdolabı, 86cm, Beyaz</v>
      </c>
      <c r="C44" s="10">
        <v>41</v>
      </c>
      <c r="D44" s="10"/>
      <c r="E44" s="11"/>
      <c r="F44" s="11">
        <v>1</v>
      </c>
      <c r="G44" s="12"/>
      <c r="H44" s="12"/>
      <c r="I44" s="13">
        <v>1</v>
      </c>
      <c r="J44" s="13">
        <v>1</v>
      </c>
      <c r="K44" s="144"/>
      <c r="L44" s="13"/>
      <c r="M44" s="13"/>
      <c r="N44" s="14">
        <f t="shared" si="0"/>
        <v>44</v>
      </c>
      <c r="O44" s="11">
        <v>24</v>
      </c>
      <c r="P44" s="15"/>
      <c r="Q44" s="75">
        <v>98399.958748058751</v>
      </c>
      <c r="R44" s="81">
        <v>95447.959985616995</v>
      </c>
      <c r="S44" s="17">
        <v>99265.87838504168</v>
      </c>
      <c r="T44" s="18">
        <v>24029.028515500617</v>
      </c>
      <c r="U44" s="18"/>
      <c r="V44" s="19"/>
      <c r="W44" s="141" t="s">
        <v>1373</v>
      </c>
    </row>
    <row r="45" spans="1:23" ht="30">
      <c r="A45" s="30" t="s">
        <v>55</v>
      </c>
      <c r="B45" s="74" t="str">
        <f>IFERROR(HYPERLINK(VLOOKUP(A45,ÜRÜNLER!A:C,3,FALSE),VLOOKUP(A45,ÜRÜNLER!A:B,2,FALSE)),"")</f>
        <v/>
      </c>
      <c r="C45" s="147" t="s">
        <v>56</v>
      </c>
      <c r="D45" s="10"/>
      <c r="E45" s="11"/>
      <c r="F45" s="11"/>
      <c r="G45" s="12"/>
      <c r="H45" s="12"/>
      <c r="I45" s="13"/>
      <c r="J45" s="13"/>
      <c r="K45" s="144"/>
      <c r="L45" s="13"/>
      <c r="M45" s="13"/>
      <c r="N45" s="14">
        <f>SUM(N2:N44)</f>
        <v>832</v>
      </c>
      <c r="O45" s="11"/>
      <c r="P45" s="11"/>
      <c r="Q45" s="133"/>
      <c r="R45" s="19"/>
      <c r="S45" s="17"/>
      <c r="T45" s="18"/>
      <c r="U45" s="18"/>
      <c r="V45" s="19"/>
    </row>
    <row r="46" spans="1:23">
      <c r="A46" s="82" t="s">
        <v>57</v>
      </c>
      <c r="B46" s="74" t="str">
        <f>IFERROR(HYPERLINK(VLOOKUP(A46,ÜRÜNLER!A:C,3,FALSE),VLOOKUP(A46,ÜRÜNLER!A:B,2,FALSE)),"")</f>
        <v>iQ300 Derin Dondurucu, 146x60cm, Statik, Beyaz</v>
      </c>
      <c r="C46" s="10">
        <v>100</v>
      </c>
      <c r="D46" s="10"/>
      <c r="E46" s="11"/>
      <c r="F46" s="11"/>
      <c r="G46" s="12"/>
      <c r="H46" s="12"/>
      <c r="I46" s="13"/>
      <c r="J46" s="13">
        <v>1</v>
      </c>
      <c r="K46" s="144"/>
      <c r="L46" s="13"/>
      <c r="M46" s="13"/>
      <c r="N46" s="14">
        <f t="shared" ref="N46:N68" si="1">SUM(C46:M46)</f>
        <v>101</v>
      </c>
      <c r="O46" s="11"/>
      <c r="P46" s="15" t="s">
        <v>17</v>
      </c>
      <c r="Q46" s="75">
        <v>24592.564804472826</v>
      </c>
      <c r="R46" s="32">
        <v>25822.193044696469</v>
      </c>
      <c r="S46" s="17">
        <v>26855.080766484327</v>
      </c>
      <c r="T46" s="18">
        <v>3390.0854656298511</v>
      </c>
      <c r="U46" s="18"/>
      <c r="V46" s="19"/>
    </row>
    <row r="47" spans="1:23">
      <c r="A47" s="82" t="s">
        <v>58</v>
      </c>
      <c r="B47" s="74" t="str">
        <f>IFERROR(HYPERLINK(VLOOKUP(A47,ÜRÜNLER!A:C,3,FALSE),VLOOKUP(A47,ÜRÜNLER!A:B,2,FALSE)),"")</f>
        <v>iQ300 Derin Dondurucu, 146x60cm, Statik, Beyaz</v>
      </c>
      <c r="C47" s="10"/>
      <c r="D47" s="10"/>
      <c r="E47" s="11">
        <v>1</v>
      </c>
      <c r="F47" s="11"/>
      <c r="G47" s="12"/>
      <c r="H47" s="12"/>
      <c r="I47" s="13"/>
      <c r="J47" s="13"/>
      <c r="K47" s="144">
        <v>1</v>
      </c>
      <c r="L47" s="13"/>
      <c r="M47" s="13"/>
      <c r="N47" s="14">
        <f t="shared" si="1"/>
        <v>2</v>
      </c>
      <c r="O47" s="11"/>
      <c r="P47" s="15" t="s">
        <v>17</v>
      </c>
      <c r="Q47" s="133" t="s">
        <v>1347</v>
      </c>
      <c r="R47" s="24">
        <v>20000</v>
      </c>
      <c r="S47" s="17">
        <v>20800</v>
      </c>
      <c r="T47" s="18"/>
      <c r="U47" s="18"/>
      <c r="V47" s="19">
        <v>500</v>
      </c>
    </row>
    <row r="48" spans="1:23">
      <c r="A48" s="84" t="s">
        <v>59</v>
      </c>
      <c r="B48" s="74" t="str">
        <f>IFERROR(HYPERLINK(VLOOKUP(A48,ÜRÜNLER!A:C,3,FALSE),VLOOKUP(A48,ÜRÜNLER!A:B,2,FALSE)),"")</f>
        <v>iQ300 Derin Dondurucu, 161x60cm, No-Frost, Beyaz</v>
      </c>
      <c r="C48" s="10">
        <v>5</v>
      </c>
      <c r="D48" s="10"/>
      <c r="E48" s="11"/>
      <c r="F48" s="11"/>
      <c r="G48" s="12"/>
      <c r="H48" s="12"/>
      <c r="I48" s="13"/>
      <c r="J48" s="13"/>
      <c r="K48" s="144"/>
      <c r="L48" s="13"/>
      <c r="M48" s="13"/>
      <c r="N48" s="14">
        <f t="shared" si="1"/>
        <v>5</v>
      </c>
      <c r="O48" s="11">
        <v>6</v>
      </c>
      <c r="P48" s="15" t="s">
        <v>17</v>
      </c>
      <c r="Q48" s="75">
        <v>37824.325084093936</v>
      </c>
      <c r="R48" s="32">
        <v>39715.54133829863</v>
      </c>
      <c r="S48" s="17">
        <v>41304.162991830577</v>
      </c>
      <c r="T48" s="18">
        <v>5853.7368487998174</v>
      </c>
      <c r="U48" s="18"/>
      <c r="V48" s="19"/>
    </row>
    <row r="49" spans="1:22">
      <c r="A49" s="84" t="s">
        <v>60</v>
      </c>
      <c r="B49" s="74" t="str">
        <f>IFERROR(HYPERLINK(VLOOKUP(A49,ÜRÜNLER!A:C,3,FALSE),VLOOKUP(A49,ÜRÜNLER!A:B,2,FALSE)),"")</f>
        <v>iQ300 Derin Dondurucu, 161x60cm, Statik, Beyaz</v>
      </c>
      <c r="C49" s="10">
        <v>103</v>
      </c>
      <c r="D49" s="10"/>
      <c r="E49" s="11"/>
      <c r="F49" s="11">
        <v>1</v>
      </c>
      <c r="G49" s="12"/>
      <c r="H49" s="12"/>
      <c r="I49" s="13">
        <v>1</v>
      </c>
      <c r="J49" s="13">
        <v>1</v>
      </c>
      <c r="K49" s="144"/>
      <c r="L49" s="13"/>
      <c r="M49" s="13"/>
      <c r="N49" s="14">
        <f t="shared" si="1"/>
        <v>106</v>
      </c>
      <c r="O49" s="11"/>
      <c r="P49" s="15" t="s">
        <v>17</v>
      </c>
      <c r="Q49" s="75">
        <v>25437.803391758665</v>
      </c>
      <c r="R49" s="32">
        <v>26709.693561346598</v>
      </c>
      <c r="S49" s="17">
        <v>27778.08130380046</v>
      </c>
      <c r="T49" s="18">
        <v>3504.9521520892454</v>
      </c>
      <c r="U49" s="18"/>
      <c r="V49" s="19"/>
    </row>
    <row r="50" spans="1:22">
      <c r="A50" s="84" t="s">
        <v>61</v>
      </c>
      <c r="B50" s="74" t="str">
        <f>IFERROR(HYPERLINK(VLOOKUP(A50,ÜRÜNLER!A:C,3,FALSE),VLOOKUP(A50,ÜRÜNLER!A:B,2,FALSE)),"")</f>
        <v>iQ300 Derin Dondurucu, 176x60cm, Statik, Inox</v>
      </c>
      <c r="C50" s="10">
        <v>59</v>
      </c>
      <c r="D50" s="10"/>
      <c r="E50" s="11">
        <v>2</v>
      </c>
      <c r="F50" s="11">
        <v>2</v>
      </c>
      <c r="G50" s="12"/>
      <c r="H50" s="12"/>
      <c r="I50" s="13">
        <v>1</v>
      </c>
      <c r="J50" s="13"/>
      <c r="K50" s="144">
        <v>1</v>
      </c>
      <c r="L50" s="13">
        <v>1</v>
      </c>
      <c r="M50" s="13">
        <v>1</v>
      </c>
      <c r="N50" s="14">
        <f t="shared" si="1"/>
        <v>67</v>
      </c>
      <c r="O50" s="11">
        <v>53</v>
      </c>
      <c r="P50" s="15" t="s">
        <v>17</v>
      </c>
      <c r="Q50" s="75">
        <v>31580.842639611688</v>
      </c>
      <c r="R50" s="32">
        <v>33159.884771592275</v>
      </c>
      <c r="S50" s="17">
        <v>34486.280162455965</v>
      </c>
      <c r="T50" s="18">
        <v>4354.6029701902044</v>
      </c>
      <c r="U50" s="18"/>
      <c r="V50" s="19"/>
    </row>
    <row r="51" spans="1:22">
      <c r="A51" s="84" t="s">
        <v>62</v>
      </c>
      <c r="B51" s="74" t="str">
        <f>IFERROR(HYPERLINK(VLOOKUP(A51,ÜRÜNLER!A:C,3,FALSE),VLOOKUP(A51,ÜRÜNLER!A:B,2,FALSE)),"")</f>
        <v>iQ300 Derin Dondurucu, 176x60cm, Statik, Beyaz</v>
      </c>
      <c r="C51" s="10">
        <v>119</v>
      </c>
      <c r="D51" s="10"/>
      <c r="E51" s="11">
        <v>5</v>
      </c>
      <c r="F51" s="11"/>
      <c r="G51" s="12"/>
      <c r="H51" s="12"/>
      <c r="I51" s="13">
        <v>1</v>
      </c>
      <c r="J51" s="13">
        <v>1</v>
      </c>
      <c r="K51" s="144"/>
      <c r="L51" s="13"/>
      <c r="M51" s="13"/>
      <c r="N51" s="14">
        <f t="shared" si="1"/>
        <v>126</v>
      </c>
      <c r="O51" s="11">
        <v>24</v>
      </c>
      <c r="P51" s="15" t="s">
        <v>17</v>
      </c>
      <c r="Q51" s="75">
        <v>28432.702244249125</v>
      </c>
      <c r="R51" s="32">
        <v>29854.337356461583</v>
      </c>
      <c r="S51" s="17">
        <v>31048.510850720046</v>
      </c>
      <c r="T51" s="18">
        <v>3918.2394343317719</v>
      </c>
      <c r="U51" s="18"/>
      <c r="V51" s="19"/>
    </row>
    <row r="52" spans="1:22">
      <c r="A52" s="84" t="s">
        <v>1375</v>
      </c>
      <c r="B52" s="74" t="str">
        <f>IFERROR(HYPERLINK(VLOOKUP(A52,ÜRÜNLER!A:C,3,FALSE),VLOOKUP(A52,ÜRÜNLER!A:B,2,FALSE)),"")</f>
        <v>iQ300 Derin Dondurucu, 186x60cm, No-Frost, Inox</v>
      </c>
      <c r="C52" s="10">
        <v>38</v>
      </c>
      <c r="D52" s="10"/>
      <c r="E52" s="11"/>
      <c r="F52" s="11"/>
      <c r="G52" s="12"/>
      <c r="H52" s="12"/>
      <c r="I52" s="13"/>
      <c r="J52" s="13"/>
      <c r="K52" s="144"/>
      <c r="L52" s="13"/>
      <c r="M52" s="13"/>
      <c r="N52" s="14">
        <f t="shared" si="1"/>
        <v>38</v>
      </c>
      <c r="O52" s="11">
        <v>32</v>
      </c>
      <c r="P52" s="15" t="s">
        <v>17</v>
      </c>
      <c r="Q52" s="75">
        <v>32621.398982558141</v>
      </c>
      <c r="R52" s="32">
        <v>34252.468931686046</v>
      </c>
      <c r="S52" s="17">
        <v>35622.567688953488</v>
      </c>
      <c r="T52" s="18"/>
      <c r="U52" s="18"/>
      <c r="V52" s="19"/>
    </row>
    <row r="53" spans="1:22">
      <c r="A53" s="163" t="s">
        <v>63</v>
      </c>
      <c r="B53" s="74" t="str">
        <f>IFERROR(HYPERLINK(VLOOKUP(A53,ÜRÜNLER!A:C,3,FALSE),VLOOKUP(A53,ÜRÜNLER!A:B,2,FALSE)),"")</f>
        <v>iQ300 Derin Dondurucu, 186x60cm, No-Frost Inox</v>
      </c>
      <c r="C53" s="10"/>
      <c r="D53" s="10"/>
      <c r="E53" s="11"/>
      <c r="F53" s="11">
        <v>1</v>
      </c>
      <c r="G53" s="12"/>
      <c r="H53" s="12"/>
      <c r="I53" s="13"/>
      <c r="J53" s="13"/>
      <c r="K53" s="144"/>
      <c r="L53" s="13"/>
      <c r="M53" s="13"/>
      <c r="N53" s="14">
        <f t="shared" si="1"/>
        <v>1</v>
      </c>
      <c r="O53" s="11"/>
      <c r="P53" s="15" t="s">
        <v>17</v>
      </c>
      <c r="Q53" s="75">
        <v>35452.698447266106</v>
      </c>
      <c r="R53" s="32">
        <v>37225.333369629414</v>
      </c>
      <c r="S53" s="17">
        <v>38714.346704414587</v>
      </c>
      <c r="T53" s="18"/>
      <c r="U53" s="18"/>
      <c r="V53" s="19"/>
    </row>
    <row r="54" spans="1:22">
      <c r="A54" s="84" t="s">
        <v>64</v>
      </c>
      <c r="B54" s="74" t="str">
        <f>IFERROR(HYPERLINK(VLOOKUP(A54,ÜRÜNLER!A:C,3,FALSE),VLOOKUP(A54,ÜRÜNLER!A:B,2,FALSE)),"")</f>
        <v>iQ300 Derin Dondurucu, 186x60cm, No-Frost, Beyaz</v>
      </c>
      <c r="C54" s="10"/>
      <c r="D54" s="10"/>
      <c r="E54" s="11"/>
      <c r="F54" s="11"/>
      <c r="G54" s="12"/>
      <c r="H54" s="12"/>
      <c r="I54" s="13"/>
      <c r="J54" s="13"/>
      <c r="K54" s="144">
        <v>1</v>
      </c>
      <c r="L54" s="13"/>
      <c r="M54" s="13"/>
      <c r="N54" s="14">
        <f t="shared" si="1"/>
        <v>1</v>
      </c>
      <c r="O54" s="11"/>
      <c r="P54" s="15" t="s">
        <v>17</v>
      </c>
      <c r="Q54" s="133" t="s">
        <v>1347</v>
      </c>
      <c r="R54" s="24">
        <v>30000</v>
      </c>
      <c r="S54" s="17">
        <v>31200</v>
      </c>
      <c r="T54" s="18"/>
      <c r="U54" s="18"/>
      <c r="V54" s="19">
        <v>500</v>
      </c>
    </row>
    <row r="55" spans="1:22">
      <c r="A55" s="163" t="s">
        <v>65</v>
      </c>
      <c r="B55" s="74" t="str">
        <f>IFERROR(HYPERLINK(VLOOKUP(A55,ÜRÜNLER!A:C,3,FALSE),VLOOKUP(A55,ÜRÜNLER!A:B,2,FALSE)),"")</f>
        <v>iQ300 Derin Dondurucu, 176x70cm, No-Frost, Beyaz</v>
      </c>
      <c r="C55" s="10">
        <v>38</v>
      </c>
      <c r="D55" s="10"/>
      <c r="E55" s="11">
        <v>3</v>
      </c>
      <c r="F55" s="11"/>
      <c r="G55" s="12"/>
      <c r="H55" s="12"/>
      <c r="I55" s="13"/>
      <c r="J55" s="13"/>
      <c r="K55" s="144"/>
      <c r="L55" s="13"/>
      <c r="M55" s="13"/>
      <c r="N55" s="14">
        <f t="shared" si="1"/>
        <v>41</v>
      </c>
      <c r="O55" s="11">
        <v>60</v>
      </c>
      <c r="P55" s="15" t="s">
        <v>17</v>
      </c>
      <c r="Q55" s="75">
        <v>41328.219470344258</v>
      </c>
      <c r="R55" s="32">
        <v>43394.630443861468</v>
      </c>
      <c r="S55" s="17">
        <v>45130.415661615923</v>
      </c>
      <c r="T55" s="18">
        <v>6401.7488821089655</v>
      </c>
      <c r="U55" s="18"/>
      <c r="V55" s="19"/>
    </row>
    <row r="56" spans="1:22">
      <c r="A56" s="82" t="s">
        <v>66</v>
      </c>
      <c r="B56" s="74" t="str">
        <f>IFERROR(HYPERLINK(VLOOKUP(A56,ÜRÜNLER!A:C,3,FALSE),VLOOKUP(A56,ÜRÜNLER!A:B,2,FALSE)),"")</f>
        <v>iQ700 studioLine Ankastre Şarap Soğutucu, 212.5x60.3cm</v>
      </c>
      <c r="C56" s="10"/>
      <c r="D56" s="10">
        <v>5</v>
      </c>
      <c r="E56" s="11"/>
      <c r="F56" s="11"/>
      <c r="G56" s="12"/>
      <c r="H56" s="12">
        <v>1</v>
      </c>
      <c r="I56" s="13"/>
      <c r="J56" s="13"/>
      <c r="K56" s="144"/>
      <c r="L56" s="13"/>
      <c r="M56" s="13"/>
      <c r="N56" s="14">
        <f t="shared" si="1"/>
        <v>6</v>
      </c>
      <c r="O56" s="11"/>
      <c r="P56" s="15"/>
      <c r="Q56" s="75">
        <v>311386.8525140846</v>
      </c>
      <c r="R56" s="33">
        <v>289589.7728380987</v>
      </c>
      <c r="S56" s="17">
        <v>301173.36375162262</v>
      </c>
      <c r="T56" s="18"/>
      <c r="U56" s="18"/>
      <c r="V56" s="19">
        <v>500</v>
      </c>
    </row>
    <row r="57" spans="1:22">
      <c r="A57" s="82" t="s">
        <v>67</v>
      </c>
      <c r="B57" s="74" t="str">
        <f>IFERROR(HYPERLINK(VLOOKUP(A57,ÜRÜNLER!A:C,3,FALSE),VLOOKUP(A57,ÜRÜNLER!A:B,2,FALSE)),"")</f>
        <v>iQ700 studioLine Alttan Donduruculu Ankastre Buzdolabı, 212.5x75.6cm, Düz Menteşe</v>
      </c>
      <c r="C57" s="10"/>
      <c r="D57" s="10">
        <v>5</v>
      </c>
      <c r="E57" s="11"/>
      <c r="F57" s="11"/>
      <c r="G57" s="12"/>
      <c r="H57" s="12">
        <v>1</v>
      </c>
      <c r="I57" s="13"/>
      <c r="J57" s="13"/>
      <c r="K57" s="144"/>
      <c r="L57" s="13"/>
      <c r="M57" s="13"/>
      <c r="N57" s="14">
        <f t="shared" si="1"/>
        <v>6</v>
      </c>
      <c r="O57" s="11"/>
      <c r="P57" s="15"/>
      <c r="Q57" s="75">
        <v>260305</v>
      </c>
      <c r="R57" s="33">
        <v>242083.65</v>
      </c>
      <c r="S57" s="17">
        <v>251766.99599999998</v>
      </c>
      <c r="T57" s="18"/>
      <c r="U57" s="18"/>
      <c r="V57" s="19">
        <v>500</v>
      </c>
    </row>
    <row r="58" spans="1:22">
      <c r="A58" s="85" t="s">
        <v>68</v>
      </c>
      <c r="B58" s="74" t="str">
        <f>IFERROR(HYPERLINK(VLOOKUP(A58,ÜRÜNLER!A:C,3,FALSE),VLOOKUP(A58,ÜRÜNLER!A:B,2,FALSE)),"")</f>
        <v>iQ700 studioLine Ankastre Buzdolabı, 212.5x75.6cm, Düz Menteşe</v>
      </c>
      <c r="C58" s="10"/>
      <c r="D58" s="10">
        <v>6</v>
      </c>
      <c r="E58" s="11"/>
      <c r="F58" s="11"/>
      <c r="G58" s="12"/>
      <c r="H58" s="12"/>
      <c r="I58" s="13"/>
      <c r="J58" s="13">
        <v>1</v>
      </c>
      <c r="K58" s="144">
        <v>1</v>
      </c>
      <c r="L58" s="13"/>
      <c r="M58" s="13">
        <v>1</v>
      </c>
      <c r="N58" s="14">
        <f t="shared" si="1"/>
        <v>9</v>
      </c>
      <c r="O58" s="11"/>
      <c r="P58" s="15"/>
      <c r="Q58" s="75">
        <v>339447.9141754203</v>
      </c>
      <c r="R58" s="33">
        <v>315686.56018314086</v>
      </c>
      <c r="S58" s="17">
        <v>328314.02259046648</v>
      </c>
      <c r="T58" s="18"/>
      <c r="U58" s="18"/>
      <c r="V58" s="19">
        <v>500</v>
      </c>
    </row>
    <row r="59" spans="1:22">
      <c r="A59" s="82" t="s">
        <v>69</v>
      </c>
      <c r="B59" s="74" t="str">
        <f>IFERROR(HYPERLINK(VLOOKUP(A59,ÜRÜNLER!A:C,3,FALSE),VLOOKUP(A59,ÜRÜNLER!A:B,2,FALSE)),"")</f>
        <v>iQ700 Alttan Donduruculu Ankastre Buzdolabı, 212.5x90.8cm, Düz Menteşe</v>
      </c>
      <c r="C59" s="10"/>
      <c r="D59" s="10"/>
      <c r="E59" s="11">
        <v>1</v>
      </c>
      <c r="F59" s="11"/>
      <c r="G59" s="12"/>
      <c r="H59" s="12">
        <v>1</v>
      </c>
      <c r="I59" s="13"/>
      <c r="J59" s="13"/>
      <c r="K59" s="144">
        <v>1</v>
      </c>
      <c r="L59" s="13"/>
      <c r="M59" s="13"/>
      <c r="N59" s="14">
        <f t="shared" si="1"/>
        <v>3</v>
      </c>
      <c r="O59" s="11"/>
      <c r="P59" s="15"/>
      <c r="Q59" s="133" t="s">
        <v>1347</v>
      </c>
      <c r="R59" s="24">
        <v>300000</v>
      </c>
      <c r="S59" s="17">
        <v>312000</v>
      </c>
      <c r="T59" s="18"/>
      <c r="U59" s="18"/>
      <c r="V59" s="19">
        <v>500</v>
      </c>
    </row>
    <row r="60" spans="1:22">
      <c r="A60" s="85" t="s">
        <v>70</v>
      </c>
      <c r="B60" s="74" t="str">
        <f>IFERROR(HYPERLINK(VLOOKUP(A60,ÜRÜNLER!A:C,3,FALSE),VLOOKUP(A60,ÜRÜNLER!A:B,2,FALSE)),"")</f>
        <v>iQ700 Ankastre Derin Dondurucu, 212.5x60.3cm, Düz Menteşe</v>
      </c>
      <c r="C60" s="10"/>
      <c r="D60" s="10"/>
      <c r="E60" s="11"/>
      <c r="F60" s="11"/>
      <c r="G60" s="12"/>
      <c r="H60" s="12"/>
      <c r="I60" s="13"/>
      <c r="J60" s="13">
        <v>1</v>
      </c>
      <c r="K60" s="144">
        <v>1</v>
      </c>
      <c r="L60" s="13"/>
      <c r="M60" s="13">
        <v>1</v>
      </c>
      <c r="N60" s="14">
        <f t="shared" si="1"/>
        <v>3</v>
      </c>
      <c r="O60" s="11"/>
      <c r="P60" s="15"/>
      <c r="Q60" s="133" t="s">
        <v>1347</v>
      </c>
      <c r="R60" s="24">
        <v>224999</v>
      </c>
      <c r="S60" s="17">
        <v>233998.96</v>
      </c>
      <c r="T60" s="18"/>
      <c r="U60" s="18"/>
      <c r="V60" s="19">
        <v>500</v>
      </c>
    </row>
    <row r="61" spans="1:22">
      <c r="A61" s="85" t="s">
        <v>71</v>
      </c>
      <c r="B61" s="74" t="str">
        <f>IFERROR(HYPERLINK(VLOOKUP(A61,ÜRÜNLER!A:C,3,FALSE),VLOOKUP(A61,ÜRÜNLER!A:B,2,FALSE)),"")</f>
        <v>iQ700 Ankastre Derin Dondurucu, 212.5x60.3cm, Düz Menteşe</v>
      </c>
      <c r="C61" s="10">
        <v>1</v>
      </c>
      <c r="D61" s="10"/>
      <c r="E61" s="11"/>
      <c r="F61" s="11"/>
      <c r="G61" s="12"/>
      <c r="H61" s="12"/>
      <c r="I61" s="13"/>
      <c r="J61" s="13"/>
      <c r="K61" s="144"/>
      <c r="L61" s="13"/>
      <c r="M61" s="13"/>
      <c r="N61" s="14">
        <f t="shared" si="1"/>
        <v>1</v>
      </c>
      <c r="O61" s="11"/>
      <c r="P61" s="15"/>
      <c r="Q61" s="75">
        <v>323156.50178004295</v>
      </c>
      <c r="R61" s="65">
        <v>306998.6766910408</v>
      </c>
      <c r="S61" s="17">
        <v>319278.62375868246</v>
      </c>
      <c r="T61" s="18"/>
      <c r="U61" s="18"/>
      <c r="V61" s="19"/>
    </row>
    <row r="62" spans="1:22">
      <c r="A62" s="85" t="s">
        <v>72</v>
      </c>
      <c r="B62" s="74" t="str">
        <f>IFERROR(HYPERLINK(VLOOKUP(A62,ÜRÜNLER!A:C,3,FALSE),VLOOKUP(A62,ÜRÜNLER!A:B,2,FALSE)),"")</f>
        <v>iQ500 Tezgah Altı Ankastre Buzdolabı, 82x59.8cm, softClosing Düz Menteşe</v>
      </c>
      <c r="C62" s="10">
        <v>1</v>
      </c>
      <c r="D62" s="10"/>
      <c r="E62" s="11"/>
      <c r="F62" s="11"/>
      <c r="G62" s="12"/>
      <c r="H62" s="12"/>
      <c r="I62" s="13"/>
      <c r="J62" s="13"/>
      <c r="K62" s="144"/>
      <c r="L62" s="13"/>
      <c r="M62" s="13"/>
      <c r="N62" s="14">
        <f t="shared" si="1"/>
        <v>1</v>
      </c>
      <c r="O62" s="11"/>
      <c r="P62" s="15"/>
      <c r="Q62" s="75">
        <v>56110.789288027554</v>
      </c>
      <c r="R62" s="65">
        <v>53305.249823626174</v>
      </c>
      <c r="S62" s="17">
        <v>55437.459816571223</v>
      </c>
      <c r="T62" s="18"/>
      <c r="U62" s="18"/>
      <c r="V62" s="19"/>
    </row>
    <row r="63" spans="1:22">
      <c r="A63" s="85" t="s">
        <v>73</v>
      </c>
      <c r="B63" s="74" t="str">
        <f>IFERROR(HYPERLINK(VLOOKUP(A63,ÜRÜNLER!A:C,3,FALSE),VLOOKUP(A63,ÜRÜNLER!A:B,2,FALSE)),"")</f>
        <v>iQ500 Ankastre Şarap Soğutucu, 81.8x59.8cm</v>
      </c>
      <c r="C63" s="10">
        <v>4</v>
      </c>
      <c r="D63" s="10"/>
      <c r="E63" s="11"/>
      <c r="F63" s="11"/>
      <c r="G63" s="12"/>
      <c r="H63" s="12"/>
      <c r="I63" s="13"/>
      <c r="J63" s="13">
        <v>1</v>
      </c>
      <c r="K63" s="144"/>
      <c r="L63" s="13">
        <v>1</v>
      </c>
      <c r="M63" s="13"/>
      <c r="N63" s="14">
        <f t="shared" si="1"/>
        <v>6</v>
      </c>
      <c r="O63" s="11"/>
      <c r="P63" s="15"/>
      <c r="Q63" s="75">
        <v>81512.571512320006</v>
      </c>
      <c r="R63" s="65">
        <v>77436.942936703999</v>
      </c>
      <c r="S63" s="17">
        <v>80534.420654172165</v>
      </c>
      <c r="T63" s="18"/>
      <c r="U63" s="18"/>
      <c r="V63" s="19"/>
    </row>
    <row r="64" spans="1:22">
      <c r="A64" s="85" t="s">
        <v>74</v>
      </c>
      <c r="B64" s="74" t="str">
        <f>IFERROR(HYPERLINK(VLOOKUP(A64,ÜRÜNLER!A:C,3,FALSE),VLOOKUP(A64,ÜRÜNLER!A:B,2,FALSE)),"")</f>
        <v>iQ500 Derin Donduruculu Ankastre Buzdolabı, 177.2x55.8cm, softClosing Düz Menteşe</v>
      </c>
      <c r="C64" s="10">
        <v>10</v>
      </c>
      <c r="D64" s="10"/>
      <c r="E64" s="11"/>
      <c r="F64" s="11"/>
      <c r="G64" s="12"/>
      <c r="H64" s="12"/>
      <c r="I64" s="13"/>
      <c r="J64" s="13"/>
      <c r="K64" s="144"/>
      <c r="L64" s="13"/>
      <c r="M64" s="13"/>
      <c r="N64" s="14">
        <f t="shared" si="1"/>
        <v>10</v>
      </c>
      <c r="O64" s="11">
        <v>2</v>
      </c>
      <c r="P64" s="15"/>
      <c r="Q64" s="75">
        <v>90559.003627366925</v>
      </c>
      <c r="R64" s="65">
        <v>86031.053445998579</v>
      </c>
      <c r="S64" s="17">
        <v>89472.295583838524</v>
      </c>
      <c r="T64" s="18"/>
      <c r="U64" s="18"/>
      <c r="V64" s="19"/>
    </row>
    <row r="65" spans="1:24">
      <c r="A65" s="85" t="s">
        <v>75</v>
      </c>
      <c r="B65" s="74" t="str">
        <f>IFERROR(HYPERLINK(VLOOKUP(A65,ÜRÜNLER!A:C,3,FALSE),VLOOKUP(A65,ÜRÜNLER!A:B,2,FALSE)),"")</f>
        <v>iQ500 Alttan Donduruculu Ankastre Buzdolabı, 177.2x55.8cm, softClosing Düz Menteşe</v>
      </c>
      <c r="C65" s="10"/>
      <c r="D65" s="10"/>
      <c r="E65" s="11"/>
      <c r="F65" s="11"/>
      <c r="G65" s="12"/>
      <c r="H65" s="12">
        <v>1</v>
      </c>
      <c r="I65" s="13"/>
      <c r="J65" s="13"/>
      <c r="K65" s="144"/>
      <c r="L65" s="13"/>
      <c r="M65" s="13">
        <v>1</v>
      </c>
      <c r="N65" s="14">
        <f t="shared" si="1"/>
        <v>2</v>
      </c>
      <c r="O65" s="11"/>
      <c r="P65" s="15"/>
      <c r="Q65" s="133" t="s">
        <v>1347</v>
      </c>
      <c r="R65" s="24">
        <v>72499</v>
      </c>
      <c r="S65" s="17">
        <v>75398.960000000006</v>
      </c>
      <c r="T65" s="18"/>
      <c r="U65" s="18"/>
      <c r="V65" s="19">
        <v>500</v>
      </c>
    </row>
    <row r="66" spans="1:24">
      <c r="A66" s="82" t="s">
        <v>76</v>
      </c>
      <c r="B66" s="74" t="str">
        <f>IFERROR(HYPERLINK(VLOOKUP(A66,ÜRÜNLER!A:C,3,FALSE),VLOOKUP(A66,ÜRÜNLER!A:B,2,FALSE)),"")</f>
        <v>iQ500 Alttan Donduruculu Ankastre Buzdolabı, 177.2x55.8cm, Düz Menteşe</v>
      </c>
      <c r="C66" s="10">
        <v>11</v>
      </c>
      <c r="D66" s="10"/>
      <c r="E66" s="11">
        <v>2</v>
      </c>
      <c r="F66" s="11">
        <v>1</v>
      </c>
      <c r="G66" s="12"/>
      <c r="H66" s="12"/>
      <c r="I66" s="13"/>
      <c r="J66" s="13"/>
      <c r="K66" s="144">
        <v>1</v>
      </c>
      <c r="L66" s="13"/>
      <c r="M66" s="13"/>
      <c r="N66" s="14">
        <f t="shared" si="1"/>
        <v>15</v>
      </c>
      <c r="O66" s="11"/>
      <c r="P66" s="15"/>
      <c r="Q66" s="75">
        <v>86644.862421618411</v>
      </c>
      <c r="R66" s="65">
        <v>82312.619300537495</v>
      </c>
      <c r="S66" s="17">
        <v>85605.124072558989</v>
      </c>
      <c r="T66" s="18"/>
      <c r="U66" s="18"/>
      <c r="V66" s="19"/>
    </row>
    <row r="67" spans="1:24">
      <c r="A67" s="85" t="s">
        <v>77</v>
      </c>
      <c r="B67" s="74" t="str">
        <f>IFERROR(HYPERLINK(VLOOKUP(A67,ÜRÜNLER!A:C,3,FALSE),VLOOKUP(A67,ÜRÜNLER!A:B,2,FALSE)),"")</f>
        <v>iQ500 Alttan Donduruculu Ankastre Buzdolabı, 193.5x70.8cm, softClosing Düz Menteşe</v>
      </c>
      <c r="C67" s="10">
        <v>7</v>
      </c>
      <c r="D67" s="10"/>
      <c r="E67" s="11"/>
      <c r="F67" s="11"/>
      <c r="G67" s="12"/>
      <c r="H67" s="12"/>
      <c r="I67" s="13"/>
      <c r="J67" s="13"/>
      <c r="K67" s="144"/>
      <c r="L67" s="13"/>
      <c r="M67" s="13"/>
      <c r="N67" s="14">
        <f t="shared" si="1"/>
        <v>7</v>
      </c>
      <c r="O67" s="11">
        <v>9</v>
      </c>
      <c r="P67" s="15"/>
      <c r="Q67" s="75">
        <v>103417.85300576025</v>
      </c>
      <c r="R67" s="65">
        <v>98246.960355472242</v>
      </c>
      <c r="S67" s="17">
        <v>102176.83876969114</v>
      </c>
      <c r="T67" s="18"/>
      <c r="U67" s="18"/>
      <c r="V67" s="19"/>
    </row>
    <row r="68" spans="1:24">
      <c r="A68" s="85" t="s">
        <v>1535</v>
      </c>
      <c r="B68" s="74" t="str">
        <f>IFERROR(HYPERLINK(VLOOKUP(A68,ÜRÜNLER!A:C,3,FALSE),VLOOKUP(A68,ÜRÜNLER!A:B,2,FALSE)),"")</f>
        <v/>
      </c>
      <c r="C68" s="10"/>
      <c r="D68" s="10">
        <v>2</v>
      </c>
      <c r="E68" s="11"/>
      <c r="F68" s="11"/>
      <c r="G68" s="12"/>
      <c r="H68" s="12"/>
      <c r="I68" s="13"/>
      <c r="J68" s="13"/>
      <c r="K68" s="144"/>
      <c r="L68" s="13"/>
      <c r="M68" s="13"/>
      <c r="N68" s="14">
        <f t="shared" si="1"/>
        <v>2</v>
      </c>
      <c r="O68" s="11"/>
      <c r="P68" s="15"/>
      <c r="Q68" s="75">
        <v>124921.81626593873</v>
      </c>
      <c r="R68" s="33">
        <v>116177.28912732302</v>
      </c>
      <c r="S68" s="17">
        <v>120824.38069241594</v>
      </c>
      <c r="T68" s="18"/>
      <c r="U68" s="18"/>
      <c r="V68" s="19"/>
    </row>
    <row r="69" spans="1:24" s="35" customFormat="1" ht="30">
      <c r="A69" s="90" t="s">
        <v>78</v>
      </c>
      <c r="B69" s="74" t="str">
        <f>IFERROR(HYPERLINK(VLOOKUP(A69,ÜRÜNLER!A:C,3,FALSE),VLOOKUP(A69,ÜRÜNLER!A:B,2,FALSE)),"")</f>
        <v/>
      </c>
      <c r="C69" s="10"/>
      <c r="D69" s="10"/>
      <c r="E69" s="11"/>
      <c r="F69" s="11"/>
      <c r="G69" s="12"/>
      <c r="H69" s="12"/>
      <c r="I69" s="13"/>
      <c r="J69" s="13"/>
      <c r="K69" s="144"/>
      <c r="L69" s="13"/>
      <c r="M69" s="13"/>
      <c r="N69" s="14">
        <f>SUM(N46:N67)</f>
        <v>557</v>
      </c>
      <c r="O69" s="11"/>
      <c r="P69" s="11"/>
      <c r="Q69" s="133"/>
      <c r="R69" s="133"/>
      <c r="S69" s="133"/>
      <c r="T69" s="18"/>
      <c r="U69" s="18"/>
      <c r="V69" s="34"/>
      <c r="W69" s="140"/>
    </row>
    <row r="70" spans="1:24">
      <c r="A70" s="82" t="s">
        <v>79</v>
      </c>
      <c r="B70" s="74" t="str">
        <f>IFERROR(HYPERLINK(VLOOKUP(A70,ÜRÜNLER!A:C,3,FALSE),VLOOKUP(A70,ÜRÜNLER!A:B,2,FALSE)),"")</f>
        <v>iQ500 Çamaşır Makinesi, 10kg/1200devir, i-dos, Beyaz</v>
      </c>
      <c r="C70" s="10"/>
      <c r="D70" s="10"/>
      <c r="E70" s="11"/>
      <c r="F70" s="11"/>
      <c r="G70" s="12"/>
      <c r="H70" s="12"/>
      <c r="I70" s="13">
        <v>1</v>
      </c>
      <c r="J70" s="13">
        <v>1</v>
      </c>
      <c r="K70" s="144"/>
      <c r="L70" s="13"/>
      <c r="M70" s="13"/>
      <c r="N70" s="14">
        <f t="shared" ref="N70:N94" si="2">SUM(C70:M70)</f>
        <v>2</v>
      </c>
      <c r="O70" s="11"/>
      <c r="P70" s="15"/>
      <c r="Q70" s="133" t="s">
        <v>1347</v>
      </c>
      <c r="R70" s="24">
        <v>30000</v>
      </c>
      <c r="S70" s="17">
        <v>31200</v>
      </c>
      <c r="T70" s="18"/>
      <c r="U70" s="18"/>
      <c r="V70" s="19">
        <v>250</v>
      </c>
    </row>
    <row r="71" spans="1:24">
      <c r="A71" s="82" t="s">
        <v>81</v>
      </c>
      <c r="B71" s="74" t="str">
        <f>IFERROR(HYPERLINK(VLOOKUP(A71,ÜRÜNLER!A:C,3,FALSE),VLOOKUP(A71,ÜRÜNLER!A:B,2,FALSE)),"")</f>
        <v>iQ300 Çamaşır Makinesi, 9kg/1200devir, Beyaz</v>
      </c>
      <c r="C71" s="10">
        <v>108</v>
      </c>
      <c r="D71" s="10"/>
      <c r="E71" s="11"/>
      <c r="F71" s="11"/>
      <c r="G71" s="12"/>
      <c r="H71" s="12"/>
      <c r="I71" s="13">
        <v>1</v>
      </c>
      <c r="J71" s="13">
        <v>1</v>
      </c>
      <c r="K71" s="144"/>
      <c r="L71" s="13">
        <v>1</v>
      </c>
      <c r="M71" s="13">
        <v>5</v>
      </c>
      <c r="N71" s="14">
        <f t="shared" si="2"/>
        <v>116</v>
      </c>
      <c r="O71" s="11"/>
      <c r="P71" s="26"/>
      <c r="Q71" s="75">
        <v>28913.846209663963</v>
      </c>
      <c r="R71" s="65">
        <v>27468.153899180765</v>
      </c>
      <c r="S71" s="17">
        <v>28566.880055147994</v>
      </c>
      <c r="T71" s="18"/>
      <c r="U71" s="18"/>
      <c r="V71" s="36"/>
    </row>
    <row r="72" spans="1:24">
      <c r="A72" s="82" t="s">
        <v>82</v>
      </c>
      <c r="B72" s="74" t="str">
        <f>IFERROR(HYPERLINK(VLOOKUP(A72,ÜRÜNLER!A:C,3,FALSE),VLOOKUP(A72,ÜRÜNLER!A:B,2,FALSE)),"")</f>
        <v>iQ500 Çamaşır Makinesi, 9kg/1200devir, Beyaz</v>
      </c>
      <c r="C72" s="10">
        <v>26</v>
      </c>
      <c r="D72" s="10"/>
      <c r="E72" s="11"/>
      <c r="F72" s="11"/>
      <c r="G72" s="12"/>
      <c r="H72" s="12"/>
      <c r="I72" s="13">
        <v>1</v>
      </c>
      <c r="J72" s="13"/>
      <c r="K72" s="144">
        <v>1</v>
      </c>
      <c r="L72" s="13"/>
      <c r="M72" s="13"/>
      <c r="N72" s="14">
        <f t="shared" si="2"/>
        <v>28</v>
      </c>
      <c r="O72" s="11"/>
      <c r="P72" s="15"/>
      <c r="Q72" s="75">
        <v>35486.100546239439</v>
      </c>
      <c r="R72" s="81">
        <v>34421.517529852259</v>
      </c>
      <c r="S72" s="17">
        <v>35798.37823104635</v>
      </c>
      <c r="T72" s="18">
        <v>1544.2400811231637</v>
      </c>
      <c r="U72" s="18"/>
      <c r="V72" s="19"/>
      <c r="W72" s="141" t="s">
        <v>1373</v>
      </c>
    </row>
    <row r="73" spans="1:24">
      <c r="A73" s="164" t="s">
        <v>83</v>
      </c>
      <c r="B73" s="74" t="str">
        <f>IFERROR(HYPERLINK(VLOOKUP(A73,ÜRÜNLER!A:C,3,FALSE),VLOOKUP(A73,ÜRÜNLER!A:B,2,FALSE)),"")</f>
        <v>iQ500 Çamaşır Makinesi, 9kg/1200devir, Gümüş</v>
      </c>
      <c r="C73" s="10">
        <v>19</v>
      </c>
      <c r="D73" s="10"/>
      <c r="E73" s="11"/>
      <c r="F73" s="11"/>
      <c r="G73" s="12"/>
      <c r="H73" s="12"/>
      <c r="I73" s="13">
        <v>1</v>
      </c>
      <c r="J73" s="13">
        <v>1</v>
      </c>
      <c r="K73" s="144"/>
      <c r="L73" s="13">
        <v>1</v>
      </c>
      <c r="M73" s="13"/>
      <c r="N73" s="14">
        <f t="shared" si="2"/>
        <v>22</v>
      </c>
      <c r="O73" s="11"/>
      <c r="P73" s="26"/>
      <c r="Q73" s="75">
        <v>38149.667280125039</v>
      </c>
      <c r="R73" s="81">
        <v>37005.177261721285</v>
      </c>
      <c r="S73" s="24">
        <v>38485.384352190136</v>
      </c>
      <c r="T73" s="18">
        <v>2327.5742568692222</v>
      </c>
      <c r="U73" s="18"/>
      <c r="V73" s="19"/>
      <c r="W73" s="141" t="s">
        <v>1373</v>
      </c>
    </row>
    <row r="74" spans="1:24">
      <c r="A74" s="82" t="s">
        <v>84</v>
      </c>
      <c r="B74" s="74" t="str">
        <f>IFERROR(HYPERLINK(VLOOKUP(A74,ÜRÜNLER!A:C,3,FALSE),VLOOKUP(A74,ÜRÜNLER!A:B,2,FALSE)),"")</f>
        <v>iQ300 Çamaşır Makinesi, 9kg/1400devir, Beyaz</v>
      </c>
      <c r="C74" s="10"/>
      <c r="D74" s="10"/>
      <c r="E74" s="11"/>
      <c r="F74" s="11"/>
      <c r="G74" s="12"/>
      <c r="H74" s="12"/>
      <c r="I74" s="13">
        <v>1</v>
      </c>
      <c r="J74" s="13"/>
      <c r="K74" s="144"/>
      <c r="L74" s="13"/>
      <c r="M74" s="13"/>
      <c r="N74" s="14">
        <f t="shared" si="2"/>
        <v>1</v>
      </c>
      <c r="O74" s="11"/>
      <c r="P74" s="15"/>
      <c r="Q74" s="133" t="s">
        <v>1347</v>
      </c>
      <c r="R74" s="20">
        <v>31000</v>
      </c>
      <c r="S74" s="17">
        <v>32240</v>
      </c>
      <c r="T74" s="18"/>
      <c r="U74" s="18"/>
      <c r="V74" s="19">
        <v>250</v>
      </c>
    </row>
    <row r="75" spans="1:24">
      <c r="A75" s="92" t="s">
        <v>85</v>
      </c>
      <c r="B75" s="74" t="str">
        <f>IFERROR(HYPERLINK(VLOOKUP(A75,ÜRÜNLER!A:C,3,FALSE),VLOOKUP(A75,ÜRÜNLER!A:B,2,FALSE)),"")</f>
        <v>iQ300 Çamaşır Makinesi, 9kg/1400devir, Antrasit/Dark</v>
      </c>
      <c r="C75" s="10"/>
      <c r="D75" s="10"/>
      <c r="E75" s="11"/>
      <c r="F75" s="11"/>
      <c r="G75" s="12"/>
      <c r="H75" s="12"/>
      <c r="I75" s="13">
        <v>1</v>
      </c>
      <c r="J75" s="13">
        <v>1</v>
      </c>
      <c r="K75" s="144"/>
      <c r="L75" s="13">
        <v>1</v>
      </c>
      <c r="M75" s="13"/>
      <c r="N75" s="14">
        <f t="shared" si="2"/>
        <v>3</v>
      </c>
      <c r="O75" s="11"/>
      <c r="P75" s="15"/>
      <c r="Q75" s="133" t="s">
        <v>1347</v>
      </c>
      <c r="R75" s="20">
        <v>31000</v>
      </c>
      <c r="S75" s="17">
        <v>32240</v>
      </c>
      <c r="T75" s="18"/>
      <c r="U75" s="18"/>
      <c r="V75" s="19">
        <v>250</v>
      </c>
      <c r="W75" s="141" t="s">
        <v>1373</v>
      </c>
    </row>
    <row r="76" spans="1:24">
      <c r="A76" s="82" t="s">
        <v>86</v>
      </c>
      <c r="B76" s="74" t="str">
        <f>IFERROR(HYPERLINK(VLOOKUP(A76,ÜRÜNLER!A:C,3,FALSE),VLOOKUP(A76,ÜRÜNLER!A:B,2,FALSE)),"")</f>
        <v>iQ700 Çamaşır Makinesi, 9kg/1400devir, i-dos, Beyaz</v>
      </c>
      <c r="C76" s="10">
        <v>3</v>
      </c>
      <c r="D76" s="10"/>
      <c r="E76" s="11"/>
      <c r="F76" s="11"/>
      <c r="G76" s="12"/>
      <c r="H76" s="12"/>
      <c r="I76" s="13"/>
      <c r="J76" s="13">
        <v>1</v>
      </c>
      <c r="K76" s="144">
        <v>1</v>
      </c>
      <c r="L76" s="13">
        <v>1</v>
      </c>
      <c r="M76" s="13"/>
      <c r="N76" s="14">
        <f t="shared" si="2"/>
        <v>6</v>
      </c>
      <c r="O76" s="11"/>
      <c r="P76" s="15"/>
      <c r="Q76" s="75">
        <v>48454.851287338432</v>
      </c>
      <c r="R76" s="81">
        <v>47001.205748718276</v>
      </c>
      <c r="S76" s="17">
        <v>48881.25397866701</v>
      </c>
      <c r="T76" s="18"/>
      <c r="U76" s="18"/>
      <c r="V76" s="19"/>
      <c r="W76" s="141" t="s">
        <v>1373</v>
      </c>
    </row>
    <row r="77" spans="1:24">
      <c r="A77" s="82" t="s">
        <v>1517</v>
      </c>
      <c r="B77" s="74" t="str">
        <f>IFERROR(HYPERLINK(VLOOKUP(A77,ÜRÜNLER!A:C,3,FALSE),VLOOKUP(A77,ÜRÜNLER!A:B,2,FALSE)),"")</f>
        <v>iQ700 Çamaşır Makinesi, 9kg/1400devir, Beyaz</v>
      </c>
      <c r="C77" s="10">
        <v>1</v>
      </c>
      <c r="D77" s="10"/>
      <c r="E77" s="11"/>
      <c r="F77" s="11"/>
      <c r="G77" s="12"/>
      <c r="H77" s="12"/>
      <c r="I77" s="13"/>
      <c r="J77" s="13"/>
      <c r="K77" s="144"/>
      <c r="L77" s="13"/>
      <c r="M77" s="13"/>
      <c r="N77" s="14">
        <f t="shared" si="2"/>
        <v>1</v>
      </c>
      <c r="O77" s="11"/>
      <c r="P77" s="15"/>
      <c r="Q77" s="133" t="s">
        <v>1347</v>
      </c>
      <c r="R77" s="81">
        <v>46000</v>
      </c>
      <c r="S77" s="17">
        <v>47840</v>
      </c>
      <c r="T77" s="18"/>
      <c r="U77" s="18"/>
      <c r="V77" s="19"/>
      <c r="W77" s="141"/>
    </row>
    <row r="78" spans="1:24">
      <c r="A78" s="82" t="s">
        <v>87</v>
      </c>
      <c r="B78" s="74" t="str">
        <f>IFERROR(HYPERLINK(VLOOKUP(A78,ÜRÜNLER!A:C,3,FALSE),VLOOKUP(A78,ÜRÜNLER!A:B,2,FALSE)),"")</f>
        <v>iQ500 Çamaşır Makinesi, 9kg/1400devir, Beyaz</v>
      </c>
      <c r="C78" s="10">
        <v>15</v>
      </c>
      <c r="D78" s="10"/>
      <c r="E78" s="11"/>
      <c r="F78" s="11"/>
      <c r="G78" s="12"/>
      <c r="H78" s="12"/>
      <c r="I78" s="13"/>
      <c r="J78" s="13">
        <v>1</v>
      </c>
      <c r="K78" s="144"/>
      <c r="L78" s="13"/>
      <c r="M78" s="13"/>
      <c r="N78" s="14">
        <f t="shared" si="2"/>
        <v>16</v>
      </c>
      <c r="O78" s="11">
        <v>6</v>
      </c>
      <c r="P78" s="15"/>
      <c r="Q78" s="75">
        <v>38909.404453110292</v>
      </c>
      <c r="R78" s="81">
        <v>37742.12231951698</v>
      </c>
      <c r="S78" s="17">
        <v>39251.807212297659</v>
      </c>
      <c r="T78" s="18">
        <v>3103.5904996219183</v>
      </c>
      <c r="U78" s="18"/>
      <c r="V78" s="19"/>
    </row>
    <row r="79" spans="1:24" s="37" customFormat="1">
      <c r="A79" s="82" t="s">
        <v>88</v>
      </c>
      <c r="B79" s="74" t="str">
        <f>IFERROR(HYPERLINK(VLOOKUP(A79,ÜRÜNLER!A:C,3,FALSE),VLOOKUP(A79,ÜRÜNLER!A:B,2,FALSE)),"")</f>
        <v>iQ300 Çamaşır Makinesi, 10kg/1200devir, Beyaz</v>
      </c>
      <c r="C79" s="10">
        <v>133</v>
      </c>
      <c r="D79" s="10"/>
      <c r="E79" s="11"/>
      <c r="F79" s="11"/>
      <c r="G79" s="12"/>
      <c r="H79" s="12"/>
      <c r="I79" s="13">
        <v>1</v>
      </c>
      <c r="J79" s="13">
        <v>1</v>
      </c>
      <c r="K79" s="144">
        <v>1</v>
      </c>
      <c r="L79" s="13"/>
      <c r="M79" s="13"/>
      <c r="N79" s="14">
        <f t="shared" si="2"/>
        <v>136</v>
      </c>
      <c r="O79" s="11"/>
      <c r="P79" s="15"/>
      <c r="Q79" s="152" t="s">
        <v>1347</v>
      </c>
      <c r="R79" s="23">
        <v>32500</v>
      </c>
      <c r="S79" s="27">
        <v>33800</v>
      </c>
      <c r="T79" s="18">
        <v>3376.895140280707</v>
      </c>
      <c r="U79" s="18"/>
      <c r="V79" s="36"/>
      <c r="W79" s="140"/>
      <c r="X79"/>
    </row>
    <row r="80" spans="1:24">
      <c r="A80" s="84" t="s">
        <v>89</v>
      </c>
      <c r="B80" s="74" t="str">
        <f>IFERROR(HYPERLINK(VLOOKUP(A80,ÜRÜNLER!A:C,3,FALSE),VLOOKUP(A80,ÜRÜNLER!A:B,2,FALSE)),"")</f>
        <v>iQ500 Çamaşır Makinesi, 10kg/1200devir, i-dos, Beyaz</v>
      </c>
      <c r="C80" s="10"/>
      <c r="D80" s="10"/>
      <c r="E80" s="11"/>
      <c r="F80" s="11"/>
      <c r="G80" s="12"/>
      <c r="H80" s="12"/>
      <c r="I80" s="13"/>
      <c r="J80" s="13"/>
      <c r="K80" s="144">
        <v>1</v>
      </c>
      <c r="L80" s="13"/>
      <c r="M80" s="13"/>
      <c r="N80" s="14">
        <f t="shared" si="2"/>
        <v>1</v>
      </c>
      <c r="O80" s="11"/>
      <c r="P80" s="15"/>
      <c r="Q80" s="133" t="s">
        <v>1347</v>
      </c>
      <c r="R80" s="24">
        <v>27000</v>
      </c>
      <c r="S80" s="17">
        <v>28080</v>
      </c>
      <c r="T80" s="18"/>
      <c r="U80" s="18"/>
      <c r="V80" s="19">
        <v>250</v>
      </c>
    </row>
    <row r="81" spans="1:23">
      <c r="A81" s="84" t="s">
        <v>90</v>
      </c>
      <c r="B81" s="74" t="str">
        <f>IFERROR(HYPERLINK(VLOOKUP(A81,ÜRÜNLER!A:C,3,FALSE),VLOOKUP(A81,ÜRÜNLER!A:B,2,FALSE)),"")</f>
        <v>iQ500 Çamaşır Makinesi, 10kg/1200devir, i-dos, Beyaz</v>
      </c>
      <c r="C81" s="10"/>
      <c r="D81" s="10"/>
      <c r="E81" s="11">
        <v>1</v>
      </c>
      <c r="F81" s="11"/>
      <c r="G81" s="12"/>
      <c r="H81" s="12"/>
      <c r="I81" s="13">
        <v>1</v>
      </c>
      <c r="J81" s="13">
        <v>1</v>
      </c>
      <c r="K81" s="144">
        <v>2</v>
      </c>
      <c r="L81" s="13">
        <v>1</v>
      </c>
      <c r="M81" s="13"/>
      <c r="N81" s="14">
        <f t="shared" si="2"/>
        <v>6</v>
      </c>
      <c r="O81" s="11"/>
      <c r="P81" s="15"/>
      <c r="Q81" s="133" t="s">
        <v>1347</v>
      </c>
      <c r="R81" s="20">
        <v>34000</v>
      </c>
      <c r="S81" s="17">
        <v>35360</v>
      </c>
      <c r="T81" s="18"/>
      <c r="U81" s="18"/>
      <c r="V81" s="19">
        <v>250</v>
      </c>
    </row>
    <row r="82" spans="1:23">
      <c r="A82" s="164" t="s">
        <v>91</v>
      </c>
      <c r="B82" s="74" t="str">
        <f>IFERROR(HYPERLINK(VLOOKUP(A82,ÜRÜNLER!A:C,3,FALSE),VLOOKUP(A82,ÜRÜNLER!A:B,2,FALSE)),"")</f>
        <v>iQ300 Çamaşır Makinesi, 10kg/1200devir, Gümüş</v>
      </c>
      <c r="C82" s="10"/>
      <c r="D82" s="10"/>
      <c r="E82" s="11">
        <v>1</v>
      </c>
      <c r="F82" s="11"/>
      <c r="G82" s="12"/>
      <c r="H82" s="12"/>
      <c r="I82" s="13">
        <v>1</v>
      </c>
      <c r="J82" s="13"/>
      <c r="K82" s="144"/>
      <c r="L82" s="13"/>
      <c r="M82" s="13"/>
      <c r="N82" s="14">
        <f t="shared" si="2"/>
        <v>2</v>
      </c>
      <c r="O82" s="11"/>
      <c r="P82" s="15"/>
      <c r="Q82" s="133" t="s">
        <v>1347</v>
      </c>
      <c r="R82" s="20">
        <v>34000</v>
      </c>
      <c r="S82" s="17">
        <v>35360</v>
      </c>
      <c r="T82" s="18"/>
      <c r="U82" s="18"/>
      <c r="V82" s="19">
        <v>250</v>
      </c>
    </row>
    <row r="83" spans="1:23">
      <c r="A83" s="165" t="s">
        <v>92</v>
      </c>
      <c r="B83" s="74" t="str">
        <f>IFERROR(HYPERLINK(VLOOKUP(A83,ÜRÜNLER!A:C,3,FALSE),VLOOKUP(A83,ÜRÜNLER!A:B,2,FALSE)),"")</f>
        <v>iQ500 Çamaşır Makinesi, 10kg/1200devir, Beyaz</v>
      </c>
      <c r="C83" s="10">
        <v>21</v>
      </c>
      <c r="D83" s="10"/>
      <c r="E83" s="11"/>
      <c r="F83" s="11"/>
      <c r="G83" s="12"/>
      <c r="H83" s="12"/>
      <c r="I83" s="13">
        <v>1</v>
      </c>
      <c r="J83" s="13"/>
      <c r="K83" s="144"/>
      <c r="L83" s="13"/>
      <c r="M83" s="13"/>
      <c r="N83" s="14">
        <f t="shared" si="2"/>
        <v>22</v>
      </c>
      <c r="O83" s="11"/>
      <c r="P83" s="15"/>
      <c r="Q83" s="152" t="s">
        <v>1347</v>
      </c>
      <c r="R83" s="23">
        <v>35000</v>
      </c>
      <c r="S83" s="27">
        <v>36400</v>
      </c>
      <c r="T83" s="18">
        <v>582.32652467225125</v>
      </c>
      <c r="U83" s="18"/>
      <c r="V83" s="19"/>
      <c r="W83" s="141" t="s">
        <v>1373</v>
      </c>
    </row>
    <row r="84" spans="1:23">
      <c r="A84" s="164" t="s">
        <v>93</v>
      </c>
      <c r="B84" s="74" t="str">
        <f>IFERROR(HYPERLINK(VLOOKUP(A84,ÜRÜNLER!A:C,3,FALSE),VLOOKUP(A84,ÜRÜNLER!A:B,2,FALSE)),"")</f>
        <v>iQ500 Çamaşır Makinesi, 10kg/1200devir, Gümüş</v>
      </c>
      <c r="C84" s="10">
        <v>1</v>
      </c>
      <c r="D84" s="10"/>
      <c r="E84" s="11"/>
      <c r="F84" s="11"/>
      <c r="G84" s="12"/>
      <c r="H84" s="12"/>
      <c r="I84" s="13"/>
      <c r="J84" s="13">
        <v>1</v>
      </c>
      <c r="K84" s="144"/>
      <c r="L84" s="13"/>
      <c r="M84" s="13"/>
      <c r="N84" s="14">
        <f t="shared" si="2"/>
        <v>2</v>
      </c>
      <c r="O84" s="11"/>
      <c r="P84" s="15"/>
      <c r="Q84" s="152" t="s">
        <v>1347</v>
      </c>
      <c r="R84" s="23">
        <v>37000</v>
      </c>
      <c r="S84" s="27">
        <v>38480</v>
      </c>
      <c r="T84" s="18">
        <v>1298.2904649037155</v>
      </c>
      <c r="U84" s="18"/>
      <c r="V84" s="19"/>
      <c r="W84" s="141" t="s">
        <v>1373</v>
      </c>
    </row>
    <row r="85" spans="1:23">
      <c r="A85" s="82" t="s">
        <v>94</v>
      </c>
      <c r="B85" s="74" t="str">
        <f>IFERROR(HYPERLINK(VLOOKUP(A85,ÜRÜNLER!A:C,3,FALSE),VLOOKUP(A85,ÜRÜNLER!A:B,2,FALSE)),"")</f>
        <v>iQ300 Çamaşır Makinesi, 10kg/1400devir, Beyaz</v>
      </c>
      <c r="C85" s="10"/>
      <c r="D85" s="10"/>
      <c r="E85" s="11"/>
      <c r="F85" s="11"/>
      <c r="G85" s="12"/>
      <c r="H85" s="12"/>
      <c r="I85" s="13">
        <v>1</v>
      </c>
      <c r="J85" s="13"/>
      <c r="K85" s="144">
        <v>1</v>
      </c>
      <c r="L85" s="13"/>
      <c r="M85" s="13"/>
      <c r="N85" s="14">
        <f t="shared" si="2"/>
        <v>2</v>
      </c>
      <c r="O85" s="11"/>
      <c r="P85" s="15"/>
      <c r="Q85" s="133" t="s">
        <v>1347</v>
      </c>
      <c r="R85" s="20">
        <v>35000</v>
      </c>
      <c r="S85" s="17">
        <v>36400</v>
      </c>
      <c r="T85" s="18"/>
      <c r="U85" s="18"/>
      <c r="V85" s="19">
        <v>250</v>
      </c>
      <c r="W85" s="141" t="s">
        <v>1373</v>
      </c>
    </row>
    <row r="86" spans="1:23">
      <c r="A86" s="82" t="s">
        <v>95</v>
      </c>
      <c r="B86" s="74" t="str">
        <f>IFERROR(HYPERLINK(VLOOKUP(A86,ÜRÜNLER!A:C,3,FALSE),VLOOKUP(A86,ÜRÜNLER!A:B,2,FALSE)),"")</f>
        <v>iQ700 Çamaşır Makinesi, 10kg/1400devir, i-dos, Beyaz</v>
      </c>
      <c r="C86" s="10"/>
      <c r="D86" s="10"/>
      <c r="E86" s="11"/>
      <c r="F86" s="11"/>
      <c r="G86" s="12"/>
      <c r="H86" s="12"/>
      <c r="I86" s="13">
        <v>2</v>
      </c>
      <c r="J86" s="13">
        <v>1</v>
      </c>
      <c r="K86" s="144">
        <v>3</v>
      </c>
      <c r="L86" s="13"/>
      <c r="M86" s="13"/>
      <c r="N86" s="14">
        <f t="shared" si="2"/>
        <v>6</v>
      </c>
      <c r="O86" s="11"/>
      <c r="P86" s="15"/>
      <c r="Q86" s="75">
        <v>53006.905754437241</v>
      </c>
      <c r="R86" s="34">
        <v>53006.905754437241</v>
      </c>
      <c r="S86" s="17">
        <v>55127.181984614734</v>
      </c>
      <c r="T86" s="18"/>
      <c r="U86" s="18"/>
      <c r="V86" s="19"/>
      <c r="W86" s="141" t="s">
        <v>1373</v>
      </c>
    </row>
    <row r="87" spans="1:23">
      <c r="A87" s="164" t="s">
        <v>96</v>
      </c>
      <c r="B87" s="74" t="str">
        <f>IFERROR(HYPERLINK(VLOOKUP(A87,ÜRÜNLER!A:C,3,FALSE),VLOOKUP(A87,ÜRÜNLER!A:B,2,FALSE)),"")</f>
        <v>iQ700 Çamaşır Makinesi, 10kg/1400devir, i-dos, Gümüş</v>
      </c>
      <c r="C87" s="10"/>
      <c r="D87" s="10"/>
      <c r="E87" s="11"/>
      <c r="F87" s="11"/>
      <c r="G87" s="12"/>
      <c r="H87" s="12"/>
      <c r="I87" s="13">
        <v>1</v>
      </c>
      <c r="J87" s="13"/>
      <c r="K87" s="144"/>
      <c r="L87" s="13">
        <v>1</v>
      </c>
      <c r="M87" s="13"/>
      <c r="N87" s="14">
        <f t="shared" si="2"/>
        <v>2</v>
      </c>
      <c r="O87" s="11">
        <v>10</v>
      </c>
      <c r="P87" s="15"/>
      <c r="Q87" s="75">
        <v>54077.328321642271</v>
      </c>
      <c r="R87" s="65">
        <v>51373.461905560158</v>
      </c>
      <c r="S87" s="17">
        <v>53428.400381782565</v>
      </c>
      <c r="T87" s="18"/>
      <c r="U87" s="18"/>
      <c r="V87" s="19"/>
      <c r="W87" s="141" t="s">
        <v>1373</v>
      </c>
    </row>
    <row r="88" spans="1:23">
      <c r="A88" s="84" t="s">
        <v>97</v>
      </c>
      <c r="B88" s="74" t="str">
        <f>IFERROR(HYPERLINK(VLOOKUP(A88,ÜRÜNLER!A:C,3,FALSE),VLOOKUP(A88,ÜRÜNLER!A:B,2,FALSE)),"")</f>
        <v>iQ500 Çamaşır Makinesi, 11kg/1400devir, i-dos, Beyaz</v>
      </c>
      <c r="C88" s="10"/>
      <c r="D88" s="10"/>
      <c r="E88" s="11"/>
      <c r="F88" s="11"/>
      <c r="G88" s="12"/>
      <c r="H88" s="12"/>
      <c r="I88" s="13">
        <v>1</v>
      </c>
      <c r="J88" s="13">
        <v>1</v>
      </c>
      <c r="K88" s="144">
        <v>1</v>
      </c>
      <c r="L88" s="13"/>
      <c r="M88" s="13"/>
      <c r="N88" s="14">
        <f t="shared" si="2"/>
        <v>3</v>
      </c>
      <c r="O88" s="11"/>
      <c r="P88" s="15"/>
      <c r="Q88" s="152" t="s">
        <v>1347</v>
      </c>
      <c r="R88" s="23">
        <v>37000</v>
      </c>
      <c r="S88" s="27">
        <v>38480</v>
      </c>
      <c r="T88" s="18"/>
      <c r="U88" s="18"/>
      <c r="V88" s="19"/>
      <c r="W88" s="141" t="s">
        <v>1373</v>
      </c>
    </row>
    <row r="89" spans="1:23">
      <c r="A89" s="84" t="s">
        <v>98</v>
      </c>
      <c r="B89" s="74" t="str">
        <f>IFERROR(HYPERLINK(VLOOKUP(A89,ÜRÜNLER!A:C,3,FALSE),VLOOKUP(A89,ÜRÜNLER!A:B,2,FALSE)),"")</f>
        <v>iQ500 Çamaşır Makinesi, 11kg/1400devir, Beyaz</v>
      </c>
      <c r="C89" s="10"/>
      <c r="D89" s="10"/>
      <c r="E89" s="11"/>
      <c r="F89" s="11"/>
      <c r="G89" s="12"/>
      <c r="H89" s="12"/>
      <c r="I89" s="13">
        <v>1</v>
      </c>
      <c r="J89" s="13">
        <v>1</v>
      </c>
      <c r="K89" s="144">
        <v>1</v>
      </c>
      <c r="L89" s="13">
        <v>1</v>
      </c>
      <c r="M89" s="13">
        <v>1</v>
      </c>
      <c r="N89" s="14">
        <f t="shared" si="2"/>
        <v>5</v>
      </c>
      <c r="O89" s="11">
        <v>14</v>
      </c>
      <c r="P89" s="15"/>
      <c r="Q89" s="75">
        <v>37340.466059555976</v>
      </c>
      <c r="R89" s="65">
        <v>35473.442756578181</v>
      </c>
      <c r="S89" s="17">
        <v>36892.380466841307</v>
      </c>
      <c r="T89" s="18"/>
      <c r="U89" s="18"/>
      <c r="V89" s="19"/>
      <c r="W89" s="141" t="s">
        <v>1373</v>
      </c>
    </row>
    <row r="90" spans="1:23">
      <c r="A90" s="92" t="s">
        <v>99</v>
      </c>
      <c r="B90" s="74" t="str">
        <f>IFERROR(HYPERLINK(VLOOKUP(A90,ÜRÜNLER!A:C,3,FALSE),VLOOKUP(A90,ÜRÜNLER!A:B,2,FALSE)),"")</f>
        <v>iQ500 Çamaşır Makinesi, 11kg/1400devir, Antrasit/Dark</v>
      </c>
      <c r="C90" s="10">
        <v>35</v>
      </c>
      <c r="D90" s="10"/>
      <c r="E90" s="11"/>
      <c r="F90" s="11"/>
      <c r="G90" s="12"/>
      <c r="H90" s="12"/>
      <c r="I90" s="13">
        <v>1</v>
      </c>
      <c r="J90" s="13">
        <v>1</v>
      </c>
      <c r="K90" s="144"/>
      <c r="L90" s="13">
        <v>1</v>
      </c>
      <c r="M90" s="13"/>
      <c r="N90" s="14">
        <f t="shared" si="2"/>
        <v>38</v>
      </c>
      <c r="O90" s="11"/>
      <c r="P90" s="15"/>
      <c r="Q90" s="75">
        <v>41126.37871373455</v>
      </c>
      <c r="R90" s="65">
        <v>39070.05977804782</v>
      </c>
      <c r="S90" s="17">
        <v>40632.862169169734</v>
      </c>
      <c r="T90" s="18"/>
      <c r="U90" s="18"/>
      <c r="V90" s="19"/>
      <c r="W90" s="141" t="s">
        <v>1373</v>
      </c>
    </row>
    <row r="91" spans="1:23">
      <c r="A91" s="82" t="s">
        <v>100</v>
      </c>
      <c r="B91" s="74" t="str">
        <f>IFERROR(HYPERLINK(VLOOKUP(A91,ÜRÜNLER!A:C,3,FALSE),VLOOKUP(A91,ÜRÜNLER!A:B,2,FALSE)),"")</f>
        <v>iQ300 Çamaşır Makinesi, 9kg/1200devir, Beyaz</v>
      </c>
      <c r="C91" s="10"/>
      <c r="D91" s="10"/>
      <c r="E91" s="11"/>
      <c r="F91" s="11"/>
      <c r="G91" s="12"/>
      <c r="H91" s="12"/>
      <c r="I91" s="13"/>
      <c r="J91" s="13"/>
      <c r="K91" s="144">
        <v>2</v>
      </c>
      <c r="L91" s="13"/>
      <c r="M91" s="13"/>
      <c r="N91" s="14">
        <f t="shared" si="2"/>
        <v>2</v>
      </c>
      <c r="O91" s="11"/>
      <c r="P91" s="38" t="s">
        <v>17</v>
      </c>
      <c r="Q91" s="133" t="s">
        <v>1347</v>
      </c>
      <c r="R91" s="24">
        <v>26000</v>
      </c>
      <c r="S91" s="17">
        <v>27040</v>
      </c>
      <c r="T91" s="18"/>
      <c r="U91" s="18"/>
      <c r="V91" s="19">
        <v>250</v>
      </c>
    </row>
    <row r="92" spans="1:23">
      <c r="A92" s="84" t="s">
        <v>101</v>
      </c>
      <c r="B92" s="74" t="str">
        <f>IFERROR(HYPERLINK(VLOOKUP(A92,ÜRÜNLER!A:C,3,FALSE),VLOOKUP(A92,ÜRÜNLER!A:B,2,FALSE)),"")</f>
        <v>iQ500 Çamaşır Makinesi, 9kg/1400devir, i-dos, Beyaz</v>
      </c>
      <c r="C92" s="10"/>
      <c r="D92" s="10"/>
      <c r="E92" s="11"/>
      <c r="F92" s="11"/>
      <c r="G92" s="12"/>
      <c r="H92" s="12"/>
      <c r="I92" s="13">
        <v>2</v>
      </c>
      <c r="J92" s="13"/>
      <c r="K92" s="144">
        <v>1</v>
      </c>
      <c r="L92" s="13"/>
      <c r="M92" s="13"/>
      <c r="N92" s="14">
        <f t="shared" si="2"/>
        <v>3</v>
      </c>
      <c r="O92" s="11"/>
      <c r="P92" s="15"/>
      <c r="Q92" s="133" t="s">
        <v>1347</v>
      </c>
      <c r="R92" s="24">
        <v>32000</v>
      </c>
      <c r="S92" s="17">
        <v>33280</v>
      </c>
      <c r="T92" s="18"/>
      <c r="U92" s="18"/>
      <c r="V92" s="19">
        <v>250</v>
      </c>
    </row>
    <row r="93" spans="1:23">
      <c r="A93" s="84" t="s">
        <v>102</v>
      </c>
      <c r="B93" s="74" t="str">
        <f>IFERROR(HYPERLINK(VLOOKUP(A93,ÜRÜNLER!A:C,3,FALSE),VLOOKUP(A93,ÜRÜNLER!A:B,2,FALSE)),"")</f>
        <v>iQ700 Çamaşır Makinesi, 10kg/1400devir, i-dos, Beyaz</v>
      </c>
      <c r="C93" s="10"/>
      <c r="D93" s="10"/>
      <c r="E93" s="11"/>
      <c r="F93" s="11"/>
      <c r="G93" s="12"/>
      <c r="H93" s="12"/>
      <c r="I93" s="13">
        <v>1</v>
      </c>
      <c r="J93" s="13"/>
      <c r="K93" s="144"/>
      <c r="L93" s="13"/>
      <c r="M93" s="13"/>
      <c r="N93" s="14">
        <f t="shared" si="2"/>
        <v>1</v>
      </c>
      <c r="O93" s="11"/>
      <c r="P93" s="15"/>
      <c r="Q93" s="133" t="s">
        <v>1347</v>
      </c>
      <c r="R93" s="24">
        <v>36000</v>
      </c>
      <c r="S93" s="17">
        <v>37440</v>
      </c>
      <c r="T93" s="18"/>
      <c r="U93" s="18"/>
      <c r="V93" s="19">
        <v>250</v>
      </c>
    </row>
    <row r="94" spans="1:23">
      <c r="A94" s="84" t="s">
        <v>103</v>
      </c>
      <c r="B94" s="74" t="str">
        <f>IFERROR(HYPERLINK(VLOOKUP(A94,ÜRÜNLER!A:C,3,FALSE),VLOOKUP(A94,ÜRÜNLER!A:B,2,FALSE)),"")</f>
        <v>iQ700 Kurutmalı Çamaşır Makinesi, 10.5kg/6kg/1400devir, i-dos, Beyaz</v>
      </c>
      <c r="C94" s="10">
        <v>2</v>
      </c>
      <c r="D94" s="10"/>
      <c r="E94" s="11"/>
      <c r="F94" s="11"/>
      <c r="G94" s="12"/>
      <c r="H94" s="12"/>
      <c r="I94" s="13">
        <v>1</v>
      </c>
      <c r="J94" s="13"/>
      <c r="K94" s="144"/>
      <c r="L94" s="13"/>
      <c r="M94" s="13"/>
      <c r="N94" s="14">
        <f t="shared" si="2"/>
        <v>3</v>
      </c>
      <c r="O94" s="11"/>
      <c r="P94" s="15"/>
      <c r="Q94" s="75">
        <v>74984.819352067672</v>
      </c>
      <c r="R94" s="65">
        <v>71235.578384464287</v>
      </c>
      <c r="S94" s="17">
        <v>74085.001519842859</v>
      </c>
      <c r="T94" s="18"/>
      <c r="U94" s="18"/>
      <c r="V94" s="19"/>
    </row>
    <row r="95" spans="1:23" ht="30">
      <c r="A95" s="39" t="s">
        <v>104</v>
      </c>
      <c r="B95" s="74" t="str">
        <f>IFERROR(HYPERLINK(VLOOKUP(A95,ÜRÜNLER!A:C,3,FALSE),VLOOKUP(A95,ÜRÜNLER!A:B,2,FALSE)),"")</f>
        <v/>
      </c>
      <c r="C95" s="40"/>
      <c r="D95" s="10"/>
      <c r="E95" s="11"/>
      <c r="F95" s="11"/>
      <c r="G95" s="12"/>
      <c r="H95" s="12"/>
      <c r="I95" s="13"/>
      <c r="J95" s="13"/>
      <c r="K95" s="144"/>
      <c r="L95" s="13"/>
      <c r="M95" s="13"/>
      <c r="N95" s="14">
        <f>SUM(N70:N94)</f>
        <v>429</v>
      </c>
      <c r="O95" s="11"/>
      <c r="Q95" s="133"/>
      <c r="R95" s="19"/>
      <c r="S95" s="17"/>
      <c r="T95" s="18"/>
      <c r="U95" s="18"/>
      <c r="V95" s="19"/>
    </row>
    <row r="96" spans="1:23">
      <c r="A96" s="148" t="s">
        <v>1327</v>
      </c>
      <c r="B96" s="74" t="str">
        <f>IFERROR(HYPERLINK(VLOOKUP(A96,ÜRÜNLER!A:C,3,FALSE),VLOOKUP(A96,ÜRÜNLER!A:B,2,FALSE)),"")</f>
        <v>iQ300 Isı Pompalı Kurutma Makinesi, 9kg, Gümüş</v>
      </c>
      <c r="C96" s="10"/>
      <c r="D96" s="10"/>
      <c r="E96" s="11"/>
      <c r="F96" s="11"/>
      <c r="G96" s="12"/>
      <c r="H96" s="12"/>
      <c r="I96" s="13"/>
      <c r="J96" s="13">
        <v>1</v>
      </c>
      <c r="K96" s="144">
        <v>1</v>
      </c>
      <c r="L96" s="13"/>
      <c r="M96" s="13"/>
      <c r="N96" s="14">
        <f t="shared" ref="N96:N109" si="3">SUM(C96:M96)</f>
        <v>2</v>
      </c>
      <c r="O96" s="11"/>
      <c r="P96" s="15"/>
      <c r="Q96" s="133" t="s">
        <v>1347</v>
      </c>
      <c r="R96" s="166">
        <v>36000</v>
      </c>
      <c r="S96" s="27">
        <v>37440</v>
      </c>
      <c r="T96" s="18"/>
      <c r="U96" s="18"/>
      <c r="V96" s="19">
        <v>250</v>
      </c>
    </row>
    <row r="97" spans="1:23">
      <c r="A97" s="82" t="s">
        <v>108</v>
      </c>
      <c r="B97" s="74" t="str">
        <f>IFERROR(HYPERLINK(VLOOKUP(A97,ÜRÜNLER!A:C,3,FALSE),VLOOKUP(A97,ÜRÜNLER!A:B,2,FALSE)),"")</f>
        <v>iQ500 Isı Pompalı Kurutma Makinesi, 9kg, Beyaz</v>
      </c>
      <c r="C97" s="10"/>
      <c r="D97" s="10"/>
      <c r="E97" s="11"/>
      <c r="F97" s="11"/>
      <c r="G97" s="12"/>
      <c r="H97" s="12"/>
      <c r="I97" s="13">
        <v>1</v>
      </c>
      <c r="J97" s="13"/>
      <c r="K97" s="144"/>
      <c r="L97" s="13"/>
      <c r="M97" s="13"/>
      <c r="N97" s="14">
        <f t="shared" si="3"/>
        <v>1</v>
      </c>
      <c r="O97" s="11"/>
      <c r="P97" s="15"/>
      <c r="Q97" s="133" t="s">
        <v>1347</v>
      </c>
      <c r="R97" s="166">
        <v>35000</v>
      </c>
      <c r="S97" s="27">
        <v>36400</v>
      </c>
      <c r="T97" s="18">
        <v>2790.4525394713346</v>
      </c>
      <c r="U97" s="18"/>
      <c r="V97" s="19">
        <v>250</v>
      </c>
    </row>
    <row r="98" spans="1:23">
      <c r="A98" s="82" t="s">
        <v>109</v>
      </c>
      <c r="B98" s="74" t="str">
        <f>IFERROR(HYPERLINK(VLOOKUP(A98,ÜRÜNLER!A:C,3,FALSE),VLOOKUP(A98,ÜRÜNLER!A:B,2,FALSE)),"")</f>
        <v>iQ300 Isı Pompalı Kurutma Makinesi, 9kg, Beyaz</v>
      </c>
      <c r="C98" s="10"/>
      <c r="D98" s="10"/>
      <c r="E98" s="11"/>
      <c r="F98" s="11"/>
      <c r="G98" s="12"/>
      <c r="H98" s="12"/>
      <c r="I98" s="13">
        <v>1</v>
      </c>
      <c r="J98" s="13">
        <v>1</v>
      </c>
      <c r="K98" s="144">
        <v>2</v>
      </c>
      <c r="L98" s="13">
        <v>1</v>
      </c>
      <c r="M98" s="13"/>
      <c r="N98" s="14">
        <f t="shared" si="3"/>
        <v>5</v>
      </c>
      <c r="O98" s="11"/>
      <c r="P98" s="15"/>
      <c r="Q98" s="75">
        <v>39552.883298190849</v>
      </c>
      <c r="R98" s="34">
        <v>39552.883298190849</v>
      </c>
      <c r="S98" s="17">
        <v>41134.998630118484</v>
      </c>
      <c r="T98" s="18">
        <v>2462.9805882073197</v>
      </c>
      <c r="U98" s="18"/>
      <c r="V98" s="19"/>
    </row>
    <row r="99" spans="1:23">
      <c r="A99" s="167" t="s">
        <v>105</v>
      </c>
      <c r="B99" s="74" t="str">
        <f>IFERROR(HYPERLINK(VLOOKUP(A99,ÜRÜNLER!A:C,3,FALSE),VLOOKUP(A99,ÜRÜNLER!A:B,2,FALSE)),"")</f>
        <v>iQ500 Isı Pompalı Kurutma Makinesi, 9kg, Beyaz</v>
      </c>
      <c r="C99" s="10">
        <v>31</v>
      </c>
      <c r="D99" s="10"/>
      <c r="E99" s="11"/>
      <c r="F99" s="11"/>
      <c r="G99" s="12"/>
      <c r="H99" s="12"/>
      <c r="I99" s="13"/>
      <c r="J99" s="13">
        <v>1</v>
      </c>
      <c r="K99" s="144"/>
      <c r="L99" s="13"/>
      <c r="M99" s="13"/>
      <c r="N99" s="14">
        <f t="shared" si="3"/>
        <v>32</v>
      </c>
      <c r="O99" s="11"/>
      <c r="P99" s="15"/>
      <c r="Q99" s="75">
        <v>43183.847091032105</v>
      </c>
      <c r="R99" s="65">
        <v>41024.654736480501</v>
      </c>
      <c r="S99" s="17">
        <v>42665.640925939719</v>
      </c>
      <c r="T99" s="18">
        <v>2410.3683914245266</v>
      </c>
      <c r="U99" s="18"/>
      <c r="V99" s="41"/>
      <c r="W99" s="141" t="s">
        <v>1373</v>
      </c>
    </row>
    <row r="100" spans="1:23">
      <c r="A100" s="148" t="s">
        <v>1385</v>
      </c>
      <c r="B100" s="74" t="str">
        <f>IFERROR(HYPERLINK(VLOOKUP(A100,ÜRÜNLER!A:C,3,FALSE),VLOOKUP(A100,ÜRÜNLER!A:B,2,FALSE)),"")</f>
        <v>iQ500 Isı Pompalı Kurutma Makinesi, 9kg, Gümüş</v>
      </c>
      <c r="C100" s="10"/>
      <c r="D100" s="10"/>
      <c r="E100" s="11"/>
      <c r="F100" s="11"/>
      <c r="G100" s="12"/>
      <c r="H100" s="12"/>
      <c r="I100" s="13"/>
      <c r="J100" s="13"/>
      <c r="K100" s="144"/>
      <c r="L100" s="13"/>
      <c r="M100" s="13"/>
      <c r="N100" s="14">
        <f t="shared" si="3"/>
        <v>0</v>
      </c>
      <c r="O100" s="11"/>
      <c r="P100" s="15"/>
      <c r="Q100" s="75">
        <v>43404</v>
      </c>
      <c r="R100" s="34">
        <v>43404</v>
      </c>
      <c r="S100" s="17">
        <v>45140.160000000003</v>
      </c>
      <c r="T100" s="18"/>
      <c r="U100" s="18"/>
      <c r="V100" s="41"/>
      <c r="W100" s="141"/>
    </row>
    <row r="101" spans="1:23">
      <c r="A101" s="168" t="s">
        <v>106</v>
      </c>
      <c r="B101" s="74" t="str">
        <f>IFERROR(HYPERLINK(VLOOKUP(A101,ÜRÜNLER!A:C,3,FALSE),VLOOKUP(A101,ÜRÜNLER!A:B,2,FALSE)),"")</f>
        <v>iQ500 Isı Pompalı Kurutma Makinesi, 9kg, Beyaz</v>
      </c>
      <c r="C101" s="10">
        <v>37</v>
      </c>
      <c r="D101" s="10"/>
      <c r="E101" s="11"/>
      <c r="F101" s="11"/>
      <c r="G101" s="12"/>
      <c r="H101" s="12"/>
      <c r="I101" s="13">
        <v>1</v>
      </c>
      <c r="J101" s="13"/>
      <c r="K101" s="144"/>
      <c r="L101" s="13">
        <v>1</v>
      </c>
      <c r="M101" s="13"/>
      <c r="N101" s="14">
        <f t="shared" si="3"/>
        <v>39</v>
      </c>
      <c r="O101" s="11"/>
      <c r="P101" s="15"/>
      <c r="Q101" s="75">
        <v>46206.703389937567</v>
      </c>
      <c r="R101" s="65">
        <v>43896.368220440687</v>
      </c>
      <c r="S101" s="17">
        <v>45652.222949258314</v>
      </c>
      <c r="T101" s="18">
        <v>2773.5358513174433</v>
      </c>
      <c r="U101" s="18"/>
      <c r="V101" s="41"/>
      <c r="W101" s="141" t="s">
        <v>1373</v>
      </c>
    </row>
    <row r="102" spans="1:23">
      <c r="A102" s="82" t="s">
        <v>110</v>
      </c>
      <c r="B102" s="74" t="str">
        <f>IFERROR(HYPERLINK(VLOOKUP(A102,ÜRÜNLER!A:C,3,FALSE),VLOOKUP(A102,ÜRÜNLER!A:B,2,FALSE)),"")</f>
        <v>iQ500 Isı Pompalı Kurutma Makinesi, 9kg, SelfClean, Beyaz</v>
      </c>
      <c r="C102" s="10">
        <v>122</v>
      </c>
      <c r="D102" s="10"/>
      <c r="E102" s="11"/>
      <c r="F102" s="11"/>
      <c r="G102" s="12"/>
      <c r="H102" s="12"/>
      <c r="I102" s="13">
        <v>1</v>
      </c>
      <c r="J102" s="13">
        <v>1</v>
      </c>
      <c r="K102" s="144">
        <v>1</v>
      </c>
      <c r="L102" s="13">
        <v>1</v>
      </c>
      <c r="M102" s="13"/>
      <c r="N102" s="14">
        <f t="shared" si="3"/>
        <v>126</v>
      </c>
      <c r="O102" s="11"/>
      <c r="P102" s="15"/>
      <c r="Q102" s="133" t="s">
        <v>1347</v>
      </c>
      <c r="R102" s="23">
        <v>36000</v>
      </c>
      <c r="S102" s="27">
        <v>37440</v>
      </c>
      <c r="T102" s="18">
        <v>578.09360449774977</v>
      </c>
      <c r="U102" s="18"/>
      <c r="V102" s="154">
        <v>250</v>
      </c>
      <c r="W102" s="141" t="s">
        <v>1373</v>
      </c>
    </row>
    <row r="103" spans="1:23">
      <c r="A103" s="82" t="s">
        <v>111</v>
      </c>
      <c r="B103" s="74" t="str">
        <f>IFERROR(HYPERLINK(VLOOKUP(A103,ÜRÜNLER!A:C,3,FALSE),VLOOKUP(A103,ÜRÜNLER!A:B,2,FALSE)),"")</f>
        <v>iQ700 Isı Pompalı Kurutma Makinesi, 9kg, Beyaz</v>
      </c>
      <c r="C103" s="10">
        <v>129</v>
      </c>
      <c r="D103" s="10"/>
      <c r="E103" s="11"/>
      <c r="F103" s="11"/>
      <c r="G103" s="12"/>
      <c r="H103" s="12"/>
      <c r="I103" s="13">
        <v>2</v>
      </c>
      <c r="J103" s="13"/>
      <c r="K103" s="144">
        <v>1</v>
      </c>
      <c r="L103" s="13"/>
      <c r="M103" s="13"/>
      <c r="N103" s="14">
        <f t="shared" si="3"/>
        <v>132</v>
      </c>
      <c r="O103" s="11"/>
      <c r="P103" s="15"/>
      <c r="Q103" s="75">
        <v>61286.692413916055</v>
      </c>
      <c r="R103" s="61">
        <v>56996.62394494193</v>
      </c>
      <c r="S103" s="17">
        <v>59276.488902739606</v>
      </c>
      <c r="T103" s="18"/>
      <c r="U103" s="18"/>
      <c r="V103" s="19"/>
      <c r="W103" s="141" t="s">
        <v>1373</v>
      </c>
    </row>
    <row r="104" spans="1:23">
      <c r="A104" s="148" t="s">
        <v>112</v>
      </c>
      <c r="B104" s="74" t="str">
        <f>IFERROR(HYPERLINK(VLOOKUP(A104,ÜRÜNLER!A:C,3,FALSE),VLOOKUP(A104,ÜRÜNLER!A:B,2,FALSE)),"")</f>
        <v>iQ700 Isı Pompalı Kurutma Makinesi, 9kg, Gümüş</v>
      </c>
      <c r="C104" s="10">
        <v>94</v>
      </c>
      <c r="D104" s="10"/>
      <c r="E104" s="11"/>
      <c r="F104" s="11"/>
      <c r="G104" s="12"/>
      <c r="H104" s="12"/>
      <c r="I104" s="13">
        <v>1</v>
      </c>
      <c r="J104" s="13">
        <v>1</v>
      </c>
      <c r="K104" s="144"/>
      <c r="L104" s="13">
        <v>1</v>
      </c>
      <c r="M104" s="13"/>
      <c r="N104" s="14">
        <f t="shared" si="3"/>
        <v>97</v>
      </c>
      <c r="O104" s="11"/>
      <c r="P104" s="15"/>
      <c r="Q104" s="75">
        <v>62304.674762486175</v>
      </c>
      <c r="R104" s="61">
        <v>57943.347529112143</v>
      </c>
      <c r="S104" s="17">
        <v>60261.08143027663</v>
      </c>
      <c r="T104" s="18"/>
      <c r="U104" s="18"/>
      <c r="V104" s="19"/>
      <c r="W104" s="141" t="s">
        <v>1373</v>
      </c>
    </row>
    <row r="105" spans="1:23">
      <c r="A105" s="82" t="s">
        <v>113</v>
      </c>
      <c r="B105" s="74" t="str">
        <f>IFERROR(HYPERLINK(VLOOKUP(A105,ÜRÜNLER!A:C,3,FALSE),VLOOKUP(A105,ÜRÜNLER!A:B,2,FALSE)),"")</f>
        <v>iQ300 Isı Pompalı Kurutma Makinesi, 10kg, Beyaz</v>
      </c>
      <c r="C105" s="10"/>
      <c r="D105" s="10"/>
      <c r="E105" s="11"/>
      <c r="F105" s="11"/>
      <c r="G105" s="12"/>
      <c r="H105" s="12"/>
      <c r="I105" s="13">
        <v>2</v>
      </c>
      <c r="J105" s="13"/>
      <c r="K105" s="144">
        <v>2</v>
      </c>
      <c r="L105" s="13">
        <v>1</v>
      </c>
      <c r="M105" s="13"/>
      <c r="N105" s="14">
        <f t="shared" si="3"/>
        <v>5</v>
      </c>
      <c r="O105" s="11"/>
      <c r="P105" s="15"/>
      <c r="Q105" s="133" t="s">
        <v>1347</v>
      </c>
      <c r="R105" s="23">
        <v>35000</v>
      </c>
      <c r="S105" s="27">
        <v>36400</v>
      </c>
      <c r="T105" s="18">
        <v>3443.0504798509646</v>
      </c>
      <c r="U105" s="18"/>
      <c r="V105" s="19">
        <v>250</v>
      </c>
    </row>
    <row r="106" spans="1:23">
      <c r="A106" s="82" t="s">
        <v>482</v>
      </c>
      <c r="B106" s="74" t="str">
        <f>IFERROR(HYPERLINK(VLOOKUP(A106,ÜRÜNLER!A:C,3,FALSE),VLOOKUP(A106,ÜRÜNLER!A:B,2,FALSE)),"")</f>
        <v>iQ300 Isı Pompalı Kurutma Makinesi, 10kg, Beyaz</v>
      </c>
      <c r="C106" s="10">
        <v>38</v>
      </c>
      <c r="D106" s="10"/>
      <c r="E106" s="11"/>
      <c r="F106" s="11"/>
      <c r="G106" s="12"/>
      <c r="H106" s="12"/>
      <c r="I106" s="13"/>
      <c r="J106" s="13"/>
      <c r="K106" s="144"/>
      <c r="L106" s="13"/>
      <c r="M106" s="13"/>
      <c r="N106" s="14">
        <f t="shared" si="3"/>
        <v>38</v>
      </c>
      <c r="O106" s="11"/>
      <c r="P106" s="15"/>
      <c r="Q106" s="75">
        <v>42717.122969696531</v>
      </c>
      <c r="R106" s="65">
        <v>40581.266821211706</v>
      </c>
      <c r="S106" s="17">
        <v>42204.517494060172</v>
      </c>
      <c r="T106" s="18">
        <v>2018.6318751997969</v>
      </c>
      <c r="U106" s="18"/>
      <c r="V106" s="17"/>
    </row>
    <row r="107" spans="1:23">
      <c r="A107" s="92" t="s">
        <v>1324</v>
      </c>
      <c r="B107" s="74" t="str">
        <f>IFERROR(HYPERLINK(VLOOKUP(A107,ÜRÜNLER!A:C,3,FALSE),VLOOKUP(A107,ÜRÜNLER!A:B,2,FALSE)),"")</f>
        <v>iQ500 Isı Pompalı Kurutma Makinesi, 10kg, Antrasit/Dark</v>
      </c>
      <c r="C107" s="10"/>
      <c r="D107" s="10"/>
      <c r="E107" s="11"/>
      <c r="F107" s="11"/>
      <c r="G107" s="12"/>
      <c r="H107" s="12"/>
      <c r="I107" s="13">
        <v>1</v>
      </c>
      <c r="J107" s="13">
        <v>1</v>
      </c>
      <c r="K107" s="144"/>
      <c r="L107" s="13">
        <v>1</v>
      </c>
      <c r="M107" s="13"/>
      <c r="N107" s="14">
        <f t="shared" si="3"/>
        <v>3</v>
      </c>
      <c r="O107" s="11">
        <v>50</v>
      </c>
      <c r="P107" s="15"/>
      <c r="Q107" s="75">
        <v>45281.496328029381</v>
      </c>
      <c r="R107" s="65">
        <v>43017.421511627916</v>
      </c>
      <c r="S107" s="17">
        <v>44738.118372093035</v>
      </c>
      <c r="T107" s="18"/>
      <c r="U107" s="18"/>
      <c r="V107" s="17"/>
      <c r="W107" s="141" t="s">
        <v>1373</v>
      </c>
    </row>
    <row r="108" spans="1:23">
      <c r="A108" s="82" t="s">
        <v>114</v>
      </c>
      <c r="B108" s="74" t="str">
        <f>IFERROR(HYPERLINK(VLOOKUP(A108,ÜRÜNLER!A:C,3,FALSE),VLOOKUP(A108,ÜRÜNLER!A:B,2,FALSE)),"")</f>
        <v>iQ500 Isı Pompalı Kurutma Makinesi, 10kg, Beyaz</v>
      </c>
      <c r="C108" s="10">
        <v>9</v>
      </c>
      <c r="D108" s="10"/>
      <c r="E108" s="11"/>
      <c r="F108" s="11"/>
      <c r="G108" s="12"/>
      <c r="H108" s="12"/>
      <c r="I108" s="13"/>
      <c r="J108" s="13">
        <v>1</v>
      </c>
      <c r="K108" s="144"/>
      <c r="L108" s="13"/>
      <c r="M108" s="13"/>
      <c r="N108" s="14">
        <f t="shared" si="3"/>
        <v>10</v>
      </c>
      <c r="O108" s="11"/>
      <c r="P108" s="15"/>
      <c r="Q108" s="75">
        <v>45280.150347878327</v>
      </c>
      <c r="R108" s="65">
        <v>43016.142830484408</v>
      </c>
      <c r="S108" s="17">
        <v>44736.788543703784</v>
      </c>
      <c r="T108" s="18">
        <v>995.16839236295345</v>
      </c>
      <c r="U108" s="18"/>
      <c r="V108" s="19"/>
      <c r="W108" s="141" t="s">
        <v>1373</v>
      </c>
    </row>
    <row r="109" spans="1:23">
      <c r="A109" s="82" t="s">
        <v>107</v>
      </c>
      <c r="B109" s="74" t="str">
        <f>IFERROR(HYPERLINK(VLOOKUP(A109,ÜRÜNLER!A:C,3,FALSE),VLOOKUP(A109,ÜRÜNLER!A:B,2,FALSE)),"")</f>
        <v>iQ300 Isı Pompalı Kurutma Makinesi, 8kg, Beyaz</v>
      </c>
      <c r="C109" s="10"/>
      <c r="D109" s="10"/>
      <c r="E109" s="11"/>
      <c r="F109" s="11">
        <v>1</v>
      </c>
      <c r="G109" s="12"/>
      <c r="H109" s="12"/>
      <c r="I109" s="13"/>
      <c r="J109" s="13"/>
      <c r="K109" s="144">
        <v>1</v>
      </c>
      <c r="L109" s="13">
        <v>1</v>
      </c>
      <c r="M109" s="13"/>
      <c r="N109" s="14">
        <f t="shared" si="3"/>
        <v>3</v>
      </c>
      <c r="O109" s="11"/>
      <c r="P109" s="15"/>
      <c r="Q109" s="133" t="s">
        <v>1347</v>
      </c>
      <c r="R109" s="166">
        <v>34000</v>
      </c>
      <c r="S109" s="27">
        <v>35360</v>
      </c>
      <c r="T109" s="18">
        <v>3218.5846517704667</v>
      </c>
      <c r="U109" s="18"/>
      <c r="V109" s="154">
        <v>500</v>
      </c>
    </row>
    <row r="110" spans="1:23" ht="29.25" customHeight="1">
      <c r="A110" s="42" t="s">
        <v>115</v>
      </c>
      <c r="B110" s="74" t="str">
        <f>IFERROR(HYPERLINK(VLOOKUP(A110,ÜRÜNLER!A:C,3,FALSE),VLOOKUP(A110,ÜRÜNLER!A:B,2,FALSE)),"")</f>
        <v/>
      </c>
      <c r="C110" s="10"/>
      <c r="D110" s="10"/>
      <c r="E110" s="11"/>
      <c r="F110" s="11"/>
      <c r="G110" s="12"/>
      <c r="H110" s="12"/>
      <c r="I110" s="13"/>
      <c r="J110" s="13"/>
      <c r="K110" s="144"/>
      <c r="L110" s="13"/>
      <c r="M110" s="13"/>
      <c r="N110" s="14">
        <f>SUM(N97:N109)</f>
        <v>491</v>
      </c>
      <c r="O110" s="11"/>
      <c r="P110" s="15"/>
      <c r="Q110" s="133"/>
      <c r="R110" s="19"/>
      <c r="S110" s="17"/>
      <c r="T110" s="18"/>
      <c r="U110" s="18"/>
      <c r="V110" s="19"/>
    </row>
    <row r="111" spans="1:23">
      <c r="A111" s="82" t="s">
        <v>116</v>
      </c>
      <c r="B111" s="74" t="str">
        <f>IFERROR(HYPERLINK(VLOOKUP(A111,ÜRÜNLER!A:C,3,FALSE),VLOOKUP(A111,ÜRÜNLER!A:B,2,FALSE)),"")</f>
        <v>iQ500 Solo Bulaşık Makinesi, autoOpen dry, Üstten Sepetli, Inox</v>
      </c>
      <c r="C111" s="10">
        <v>17</v>
      </c>
      <c r="D111" s="10"/>
      <c r="E111" s="11"/>
      <c r="F111" s="11"/>
      <c r="G111" s="12"/>
      <c r="H111" s="12"/>
      <c r="I111" s="13"/>
      <c r="J111" s="13"/>
      <c r="K111" s="144"/>
      <c r="L111" s="13"/>
      <c r="M111" s="13"/>
      <c r="N111" s="14">
        <f t="shared" ref="N111:N135" si="4">SUM(C111:M111)</f>
        <v>17</v>
      </c>
      <c r="O111" s="11"/>
      <c r="P111" s="15"/>
      <c r="Q111" s="75">
        <v>36246.171906638767</v>
      </c>
      <c r="R111" s="65">
        <v>34433.863311306828</v>
      </c>
      <c r="S111" s="17">
        <v>35811.217843759099</v>
      </c>
      <c r="T111" s="18"/>
      <c r="U111" s="18"/>
      <c r="V111" s="19"/>
    </row>
    <row r="112" spans="1:23">
      <c r="A112" s="82" t="s">
        <v>117</v>
      </c>
      <c r="B112" s="74" t="str">
        <f>IFERROR(HYPERLINK(VLOOKUP(A112,ÜRÜNLER!A:C,3,FALSE),VLOOKUP(A112,ÜRÜNLER!A:B,2,FALSE)),"")</f>
        <v>iQ500 Solo Bulaşık Makinesi, autoOpen dry, glassZone, Beyaz</v>
      </c>
      <c r="C112" s="10">
        <v>8</v>
      </c>
      <c r="D112" s="10"/>
      <c r="E112" s="11"/>
      <c r="F112" s="11"/>
      <c r="G112" s="12"/>
      <c r="H112" s="12"/>
      <c r="I112" s="13"/>
      <c r="J112" s="13"/>
      <c r="K112" s="144"/>
      <c r="L112" s="13"/>
      <c r="M112" s="13"/>
      <c r="N112" s="14">
        <f t="shared" si="4"/>
        <v>8</v>
      </c>
      <c r="O112" s="11">
        <v>5</v>
      </c>
      <c r="P112" s="15"/>
      <c r="Q112" s="75">
        <v>32022.377076932549</v>
      </c>
      <c r="R112" s="65">
        <v>30421.258223085923</v>
      </c>
      <c r="S112" s="17">
        <v>31638.108552009358</v>
      </c>
      <c r="T112" s="18"/>
      <c r="U112" s="18"/>
      <c r="V112" s="19"/>
      <c r="W112" s="141" t="s">
        <v>1373</v>
      </c>
    </row>
    <row r="113" spans="1:23">
      <c r="A113" s="82" t="s">
        <v>118</v>
      </c>
      <c r="B113" s="74" t="str">
        <f>IFERROR(HYPERLINK(VLOOKUP(A113,ÜRÜNLER!A:C,3,FALSE),VLOOKUP(A113,ÜRÜNLER!A:B,2,FALSE)),"")</f>
        <v>iQ500 Solo Bulaşık Makinesi, autoOpen dry, glassZone, Inox</v>
      </c>
      <c r="C113" s="10">
        <v>9</v>
      </c>
      <c r="D113" s="10"/>
      <c r="E113" s="11"/>
      <c r="F113" s="11"/>
      <c r="G113" s="12"/>
      <c r="H113" s="12"/>
      <c r="I113" s="13"/>
      <c r="J113" s="13"/>
      <c r="K113" s="144"/>
      <c r="L113" s="13"/>
      <c r="M113" s="13">
        <v>1</v>
      </c>
      <c r="N113" s="14">
        <f t="shared" si="4"/>
        <v>10</v>
      </c>
      <c r="O113" s="11"/>
      <c r="P113" s="15"/>
      <c r="Q113" s="75">
        <v>33691.67868440631</v>
      </c>
      <c r="R113" s="65">
        <v>32007.094750185996</v>
      </c>
      <c r="S113" s="17">
        <v>33287.378540193436</v>
      </c>
      <c r="T113" s="18"/>
      <c r="U113" s="18"/>
      <c r="V113" s="19"/>
      <c r="W113" s="141" t="s">
        <v>1373</v>
      </c>
    </row>
    <row r="114" spans="1:23">
      <c r="A114" s="93" t="s">
        <v>119</v>
      </c>
      <c r="B114" s="74" t="str">
        <f>IFERROR(HYPERLINK(VLOOKUP(A114,ÜRÜNLER!A:C,3,FALSE),VLOOKUP(A114,ÜRÜNLER!A:B,2,FALSE)),"")</f>
        <v>iQ500 Solo Bulaşık Makinesi, autoOpen dry, glassZone, darkSteel</v>
      </c>
      <c r="C114" s="10"/>
      <c r="D114" s="10"/>
      <c r="E114" s="11"/>
      <c r="F114" s="11"/>
      <c r="G114" s="12"/>
      <c r="H114" s="12"/>
      <c r="I114" s="13"/>
      <c r="J114" s="13"/>
      <c r="K114" s="144"/>
      <c r="L114" s="13">
        <v>1</v>
      </c>
      <c r="M114" s="13"/>
      <c r="N114" s="14">
        <f t="shared" si="4"/>
        <v>1</v>
      </c>
      <c r="O114" s="11">
        <v>25</v>
      </c>
      <c r="P114" s="15"/>
      <c r="Q114" s="75">
        <v>35361.004262489529</v>
      </c>
      <c r="R114" s="81">
        <v>34300.174134614841</v>
      </c>
      <c r="S114" s="17">
        <v>35672.181099999434</v>
      </c>
      <c r="T114" s="18"/>
      <c r="U114" s="18"/>
      <c r="V114" s="19"/>
      <c r="W114" s="141" t="s">
        <v>1373</v>
      </c>
    </row>
    <row r="115" spans="1:23">
      <c r="A115" s="82" t="s">
        <v>120</v>
      </c>
      <c r="B115" s="74" t="str">
        <f>IFERROR(HYPERLINK(VLOOKUP(A115,ÜRÜNLER!A:C,3,FALSE),VLOOKUP(A115,ÜRÜNLER!A:B,2,FALSE)),"")</f>
        <v>iQ100 Solo Bulaşık Makinesi, Inox</v>
      </c>
      <c r="C115" s="10">
        <v>84</v>
      </c>
      <c r="D115" s="10"/>
      <c r="E115" s="11"/>
      <c r="F115" s="11"/>
      <c r="G115" s="12"/>
      <c r="H115" s="12"/>
      <c r="I115" s="13">
        <v>1</v>
      </c>
      <c r="J115" s="13">
        <v>1</v>
      </c>
      <c r="K115" s="144">
        <v>1</v>
      </c>
      <c r="L115" s="13">
        <v>1</v>
      </c>
      <c r="M115" s="13">
        <v>1</v>
      </c>
      <c r="N115" s="14">
        <f t="shared" si="4"/>
        <v>89</v>
      </c>
      <c r="O115" s="11"/>
      <c r="P115" s="79" t="s">
        <v>17</v>
      </c>
      <c r="Q115" s="75">
        <v>25630.878249354657</v>
      </c>
      <c r="R115" s="34">
        <v>25630.878249354657</v>
      </c>
      <c r="S115" s="17">
        <v>26656.113379328843</v>
      </c>
      <c r="T115" s="18">
        <v>1016.9247609825652</v>
      </c>
      <c r="U115" s="18"/>
      <c r="V115" s="19"/>
    </row>
    <row r="116" spans="1:23">
      <c r="A116" s="82" t="s">
        <v>121</v>
      </c>
      <c r="B116" s="74" t="str">
        <f>IFERROR(HYPERLINK(VLOOKUP(A116,ÜRÜNLER!A:C,3,FALSE),VLOOKUP(A116,ÜRÜNLER!A:B,2,FALSE)),"")</f>
        <v>iQ100 Solo Bulaşık Makinesi, Beyaz</v>
      </c>
      <c r="C116" s="10">
        <v>55</v>
      </c>
      <c r="D116" s="10"/>
      <c r="E116" s="11"/>
      <c r="F116" s="11"/>
      <c r="G116" s="12"/>
      <c r="H116" s="12"/>
      <c r="I116" s="13">
        <v>1</v>
      </c>
      <c r="J116" s="13">
        <v>1</v>
      </c>
      <c r="K116" s="144">
        <v>2</v>
      </c>
      <c r="L116" s="13"/>
      <c r="M116" s="13"/>
      <c r="N116" s="14">
        <f t="shared" si="4"/>
        <v>59</v>
      </c>
      <c r="O116" s="11"/>
      <c r="P116" s="79" t="s">
        <v>17</v>
      </c>
      <c r="Q116" s="75">
        <v>24397.812130251856</v>
      </c>
      <c r="R116" s="34">
        <v>24397.812130251856</v>
      </c>
      <c r="S116" s="17">
        <v>25373.724615461932</v>
      </c>
      <c r="T116" s="18">
        <v>5107.1144558332526</v>
      </c>
      <c r="U116" s="18"/>
      <c r="V116" s="19"/>
    </row>
    <row r="117" spans="1:23">
      <c r="A117" s="82" t="s">
        <v>122</v>
      </c>
      <c r="B117" s="74" t="str">
        <f>IFERROR(HYPERLINK(VLOOKUP(A117,ÜRÜNLER!A:C,3,FALSE),VLOOKUP(A117,ÜRÜNLER!A:B,2,FALSE)),"")</f>
        <v>iQ300 Solo Bulaşık Makinesi, autoOpen dry, Beyaz</v>
      </c>
      <c r="C117" s="10">
        <v>52</v>
      </c>
      <c r="D117" s="10"/>
      <c r="E117" s="11"/>
      <c r="F117" s="11"/>
      <c r="G117" s="12"/>
      <c r="H117" s="12"/>
      <c r="I117" s="13"/>
      <c r="J117" s="13"/>
      <c r="K117" s="144"/>
      <c r="L117" s="13"/>
      <c r="M117" s="13"/>
      <c r="N117" s="14">
        <f t="shared" si="4"/>
        <v>52</v>
      </c>
      <c r="O117" s="11"/>
      <c r="P117" s="15"/>
      <c r="Q117" s="75">
        <v>30088.932625057525</v>
      </c>
      <c r="R117" s="81">
        <v>29186.264646305801</v>
      </c>
      <c r="S117" s="17">
        <v>30353.715232158032</v>
      </c>
      <c r="T117" s="18">
        <v>7672.6535552900823</v>
      </c>
      <c r="U117" s="18"/>
      <c r="V117" s="19"/>
    </row>
    <row r="118" spans="1:23">
      <c r="A118" s="93" t="s">
        <v>123</v>
      </c>
      <c r="B118" s="74" t="str">
        <f>IFERROR(HYPERLINK(VLOOKUP(A118,ÜRÜNLER!A:C,3,FALSE),VLOOKUP(A118,ÜRÜNLER!A:B,2,FALSE)),"")</f>
        <v>iQ500 Solo Bulaşık Makinesi, Üstten Sepetli, Siyah Cam</v>
      </c>
      <c r="C118" s="10"/>
      <c r="D118" s="10"/>
      <c r="E118" s="11"/>
      <c r="F118" s="11"/>
      <c r="G118" s="12"/>
      <c r="H118" s="12"/>
      <c r="I118" s="13"/>
      <c r="J118" s="13"/>
      <c r="K118" s="144">
        <v>1</v>
      </c>
      <c r="L118" s="13"/>
      <c r="M118" s="13"/>
      <c r="N118" s="14">
        <f t="shared" si="4"/>
        <v>1</v>
      </c>
      <c r="O118" s="11"/>
      <c r="P118" s="15"/>
      <c r="Q118" s="133" t="s">
        <v>1347</v>
      </c>
      <c r="R118" s="63">
        <v>43000</v>
      </c>
      <c r="S118" s="17">
        <v>44720</v>
      </c>
      <c r="T118" s="18">
        <v>4374.4307088725618</v>
      </c>
      <c r="U118" s="18"/>
      <c r="V118" s="19">
        <v>250</v>
      </c>
    </row>
    <row r="119" spans="1:23">
      <c r="A119" s="43" t="s">
        <v>124</v>
      </c>
      <c r="B119" s="74" t="str">
        <f>IFERROR(HYPERLINK(VLOOKUP(A119,ÜRÜNLER!A:C,3,FALSE),VLOOKUP(A119,ÜRÜNLER!A:B,2,FALSE)),"")</f>
        <v>iQ500 Solo Bulaşık Makinesi, Üstten Sepetli, Beyaz Cam</v>
      </c>
      <c r="C119" s="10">
        <v>1</v>
      </c>
      <c r="D119" s="10"/>
      <c r="E119" s="11"/>
      <c r="F119" s="11"/>
      <c r="G119" s="12"/>
      <c r="H119" s="12"/>
      <c r="I119" s="13"/>
      <c r="J119" s="13">
        <v>1</v>
      </c>
      <c r="K119" s="144"/>
      <c r="L119" s="13"/>
      <c r="M119" s="13"/>
      <c r="N119" s="14">
        <f t="shared" si="4"/>
        <v>2</v>
      </c>
      <c r="O119" s="11"/>
      <c r="P119" s="15"/>
      <c r="Q119" s="133" t="s">
        <v>1347</v>
      </c>
      <c r="R119" s="63">
        <v>43000</v>
      </c>
      <c r="S119" s="17">
        <v>44720</v>
      </c>
      <c r="T119" s="18">
        <v>4374.4278360545577</v>
      </c>
      <c r="U119" s="18"/>
      <c r="V119" s="19">
        <v>250</v>
      </c>
    </row>
    <row r="120" spans="1:23">
      <c r="A120" s="149" t="s">
        <v>125</v>
      </c>
      <c r="B120" s="74" t="str">
        <f>IFERROR(HYPERLINK(VLOOKUP(A120,ÜRÜNLER!A:C,3,FALSE),VLOOKUP(A120,ÜRÜNLER!A:B,2,FALSE)),"")</f>
        <v>iQ500 Solo Bulaşık Makinesi, Üstten Sepetli, Antrasit Cam</v>
      </c>
      <c r="C120" s="10">
        <v>7</v>
      </c>
      <c r="D120" s="10"/>
      <c r="E120" s="11"/>
      <c r="F120" s="11"/>
      <c r="G120" s="12"/>
      <c r="H120" s="12"/>
      <c r="I120" s="13">
        <v>1</v>
      </c>
      <c r="J120" s="13"/>
      <c r="K120" s="144">
        <v>1</v>
      </c>
      <c r="L120" s="13"/>
      <c r="M120" s="13"/>
      <c r="N120" s="14">
        <f t="shared" si="4"/>
        <v>9</v>
      </c>
      <c r="O120" s="11"/>
      <c r="P120" s="15"/>
      <c r="Q120" s="133" t="s">
        <v>1347</v>
      </c>
      <c r="R120" s="63">
        <v>43000</v>
      </c>
      <c r="S120" s="17">
        <v>44720</v>
      </c>
      <c r="T120" s="18">
        <v>4374.4278360545577</v>
      </c>
      <c r="U120" s="18"/>
      <c r="V120" s="19"/>
    </row>
    <row r="121" spans="1:23">
      <c r="A121" s="92" t="s">
        <v>126</v>
      </c>
      <c r="B121" s="74" t="str">
        <f>IFERROR(HYPERLINK(VLOOKUP(A121,ÜRÜNLER!A:C,3,FALSE),VLOOKUP(A121,ÜRÜNLER!A:B,2,FALSE)),"")</f>
        <v>iQ300 Solo Bulaşık Makinesi, Üstten Sepetli, darkSteel</v>
      </c>
      <c r="C121" s="10">
        <v>3</v>
      </c>
      <c r="D121" s="10"/>
      <c r="E121" s="11"/>
      <c r="F121" s="11"/>
      <c r="G121" s="12"/>
      <c r="H121" s="12"/>
      <c r="I121" s="13">
        <v>1</v>
      </c>
      <c r="J121" s="13">
        <v>1</v>
      </c>
      <c r="K121" s="144">
        <v>2</v>
      </c>
      <c r="L121" s="13">
        <v>1</v>
      </c>
      <c r="M121" s="13"/>
      <c r="N121" s="14">
        <f t="shared" si="4"/>
        <v>8</v>
      </c>
      <c r="O121" s="11"/>
      <c r="P121" s="15"/>
      <c r="Q121" s="133" t="s">
        <v>1347</v>
      </c>
      <c r="R121" s="63">
        <v>33250</v>
      </c>
      <c r="S121" s="17">
        <v>34580</v>
      </c>
      <c r="T121" s="18">
        <v>3253.5442103524074</v>
      </c>
      <c r="U121" s="18"/>
      <c r="V121" s="19"/>
      <c r="W121" s="141" t="s">
        <v>1373</v>
      </c>
    </row>
    <row r="122" spans="1:23">
      <c r="A122" s="43" t="s">
        <v>127</v>
      </c>
      <c r="B122" s="74" t="str">
        <f>IFERROR(HYPERLINK(VLOOKUP(A122,ÜRÜNLER!A:C,3,FALSE),VLOOKUP(A122,ÜRÜNLER!A:B,2,FALSE)),"")</f>
        <v>iQ300 Solo Bulaşık Makinesi, Inox</v>
      </c>
      <c r="C122" s="10">
        <v>2</v>
      </c>
      <c r="D122" s="10"/>
      <c r="E122" s="11"/>
      <c r="F122" s="11"/>
      <c r="G122" s="12"/>
      <c r="H122" s="12"/>
      <c r="I122" s="13">
        <v>1</v>
      </c>
      <c r="J122" s="13">
        <v>1</v>
      </c>
      <c r="K122" s="144">
        <v>2</v>
      </c>
      <c r="L122" s="13"/>
      <c r="M122" s="13"/>
      <c r="N122" s="14">
        <f t="shared" si="4"/>
        <v>6</v>
      </c>
      <c r="O122" s="11">
        <v>100</v>
      </c>
      <c r="P122" s="26"/>
      <c r="Q122" s="75">
        <v>32256.770230922746</v>
      </c>
      <c r="R122" s="66">
        <v>30643.931719376607</v>
      </c>
      <c r="S122" s="153">
        <v>31869.688988151673</v>
      </c>
      <c r="T122" s="18">
        <v>6250.9562774343722</v>
      </c>
      <c r="U122" s="18"/>
      <c r="V122" s="19"/>
    </row>
    <row r="123" spans="1:23">
      <c r="A123" s="43" t="s">
        <v>128</v>
      </c>
      <c r="B123" s="74" t="str">
        <f>IFERROR(HYPERLINK(VLOOKUP(A123,ÜRÜNLER!A:C,3,FALSE),VLOOKUP(A123,ÜRÜNLER!A:B,2,FALSE)),"")</f>
        <v>iQ300 Solo Bulaşık Makinesi, Üstten Sepetli, Inox</v>
      </c>
      <c r="C123" s="10">
        <v>8</v>
      </c>
      <c r="D123" s="10"/>
      <c r="E123" s="11"/>
      <c r="F123" s="11"/>
      <c r="G123" s="12"/>
      <c r="H123" s="12"/>
      <c r="I123" s="13">
        <v>1</v>
      </c>
      <c r="J123" s="13">
        <v>1</v>
      </c>
      <c r="K123" s="144">
        <v>1</v>
      </c>
      <c r="L123" s="13"/>
      <c r="M123" s="13"/>
      <c r="N123" s="14">
        <f t="shared" si="4"/>
        <v>11</v>
      </c>
      <c r="O123" s="11"/>
      <c r="P123" s="15"/>
      <c r="Q123" s="75">
        <v>32468.876610250907</v>
      </c>
      <c r="R123" s="81">
        <v>31494.81031194338</v>
      </c>
      <c r="S123" s="17">
        <v>32754.602724421115</v>
      </c>
      <c r="T123" s="18">
        <v>4403.7603311811399</v>
      </c>
      <c r="U123" s="18"/>
      <c r="V123" s="19"/>
    </row>
    <row r="124" spans="1:23">
      <c r="A124" s="82" t="s">
        <v>129</v>
      </c>
      <c r="B124" s="74" t="str">
        <f>IFERROR(HYPERLINK(VLOOKUP(A124,ÜRÜNLER!A:C,3,FALSE),VLOOKUP(A124,ÜRÜNLER!A:B,2,FALSE)),"")</f>
        <v>iQ300 Solo Bulaşık Makinesi, Beyaz</v>
      </c>
      <c r="C124" s="10">
        <v>93</v>
      </c>
      <c r="D124" s="10"/>
      <c r="E124" s="11"/>
      <c r="F124" s="11"/>
      <c r="G124" s="12"/>
      <c r="H124" s="12"/>
      <c r="I124" s="13"/>
      <c r="J124" s="13">
        <v>1</v>
      </c>
      <c r="K124" s="144">
        <v>1</v>
      </c>
      <c r="L124" s="13">
        <v>1</v>
      </c>
      <c r="M124" s="13"/>
      <c r="N124" s="14">
        <f t="shared" si="4"/>
        <v>96</v>
      </c>
      <c r="O124" s="11">
        <v>70</v>
      </c>
      <c r="P124" s="26"/>
      <c r="Q124" s="75">
        <v>30073.403810075666</v>
      </c>
      <c r="R124" s="66">
        <v>28569.733619571882</v>
      </c>
      <c r="S124" s="153">
        <v>29712.522964354757</v>
      </c>
      <c r="T124" s="18">
        <v>8072.2410193779906</v>
      </c>
      <c r="U124" s="18"/>
      <c r="V124" s="19"/>
    </row>
    <row r="125" spans="1:23">
      <c r="A125" s="82" t="s">
        <v>130</v>
      </c>
      <c r="B125" s="74" t="str">
        <f>IFERROR(HYPERLINK(VLOOKUP(A125,ÜRÜNLER!A:C,3,FALSE),VLOOKUP(A125,ÜRÜNLER!A:B,2,FALSE)),"")</f>
        <v>iQ300 Solo Bulaşık Makinesi, Üstten Sepetli, Beyaz</v>
      </c>
      <c r="C125" s="10">
        <v>14</v>
      </c>
      <c r="D125" s="10"/>
      <c r="E125" s="11"/>
      <c r="F125" s="11"/>
      <c r="G125" s="12"/>
      <c r="H125" s="12"/>
      <c r="I125" s="13">
        <v>1</v>
      </c>
      <c r="J125" s="13"/>
      <c r="K125" s="144">
        <v>3</v>
      </c>
      <c r="L125" s="13"/>
      <c r="M125" s="13"/>
      <c r="N125" s="14">
        <f t="shared" si="4"/>
        <v>18</v>
      </c>
      <c r="O125" s="11">
        <v>3</v>
      </c>
      <c r="P125" s="15"/>
      <c r="Q125" s="75">
        <v>30447.455535155408</v>
      </c>
      <c r="R125" s="81">
        <v>29534.031869100745</v>
      </c>
      <c r="S125" s="17">
        <v>30715.393143864774</v>
      </c>
      <c r="T125" s="18">
        <v>4498.6183258530837</v>
      </c>
      <c r="U125" s="18"/>
      <c r="V125" s="19"/>
    </row>
    <row r="126" spans="1:23">
      <c r="A126" s="43" t="s">
        <v>131</v>
      </c>
      <c r="B126" s="74" t="str">
        <f>IFERROR(HYPERLINK(VLOOKUP(A126,ÜRÜNLER!A:C,3,FALSE),VLOOKUP(A126,ÜRÜNLER!A:B,2,FALSE)),"")</f>
        <v>iQ500 Solo Bulaşık Makinesi, autoOpen dry, Inox</v>
      </c>
      <c r="C126" s="10">
        <v>1</v>
      </c>
      <c r="D126" s="10"/>
      <c r="E126" s="11"/>
      <c r="F126" s="11"/>
      <c r="G126" s="12"/>
      <c r="H126" s="12"/>
      <c r="I126" s="13">
        <v>2</v>
      </c>
      <c r="J126" s="13"/>
      <c r="K126" s="144">
        <v>1</v>
      </c>
      <c r="L126" s="13"/>
      <c r="M126" s="13"/>
      <c r="N126" s="14">
        <f t="shared" si="4"/>
        <v>4</v>
      </c>
      <c r="O126" s="11"/>
      <c r="P126" s="15"/>
      <c r="Q126" s="133" t="s">
        <v>1347</v>
      </c>
      <c r="R126" s="20">
        <v>31000</v>
      </c>
      <c r="S126" s="17">
        <v>32240</v>
      </c>
      <c r="T126" s="18">
        <v>1584.0104187847176</v>
      </c>
      <c r="U126" s="18"/>
      <c r="V126" s="19"/>
    </row>
    <row r="127" spans="1:23">
      <c r="A127" s="82" t="s">
        <v>132</v>
      </c>
      <c r="B127" s="74" t="str">
        <f>IFERROR(HYPERLINK(VLOOKUP(A127,ÜRÜNLER!A:C,3,FALSE),VLOOKUP(A127,ÜRÜNLER!A:B,2,FALSE)),"")</f>
        <v>iQ500 Solo Bulaşık Makinesi, autoOpen dry, Beyaz</v>
      </c>
      <c r="C127" s="10">
        <v>13</v>
      </c>
      <c r="D127" s="10"/>
      <c r="E127" s="11"/>
      <c r="F127" s="11"/>
      <c r="G127" s="12"/>
      <c r="H127" s="12"/>
      <c r="I127" s="13">
        <v>1</v>
      </c>
      <c r="J127" s="13">
        <v>1</v>
      </c>
      <c r="K127" s="144">
        <v>2</v>
      </c>
      <c r="L127" s="13"/>
      <c r="M127" s="13"/>
      <c r="N127" s="14">
        <f t="shared" si="4"/>
        <v>17</v>
      </c>
      <c r="O127" s="11"/>
      <c r="P127" s="15"/>
      <c r="Q127" s="133" t="s">
        <v>1347</v>
      </c>
      <c r="R127" s="63">
        <v>33000</v>
      </c>
      <c r="S127" s="17">
        <v>34320</v>
      </c>
      <c r="T127" s="18">
        <v>2284.6394909483279</v>
      </c>
      <c r="U127" s="18"/>
      <c r="V127" s="19"/>
    </row>
    <row r="128" spans="1:23">
      <c r="A128" s="82" t="s">
        <v>133</v>
      </c>
      <c r="B128" s="74" t="str">
        <f>IFERROR(HYPERLINK(VLOOKUP(A128,ÜRÜNLER!A:C,3,FALSE),VLOOKUP(A128,ÜRÜNLER!A:B,2,FALSE)),"")</f>
        <v>iQ500 Solo Bulaşık Makinesi, autoOpen dry, Inox</v>
      </c>
      <c r="C128" s="10">
        <v>8</v>
      </c>
      <c r="D128" s="10"/>
      <c r="E128" s="11"/>
      <c r="F128" s="11"/>
      <c r="G128" s="12"/>
      <c r="H128" s="12"/>
      <c r="I128" s="13"/>
      <c r="J128" s="13">
        <v>1</v>
      </c>
      <c r="K128" s="144"/>
      <c r="L128" s="13"/>
      <c r="M128" s="13"/>
      <c r="N128" s="14">
        <f t="shared" si="4"/>
        <v>9</v>
      </c>
      <c r="O128" s="11"/>
      <c r="P128" s="15"/>
      <c r="Q128" s="75">
        <v>35887.283293444758</v>
      </c>
      <c r="R128" s="81">
        <v>34810.664794641416</v>
      </c>
      <c r="S128" s="17">
        <v>36203.09138642707</v>
      </c>
      <c r="T128" s="18">
        <v>2881.4693399563912</v>
      </c>
      <c r="U128" s="18"/>
      <c r="V128" s="19"/>
      <c r="W128" s="141" t="s">
        <v>1373</v>
      </c>
    </row>
    <row r="129" spans="1:23">
      <c r="A129" s="82" t="s">
        <v>134</v>
      </c>
      <c r="B129" s="74" t="str">
        <f>IFERROR(HYPERLINK(VLOOKUP(A129,ÜRÜNLER!A:C,3,FALSE),VLOOKUP(A129,ÜRÜNLER!A:B,2,FALSE)),"")</f>
        <v>iQ500 Solo Bulaşık Makinesi, autoOpen dry, Beyaz</v>
      </c>
      <c r="C129" s="10">
        <v>14</v>
      </c>
      <c r="D129" s="10"/>
      <c r="E129" s="11"/>
      <c r="F129" s="11"/>
      <c r="G129" s="12"/>
      <c r="H129" s="12"/>
      <c r="I129" s="13">
        <v>1</v>
      </c>
      <c r="J129" s="13"/>
      <c r="K129" s="144"/>
      <c r="L129" s="13"/>
      <c r="M129" s="13"/>
      <c r="N129" s="14">
        <f t="shared" si="4"/>
        <v>15</v>
      </c>
      <c r="O129" s="11"/>
      <c r="P129" s="15"/>
      <c r="Q129" s="75">
        <v>34324.7262009431</v>
      </c>
      <c r="R129" s="81">
        <v>33294.984414914805</v>
      </c>
      <c r="S129" s="17">
        <v>34626.7837915114</v>
      </c>
      <c r="T129" s="18">
        <v>3199.1448055942601</v>
      </c>
      <c r="U129" s="18"/>
      <c r="V129" s="19"/>
    </row>
    <row r="130" spans="1:23">
      <c r="A130" s="43" t="s">
        <v>135</v>
      </c>
      <c r="B130" s="74" t="str">
        <f>IFERROR(HYPERLINK(VLOOKUP(A130,ÜRÜNLER!A:C,3,FALSE),VLOOKUP(A130,ÜRÜNLER!A:B,2,FALSE)),"")</f>
        <v>iQ500 Solo Bulaşık Makinesi, autoOpen dry, Üstten Sepetli, Inox</v>
      </c>
      <c r="C130" s="10">
        <v>1</v>
      </c>
      <c r="D130" s="10"/>
      <c r="E130" s="11"/>
      <c r="F130" s="11"/>
      <c r="G130" s="12"/>
      <c r="H130" s="12"/>
      <c r="I130" s="13">
        <v>1</v>
      </c>
      <c r="J130" s="13"/>
      <c r="K130" s="144">
        <v>1</v>
      </c>
      <c r="L130" s="13"/>
      <c r="M130" s="13">
        <v>1</v>
      </c>
      <c r="N130" s="14">
        <f t="shared" si="4"/>
        <v>4</v>
      </c>
      <c r="O130" s="11"/>
      <c r="P130" s="15"/>
      <c r="Q130" s="75">
        <v>42142.417188226296</v>
      </c>
      <c r="R130" s="65">
        <v>40035.296328814984</v>
      </c>
      <c r="S130" s="17">
        <v>41636.70818196758</v>
      </c>
      <c r="T130" s="18">
        <v>436.66497583690949</v>
      </c>
      <c r="U130" s="18"/>
      <c r="V130" s="19"/>
      <c r="W130" s="141" t="s">
        <v>1373</v>
      </c>
    </row>
    <row r="131" spans="1:23">
      <c r="A131" s="43" t="s">
        <v>136</v>
      </c>
      <c r="B131" s="74" t="str">
        <f>IFERROR(HYPERLINK(VLOOKUP(A131,ÜRÜNLER!A:C,3,FALSE),VLOOKUP(A131,ÜRÜNLER!A:B,2,FALSE)),"")</f>
        <v>iQ500 Solo Bulaşık Makinesi, autoOpen dry, glassZone, Inox</v>
      </c>
      <c r="C131" s="10"/>
      <c r="D131" s="10"/>
      <c r="E131" s="11"/>
      <c r="F131" s="11"/>
      <c r="G131" s="12"/>
      <c r="H131" s="12"/>
      <c r="I131" s="13">
        <v>1</v>
      </c>
      <c r="J131" s="13"/>
      <c r="K131" s="144"/>
      <c r="L131" s="13">
        <v>1</v>
      </c>
      <c r="M131" s="13"/>
      <c r="N131" s="14">
        <f t="shared" si="4"/>
        <v>2</v>
      </c>
      <c r="O131" s="11"/>
      <c r="P131" s="15"/>
      <c r="Q131" s="133" t="s">
        <v>1347</v>
      </c>
      <c r="R131" s="63">
        <v>43000</v>
      </c>
      <c r="S131" s="17">
        <v>44720</v>
      </c>
      <c r="T131" s="18"/>
      <c r="U131" s="18"/>
      <c r="V131" s="22">
        <v>250</v>
      </c>
      <c r="W131" s="141" t="s">
        <v>1373</v>
      </c>
    </row>
    <row r="132" spans="1:23">
      <c r="A132" s="82" t="s">
        <v>137</v>
      </c>
      <c r="B132" s="74" t="str">
        <f>IFERROR(HYPERLINK(VLOOKUP(A132,ÜRÜNLER!A:C,3,FALSE),VLOOKUP(A132,ÜRÜNLER!A:B,2,FALSE)),"")</f>
        <v>iQ500 Solo Bulaşık Makinesi, autoOpen dry, Üstten Sepetli, Beyaz</v>
      </c>
      <c r="C132" s="10">
        <v>2</v>
      </c>
      <c r="D132" s="10"/>
      <c r="E132" s="11"/>
      <c r="F132" s="11"/>
      <c r="G132" s="12"/>
      <c r="H132" s="12"/>
      <c r="I132" s="13"/>
      <c r="J132" s="13"/>
      <c r="K132" s="144"/>
      <c r="L132" s="13"/>
      <c r="M132" s="13">
        <v>1</v>
      </c>
      <c r="N132" s="14">
        <f t="shared" si="4"/>
        <v>3</v>
      </c>
      <c r="O132" s="11"/>
      <c r="P132" s="15"/>
      <c r="Q132" s="133" t="s">
        <v>1347</v>
      </c>
      <c r="R132" s="66">
        <v>33000</v>
      </c>
      <c r="S132" s="17">
        <v>34320</v>
      </c>
      <c r="T132" s="18">
        <v>725.947710413202</v>
      </c>
      <c r="U132" s="18"/>
      <c r="V132" s="22"/>
    </row>
    <row r="133" spans="1:23">
      <c r="A133" s="82" t="s">
        <v>138</v>
      </c>
      <c r="B133" s="74" t="str">
        <f>IFERROR(HYPERLINK(VLOOKUP(A133,ÜRÜNLER!A:C,3,FALSE),VLOOKUP(A133,ÜRÜNLER!A:B,2,FALSE)),"")</f>
        <v>iQ500 Solo Bulaşık Makinesi, Üstten Sepetli, Beyaz</v>
      </c>
      <c r="C133" s="10"/>
      <c r="D133" s="10"/>
      <c r="E133" s="11"/>
      <c r="F133" s="11"/>
      <c r="G133" s="12"/>
      <c r="H133" s="12"/>
      <c r="I133" s="13">
        <v>1</v>
      </c>
      <c r="J133" s="13">
        <v>1</v>
      </c>
      <c r="K133" s="144"/>
      <c r="L133" s="13"/>
      <c r="M133" s="13"/>
      <c r="N133" s="14">
        <f t="shared" si="4"/>
        <v>2</v>
      </c>
      <c r="O133" s="11"/>
      <c r="P133" s="15"/>
      <c r="Q133" s="133" t="s">
        <v>1347</v>
      </c>
      <c r="R133" s="24">
        <v>28000</v>
      </c>
      <c r="S133" s="17">
        <v>29120</v>
      </c>
      <c r="T133" s="18"/>
      <c r="U133" s="18"/>
      <c r="V133" s="19">
        <v>250</v>
      </c>
    </row>
    <row r="134" spans="1:23">
      <c r="A134" s="82" t="s">
        <v>139</v>
      </c>
      <c r="B134" s="74" t="str">
        <f>IFERROR(HYPERLINK(VLOOKUP(A134,ÜRÜNLER!A:C,3,FALSE),VLOOKUP(A134,ÜRÜNLER!A:B,2,FALSE)),"")</f>
        <v>iQ500 Solo Bulaşık Makinesi, autoOpen dry, glassZone, Üstten Sepetli, Inox</v>
      </c>
      <c r="C134" s="10">
        <v>3</v>
      </c>
      <c r="D134" s="10"/>
      <c r="E134" s="11"/>
      <c r="F134" s="11"/>
      <c r="G134" s="12"/>
      <c r="H134" s="12"/>
      <c r="I134" s="13"/>
      <c r="J134" s="13"/>
      <c r="K134" s="144"/>
      <c r="L134" s="13"/>
      <c r="M134" s="13"/>
      <c r="N134" s="14">
        <f t="shared" si="4"/>
        <v>3</v>
      </c>
      <c r="O134" s="11">
        <v>5</v>
      </c>
      <c r="P134" s="15"/>
      <c r="Q134" s="75">
        <v>46466.944645847994</v>
      </c>
      <c r="R134" s="65">
        <v>44143.597413555595</v>
      </c>
      <c r="S134" s="17">
        <v>45909.341310097821</v>
      </c>
      <c r="T134" s="18"/>
      <c r="U134" s="18"/>
      <c r="V134" s="19"/>
      <c r="W134" s="141" t="s">
        <v>1373</v>
      </c>
    </row>
    <row r="135" spans="1:23">
      <c r="A135" s="43" t="s">
        <v>140</v>
      </c>
      <c r="B135" s="74" t="str">
        <f>IFERROR(HYPERLINK(VLOOKUP(A135,ÜRÜNLER!A:C,3,FALSE),VLOOKUP(A135,ÜRÜNLER!A:B,2,FALSE)),"")</f>
        <v>iQ700 Solo Bulaşık Makinesi, Zeolith dry, glassZone, Inox</v>
      </c>
      <c r="C135" s="10"/>
      <c r="D135" s="10"/>
      <c r="E135" s="11"/>
      <c r="F135" s="11"/>
      <c r="G135" s="12"/>
      <c r="H135" s="12"/>
      <c r="I135" s="13">
        <v>1</v>
      </c>
      <c r="J135" s="13">
        <v>1</v>
      </c>
      <c r="K135" s="144">
        <v>1</v>
      </c>
      <c r="L135" s="13">
        <v>1</v>
      </c>
      <c r="M135" s="13">
        <v>1</v>
      </c>
      <c r="N135" s="14">
        <f t="shared" si="4"/>
        <v>5</v>
      </c>
      <c r="O135" s="11">
        <v>54</v>
      </c>
      <c r="P135" s="26"/>
      <c r="Q135" s="75">
        <v>50139.954326068313</v>
      </c>
      <c r="R135" s="65">
        <v>47632.9566097649</v>
      </c>
      <c r="S135" s="17">
        <v>49538.274874155497</v>
      </c>
      <c r="T135" s="18"/>
      <c r="U135" s="18"/>
      <c r="V135" s="22"/>
      <c r="W135" s="141" t="s">
        <v>1373</v>
      </c>
    </row>
    <row r="136" spans="1:23" s="45" customFormat="1" ht="30">
      <c r="A136" s="44" t="s">
        <v>141</v>
      </c>
      <c r="B136" s="74" t="str">
        <f>IFERROR(HYPERLINK(VLOOKUP(A136,ÜRÜNLER!A:C,3,FALSE),VLOOKUP(A136,ÜRÜNLER!A:B,2,FALSE)),"")</f>
        <v/>
      </c>
      <c r="C136" s="147" t="s">
        <v>56</v>
      </c>
      <c r="D136" s="10"/>
      <c r="E136" s="11"/>
      <c r="F136" s="11"/>
      <c r="G136" s="12"/>
      <c r="H136" s="12"/>
      <c r="I136" s="13"/>
      <c r="J136" s="13"/>
      <c r="K136" s="144"/>
      <c r="L136" s="13"/>
      <c r="M136" s="13"/>
      <c r="N136" s="14">
        <f>SUM(N111:N135)</f>
        <v>451</v>
      </c>
      <c r="O136" s="11"/>
      <c r="P136" s="15"/>
      <c r="Q136" s="133"/>
      <c r="R136" s="19"/>
      <c r="S136" s="17"/>
      <c r="T136" s="18"/>
      <c r="U136" s="18"/>
      <c r="V136" s="19"/>
      <c r="W136" s="140"/>
    </row>
    <row r="137" spans="1:23">
      <c r="A137" s="94" t="s">
        <v>483</v>
      </c>
      <c r="B137" s="74" t="str">
        <f>IFERROR(HYPERLINK(VLOOKUP(A137,ÜRÜNLER!A:C,3,FALSE),VLOOKUP(A137,ÜRÜNLER!A:B,2,FALSE)),"")</f>
        <v>iQ500 Tezgah Altı Ankastre Kapaklı Bulaşık Makinesi, autoOpen dry, timeLight, 3 Sepetli, Siyah Cam</v>
      </c>
      <c r="C137" s="10">
        <v>2</v>
      </c>
      <c r="D137" s="10"/>
      <c r="E137" s="11"/>
      <c r="F137" s="11"/>
      <c r="G137" s="12"/>
      <c r="H137" s="12"/>
      <c r="I137" s="13">
        <v>1</v>
      </c>
      <c r="J137" s="13"/>
      <c r="K137" s="144"/>
      <c r="L137" s="13"/>
      <c r="M137" s="13"/>
      <c r="N137" s="14">
        <f t="shared" ref="N137:N156" si="5">SUM(C137:M137)</f>
        <v>3</v>
      </c>
      <c r="O137" s="11"/>
      <c r="P137" s="15"/>
      <c r="Q137" s="75">
        <v>37998.245000000003</v>
      </c>
      <c r="R137" s="65">
        <v>36098.332750000001</v>
      </c>
      <c r="S137" s="17">
        <v>37542.266060000002</v>
      </c>
      <c r="T137" s="18"/>
      <c r="U137" s="18"/>
      <c r="V137" s="19"/>
      <c r="W137" s="145" t="s">
        <v>1373</v>
      </c>
    </row>
    <row r="138" spans="1:23">
      <c r="A138" s="150" t="s">
        <v>484</v>
      </c>
      <c r="B138" s="74" t="str">
        <f>IFERROR(HYPERLINK(VLOOKUP(A138,ÜRÜNLER!A:C,3,FALSE),VLOOKUP(A138,ÜRÜNLER!A:B,2,FALSE)),"")</f>
        <v>iQ500 Tezgah Altı Ankastre Kapaklı Bulaşık Makinesi, autoOpen dry, timeLight, 3 Sepetli, Antrasit Cam</v>
      </c>
      <c r="C138" s="10">
        <v>5</v>
      </c>
      <c r="D138" s="10"/>
      <c r="E138" s="11"/>
      <c r="F138" s="11"/>
      <c r="G138" s="12"/>
      <c r="H138" s="12"/>
      <c r="I138" s="13"/>
      <c r="J138" s="13"/>
      <c r="K138" s="144"/>
      <c r="L138" s="13"/>
      <c r="M138" s="13"/>
      <c r="N138" s="14">
        <f t="shared" si="5"/>
        <v>5</v>
      </c>
      <c r="O138" s="11"/>
      <c r="P138" s="15"/>
      <c r="Q138" s="75">
        <v>37998.245000000003</v>
      </c>
      <c r="R138" s="65">
        <v>36098.332750000001</v>
      </c>
      <c r="S138" s="17">
        <v>37542.266060000002</v>
      </c>
      <c r="T138" s="18"/>
      <c r="U138" s="18"/>
      <c r="V138" s="19"/>
      <c r="W138" s="145" t="s">
        <v>1373</v>
      </c>
    </row>
    <row r="139" spans="1:23">
      <c r="A139" s="85" t="s">
        <v>143</v>
      </c>
      <c r="B139" s="74" t="str">
        <f>IFERROR(HYPERLINK(VLOOKUP(A139,ÜRÜNLER!A:C,3,FALSE),VLOOKUP(A139,ÜRÜNLER!A:B,2,FALSE)),"")</f>
        <v>iQ100 Yarı Ankastre Bulaşık Makinesi, Beyaz</v>
      </c>
      <c r="C139" s="10"/>
      <c r="D139" s="10"/>
      <c r="E139" s="11"/>
      <c r="F139" s="11"/>
      <c r="G139" s="12"/>
      <c r="H139" s="12"/>
      <c r="I139" s="13"/>
      <c r="J139" s="13"/>
      <c r="K139" s="144">
        <v>1</v>
      </c>
      <c r="L139" s="13"/>
      <c r="M139" s="13">
        <v>2</v>
      </c>
      <c r="N139" s="14">
        <f t="shared" si="5"/>
        <v>3</v>
      </c>
      <c r="O139" s="11"/>
      <c r="P139" s="15"/>
      <c r="Q139" s="133" t="s">
        <v>1347</v>
      </c>
      <c r="R139" s="24">
        <v>15000</v>
      </c>
      <c r="S139" s="17">
        <v>15600</v>
      </c>
      <c r="T139" s="18"/>
      <c r="U139" s="18">
        <v>2164.92</v>
      </c>
      <c r="V139" s="19">
        <v>250</v>
      </c>
    </row>
    <row r="140" spans="1:23">
      <c r="A140" s="85" t="s">
        <v>144</v>
      </c>
      <c r="B140" s="74" t="str">
        <f>IFERROR(HYPERLINK(VLOOKUP(A140,ÜRÜNLER!A:C,3,FALSE),VLOOKUP(A140,ÜRÜNLER!A:B,2,FALSE)),"")</f>
        <v>iQ100 Yarı Ankastre Bulaşık Makinesi, Beyaz</v>
      </c>
      <c r="C140" s="10"/>
      <c r="D140" s="10"/>
      <c r="E140" s="11"/>
      <c r="F140" s="11"/>
      <c r="G140" s="12"/>
      <c r="H140" s="12"/>
      <c r="I140" s="13">
        <v>1</v>
      </c>
      <c r="J140" s="13"/>
      <c r="K140" s="144"/>
      <c r="L140" s="13"/>
      <c r="M140" s="13"/>
      <c r="N140" s="14">
        <f t="shared" si="5"/>
        <v>1</v>
      </c>
      <c r="O140" s="11"/>
      <c r="P140" s="15"/>
      <c r="Q140" s="133" t="s">
        <v>1347</v>
      </c>
      <c r="R140" s="24">
        <v>15000</v>
      </c>
      <c r="S140" s="17">
        <v>15600</v>
      </c>
      <c r="T140" s="18"/>
      <c r="U140" s="18"/>
      <c r="V140" s="19">
        <v>250</v>
      </c>
    </row>
    <row r="141" spans="1:23">
      <c r="A141" s="85" t="s">
        <v>1386</v>
      </c>
      <c r="B141" s="74" t="str">
        <f>IFERROR(HYPERLINK(VLOOKUP(A141,ÜRÜNLER!A:C,3,FALSE),VLOOKUP(A141,ÜRÜNLER!A:B,2,FALSE)),"")</f>
        <v>iQ100 Yarı Ankastre Bulaşık Makinesi, Inox</v>
      </c>
      <c r="C141" s="10"/>
      <c r="D141" s="10"/>
      <c r="E141" s="11"/>
      <c r="F141" s="11"/>
      <c r="G141" s="12"/>
      <c r="H141" s="12"/>
      <c r="I141" s="13"/>
      <c r="J141" s="13"/>
      <c r="K141" s="144"/>
      <c r="L141" s="13"/>
      <c r="M141" s="13"/>
      <c r="N141" s="14">
        <f t="shared" si="5"/>
        <v>0</v>
      </c>
      <c r="O141" s="11"/>
      <c r="P141" s="15"/>
      <c r="Q141" s="133" t="s">
        <v>1347</v>
      </c>
      <c r="R141" s="24">
        <v>15000</v>
      </c>
      <c r="S141" s="17">
        <v>15600</v>
      </c>
      <c r="T141" s="18"/>
      <c r="U141" s="18"/>
      <c r="V141" s="19">
        <v>250</v>
      </c>
    </row>
    <row r="142" spans="1:23">
      <c r="A142" s="86" t="s">
        <v>145</v>
      </c>
      <c r="B142" s="74" t="str">
        <f>IFERROR(HYPERLINK(VLOOKUP(A142,ÜRÜNLER!A:C,3,FALSE),VLOOKUP(A142,ÜRÜNLER!A:B,2,FALSE)),"")</f>
        <v>iQ500 Yarı Ankastre Bulaşık Makinesi, Üstten Sepetli, Inox</v>
      </c>
      <c r="C142" s="10">
        <v>8</v>
      </c>
      <c r="D142" s="10"/>
      <c r="E142" s="11"/>
      <c r="F142" s="11"/>
      <c r="G142" s="12"/>
      <c r="H142" s="12"/>
      <c r="I142" s="13">
        <v>1</v>
      </c>
      <c r="J142" s="13">
        <v>1</v>
      </c>
      <c r="K142" s="144">
        <v>1</v>
      </c>
      <c r="L142" s="13"/>
      <c r="M142" s="13"/>
      <c r="N142" s="14">
        <f t="shared" si="5"/>
        <v>11</v>
      </c>
      <c r="O142" s="11">
        <v>7</v>
      </c>
      <c r="P142" s="15"/>
      <c r="Q142" s="75">
        <v>29936.370916640401</v>
      </c>
      <c r="R142" s="65">
        <v>28439.552370808382</v>
      </c>
      <c r="S142" s="17">
        <v>29577.134465640716</v>
      </c>
      <c r="T142" s="18"/>
      <c r="U142" s="18"/>
      <c r="V142" s="19"/>
    </row>
    <row r="143" spans="1:23">
      <c r="A143" s="85" t="s">
        <v>146</v>
      </c>
      <c r="B143" s="74" t="str">
        <f>IFERROR(HYPERLINK(VLOOKUP(A143,ÜRÜNLER!A:C,3,FALSE),VLOOKUP(A143,ÜRÜNLER!A:B,2,FALSE)),"")</f>
        <v>iQ300 Yarı Ankastre Bulaşık Makinesi, Beyaz/Inox</v>
      </c>
      <c r="C143" s="10">
        <v>6</v>
      </c>
      <c r="D143" s="10"/>
      <c r="E143" s="11"/>
      <c r="F143" s="11"/>
      <c r="G143" s="12"/>
      <c r="H143" s="12"/>
      <c r="I143" s="13">
        <v>1</v>
      </c>
      <c r="J143" s="13">
        <v>1</v>
      </c>
      <c r="K143" s="144"/>
      <c r="L143" s="13"/>
      <c r="M143" s="13"/>
      <c r="N143" s="14">
        <f t="shared" si="5"/>
        <v>8</v>
      </c>
      <c r="O143" s="11"/>
      <c r="P143" s="15"/>
      <c r="Q143" s="133" t="s">
        <v>1347</v>
      </c>
      <c r="R143" s="63">
        <v>27756.046587678491</v>
      </c>
      <c r="S143" s="17">
        <v>28866.288451185632</v>
      </c>
      <c r="T143" s="18"/>
      <c r="U143" s="18"/>
      <c r="V143" s="19"/>
    </row>
    <row r="144" spans="1:23">
      <c r="A144" s="85" t="s">
        <v>147</v>
      </c>
      <c r="B144" s="74" t="str">
        <f>IFERROR(HYPERLINK(VLOOKUP(A144,ÜRÜNLER!A:C,3,FALSE),VLOOKUP(A144,ÜRÜNLER!A:B,2,FALSE)),"")</f>
        <v>iQ300 Yarı Ankastre Bulaşık Makinesi, Siyah/Inox</v>
      </c>
      <c r="C144" s="10">
        <v>4</v>
      </c>
      <c r="D144" s="10"/>
      <c r="E144" s="11"/>
      <c r="F144" s="11"/>
      <c r="G144" s="12"/>
      <c r="H144" s="12"/>
      <c r="I144" s="13"/>
      <c r="J144" s="13"/>
      <c r="K144" s="144"/>
      <c r="L144" s="13">
        <v>1</v>
      </c>
      <c r="M144" s="13"/>
      <c r="N144" s="14">
        <f t="shared" si="5"/>
        <v>5</v>
      </c>
      <c r="O144" s="11"/>
      <c r="P144" s="15"/>
      <c r="Q144" s="75">
        <v>27756.046587678491</v>
      </c>
      <c r="R144" s="65">
        <v>26368.244258294566</v>
      </c>
      <c r="S144" s="17">
        <v>27422.974028626348</v>
      </c>
      <c r="T144" s="18"/>
      <c r="U144" s="18"/>
      <c r="V144" s="19"/>
    </row>
    <row r="145" spans="1:23">
      <c r="A145" s="85" t="s">
        <v>148</v>
      </c>
      <c r="B145" s="74" t="str">
        <f>IFERROR(HYPERLINK(VLOOKUP(A145,ÜRÜNLER!A:C,3,FALSE),VLOOKUP(A145,ÜRÜNLER!A:B,2,FALSE)),"")</f>
        <v>iQ500 Yarı Ankastre Bulaşık Makinesi, autoOpen dry, Siyah/Inox</v>
      </c>
      <c r="C145" s="10"/>
      <c r="D145" s="10"/>
      <c r="E145" s="11"/>
      <c r="F145" s="11"/>
      <c r="G145" s="12"/>
      <c r="H145" s="12"/>
      <c r="I145" s="13"/>
      <c r="J145" s="13"/>
      <c r="K145" s="144"/>
      <c r="L145" s="13"/>
      <c r="M145" s="13"/>
      <c r="N145" s="14">
        <f t="shared" si="5"/>
        <v>0</v>
      </c>
      <c r="O145" s="11"/>
      <c r="P145" s="15"/>
      <c r="Q145" s="11"/>
      <c r="R145" s="12"/>
      <c r="S145" s="11"/>
      <c r="T145" s="18"/>
      <c r="U145" s="18"/>
      <c r="V145" s="19">
        <v>250</v>
      </c>
    </row>
    <row r="146" spans="1:23">
      <c r="A146" s="94" t="s">
        <v>149</v>
      </c>
      <c r="B146" s="74" t="str">
        <f>IFERROR(HYPERLINK(VLOOKUP(A146,ÜRÜNLER!A:C,3,FALSE),VLOOKUP(A146,ÜRÜNLER!A:B,2,FALSE)),"")</f>
        <v>iQ500 Yarı Ankastre Bulaşık Makinesi, autoOpen dry, Siyah/Inox</v>
      </c>
      <c r="C146" s="10">
        <v>9</v>
      </c>
      <c r="D146" s="10"/>
      <c r="E146" s="11"/>
      <c r="F146" s="11">
        <v>1</v>
      </c>
      <c r="G146" s="12"/>
      <c r="H146" s="12"/>
      <c r="I146" s="13"/>
      <c r="J146" s="13"/>
      <c r="K146" s="144">
        <v>1</v>
      </c>
      <c r="L146" s="13"/>
      <c r="M146" s="13">
        <v>1</v>
      </c>
      <c r="N146" s="14">
        <f t="shared" si="5"/>
        <v>12</v>
      </c>
      <c r="O146" s="11">
        <v>1</v>
      </c>
      <c r="P146" s="15"/>
      <c r="Q146" s="75">
        <v>49177.972938448722</v>
      </c>
      <c r="R146" s="65">
        <v>46719.074291526289</v>
      </c>
      <c r="S146" s="17">
        <v>48587.837263187343</v>
      </c>
      <c r="T146" s="18"/>
      <c r="U146" s="18"/>
      <c r="V146" s="19"/>
      <c r="W146" s="141" t="s">
        <v>1373</v>
      </c>
    </row>
    <row r="147" spans="1:23">
      <c r="A147" s="85" t="s">
        <v>150</v>
      </c>
      <c r="B147" s="74" t="str">
        <f>IFERROR(HYPERLINK(VLOOKUP(A147,ÜRÜNLER!A:C,3,FALSE),VLOOKUP(A147,ÜRÜNLER!A:B,2,FALSE)),"")</f>
        <v>iQ700 Yarı Ankastre Bulaşık Makinesi, Zeolith dry, Siyah/Inox</v>
      </c>
      <c r="C147" s="10"/>
      <c r="D147" s="10"/>
      <c r="E147" s="11"/>
      <c r="F147" s="11">
        <v>2</v>
      </c>
      <c r="G147" s="12"/>
      <c r="H147" s="12"/>
      <c r="I147" s="13"/>
      <c r="J147" s="13"/>
      <c r="K147" s="144"/>
      <c r="L147" s="13"/>
      <c r="M147" s="13"/>
      <c r="N147" s="14">
        <f t="shared" si="5"/>
        <v>2</v>
      </c>
      <c r="O147" s="11"/>
      <c r="P147" s="15"/>
      <c r="Q147" s="133" t="s">
        <v>1347</v>
      </c>
      <c r="R147" s="20">
        <v>45000</v>
      </c>
      <c r="S147" s="17">
        <v>46800</v>
      </c>
      <c r="T147" s="18"/>
      <c r="U147" s="18"/>
      <c r="V147" s="19">
        <v>250</v>
      </c>
    </row>
    <row r="148" spans="1:23">
      <c r="A148" s="94" t="s">
        <v>151</v>
      </c>
      <c r="B148" s="74" t="str">
        <f>IFERROR(HYPERLINK(VLOOKUP(A148,ÜRÜNLER!A:C,3,FALSE),VLOOKUP(A148,ÜRÜNLER!A:B,2,FALSE)),"")</f>
        <v>iQ700 Yarı Ankastre Bulaşık Makinesi, Zeolith dry, Siyah/Inox</v>
      </c>
      <c r="C148" s="10"/>
      <c r="D148" s="10"/>
      <c r="E148" s="11"/>
      <c r="F148" s="11"/>
      <c r="G148" s="12"/>
      <c r="H148" s="12"/>
      <c r="I148" s="13"/>
      <c r="J148" s="13"/>
      <c r="K148" s="144"/>
      <c r="L148" s="13"/>
      <c r="M148" s="13"/>
      <c r="N148" s="14">
        <f t="shared" si="5"/>
        <v>0</v>
      </c>
      <c r="O148" s="11">
        <v>2</v>
      </c>
      <c r="P148" s="15"/>
      <c r="Q148" s="75">
        <v>61008.414560923433</v>
      </c>
      <c r="R148" s="65">
        <v>57957.993832877262</v>
      </c>
      <c r="S148" s="17">
        <v>60276.313586192351</v>
      </c>
      <c r="T148" s="18"/>
      <c r="U148" s="18"/>
      <c r="V148" s="19"/>
      <c r="W148" s="141" t="s">
        <v>1373</v>
      </c>
    </row>
    <row r="149" spans="1:23">
      <c r="A149" s="85" t="s">
        <v>152</v>
      </c>
      <c r="B149" s="74" t="str">
        <f>IFERROR(HYPERLINK(VLOOKUP(A149,ÜRÜNLER!A:C,3,FALSE),VLOOKUP(A149,ÜRÜNLER!A:B,2,FALSE)),"")</f>
        <v>iQ100 Tam Ankastre Bulaşık Makinesi</v>
      </c>
      <c r="C149" s="10">
        <v>4</v>
      </c>
      <c r="D149" s="10"/>
      <c r="E149" s="11"/>
      <c r="F149" s="11"/>
      <c r="G149" s="12"/>
      <c r="H149" s="12"/>
      <c r="I149" s="13"/>
      <c r="J149" s="13">
        <v>1</v>
      </c>
      <c r="K149" s="144"/>
      <c r="L149" s="13">
        <v>2</v>
      </c>
      <c r="M149" s="13"/>
      <c r="N149" s="14">
        <f t="shared" si="5"/>
        <v>7</v>
      </c>
      <c r="O149" s="11">
        <v>2</v>
      </c>
      <c r="P149" s="15"/>
      <c r="Q149" s="75">
        <v>29673.468489583334</v>
      </c>
      <c r="R149" s="65">
        <v>28189.795065104168</v>
      </c>
      <c r="S149" s="17">
        <v>29317.386867708334</v>
      </c>
      <c r="T149" s="18"/>
      <c r="U149" s="18"/>
      <c r="V149" s="19"/>
    </row>
    <row r="150" spans="1:23">
      <c r="A150" s="86" t="s">
        <v>153</v>
      </c>
      <c r="B150" s="74" t="str">
        <f>IFERROR(HYPERLINK(VLOOKUP(A150,ÜRÜNLER!A:C,3,FALSE),VLOOKUP(A150,ÜRÜNLER!A:B,2,FALSE)),"")</f>
        <v>iQ300 Tam Ankastre Bulaşık Makinesi, Üstten Sepetli</v>
      </c>
      <c r="C150" s="10"/>
      <c r="D150" s="10"/>
      <c r="E150" s="11"/>
      <c r="F150" s="11"/>
      <c r="G150" s="12"/>
      <c r="H150" s="12"/>
      <c r="I150" s="13">
        <v>1</v>
      </c>
      <c r="J150" s="13">
        <v>1</v>
      </c>
      <c r="K150" s="144"/>
      <c r="L150" s="13"/>
      <c r="M150" s="13"/>
      <c r="N150" s="14">
        <f t="shared" si="5"/>
        <v>2</v>
      </c>
      <c r="O150" s="11"/>
      <c r="P150" s="15"/>
      <c r="Q150" s="133" t="s">
        <v>1347</v>
      </c>
      <c r="R150" s="24">
        <v>27000</v>
      </c>
      <c r="S150" s="17">
        <v>28080</v>
      </c>
      <c r="T150" s="18"/>
      <c r="U150" s="18"/>
      <c r="V150" s="19">
        <v>250</v>
      </c>
    </row>
    <row r="151" spans="1:23">
      <c r="A151" s="83" t="s">
        <v>154</v>
      </c>
      <c r="B151" s="74" t="str">
        <f>IFERROR(HYPERLINK(VLOOKUP(A151,ÜRÜNLER!A:C,3,FALSE),VLOOKUP(A151,ÜRÜNLER!A:B,2,FALSE)),"")</f>
        <v>iQ500 Tam Ankastre Bulaşık Makinesi, Üstten Sepetli</v>
      </c>
      <c r="C151" s="10">
        <v>2</v>
      </c>
      <c r="D151" s="10"/>
      <c r="E151" s="11"/>
      <c r="F151" s="11"/>
      <c r="G151" s="12"/>
      <c r="H151" s="12"/>
      <c r="I151" s="13"/>
      <c r="J151" s="13"/>
      <c r="K151" s="144"/>
      <c r="L151" s="13">
        <v>1</v>
      </c>
      <c r="M151" s="13"/>
      <c r="N151" s="14">
        <f t="shared" si="5"/>
        <v>3</v>
      </c>
      <c r="O151" s="11"/>
      <c r="P151" s="15"/>
      <c r="Q151" s="75">
        <v>41054.669142275598</v>
      </c>
      <c r="R151" s="65">
        <v>39001.935685161821</v>
      </c>
      <c r="S151" s="17">
        <v>40562.013112568296</v>
      </c>
      <c r="T151" s="18"/>
      <c r="U151" s="18"/>
      <c r="V151" s="19"/>
      <c r="W151" s="141" t="s">
        <v>1373</v>
      </c>
    </row>
    <row r="152" spans="1:23">
      <c r="A152" s="83" t="s">
        <v>155</v>
      </c>
      <c r="B152" s="74" t="str">
        <f>IFERROR(HYPERLINK(VLOOKUP(A152,ÜRÜNLER!A:C,3,FALSE),VLOOKUP(A152,ÜRÜNLER!A:B,2,FALSE)),"")</f>
        <v>iQ500 Tam Ankastre Bulaşık Makinesi, autoOpen dry, glassZone, Üstten Sepetli</v>
      </c>
      <c r="C152" s="10">
        <v>1</v>
      </c>
      <c r="D152" s="10"/>
      <c r="E152" s="11"/>
      <c r="F152" s="11"/>
      <c r="G152" s="12"/>
      <c r="H152" s="12"/>
      <c r="I152" s="13"/>
      <c r="J152" s="13"/>
      <c r="K152" s="144"/>
      <c r="L152" s="13"/>
      <c r="M152" s="13"/>
      <c r="N152" s="14">
        <f t="shared" si="5"/>
        <v>1</v>
      </c>
      <c r="O152" s="11"/>
      <c r="P152" s="15"/>
      <c r="Q152" s="75">
        <v>48869.823668553712</v>
      </c>
      <c r="R152" s="65">
        <v>46426.332485126026</v>
      </c>
      <c r="S152" s="17">
        <v>48283.38578453107</v>
      </c>
      <c r="T152" s="18"/>
      <c r="U152" s="18"/>
      <c r="V152" s="19"/>
      <c r="W152" s="141" t="s">
        <v>1373</v>
      </c>
    </row>
    <row r="153" spans="1:23">
      <c r="A153" s="86" t="s">
        <v>157</v>
      </c>
      <c r="B153" s="74" t="str">
        <f>IFERROR(HYPERLINK(VLOOKUP(A153,ÜRÜNLER!A:C,3,FALSE),VLOOKUP(A153,ÜRÜNLER!A:B,2,FALSE)),"")</f>
        <v>iQ500 studioLine Tam Ankastre Bulaşık Makinesi, autoOpen dry, glassZone</v>
      </c>
      <c r="C153" s="10"/>
      <c r="D153" s="10">
        <v>3</v>
      </c>
      <c r="E153" s="11"/>
      <c r="F153" s="11"/>
      <c r="G153" s="12"/>
      <c r="H153" s="12">
        <v>1</v>
      </c>
      <c r="I153" s="13"/>
      <c r="J153" s="13"/>
      <c r="K153" s="144"/>
      <c r="L153" s="13"/>
      <c r="M153" s="13"/>
      <c r="N153" s="14">
        <f t="shared" si="5"/>
        <v>4</v>
      </c>
      <c r="O153" s="11"/>
      <c r="P153" s="15"/>
      <c r="Q153" s="75">
        <v>77003</v>
      </c>
      <c r="R153" s="33">
        <v>71612.789999999994</v>
      </c>
      <c r="S153" s="17">
        <v>74477.301599999992</v>
      </c>
      <c r="T153" s="18"/>
      <c r="U153" s="18"/>
      <c r="V153" s="19">
        <v>500</v>
      </c>
    </row>
    <row r="154" spans="1:23">
      <c r="A154" s="86" t="s">
        <v>156</v>
      </c>
      <c r="B154" s="74" t="str">
        <f>IFERROR(HYPERLINK(VLOOKUP(A154,ÜRÜNLER!A:C,3,FALSE),VLOOKUP(A154,ÜRÜNLER!A:B,2,FALSE)),"")</f>
        <v>iQ700 studioLine Tam Ankastre Bulaşık Makinesi, Zeolith dry, glassZone</v>
      </c>
      <c r="C154" s="10"/>
      <c r="D154" s="10">
        <v>2</v>
      </c>
      <c r="E154" s="11"/>
      <c r="F154" s="11"/>
      <c r="G154" s="12"/>
      <c r="H154" s="12"/>
      <c r="I154" s="13"/>
      <c r="J154" s="13"/>
      <c r="K154" s="144"/>
      <c r="L154" s="13"/>
      <c r="M154" s="13"/>
      <c r="N154" s="14">
        <f t="shared" si="5"/>
        <v>2</v>
      </c>
      <c r="O154" s="11"/>
      <c r="P154" s="15"/>
      <c r="Q154" s="75">
        <v>93781.326431238573</v>
      </c>
      <c r="R154" s="33">
        <v>87216.633581051865</v>
      </c>
      <c r="S154" s="17">
        <v>90705.298924293937</v>
      </c>
      <c r="T154" s="18"/>
      <c r="U154" s="18"/>
      <c r="V154" s="19">
        <v>500</v>
      </c>
    </row>
    <row r="155" spans="1:23">
      <c r="A155" s="86" t="s">
        <v>158</v>
      </c>
      <c r="B155" s="74" t="str">
        <f>IFERROR(HYPERLINK(VLOOKUP(A155,ÜRÜNLER!A:C,3,FALSE),VLOOKUP(A155,ÜRÜNLER!A:B,2,FALSE)),"")</f>
        <v>iQ500 Tam Ankastre Bulaşık Makinesi, autoOpen dry, glassZone, Üstten Sepetli</v>
      </c>
      <c r="C155" s="10"/>
      <c r="D155" s="10"/>
      <c r="E155" s="11"/>
      <c r="F155" s="11"/>
      <c r="G155" s="12"/>
      <c r="H155" s="12"/>
      <c r="I155" s="13"/>
      <c r="J155" s="13"/>
      <c r="K155" s="144">
        <v>1</v>
      </c>
      <c r="L155" s="13"/>
      <c r="M155" s="13">
        <v>1</v>
      </c>
      <c r="N155" s="14">
        <f t="shared" si="5"/>
        <v>2</v>
      </c>
      <c r="O155" s="11"/>
      <c r="P155" s="15"/>
      <c r="Q155" s="133" t="s">
        <v>1347</v>
      </c>
      <c r="R155" s="63">
        <v>47000</v>
      </c>
      <c r="S155" s="17">
        <v>48880</v>
      </c>
      <c r="T155" s="18"/>
      <c r="U155" s="18"/>
      <c r="V155" s="19">
        <v>250</v>
      </c>
      <c r="W155" s="141" t="s">
        <v>1373</v>
      </c>
    </row>
    <row r="156" spans="1:23">
      <c r="A156" s="86" t="s">
        <v>1536</v>
      </c>
      <c r="B156" s="74" t="str">
        <f>IFERROR(HYPERLINK(VLOOKUP(A156,ÜRÜNLER!A:C,3,FALSE),VLOOKUP(A156,ÜRÜNLER!A:B,2,FALSE)),"")</f>
        <v>Siemens Bulaşık Makinesi 3. Tepsi</v>
      </c>
      <c r="C156" s="10"/>
      <c r="D156" s="10">
        <v>11</v>
      </c>
      <c r="E156" s="11"/>
      <c r="F156" s="11"/>
      <c r="G156" s="12"/>
      <c r="H156" s="12"/>
      <c r="I156" s="13"/>
      <c r="J156" s="13"/>
      <c r="K156" s="144"/>
      <c r="L156" s="13"/>
      <c r="M156" s="13"/>
      <c r="N156" s="14">
        <f t="shared" si="5"/>
        <v>11</v>
      </c>
      <c r="O156" s="11"/>
      <c r="P156" s="15"/>
      <c r="Q156" s="133"/>
      <c r="R156" s="63"/>
      <c r="S156" s="17"/>
      <c r="T156" s="18"/>
      <c r="U156" s="18"/>
      <c r="V156" s="19"/>
      <c r="W156" s="141"/>
    </row>
    <row r="157" spans="1:23" s="45" customFormat="1" ht="30">
      <c r="A157" s="95" t="s">
        <v>159</v>
      </c>
      <c r="B157" s="74" t="str">
        <f>IFERROR(HYPERLINK(VLOOKUP(A157,ÜRÜNLER!A:C,3,FALSE),VLOOKUP(A157,ÜRÜNLER!A:B,2,FALSE)),"")</f>
        <v/>
      </c>
      <c r="C157" s="147"/>
      <c r="D157" s="10"/>
      <c r="E157" s="11"/>
      <c r="F157" s="11"/>
      <c r="G157" s="12"/>
      <c r="H157" s="12"/>
      <c r="I157" s="13"/>
      <c r="J157" s="13"/>
      <c r="K157" s="144"/>
      <c r="L157" s="13"/>
      <c r="M157" s="13"/>
      <c r="N157" s="14">
        <f>SUM(N137:N155)</f>
        <v>71</v>
      </c>
      <c r="O157" s="11"/>
      <c r="P157" s="15"/>
      <c r="Q157" s="133"/>
      <c r="R157" s="19"/>
      <c r="S157" s="17"/>
      <c r="T157" s="18"/>
      <c r="U157" s="18"/>
      <c r="V157" s="19"/>
      <c r="W157" s="140"/>
    </row>
    <row r="158" spans="1:23">
      <c r="A158" s="98" t="s">
        <v>205</v>
      </c>
      <c r="B158" s="74" t="str">
        <f>IFERROR(HYPERLINK(VLOOKUP(A158,ÜRÜNLER!A:C,3,FALSE),VLOOKUP(A158,ÜRÜNLER!A:B,2,FALSE)),"")</f>
        <v>iQ700 Buhar Destekli Kompakt Ankastre Fırın, Siyah/Inox</v>
      </c>
      <c r="C158" s="10"/>
      <c r="D158" s="10"/>
      <c r="E158" s="11"/>
      <c r="F158" s="11">
        <v>1</v>
      </c>
      <c r="G158" s="12"/>
      <c r="H158" s="12"/>
      <c r="I158" s="13"/>
      <c r="J158" s="13"/>
      <c r="K158" s="144"/>
      <c r="L158" s="13"/>
      <c r="M158" s="13"/>
      <c r="N158" s="14">
        <f t="shared" ref="N158:N210" si="6">SUM(C158:M158)</f>
        <v>1</v>
      </c>
      <c r="O158" s="11"/>
      <c r="P158" s="15"/>
      <c r="Q158" s="133" t="s">
        <v>1347</v>
      </c>
      <c r="R158" s="24">
        <v>60000</v>
      </c>
      <c r="S158" s="17">
        <v>62400</v>
      </c>
      <c r="T158" s="18"/>
      <c r="U158" s="18"/>
      <c r="V158" s="22">
        <v>250</v>
      </c>
    </row>
    <row r="159" spans="1:23">
      <c r="A159" s="98" t="s">
        <v>206</v>
      </c>
      <c r="B159" s="74" t="str">
        <f>IFERROR(HYPERLINK(VLOOKUP(A159,ÜRÜNLER!A:C,3,FALSE),VLOOKUP(A159,ÜRÜNLER!A:B,2,FALSE)),"")</f>
        <v>iQ700 Buhar Destekli Kompakt Ankastre Fırın, Siyah</v>
      </c>
      <c r="C159" s="10">
        <v>4</v>
      </c>
      <c r="D159" s="10"/>
      <c r="E159" s="11"/>
      <c r="F159" s="11"/>
      <c r="G159" s="12"/>
      <c r="H159" s="12"/>
      <c r="I159" s="13"/>
      <c r="J159" s="13"/>
      <c r="K159" s="144"/>
      <c r="L159" s="13"/>
      <c r="M159" s="13"/>
      <c r="N159" s="14">
        <f t="shared" si="6"/>
        <v>4</v>
      </c>
      <c r="O159" s="11"/>
      <c r="P159" s="15"/>
      <c r="Q159" s="75">
        <v>74779.031991813987</v>
      </c>
      <c r="R159" s="65">
        <v>71040.080392223288</v>
      </c>
      <c r="S159" s="17">
        <v>73881.683607912215</v>
      </c>
      <c r="T159" s="18"/>
      <c r="U159" s="18"/>
      <c r="V159" s="19"/>
    </row>
    <row r="160" spans="1:23">
      <c r="A160" s="85" t="s">
        <v>204</v>
      </c>
      <c r="B160" s="74" t="str">
        <f>IFERROR(HYPERLINK(VLOOKUP(A160,ÜRÜNLER!A:C,3,FALSE),VLOOKUP(A160,ÜRÜNLER!A:B,2,FALSE)),"")</f>
        <v>iQ700 studioLine Mikrodalga Fonksiyonlu Kompakt Ankastre Fırın, Komple Kendini Temizler, Siyah</v>
      </c>
      <c r="C160" s="10"/>
      <c r="D160" s="10">
        <v>2</v>
      </c>
      <c r="E160" s="11"/>
      <c r="F160" s="11"/>
      <c r="G160" s="12"/>
      <c r="H160" s="12"/>
      <c r="I160" s="13"/>
      <c r="J160" s="13"/>
      <c r="K160" s="144"/>
      <c r="L160" s="13"/>
      <c r="M160" s="13"/>
      <c r="N160" s="14">
        <f t="shared" si="6"/>
        <v>2</v>
      </c>
      <c r="O160" s="11"/>
      <c r="P160" s="15"/>
      <c r="Q160" s="75">
        <v>167526.85277372078</v>
      </c>
      <c r="R160" s="33">
        <v>155799.97307956032</v>
      </c>
      <c r="S160" s="17">
        <v>162031.97200274272</v>
      </c>
      <c r="T160" s="18"/>
      <c r="U160" s="18"/>
      <c r="V160" s="19">
        <v>500</v>
      </c>
    </row>
    <row r="161" spans="1:23">
      <c r="A161" s="85" t="s">
        <v>207</v>
      </c>
      <c r="B161" s="74" t="str">
        <f>IFERROR(HYPERLINK(VLOOKUP(A161,ÜRÜNLER!A:C,3,FALSE),VLOOKUP(A161,ÜRÜNLER!A:B,2,FALSE)),"")</f>
        <v>iQ700 studioLine Mikrodalga Fonksiyonlu Kompakt Ankastre Fırın, Arkası Kendini Temizler, Siyah</v>
      </c>
      <c r="C161" s="10"/>
      <c r="D161" s="10">
        <v>3</v>
      </c>
      <c r="E161" s="11"/>
      <c r="F161" s="11"/>
      <c r="G161" s="12"/>
      <c r="H161" s="12">
        <v>1</v>
      </c>
      <c r="I161" s="13"/>
      <c r="J161" s="13"/>
      <c r="K161" s="144"/>
      <c r="L161" s="13"/>
      <c r="M161" s="13"/>
      <c r="N161" s="14">
        <f t="shared" si="6"/>
        <v>4</v>
      </c>
      <c r="O161" s="11"/>
      <c r="P161" s="15"/>
      <c r="Q161" s="133" t="s">
        <v>1347</v>
      </c>
      <c r="R161" s="24">
        <v>131086.11993750001</v>
      </c>
      <c r="S161" s="17">
        <v>136329.56473500002</v>
      </c>
      <c r="T161" s="18"/>
      <c r="U161" s="18"/>
      <c r="V161" s="19">
        <v>500</v>
      </c>
    </row>
    <row r="162" spans="1:23">
      <c r="A162" s="85" t="s">
        <v>171</v>
      </c>
      <c r="B162" s="74" t="str">
        <f>IFERROR(HYPERLINK(VLOOKUP(A162,ÜRÜNLER!A:C,3,FALSE),VLOOKUP(A162,ÜRÜNLER!A:B,2,FALSE)),"")</f>
        <v>iQ100 Ankastre Fırın, Siyah</v>
      </c>
      <c r="C162" s="10">
        <v>17</v>
      </c>
      <c r="D162" s="10"/>
      <c r="E162" s="11"/>
      <c r="F162" s="11"/>
      <c r="G162" s="12"/>
      <c r="H162" s="12"/>
      <c r="I162" s="13"/>
      <c r="J162" s="13"/>
      <c r="K162" s="144"/>
      <c r="L162" s="13"/>
      <c r="M162" s="13"/>
      <c r="N162" s="14">
        <f t="shared" si="6"/>
        <v>17</v>
      </c>
      <c r="O162" s="11"/>
      <c r="P162" s="40"/>
      <c r="Q162" s="75">
        <v>18525.084844775789</v>
      </c>
      <c r="R162" s="78">
        <v>17228.328905641483</v>
      </c>
      <c r="S162" s="17">
        <v>17917.462061867143</v>
      </c>
      <c r="T162" s="18"/>
      <c r="U162" s="18"/>
      <c r="V162" s="19"/>
    </row>
    <row r="163" spans="1:23">
      <c r="A163" s="97" t="s">
        <v>172</v>
      </c>
      <c r="B163" s="74" t="str">
        <f>IFERROR(HYPERLINK(VLOOKUP(A163,ÜRÜNLER!A:C,3,FALSE),VLOOKUP(A163,ÜRÜNLER!A:B,2,FALSE)),"")</f>
        <v>iQ100 Ankastre Fırın, Antrasit</v>
      </c>
      <c r="C163" s="10">
        <v>51</v>
      </c>
      <c r="D163" s="10"/>
      <c r="E163" s="11"/>
      <c r="F163" s="11"/>
      <c r="G163" s="12"/>
      <c r="H163" s="12"/>
      <c r="I163" s="13">
        <v>1</v>
      </c>
      <c r="J163" s="13"/>
      <c r="K163" s="144"/>
      <c r="L163" s="13">
        <v>1</v>
      </c>
      <c r="M163" s="13"/>
      <c r="N163" s="14">
        <f t="shared" si="6"/>
        <v>53</v>
      </c>
      <c r="O163" s="11"/>
      <c r="P163" s="40"/>
      <c r="Q163" s="75">
        <v>18525.084844775789</v>
      </c>
      <c r="R163" s="78">
        <v>17228.328905641483</v>
      </c>
      <c r="S163" s="17">
        <v>17917.462061867143</v>
      </c>
      <c r="T163" s="18"/>
      <c r="U163" s="18"/>
      <c r="V163" s="19"/>
    </row>
    <row r="164" spans="1:23">
      <c r="A164" s="85" t="s">
        <v>173</v>
      </c>
      <c r="B164" s="74" t="str">
        <f>IFERROR(HYPERLINK(VLOOKUP(A164,ÜRÜNLER!A:C,3,FALSE),VLOOKUP(A164,ÜRÜNLER!A:B,2,FALSE)),"")</f>
        <v>iQ100 Ankastre Fırın, Beyaz</v>
      </c>
      <c r="C164" s="10">
        <v>27</v>
      </c>
      <c r="D164" s="10"/>
      <c r="E164" s="11"/>
      <c r="F164" s="11"/>
      <c r="G164" s="12"/>
      <c r="H164" s="12"/>
      <c r="I164" s="13">
        <v>1</v>
      </c>
      <c r="J164" s="13">
        <v>1</v>
      </c>
      <c r="K164" s="144"/>
      <c r="L164" s="13">
        <v>1</v>
      </c>
      <c r="M164" s="13"/>
      <c r="N164" s="14">
        <f t="shared" si="6"/>
        <v>30</v>
      </c>
      <c r="O164" s="11"/>
      <c r="P164" s="40"/>
      <c r="Q164" s="75">
        <v>18525.084844775789</v>
      </c>
      <c r="R164" s="78">
        <v>17228.328905641483</v>
      </c>
      <c r="S164" s="17">
        <v>17917.462061867143</v>
      </c>
      <c r="T164" s="18"/>
      <c r="U164" s="18"/>
      <c r="V164" s="19"/>
    </row>
    <row r="165" spans="1:23">
      <c r="A165" s="86" t="s">
        <v>1387</v>
      </c>
      <c r="B165" s="74" t="str">
        <f>IFERROR(HYPERLINK(VLOOKUP(A165,ÜRÜNLER!A:C,3,FALSE),VLOOKUP(A165,ÜRÜNLER!A:B,2,FALSE)),"")</f>
        <v>iQ100 Ankastre Fırın, Siyah</v>
      </c>
      <c r="C165" s="10"/>
      <c r="D165" s="10"/>
      <c r="E165" s="11"/>
      <c r="F165" s="11"/>
      <c r="G165" s="12"/>
      <c r="H165" s="12"/>
      <c r="I165" s="13"/>
      <c r="J165" s="13"/>
      <c r="K165" s="144">
        <v>1</v>
      </c>
      <c r="L165" s="13"/>
      <c r="M165" s="13"/>
      <c r="N165" s="14">
        <f t="shared" si="6"/>
        <v>1</v>
      </c>
      <c r="O165" s="11"/>
      <c r="P165" s="15"/>
      <c r="Q165" s="133" t="s">
        <v>1347</v>
      </c>
      <c r="R165" s="63">
        <v>16000</v>
      </c>
      <c r="S165" s="17">
        <v>16640</v>
      </c>
      <c r="T165" s="18"/>
      <c r="U165" s="18">
        <v>2813.9639999999999</v>
      </c>
      <c r="V165" s="19">
        <v>250</v>
      </c>
      <c r="W165" s="141"/>
    </row>
    <row r="166" spans="1:23">
      <c r="A166" s="96" t="s">
        <v>175</v>
      </c>
      <c r="B166" s="74" t="str">
        <f>IFERROR(HYPERLINK(VLOOKUP(A166,ÜRÜNLER!A:C,3,FALSE),VLOOKUP(A166,ÜRÜNLER!A:B,2,FALSE)),"")</f>
        <v>iQ300 Ankastre Fırın, Siyah/Inox</v>
      </c>
      <c r="C166" s="10"/>
      <c r="D166" s="10"/>
      <c r="E166" s="11"/>
      <c r="F166" s="11"/>
      <c r="G166" s="12"/>
      <c r="H166" s="12"/>
      <c r="I166" s="13">
        <v>1</v>
      </c>
      <c r="J166" s="13"/>
      <c r="K166" s="144"/>
      <c r="L166" s="13"/>
      <c r="M166" s="13"/>
      <c r="N166" s="14">
        <f t="shared" si="6"/>
        <v>1</v>
      </c>
      <c r="O166" s="11"/>
      <c r="P166" s="15"/>
      <c r="Q166" s="133" t="s">
        <v>1347</v>
      </c>
      <c r="R166" s="24">
        <v>16000</v>
      </c>
      <c r="S166" s="17">
        <v>16640</v>
      </c>
      <c r="T166" s="18"/>
      <c r="U166" s="18"/>
      <c r="V166" s="19">
        <v>250</v>
      </c>
    </row>
    <row r="167" spans="1:23">
      <c r="A167" s="86" t="s">
        <v>1388</v>
      </c>
      <c r="B167" s="74" t="str">
        <f>IFERROR(HYPERLINK(VLOOKUP(A167,ÜRÜNLER!A:C,3,FALSE),VLOOKUP(A167,ÜRÜNLER!A:B,2,FALSE)),"")</f>
        <v>iQ300 Ankastre Fırın, Siyah/Inox</v>
      </c>
      <c r="C167" s="10"/>
      <c r="D167" s="10"/>
      <c r="E167" s="11"/>
      <c r="F167" s="11"/>
      <c r="G167" s="12"/>
      <c r="H167" s="12"/>
      <c r="I167" s="13"/>
      <c r="J167" s="13"/>
      <c r="K167" s="144">
        <v>1</v>
      </c>
      <c r="L167" s="13"/>
      <c r="M167" s="13"/>
      <c r="N167" s="14">
        <f t="shared" si="6"/>
        <v>1</v>
      </c>
      <c r="O167" s="11"/>
      <c r="P167" s="15"/>
      <c r="Q167" s="133" t="s">
        <v>1347</v>
      </c>
      <c r="R167" s="63">
        <v>17000</v>
      </c>
      <c r="S167" s="17">
        <v>17680</v>
      </c>
      <c r="T167" s="18"/>
      <c r="U167" s="18">
        <v>4063.3919999999998</v>
      </c>
      <c r="V167" s="19">
        <v>250</v>
      </c>
      <c r="W167" s="141"/>
    </row>
    <row r="168" spans="1:23">
      <c r="A168" s="85" t="s">
        <v>1339</v>
      </c>
      <c r="B168" s="74" t="str">
        <f>IFERROR(HYPERLINK(VLOOKUP(A168,ÜRÜNLER!A:C,3,FALSE),VLOOKUP(A168,ÜRÜNLER!A:B,2,FALSE)),"")</f>
        <v>iQ300 Ankastre Fırın, Beyaz</v>
      </c>
      <c r="C168" s="10"/>
      <c r="D168" s="10"/>
      <c r="E168" s="11"/>
      <c r="F168" s="11"/>
      <c r="G168" s="12"/>
      <c r="H168" s="12"/>
      <c r="I168" s="13">
        <v>1</v>
      </c>
      <c r="J168" s="13"/>
      <c r="K168" s="144"/>
      <c r="L168" s="13"/>
      <c r="M168" s="13"/>
      <c r="N168" s="14">
        <f t="shared" si="6"/>
        <v>1</v>
      </c>
      <c r="O168" s="11"/>
      <c r="P168" s="15"/>
      <c r="Q168" s="133" t="s">
        <v>1347</v>
      </c>
      <c r="R168" s="63">
        <v>16000</v>
      </c>
      <c r="S168" s="17">
        <v>16640</v>
      </c>
      <c r="T168" s="18"/>
      <c r="U168" s="18">
        <v>4063.3919999999998</v>
      </c>
      <c r="V168" s="19">
        <v>250</v>
      </c>
    </row>
    <row r="169" spans="1:23">
      <c r="A169" s="97" t="s">
        <v>177</v>
      </c>
      <c r="B169" s="74" t="str">
        <f>IFERROR(HYPERLINK(VLOOKUP(A169,ÜRÜNLER!A:C,3,FALSE),VLOOKUP(A169,ÜRÜNLER!A:B,2,FALSE)),"")</f>
        <v>iQ300 Ankastre Fırın, 1 Teleskopik Ray, Arkası Kendini Temizler, Antrasit</v>
      </c>
      <c r="C169" s="10"/>
      <c r="D169" s="10"/>
      <c r="E169" s="11"/>
      <c r="F169" s="11"/>
      <c r="G169" s="12"/>
      <c r="H169" s="12"/>
      <c r="I169" s="13">
        <v>1</v>
      </c>
      <c r="J169" s="13"/>
      <c r="K169" s="144"/>
      <c r="L169" s="13">
        <v>1</v>
      </c>
      <c r="M169" s="13"/>
      <c r="N169" s="14">
        <f t="shared" si="6"/>
        <v>2</v>
      </c>
      <c r="O169" s="11"/>
      <c r="P169" s="15"/>
      <c r="Q169" s="133" t="s">
        <v>1347</v>
      </c>
      <c r="R169" s="24">
        <v>16000</v>
      </c>
      <c r="S169" s="17">
        <v>16640</v>
      </c>
      <c r="T169" s="18"/>
      <c r="U169" s="18"/>
      <c r="V169" s="19"/>
    </row>
    <row r="170" spans="1:23">
      <c r="A170" s="97" t="s">
        <v>178</v>
      </c>
      <c r="B170" s="74" t="str">
        <f>IFERROR(HYPERLINK(VLOOKUP(A170,ÜRÜNLER!A:C,3,FALSE),VLOOKUP(A170,ÜRÜNLER!A:B,2,FALSE)),"")</f>
        <v>iQ300 Ankastre Fırın, 1 Teleskopik Ray, Arkası Kendini Temizler, Gri</v>
      </c>
      <c r="C170" s="10"/>
      <c r="D170" s="10"/>
      <c r="E170" s="11"/>
      <c r="F170" s="11"/>
      <c r="G170" s="12"/>
      <c r="H170" s="12"/>
      <c r="I170" s="13">
        <v>1</v>
      </c>
      <c r="J170" s="13"/>
      <c r="K170" s="144"/>
      <c r="L170" s="13">
        <v>1</v>
      </c>
      <c r="M170" s="13"/>
      <c r="N170" s="14">
        <f t="shared" si="6"/>
        <v>2</v>
      </c>
      <c r="O170" s="11"/>
      <c r="P170" s="15"/>
      <c r="Q170" s="133" t="s">
        <v>1347</v>
      </c>
      <c r="R170" s="20">
        <v>20000</v>
      </c>
      <c r="S170" s="17">
        <v>20800</v>
      </c>
      <c r="T170" s="18"/>
      <c r="U170" s="18">
        <v>3115.14</v>
      </c>
      <c r="V170" s="19">
        <v>250</v>
      </c>
    </row>
    <row r="171" spans="1:23">
      <c r="A171" s="94" t="s">
        <v>179</v>
      </c>
      <c r="B171" s="74" t="str">
        <f>IFERROR(HYPERLINK(VLOOKUP(A171,ÜRÜNLER!A:C,3,FALSE),VLOOKUP(A171,ÜRÜNLER!A:B,2,FALSE)),"")</f>
        <v>iQ500 Ankastre Fırın, 1 Teleskopik Ray, Arkası Kendini Temizler, darkSteel Line</v>
      </c>
      <c r="C171" s="10">
        <v>1</v>
      </c>
      <c r="D171" s="10"/>
      <c r="E171" s="11"/>
      <c r="F171" s="11"/>
      <c r="G171" s="12"/>
      <c r="H171" s="12"/>
      <c r="I171" s="13">
        <v>1</v>
      </c>
      <c r="J171" s="13"/>
      <c r="K171" s="144"/>
      <c r="L171" s="13"/>
      <c r="M171" s="13"/>
      <c r="N171" s="14">
        <f t="shared" si="6"/>
        <v>2</v>
      </c>
      <c r="O171" s="11"/>
      <c r="P171" s="15"/>
      <c r="Q171" s="133" t="s">
        <v>1347</v>
      </c>
      <c r="R171" s="24">
        <v>20000</v>
      </c>
      <c r="S171" s="17">
        <v>20800</v>
      </c>
      <c r="T171" s="18"/>
      <c r="U171" s="18"/>
      <c r="V171" s="19"/>
    </row>
    <row r="172" spans="1:23">
      <c r="A172" s="94" t="s">
        <v>180</v>
      </c>
      <c r="B172" s="74" t="str">
        <f>IFERROR(HYPERLINK(VLOOKUP(A172,ÜRÜNLER!A:C,3,FALSE),VLOOKUP(A172,ÜRÜNLER!A:B,2,FALSE)),"")</f>
        <v>iQ500 studioLine Ankastre Fırın, 1 Teleskopik Ray, Komple Kendini Temizler, Siyah</v>
      </c>
      <c r="C172" s="10"/>
      <c r="D172" s="10">
        <v>2</v>
      </c>
      <c r="E172" s="11"/>
      <c r="F172" s="11"/>
      <c r="G172" s="12"/>
      <c r="H172" s="12">
        <v>1</v>
      </c>
      <c r="I172" s="13"/>
      <c r="J172" s="13"/>
      <c r="K172" s="144"/>
      <c r="L172" s="13"/>
      <c r="M172" s="13"/>
      <c r="N172" s="14">
        <f t="shared" si="6"/>
        <v>3</v>
      </c>
      <c r="O172" s="11"/>
      <c r="P172" s="15"/>
      <c r="Q172" s="75">
        <v>80528.113780251355</v>
      </c>
      <c r="R172" s="33">
        <v>74891.145815633761</v>
      </c>
      <c r="S172" s="17">
        <v>77886.79164825911</v>
      </c>
      <c r="T172" s="18"/>
      <c r="U172" s="18"/>
      <c r="V172" s="19">
        <v>500</v>
      </c>
    </row>
    <row r="173" spans="1:23">
      <c r="A173" s="86" t="s">
        <v>1033</v>
      </c>
      <c r="B173" s="74" t="str">
        <f>IFERROR(HYPERLINK(VLOOKUP(A173,ÜRÜNLER!A:C,3,FALSE),VLOOKUP(A173,ÜRÜNLER!A:B,2,FALSE)),"")</f>
        <v>iQ300 Ankastre Fırın, Titanyum Gri</v>
      </c>
      <c r="C173" s="10"/>
      <c r="D173" s="10"/>
      <c r="E173" s="11"/>
      <c r="F173" s="11"/>
      <c r="G173" s="12"/>
      <c r="H173" s="12"/>
      <c r="I173" s="13"/>
      <c r="J173" s="13"/>
      <c r="K173" s="144">
        <v>1</v>
      </c>
      <c r="L173" s="13"/>
      <c r="M173" s="13"/>
      <c r="N173" s="14">
        <f t="shared" si="6"/>
        <v>1</v>
      </c>
      <c r="O173" s="11"/>
      <c r="P173" s="15"/>
      <c r="Q173" s="133" t="s">
        <v>1347</v>
      </c>
      <c r="R173" s="63">
        <v>18000</v>
      </c>
      <c r="S173" s="17">
        <v>18720</v>
      </c>
      <c r="T173" s="18"/>
      <c r="U173" s="18">
        <v>1497.5519999999999</v>
      </c>
      <c r="V173" s="19">
        <v>250</v>
      </c>
      <c r="W173" s="141"/>
    </row>
    <row r="174" spans="1:23">
      <c r="A174" s="86" t="s">
        <v>182</v>
      </c>
      <c r="B174" s="74" t="str">
        <f>IFERROR(HYPERLINK(VLOOKUP(A174,ÜRÜNLER!A:C,3,FALSE),VLOOKUP(A174,ÜRÜNLER!A:B,2,FALSE)),"")</f>
        <v>iQ300 Ankastre Fırın, Siyah/Inox</v>
      </c>
      <c r="C174" s="10"/>
      <c r="D174" s="10"/>
      <c r="E174" s="11"/>
      <c r="F174" s="11"/>
      <c r="G174" s="12"/>
      <c r="H174" s="12"/>
      <c r="I174" s="13">
        <v>1</v>
      </c>
      <c r="J174" s="13"/>
      <c r="K174" s="144"/>
      <c r="L174" s="13"/>
      <c r="M174" s="13"/>
      <c r="N174" s="14">
        <f t="shared" si="6"/>
        <v>1</v>
      </c>
      <c r="O174" s="11"/>
      <c r="P174" s="15"/>
      <c r="Q174" s="133" t="s">
        <v>1347</v>
      </c>
      <c r="R174" s="20">
        <v>19000</v>
      </c>
      <c r="S174" s="17">
        <v>19760</v>
      </c>
      <c r="T174" s="18"/>
      <c r="U174" s="18">
        <v>3692.268</v>
      </c>
      <c r="V174" s="19">
        <v>250</v>
      </c>
    </row>
    <row r="175" spans="1:23">
      <c r="A175" s="86" t="s">
        <v>1036</v>
      </c>
      <c r="B175" s="74" t="str">
        <f>IFERROR(HYPERLINK(VLOOKUP(A175,ÜRÜNLER!A:C,3,FALSE),VLOOKUP(A175,ÜRÜNLER!A:B,2,FALSE)),"")</f>
        <v>iQ300 Ankastre Fırın, 1 Teleskopik Ray, Arkası Kendini Temizler, Siyah/Inox</v>
      </c>
      <c r="C175" s="10"/>
      <c r="D175" s="10"/>
      <c r="E175" s="11"/>
      <c r="F175" s="11"/>
      <c r="G175" s="12"/>
      <c r="H175" s="12"/>
      <c r="I175" s="13"/>
      <c r="J175" s="13">
        <v>1</v>
      </c>
      <c r="K175" s="144"/>
      <c r="L175" s="13"/>
      <c r="M175" s="13"/>
      <c r="N175" s="14">
        <f t="shared" si="6"/>
        <v>1</v>
      </c>
      <c r="O175" s="11"/>
      <c r="P175" s="15"/>
      <c r="Q175" s="133" t="s">
        <v>1347</v>
      </c>
      <c r="R175" s="20">
        <v>17000</v>
      </c>
      <c r="S175" s="17">
        <v>17680</v>
      </c>
      <c r="T175" s="18"/>
      <c r="U175" s="18">
        <v>8276</v>
      </c>
      <c r="V175" s="169">
        <v>500</v>
      </c>
    </row>
    <row r="176" spans="1:23">
      <c r="A176" s="94" t="s">
        <v>183</v>
      </c>
      <c r="B176" s="74" t="str">
        <f>IFERROR(HYPERLINK(VLOOKUP(A176,ÜRÜNLER!A:C,3,FALSE),VLOOKUP(A176,ÜRÜNLER!A:B,2,FALSE)),"")</f>
        <v>iQ300 Ankastre Fırın, 1 Teleskopik Ray, Arkası Kendini Temizler, Siyah/Inox</v>
      </c>
      <c r="C176" s="10"/>
      <c r="D176" s="10"/>
      <c r="E176" s="11">
        <v>1</v>
      </c>
      <c r="F176" s="11"/>
      <c r="G176" s="12"/>
      <c r="H176" s="12"/>
      <c r="I176" s="13">
        <v>1</v>
      </c>
      <c r="J176" s="13"/>
      <c r="K176" s="144">
        <v>1</v>
      </c>
      <c r="L176" s="13">
        <v>1</v>
      </c>
      <c r="M176" s="13">
        <v>1</v>
      </c>
      <c r="N176" s="14">
        <f t="shared" si="6"/>
        <v>5</v>
      </c>
      <c r="O176" s="11"/>
      <c r="P176" s="15"/>
      <c r="Q176" s="133" t="s">
        <v>1347</v>
      </c>
      <c r="R176" s="24">
        <v>18000</v>
      </c>
      <c r="S176" s="17">
        <v>18720</v>
      </c>
      <c r="T176" s="18"/>
      <c r="U176" s="18">
        <v>1656.576</v>
      </c>
      <c r="V176" s="19">
        <v>250</v>
      </c>
    </row>
    <row r="177" spans="1:23">
      <c r="A177" s="94" t="s">
        <v>184</v>
      </c>
      <c r="B177" s="74" t="str">
        <f>IFERROR(HYPERLINK(VLOOKUP(A177,ÜRÜNLER!A:C,3,FALSE),VLOOKUP(A177,ÜRÜNLER!A:B,2,FALSE)),"")</f>
        <v>iQ500 Ankastre Fırın, 1 Teleskopik Ray, Komple Kendini Temizler, Siyah</v>
      </c>
      <c r="C177" s="10">
        <v>10</v>
      </c>
      <c r="D177" s="10"/>
      <c r="E177" s="11"/>
      <c r="F177" s="11"/>
      <c r="G177" s="12"/>
      <c r="H177" s="12"/>
      <c r="I177" s="13"/>
      <c r="J177" s="13">
        <v>1</v>
      </c>
      <c r="K177" s="144"/>
      <c r="L177" s="13"/>
      <c r="M177" s="13"/>
      <c r="N177" s="14">
        <f t="shared" si="6"/>
        <v>11</v>
      </c>
      <c r="O177" s="11"/>
      <c r="P177" s="15"/>
      <c r="Q177" s="75">
        <v>29569.198741665063</v>
      </c>
      <c r="R177" s="78">
        <v>27499.354829748507</v>
      </c>
      <c r="S177" s="17">
        <v>28599.329022938447</v>
      </c>
      <c r="T177" s="18"/>
      <c r="U177" s="18"/>
      <c r="V177" s="19"/>
    </row>
    <row r="178" spans="1:23">
      <c r="A178" s="97" t="s">
        <v>185</v>
      </c>
      <c r="B178" s="74" t="str">
        <f>IFERROR(HYPERLINK(VLOOKUP(A178,ÜRÜNLER!A:C,3,FALSE),VLOOKUP(A178,ÜRÜNLER!A:B,2,FALSE)),"")</f>
        <v>iQ500 Ankastre Fırın, 2 Teleskopik Ray, Komple Kendini Temizler, Titanyum Gri</v>
      </c>
      <c r="C178" s="10"/>
      <c r="D178" s="10"/>
      <c r="E178" s="11">
        <v>2</v>
      </c>
      <c r="F178" s="11"/>
      <c r="G178" s="12"/>
      <c r="H178" s="12"/>
      <c r="I178" s="13"/>
      <c r="J178" s="13"/>
      <c r="K178" s="144">
        <v>1</v>
      </c>
      <c r="L178" s="13"/>
      <c r="M178" s="13"/>
      <c r="N178" s="14">
        <f t="shared" si="6"/>
        <v>3</v>
      </c>
      <c r="O178" s="11"/>
      <c r="P178" s="15"/>
      <c r="Q178" s="133" t="s">
        <v>1347</v>
      </c>
      <c r="R178" s="24">
        <v>20000</v>
      </c>
      <c r="S178" s="17">
        <v>20800</v>
      </c>
      <c r="T178" s="18"/>
      <c r="U178" s="18"/>
      <c r="V178" s="19">
        <v>250</v>
      </c>
    </row>
    <row r="179" spans="1:23">
      <c r="A179" s="85" t="s">
        <v>186</v>
      </c>
      <c r="B179" s="74" t="str">
        <f>IFERROR(HYPERLINK(VLOOKUP(A179,ÜRÜNLER!A:C,3,FALSE),VLOOKUP(A179,ÜRÜNLER!A:B,2,FALSE)),"")</f>
        <v>iQ500 Ankastre Fırın, 2 Teleskopik Ray, Komple Kendini Temizler, Siyah</v>
      </c>
      <c r="C179" s="10"/>
      <c r="D179" s="10"/>
      <c r="E179" s="11"/>
      <c r="F179" s="11"/>
      <c r="G179" s="12"/>
      <c r="H179" s="12"/>
      <c r="I179" s="13"/>
      <c r="J179" s="13"/>
      <c r="K179" s="144">
        <v>1</v>
      </c>
      <c r="L179" s="13"/>
      <c r="M179" s="13"/>
      <c r="N179" s="14">
        <f t="shared" si="6"/>
        <v>1</v>
      </c>
      <c r="O179" s="11"/>
      <c r="P179" s="15"/>
      <c r="Q179" s="133" t="s">
        <v>1347</v>
      </c>
      <c r="R179" s="24">
        <v>20000</v>
      </c>
      <c r="S179" s="17">
        <v>20800</v>
      </c>
      <c r="T179" s="18"/>
      <c r="U179" s="18"/>
      <c r="V179" s="19">
        <v>250</v>
      </c>
    </row>
    <row r="180" spans="1:23">
      <c r="A180" s="94" t="s">
        <v>187</v>
      </c>
      <c r="B180" s="74" t="str">
        <f>IFERROR(HYPERLINK(VLOOKUP(A180,ÜRÜNLER!A:C,3,FALSE),VLOOKUP(A180,ÜRÜNLER!A:B,2,FALSE)),"")</f>
        <v>iQ500 Ankastre Fırın, 2 Teleskopik Ray, Siyah/Inox</v>
      </c>
      <c r="C180" s="10"/>
      <c r="D180" s="10"/>
      <c r="E180" s="11"/>
      <c r="F180" s="11"/>
      <c r="G180" s="12"/>
      <c r="H180" s="12"/>
      <c r="I180" s="13"/>
      <c r="J180" s="13"/>
      <c r="K180" s="144"/>
      <c r="L180" s="13"/>
      <c r="M180" s="13"/>
      <c r="N180" s="14">
        <f t="shared" si="6"/>
        <v>0</v>
      </c>
      <c r="O180" s="11"/>
      <c r="P180" s="15"/>
      <c r="Q180" s="133" t="s">
        <v>1347</v>
      </c>
      <c r="R180" s="133"/>
      <c r="S180" s="133"/>
      <c r="T180" s="18"/>
      <c r="U180" s="18">
        <v>4000.5720000000001</v>
      </c>
      <c r="V180" s="19">
        <v>250</v>
      </c>
    </row>
    <row r="181" spans="1:23">
      <c r="A181" s="86" t="s">
        <v>188</v>
      </c>
      <c r="B181" s="74" t="str">
        <f>IFERROR(HYPERLINK(VLOOKUP(A181,ÜRÜNLER!A:C,3,FALSE),VLOOKUP(A181,ÜRÜNLER!A:B,2,FALSE)),"")</f>
        <v>iQ500 Ankastre Fırın, 2 Teleskopik Ray, Komple Kendini Temizler, Beyaz</v>
      </c>
      <c r="C181" s="10"/>
      <c r="D181" s="10"/>
      <c r="E181" s="11"/>
      <c r="F181" s="11"/>
      <c r="G181" s="12"/>
      <c r="H181" s="12"/>
      <c r="I181" s="13"/>
      <c r="J181" s="13"/>
      <c r="K181" s="144"/>
      <c r="L181" s="13"/>
      <c r="M181" s="13"/>
      <c r="N181" s="14">
        <f t="shared" si="6"/>
        <v>0</v>
      </c>
      <c r="O181" s="11"/>
      <c r="P181" s="15"/>
      <c r="Q181" s="133" t="s">
        <v>1347</v>
      </c>
      <c r="R181" s="133"/>
      <c r="S181" s="133"/>
      <c r="T181" s="18"/>
      <c r="U181" s="18">
        <v>4000.5720000000001</v>
      </c>
      <c r="V181" s="19">
        <v>250</v>
      </c>
    </row>
    <row r="182" spans="1:23">
      <c r="A182" s="86" t="s">
        <v>1389</v>
      </c>
      <c r="B182" s="74" t="str">
        <f>IFERROR(HYPERLINK(VLOOKUP(A182,ÜRÜNLER!A:C,3,FALSE),VLOOKUP(A182,ÜRÜNLER!A:B,2,FALSE)),"")</f>
        <v>iQ700 Ankastre Fırın, Siyah</v>
      </c>
      <c r="C182" s="10"/>
      <c r="D182" s="10"/>
      <c r="E182" s="11"/>
      <c r="F182" s="11"/>
      <c r="G182" s="12"/>
      <c r="H182" s="12"/>
      <c r="I182" s="13"/>
      <c r="J182" s="13"/>
      <c r="K182" s="144">
        <v>1</v>
      </c>
      <c r="L182" s="13"/>
      <c r="M182" s="13"/>
      <c r="N182" s="14">
        <f t="shared" si="6"/>
        <v>1</v>
      </c>
      <c r="O182" s="11"/>
      <c r="P182" s="15"/>
      <c r="Q182" s="133" t="s">
        <v>1347</v>
      </c>
      <c r="R182" s="63">
        <v>45000</v>
      </c>
      <c r="S182" s="17">
        <v>46800</v>
      </c>
      <c r="T182" s="18"/>
      <c r="U182" s="18"/>
      <c r="V182" s="19">
        <v>500</v>
      </c>
      <c r="W182" s="141"/>
    </row>
    <row r="183" spans="1:23">
      <c r="A183" s="85" t="s">
        <v>189</v>
      </c>
      <c r="B183" s="74" t="str">
        <f>IFERROR(HYPERLINK(VLOOKUP(A183,ÜRÜNLER!A:C,3,FALSE),VLOOKUP(A183,ÜRÜNLER!A:B,2,FALSE)),"")</f>
        <v>iQ700 Ankastre Fırın, 1 Teleskopik Ray, Komple Kendini Temizler, Beyaz</v>
      </c>
      <c r="C183" s="10"/>
      <c r="D183" s="10"/>
      <c r="E183" s="11"/>
      <c r="F183" s="11"/>
      <c r="G183" s="12"/>
      <c r="H183" s="12"/>
      <c r="I183" s="13">
        <v>1</v>
      </c>
      <c r="J183" s="13"/>
      <c r="K183" s="144"/>
      <c r="L183" s="13"/>
      <c r="M183" s="13"/>
      <c r="N183" s="14">
        <f t="shared" si="6"/>
        <v>1</v>
      </c>
      <c r="O183" s="11"/>
      <c r="P183" s="15"/>
      <c r="Q183" s="133" t="s">
        <v>1347</v>
      </c>
      <c r="R183" s="20">
        <v>40000</v>
      </c>
      <c r="S183" s="17">
        <v>41600</v>
      </c>
      <c r="T183" s="18"/>
      <c r="U183" s="18"/>
      <c r="V183" s="19">
        <v>250</v>
      </c>
    </row>
    <row r="184" spans="1:23">
      <c r="A184" s="86" t="s">
        <v>1390</v>
      </c>
      <c r="B184" s="74" t="str">
        <f>IFERROR(HYPERLINK(VLOOKUP(A184,ÜRÜNLER!A:C,3,FALSE),VLOOKUP(A184,ÜRÜNLER!A:B,2,FALSE)),"")</f>
        <v>iQ700 Ankastre Fırın, 1 Teleskopik Ray, Komple Kendini Temizler, Beyaz</v>
      </c>
      <c r="C184" s="10"/>
      <c r="D184" s="10"/>
      <c r="E184" s="11"/>
      <c r="F184" s="11"/>
      <c r="G184" s="12"/>
      <c r="H184" s="12"/>
      <c r="I184" s="13"/>
      <c r="J184" s="13"/>
      <c r="K184" s="144">
        <v>1</v>
      </c>
      <c r="L184" s="13"/>
      <c r="M184" s="13"/>
      <c r="N184" s="14">
        <f t="shared" si="6"/>
        <v>1</v>
      </c>
      <c r="O184" s="11"/>
      <c r="P184" s="15"/>
      <c r="Q184" s="133" t="s">
        <v>1347</v>
      </c>
      <c r="R184" s="63">
        <v>45000</v>
      </c>
      <c r="S184" s="17">
        <v>46800</v>
      </c>
      <c r="T184" s="18"/>
      <c r="U184" s="18"/>
      <c r="V184" s="19">
        <v>500</v>
      </c>
      <c r="W184" s="141"/>
    </row>
    <row r="185" spans="1:23">
      <c r="A185" s="85" t="s">
        <v>190</v>
      </c>
      <c r="B185" s="74" t="str">
        <f>IFERROR(HYPERLINK(VLOOKUP(A185,ÜRÜNLER!A:C,3,FALSE),VLOOKUP(A185,ÜRÜNLER!A:B,2,FALSE)),"")</f>
        <v>iQ700 Ankastre Fırın, 3 Teleskopik Ray, Komple Kendini Temizler, Siyah/Inox</v>
      </c>
      <c r="C185" s="10"/>
      <c r="D185" s="10"/>
      <c r="E185" s="11"/>
      <c r="F185" s="11"/>
      <c r="G185" s="12"/>
      <c r="H185" s="12"/>
      <c r="I185" s="13"/>
      <c r="J185" s="13"/>
      <c r="K185" s="144">
        <v>1</v>
      </c>
      <c r="L185" s="13"/>
      <c r="M185" s="13"/>
      <c r="N185" s="14">
        <f t="shared" si="6"/>
        <v>1</v>
      </c>
      <c r="O185" s="11"/>
      <c r="P185" s="15"/>
      <c r="Q185" s="133" t="s">
        <v>1347</v>
      </c>
      <c r="R185" s="20">
        <v>35000</v>
      </c>
      <c r="S185" s="17">
        <v>36400</v>
      </c>
      <c r="T185" s="18"/>
      <c r="U185" s="18"/>
      <c r="V185" s="19">
        <v>250</v>
      </c>
    </row>
    <row r="186" spans="1:23">
      <c r="A186" s="85" t="s">
        <v>191</v>
      </c>
      <c r="B186" s="74" t="str">
        <f>IFERROR(HYPERLINK(VLOOKUP(A186,ÜRÜNLER!A:C,3,FALSE),VLOOKUP(A186,ÜRÜNLER!A:B,2,FALSE)),"")</f>
        <v>iQ700 Ankastre Fırın, Arkası Kendini Temizler, Siyah</v>
      </c>
      <c r="C186" s="10">
        <v>3</v>
      </c>
      <c r="D186" s="10"/>
      <c r="E186" s="11"/>
      <c r="F186" s="11"/>
      <c r="G186" s="12"/>
      <c r="H186" s="12"/>
      <c r="I186" s="13">
        <v>1</v>
      </c>
      <c r="J186" s="13">
        <v>1</v>
      </c>
      <c r="K186" s="144">
        <v>1</v>
      </c>
      <c r="L186" s="13"/>
      <c r="M186" s="13"/>
      <c r="N186" s="14">
        <f t="shared" si="6"/>
        <v>6</v>
      </c>
      <c r="O186" s="11"/>
      <c r="P186" s="15"/>
      <c r="Q186" s="75">
        <v>51267.480023788885</v>
      </c>
      <c r="R186" s="65">
        <v>48704.106022599444</v>
      </c>
      <c r="S186" s="17">
        <v>50652.270263503422</v>
      </c>
      <c r="T186" s="18"/>
      <c r="U186" s="18"/>
      <c r="V186" s="19"/>
    </row>
    <row r="187" spans="1:23">
      <c r="A187" s="85" t="s">
        <v>192</v>
      </c>
      <c r="B187" s="74" t="str">
        <f>IFERROR(HYPERLINK(VLOOKUP(A187,ÜRÜNLER!A:C,3,FALSE),VLOOKUP(A187,ÜRÜNLER!A:B,2,FALSE)),"")</f>
        <v>iQ700 Ankastre Fırın, Arkası Kendini Temizler, Beyaz</v>
      </c>
      <c r="C187" s="10">
        <v>5</v>
      </c>
      <c r="D187" s="10"/>
      <c r="E187" s="11"/>
      <c r="F187" s="11"/>
      <c r="G187" s="12"/>
      <c r="H187" s="12"/>
      <c r="I187" s="13"/>
      <c r="J187" s="13"/>
      <c r="K187" s="144"/>
      <c r="L187" s="13"/>
      <c r="M187" s="13">
        <v>1</v>
      </c>
      <c r="N187" s="14">
        <f t="shared" si="6"/>
        <v>6</v>
      </c>
      <c r="O187" s="11"/>
      <c r="P187" s="15"/>
      <c r="Q187" s="133" t="s">
        <v>1347</v>
      </c>
      <c r="R187" s="20">
        <v>55000</v>
      </c>
      <c r="S187" s="17">
        <v>57200</v>
      </c>
      <c r="T187" s="18"/>
      <c r="U187" s="18"/>
      <c r="V187" s="19"/>
    </row>
    <row r="188" spans="1:23">
      <c r="A188" s="94" t="s">
        <v>193</v>
      </c>
      <c r="B188" s="74" t="str">
        <f>IFERROR(HYPERLINK(VLOOKUP(A188,ÜRÜNLER!A:C,3,FALSE),VLOOKUP(A188,ÜRÜNLER!A:B,2,FALSE)),"")</f>
        <v>iQ700 Ankastre Fırın, Siyah</v>
      </c>
      <c r="C188" s="10">
        <v>1</v>
      </c>
      <c r="D188" s="10"/>
      <c r="E188" s="11"/>
      <c r="F188" s="11"/>
      <c r="G188" s="12"/>
      <c r="H188" s="12"/>
      <c r="I188" s="13"/>
      <c r="J188" s="13">
        <v>1</v>
      </c>
      <c r="K188" s="144"/>
      <c r="L188" s="13">
        <v>1</v>
      </c>
      <c r="M188" s="13"/>
      <c r="N188" s="14">
        <f t="shared" si="6"/>
        <v>3</v>
      </c>
      <c r="O188" s="11">
        <v>1</v>
      </c>
      <c r="P188" s="15"/>
      <c r="Q188" s="75">
        <v>65191.980770990776</v>
      </c>
      <c r="R188" s="65">
        <v>61932.381732441238</v>
      </c>
      <c r="S188" s="17">
        <v>64409.677001738884</v>
      </c>
      <c r="T188" s="18"/>
      <c r="U188" s="18"/>
      <c r="V188" s="19"/>
    </row>
    <row r="189" spans="1:23">
      <c r="A189" s="94" t="s">
        <v>194</v>
      </c>
      <c r="B189" s="74" t="str">
        <f>IFERROR(HYPERLINK(VLOOKUP(A189,ÜRÜNLER!A:C,3,FALSE),VLOOKUP(A189,ÜRÜNLER!A:B,2,FALSE)),"")</f>
        <v>iQ700 Ankastre Fırın, Komple Kendini Temizler, Siyah</v>
      </c>
      <c r="C189" s="10">
        <v>1</v>
      </c>
      <c r="D189" s="10"/>
      <c r="E189" s="11"/>
      <c r="F189" s="11"/>
      <c r="G189" s="12"/>
      <c r="H189" s="12"/>
      <c r="I189" s="13"/>
      <c r="J189" s="13"/>
      <c r="K189" s="144"/>
      <c r="L189" s="13"/>
      <c r="M189" s="13"/>
      <c r="N189" s="14">
        <f t="shared" si="6"/>
        <v>1</v>
      </c>
      <c r="O189" s="11">
        <v>1</v>
      </c>
      <c r="P189" s="15"/>
      <c r="Q189" s="75">
        <v>78398.449585086404</v>
      </c>
      <c r="R189" s="65">
        <v>74478.52710583208</v>
      </c>
      <c r="S189" s="17">
        <v>77457.668190065364</v>
      </c>
      <c r="T189" s="18"/>
      <c r="U189" s="18"/>
      <c r="V189" s="19"/>
    </row>
    <row r="190" spans="1:23">
      <c r="A190" s="94" t="s">
        <v>195</v>
      </c>
      <c r="B190" s="74" t="str">
        <f>IFERROR(HYPERLINK(VLOOKUP(A190,ÜRÜNLER!A:C,3,FALSE),VLOOKUP(A190,ÜRÜNLER!A:B,2,FALSE)),"")</f>
        <v>iQ700 studioLine Ankastre Fırın, 3 Teleskopik Ray, Komple Kendini Temizler, Siyah</v>
      </c>
      <c r="C190" s="10"/>
      <c r="D190" s="10">
        <v>2</v>
      </c>
      <c r="E190" s="11"/>
      <c r="F190" s="11"/>
      <c r="G190" s="12"/>
      <c r="H190" s="12">
        <v>1</v>
      </c>
      <c r="I190" s="13"/>
      <c r="J190" s="13"/>
      <c r="K190" s="144"/>
      <c r="L190" s="13"/>
      <c r="M190" s="13"/>
      <c r="N190" s="14">
        <f t="shared" si="6"/>
        <v>3</v>
      </c>
      <c r="O190" s="11"/>
      <c r="P190" s="15"/>
      <c r="Q190" s="133" t="s">
        <v>1347</v>
      </c>
      <c r="R190" s="24">
        <v>70000</v>
      </c>
      <c r="S190" s="17">
        <v>72800</v>
      </c>
      <c r="T190" s="18"/>
      <c r="U190" s="18"/>
      <c r="V190" s="19">
        <v>500</v>
      </c>
    </row>
    <row r="191" spans="1:23">
      <c r="A191" s="94" t="s">
        <v>202</v>
      </c>
      <c r="B191" s="74" t="str">
        <f>IFERROR(HYPERLINK(VLOOKUP(A191,ÜRÜNLER!A:C,3,FALSE),VLOOKUP(A191,ÜRÜNLER!A:B,2,FALSE)),"")</f>
        <v>iQ700 studioLine Ankastre Fırın, 1 Teleskopik Ray, Komple Kendini Temizler, Siyah</v>
      </c>
      <c r="C191" s="10"/>
      <c r="D191" s="10">
        <v>3</v>
      </c>
      <c r="E191" s="11"/>
      <c r="F191" s="11"/>
      <c r="G191" s="12"/>
      <c r="H191" s="12"/>
      <c r="I191" s="13"/>
      <c r="J191" s="13"/>
      <c r="K191" s="144"/>
      <c r="L191" s="13"/>
      <c r="M191" s="13"/>
      <c r="N191" s="14">
        <f t="shared" si="6"/>
        <v>3</v>
      </c>
      <c r="O191" s="11"/>
      <c r="P191" s="15"/>
      <c r="Q191" s="75">
        <v>123969.87105255334</v>
      </c>
      <c r="R191" s="33">
        <v>115291.98007887461</v>
      </c>
      <c r="S191" s="17">
        <v>119903.65928202959</v>
      </c>
      <c r="T191" s="18"/>
      <c r="U191" s="18"/>
      <c r="V191" s="19">
        <v>500</v>
      </c>
    </row>
    <row r="192" spans="1:23">
      <c r="A192" s="98" t="s">
        <v>196</v>
      </c>
      <c r="B192" s="74" t="str">
        <f>IFERROR(HYPERLINK(VLOOKUP(A192,ÜRÜNLER!A:C,3,FALSE),VLOOKUP(A192,ÜRÜNLER!A:B,2,FALSE)),"")</f>
        <v>iQ300 Buhar Destekli Ankastre Fırın, 1 Teleskopik Ray, Arkası Kendini Temizler, Siyah/Inox</v>
      </c>
      <c r="C192" s="10"/>
      <c r="D192" s="10"/>
      <c r="E192" s="11"/>
      <c r="F192" s="11"/>
      <c r="G192" s="12"/>
      <c r="H192" s="12"/>
      <c r="I192" s="13">
        <v>1</v>
      </c>
      <c r="J192" s="13"/>
      <c r="K192" s="144"/>
      <c r="L192" s="13"/>
      <c r="M192" s="13"/>
      <c r="N192" s="14">
        <f t="shared" si="6"/>
        <v>1</v>
      </c>
      <c r="O192" s="11"/>
      <c r="P192" s="15"/>
      <c r="Q192" s="133" t="s">
        <v>1347</v>
      </c>
      <c r="R192" s="24">
        <v>18000</v>
      </c>
      <c r="S192" s="17">
        <v>18720</v>
      </c>
      <c r="T192" s="18"/>
      <c r="U192" s="18">
        <v>1826.028</v>
      </c>
      <c r="V192" s="19">
        <v>250</v>
      </c>
    </row>
    <row r="193" spans="1:22">
      <c r="A193" s="98" t="s">
        <v>1328</v>
      </c>
      <c r="B193" s="74" t="str">
        <f>IFERROR(HYPERLINK(VLOOKUP(A193,ÜRÜNLER!A:C,3,FALSE),VLOOKUP(A193,ÜRÜNLER!A:B,2,FALSE)),"")</f>
        <v>iQ300 Ankastre Fırın, 1 Teleskopik Ray, Arkası Kendini Temizler, Beyaz</v>
      </c>
      <c r="C193" s="10"/>
      <c r="D193" s="10"/>
      <c r="E193" s="11"/>
      <c r="F193" s="11"/>
      <c r="G193" s="12">
        <v>3</v>
      </c>
      <c r="H193" s="12"/>
      <c r="I193" s="13"/>
      <c r="J193" s="13"/>
      <c r="K193" s="144">
        <v>1</v>
      </c>
      <c r="L193" s="13"/>
      <c r="M193" s="13"/>
      <c r="N193" s="14">
        <f t="shared" si="6"/>
        <v>4</v>
      </c>
      <c r="O193" s="11"/>
      <c r="P193" s="15"/>
      <c r="Q193" s="133" t="s">
        <v>1347</v>
      </c>
      <c r="R193" s="24">
        <v>16000</v>
      </c>
      <c r="S193" s="17">
        <v>16640</v>
      </c>
      <c r="T193" s="18"/>
      <c r="U193" s="18"/>
      <c r="V193" s="19">
        <v>250</v>
      </c>
    </row>
    <row r="194" spans="1:22">
      <c r="A194" s="96" t="s">
        <v>161</v>
      </c>
      <c r="B194" s="74" t="str">
        <f>IFERROR(HYPERLINK(VLOOKUP(A194,ÜRÜNLER!A:C,3,FALSE),VLOOKUP(A194,ÜRÜNLER!A:B,2,FALSE)),"")</f>
        <v>iQ500 Ankastre Fırın, 2 Teleskopik Ray, Komple Kendini Temizler, Siyah</v>
      </c>
      <c r="C194" s="10">
        <v>36</v>
      </c>
      <c r="D194" s="10"/>
      <c r="E194" s="11"/>
      <c r="F194" s="11"/>
      <c r="G194" s="12"/>
      <c r="H194" s="12"/>
      <c r="I194" s="13">
        <v>1</v>
      </c>
      <c r="J194" s="13"/>
      <c r="K194" s="144">
        <v>1</v>
      </c>
      <c r="L194" s="13">
        <v>1</v>
      </c>
      <c r="M194" s="13"/>
      <c r="N194" s="14">
        <f t="shared" si="6"/>
        <v>39</v>
      </c>
      <c r="O194" s="11"/>
      <c r="P194" s="40"/>
      <c r="Q194" s="75">
        <v>28725.042057583189</v>
      </c>
      <c r="R194" s="65">
        <v>27288.789954704029</v>
      </c>
      <c r="S194" s="17">
        <v>28380.341552892191</v>
      </c>
      <c r="T194" s="18"/>
      <c r="U194" s="18"/>
      <c r="V194" s="19"/>
    </row>
    <row r="195" spans="1:22">
      <c r="A195" s="97" t="s">
        <v>163</v>
      </c>
      <c r="B195" s="74" t="str">
        <f>IFERROR(HYPERLINK(VLOOKUP(A195,ÜRÜNLER!A:C,3,FALSE),VLOOKUP(A195,ÜRÜNLER!A:B,2,FALSE)),"")</f>
        <v>iQ500 Ankastre Fırın, 2 Teleskopik Ray, Komple Kendini Temizler, Antrasit</v>
      </c>
      <c r="C195" s="10">
        <v>19</v>
      </c>
      <c r="D195" s="10"/>
      <c r="E195" s="11"/>
      <c r="F195" s="11"/>
      <c r="G195" s="12"/>
      <c r="H195" s="12"/>
      <c r="I195" s="13">
        <v>1</v>
      </c>
      <c r="J195" s="13">
        <v>1</v>
      </c>
      <c r="K195" s="144"/>
      <c r="L195" s="13"/>
      <c r="M195" s="13"/>
      <c r="N195" s="14">
        <f t="shared" si="6"/>
        <v>21</v>
      </c>
      <c r="O195" s="11"/>
      <c r="P195" s="40"/>
      <c r="Q195" s="75">
        <v>28725.042057583189</v>
      </c>
      <c r="R195" s="65">
        <v>27288.789954704029</v>
      </c>
      <c r="S195" s="17">
        <v>28380.341552892191</v>
      </c>
      <c r="T195" s="18"/>
      <c r="U195" s="18"/>
      <c r="V195" s="19"/>
    </row>
    <row r="196" spans="1:22">
      <c r="A196" s="85" t="s">
        <v>162</v>
      </c>
      <c r="B196" s="74" t="str">
        <f>IFERROR(HYPERLINK(VLOOKUP(A196,ÜRÜNLER!A:C,3,FALSE),VLOOKUP(A196,ÜRÜNLER!A:B,2,FALSE)),"")</f>
        <v>iQ500 Ankastre Fırın, 2 Teleskopik Ray, Komple Kendini Temizler, Beyaz</v>
      </c>
      <c r="C196" s="10">
        <v>20</v>
      </c>
      <c r="D196" s="10"/>
      <c r="E196" s="11"/>
      <c r="F196" s="11"/>
      <c r="G196" s="12"/>
      <c r="H196" s="12"/>
      <c r="I196" s="13"/>
      <c r="J196" s="13">
        <v>1</v>
      </c>
      <c r="K196" s="144"/>
      <c r="L196" s="13"/>
      <c r="M196" s="13"/>
      <c r="N196" s="14">
        <f t="shared" si="6"/>
        <v>21</v>
      </c>
      <c r="O196" s="11"/>
      <c r="P196" s="40"/>
      <c r="Q196" s="75">
        <v>28725.042057583189</v>
      </c>
      <c r="R196" s="65">
        <v>27288.789954704029</v>
      </c>
      <c r="S196" s="17">
        <v>28380.341552892191</v>
      </c>
      <c r="T196" s="18"/>
      <c r="U196" s="18"/>
      <c r="V196" s="19"/>
    </row>
    <row r="197" spans="1:22">
      <c r="A197" s="91" t="s">
        <v>197</v>
      </c>
      <c r="B197" s="74" t="str">
        <f>IFERROR(HYPERLINK(VLOOKUP(A197,ÜRÜNLER!A:C,3,FALSE),VLOOKUP(A197,ÜRÜNLER!A:B,2,FALSE)),"")</f>
        <v>iQ700 Mikrodalga Fonksiyonlu Ankastre Fırın, Komple Kendini Temizler, Siyah/Inox</v>
      </c>
      <c r="C197" s="10"/>
      <c r="D197" s="10"/>
      <c r="E197" s="11"/>
      <c r="F197" s="11"/>
      <c r="G197" s="12"/>
      <c r="H197" s="12"/>
      <c r="I197" s="13">
        <v>1</v>
      </c>
      <c r="J197" s="13"/>
      <c r="K197" s="144"/>
      <c r="L197" s="13"/>
      <c r="M197" s="13"/>
      <c r="N197" s="14">
        <f t="shared" si="6"/>
        <v>1</v>
      </c>
      <c r="O197" s="11"/>
      <c r="P197" s="15"/>
      <c r="Q197" s="133" t="s">
        <v>1347</v>
      </c>
      <c r="R197" s="24">
        <v>80000</v>
      </c>
      <c r="S197" s="17">
        <v>83200</v>
      </c>
      <c r="T197" s="18"/>
      <c r="U197" s="18"/>
      <c r="V197" s="22">
        <v>1000</v>
      </c>
    </row>
    <row r="198" spans="1:22">
      <c r="A198" s="85" t="s">
        <v>203</v>
      </c>
      <c r="B198" s="74" t="str">
        <f>IFERROR(HYPERLINK(VLOOKUP(A198,ÜRÜNLER!A:C,3,FALSE),VLOOKUP(A198,ÜRÜNLER!A:B,2,FALSE)),"")</f>
        <v>iQ700 studioLine Buhar ve Mikrodalga Fonksiyonlu Ankastre Fırın, Komple Kendini Temizler, Siyah</v>
      </c>
      <c r="C198" s="10"/>
      <c r="D198" s="10">
        <v>1</v>
      </c>
      <c r="E198" s="11"/>
      <c r="F198" s="11"/>
      <c r="G198" s="12"/>
      <c r="H198" s="12"/>
      <c r="I198" s="13"/>
      <c r="J198" s="13"/>
      <c r="K198" s="144"/>
      <c r="L198" s="13"/>
      <c r="M198" s="13"/>
      <c r="N198" s="14">
        <f t="shared" si="6"/>
        <v>1</v>
      </c>
      <c r="O198" s="11"/>
      <c r="P198" s="15"/>
      <c r="Q198" s="75">
        <v>214828.55238041832</v>
      </c>
      <c r="R198" s="33">
        <v>199790.55371378904</v>
      </c>
      <c r="S198" s="17">
        <v>207782.17586234061</v>
      </c>
      <c r="T198" s="18"/>
      <c r="U198" s="18"/>
      <c r="V198" s="19">
        <v>500</v>
      </c>
    </row>
    <row r="199" spans="1:22">
      <c r="A199" s="96" t="s">
        <v>160</v>
      </c>
      <c r="B199" s="74" t="str">
        <f>IFERROR(HYPERLINK(VLOOKUP(A199,ÜRÜNLER!A:C,3,FALSE),VLOOKUP(A199,ÜRÜNLER!A:B,2,FALSE)),"")</f>
        <v>iQ300 Buhar Destekli Ankastre Fırın, 1 Teleskopik Ray, Arkası Kendini Temizler, Siyah/Dark Inox</v>
      </c>
      <c r="C199" s="10"/>
      <c r="D199" s="10"/>
      <c r="E199" s="11"/>
      <c r="F199" s="11"/>
      <c r="G199" s="12"/>
      <c r="H199" s="12"/>
      <c r="I199" s="13"/>
      <c r="J199" s="13"/>
      <c r="K199" s="144"/>
      <c r="L199" s="13"/>
      <c r="M199" s="13"/>
      <c r="N199" s="14">
        <f t="shared" si="6"/>
        <v>0</v>
      </c>
      <c r="O199" s="11">
        <v>5</v>
      </c>
      <c r="P199" s="15"/>
      <c r="Q199" s="75">
        <v>31502.43921509635</v>
      </c>
      <c r="R199" s="81">
        <v>30557.36603864346</v>
      </c>
      <c r="S199" s="17">
        <v>31779.660680189198</v>
      </c>
      <c r="T199" s="18"/>
      <c r="U199" s="18"/>
      <c r="V199" s="19"/>
    </row>
    <row r="200" spans="1:22">
      <c r="A200" s="94" t="s">
        <v>198</v>
      </c>
      <c r="B200" s="74" t="str">
        <f>IFERROR(HYPERLINK(VLOOKUP(A200,ÜRÜNLER!A:C,3,FALSE),VLOOKUP(A200,ÜRÜNLER!A:B,2,FALSE)),"")</f>
        <v>iQ500 Buhar Destekli Ankastre Fırın, Arkası Kendini Temizler, Siyah/Inox</v>
      </c>
      <c r="C200" s="10">
        <v>6</v>
      </c>
      <c r="D200" s="10"/>
      <c r="E200" s="11"/>
      <c r="F200" s="11"/>
      <c r="G200" s="12"/>
      <c r="H200" s="12"/>
      <c r="I200" s="13">
        <v>1</v>
      </c>
      <c r="J200" s="13">
        <v>1</v>
      </c>
      <c r="K200" s="144">
        <v>1</v>
      </c>
      <c r="L200" s="13">
        <v>1</v>
      </c>
      <c r="M200" s="13"/>
      <c r="N200" s="14">
        <f t="shared" si="6"/>
        <v>10</v>
      </c>
      <c r="O200" s="11"/>
      <c r="P200" s="15"/>
      <c r="Q200" s="133" t="s">
        <v>1347</v>
      </c>
      <c r="R200" s="24">
        <v>30000</v>
      </c>
      <c r="S200" s="17">
        <v>31200</v>
      </c>
      <c r="T200" s="18"/>
      <c r="U200" s="18">
        <v>1144.248</v>
      </c>
      <c r="V200" s="19"/>
    </row>
    <row r="201" spans="1:22">
      <c r="A201" s="85" t="s">
        <v>199</v>
      </c>
      <c r="B201" s="74" t="str">
        <f>IFERROR(HYPERLINK(VLOOKUP(A201,ÜRÜNLER!A:C,3,FALSE),VLOOKUP(A201,ÜRÜNLER!A:B,2,FALSE)),"")</f>
        <v>iQ700 Ankastre Fırın, Siyah</v>
      </c>
      <c r="C201" s="10"/>
      <c r="D201" s="10"/>
      <c r="E201" s="11"/>
      <c r="F201" s="11"/>
      <c r="G201" s="12"/>
      <c r="H201" s="12"/>
      <c r="I201" s="13">
        <v>1</v>
      </c>
      <c r="J201" s="13">
        <v>1</v>
      </c>
      <c r="K201" s="144">
        <v>1</v>
      </c>
      <c r="L201" s="13">
        <v>1</v>
      </c>
      <c r="M201" s="13"/>
      <c r="N201" s="14">
        <f t="shared" si="6"/>
        <v>4</v>
      </c>
      <c r="O201" s="11">
        <v>2</v>
      </c>
      <c r="P201" s="15"/>
      <c r="Q201" s="75">
        <v>77942.765245316899</v>
      </c>
      <c r="R201" s="81">
        <v>75604.482287957391</v>
      </c>
      <c r="S201" s="17">
        <v>78628.66157947568</v>
      </c>
      <c r="T201" s="18"/>
      <c r="U201" s="18"/>
      <c r="V201" s="22">
        <v>250</v>
      </c>
    </row>
    <row r="202" spans="1:22">
      <c r="A202" s="98" t="s">
        <v>200</v>
      </c>
      <c r="B202" s="74" t="str">
        <f>IFERROR(HYPERLINK(VLOOKUP(A202,ÜRÜNLER!A:C,3,FALSE),VLOOKUP(A202,ÜRÜNLER!A:B,2,FALSE)),"")</f>
        <v>iQ700 Buhar Destekli Ankastre Fırın, Arkası Kendini Temizler, Siyah/Inox</v>
      </c>
      <c r="C202" s="10">
        <v>2</v>
      </c>
      <c r="D202" s="10"/>
      <c r="E202" s="11"/>
      <c r="F202" s="11"/>
      <c r="G202" s="12"/>
      <c r="H202" s="12"/>
      <c r="I202" s="13"/>
      <c r="J202" s="13"/>
      <c r="K202" s="144">
        <v>1</v>
      </c>
      <c r="L202" s="13"/>
      <c r="M202" s="13"/>
      <c r="N202" s="14">
        <f t="shared" si="6"/>
        <v>3</v>
      </c>
      <c r="O202" s="11"/>
      <c r="P202" s="15"/>
      <c r="Q202" s="133" t="s">
        <v>1347</v>
      </c>
      <c r="R202" s="24">
        <v>66000</v>
      </c>
      <c r="S202" s="17">
        <v>68640</v>
      </c>
      <c r="T202" s="18"/>
      <c r="U202" s="18"/>
      <c r="V202" s="22"/>
    </row>
    <row r="203" spans="1:22">
      <c r="A203" s="94" t="s">
        <v>201</v>
      </c>
      <c r="B203" s="74" t="str">
        <f>IFERROR(HYPERLINK(VLOOKUP(A203,ÜRÜNLER!A:C,3,FALSE),VLOOKUP(A203,ÜRÜNLER!A:B,2,FALSE)),"")</f>
        <v>iQ700 studioLine Buhar Destekli Ankastre Fırın, 3 Teleskopik Ray, Komple Kendini Temizler, Siyah</v>
      </c>
      <c r="C203" s="10"/>
      <c r="D203" s="10"/>
      <c r="E203" s="11"/>
      <c r="F203" s="11"/>
      <c r="G203" s="12"/>
      <c r="H203" s="12">
        <v>1</v>
      </c>
      <c r="I203" s="13"/>
      <c r="J203" s="13"/>
      <c r="K203" s="144"/>
      <c r="L203" s="13"/>
      <c r="M203" s="13"/>
      <c r="N203" s="14">
        <f t="shared" si="6"/>
        <v>1</v>
      </c>
      <c r="O203" s="11"/>
      <c r="P203" s="15"/>
      <c r="Q203" s="133" t="s">
        <v>1347</v>
      </c>
      <c r="R203" s="24">
        <v>80000</v>
      </c>
      <c r="S203" s="17">
        <v>83200</v>
      </c>
      <c r="T203" s="18"/>
      <c r="U203" s="18"/>
      <c r="V203" s="22">
        <v>250</v>
      </c>
    </row>
    <row r="204" spans="1:22">
      <c r="A204" s="96" t="s">
        <v>165</v>
      </c>
      <c r="B204" s="74" t="str">
        <f>IFERROR(HYPERLINK(VLOOKUP(A204,ÜRÜNLER!A:C,3,FALSE),VLOOKUP(A204,ÜRÜNLER!A:B,2,FALSE)),"")</f>
        <v>iQ300 Buhar Destekli Ankastre Fırın, Siyah</v>
      </c>
      <c r="C204" s="10">
        <v>46</v>
      </c>
      <c r="D204" s="10"/>
      <c r="E204" s="11"/>
      <c r="F204" s="11"/>
      <c r="G204" s="12"/>
      <c r="H204" s="12"/>
      <c r="I204" s="13"/>
      <c r="J204" s="13">
        <v>1</v>
      </c>
      <c r="K204" s="144"/>
      <c r="L204" s="13"/>
      <c r="M204" s="13"/>
      <c r="N204" s="14">
        <f t="shared" si="6"/>
        <v>47</v>
      </c>
      <c r="O204" s="11"/>
      <c r="P204" s="40"/>
      <c r="Q204" s="75">
        <v>20674.496494937124</v>
      </c>
      <c r="R204" s="76">
        <v>19227.281740291524</v>
      </c>
      <c r="S204" s="17">
        <v>19996.373009903185</v>
      </c>
      <c r="T204" s="18"/>
      <c r="U204" s="18"/>
      <c r="V204" s="19"/>
    </row>
    <row r="205" spans="1:22">
      <c r="A205" s="97" t="s">
        <v>166</v>
      </c>
      <c r="B205" s="74" t="str">
        <f>IFERROR(HYPERLINK(VLOOKUP(A205,ÜRÜNLER!A:C,3,FALSE),VLOOKUP(A205,ÜRÜNLER!A:B,2,FALSE)),"")</f>
        <v>iQ300 Buhar Destekli Ankastre Fırın, Antrasit</v>
      </c>
      <c r="C205" s="10">
        <v>18</v>
      </c>
      <c r="D205" s="10"/>
      <c r="E205" s="11"/>
      <c r="F205" s="11"/>
      <c r="G205" s="12"/>
      <c r="H205" s="12"/>
      <c r="I205" s="13"/>
      <c r="J205" s="13">
        <v>1</v>
      </c>
      <c r="K205" s="144"/>
      <c r="L205" s="13">
        <v>1</v>
      </c>
      <c r="M205" s="13"/>
      <c r="N205" s="14">
        <f t="shared" si="6"/>
        <v>20</v>
      </c>
      <c r="O205" s="11"/>
      <c r="P205" s="40"/>
      <c r="Q205" s="75">
        <v>20674.496494937124</v>
      </c>
      <c r="R205" s="76">
        <v>19227.281740291524</v>
      </c>
      <c r="S205" s="17">
        <v>19996.373009903185</v>
      </c>
      <c r="T205" s="18"/>
      <c r="U205" s="18"/>
      <c r="V205" s="19"/>
    </row>
    <row r="206" spans="1:22">
      <c r="A206" s="85" t="s">
        <v>164</v>
      </c>
      <c r="B206" s="74" t="str">
        <f>IFERROR(HYPERLINK(VLOOKUP(A206,ÜRÜNLER!A:C,3,FALSE),VLOOKUP(A206,ÜRÜNLER!A:B,2,FALSE)),"")</f>
        <v>iQ300 Buhar Destekli Ankastre Fırın, Beyaz</v>
      </c>
      <c r="C206" s="10">
        <v>20</v>
      </c>
      <c r="D206" s="10"/>
      <c r="E206" s="11"/>
      <c r="F206" s="11"/>
      <c r="G206" s="12"/>
      <c r="H206" s="12"/>
      <c r="I206" s="13">
        <v>1</v>
      </c>
      <c r="J206" s="13">
        <v>1</v>
      </c>
      <c r="K206" s="144"/>
      <c r="L206" s="13"/>
      <c r="M206" s="13"/>
      <c r="N206" s="14">
        <f t="shared" si="6"/>
        <v>22</v>
      </c>
      <c r="O206" s="11"/>
      <c r="P206" s="40"/>
      <c r="Q206" s="75">
        <v>20674.496494937124</v>
      </c>
      <c r="R206" s="76">
        <v>19227.281740291524</v>
      </c>
      <c r="S206" s="17">
        <v>19996.373009903185</v>
      </c>
      <c r="T206" s="18"/>
      <c r="U206" s="18"/>
      <c r="V206" s="19"/>
    </row>
    <row r="207" spans="1:22">
      <c r="A207" s="96" t="s">
        <v>167</v>
      </c>
      <c r="B207" s="74" t="str">
        <f>IFERROR(HYPERLINK(VLOOKUP(A207,ÜRÜNLER!A:C,3,FALSE),VLOOKUP(A207,ÜRÜNLER!A:B,2,FALSE)),"")</f>
        <v>iQ300 Ankastre Fırın, 1 Teleskopik Ray, Arkası Kendini Temizler, Siyah</v>
      </c>
      <c r="C207" s="10">
        <v>23</v>
      </c>
      <c r="D207" s="10"/>
      <c r="E207" s="11"/>
      <c r="F207" s="11"/>
      <c r="G207" s="12"/>
      <c r="H207" s="12"/>
      <c r="I207" s="13"/>
      <c r="J207" s="13"/>
      <c r="K207" s="144"/>
      <c r="L207" s="13">
        <v>1</v>
      </c>
      <c r="M207" s="13"/>
      <c r="N207" s="14">
        <f t="shared" si="6"/>
        <v>24</v>
      </c>
      <c r="O207" s="11"/>
      <c r="P207" s="40"/>
      <c r="Q207" s="75">
        <v>24453.362899187716</v>
      </c>
      <c r="R207" s="76">
        <v>22741.627496244575</v>
      </c>
      <c r="S207" s="17">
        <v>23651.292596094358</v>
      </c>
      <c r="T207" s="18">
        <v>319.64196895515852</v>
      </c>
      <c r="U207" s="18"/>
      <c r="V207" s="19"/>
    </row>
    <row r="208" spans="1:22">
      <c r="A208" s="96" t="s">
        <v>168</v>
      </c>
      <c r="B208" s="74" t="str">
        <f>IFERROR(HYPERLINK(VLOOKUP(A208,ÜRÜNLER!A:C,3,FALSE),VLOOKUP(A208,ÜRÜNLER!A:B,2,FALSE)),"")</f>
        <v>iQ300 Buhar Destekli Ankastre Fırın, 1 Teleskopik Ray, Arkası Kendini Temizler, darkSteel Line</v>
      </c>
      <c r="C208" s="10">
        <v>15</v>
      </c>
      <c r="D208" s="10"/>
      <c r="E208" s="11"/>
      <c r="F208" s="11"/>
      <c r="G208" s="12"/>
      <c r="H208" s="12"/>
      <c r="I208" s="13">
        <v>1</v>
      </c>
      <c r="J208" s="13"/>
      <c r="K208" s="144"/>
      <c r="L208" s="13"/>
      <c r="M208" s="13"/>
      <c r="N208" s="14">
        <f t="shared" si="6"/>
        <v>16</v>
      </c>
      <c r="O208" s="11"/>
      <c r="P208" s="40"/>
      <c r="Q208" s="75">
        <v>24453.362899187716</v>
      </c>
      <c r="R208" s="76">
        <v>22741.627496244575</v>
      </c>
      <c r="S208" s="17">
        <v>23651.292596094358</v>
      </c>
      <c r="T208" s="18">
        <v>319.64196895515852</v>
      </c>
      <c r="U208" s="18"/>
      <c r="V208" s="19"/>
    </row>
    <row r="209" spans="1:23">
      <c r="A209" s="97" t="s">
        <v>169</v>
      </c>
      <c r="B209" s="74" t="str">
        <f>IFERROR(HYPERLINK(VLOOKUP(A209,ÜRÜNLER!A:C,3,FALSE),VLOOKUP(A209,ÜRÜNLER!A:B,2,FALSE)),"")</f>
        <v>iQ300 Ankastre Fırın, 1 Teleskopik Ray, Arkası Kendini Temizler, Antrasit</v>
      </c>
      <c r="C209" s="10">
        <v>39</v>
      </c>
      <c r="D209" s="10"/>
      <c r="E209" s="11"/>
      <c r="F209" s="11"/>
      <c r="G209" s="12"/>
      <c r="H209" s="12"/>
      <c r="I209" s="13"/>
      <c r="J209" s="13">
        <v>1</v>
      </c>
      <c r="K209" s="144">
        <v>1</v>
      </c>
      <c r="L209" s="13"/>
      <c r="M209" s="13"/>
      <c r="N209" s="14">
        <f t="shared" si="6"/>
        <v>41</v>
      </c>
      <c r="O209" s="11"/>
      <c r="P209" s="40"/>
      <c r="Q209" s="75">
        <v>24453.362899187716</v>
      </c>
      <c r="R209" s="76">
        <v>22741.627496244575</v>
      </c>
      <c r="S209" s="17">
        <v>23651.292596094358</v>
      </c>
      <c r="T209" s="18">
        <v>319.64196895515852</v>
      </c>
      <c r="U209" s="18"/>
      <c r="V209" s="19"/>
    </row>
    <row r="210" spans="1:23">
      <c r="A210" s="85" t="s">
        <v>170</v>
      </c>
      <c r="B210" s="74" t="str">
        <f>IFERROR(HYPERLINK(VLOOKUP(A210,ÜRÜNLER!A:C,3,FALSE),VLOOKUP(A210,ÜRÜNLER!A:B,2,FALSE)),"")</f>
        <v>iQ300 Buhar Destekli Ankastre Fırın, 1 Teleskopik Ray, Arkası Kendini Temizler, Beyaz</v>
      </c>
      <c r="C210" s="10">
        <v>17</v>
      </c>
      <c r="D210" s="10"/>
      <c r="E210" s="11"/>
      <c r="F210" s="11"/>
      <c r="G210" s="12"/>
      <c r="H210" s="12"/>
      <c r="I210" s="13">
        <v>1</v>
      </c>
      <c r="J210" s="13">
        <v>1</v>
      </c>
      <c r="K210" s="144"/>
      <c r="L210" s="13"/>
      <c r="M210" s="13"/>
      <c r="N210" s="14">
        <f t="shared" si="6"/>
        <v>19</v>
      </c>
      <c r="O210" s="11"/>
      <c r="P210" s="40"/>
      <c r="Q210" s="75">
        <v>24453.362899187716</v>
      </c>
      <c r="R210" s="76">
        <v>22741.627496244575</v>
      </c>
      <c r="S210" s="17">
        <v>23651.292596094358</v>
      </c>
      <c r="T210" s="18">
        <v>319.64196895515852</v>
      </c>
      <c r="U210" s="18"/>
      <c r="V210" s="19"/>
    </row>
    <row r="211" spans="1:23" s="45" customFormat="1" ht="36" customHeight="1">
      <c r="A211" s="47" t="s">
        <v>210</v>
      </c>
      <c r="B211" s="74" t="str">
        <f>IFERROR(HYPERLINK(VLOOKUP(A211,ÜRÜNLER!A:C,3,FALSE),VLOOKUP(A211,ÜRÜNLER!A:B,2,FALSE)),"")</f>
        <v/>
      </c>
      <c r="C211" s="10"/>
      <c r="D211" s="10"/>
      <c r="E211" s="11"/>
      <c r="F211" s="11"/>
      <c r="G211" s="12"/>
      <c r="H211" s="12"/>
      <c r="I211" s="13"/>
      <c r="J211" s="13"/>
      <c r="K211" s="144"/>
      <c r="L211" s="13"/>
      <c r="M211" s="13"/>
      <c r="N211" s="14">
        <f>SUM(N163:N210)</f>
        <v>440</v>
      </c>
      <c r="O211" s="11"/>
      <c r="P211" s="15"/>
      <c r="Q211" s="133"/>
      <c r="R211" s="80"/>
      <c r="S211" s="17"/>
      <c r="T211" s="18"/>
      <c r="U211" s="18"/>
      <c r="V211" s="22"/>
      <c r="W211" s="140"/>
    </row>
    <row r="212" spans="1:23">
      <c r="A212" s="87" t="s">
        <v>211</v>
      </c>
      <c r="B212" s="74" t="str">
        <f>IFERROR(HYPERLINK(VLOOKUP(A212,ÜRÜNLER!A:C,3,FALSE),VLOOKUP(A212,ÜRÜNLER!A:B,2,FALSE)),"")</f>
        <v>iQ500 Ankastre Mikrodalga, Izgaralı, Siyah</v>
      </c>
      <c r="C212" s="10">
        <v>10</v>
      </c>
      <c r="D212" s="10"/>
      <c r="E212" s="11"/>
      <c r="F212" s="11"/>
      <c r="G212" s="12"/>
      <c r="H212" s="12"/>
      <c r="I212" s="13"/>
      <c r="J212" s="13"/>
      <c r="K212" s="144"/>
      <c r="L212" s="13"/>
      <c r="M212" s="13"/>
      <c r="N212" s="14">
        <f t="shared" ref="N212:N229" si="7">SUM(C212:M212)</f>
        <v>10</v>
      </c>
      <c r="O212" s="11"/>
      <c r="P212" s="15"/>
      <c r="Q212" s="75">
        <v>18427.628085858589</v>
      </c>
      <c r="R212" s="65">
        <v>17506.246681565659</v>
      </c>
      <c r="S212" s="17">
        <v>18206.496548828287</v>
      </c>
      <c r="T212" s="18"/>
      <c r="U212" s="18"/>
      <c r="V212" s="22"/>
    </row>
    <row r="213" spans="1:23">
      <c r="A213" s="87" t="s">
        <v>212</v>
      </c>
      <c r="B213" s="74" t="str">
        <f>IFERROR(HYPERLINK(VLOOKUP(A213,ÜRÜNLER!A:C,3,FALSE),VLOOKUP(A213,ÜRÜNLER!A:B,2,FALSE)),"")</f>
        <v>iQ500 Ankastre Mikrodalga, Izgara Fonksiyonlu, 20L, Siyah/darkSteel</v>
      </c>
      <c r="C213" s="10">
        <v>4</v>
      </c>
      <c r="D213" s="10"/>
      <c r="E213" s="11"/>
      <c r="F213" s="11"/>
      <c r="G213" s="12"/>
      <c r="H213" s="12"/>
      <c r="I213" s="13"/>
      <c r="J213" s="13"/>
      <c r="K213" s="144">
        <v>1</v>
      </c>
      <c r="L213" s="13"/>
      <c r="M213" s="13"/>
      <c r="N213" s="14">
        <f t="shared" si="7"/>
        <v>5</v>
      </c>
      <c r="O213" s="11"/>
      <c r="P213" s="15"/>
      <c r="Q213" s="75">
        <v>18427.628085858589</v>
      </c>
      <c r="R213" s="65">
        <v>17506.246681565659</v>
      </c>
      <c r="S213" s="17">
        <v>18206.496548828287</v>
      </c>
      <c r="T213" s="18"/>
      <c r="U213" s="18"/>
      <c r="V213" s="19"/>
    </row>
    <row r="214" spans="1:23">
      <c r="A214" s="97" t="s">
        <v>213</v>
      </c>
      <c r="B214" s="74" t="str">
        <f>IFERROR(HYPERLINK(VLOOKUP(A214,ÜRÜNLER!A:C,3,FALSE),VLOOKUP(A214,ÜRÜNLER!A:B,2,FALSE)),"")</f>
        <v>iQ500 Ankastre Mikrodalga, Izgaralı, Anstrasit</v>
      </c>
      <c r="C214" s="10">
        <v>4</v>
      </c>
      <c r="D214" s="10"/>
      <c r="E214" s="11"/>
      <c r="F214" s="11"/>
      <c r="G214" s="12"/>
      <c r="H214" s="12"/>
      <c r="I214" s="13"/>
      <c r="J214" s="13"/>
      <c r="K214" s="144"/>
      <c r="L214" s="13"/>
      <c r="M214" s="13"/>
      <c r="N214" s="14">
        <f t="shared" si="7"/>
        <v>4</v>
      </c>
      <c r="O214" s="11"/>
      <c r="P214" s="15"/>
      <c r="Q214" s="75">
        <v>18427.628085858589</v>
      </c>
      <c r="R214" s="65">
        <v>17506.246681565659</v>
      </c>
      <c r="S214" s="17">
        <v>18206.496548828287</v>
      </c>
      <c r="T214" s="18"/>
      <c r="U214" s="18"/>
      <c r="V214" s="19"/>
    </row>
    <row r="215" spans="1:23">
      <c r="A215" s="86" t="s">
        <v>214</v>
      </c>
      <c r="B215" s="74" t="str">
        <f>IFERROR(HYPERLINK(VLOOKUP(A215,ÜRÜNLER!A:C,3,FALSE),VLOOKUP(A215,ÜRÜNLER!A:B,2,FALSE)),"")</f>
        <v>iQ500 Ankastre Mikrodalga, Izgara Fonksiyonlu, 20L, Beyaz</v>
      </c>
      <c r="C215" s="10">
        <v>5</v>
      </c>
      <c r="D215" s="10"/>
      <c r="E215" s="11"/>
      <c r="F215" s="11"/>
      <c r="G215" s="12"/>
      <c r="H215" s="12"/>
      <c r="I215" s="13"/>
      <c r="J215" s="13"/>
      <c r="K215" s="144"/>
      <c r="L215" s="13"/>
      <c r="M215" s="13"/>
      <c r="N215" s="14">
        <f t="shared" si="7"/>
        <v>5</v>
      </c>
      <c r="O215" s="11"/>
      <c r="P215" s="15"/>
      <c r="Q215" s="75">
        <v>18427.628085858589</v>
      </c>
      <c r="R215" s="65">
        <v>17506.246681565659</v>
      </c>
      <c r="S215" s="17">
        <v>18206.496548828287</v>
      </c>
      <c r="T215" s="18"/>
      <c r="U215" s="18"/>
      <c r="V215" s="19"/>
    </row>
    <row r="216" spans="1:23">
      <c r="A216" s="86" t="s">
        <v>215</v>
      </c>
      <c r="B216" s="74" t="str">
        <f>IFERROR(HYPERLINK(VLOOKUP(A216,ÜRÜNLER!A:C,3,FALSE),VLOOKUP(A216,ÜRÜNLER!A:B,2,FALSE)),"")</f>
        <v>iQ500 Ankastre Mikrodalga, Izgara Fonksiyonlu, 20L, Siyah/Inox</v>
      </c>
      <c r="C216" s="10"/>
      <c r="D216" s="10"/>
      <c r="E216" s="11"/>
      <c r="F216" s="11"/>
      <c r="G216" s="12"/>
      <c r="H216" s="12"/>
      <c r="I216" s="13"/>
      <c r="J216" s="13"/>
      <c r="K216" s="144"/>
      <c r="L216" s="13">
        <v>1</v>
      </c>
      <c r="M216" s="13"/>
      <c r="N216" s="14">
        <f t="shared" si="7"/>
        <v>1</v>
      </c>
      <c r="O216" s="11"/>
      <c r="P216" s="15"/>
      <c r="Q216" s="133" t="s">
        <v>1347</v>
      </c>
      <c r="R216" s="24">
        <v>15000</v>
      </c>
      <c r="S216" s="17">
        <v>15600</v>
      </c>
      <c r="T216" s="18"/>
      <c r="U216" s="18"/>
      <c r="V216" s="22">
        <v>100</v>
      </c>
    </row>
    <row r="217" spans="1:23">
      <c r="A217" s="83" t="s">
        <v>217</v>
      </c>
      <c r="B217" s="74" t="str">
        <f>IFERROR(HYPERLINK(VLOOKUP(A217,ÜRÜNLER!A:C,3,FALSE),VLOOKUP(A217,ÜRÜNLER!A:B,2,FALSE)),"")</f>
        <v>iQ500 Ankastre Mikrodalga, Izgaralı, Siyah</v>
      </c>
      <c r="C217" s="10">
        <v>2</v>
      </c>
      <c r="D217" s="10"/>
      <c r="E217" s="11"/>
      <c r="F217" s="11"/>
      <c r="G217" s="12"/>
      <c r="H217" s="12"/>
      <c r="I217" s="13">
        <v>1</v>
      </c>
      <c r="J217" s="13"/>
      <c r="K217" s="144"/>
      <c r="L217" s="13"/>
      <c r="M217" s="13"/>
      <c r="N217" s="14">
        <f t="shared" si="7"/>
        <v>3</v>
      </c>
      <c r="O217" s="11"/>
      <c r="P217" s="15"/>
      <c r="Q217" s="75">
        <v>20651.106658692192</v>
      </c>
      <c r="R217" s="65">
        <v>19618.55132575758</v>
      </c>
      <c r="S217" s="17">
        <v>20403.293378787883</v>
      </c>
      <c r="T217" s="18"/>
      <c r="U217" s="18"/>
      <c r="V217" s="22"/>
    </row>
    <row r="218" spans="1:23">
      <c r="A218" s="86" t="s">
        <v>218</v>
      </c>
      <c r="B218" s="74" t="str">
        <f>IFERROR(HYPERLINK(VLOOKUP(A218,ÜRÜNLER!A:C,3,FALSE),VLOOKUP(A218,ÜRÜNLER!A:B,2,FALSE)),"")</f>
        <v>iQ700 Ankastre Mikrodalga, Izgara Fonksiyonlu, 21L, Siyah</v>
      </c>
      <c r="C218" s="10"/>
      <c r="D218" s="10"/>
      <c r="E218" s="11"/>
      <c r="F218" s="11"/>
      <c r="G218" s="12"/>
      <c r="H218" s="12"/>
      <c r="I218" s="13"/>
      <c r="J218" s="13"/>
      <c r="K218" s="144"/>
      <c r="L218" s="13"/>
      <c r="M218" s="13">
        <v>3</v>
      </c>
      <c r="N218" s="14">
        <f t="shared" si="7"/>
        <v>3</v>
      </c>
      <c r="O218" s="11"/>
      <c r="P218" s="15"/>
      <c r="Q218" s="75">
        <v>32072.635465243795</v>
      </c>
      <c r="R218" s="34">
        <v>32072.635465243795</v>
      </c>
      <c r="S218" s="17">
        <v>33355.540883853544</v>
      </c>
      <c r="T218" s="18"/>
      <c r="U218" s="18"/>
      <c r="V218" s="22"/>
    </row>
    <row r="219" spans="1:23">
      <c r="A219" s="83" t="s">
        <v>219</v>
      </c>
      <c r="B219" s="74" t="str">
        <f>IFERROR(HYPERLINK(VLOOKUP(A219,ÜRÜNLER!A:C,3,FALSE),VLOOKUP(A219,ÜRÜNLER!A:B,2,FALSE)),"")</f>
        <v>iQ300 Ankastre Mikrodalga, 20L, Siyah</v>
      </c>
      <c r="C219" s="10"/>
      <c r="D219" s="10"/>
      <c r="E219" s="11"/>
      <c r="F219" s="11"/>
      <c r="G219" s="12"/>
      <c r="H219" s="12"/>
      <c r="I219" s="13"/>
      <c r="J219" s="13"/>
      <c r="K219" s="144"/>
      <c r="L219" s="13"/>
      <c r="M219" s="13"/>
      <c r="N219" s="14">
        <f t="shared" si="7"/>
        <v>0</v>
      </c>
      <c r="O219" s="11"/>
      <c r="P219" s="15"/>
      <c r="Q219" s="75">
        <v>15952.635071090051</v>
      </c>
      <c r="R219" s="34">
        <v>15952.635071090051</v>
      </c>
      <c r="S219" s="17">
        <v>16590.740473933653</v>
      </c>
      <c r="T219" s="18"/>
      <c r="U219" s="18"/>
      <c r="V219" s="22"/>
    </row>
    <row r="220" spans="1:23">
      <c r="A220" s="86" t="s">
        <v>220</v>
      </c>
      <c r="B220" s="74" t="str">
        <f>IFERROR(HYPERLINK(VLOOKUP(A220,ÜRÜNLER!A:C,3,FALSE),VLOOKUP(A220,ÜRÜNLER!A:B,2,FALSE)),"")</f>
        <v>iQ300 Ankastre Mikrodalga, 20L, Siyah/Inox</v>
      </c>
      <c r="C220" s="10"/>
      <c r="D220" s="10"/>
      <c r="E220" s="11"/>
      <c r="F220" s="11"/>
      <c r="G220" s="12"/>
      <c r="H220" s="12"/>
      <c r="I220" s="13">
        <v>1</v>
      </c>
      <c r="J220" s="13">
        <v>1</v>
      </c>
      <c r="K220" s="144">
        <v>1</v>
      </c>
      <c r="L220" s="13"/>
      <c r="M220" s="13"/>
      <c r="N220" s="14">
        <f t="shared" si="7"/>
        <v>3</v>
      </c>
      <c r="O220" s="11"/>
      <c r="P220" s="15"/>
      <c r="Q220" s="133" t="s">
        <v>1347</v>
      </c>
      <c r="R220" s="24">
        <v>14000</v>
      </c>
      <c r="S220" s="17">
        <v>14560</v>
      </c>
      <c r="T220" s="18"/>
      <c r="U220" s="18"/>
      <c r="V220" s="22">
        <v>100</v>
      </c>
    </row>
    <row r="221" spans="1:23">
      <c r="A221" s="86" t="s">
        <v>222</v>
      </c>
      <c r="B221" s="74" t="str">
        <f>IFERROR(HYPERLINK(VLOOKUP(A221,ÜRÜNLER!A:C,3,FALSE),VLOOKUP(A221,ÜRÜNLER!A:B,2,FALSE)),"")</f>
        <v>iQ500 Ankastre Mikrodalga, 20L, Beyaz/Inox</v>
      </c>
      <c r="C221" s="10"/>
      <c r="D221" s="10"/>
      <c r="E221" s="11"/>
      <c r="F221" s="11"/>
      <c r="G221" s="12"/>
      <c r="H221" s="12"/>
      <c r="I221" s="13">
        <v>2</v>
      </c>
      <c r="J221" s="13">
        <v>1</v>
      </c>
      <c r="K221" s="144">
        <v>2</v>
      </c>
      <c r="L221" s="13"/>
      <c r="M221" s="13"/>
      <c r="N221" s="14">
        <f t="shared" si="7"/>
        <v>5</v>
      </c>
      <c r="O221" s="11"/>
      <c r="P221" s="15"/>
      <c r="Q221" s="133" t="s">
        <v>1347</v>
      </c>
      <c r="R221" s="24">
        <v>17000</v>
      </c>
      <c r="S221" s="17">
        <v>17680</v>
      </c>
      <c r="T221" s="18"/>
      <c r="U221" s="18"/>
      <c r="V221" s="22">
        <v>100</v>
      </c>
    </row>
    <row r="222" spans="1:23">
      <c r="A222" s="97" t="s">
        <v>223</v>
      </c>
      <c r="B222" s="74" t="str">
        <f>IFERROR(HYPERLINK(VLOOKUP(A222,ÜRÜNLER!A:C,3,FALSE),VLOOKUP(A222,ÜRÜNLER!A:B,2,FALSE)),"")</f>
        <v>iQ300 Ankastre Mikrodalga, 20L, Antrasit/Titanyum Gri</v>
      </c>
      <c r="C222" s="10">
        <v>8</v>
      </c>
      <c r="D222" s="10"/>
      <c r="E222" s="11"/>
      <c r="F222" s="11"/>
      <c r="G222" s="12"/>
      <c r="H222" s="12"/>
      <c r="I222" s="13">
        <v>1</v>
      </c>
      <c r="J222" s="13">
        <v>1</v>
      </c>
      <c r="K222" s="144"/>
      <c r="L222" s="13"/>
      <c r="M222" s="13"/>
      <c r="N222" s="14">
        <f t="shared" si="7"/>
        <v>10</v>
      </c>
      <c r="O222" s="11"/>
      <c r="P222" s="15"/>
      <c r="Q222" s="75">
        <v>14091.76065861871</v>
      </c>
      <c r="R222" s="65">
        <v>13387.172625687776</v>
      </c>
      <c r="S222" s="17">
        <v>13922.659530715286</v>
      </c>
      <c r="T222" s="18"/>
      <c r="U222" s="18"/>
      <c r="V222" s="22"/>
    </row>
    <row r="223" spans="1:23">
      <c r="A223" s="86" t="s">
        <v>224</v>
      </c>
      <c r="B223" s="74" t="str">
        <f>IFERROR(HYPERLINK(VLOOKUP(A223,ÜRÜNLER!A:C,3,FALSE),VLOOKUP(A223,ÜRÜNLER!A:B,2,FALSE)),"")</f>
        <v>iQ300 Ankastre Mikrodalga, Inox</v>
      </c>
      <c r="C223" s="10">
        <v>5</v>
      </c>
      <c r="D223" s="10"/>
      <c r="E223" s="11"/>
      <c r="F223" s="11">
        <v>1</v>
      </c>
      <c r="G223" s="12"/>
      <c r="H223" s="12"/>
      <c r="I223" s="13">
        <v>1</v>
      </c>
      <c r="J223" s="13"/>
      <c r="K223" s="144"/>
      <c r="L223" s="13">
        <v>1</v>
      </c>
      <c r="M223" s="13"/>
      <c r="N223" s="14">
        <f t="shared" si="7"/>
        <v>8</v>
      </c>
      <c r="O223" s="11"/>
      <c r="P223" s="15"/>
      <c r="Q223" s="75">
        <v>13907.785136180437</v>
      </c>
      <c r="R223" s="65">
        <v>13212.395879371416</v>
      </c>
      <c r="S223" s="17">
        <v>13740.891714546273</v>
      </c>
      <c r="T223" s="18"/>
      <c r="U223" s="18"/>
      <c r="V223" s="19"/>
    </row>
    <row r="224" spans="1:23">
      <c r="A224" s="86" t="s">
        <v>225</v>
      </c>
      <c r="B224" s="74" t="str">
        <f>IFERROR(HYPERLINK(VLOOKUP(A224,ÜRÜNLER!A:C,3,FALSE),VLOOKUP(A224,ÜRÜNLER!A:B,2,FALSE)),"")</f>
        <v>iQ300 Ankastre Mikrodalga, 20L, Beyaz</v>
      </c>
      <c r="C224" s="10">
        <v>4</v>
      </c>
      <c r="D224" s="10"/>
      <c r="E224" s="11"/>
      <c r="F224" s="11">
        <v>1</v>
      </c>
      <c r="G224" s="12"/>
      <c r="H224" s="12"/>
      <c r="I224" s="13">
        <v>1</v>
      </c>
      <c r="J224" s="13"/>
      <c r="K224" s="144"/>
      <c r="L224" s="13"/>
      <c r="M224" s="13"/>
      <c r="N224" s="14">
        <f t="shared" si="7"/>
        <v>6</v>
      </c>
      <c r="O224" s="11"/>
      <c r="P224" s="15"/>
      <c r="Q224" s="75">
        <v>13907.785136180437</v>
      </c>
      <c r="R224" s="65">
        <v>13212.395879371416</v>
      </c>
      <c r="S224" s="17">
        <v>13740.891714546273</v>
      </c>
      <c r="T224" s="18"/>
      <c r="U224" s="18"/>
      <c r="V224" s="19"/>
    </row>
    <row r="225" spans="1:22">
      <c r="A225" s="86" t="s">
        <v>226</v>
      </c>
      <c r="B225" s="74" t="str">
        <f>IFERROR(HYPERLINK(VLOOKUP(A225,ÜRÜNLER!A:C,3,FALSE),VLOOKUP(A225,ÜRÜNLER!A:B,2,FALSE)),"")</f>
        <v>iQ700 studioLine Ankastre Mikrodalga, 21L, Siyah</v>
      </c>
      <c r="C225" s="10"/>
      <c r="D225" s="10">
        <v>2</v>
      </c>
      <c r="E225" s="11"/>
      <c r="F225" s="11"/>
      <c r="G225" s="12"/>
      <c r="H225" s="12">
        <v>1</v>
      </c>
      <c r="I225" s="13"/>
      <c r="J225" s="13"/>
      <c r="K225" s="144"/>
      <c r="L225" s="13"/>
      <c r="M225" s="13"/>
      <c r="N225" s="14">
        <f t="shared" si="7"/>
        <v>3</v>
      </c>
      <c r="O225" s="11"/>
      <c r="P225" s="15"/>
      <c r="Q225" s="133" t="s">
        <v>1347</v>
      </c>
      <c r="R225" s="24">
        <v>39999</v>
      </c>
      <c r="S225" s="17">
        <v>41598.959999999999</v>
      </c>
      <c r="T225" s="18"/>
      <c r="U225" s="18"/>
      <c r="V225" s="19">
        <v>500</v>
      </c>
    </row>
    <row r="226" spans="1:22">
      <c r="A226" s="83" t="s">
        <v>227</v>
      </c>
      <c r="B226" s="74" t="str">
        <f>IFERROR(HYPERLINK(VLOOKUP(A226,ÜRÜNLER!A:C,3,FALSE),VLOOKUP(A226,ÜRÜNLER!A:B,2,FALSE)),"")</f>
        <v>iQ700 studioLine Ankastre Mikrodalga, 21L, Siyah</v>
      </c>
      <c r="C226" s="10"/>
      <c r="D226" s="10">
        <v>1</v>
      </c>
      <c r="E226" s="11"/>
      <c r="F226" s="11"/>
      <c r="G226" s="12"/>
      <c r="H226" s="12"/>
      <c r="I226" s="13"/>
      <c r="J226" s="13"/>
      <c r="K226" s="144"/>
      <c r="L226" s="13"/>
      <c r="M226" s="13"/>
      <c r="N226" s="14">
        <f t="shared" si="7"/>
        <v>1</v>
      </c>
      <c r="O226" s="11"/>
      <c r="P226" s="15"/>
      <c r="Q226" s="75">
        <v>48975.730734347773</v>
      </c>
      <c r="R226" s="33">
        <v>45547.429582943427</v>
      </c>
      <c r="S226" s="17">
        <v>47369.326766261162</v>
      </c>
      <c r="T226" s="18"/>
      <c r="U226" s="18"/>
      <c r="V226" s="19">
        <v>500</v>
      </c>
    </row>
    <row r="227" spans="1:22">
      <c r="A227" s="84" t="s">
        <v>228</v>
      </c>
      <c r="B227" s="74" t="str">
        <f>IFERROR(HYPERLINK(VLOOKUP(A227,ÜRÜNLER!A:C,3,FALSE),VLOOKUP(A227,ÜRÜNLER!A:B,2,FALSE)),"")</f>
        <v>iQ300 Solo Mikrodalga, 20L, Siyah</v>
      </c>
      <c r="C227" s="10">
        <v>11</v>
      </c>
      <c r="D227" s="10"/>
      <c r="E227" s="11"/>
      <c r="F227" s="11"/>
      <c r="G227" s="12"/>
      <c r="H227" s="12"/>
      <c r="I227" s="13">
        <v>1</v>
      </c>
      <c r="J227" s="13">
        <v>1</v>
      </c>
      <c r="K227" s="144">
        <v>2</v>
      </c>
      <c r="L227" s="13"/>
      <c r="M227" s="13"/>
      <c r="N227" s="14">
        <f t="shared" si="7"/>
        <v>15</v>
      </c>
      <c r="O227" s="11"/>
      <c r="P227" s="15"/>
      <c r="Q227" s="75">
        <v>6242.1344066194024</v>
      </c>
      <c r="R227" s="65">
        <v>5930.0276862884321</v>
      </c>
      <c r="S227" s="17">
        <v>6167.2287937399697</v>
      </c>
      <c r="T227" s="18"/>
      <c r="U227" s="18"/>
      <c r="V227" s="22"/>
    </row>
    <row r="228" spans="1:22">
      <c r="A228" s="84" t="s">
        <v>229</v>
      </c>
      <c r="B228" s="74" t="str">
        <f>IFERROR(HYPERLINK(VLOOKUP(A228,ÜRÜNLER!A:C,3,FALSE),VLOOKUP(A228,ÜRÜNLER!A:B,2,FALSE)),"")</f>
        <v>iQ300 Solo Mikrodalga, 20L, Beyaz</v>
      </c>
      <c r="C228" s="10">
        <v>11</v>
      </c>
      <c r="D228" s="10"/>
      <c r="E228" s="11"/>
      <c r="F228" s="11"/>
      <c r="G228" s="12"/>
      <c r="H228" s="12"/>
      <c r="I228" s="13">
        <v>1</v>
      </c>
      <c r="J228" s="13">
        <v>1</v>
      </c>
      <c r="K228" s="144">
        <v>2</v>
      </c>
      <c r="L228" s="13"/>
      <c r="M228" s="13"/>
      <c r="N228" s="14">
        <f t="shared" si="7"/>
        <v>15</v>
      </c>
      <c r="O228" s="11"/>
      <c r="P228" s="15"/>
      <c r="Q228" s="75">
        <v>5791.3100111052418</v>
      </c>
      <c r="R228" s="65">
        <v>5501.7445105499801</v>
      </c>
      <c r="S228" s="17">
        <v>5721.8142909719791</v>
      </c>
      <c r="T228" s="18"/>
      <c r="U228" s="18"/>
      <c r="V228" s="22"/>
    </row>
    <row r="229" spans="1:22">
      <c r="A229" s="84" t="s">
        <v>230</v>
      </c>
      <c r="B229" s="74" t="str">
        <f>IFERROR(HYPERLINK(VLOOKUP(A229,ÜRÜNLER!A:C,3,FALSE),VLOOKUP(A229,ÜRÜNLER!A:B,2,FALSE)),"")</f>
        <v>iQ300 Solo Mikrodalga, 20L, Siyah/Inox</v>
      </c>
      <c r="C229" s="10">
        <v>11</v>
      </c>
      <c r="D229" s="10"/>
      <c r="E229" s="11"/>
      <c r="F229" s="11"/>
      <c r="G229" s="12"/>
      <c r="H229" s="12"/>
      <c r="I229" s="13">
        <v>1</v>
      </c>
      <c r="J229" s="13"/>
      <c r="K229" s="144">
        <v>1</v>
      </c>
      <c r="L229" s="13"/>
      <c r="M229" s="13"/>
      <c r="N229" s="14">
        <f t="shared" si="7"/>
        <v>13</v>
      </c>
      <c r="O229" s="11"/>
      <c r="P229" s="15"/>
      <c r="Q229" s="75">
        <v>6917.2628817325422</v>
      </c>
      <c r="R229" s="65">
        <v>6571.3997376459147</v>
      </c>
      <c r="S229" s="17">
        <v>6834.2557271517517</v>
      </c>
      <c r="T229" s="18"/>
      <c r="U229" s="18"/>
      <c r="V229" s="22"/>
    </row>
    <row r="230" spans="1:22">
      <c r="A230" s="44" t="s">
        <v>231</v>
      </c>
      <c r="B230" s="74" t="str">
        <f>IFERROR(HYPERLINK(VLOOKUP(A230,ÜRÜNLER!A:C,3,FALSE),VLOOKUP(A230,ÜRÜNLER!A:B,2,FALSE)),"")</f>
        <v/>
      </c>
      <c r="C230" s="10"/>
      <c r="D230" s="10"/>
      <c r="E230" s="11"/>
      <c r="F230" s="11"/>
      <c r="G230" s="12"/>
      <c r="H230" s="12"/>
      <c r="I230" s="13"/>
      <c r="J230" s="13"/>
      <c r="K230" s="144"/>
      <c r="L230" s="13"/>
      <c r="M230" s="13"/>
      <c r="N230" s="14">
        <f>SUM(N212:N229)</f>
        <v>110</v>
      </c>
      <c r="O230" s="11"/>
      <c r="P230" s="15"/>
      <c r="Q230" s="133"/>
      <c r="R230" s="24"/>
      <c r="S230" s="17"/>
      <c r="T230" s="18"/>
      <c r="U230" s="18"/>
      <c r="V230" s="22"/>
    </row>
    <row r="231" spans="1:22">
      <c r="A231" s="85" t="s">
        <v>232</v>
      </c>
      <c r="B231" s="74" t="str">
        <f>IFERROR(HYPERLINK(VLOOKUP(A231,ÜRÜNLER!A:C,3,FALSE),VLOOKUP(A231,ÜRÜNLER!A:B,2,FALSE)),"")</f>
        <v>iQ100 Düz Davlumbaz, 60cm, 380m3, Beyaz</v>
      </c>
      <c r="C231" s="10"/>
      <c r="D231" s="10"/>
      <c r="E231" s="11"/>
      <c r="F231" s="11"/>
      <c r="G231" s="12"/>
      <c r="H231" s="12"/>
      <c r="I231" s="13">
        <v>1</v>
      </c>
      <c r="J231" s="13"/>
      <c r="K231" s="144">
        <v>1</v>
      </c>
      <c r="L231" s="13"/>
      <c r="M231" s="13"/>
      <c r="N231" s="14">
        <f t="shared" ref="N231:N286" si="8">SUM(C231:M231)</f>
        <v>2</v>
      </c>
      <c r="O231" s="11"/>
      <c r="P231" s="15"/>
      <c r="Q231" s="133" t="s">
        <v>1347</v>
      </c>
      <c r="R231" s="24">
        <v>7000</v>
      </c>
      <c r="S231" s="17">
        <v>7280</v>
      </c>
      <c r="T231" s="18"/>
      <c r="U231" s="18"/>
      <c r="V231" s="22">
        <v>250</v>
      </c>
    </row>
    <row r="232" spans="1:22">
      <c r="A232" s="85" t="s">
        <v>233</v>
      </c>
      <c r="B232" s="74" t="str">
        <f>IFERROR(HYPERLINK(VLOOKUP(A232,ÜRÜNLER!A:C,3,FALSE),VLOOKUP(A232,ÜRÜNLER!A:B,2,FALSE)),"")</f>
        <v>iQ100 Düz Davlumbaz, 60cm, 380m3, Inox</v>
      </c>
      <c r="C232" s="10"/>
      <c r="D232" s="10"/>
      <c r="E232" s="11"/>
      <c r="F232" s="11"/>
      <c r="G232" s="12"/>
      <c r="H232" s="12"/>
      <c r="I232" s="13">
        <v>1</v>
      </c>
      <c r="J232" s="13"/>
      <c r="K232" s="144">
        <v>1</v>
      </c>
      <c r="L232" s="13"/>
      <c r="M232" s="13"/>
      <c r="N232" s="14">
        <f t="shared" si="8"/>
        <v>2</v>
      </c>
      <c r="O232" s="11"/>
      <c r="P232" s="48" t="s">
        <v>234</v>
      </c>
      <c r="Q232" s="133" t="s">
        <v>1347</v>
      </c>
      <c r="R232" s="24">
        <v>7000</v>
      </c>
      <c r="S232" s="17">
        <v>7280</v>
      </c>
      <c r="T232" s="18"/>
      <c r="U232" s="18"/>
      <c r="V232" s="22">
        <v>250</v>
      </c>
    </row>
    <row r="233" spans="1:22">
      <c r="A233" s="85" t="s">
        <v>235</v>
      </c>
      <c r="B233" s="74" t="str">
        <f>IFERROR(HYPERLINK(VLOOKUP(A233,ÜRÜNLER!A:C,3,FALSE),VLOOKUP(A233,ÜRÜNLER!A:B,2,FALSE)),"")</f>
        <v>iQ100 Düz Davlumbaz, 60cm, 380m3, Siyah</v>
      </c>
      <c r="C233" s="10">
        <v>2</v>
      </c>
      <c r="D233" s="10"/>
      <c r="E233" s="11"/>
      <c r="F233" s="11">
        <v>1</v>
      </c>
      <c r="G233" s="12"/>
      <c r="H233" s="12"/>
      <c r="I233" s="13"/>
      <c r="J233" s="13"/>
      <c r="K233" s="144">
        <v>2</v>
      </c>
      <c r="L233" s="13"/>
      <c r="M233" s="13"/>
      <c r="N233" s="14">
        <f t="shared" si="8"/>
        <v>5</v>
      </c>
      <c r="O233" s="11"/>
      <c r="P233" s="15"/>
      <c r="Q233" s="133" t="s">
        <v>1347</v>
      </c>
      <c r="R233" s="24">
        <v>7000</v>
      </c>
      <c r="S233" s="17">
        <v>7280</v>
      </c>
      <c r="T233" s="18"/>
      <c r="U233" s="18"/>
      <c r="V233" s="22"/>
    </row>
    <row r="234" spans="1:22">
      <c r="A234" s="85" t="s">
        <v>236</v>
      </c>
      <c r="B234" s="74" t="str">
        <f>IFERROR(HYPERLINK(VLOOKUP(A234,ÜRÜNLER!A:C,3,FALSE),VLOOKUP(A234,ÜRÜNLER!A:B,2,FALSE)),"")</f>
        <v>iQ100 Eğimli Davlumbaz, 59cm, 360m3, Beyaz Cam</v>
      </c>
      <c r="C234" s="10"/>
      <c r="D234" s="10"/>
      <c r="E234" s="11"/>
      <c r="F234" s="11"/>
      <c r="G234" s="12"/>
      <c r="H234" s="12"/>
      <c r="I234" s="13"/>
      <c r="J234" s="13"/>
      <c r="K234" s="144"/>
      <c r="L234" s="13"/>
      <c r="M234" s="13">
        <v>1</v>
      </c>
      <c r="N234" s="14">
        <f t="shared" si="8"/>
        <v>1</v>
      </c>
      <c r="O234" s="11"/>
      <c r="P234" s="15" t="s">
        <v>17</v>
      </c>
      <c r="Q234" s="75">
        <v>9025.6807122329337</v>
      </c>
      <c r="R234" s="34">
        <v>9476.9647478445804</v>
      </c>
      <c r="S234" s="17">
        <v>9856.0433377583631</v>
      </c>
      <c r="T234" s="18"/>
      <c r="U234" s="18"/>
      <c r="V234" s="22"/>
    </row>
    <row r="235" spans="1:22">
      <c r="A235" s="85" t="s">
        <v>237</v>
      </c>
      <c r="B235" s="74" t="str">
        <f>IFERROR(HYPERLINK(VLOOKUP(A235,ÜRÜNLER!A:C,3,FALSE),VLOOKUP(A235,ÜRÜNLER!A:B,2,FALSE)),"")</f>
        <v>iQ100 Eğimli Davlumbaz, 59cm, 360m3, Siyah Cam</v>
      </c>
      <c r="C235" s="10"/>
      <c r="D235" s="10"/>
      <c r="E235" s="11"/>
      <c r="F235" s="11"/>
      <c r="G235" s="12"/>
      <c r="H235" s="12"/>
      <c r="I235" s="13"/>
      <c r="J235" s="13"/>
      <c r="K235" s="144"/>
      <c r="L235" s="13">
        <v>1</v>
      </c>
      <c r="M235" s="13"/>
      <c r="N235" s="14">
        <f t="shared" si="8"/>
        <v>1</v>
      </c>
      <c r="O235" s="11"/>
      <c r="P235" s="15" t="s">
        <v>17</v>
      </c>
      <c r="Q235" s="75">
        <v>9025.6807122329337</v>
      </c>
      <c r="R235" s="34">
        <v>9476.9647478445804</v>
      </c>
      <c r="S235" s="17">
        <v>9856.0433377583631</v>
      </c>
      <c r="T235" s="18"/>
      <c r="U235" s="18"/>
      <c r="V235" s="22"/>
    </row>
    <row r="236" spans="1:22">
      <c r="A236" s="85" t="s">
        <v>238</v>
      </c>
      <c r="B236" s="74" t="str">
        <f>IFERROR(HYPERLINK(VLOOKUP(A236,ÜRÜNLER!A:C,3,FALSE),VLOOKUP(A236,ÜRÜNLER!A:B,2,FALSE)),"")</f>
        <v>iQ100 Eğimli Davlumbaz, 59cm, 360m3, Siyah Cam</v>
      </c>
      <c r="C236" s="10">
        <v>1</v>
      </c>
      <c r="D236" s="10"/>
      <c r="E236" s="11"/>
      <c r="F236" s="11"/>
      <c r="G236" s="12"/>
      <c r="H236" s="12"/>
      <c r="I236" s="13"/>
      <c r="J236" s="13">
        <v>1</v>
      </c>
      <c r="K236" s="144">
        <v>1</v>
      </c>
      <c r="L236" s="13"/>
      <c r="M236" s="13"/>
      <c r="N236" s="14">
        <f t="shared" si="8"/>
        <v>3</v>
      </c>
      <c r="O236" s="11"/>
      <c r="P236" s="15" t="s">
        <v>17</v>
      </c>
      <c r="Q236" s="75">
        <v>9025.6807122329337</v>
      </c>
      <c r="R236" s="34">
        <v>9476.9647478445804</v>
      </c>
      <c r="S236" s="17">
        <v>9856.0433377583631</v>
      </c>
      <c r="T236" s="18"/>
      <c r="U236" s="18"/>
      <c r="V236" s="22"/>
    </row>
    <row r="237" spans="1:22">
      <c r="A237" s="85" t="s">
        <v>239</v>
      </c>
      <c r="B237" s="74" t="str">
        <f>IFERROR(HYPERLINK(VLOOKUP(A237,ÜRÜNLER!A:C,3,FALSE),VLOOKUP(A237,ÜRÜNLER!A:B,2,FALSE)),"")</f>
        <v>iQ100 Düz Davlumbaz, 60cm, 612m3, Paslanmaz Çelik</v>
      </c>
      <c r="C237" s="10">
        <v>1</v>
      </c>
      <c r="D237" s="10"/>
      <c r="E237" s="11"/>
      <c r="F237" s="11">
        <v>1</v>
      </c>
      <c r="G237" s="12"/>
      <c r="H237" s="12"/>
      <c r="I237" s="13"/>
      <c r="J237" s="13"/>
      <c r="K237" s="144"/>
      <c r="L237" s="13"/>
      <c r="M237" s="13"/>
      <c r="N237" s="14">
        <f t="shared" si="8"/>
        <v>2</v>
      </c>
      <c r="O237" s="11"/>
      <c r="P237" s="15"/>
      <c r="Q237" s="75">
        <v>14946.395064901557</v>
      </c>
      <c r="R237" s="65">
        <v>14199.075311656479</v>
      </c>
      <c r="S237" s="17">
        <v>14767.038324122739</v>
      </c>
      <c r="T237" s="18"/>
      <c r="U237" s="18"/>
      <c r="V237" s="22"/>
    </row>
    <row r="238" spans="1:22">
      <c r="A238" s="85" t="s">
        <v>240</v>
      </c>
      <c r="B238" s="74" t="str">
        <f>IFERROR(HYPERLINK(VLOOKUP(A238,ÜRÜNLER!A:C,3,FALSE),VLOOKUP(A238,ÜRÜNLER!A:B,2,FALSE)),"")</f>
        <v>iQ300 Düz Davlumbaz, 60cm, 368m3, Inox</v>
      </c>
      <c r="C238" s="10"/>
      <c r="D238" s="10"/>
      <c r="E238" s="11"/>
      <c r="F238" s="11"/>
      <c r="G238" s="12"/>
      <c r="H238" s="12"/>
      <c r="I238" s="13"/>
      <c r="J238" s="13"/>
      <c r="K238" s="144"/>
      <c r="L238" s="13"/>
      <c r="M238" s="13">
        <v>1</v>
      </c>
      <c r="N238" s="14">
        <f t="shared" si="8"/>
        <v>1</v>
      </c>
      <c r="O238" s="11"/>
      <c r="P238" s="15"/>
      <c r="Q238" s="133" t="s">
        <v>1347</v>
      </c>
      <c r="R238" s="24">
        <v>14000</v>
      </c>
      <c r="S238" s="17">
        <v>14560</v>
      </c>
      <c r="T238" s="18"/>
      <c r="U238" s="18"/>
      <c r="V238" s="22">
        <v>250</v>
      </c>
    </row>
    <row r="239" spans="1:22">
      <c r="A239" s="99" t="s">
        <v>241</v>
      </c>
      <c r="B239" s="74" t="str">
        <f>IFERROR(HYPERLINK(VLOOKUP(A239,ÜRÜNLER!A:C,3,FALSE),VLOOKUP(A239,ÜRÜNLER!A:B,2,FALSE)),"")</f>
        <v>iQ300 Düz Davlumbaz, 60cm, 649m3, Beyaz Cam</v>
      </c>
      <c r="C239" s="10">
        <v>9</v>
      </c>
      <c r="D239" s="10"/>
      <c r="E239" s="11"/>
      <c r="F239" s="11"/>
      <c r="G239" s="12"/>
      <c r="H239" s="12"/>
      <c r="I239" s="13"/>
      <c r="J239" s="13">
        <v>1</v>
      </c>
      <c r="K239" s="144">
        <v>1</v>
      </c>
      <c r="L239" s="13"/>
      <c r="M239" s="13"/>
      <c r="N239" s="14">
        <f t="shared" si="8"/>
        <v>11</v>
      </c>
      <c r="O239" s="11"/>
      <c r="P239" s="15"/>
      <c r="Q239" s="75">
        <v>17796.490223290712</v>
      </c>
      <c r="R239" s="65">
        <v>16906.665712126174</v>
      </c>
      <c r="S239" s="17">
        <v>17582.93234061122</v>
      </c>
      <c r="T239" s="18">
        <v>1338.3506884069902</v>
      </c>
      <c r="U239" s="18"/>
      <c r="V239" s="22"/>
    </row>
    <row r="240" spans="1:22">
      <c r="A240" s="99" t="s">
        <v>242</v>
      </c>
      <c r="B240" s="74" t="str">
        <f>IFERROR(HYPERLINK(VLOOKUP(A240,ÜRÜNLER!A:C,3,FALSE),VLOOKUP(A240,ÜRÜNLER!A:B,2,FALSE)),"")</f>
        <v>iQ300 Düz Davlumbaz, 60cm, 649m3, Siyah Cam</v>
      </c>
      <c r="C240" s="10">
        <v>2</v>
      </c>
      <c r="D240" s="10"/>
      <c r="E240" s="11"/>
      <c r="F240" s="11"/>
      <c r="G240" s="12"/>
      <c r="H240" s="12"/>
      <c r="I240" s="13">
        <v>1</v>
      </c>
      <c r="J240" s="13"/>
      <c r="K240" s="144">
        <v>1</v>
      </c>
      <c r="L240" s="13"/>
      <c r="M240" s="13"/>
      <c r="N240" s="14">
        <f t="shared" si="8"/>
        <v>4</v>
      </c>
      <c r="O240" s="11"/>
      <c r="P240" s="15"/>
      <c r="Q240" s="75">
        <v>17796.490223290712</v>
      </c>
      <c r="R240" s="65">
        <v>16906.665712126174</v>
      </c>
      <c r="S240" s="17">
        <v>17582.93234061122</v>
      </c>
      <c r="T240" s="18">
        <v>1338.3506884069902</v>
      </c>
      <c r="U240" s="18"/>
      <c r="V240" s="22"/>
    </row>
    <row r="241" spans="1:22">
      <c r="A241" s="85" t="s">
        <v>243</v>
      </c>
      <c r="B241" s="74" t="str">
        <f>IFERROR(HYPERLINK(VLOOKUP(A241,ÜRÜNLER!A:C,3,FALSE),VLOOKUP(A241,ÜRÜNLER!A:B,2,FALSE)),"")</f>
        <v>iQ300 Eğimli Davlumbaz, 60cm, 593m3, Siyah Cam</v>
      </c>
      <c r="C241" s="10"/>
      <c r="D241" s="10"/>
      <c r="E241" s="11"/>
      <c r="F241" s="11"/>
      <c r="G241" s="12"/>
      <c r="H241" s="12"/>
      <c r="I241" s="13">
        <v>1</v>
      </c>
      <c r="J241" s="13">
        <v>1</v>
      </c>
      <c r="K241" s="144">
        <v>1</v>
      </c>
      <c r="L241" s="13"/>
      <c r="M241" s="13">
        <v>1</v>
      </c>
      <c r="N241" s="14">
        <f t="shared" si="8"/>
        <v>4</v>
      </c>
      <c r="O241" s="11"/>
      <c r="P241" s="15"/>
      <c r="Q241" s="133" t="s">
        <v>1347</v>
      </c>
      <c r="R241" s="24">
        <v>13000</v>
      </c>
      <c r="S241" s="17">
        <v>13520</v>
      </c>
      <c r="T241" s="18"/>
      <c r="U241" s="18"/>
      <c r="V241" s="22">
        <v>250</v>
      </c>
    </row>
    <row r="242" spans="1:22">
      <c r="A242" s="89" t="s">
        <v>244</v>
      </c>
      <c r="B242" s="74" t="str">
        <f>IFERROR(HYPERLINK(VLOOKUP(A242,ÜRÜNLER!A:C,3,FALSE),VLOOKUP(A242,ÜRÜNLER!A:B,2,FALSE)),"")</f>
        <v>iQ300 Eğimli Davlumbaz, 60cm, 616m3, Siyah Cam</v>
      </c>
      <c r="C242" s="10"/>
      <c r="D242" s="10"/>
      <c r="E242" s="11"/>
      <c r="F242" s="11"/>
      <c r="G242" s="12"/>
      <c r="H242" s="12"/>
      <c r="I242" s="13"/>
      <c r="J242" s="13"/>
      <c r="K242" s="144">
        <v>1</v>
      </c>
      <c r="L242" s="13"/>
      <c r="M242" s="13"/>
      <c r="N242" s="14">
        <f t="shared" si="8"/>
        <v>1</v>
      </c>
      <c r="O242" s="11"/>
      <c r="P242" s="15"/>
      <c r="Q242" s="133" t="s">
        <v>1347</v>
      </c>
      <c r="R242" s="24">
        <v>13000</v>
      </c>
      <c r="S242" s="17">
        <v>13520</v>
      </c>
      <c r="T242" s="18"/>
      <c r="U242" s="18"/>
      <c r="V242" s="22">
        <v>250</v>
      </c>
    </row>
    <row r="243" spans="1:22">
      <c r="A243" s="86" t="s">
        <v>245</v>
      </c>
      <c r="B243" s="74" t="str">
        <f>IFERROR(HYPERLINK(VLOOKUP(A243,ÜRÜNLER!A:C,3,FALSE),VLOOKUP(A243,ÜRÜNLER!A:B,2,FALSE)),"")</f>
        <v>iQ100 Eğimli Davlumbaz, 60cm, 400m3, Beyaz Cam</v>
      </c>
      <c r="C243" s="10">
        <v>4</v>
      </c>
      <c r="D243" s="10"/>
      <c r="E243" s="11"/>
      <c r="F243" s="11"/>
      <c r="G243" s="12"/>
      <c r="H243" s="12"/>
      <c r="I243" s="13">
        <v>1</v>
      </c>
      <c r="J243" s="13"/>
      <c r="K243" s="144"/>
      <c r="L243" s="13"/>
      <c r="M243" s="13"/>
      <c r="N243" s="14">
        <f t="shared" si="8"/>
        <v>5</v>
      </c>
      <c r="O243" s="11"/>
      <c r="P243" s="15"/>
      <c r="Q243" s="75">
        <v>12706.287041862945</v>
      </c>
      <c r="R243" s="65">
        <v>12070.972689769796</v>
      </c>
      <c r="S243" s="17">
        <v>12553.811597360589</v>
      </c>
      <c r="T243" s="18"/>
      <c r="U243" s="18"/>
      <c r="V243" s="22"/>
    </row>
    <row r="244" spans="1:22">
      <c r="A244" s="86" t="s">
        <v>246</v>
      </c>
      <c r="B244" s="74" t="str">
        <f>IFERROR(HYPERLINK(VLOOKUP(A244,ÜRÜNLER!A:C,3,FALSE),VLOOKUP(A244,ÜRÜNLER!A:B,2,FALSE)),"")</f>
        <v>iQ100 Eğimli Davlumbaz, 60cm, 400m3, Siyah Cam</v>
      </c>
      <c r="C244" s="10">
        <v>6</v>
      </c>
      <c r="D244" s="10"/>
      <c r="E244" s="11"/>
      <c r="F244" s="11"/>
      <c r="G244" s="12"/>
      <c r="H244" s="12"/>
      <c r="I244" s="13"/>
      <c r="J244" s="13"/>
      <c r="K244" s="144"/>
      <c r="L244" s="13"/>
      <c r="M244" s="13"/>
      <c r="N244" s="14">
        <f t="shared" si="8"/>
        <v>6</v>
      </c>
      <c r="O244" s="11"/>
      <c r="P244" s="15"/>
      <c r="Q244" s="75">
        <v>12706.287041862945</v>
      </c>
      <c r="R244" s="65">
        <v>12070.972689769796</v>
      </c>
      <c r="S244" s="17">
        <v>12553.811597360589</v>
      </c>
      <c r="T244" s="18"/>
      <c r="U244" s="18"/>
      <c r="V244" s="22"/>
    </row>
    <row r="245" spans="1:22">
      <c r="A245" s="97" t="s">
        <v>247</v>
      </c>
      <c r="B245" s="74" t="str">
        <f>IFERROR(HYPERLINK(VLOOKUP(A245,ÜRÜNLER!A:C,3,FALSE),VLOOKUP(A245,ÜRÜNLER!A:B,2,FALSE)),"")</f>
        <v>iQ100 Eğimli Davlumbaz, 60cm, 400m3, Antrasit Gri Cam</v>
      </c>
      <c r="C245" s="10">
        <v>7</v>
      </c>
      <c r="D245" s="10"/>
      <c r="E245" s="11"/>
      <c r="F245" s="11"/>
      <c r="G245" s="12"/>
      <c r="H245" s="12"/>
      <c r="I245" s="13">
        <v>2</v>
      </c>
      <c r="J245" s="13"/>
      <c r="K245" s="144"/>
      <c r="L245" s="13">
        <v>1</v>
      </c>
      <c r="M245" s="13">
        <v>1</v>
      </c>
      <c r="N245" s="14">
        <f t="shared" si="8"/>
        <v>11</v>
      </c>
      <c r="O245" s="11"/>
      <c r="P245" s="15"/>
      <c r="Q245" s="75">
        <v>12706.287041862945</v>
      </c>
      <c r="R245" s="65">
        <v>12070.972689769796</v>
      </c>
      <c r="S245" s="17">
        <v>12553.811597360589</v>
      </c>
      <c r="T245" s="18"/>
      <c r="U245" s="18"/>
      <c r="V245" s="22"/>
    </row>
    <row r="246" spans="1:22">
      <c r="A246" s="86" t="s">
        <v>248</v>
      </c>
      <c r="B246" s="74" t="str">
        <f>IFERROR(HYPERLINK(VLOOKUP(A246,ÜRÜNLER!A:C,3,FALSE),VLOOKUP(A246,ÜRÜNLER!A:B,2,FALSE)),"")</f>
        <v>iQ300 Eğimli Davlumbaz, 60cm, 510m3, Beyaz Cam</v>
      </c>
      <c r="C246" s="10">
        <v>3</v>
      </c>
      <c r="D246" s="10"/>
      <c r="E246" s="11"/>
      <c r="F246" s="11"/>
      <c r="G246" s="12"/>
      <c r="H246" s="12"/>
      <c r="I246" s="13">
        <v>1</v>
      </c>
      <c r="J246" s="13"/>
      <c r="K246" s="144"/>
      <c r="L246" s="13">
        <v>1</v>
      </c>
      <c r="M246" s="13"/>
      <c r="N246" s="14">
        <f t="shared" si="8"/>
        <v>5</v>
      </c>
      <c r="O246" s="11"/>
      <c r="P246" s="15"/>
      <c r="Q246" s="75">
        <v>15490.797186025251</v>
      </c>
      <c r="R246" s="65">
        <v>14716.257326723988</v>
      </c>
      <c r="S246" s="17">
        <v>15304.907619792948</v>
      </c>
      <c r="T246" s="18">
        <v>400.09951160664605</v>
      </c>
      <c r="U246" s="18"/>
      <c r="V246" s="22"/>
    </row>
    <row r="247" spans="1:22">
      <c r="A247" s="83" t="s">
        <v>249</v>
      </c>
      <c r="B247" s="74" t="str">
        <f>IFERROR(HYPERLINK(VLOOKUP(A247,ÜRÜNLER!A:C,3,FALSE),VLOOKUP(A247,ÜRÜNLER!A:B,2,FALSE)),"")</f>
        <v>iQ300 Eğimli Davlumbaz, 60cm, 510m3, Siyah Cam</v>
      </c>
      <c r="C247" s="10">
        <v>3</v>
      </c>
      <c r="D247" s="10"/>
      <c r="E247" s="11"/>
      <c r="F247" s="11"/>
      <c r="G247" s="12"/>
      <c r="H247" s="12"/>
      <c r="I247" s="13"/>
      <c r="J247" s="13"/>
      <c r="K247" s="144">
        <v>1</v>
      </c>
      <c r="L247" s="13"/>
      <c r="M247" s="13">
        <v>1</v>
      </c>
      <c r="N247" s="14">
        <f t="shared" si="8"/>
        <v>5</v>
      </c>
      <c r="O247" s="11"/>
      <c r="P247" s="15"/>
      <c r="Q247" s="75">
        <v>15490.797186025251</v>
      </c>
      <c r="R247" s="65">
        <v>14716.257326723988</v>
      </c>
      <c r="S247" s="17">
        <v>15304.907619792948</v>
      </c>
      <c r="T247" s="18">
        <v>400.09951160664605</v>
      </c>
      <c r="U247" s="18"/>
      <c r="V247" s="22"/>
    </row>
    <row r="248" spans="1:22">
      <c r="A248" s="97" t="s">
        <v>250</v>
      </c>
      <c r="B248" s="74" t="str">
        <f>IFERROR(HYPERLINK(VLOOKUP(A248,ÜRÜNLER!A:C,3,FALSE),VLOOKUP(A248,ÜRÜNLER!A:B,2,FALSE)),"")</f>
        <v>iQ300 Eğimli Davlumbaz, 60cm, 510m3, Antrasit Gri Cam</v>
      </c>
      <c r="C248" s="10"/>
      <c r="D248" s="10"/>
      <c r="E248" s="11"/>
      <c r="F248" s="11">
        <v>1</v>
      </c>
      <c r="G248" s="12"/>
      <c r="H248" s="12"/>
      <c r="I248" s="13"/>
      <c r="J248" s="13">
        <v>1</v>
      </c>
      <c r="K248" s="144"/>
      <c r="L248" s="13"/>
      <c r="M248" s="13"/>
      <c r="N248" s="14">
        <f t="shared" si="8"/>
        <v>2</v>
      </c>
      <c r="O248" s="11"/>
      <c r="P248" s="15"/>
      <c r="Q248" s="75">
        <v>15490.797186025251</v>
      </c>
      <c r="R248" s="34">
        <v>15490.797186025251</v>
      </c>
      <c r="S248" s="17">
        <v>16110.429073466261</v>
      </c>
      <c r="T248" s="18">
        <v>400.09951160664605</v>
      </c>
      <c r="U248" s="18"/>
      <c r="V248" s="22"/>
    </row>
    <row r="249" spans="1:22">
      <c r="A249" s="85" t="s">
        <v>251</v>
      </c>
      <c r="B249" s="74" t="str">
        <f>IFERROR(HYPERLINK(VLOOKUP(A249,ÜRÜNLER!A:C,3,FALSE),VLOOKUP(A249,ÜRÜNLER!A:B,2,FALSE)),"")</f>
        <v>iQ300 Düz Davlumbaz, 60cm, 582m3, Beyaz/Inox</v>
      </c>
      <c r="C249" s="10">
        <v>25</v>
      </c>
      <c r="D249" s="10"/>
      <c r="E249" s="11"/>
      <c r="F249" s="11"/>
      <c r="G249" s="12"/>
      <c r="H249" s="12"/>
      <c r="I249" s="13"/>
      <c r="J249" s="13"/>
      <c r="K249" s="144"/>
      <c r="L249" s="13"/>
      <c r="M249" s="13"/>
      <c r="N249" s="14">
        <f t="shared" si="8"/>
        <v>25</v>
      </c>
      <c r="O249" s="11"/>
      <c r="P249" s="15"/>
      <c r="Q249" s="75">
        <v>15657.39130179454</v>
      </c>
      <c r="R249" s="65">
        <v>14874.521736704814</v>
      </c>
      <c r="S249" s="17">
        <v>15469.502606173006</v>
      </c>
      <c r="T249" s="18"/>
      <c r="U249" s="18"/>
      <c r="V249" s="22"/>
    </row>
    <row r="250" spans="1:22">
      <c r="A250" s="94" t="s">
        <v>252</v>
      </c>
      <c r="B250" s="74" t="str">
        <f>IFERROR(HYPERLINK(VLOOKUP(A250,ÜRÜNLER!A:C,3,FALSE),VLOOKUP(A250,ÜRÜNLER!A:B,2,FALSE)),"")</f>
        <v>iQ300 Düz Davlumbaz, 60cm, 582m3, Siyah/Inox</v>
      </c>
      <c r="C250" s="10"/>
      <c r="D250" s="10"/>
      <c r="E250" s="11"/>
      <c r="F250" s="11"/>
      <c r="G250" s="12"/>
      <c r="H250" s="12"/>
      <c r="I250" s="13">
        <v>1</v>
      </c>
      <c r="J250" s="13">
        <v>1</v>
      </c>
      <c r="K250" s="144">
        <v>3</v>
      </c>
      <c r="L250" s="13">
        <v>1</v>
      </c>
      <c r="M250" s="13"/>
      <c r="N250" s="14">
        <f t="shared" si="8"/>
        <v>6</v>
      </c>
      <c r="O250" s="11">
        <v>5</v>
      </c>
      <c r="P250" s="15"/>
      <c r="Q250" s="75">
        <v>15657.39130179454</v>
      </c>
      <c r="R250" s="65">
        <v>14874.521736704814</v>
      </c>
      <c r="S250" s="17">
        <v>15469.502606173006</v>
      </c>
      <c r="T250" s="18"/>
      <c r="U250" s="18"/>
      <c r="V250" s="22"/>
    </row>
    <row r="251" spans="1:22">
      <c r="A251" s="97" t="s">
        <v>253</v>
      </c>
      <c r="B251" s="74" t="str">
        <f>IFERROR(HYPERLINK(VLOOKUP(A251,ÜRÜNLER!A:C,3,FALSE),VLOOKUP(A251,ÜRÜNLER!A:B,2,FALSE)),"")</f>
        <v>iQ300 Düz Davlumbaz, 60cm, 649m3, Antrasit Gri Cam</v>
      </c>
      <c r="C251" s="10">
        <v>7</v>
      </c>
      <c r="D251" s="10"/>
      <c r="E251" s="11"/>
      <c r="F251" s="11"/>
      <c r="G251" s="12"/>
      <c r="H251" s="12"/>
      <c r="I251" s="13"/>
      <c r="J251" s="13"/>
      <c r="K251" s="144">
        <v>1</v>
      </c>
      <c r="L251" s="13"/>
      <c r="M251" s="13"/>
      <c r="N251" s="14">
        <f t="shared" si="8"/>
        <v>8</v>
      </c>
      <c r="O251" s="11"/>
      <c r="P251" s="15"/>
      <c r="Q251" s="75">
        <v>17796.490223290712</v>
      </c>
      <c r="R251" s="65">
        <v>16906.665712126174</v>
      </c>
      <c r="S251" s="17">
        <v>17582.93234061122</v>
      </c>
      <c r="T251" s="18">
        <v>1338.3506884069902</v>
      </c>
      <c r="U251" s="18"/>
      <c r="V251" s="22"/>
    </row>
    <row r="252" spans="1:22">
      <c r="A252" s="85" t="s">
        <v>254</v>
      </c>
      <c r="B252" s="74" t="str">
        <f>IFERROR(HYPERLINK(VLOOKUP(A252,ÜRÜNLER!A:C,3,FALSE),VLOOKUP(A252,ÜRÜNLER!A:B,2,FALSE)),"")</f>
        <v>iQ500 Düz Davlumbaz, 60cm, 645m3, Beyaz Cam</v>
      </c>
      <c r="C252" s="10">
        <v>16</v>
      </c>
      <c r="D252" s="10"/>
      <c r="E252" s="11"/>
      <c r="F252" s="11"/>
      <c r="G252" s="12"/>
      <c r="H252" s="12"/>
      <c r="I252" s="13"/>
      <c r="J252" s="13"/>
      <c r="K252" s="144"/>
      <c r="L252" s="13"/>
      <c r="M252" s="13"/>
      <c r="N252" s="14">
        <f t="shared" si="8"/>
        <v>16</v>
      </c>
      <c r="O252" s="11"/>
      <c r="P252" s="15"/>
      <c r="Q252" s="133" t="s">
        <v>1347</v>
      </c>
      <c r="R252" s="24">
        <v>18000</v>
      </c>
      <c r="S252" s="17">
        <v>18720</v>
      </c>
      <c r="T252" s="18"/>
      <c r="U252" s="18"/>
      <c r="V252" s="22"/>
    </row>
    <row r="253" spans="1:22">
      <c r="A253" s="94" t="s">
        <v>255</v>
      </c>
      <c r="B253" s="74" t="str">
        <f>IFERROR(HYPERLINK(VLOOKUP(A253,ÜRÜNLER!A:C,3,FALSE),VLOOKUP(A253,ÜRÜNLER!A:B,2,FALSE)),"")</f>
        <v>iQ500 Düz Davlumbaz, 60cm, 645m3, Siyah Cam</v>
      </c>
      <c r="C253" s="10"/>
      <c r="D253" s="10"/>
      <c r="E253" s="11"/>
      <c r="F253" s="11"/>
      <c r="G253" s="12"/>
      <c r="H253" s="12"/>
      <c r="I253" s="13"/>
      <c r="J253" s="13"/>
      <c r="K253" s="144"/>
      <c r="L253" s="13"/>
      <c r="M253" s="13">
        <v>1</v>
      </c>
      <c r="N253" s="14">
        <f t="shared" si="8"/>
        <v>1</v>
      </c>
      <c r="O253" s="11"/>
      <c r="P253" s="15"/>
      <c r="Q253" s="133" t="s">
        <v>1347</v>
      </c>
      <c r="R253" s="24">
        <v>16000</v>
      </c>
      <c r="S253" s="17">
        <v>16640</v>
      </c>
      <c r="T253" s="18"/>
      <c r="U253" s="18"/>
      <c r="V253" s="22">
        <v>250</v>
      </c>
    </row>
    <row r="254" spans="1:22">
      <c r="A254" s="94" t="s">
        <v>256</v>
      </c>
      <c r="B254" s="74" t="str">
        <f>IFERROR(HYPERLINK(VLOOKUP(A254,ÜRÜNLER!A:C,3,FALSE),VLOOKUP(A254,ÜRÜNLER!A:B,2,FALSE)),"")</f>
        <v>iQ500 Eğimli Davlumbaz, 60cm, 510m3, Siyah Cam</v>
      </c>
      <c r="C254" s="10"/>
      <c r="D254" s="10"/>
      <c r="E254" s="11"/>
      <c r="F254" s="11"/>
      <c r="G254" s="12"/>
      <c r="H254" s="12"/>
      <c r="I254" s="13"/>
      <c r="J254" s="13"/>
      <c r="K254" s="144"/>
      <c r="L254" s="13">
        <v>1</v>
      </c>
      <c r="M254" s="13"/>
      <c r="N254" s="14">
        <f t="shared" si="8"/>
        <v>1</v>
      </c>
      <c r="O254" s="11">
        <v>20</v>
      </c>
      <c r="P254" s="15"/>
      <c r="Q254" s="75">
        <v>17251.19529504286</v>
      </c>
      <c r="R254" s="65">
        <v>16388.635530290718</v>
      </c>
      <c r="S254" s="17">
        <v>17044.180951502345</v>
      </c>
      <c r="T254" s="18"/>
      <c r="U254" s="18"/>
      <c r="V254" s="22"/>
    </row>
    <row r="255" spans="1:22">
      <c r="A255" s="97" t="s">
        <v>257</v>
      </c>
      <c r="B255" s="74" t="str">
        <f>IFERROR(HYPERLINK(VLOOKUP(A255,ÜRÜNLER!A:C,3,FALSE),VLOOKUP(A255,ÜRÜNLER!A:B,2,FALSE)),"")</f>
        <v>iQ500 Eğimli Davlumbaz, 60cm, 510m3, Antrasit Gri Cam</v>
      </c>
      <c r="C255" s="10">
        <v>3</v>
      </c>
      <c r="D255" s="10"/>
      <c r="E255" s="11"/>
      <c r="F255" s="11"/>
      <c r="G255" s="12"/>
      <c r="H255" s="12"/>
      <c r="I255" s="13"/>
      <c r="J255" s="13">
        <v>1</v>
      </c>
      <c r="K255" s="144">
        <v>1</v>
      </c>
      <c r="L255" s="13"/>
      <c r="M255" s="13"/>
      <c r="N255" s="14">
        <f t="shared" si="8"/>
        <v>5</v>
      </c>
      <c r="O255" s="11"/>
      <c r="P255" s="15"/>
      <c r="Q255" s="75">
        <v>17251.19529504286</v>
      </c>
      <c r="R255" s="65">
        <v>16388.635530290718</v>
      </c>
      <c r="S255" s="17">
        <v>17044.180951502345</v>
      </c>
      <c r="T255" s="18"/>
      <c r="U255" s="18"/>
      <c r="V255" s="22"/>
    </row>
    <row r="256" spans="1:22">
      <c r="A256" s="85" t="s">
        <v>258</v>
      </c>
      <c r="B256" s="74" t="str">
        <f>IFERROR(HYPERLINK(VLOOKUP(A256,ÜRÜNLER!A:C,3,FALSE),VLOOKUP(A256,ÜRÜNLER!A:B,2,FALSE)),"")</f>
        <v>iQ500 Eğimli Davlumbaz, 60cm, 578m3, Siyah Cam</v>
      </c>
      <c r="C256" s="10"/>
      <c r="D256" s="10"/>
      <c r="E256" s="11"/>
      <c r="F256" s="11"/>
      <c r="G256" s="12"/>
      <c r="H256" s="12"/>
      <c r="I256" s="13"/>
      <c r="J256" s="13">
        <v>1</v>
      </c>
      <c r="K256" s="144">
        <v>2</v>
      </c>
      <c r="L256" s="13">
        <v>1</v>
      </c>
      <c r="M256" s="13"/>
      <c r="N256" s="14">
        <f t="shared" si="8"/>
        <v>4</v>
      </c>
      <c r="O256" s="11"/>
      <c r="P256" s="15"/>
      <c r="Q256" s="133" t="s">
        <v>1347</v>
      </c>
      <c r="R256" s="24">
        <v>17000</v>
      </c>
      <c r="S256" s="17">
        <v>17680</v>
      </c>
      <c r="T256" s="18"/>
      <c r="U256" s="18"/>
      <c r="V256" s="22">
        <v>250</v>
      </c>
    </row>
    <row r="257" spans="1:22">
      <c r="A257" s="100" t="s">
        <v>259</v>
      </c>
      <c r="B257" s="74" t="str">
        <f>IFERROR(HYPERLINK(VLOOKUP(A257,ÜRÜNLER!A:C,3,FALSE),VLOOKUP(A257,ÜRÜNLER!A:B,2,FALSE)),"")</f>
        <v>iQ500 Eğimli Davlumbaz, 60cm, 510m3, Beyaz Cam</v>
      </c>
      <c r="C257" s="10">
        <v>2</v>
      </c>
      <c r="D257" s="10"/>
      <c r="E257" s="11"/>
      <c r="F257" s="11"/>
      <c r="G257" s="12"/>
      <c r="H257" s="12"/>
      <c r="I257" s="13">
        <v>1</v>
      </c>
      <c r="J257" s="13">
        <v>1</v>
      </c>
      <c r="K257" s="144"/>
      <c r="L257" s="13"/>
      <c r="M257" s="13"/>
      <c r="N257" s="14">
        <f t="shared" si="8"/>
        <v>4</v>
      </c>
      <c r="O257" s="11"/>
      <c r="P257" s="15"/>
      <c r="Q257" s="75">
        <v>17251.19529504286</v>
      </c>
      <c r="R257" s="65">
        <v>16388.635530290718</v>
      </c>
      <c r="S257" s="17">
        <v>17044.180951502345</v>
      </c>
      <c r="T257" s="18"/>
      <c r="U257" s="18"/>
      <c r="V257" s="22"/>
    </row>
    <row r="258" spans="1:22">
      <c r="A258" s="94" t="s">
        <v>260</v>
      </c>
      <c r="B258" s="74" t="str">
        <f>IFERROR(HYPERLINK(VLOOKUP(A258,ÜRÜNLER!A:C,3,FALSE),VLOOKUP(A258,ÜRÜNLER!A:B,2,FALSE)),"")</f>
        <v>iQ500 Eğimli Davlumbaz, 60cm, 700m3, Siyah Cam</v>
      </c>
      <c r="C258" s="10">
        <v>4</v>
      </c>
      <c r="D258" s="10"/>
      <c r="E258" s="11"/>
      <c r="F258" s="11"/>
      <c r="G258" s="12"/>
      <c r="H258" s="12"/>
      <c r="I258" s="13"/>
      <c r="J258" s="13"/>
      <c r="K258" s="144">
        <v>1</v>
      </c>
      <c r="L258" s="13"/>
      <c r="M258" s="13"/>
      <c r="N258" s="14">
        <f t="shared" si="8"/>
        <v>5</v>
      </c>
      <c r="O258" s="11"/>
      <c r="P258" s="15"/>
      <c r="Q258" s="75">
        <v>17251.19529504286</v>
      </c>
      <c r="R258" s="65">
        <v>16388.635530290718</v>
      </c>
      <c r="S258" s="17">
        <v>17044.180951502345</v>
      </c>
      <c r="T258" s="18"/>
      <c r="U258" s="18"/>
      <c r="V258" s="22"/>
    </row>
    <row r="259" spans="1:22">
      <c r="A259" s="101" t="s">
        <v>261</v>
      </c>
      <c r="B259" s="74" t="str">
        <f>IFERROR(HYPERLINK(VLOOKUP(A259,ÜRÜNLER!A:C,3,FALSE),VLOOKUP(A259,ÜRÜNLER!A:B,2,FALSE)),"")</f>
        <v>iQ300 Düz Davlumbaz, 75cm, 454m3, Siyah/Inox</v>
      </c>
      <c r="C259" s="10">
        <v>2</v>
      </c>
      <c r="D259" s="10"/>
      <c r="E259" s="11"/>
      <c r="F259" s="11"/>
      <c r="G259" s="12"/>
      <c r="H259" s="12"/>
      <c r="I259" s="13"/>
      <c r="J259" s="13"/>
      <c r="K259" s="144"/>
      <c r="L259" s="13"/>
      <c r="M259" s="13"/>
      <c r="N259" s="14">
        <f t="shared" si="8"/>
        <v>2</v>
      </c>
      <c r="O259" s="11"/>
      <c r="P259" s="15"/>
      <c r="Q259" s="133" t="s">
        <v>1347</v>
      </c>
      <c r="R259" s="24">
        <v>35000</v>
      </c>
      <c r="S259" s="17">
        <v>36400</v>
      </c>
      <c r="T259" s="18"/>
      <c r="U259" s="18"/>
      <c r="V259" s="22"/>
    </row>
    <row r="260" spans="1:22">
      <c r="A260" s="85" t="s">
        <v>262</v>
      </c>
      <c r="B260" s="74" t="str">
        <f>IFERROR(HYPERLINK(VLOOKUP(A260,ÜRÜNLER!A:C,3,FALSE),VLOOKUP(A260,ÜRÜNLER!A:B,2,FALSE)),"")</f>
        <v>iQ700 Eğimli Davlumbaz, 90cm, 441m3, Siyah Cam</v>
      </c>
      <c r="C260" s="10">
        <v>1</v>
      </c>
      <c r="D260" s="10"/>
      <c r="E260" s="11"/>
      <c r="F260" s="11"/>
      <c r="G260" s="12"/>
      <c r="H260" s="12"/>
      <c r="I260" s="13"/>
      <c r="J260" s="13"/>
      <c r="K260" s="144"/>
      <c r="L260" s="13"/>
      <c r="M260" s="13"/>
      <c r="N260" s="14">
        <f t="shared" si="8"/>
        <v>1</v>
      </c>
      <c r="O260" s="11">
        <v>3</v>
      </c>
      <c r="P260" s="15"/>
      <c r="Q260" s="75">
        <v>53660.013935333045</v>
      </c>
      <c r="R260" s="65">
        <v>50977.013238566389</v>
      </c>
      <c r="S260" s="17">
        <v>53016.093768109044</v>
      </c>
      <c r="T260" s="18"/>
      <c r="U260" s="18"/>
      <c r="V260" s="22"/>
    </row>
    <row r="261" spans="1:22">
      <c r="A261" s="85" t="s">
        <v>263</v>
      </c>
      <c r="B261" s="74" t="str">
        <f>IFERROR(HYPERLINK(VLOOKUP(A261,ÜRÜNLER!A:C,3,FALSE),VLOOKUP(A261,ÜRÜNLER!A:B,2,FALSE)),"")</f>
        <v>iQ700 studioLine Eğimli Davlumbaz, 90cm, 441m3, Siyah Cam</v>
      </c>
      <c r="C261" s="10"/>
      <c r="D261" s="10">
        <v>2</v>
      </c>
      <c r="E261" s="11"/>
      <c r="F261" s="11"/>
      <c r="G261" s="12"/>
      <c r="H261" s="12"/>
      <c r="I261" s="13"/>
      <c r="J261" s="13"/>
      <c r="K261" s="144"/>
      <c r="L261" s="13"/>
      <c r="M261" s="13"/>
      <c r="N261" s="14">
        <f t="shared" si="8"/>
        <v>2</v>
      </c>
      <c r="O261" s="11"/>
      <c r="P261" s="15"/>
      <c r="Q261" s="75">
        <v>79664.143496936216</v>
      </c>
      <c r="R261" s="33">
        <v>74087.653452150684</v>
      </c>
      <c r="S261" s="17">
        <v>77051.159590236712</v>
      </c>
      <c r="T261" s="18"/>
      <c r="U261" s="18"/>
      <c r="V261" s="154">
        <v>500</v>
      </c>
    </row>
    <row r="262" spans="1:22">
      <c r="A262" s="85" t="s">
        <v>264</v>
      </c>
      <c r="B262" s="74" t="str">
        <f>IFERROR(HYPERLINK(VLOOKUP(A262,ÜRÜNLER!A:C,3,FALSE),VLOOKUP(A262,ÜRÜNLER!A:B,2,FALSE)),"")</f>
        <v>iQ100 Düz Davlumbaz, 90cm, 616m3, Inox</v>
      </c>
      <c r="C262" s="10">
        <v>3</v>
      </c>
      <c r="D262" s="10"/>
      <c r="E262" s="11"/>
      <c r="F262" s="11"/>
      <c r="G262" s="12"/>
      <c r="H262" s="12"/>
      <c r="I262" s="13"/>
      <c r="J262" s="13">
        <v>1</v>
      </c>
      <c r="K262" s="144"/>
      <c r="L262" s="13"/>
      <c r="M262" s="13"/>
      <c r="N262" s="14">
        <f t="shared" si="8"/>
        <v>4</v>
      </c>
      <c r="O262" s="11"/>
      <c r="P262" s="15"/>
      <c r="Q262" s="75">
        <v>21421.358441741868</v>
      </c>
      <c r="R262" s="65">
        <v>20350.290519654773</v>
      </c>
      <c r="S262" s="17">
        <v>21164.302140440963</v>
      </c>
      <c r="T262" s="18"/>
      <c r="U262" s="18"/>
      <c r="V262" s="22"/>
    </row>
    <row r="263" spans="1:22">
      <c r="A263" s="102" t="s">
        <v>265</v>
      </c>
      <c r="B263" s="74" t="str">
        <f>IFERROR(HYPERLINK(VLOOKUP(A263,ÜRÜNLER!A:C,3,FALSE),VLOOKUP(A263,ÜRÜNLER!A:B,2,FALSE)),"")</f>
        <v>iQ300 Düz Davlumbaz, 90cm, 649m3, Antrasit Gri Cam</v>
      </c>
      <c r="C263" s="10">
        <v>2</v>
      </c>
      <c r="D263" s="10"/>
      <c r="E263" s="11"/>
      <c r="F263" s="11"/>
      <c r="G263" s="12"/>
      <c r="H263" s="12"/>
      <c r="I263" s="13"/>
      <c r="J263" s="13"/>
      <c r="K263" s="144"/>
      <c r="L263" s="13"/>
      <c r="M263" s="13"/>
      <c r="N263" s="14">
        <f t="shared" si="8"/>
        <v>2</v>
      </c>
      <c r="O263" s="11"/>
      <c r="P263" s="15"/>
      <c r="Q263" s="75">
        <v>22587.832224418456</v>
      </c>
      <c r="R263" s="65">
        <v>21458.440613197534</v>
      </c>
      <c r="S263" s="17">
        <v>22316.778237725433</v>
      </c>
      <c r="T263" s="18"/>
      <c r="U263" s="18"/>
      <c r="V263" s="22"/>
    </row>
    <row r="264" spans="1:22">
      <c r="A264" s="89" t="s">
        <v>266</v>
      </c>
      <c r="B264" s="74" t="str">
        <f>IFERROR(HYPERLINK(VLOOKUP(A264,ÜRÜNLER!A:C,3,FALSE),VLOOKUP(A264,ÜRÜNLER!A:B,2,FALSE)),"")</f>
        <v>iQ300 Düz Davlumbaz, 90cm, 649m3, Beyaz Cam</v>
      </c>
      <c r="C264" s="10">
        <v>16</v>
      </c>
      <c r="D264" s="10"/>
      <c r="E264" s="11"/>
      <c r="F264" s="11"/>
      <c r="G264" s="12"/>
      <c r="H264" s="12"/>
      <c r="I264" s="13"/>
      <c r="J264" s="13"/>
      <c r="K264" s="144"/>
      <c r="L264" s="13"/>
      <c r="M264" s="13"/>
      <c r="N264" s="14">
        <f t="shared" si="8"/>
        <v>16</v>
      </c>
      <c r="O264" s="11"/>
      <c r="P264" s="15"/>
      <c r="Q264" s="75">
        <v>22587.832224418456</v>
      </c>
      <c r="R264" s="65">
        <v>21458.440613197534</v>
      </c>
      <c r="S264" s="17">
        <v>22316.778237725433</v>
      </c>
      <c r="T264" s="18"/>
      <c r="U264" s="18"/>
      <c r="V264" s="22"/>
    </row>
    <row r="265" spans="1:22">
      <c r="A265" s="97" t="s">
        <v>267</v>
      </c>
      <c r="B265" s="74" t="str">
        <f>IFERROR(HYPERLINK(VLOOKUP(A265,ÜRÜNLER!A:C,3,FALSE),VLOOKUP(A265,ÜRÜNLER!A:B,2,FALSE)),"")</f>
        <v>iQ300 Düz Davlumbaz, 90cm, 649m3, Titanyum Gri Cam</v>
      </c>
      <c r="C265" s="10">
        <v>3</v>
      </c>
      <c r="D265" s="10"/>
      <c r="E265" s="11"/>
      <c r="F265" s="11"/>
      <c r="G265" s="12"/>
      <c r="H265" s="12"/>
      <c r="I265" s="13">
        <v>1</v>
      </c>
      <c r="J265" s="13"/>
      <c r="K265" s="144"/>
      <c r="L265" s="13"/>
      <c r="M265" s="13"/>
      <c r="N265" s="14">
        <f t="shared" si="8"/>
        <v>4</v>
      </c>
      <c r="O265" s="11"/>
      <c r="P265" s="15"/>
      <c r="Q265" s="133" t="s">
        <v>1347</v>
      </c>
      <c r="R265" s="24">
        <v>29999</v>
      </c>
      <c r="S265" s="17">
        <v>31198.959999999999</v>
      </c>
      <c r="T265" s="18"/>
      <c r="U265" s="18"/>
      <c r="V265" s="22"/>
    </row>
    <row r="266" spans="1:22">
      <c r="A266" s="85" t="s">
        <v>268</v>
      </c>
      <c r="B266" s="74" t="str">
        <f>IFERROR(HYPERLINK(VLOOKUP(A266,ÜRÜNLER!A:C,3,FALSE),VLOOKUP(A266,ÜRÜNLER!A:B,2,FALSE)),"")</f>
        <v>iQ300 Eğimli Davlumbaz, 90cm, 629m3, Beyaz Cam</v>
      </c>
      <c r="C266" s="10">
        <v>20</v>
      </c>
      <c r="D266" s="10"/>
      <c r="E266" s="11"/>
      <c r="F266" s="11"/>
      <c r="G266" s="12"/>
      <c r="H266" s="12"/>
      <c r="I266" s="13">
        <v>1</v>
      </c>
      <c r="J266" s="13">
        <v>1</v>
      </c>
      <c r="K266" s="144">
        <v>1</v>
      </c>
      <c r="L266" s="13"/>
      <c r="M266" s="13">
        <v>1</v>
      </c>
      <c r="N266" s="14">
        <f t="shared" si="8"/>
        <v>24</v>
      </c>
      <c r="O266" s="11"/>
      <c r="P266" s="15"/>
      <c r="Q266" s="133" t="s">
        <v>1347</v>
      </c>
      <c r="R266" s="24">
        <v>29999</v>
      </c>
      <c r="S266" s="17">
        <v>31198.959999999999</v>
      </c>
      <c r="T266" s="18">
        <v>523.33187705630189</v>
      </c>
      <c r="U266" s="18"/>
      <c r="V266" s="155">
        <v>500</v>
      </c>
    </row>
    <row r="267" spans="1:22">
      <c r="A267" s="85" t="s">
        <v>269</v>
      </c>
      <c r="B267" s="74" t="str">
        <f>IFERROR(HYPERLINK(VLOOKUP(A267,ÜRÜNLER!A:C,3,FALSE),VLOOKUP(A267,ÜRÜNLER!A:B,2,FALSE)),"")</f>
        <v>iQ300 Düz Davlumbaz, 90cm, 468m3, Inox</v>
      </c>
      <c r="C267" s="10">
        <v>4</v>
      </c>
      <c r="D267" s="10"/>
      <c r="E267" s="11"/>
      <c r="F267" s="11"/>
      <c r="G267" s="12"/>
      <c r="H267" s="12"/>
      <c r="I267" s="13"/>
      <c r="J267" s="13"/>
      <c r="K267" s="144"/>
      <c r="L267" s="13"/>
      <c r="M267" s="13"/>
      <c r="N267" s="14">
        <f t="shared" si="8"/>
        <v>4</v>
      </c>
      <c r="O267" s="11"/>
      <c r="P267" s="15"/>
      <c r="Q267" s="75">
        <v>34187.397153510559</v>
      </c>
      <c r="R267" s="65">
        <v>32478.027295835032</v>
      </c>
      <c r="S267" s="17">
        <v>33777.148387668436</v>
      </c>
      <c r="T267" s="18"/>
      <c r="U267" s="18"/>
      <c r="V267" s="22"/>
    </row>
    <row r="268" spans="1:22">
      <c r="A268" s="85" t="s">
        <v>270</v>
      </c>
      <c r="B268" s="74" t="str">
        <f>IFERROR(HYPERLINK(VLOOKUP(A268,ÜRÜNLER!A:C,3,FALSE),VLOOKUP(A268,ÜRÜNLER!A:B,2,FALSE)),"")</f>
        <v>iQ500 Düz Davlumbaz, 90cm, 394m3, Siyah Cam</v>
      </c>
      <c r="C268" s="10">
        <v>4</v>
      </c>
      <c r="D268" s="10"/>
      <c r="E268" s="11"/>
      <c r="F268" s="11"/>
      <c r="G268" s="12"/>
      <c r="H268" s="12"/>
      <c r="I268" s="13"/>
      <c r="J268" s="13"/>
      <c r="K268" s="144"/>
      <c r="L268" s="13"/>
      <c r="M268" s="13"/>
      <c r="N268" s="14">
        <f t="shared" si="8"/>
        <v>4</v>
      </c>
      <c r="O268" s="11"/>
      <c r="P268" s="15"/>
      <c r="Q268" s="133" t="s">
        <v>1347</v>
      </c>
      <c r="R268" s="24">
        <v>49999</v>
      </c>
      <c r="S268" s="17">
        <v>51998.96</v>
      </c>
      <c r="T268" s="18"/>
      <c r="U268" s="18"/>
      <c r="V268" s="22"/>
    </row>
    <row r="269" spans="1:22">
      <c r="A269" s="85" t="s">
        <v>271</v>
      </c>
      <c r="B269" s="74" t="str">
        <f>IFERROR(HYPERLINK(VLOOKUP(A269,ÜRÜNLER!A:C,3,FALSE),VLOOKUP(A269,ÜRÜNLER!A:B,2,FALSE)),"")</f>
        <v>iQ700 Düz Davlumbaz, 90cm, 394m3, Siyah Cam</v>
      </c>
      <c r="C269" s="10">
        <v>3</v>
      </c>
      <c r="D269" s="10"/>
      <c r="E269" s="11"/>
      <c r="F269" s="11"/>
      <c r="G269" s="12"/>
      <c r="H269" s="12"/>
      <c r="I269" s="13"/>
      <c r="J269" s="13"/>
      <c r="K269" s="144"/>
      <c r="L269" s="13"/>
      <c r="M269" s="13"/>
      <c r="N269" s="14">
        <f t="shared" si="8"/>
        <v>3</v>
      </c>
      <c r="O269" s="11"/>
      <c r="P269" s="15"/>
      <c r="Q269" s="133" t="s">
        <v>1347</v>
      </c>
      <c r="R269" s="24">
        <v>49999</v>
      </c>
      <c r="S269" s="17">
        <v>51998.96</v>
      </c>
      <c r="T269" s="18"/>
      <c r="U269" s="18"/>
      <c r="V269" s="22"/>
    </row>
    <row r="270" spans="1:22">
      <c r="A270" s="85" t="s">
        <v>272</v>
      </c>
      <c r="B270" s="74" t="str">
        <f>IFERROR(HYPERLINK(VLOOKUP(A270,ÜRÜNLER!A:C,3,FALSE),VLOOKUP(A270,ÜRÜNLER!A:B,2,FALSE)),"")</f>
        <v>iQ700 Düz Davlumbaz, 90cm, 394m3, Siyah Cam</v>
      </c>
      <c r="C270" s="10">
        <v>1</v>
      </c>
      <c r="D270" s="10"/>
      <c r="E270" s="11"/>
      <c r="F270" s="11"/>
      <c r="G270" s="12"/>
      <c r="H270" s="12"/>
      <c r="I270" s="13"/>
      <c r="J270" s="13">
        <v>1</v>
      </c>
      <c r="K270" s="144"/>
      <c r="L270" s="13"/>
      <c r="M270" s="13"/>
      <c r="N270" s="14">
        <f t="shared" si="8"/>
        <v>2</v>
      </c>
      <c r="O270" s="11"/>
      <c r="P270" s="15"/>
      <c r="Q270" s="133" t="s">
        <v>1347</v>
      </c>
      <c r="R270" s="24">
        <v>49999</v>
      </c>
      <c r="S270" s="17">
        <v>51998.96</v>
      </c>
      <c r="T270" s="18"/>
      <c r="U270" s="18"/>
      <c r="V270" s="22"/>
    </row>
    <row r="271" spans="1:22">
      <c r="A271" s="100" t="s">
        <v>273</v>
      </c>
      <c r="B271" s="74" t="str">
        <f>IFERROR(HYPERLINK(VLOOKUP(A271,ÜRÜNLER!A:C,3,FALSE),VLOOKUP(A271,ÜRÜNLER!A:B,2,FALSE)),"")</f>
        <v>iQ500 Eğimli Davlumbaz, 90cm, 510m3, Beyaz Cam</v>
      </c>
      <c r="C271" s="10">
        <v>3</v>
      </c>
      <c r="D271" s="10"/>
      <c r="E271" s="11"/>
      <c r="F271" s="11"/>
      <c r="G271" s="12"/>
      <c r="H271" s="12"/>
      <c r="I271" s="13"/>
      <c r="J271" s="13"/>
      <c r="K271" s="144"/>
      <c r="L271" s="13"/>
      <c r="M271" s="13"/>
      <c r="N271" s="14">
        <f t="shared" si="8"/>
        <v>3</v>
      </c>
      <c r="O271" s="11"/>
      <c r="P271" s="15"/>
      <c r="Q271" s="75">
        <v>27030.669753203663</v>
      </c>
      <c r="R271" s="65">
        <v>25679.136265543479</v>
      </c>
      <c r="S271" s="17">
        <v>26706.301716165217</v>
      </c>
      <c r="T271" s="18"/>
      <c r="U271" s="18"/>
      <c r="V271" s="22"/>
    </row>
    <row r="272" spans="1:22">
      <c r="A272" s="94" t="s">
        <v>274</v>
      </c>
      <c r="B272" s="74" t="str">
        <f>IFERROR(HYPERLINK(VLOOKUP(A272,ÜRÜNLER!A:C,3,FALSE),VLOOKUP(A272,ÜRÜNLER!A:B,2,FALSE)),"")</f>
        <v>iQ500 Eğimli Davlumbaz, 90cm, 510m3, Siyah Cam</v>
      </c>
      <c r="C272" s="10">
        <v>2</v>
      </c>
      <c r="D272" s="10"/>
      <c r="E272" s="11"/>
      <c r="F272" s="11"/>
      <c r="G272" s="12"/>
      <c r="H272" s="12"/>
      <c r="I272" s="13"/>
      <c r="J272" s="13"/>
      <c r="K272" s="144"/>
      <c r="L272" s="13"/>
      <c r="M272" s="13"/>
      <c r="N272" s="14">
        <f t="shared" si="8"/>
        <v>2</v>
      </c>
      <c r="O272" s="11"/>
      <c r="P272" s="15"/>
      <c r="Q272" s="75">
        <v>27030.669753203663</v>
      </c>
      <c r="R272" s="65">
        <v>25679.136265543479</v>
      </c>
      <c r="S272" s="17">
        <v>26706.301716165217</v>
      </c>
      <c r="T272" s="18"/>
      <c r="U272" s="18"/>
      <c r="V272" s="22"/>
    </row>
    <row r="273" spans="1:22">
      <c r="A273" s="97" t="s">
        <v>275</v>
      </c>
      <c r="B273" s="74" t="str">
        <f>IFERROR(HYPERLINK(VLOOKUP(A273,ÜRÜNLER!A:C,3,FALSE),VLOOKUP(A273,ÜRÜNLER!A:B,2,FALSE)),"")</f>
        <v>iQ500 Eğimli Davlumbaz, 90cm, 510m3, Antrasit Gri Cam</v>
      </c>
      <c r="C273" s="10">
        <v>6</v>
      </c>
      <c r="D273" s="10"/>
      <c r="E273" s="11"/>
      <c r="F273" s="11"/>
      <c r="G273" s="12"/>
      <c r="H273" s="12"/>
      <c r="I273" s="13"/>
      <c r="J273" s="13"/>
      <c r="K273" s="144"/>
      <c r="L273" s="13"/>
      <c r="M273" s="13"/>
      <c r="N273" s="14">
        <f t="shared" si="8"/>
        <v>6</v>
      </c>
      <c r="O273" s="11"/>
      <c r="P273" s="15"/>
      <c r="Q273" s="75">
        <v>27030.669753203663</v>
      </c>
      <c r="R273" s="65">
        <v>25679.136265543479</v>
      </c>
      <c r="S273" s="17">
        <v>26706.301716165217</v>
      </c>
      <c r="T273" s="18"/>
      <c r="U273" s="18"/>
      <c r="V273" s="22"/>
    </row>
    <row r="274" spans="1:22">
      <c r="A274" s="85" t="s">
        <v>276</v>
      </c>
      <c r="B274" s="74" t="str">
        <f>IFERROR(HYPERLINK(VLOOKUP(A274,ÜRÜNLER!A:C,3,FALSE),VLOOKUP(A274,ÜRÜNLER!A:B,2,FALSE)),"")</f>
        <v>iQ500 Düz Davlumbaz, 90cm, 430m3, Inox</v>
      </c>
      <c r="C274" s="10">
        <v>2</v>
      </c>
      <c r="D274" s="10"/>
      <c r="E274" s="11"/>
      <c r="F274" s="11"/>
      <c r="G274" s="12"/>
      <c r="H274" s="12"/>
      <c r="I274" s="13"/>
      <c r="J274" s="13"/>
      <c r="K274" s="144"/>
      <c r="L274" s="13"/>
      <c r="M274" s="13"/>
      <c r="N274" s="14">
        <f t="shared" si="8"/>
        <v>2</v>
      </c>
      <c r="O274" s="11"/>
      <c r="P274" s="15"/>
      <c r="Q274" s="133" t="s">
        <v>1347</v>
      </c>
      <c r="R274" s="24">
        <v>30000</v>
      </c>
      <c r="S274" s="17">
        <v>31200</v>
      </c>
      <c r="T274" s="18"/>
      <c r="U274" s="18"/>
      <c r="V274" s="22"/>
    </row>
    <row r="275" spans="1:22">
      <c r="A275" s="85" t="s">
        <v>277</v>
      </c>
      <c r="B275" s="74" t="str">
        <f>IFERROR(HYPERLINK(VLOOKUP(A275,ÜRÜNLER!A:C,3,FALSE),VLOOKUP(A275,ÜRÜNLER!A:B,2,FALSE)),"")</f>
        <v>iQ500 Eğimli Davlumbaz, 90cm, 370m3, Cam Dekorlu Inox</v>
      </c>
      <c r="C275" s="10">
        <v>7</v>
      </c>
      <c r="D275" s="10"/>
      <c r="E275" s="11"/>
      <c r="F275" s="11"/>
      <c r="G275" s="12"/>
      <c r="H275" s="12"/>
      <c r="I275" s="13"/>
      <c r="J275" s="13"/>
      <c r="K275" s="144"/>
      <c r="L275" s="13"/>
      <c r="M275" s="13"/>
      <c r="N275" s="14">
        <f t="shared" si="8"/>
        <v>7</v>
      </c>
      <c r="O275" s="11"/>
      <c r="P275" s="15"/>
      <c r="Q275" s="133" t="s">
        <v>1347</v>
      </c>
      <c r="R275" s="24">
        <v>30000</v>
      </c>
      <c r="S275" s="17">
        <v>31200</v>
      </c>
      <c r="T275" s="18"/>
      <c r="U275" s="18"/>
      <c r="V275" s="22"/>
    </row>
    <row r="276" spans="1:22">
      <c r="A276" s="94" t="s">
        <v>278</v>
      </c>
      <c r="B276" s="74" t="str">
        <f>IFERROR(HYPERLINK(VLOOKUP(A276,ÜRÜNLER!A:C,3,FALSE),VLOOKUP(A276,ÜRÜNLER!A:B,2,FALSE)),"")</f>
        <v>iQ500 Eğimli Davlumbaz, 90cm, 468m3, Siyah Cam</v>
      </c>
      <c r="C276" s="10"/>
      <c r="D276" s="10"/>
      <c r="E276" s="11"/>
      <c r="F276" s="11"/>
      <c r="G276" s="12"/>
      <c r="H276" s="12">
        <v>1</v>
      </c>
      <c r="I276" s="13"/>
      <c r="J276" s="13"/>
      <c r="K276" s="144"/>
      <c r="L276" s="13"/>
      <c r="M276" s="13"/>
      <c r="N276" s="14">
        <f t="shared" si="8"/>
        <v>1</v>
      </c>
      <c r="O276" s="11"/>
      <c r="P276" s="15"/>
      <c r="Q276" s="133" t="s">
        <v>1347</v>
      </c>
      <c r="R276" s="24">
        <v>149999</v>
      </c>
      <c r="S276" s="17">
        <v>155998.96</v>
      </c>
      <c r="T276" s="18"/>
      <c r="U276" s="18"/>
      <c r="V276" s="22">
        <v>250</v>
      </c>
    </row>
    <row r="277" spans="1:22">
      <c r="A277" s="94" t="s">
        <v>279</v>
      </c>
      <c r="B277" s="74" t="str">
        <f>IFERROR(HYPERLINK(VLOOKUP(A277,ÜRÜNLER!A:C,3,FALSE),VLOOKUP(A277,ÜRÜNLER!A:B,2,FALSE)),"")</f>
        <v>iQ700 studioLine Tavan Tipi Davlumbaz, 105cm, Siyah</v>
      </c>
      <c r="C277" s="10"/>
      <c r="D277" s="10">
        <v>8</v>
      </c>
      <c r="E277" s="11"/>
      <c r="F277" s="11"/>
      <c r="G277" s="12"/>
      <c r="H277" s="12">
        <v>1</v>
      </c>
      <c r="I277" s="13"/>
      <c r="J277" s="13"/>
      <c r="K277" s="144"/>
      <c r="L277" s="13"/>
      <c r="M277" s="13"/>
      <c r="N277" s="14">
        <f t="shared" si="8"/>
        <v>9</v>
      </c>
      <c r="O277" s="11"/>
      <c r="P277" s="15"/>
      <c r="Q277" s="75">
        <v>259257.06697947497</v>
      </c>
      <c r="R277" s="33">
        <v>220368.50693255372</v>
      </c>
      <c r="S277" s="17">
        <v>229183.24720985588</v>
      </c>
      <c r="T277" s="18"/>
      <c r="U277" s="18"/>
      <c r="V277" s="19">
        <v>500</v>
      </c>
    </row>
    <row r="278" spans="1:22">
      <c r="A278" s="85" t="s">
        <v>280</v>
      </c>
      <c r="B278" s="74" t="str">
        <f>IFERROR(HYPERLINK(VLOOKUP(A278,ÜRÜNLER!A:C,3,FALSE),VLOOKUP(A278,ÜRÜNLER!A:B,2,FALSE)),"")</f>
        <v>iQ700 studioLine Tezgaha Entegre Davlumbaz, 80cm, Siyah/Cam</v>
      </c>
      <c r="C278" s="10"/>
      <c r="D278" s="10">
        <v>2</v>
      </c>
      <c r="E278" s="11"/>
      <c r="F278" s="11"/>
      <c r="G278" s="12"/>
      <c r="H278" s="12">
        <v>1</v>
      </c>
      <c r="I278" s="13"/>
      <c r="J278" s="13"/>
      <c r="K278" s="144"/>
      <c r="L278" s="13"/>
      <c r="M278" s="13"/>
      <c r="N278" s="14">
        <f t="shared" si="8"/>
        <v>3</v>
      </c>
      <c r="O278" s="11"/>
      <c r="P278" s="15"/>
      <c r="Q278" s="75">
        <v>143951.17233670229</v>
      </c>
      <c r="R278" s="33">
        <v>133874.59027313313</v>
      </c>
      <c r="S278" s="17">
        <v>139229.57388405845</v>
      </c>
      <c r="T278" s="18"/>
      <c r="U278" s="18"/>
      <c r="V278" s="19">
        <v>500</v>
      </c>
    </row>
    <row r="279" spans="1:22">
      <c r="A279" s="103" t="s">
        <v>281</v>
      </c>
      <c r="B279" s="74" t="str">
        <f>IFERROR(HYPERLINK(VLOOKUP(A279,ÜRÜNLER!A:C,3,FALSE),VLOOKUP(A279,ÜRÜNLER!A:B,2,FALSE)),"")</f>
        <v>iQ300 Ada Tipi Davlumbaz, 90cm, 438m3, Inox</v>
      </c>
      <c r="C279" s="10">
        <v>3</v>
      </c>
      <c r="D279" s="10"/>
      <c r="E279" s="11"/>
      <c r="F279" s="11"/>
      <c r="G279" s="12"/>
      <c r="H279" s="12"/>
      <c r="I279" s="13">
        <v>1</v>
      </c>
      <c r="J279" s="13"/>
      <c r="K279" s="144">
        <v>2</v>
      </c>
      <c r="L279" s="13"/>
      <c r="M279" s="13"/>
      <c r="N279" s="14">
        <f t="shared" si="8"/>
        <v>6</v>
      </c>
      <c r="O279" s="11"/>
      <c r="P279" s="15"/>
      <c r="Q279" s="75">
        <v>49770.49013123101</v>
      </c>
      <c r="R279" s="65">
        <v>47281.965624669458</v>
      </c>
      <c r="S279" s="17">
        <v>49173.244249656236</v>
      </c>
      <c r="T279" s="18"/>
      <c r="U279" s="18"/>
      <c r="V279" s="22"/>
    </row>
    <row r="280" spans="1:22">
      <c r="A280" s="103" t="s">
        <v>282</v>
      </c>
      <c r="B280" s="74" t="str">
        <f>IFERROR(HYPERLINK(VLOOKUP(A280,ÜRÜNLER!A:C,3,FALSE),VLOOKUP(A280,ÜRÜNLER!A:B,2,FALSE)),"")</f>
        <v>iQ500 studioLine Ada Tipi Davlumbaz, 90cm, Inox</v>
      </c>
      <c r="C280" s="10"/>
      <c r="D280" s="10">
        <v>4</v>
      </c>
      <c r="E280" s="11"/>
      <c r="F280" s="11"/>
      <c r="G280" s="12"/>
      <c r="H280" s="12">
        <v>1</v>
      </c>
      <c r="I280" s="13"/>
      <c r="J280" s="13"/>
      <c r="K280" s="144"/>
      <c r="L280" s="13"/>
      <c r="M280" s="13"/>
      <c r="N280" s="14">
        <f t="shared" si="8"/>
        <v>5</v>
      </c>
      <c r="O280" s="11"/>
      <c r="P280" s="15"/>
      <c r="Q280" s="75">
        <v>84447.261491362675</v>
      </c>
      <c r="R280" s="33">
        <v>78535.953186967294</v>
      </c>
      <c r="S280" s="17">
        <v>81677.39131444598</v>
      </c>
      <c r="T280" s="18"/>
      <c r="U280" s="18"/>
      <c r="V280" s="19">
        <v>500</v>
      </c>
    </row>
    <row r="281" spans="1:22">
      <c r="A281" s="86" t="s">
        <v>283</v>
      </c>
      <c r="B281" s="74" t="str">
        <f>IFERROR(HYPERLINK(VLOOKUP(A281,ÜRÜNLER!A:C,3,FALSE),VLOOKUP(A281,ÜRÜNLER!A:B,2,FALSE)),"")</f>
        <v>iQ100 Teleskopik Aspiratör, 60cm, 310m3, Gümüş</v>
      </c>
      <c r="C281" s="10">
        <v>11</v>
      </c>
      <c r="D281" s="10"/>
      <c r="E281" s="11"/>
      <c r="F281" s="11"/>
      <c r="G281" s="12"/>
      <c r="H281" s="12"/>
      <c r="I281" s="13"/>
      <c r="J281" s="13"/>
      <c r="K281" s="144"/>
      <c r="L281" s="13"/>
      <c r="M281" s="13"/>
      <c r="N281" s="14">
        <f t="shared" si="8"/>
        <v>11</v>
      </c>
      <c r="O281" s="11"/>
      <c r="P281" s="15"/>
      <c r="Q281" s="75">
        <v>6857.5955953248704</v>
      </c>
      <c r="R281" s="65">
        <v>6514.7158155586267</v>
      </c>
      <c r="S281" s="17">
        <v>6775.304448180972</v>
      </c>
      <c r="T281" s="18"/>
      <c r="U281" s="18"/>
      <c r="V281" s="22"/>
    </row>
    <row r="282" spans="1:22">
      <c r="A282" s="86" t="s">
        <v>284</v>
      </c>
      <c r="B282" s="74" t="str">
        <f>IFERROR(HYPERLINK(VLOOKUP(A282,ÜRÜNLER!A:C,3,FALSE),VLOOKUP(A282,ÜRÜNLER!A:B,2,FALSE)),"")</f>
        <v>iQ100 Teleskopik Aspiratör, 60cm, 310m3, Beyaz</v>
      </c>
      <c r="C282" s="10">
        <v>13</v>
      </c>
      <c r="D282" s="10"/>
      <c r="E282" s="11"/>
      <c r="F282" s="11"/>
      <c r="G282" s="12"/>
      <c r="H282" s="12"/>
      <c r="I282" s="13"/>
      <c r="J282" s="13"/>
      <c r="K282" s="144"/>
      <c r="L282" s="13"/>
      <c r="M282" s="13"/>
      <c r="N282" s="14">
        <f t="shared" si="8"/>
        <v>13</v>
      </c>
      <c r="O282" s="11"/>
      <c r="P282" s="15"/>
      <c r="Q282" s="75">
        <v>6859.5245524813126</v>
      </c>
      <c r="R282" s="65">
        <v>6516.5483248572473</v>
      </c>
      <c r="S282" s="17">
        <v>6777.2102578515369</v>
      </c>
      <c r="T282" s="18"/>
      <c r="U282" s="18"/>
      <c r="V282" s="22"/>
    </row>
    <row r="283" spans="1:22">
      <c r="A283" s="82" t="s">
        <v>285</v>
      </c>
      <c r="B283" s="74" t="str">
        <f>IFERROR(HYPERLINK(VLOOKUP(A283,ÜRÜNLER!A:C,3,FALSE),VLOOKUP(A283,ÜRÜNLER!A:B,2,FALSE)),"")</f>
        <v>iQ500 Gömme Aspiratör, 52cm, 570m3, Inox</v>
      </c>
      <c r="C283" s="10">
        <v>4</v>
      </c>
      <c r="D283" s="10"/>
      <c r="E283" s="11"/>
      <c r="F283" s="11"/>
      <c r="G283" s="12"/>
      <c r="H283" s="12"/>
      <c r="I283" s="13"/>
      <c r="J283" s="13"/>
      <c r="K283" s="144"/>
      <c r="L283" s="13"/>
      <c r="M283" s="13"/>
      <c r="N283" s="14">
        <f t="shared" si="8"/>
        <v>4</v>
      </c>
      <c r="O283" s="11"/>
      <c r="P283" s="15"/>
      <c r="Q283" s="75">
        <v>26003.359401716672</v>
      </c>
      <c r="R283" s="65">
        <v>24703.191431630839</v>
      </c>
      <c r="S283" s="17">
        <v>25691.319088896074</v>
      </c>
      <c r="T283" s="18"/>
      <c r="U283" s="18"/>
      <c r="V283" s="22"/>
    </row>
    <row r="284" spans="1:22">
      <c r="A284" s="86" t="s">
        <v>286</v>
      </c>
      <c r="B284" s="74" t="str">
        <f>IFERROR(HYPERLINK(VLOOKUP(A284,ÜRÜNLER!A:C,3,FALSE),VLOOKUP(A284,ÜRÜNLER!A:B,2,FALSE)),"")</f>
        <v>iQ100 Gömme Aspiratör, 53cm, 302m3, Gri</v>
      </c>
      <c r="C284" s="10">
        <v>9</v>
      </c>
      <c r="D284" s="10"/>
      <c r="E284" s="11"/>
      <c r="F284" s="11"/>
      <c r="G284" s="12"/>
      <c r="H284" s="12"/>
      <c r="I284" s="13"/>
      <c r="J284" s="13"/>
      <c r="K284" s="144"/>
      <c r="L284" s="13"/>
      <c r="M284" s="13"/>
      <c r="N284" s="14">
        <f t="shared" si="8"/>
        <v>9</v>
      </c>
      <c r="O284" s="11"/>
      <c r="P284" s="15"/>
      <c r="Q284" s="75">
        <v>10305.513309504971</v>
      </c>
      <c r="R284" s="65">
        <v>9790.237644029723</v>
      </c>
      <c r="S284" s="17">
        <v>10181.847149790912</v>
      </c>
      <c r="T284" s="18"/>
      <c r="U284" s="18"/>
      <c r="V284" s="22"/>
    </row>
    <row r="285" spans="1:22">
      <c r="A285" s="83" t="s">
        <v>287</v>
      </c>
      <c r="B285" s="74" t="str">
        <f>IFERROR(HYPERLINK(VLOOKUP(A285,ÜRÜNLER!A:C,3,FALSE),VLOOKUP(A285,ÜRÜNLER!A:B,2,FALSE)),"")</f>
        <v>iQ700 Gömme Aspiratör, 86cm, 595m3, Siyah</v>
      </c>
      <c r="C285" s="10">
        <v>4</v>
      </c>
      <c r="D285" s="10"/>
      <c r="E285" s="11"/>
      <c r="F285" s="11"/>
      <c r="G285" s="12"/>
      <c r="H285" s="12"/>
      <c r="I285" s="13"/>
      <c r="J285" s="13"/>
      <c r="K285" s="144"/>
      <c r="L285" s="13"/>
      <c r="M285" s="13"/>
      <c r="N285" s="14">
        <f t="shared" si="8"/>
        <v>4</v>
      </c>
      <c r="O285" s="11"/>
      <c r="P285" s="15"/>
      <c r="Q285" s="75">
        <v>39605.303567268835</v>
      </c>
      <c r="R285" s="65">
        <v>37625.038388905392</v>
      </c>
      <c r="S285" s="17">
        <v>39130.039924461606</v>
      </c>
      <c r="T285" s="18"/>
      <c r="U285" s="18"/>
      <c r="V285" s="22"/>
    </row>
    <row r="286" spans="1:22">
      <c r="A286" s="86" t="s">
        <v>288</v>
      </c>
      <c r="B286" s="74" t="str">
        <f>IFERROR(HYPERLINK(VLOOKUP(A286,ÜRÜNLER!A:C,3,FALSE),VLOOKUP(A286,ÜRÜNLER!A:B,2,FALSE)),"")</f>
        <v>iQ500 Gömme Aspiratör, 86cm, 600m3, Inox</v>
      </c>
      <c r="C286" s="10">
        <v>4</v>
      </c>
      <c r="D286" s="10"/>
      <c r="E286" s="11"/>
      <c r="F286" s="11"/>
      <c r="G286" s="12"/>
      <c r="H286" s="12"/>
      <c r="I286" s="13"/>
      <c r="J286" s="13"/>
      <c r="K286" s="144"/>
      <c r="L286" s="13"/>
      <c r="M286" s="13"/>
      <c r="N286" s="14">
        <f t="shared" si="8"/>
        <v>4</v>
      </c>
      <c r="O286" s="11"/>
      <c r="P286" s="15"/>
      <c r="Q286" s="75">
        <v>35364.568786334676</v>
      </c>
      <c r="R286" s="65">
        <v>33596.34034701794</v>
      </c>
      <c r="S286" s="17">
        <v>34940.193960898658</v>
      </c>
      <c r="T286" s="18"/>
      <c r="U286" s="18"/>
      <c r="V286" s="22"/>
    </row>
    <row r="287" spans="1:22" ht="30">
      <c r="A287" s="44" t="s">
        <v>289</v>
      </c>
      <c r="B287" s="74" t="str">
        <f>IFERROR(HYPERLINK(VLOOKUP(A287,ÜRÜNLER!A:C,3,FALSE),VLOOKUP(A287,ÜRÜNLER!A:B,2,FALSE)),"")</f>
        <v/>
      </c>
      <c r="C287" s="10"/>
      <c r="D287" s="10"/>
      <c r="E287" s="11"/>
      <c r="F287" s="11"/>
      <c r="G287" s="12"/>
      <c r="H287" s="12"/>
      <c r="I287" s="13"/>
      <c r="J287" s="13"/>
      <c r="K287" s="144"/>
      <c r="L287" s="13"/>
      <c r="M287" s="13"/>
      <c r="N287" s="14">
        <f>SUM(N231:N286)</f>
        <v>303</v>
      </c>
      <c r="O287" s="11"/>
      <c r="P287" s="11"/>
      <c r="Q287" s="133"/>
      <c r="R287" s="24"/>
      <c r="S287" s="17"/>
      <c r="T287" s="18"/>
      <c r="U287" s="18"/>
      <c r="V287" s="22"/>
    </row>
    <row r="288" spans="1:22">
      <c r="A288" s="104" t="s">
        <v>290</v>
      </c>
      <c r="B288" s="74" t="str">
        <f>IFERROR(HYPERLINK(VLOOKUP(A288,ÜRÜNLER!A:C,3,FALSE),VLOOKUP(A288,ÜRÜNLER!A:B,2,FALSE)),"")</f>
        <v>iQ100 Set Üstü Gazlı Ocak, 60cm, Beyaz</v>
      </c>
      <c r="C288" s="10"/>
      <c r="D288" s="10"/>
      <c r="E288" s="11"/>
      <c r="F288" s="11"/>
      <c r="G288" s="12"/>
      <c r="H288" s="12"/>
      <c r="I288" s="13">
        <v>1</v>
      </c>
      <c r="J288" s="13"/>
      <c r="K288" s="144">
        <v>1</v>
      </c>
      <c r="L288" s="13"/>
      <c r="M288" s="13"/>
      <c r="N288" s="14">
        <f t="shared" ref="N288:N349" si="9">SUM(C288:M288)</f>
        <v>2</v>
      </c>
      <c r="O288" s="11"/>
      <c r="P288" s="15" t="s">
        <v>17</v>
      </c>
      <c r="Q288" s="133" t="s">
        <v>1347</v>
      </c>
      <c r="R288" s="24">
        <v>9000</v>
      </c>
      <c r="S288" s="17">
        <v>9360</v>
      </c>
      <c r="T288" s="18"/>
      <c r="U288" s="18"/>
      <c r="V288" s="22">
        <v>250</v>
      </c>
    </row>
    <row r="289" spans="1:22">
      <c r="A289" s="104" t="s">
        <v>291</v>
      </c>
      <c r="B289" s="74" t="str">
        <f>IFERROR(HYPERLINK(VLOOKUP(A289,ÜRÜNLER!A:C,3,FALSE),VLOOKUP(A289,ÜRÜNLER!A:B,2,FALSE)),"")</f>
        <v>iQ100 Set Üstü Gazlı Ocak, 60cm, Inox</v>
      </c>
      <c r="C289" s="10"/>
      <c r="D289" s="10"/>
      <c r="E289" s="11"/>
      <c r="F289" s="11"/>
      <c r="G289" s="12"/>
      <c r="H289" s="12"/>
      <c r="I289" s="13">
        <v>1</v>
      </c>
      <c r="J289" s="13"/>
      <c r="K289" s="144">
        <v>1</v>
      </c>
      <c r="L289" s="13"/>
      <c r="M289" s="13"/>
      <c r="N289" s="14">
        <f t="shared" si="9"/>
        <v>2</v>
      </c>
      <c r="O289" s="11"/>
      <c r="P289" s="15" t="s">
        <v>17</v>
      </c>
      <c r="Q289" s="133" t="s">
        <v>1347</v>
      </c>
      <c r="R289" s="24">
        <v>9000</v>
      </c>
      <c r="S289" s="17">
        <v>9360</v>
      </c>
      <c r="T289" s="18"/>
      <c r="U289" s="18"/>
      <c r="V289" s="22">
        <v>250</v>
      </c>
    </row>
    <row r="290" spans="1:22">
      <c r="A290" s="88" t="s">
        <v>292</v>
      </c>
      <c r="B290" s="74" t="str">
        <f>IFERROR(HYPERLINK(VLOOKUP(A290,ÜRÜNLER!A:C,3,FALSE),VLOOKUP(A290,ÜRÜNLER!A:B,2,FALSE)),"")</f>
        <v>iQ100 Gazlı Ocak, 60cm, Emaye, Beyaz</v>
      </c>
      <c r="C290" s="10"/>
      <c r="D290" s="10"/>
      <c r="E290" s="11"/>
      <c r="F290" s="11"/>
      <c r="G290" s="12"/>
      <c r="H290" s="12"/>
      <c r="I290" s="13">
        <v>1</v>
      </c>
      <c r="J290" s="13"/>
      <c r="K290" s="144">
        <v>1</v>
      </c>
      <c r="L290" s="13"/>
      <c r="M290" s="13">
        <v>1</v>
      </c>
      <c r="N290" s="14">
        <f t="shared" si="9"/>
        <v>3</v>
      </c>
      <c r="O290" s="11"/>
      <c r="P290" s="15"/>
      <c r="Q290" s="133" t="s">
        <v>1347</v>
      </c>
      <c r="R290" s="24">
        <v>9000</v>
      </c>
      <c r="S290" s="17">
        <v>9360</v>
      </c>
      <c r="T290" s="18"/>
      <c r="U290" s="18"/>
      <c r="V290" s="22">
        <v>250</v>
      </c>
    </row>
    <row r="291" spans="1:22">
      <c r="A291" s="88" t="s">
        <v>293</v>
      </c>
      <c r="B291" s="74" t="str">
        <f>IFERROR(HYPERLINK(VLOOKUP(A291,ÜRÜNLER!A:C,3,FALSE),VLOOKUP(A291,ÜRÜNLER!A:B,2,FALSE)),"")</f>
        <v>iQ100 Gazlı/Elektrikli Ocak, 60cm, Inox</v>
      </c>
      <c r="C291" s="10">
        <v>3</v>
      </c>
      <c r="D291" s="10"/>
      <c r="E291" s="11"/>
      <c r="F291" s="11"/>
      <c r="G291" s="12"/>
      <c r="H291" s="12"/>
      <c r="I291" s="13"/>
      <c r="J291" s="13"/>
      <c r="K291" s="144"/>
      <c r="L291" s="13"/>
      <c r="M291" s="13"/>
      <c r="N291" s="14">
        <f t="shared" si="9"/>
        <v>3</v>
      </c>
      <c r="O291" s="11"/>
      <c r="P291" s="15"/>
      <c r="Q291" s="133" t="s">
        <v>1347</v>
      </c>
      <c r="R291" s="24">
        <v>9000</v>
      </c>
      <c r="S291" s="17">
        <v>9360</v>
      </c>
      <c r="T291" s="18"/>
      <c r="U291" s="18"/>
      <c r="V291" s="22">
        <v>250</v>
      </c>
    </row>
    <row r="292" spans="1:22">
      <c r="A292" s="88" t="s">
        <v>294</v>
      </c>
      <c r="B292" s="74" t="str">
        <f>IFERROR(HYPERLINK(VLOOKUP(A292,ÜRÜNLER!A:C,3,FALSE),VLOOKUP(A292,ÜRÜNLER!A:B,2,FALSE)),"")</f>
        <v>iQ100 Gazlı Ocak, 60cm, Emaye, Siyah</v>
      </c>
      <c r="C292" s="10"/>
      <c r="D292" s="10"/>
      <c r="E292" s="11"/>
      <c r="F292" s="11"/>
      <c r="G292" s="12"/>
      <c r="H292" s="12"/>
      <c r="I292" s="13"/>
      <c r="J292" s="13"/>
      <c r="K292" s="144">
        <v>1</v>
      </c>
      <c r="L292" s="13"/>
      <c r="M292" s="13"/>
      <c r="N292" s="14">
        <f t="shared" si="9"/>
        <v>1</v>
      </c>
      <c r="O292" s="11"/>
      <c r="P292" s="15"/>
      <c r="Q292" s="133" t="s">
        <v>1347</v>
      </c>
      <c r="R292" s="24">
        <v>9000</v>
      </c>
      <c r="S292" s="17">
        <v>9360</v>
      </c>
      <c r="T292" s="18"/>
      <c r="U292" s="18"/>
      <c r="V292" s="22">
        <v>250</v>
      </c>
    </row>
    <row r="293" spans="1:22">
      <c r="A293" s="104" t="s">
        <v>295</v>
      </c>
      <c r="B293" s="74" t="str">
        <f>IFERROR(HYPERLINK(VLOOKUP(A293,ÜRÜNLER!A:C,3,FALSE),VLOOKUP(A293,ÜRÜNLER!A:B,2,FALSE)),"")</f>
        <v>iQ500 Gazlı Ocak, 60cm, Inox, Döküm</v>
      </c>
      <c r="C293" s="10"/>
      <c r="D293" s="10"/>
      <c r="E293" s="11"/>
      <c r="F293" s="11"/>
      <c r="G293" s="12"/>
      <c r="H293" s="12"/>
      <c r="I293" s="13"/>
      <c r="J293" s="13"/>
      <c r="K293" s="144">
        <v>2</v>
      </c>
      <c r="L293" s="13"/>
      <c r="M293" s="13"/>
      <c r="N293" s="14">
        <f t="shared" si="9"/>
        <v>2</v>
      </c>
      <c r="O293" s="11"/>
      <c r="P293" s="15"/>
      <c r="Q293" s="133" t="s">
        <v>1347</v>
      </c>
      <c r="R293" s="24">
        <v>32000</v>
      </c>
      <c r="S293" s="17">
        <v>33280</v>
      </c>
      <c r="T293" s="18"/>
      <c r="U293" s="18"/>
      <c r="V293" s="22">
        <v>250</v>
      </c>
    </row>
    <row r="294" spans="1:22">
      <c r="A294" s="85" t="s">
        <v>297</v>
      </c>
      <c r="B294" s="74" t="str">
        <f>IFERROR(HYPERLINK(VLOOKUP(A294,ÜRÜNLER!A:C,3,FALSE),VLOOKUP(A294,ÜRÜNLER!A:B,2,FALSE)),"")</f>
        <v>iQ300 Gazlı Ocak, 60cm, Inox, Döküm</v>
      </c>
      <c r="C294" s="10"/>
      <c r="D294" s="10"/>
      <c r="E294" s="11"/>
      <c r="F294" s="11"/>
      <c r="G294" s="12"/>
      <c r="H294" s="12"/>
      <c r="I294" s="13">
        <v>1</v>
      </c>
      <c r="J294" s="13"/>
      <c r="K294" s="144"/>
      <c r="L294" s="13"/>
      <c r="M294" s="13"/>
      <c r="N294" s="14">
        <f t="shared" si="9"/>
        <v>1</v>
      </c>
      <c r="O294" s="11"/>
      <c r="P294" s="15"/>
      <c r="Q294" s="133" t="s">
        <v>1347</v>
      </c>
      <c r="R294" s="24">
        <v>20000</v>
      </c>
      <c r="S294" s="17">
        <v>20800</v>
      </c>
      <c r="T294" s="18"/>
      <c r="U294" s="18"/>
      <c r="V294" s="22">
        <v>250</v>
      </c>
    </row>
    <row r="295" spans="1:22">
      <c r="A295" s="85" t="s">
        <v>298</v>
      </c>
      <c r="B295" s="74" t="str">
        <f>IFERROR(HYPERLINK(VLOOKUP(A295,ÜRÜNLER!A:C,3,FALSE),VLOOKUP(A295,ÜRÜNLER!A:B,2,FALSE)),"")</f>
        <v>iQ300 Gazlı Ocak, 60cm, Sert Cam, Beyaz, Döküm</v>
      </c>
      <c r="C295" s="10">
        <v>3</v>
      </c>
      <c r="D295" s="10"/>
      <c r="E295" s="11"/>
      <c r="F295" s="11"/>
      <c r="G295" s="12"/>
      <c r="H295" s="12"/>
      <c r="I295" s="13"/>
      <c r="J295" s="13"/>
      <c r="K295" s="144"/>
      <c r="L295" s="13"/>
      <c r="M295" s="13"/>
      <c r="N295" s="14">
        <f t="shared" si="9"/>
        <v>3</v>
      </c>
      <c r="O295" s="11"/>
      <c r="P295" s="15"/>
      <c r="Q295" s="75">
        <v>19408.978174486561</v>
      </c>
      <c r="R295" s="24">
        <v>19408.978174486561</v>
      </c>
      <c r="S295" s="17">
        <v>20185.337301466025</v>
      </c>
      <c r="T295" s="18">
        <v>1404.3270116958629</v>
      </c>
      <c r="U295" s="18"/>
      <c r="V295" s="22">
        <v>250</v>
      </c>
    </row>
    <row r="296" spans="1:22">
      <c r="A296" s="94" t="s">
        <v>300</v>
      </c>
      <c r="B296" s="74" t="str">
        <f>IFERROR(HYPERLINK(VLOOKUP(A296,ÜRÜNLER!A:C,3,FALSE),VLOOKUP(A296,ÜRÜNLER!A:B,2,FALSE)),"")</f>
        <v>iQ100 Gazlı Ocak, 60cm, Sert Cam, Siyah, Wok</v>
      </c>
      <c r="C296" s="10"/>
      <c r="D296" s="10"/>
      <c r="E296" s="11"/>
      <c r="F296" s="11"/>
      <c r="G296" s="12"/>
      <c r="H296" s="12"/>
      <c r="I296" s="13"/>
      <c r="J296" s="13">
        <v>1</v>
      </c>
      <c r="K296" s="144"/>
      <c r="L296" s="13"/>
      <c r="M296" s="13"/>
      <c r="N296" s="14">
        <f t="shared" si="9"/>
        <v>1</v>
      </c>
      <c r="O296" s="11"/>
      <c r="P296" s="15"/>
      <c r="Q296" s="133" t="s">
        <v>1347</v>
      </c>
      <c r="R296" s="24">
        <v>20000</v>
      </c>
      <c r="S296" s="17">
        <v>20800</v>
      </c>
      <c r="T296" s="18"/>
      <c r="U296" s="18"/>
      <c r="V296" s="22">
        <v>250</v>
      </c>
    </row>
    <row r="297" spans="1:22">
      <c r="A297" s="97" t="s">
        <v>301</v>
      </c>
      <c r="B297" s="74" t="str">
        <f>IFERROR(HYPERLINK(VLOOKUP(A297,ÜRÜNLER!A:C,3,FALSE),VLOOKUP(A297,ÜRÜNLER!A:B,2,FALSE)),"")</f>
        <v>iQ100 Gazlı Ocak, 60cm, Sert Cam, Titanyum Gri</v>
      </c>
      <c r="C297" s="10"/>
      <c r="D297" s="10"/>
      <c r="E297" s="11"/>
      <c r="F297" s="11"/>
      <c r="G297" s="12"/>
      <c r="H297" s="12"/>
      <c r="I297" s="13"/>
      <c r="J297" s="13">
        <v>1</v>
      </c>
      <c r="K297" s="144"/>
      <c r="L297" s="13"/>
      <c r="M297" s="13"/>
      <c r="N297" s="14">
        <f t="shared" si="9"/>
        <v>1</v>
      </c>
      <c r="O297" s="11"/>
      <c r="P297" s="15"/>
      <c r="Q297" s="133" t="s">
        <v>1347</v>
      </c>
      <c r="R297" s="24">
        <v>20000</v>
      </c>
      <c r="S297" s="17">
        <v>20800</v>
      </c>
      <c r="T297" s="18"/>
      <c r="U297" s="18"/>
      <c r="V297" s="22">
        <v>250</v>
      </c>
    </row>
    <row r="298" spans="1:22">
      <c r="A298" s="97" t="s">
        <v>302</v>
      </c>
      <c r="B298" s="74" t="str">
        <f>IFERROR(HYPERLINK(VLOOKUP(A298,ÜRÜNLER!A:C,3,FALSE),VLOOKUP(A298,ÜRÜNLER!A:B,2,FALSE)),"")</f>
        <v>iQ100 Gazlı Ocak, 60cm, Sert Cam, Antrasit Gri</v>
      </c>
      <c r="C298" s="10">
        <v>21</v>
      </c>
      <c r="D298" s="10"/>
      <c r="E298" s="11"/>
      <c r="F298" s="11"/>
      <c r="G298" s="12"/>
      <c r="H298" s="12"/>
      <c r="I298" s="13"/>
      <c r="J298" s="13">
        <v>1</v>
      </c>
      <c r="K298" s="144">
        <v>1</v>
      </c>
      <c r="L298" s="13"/>
      <c r="M298" s="13">
        <v>1</v>
      </c>
      <c r="N298" s="14">
        <f t="shared" si="9"/>
        <v>24</v>
      </c>
      <c r="O298" s="11"/>
      <c r="P298" s="15"/>
      <c r="Q298" s="133" t="s">
        <v>1347</v>
      </c>
      <c r="R298" s="24">
        <v>12500</v>
      </c>
      <c r="S298" s="17">
        <v>13000</v>
      </c>
      <c r="T298" s="18">
        <v>833.02686289597671</v>
      </c>
      <c r="U298" s="18"/>
      <c r="V298" s="22"/>
    </row>
    <row r="299" spans="1:22">
      <c r="A299" s="105" t="s">
        <v>303</v>
      </c>
      <c r="B299" s="74" t="str">
        <f>IFERROR(HYPERLINK(VLOOKUP(A299,ÜRÜNLER!A:C,3,FALSE),VLOOKUP(A299,ÜRÜNLER!A:B,2,FALSE)),"")</f>
        <v>iQ300 Gazlı Ocak, 60cm, Sert Cam, Beyaz</v>
      </c>
      <c r="C299" s="10">
        <v>8</v>
      </c>
      <c r="D299" s="10"/>
      <c r="E299" s="11"/>
      <c r="F299" s="11"/>
      <c r="G299" s="12"/>
      <c r="H299" s="12"/>
      <c r="I299" s="13"/>
      <c r="J299" s="13"/>
      <c r="K299" s="144"/>
      <c r="L299" s="13">
        <v>1</v>
      </c>
      <c r="M299" s="13"/>
      <c r="N299" s="14">
        <f t="shared" si="9"/>
        <v>9</v>
      </c>
      <c r="O299" s="11"/>
      <c r="P299" s="15"/>
      <c r="Q299" s="133" t="s">
        <v>1347</v>
      </c>
      <c r="R299" s="24">
        <v>12000</v>
      </c>
      <c r="S299" s="17">
        <v>12480</v>
      </c>
      <c r="T299" s="18"/>
      <c r="U299" s="18"/>
      <c r="V299" s="22"/>
    </row>
    <row r="300" spans="1:22">
      <c r="A300" s="85" t="s">
        <v>304</v>
      </c>
      <c r="B300" s="74" t="str">
        <f>IFERROR(HYPERLINK(VLOOKUP(A300,ÜRÜNLER!A:C,3,FALSE),VLOOKUP(A300,ÜRÜNLER!A:B,2,FALSE)),"")</f>
        <v>iQ300 Gazlı Ocak, 60cm, Sert Cam, Beyaz</v>
      </c>
      <c r="C300" s="10">
        <v>7</v>
      </c>
      <c r="D300" s="10"/>
      <c r="E300" s="11"/>
      <c r="F300" s="11"/>
      <c r="G300" s="12"/>
      <c r="H300" s="12"/>
      <c r="I300" s="13"/>
      <c r="J300" s="13"/>
      <c r="K300" s="144"/>
      <c r="L300" s="13"/>
      <c r="M300" s="13"/>
      <c r="N300" s="14">
        <f t="shared" si="9"/>
        <v>7</v>
      </c>
      <c r="O300" s="11"/>
      <c r="P300" s="15"/>
      <c r="Q300" s="75">
        <v>12008.594099085203</v>
      </c>
      <c r="R300" s="65">
        <v>11408.164394130943</v>
      </c>
      <c r="S300" s="17">
        <v>11864.49096989618</v>
      </c>
      <c r="T300" s="18"/>
      <c r="U300" s="18"/>
      <c r="V300" s="22"/>
    </row>
    <row r="301" spans="1:22">
      <c r="A301" s="106" t="s">
        <v>305</v>
      </c>
      <c r="B301" s="74" t="str">
        <f>IFERROR(HYPERLINK(VLOOKUP(A301,ÜRÜNLER!A:C,3,FALSE),VLOOKUP(A301,ÜRÜNLER!A:B,2,FALSE)),"")</f>
        <v>iQ300 Gazlı Ocak, 60cm, Sert Cam, Siyah</v>
      </c>
      <c r="C301" s="10"/>
      <c r="D301" s="10"/>
      <c r="E301" s="11"/>
      <c r="F301" s="11"/>
      <c r="G301" s="12"/>
      <c r="H301" s="12"/>
      <c r="I301" s="13"/>
      <c r="J301" s="13">
        <v>1</v>
      </c>
      <c r="K301" s="144"/>
      <c r="L301" s="13"/>
      <c r="M301" s="13"/>
      <c r="N301" s="14">
        <f t="shared" si="9"/>
        <v>1</v>
      </c>
      <c r="O301" s="11"/>
      <c r="P301" s="15"/>
      <c r="Q301" s="133" t="s">
        <v>1347</v>
      </c>
      <c r="R301" s="24">
        <v>12000</v>
      </c>
      <c r="S301" s="17">
        <v>12480</v>
      </c>
      <c r="T301" s="18"/>
      <c r="U301" s="18"/>
      <c r="V301" s="22">
        <v>250</v>
      </c>
    </row>
    <row r="302" spans="1:22">
      <c r="A302" s="85" t="s">
        <v>306</v>
      </c>
      <c r="B302" s="74" t="str">
        <f>IFERROR(HYPERLINK(VLOOKUP(A302,ÜRÜNLER!A:C,3,FALSE),VLOOKUP(A302,ÜRÜNLER!A:B,2,FALSE)),"")</f>
        <v>iQ100 Gazlı Ocak, 60cm, Sert Cam, Siyah, Döküm</v>
      </c>
      <c r="C302" s="10"/>
      <c r="D302" s="10"/>
      <c r="E302" s="11"/>
      <c r="F302" s="11"/>
      <c r="G302" s="12"/>
      <c r="H302" s="12"/>
      <c r="I302" s="13">
        <v>1</v>
      </c>
      <c r="J302" s="13"/>
      <c r="K302" s="144">
        <v>1</v>
      </c>
      <c r="L302" s="13"/>
      <c r="M302" s="13"/>
      <c r="N302" s="14">
        <f t="shared" si="9"/>
        <v>2</v>
      </c>
      <c r="O302" s="11"/>
      <c r="P302" s="15"/>
      <c r="Q302" s="133" t="s">
        <v>1347</v>
      </c>
      <c r="R302" s="24">
        <v>12000</v>
      </c>
      <c r="S302" s="17">
        <v>12480</v>
      </c>
      <c r="T302" s="18"/>
      <c r="U302" s="18"/>
      <c r="V302" s="22">
        <v>250</v>
      </c>
    </row>
    <row r="303" spans="1:22">
      <c r="A303" s="85" t="s">
        <v>307</v>
      </c>
      <c r="B303" s="74" t="str">
        <f>IFERROR(HYPERLINK(VLOOKUP(A303,ÜRÜNLER!A:C,3,FALSE),VLOOKUP(A303,ÜRÜNLER!A:B,2,FALSE)),"")</f>
        <v>iQ100 Gazlı Ocak, 60cm, Sert Cam, Siyah, Döküm</v>
      </c>
      <c r="C303" s="10"/>
      <c r="D303" s="10"/>
      <c r="E303" s="11"/>
      <c r="F303" s="11"/>
      <c r="G303" s="12"/>
      <c r="H303" s="12"/>
      <c r="I303" s="13"/>
      <c r="J303" s="13"/>
      <c r="K303" s="144">
        <v>1</v>
      </c>
      <c r="L303" s="13"/>
      <c r="M303" s="13"/>
      <c r="N303" s="14">
        <f t="shared" si="9"/>
        <v>1</v>
      </c>
      <c r="O303" s="11"/>
      <c r="P303" s="15"/>
      <c r="Q303" s="133" t="s">
        <v>1347</v>
      </c>
      <c r="R303" s="24">
        <v>12000</v>
      </c>
      <c r="S303" s="17">
        <v>12480</v>
      </c>
      <c r="T303" s="18"/>
      <c r="U303" s="18"/>
      <c r="V303" s="22">
        <v>250</v>
      </c>
    </row>
    <row r="304" spans="1:22">
      <c r="A304" s="94" t="s">
        <v>308</v>
      </c>
      <c r="B304" s="74" t="str">
        <f>IFERROR(HYPERLINK(VLOOKUP(A304,ÜRÜNLER!A:C,3,FALSE),VLOOKUP(A304,ÜRÜNLER!A:B,2,FALSE)),"")</f>
        <v>iQ300 Gazlı Ocak, 60cm, Sert Cam, Siyah</v>
      </c>
      <c r="C304" s="10">
        <v>5</v>
      </c>
      <c r="D304" s="10"/>
      <c r="E304" s="11"/>
      <c r="F304" s="11"/>
      <c r="G304" s="12"/>
      <c r="H304" s="12"/>
      <c r="I304" s="13">
        <v>1</v>
      </c>
      <c r="J304" s="13"/>
      <c r="K304" s="144"/>
      <c r="L304" s="13">
        <v>1</v>
      </c>
      <c r="M304" s="13"/>
      <c r="N304" s="14">
        <f t="shared" si="9"/>
        <v>7</v>
      </c>
      <c r="O304" s="11"/>
      <c r="P304" s="15"/>
      <c r="Q304" s="75">
        <v>12008.594099085203</v>
      </c>
      <c r="R304" s="65">
        <v>11408.164394130943</v>
      </c>
      <c r="S304" s="17">
        <v>11864.49096989618</v>
      </c>
      <c r="T304" s="18"/>
      <c r="U304" s="18"/>
      <c r="V304" s="22"/>
    </row>
    <row r="305" spans="1:22">
      <c r="A305" s="97" t="s">
        <v>309</v>
      </c>
      <c r="B305" s="74" t="str">
        <f>IFERROR(HYPERLINK(VLOOKUP(A305,ÜRÜNLER!A:C,3,FALSE),VLOOKUP(A305,ÜRÜNLER!A:B,2,FALSE)),"")</f>
        <v>iQ100 Gazlı Ocak, 60cm, Sert Cam, Titanyum Gri</v>
      </c>
      <c r="C305" s="10"/>
      <c r="D305" s="10"/>
      <c r="E305" s="11"/>
      <c r="F305" s="11"/>
      <c r="G305" s="12"/>
      <c r="H305" s="12"/>
      <c r="I305" s="13"/>
      <c r="J305" s="13"/>
      <c r="K305" s="144">
        <v>1</v>
      </c>
      <c r="L305" s="13"/>
      <c r="M305" s="13"/>
      <c r="N305" s="14">
        <f t="shared" si="9"/>
        <v>1</v>
      </c>
      <c r="O305" s="11"/>
      <c r="P305" s="15"/>
      <c r="Q305" s="133" t="s">
        <v>1347</v>
      </c>
      <c r="R305" s="24">
        <v>12000</v>
      </c>
      <c r="S305" s="17">
        <v>12480</v>
      </c>
      <c r="T305" s="18">
        <v>869.99881831833238</v>
      </c>
      <c r="U305" s="18"/>
      <c r="V305" s="22">
        <v>250</v>
      </c>
    </row>
    <row r="306" spans="1:22">
      <c r="A306" s="97" t="s">
        <v>310</v>
      </c>
      <c r="B306" s="74" t="str">
        <f>IFERROR(HYPERLINK(VLOOKUP(A306,ÜRÜNLER!A:C,3,FALSE),VLOOKUP(A306,ÜRÜNLER!A:B,2,FALSE)),"")</f>
        <v>iQ100 Gazlı Ocak, 60cm, Sert Cam, Titanyum Gri, Döküm</v>
      </c>
      <c r="C306" s="10">
        <v>5</v>
      </c>
      <c r="D306" s="10"/>
      <c r="E306" s="11"/>
      <c r="F306" s="11"/>
      <c r="G306" s="12"/>
      <c r="H306" s="12"/>
      <c r="I306" s="13"/>
      <c r="J306" s="13"/>
      <c r="K306" s="144"/>
      <c r="L306" s="13"/>
      <c r="M306" s="13"/>
      <c r="N306" s="14">
        <f t="shared" si="9"/>
        <v>5</v>
      </c>
      <c r="O306" s="11"/>
      <c r="P306" s="15"/>
      <c r="Q306" s="133" t="s">
        <v>1347</v>
      </c>
      <c r="R306" s="24">
        <v>17999</v>
      </c>
      <c r="S306" s="17">
        <v>18718.96</v>
      </c>
      <c r="T306" s="18"/>
      <c r="U306" s="18"/>
      <c r="V306" s="22"/>
    </row>
    <row r="307" spans="1:22">
      <c r="A307" s="97" t="s">
        <v>311</v>
      </c>
      <c r="B307" s="74" t="str">
        <f>IFERROR(HYPERLINK(VLOOKUP(A307,ÜRÜNLER!A:C,3,FALSE),VLOOKUP(A307,ÜRÜNLER!A:B,2,FALSE)),"")</f>
        <v>iQ300 Gazlı Ocak, 60cm, Sert Cam, Antrasit</v>
      </c>
      <c r="C307" s="10">
        <v>6</v>
      </c>
      <c r="D307" s="10"/>
      <c r="E307" s="11"/>
      <c r="F307" s="11"/>
      <c r="G307" s="12"/>
      <c r="H307" s="12"/>
      <c r="I307" s="13">
        <v>1</v>
      </c>
      <c r="J307" s="13">
        <v>1</v>
      </c>
      <c r="K307" s="144"/>
      <c r="L307" s="13"/>
      <c r="M307" s="13"/>
      <c r="N307" s="14">
        <f t="shared" si="9"/>
        <v>8</v>
      </c>
      <c r="O307" s="11"/>
      <c r="P307" s="15"/>
      <c r="Q307" s="75">
        <v>12008.594099085203</v>
      </c>
      <c r="R307" s="65">
        <v>11408.164394130943</v>
      </c>
      <c r="S307" s="17">
        <v>11864.49096989618</v>
      </c>
      <c r="T307" s="18"/>
      <c r="U307" s="18"/>
      <c r="V307" s="22"/>
    </row>
    <row r="308" spans="1:22">
      <c r="A308" s="97" t="s">
        <v>312</v>
      </c>
      <c r="B308" s="74" t="str">
        <f>IFERROR(HYPERLINK(VLOOKUP(A308,ÜRÜNLER!A:C,3,FALSE),VLOOKUP(A308,ÜRÜNLER!A:B,2,FALSE)),"")</f>
        <v>iQ300 Gazlı Ocak, 60cm, Sert Cam, Antrasit Gri</v>
      </c>
      <c r="C308" s="10">
        <v>22</v>
      </c>
      <c r="D308" s="10"/>
      <c r="E308" s="11"/>
      <c r="F308" s="11"/>
      <c r="G308" s="12"/>
      <c r="H308" s="12"/>
      <c r="I308" s="13">
        <v>1</v>
      </c>
      <c r="J308" s="13"/>
      <c r="K308" s="144"/>
      <c r="L308" s="13">
        <v>1</v>
      </c>
      <c r="M308" s="13">
        <v>1</v>
      </c>
      <c r="N308" s="14">
        <f t="shared" si="9"/>
        <v>25</v>
      </c>
      <c r="O308" s="11"/>
      <c r="P308" s="15"/>
      <c r="Q308" s="133" t="s">
        <v>1347</v>
      </c>
      <c r="R308" s="61">
        <v>13000</v>
      </c>
      <c r="S308" s="17">
        <v>13520</v>
      </c>
      <c r="T308" s="18"/>
      <c r="U308" s="18"/>
      <c r="V308" s="22"/>
    </row>
    <row r="309" spans="1:22">
      <c r="A309" s="86" t="s">
        <v>313</v>
      </c>
      <c r="B309" s="74" t="str">
        <f>IFERROR(HYPERLINK(VLOOKUP(A309,ÜRÜNLER!A:C,3,FALSE),VLOOKUP(A309,ÜRÜNLER!A:B,2,FALSE)),"")</f>
        <v>iQ300 Gazlı Ocak, 67cm, Sert Cam, Beyaz, Wok</v>
      </c>
      <c r="C309" s="10">
        <v>13</v>
      </c>
      <c r="D309" s="10"/>
      <c r="E309" s="11"/>
      <c r="F309" s="11"/>
      <c r="G309" s="12"/>
      <c r="H309" s="12"/>
      <c r="I309" s="13">
        <v>1</v>
      </c>
      <c r="J309" s="13">
        <v>1</v>
      </c>
      <c r="K309" s="144"/>
      <c r="L309" s="13"/>
      <c r="M309" s="13"/>
      <c r="N309" s="14">
        <f t="shared" si="9"/>
        <v>15</v>
      </c>
      <c r="O309" s="11"/>
      <c r="P309" s="15"/>
      <c r="Q309" s="75">
        <v>16468.157321697428</v>
      </c>
      <c r="R309" s="65">
        <v>15644.749455612557</v>
      </c>
      <c r="S309" s="17">
        <v>16270.539433837059</v>
      </c>
      <c r="T309" s="18"/>
      <c r="U309" s="18"/>
      <c r="V309" s="22"/>
    </row>
    <row r="310" spans="1:22">
      <c r="A310" s="86" t="s">
        <v>314</v>
      </c>
      <c r="B310" s="74" t="str">
        <f>IFERROR(HYPERLINK(VLOOKUP(A310,ÜRÜNLER!A:C,3,FALSE),VLOOKUP(A310,ÜRÜNLER!A:B,2,FALSE)),"")</f>
        <v>iQ300 Gazlı Ocak, 67cm, Sert Cam, Beyaz</v>
      </c>
      <c r="C310" s="10">
        <v>1</v>
      </c>
      <c r="D310" s="10"/>
      <c r="E310" s="11"/>
      <c r="F310" s="11"/>
      <c r="G310" s="12"/>
      <c r="H310" s="12"/>
      <c r="I310" s="13"/>
      <c r="J310" s="13"/>
      <c r="K310" s="144"/>
      <c r="L310" s="13"/>
      <c r="M310" s="13"/>
      <c r="N310" s="14">
        <f t="shared" si="9"/>
        <v>1</v>
      </c>
      <c r="O310" s="11"/>
      <c r="P310" s="15"/>
      <c r="Q310" s="75">
        <v>13167.477103400217</v>
      </c>
      <c r="R310" s="65">
        <v>12509.103248230207</v>
      </c>
      <c r="S310" s="17">
        <v>13009.467378159416</v>
      </c>
      <c r="T310" s="18"/>
      <c r="U310" s="18"/>
      <c r="V310" s="22"/>
    </row>
    <row r="311" spans="1:22">
      <c r="A311" s="86" t="s">
        <v>315</v>
      </c>
      <c r="B311" s="74" t="str">
        <f>IFERROR(HYPERLINK(VLOOKUP(A311,ÜRÜNLER!A:C,3,FALSE),VLOOKUP(A311,ÜRÜNLER!A:B,2,FALSE)),"")</f>
        <v>iQ100 Gazlı Ocak, 67cm, Sert Cam, Beyaz</v>
      </c>
      <c r="C311" s="10"/>
      <c r="D311" s="10"/>
      <c r="E311" s="11"/>
      <c r="F311" s="11"/>
      <c r="G311" s="12"/>
      <c r="H311" s="12"/>
      <c r="I311" s="13"/>
      <c r="J311" s="13"/>
      <c r="K311" s="144">
        <v>1</v>
      </c>
      <c r="L311" s="13"/>
      <c r="M311" s="13"/>
      <c r="N311" s="14">
        <f t="shared" si="9"/>
        <v>1</v>
      </c>
      <c r="O311" s="11"/>
      <c r="P311" s="15"/>
      <c r="Q311" s="133" t="s">
        <v>1347</v>
      </c>
      <c r="R311" s="24">
        <v>15000</v>
      </c>
      <c r="S311" s="17">
        <v>15600</v>
      </c>
      <c r="T311" s="18"/>
      <c r="U311" s="18"/>
      <c r="V311" s="22">
        <v>250</v>
      </c>
    </row>
    <row r="312" spans="1:22">
      <c r="A312" s="107" t="s">
        <v>316</v>
      </c>
      <c r="B312" s="74" t="str">
        <f>IFERROR(HYPERLINK(VLOOKUP(A312,ÜRÜNLER!A:C,3,FALSE),VLOOKUP(A312,ÜRÜNLER!A:B,2,FALSE)),"")</f>
        <v>iQ300 Gazlı Ocak, 67cm, Sert Cam, Beyaz</v>
      </c>
      <c r="C312" s="10"/>
      <c r="D312" s="10"/>
      <c r="E312" s="11"/>
      <c r="F312" s="11"/>
      <c r="G312" s="12">
        <v>1</v>
      </c>
      <c r="H312" s="12"/>
      <c r="I312" s="13">
        <v>1</v>
      </c>
      <c r="J312" s="13"/>
      <c r="K312" s="144"/>
      <c r="L312" s="13"/>
      <c r="M312" s="13">
        <v>5</v>
      </c>
      <c r="N312" s="14">
        <f t="shared" si="9"/>
        <v>7</v>
      </c>
      <c r="O312" s="11"/>
      <c r="P312" s="15"/>
      <c r="Q312" s="133" t="s">
        <v>1347</v>
      </c>
      <c r="R312" s="24">
        <v>16000</v>
      </c>
      <c r="S312" s="17">
        <v>16640</v>
      </c>
      <c r="T312" s="18"/>
      <c r="U312" s="18"/>
      <c r="V312" s="22">
        <v>250</v>
      </c>
    </row>
    <row r="313" spans="1:22">
      <c r="A313" s="86" t="s">
        <v>317</v>
      </c>
      <c r="B313" s="74" t="str">
        <f>IFERROR(HYPERLINK(VLOOKUP(A313,ÜRÜNLER!A:C,3,FALSE),VLOOKUP(A313,ÜRÜNLER!A:B,2,FALSE)),"")</f>
        <v>iQ300 Gazlı Ocak, 67cm, Sert Cam, Siyah, Wok</v>
      </c>
      <c r="C313" s="10"/>
      <c r="D313" s="10"/>
      <c r="E313" s="11"/>
      <c r="F313" s="11"/>
      <c r="G313" s="12"/>
      <c r="H313" s="12"/>
      <c r="I313" s="13"/>
      <c r="J313" s="13"/>
      <c r="K313" s="144"/>
      <c r="L313" s="13"/>
      <c r="M313" s="13">
        <v>1</v>
      </c>
      <c r="N313" s="14">
        <f t="shared" si="9"/>
        <v>1</v>
      </c>
      <c r="O313" s="11"/>
      <c r="P313" s="15"/>
      <c r="Q313" s="133" t="s">
        <v>1347</v>
      </c>
      <c r="R313" s="24">
        <v>15000</v>
      </c>
      <c r="S313" s="17">
        <v>15600</v>
      </c>
      <c r="T313" s="18"/>
      <c r="U313" s="18"/>
      <c r="V313" s="22">
        <v>250</v>
      </c>
    </row>
    <row r="314" spans="1:22">
      <c r="A314" s="86" t="s">
        <v>318</v>
      </c>
      <c r="B314" s="74" t="str">
        <f>IFERROR(HYPERLINK(VLOOKUP(A314,ÜRÜNLER!A:C,3,FALSE),VLOOKUP(A314,ÜRÜNLER!A:B,2,FALSE)),"")</f>
        <v>iQ300 Gazlı Ocak, 67cm, Sert Cam, Siyah, Wok</v>
      </c>
      <c r="C314" s="10">
        <v>1</v>
      </c>
      <c r="D314" s="10"/>
      <c r="E314" s="11"/>
      <c r="F314" s="11"/>
      <c r="G314" s="12"/>
      <c r="H314" s="12"/>
      <c r="I314" s="13"/>
      <c r="J314" s="13"/>
      <c r="K314" s="144"/>
      <c r="L314" s="13"/>
      <c r="M314" s="13"/>
      <c r="N314" s="14">
        <f t="shared" si="9"/>
        <v>1</v>
      </c>
      <c r="O314" s="11">
        <v>5</v>
      </c>
      <c r="P314" s="15"/>
      <c r="Q314" s="75">
        <v>16468.157321697428</v>
      </c>
      <c r="R314" s="65">
        <v>15644.749455612557</v>
      </c>
      <c r="S314" s="17">
        <v>16270.539433837059</v>
      </c>
      <c r="T314" s="18"/>
      <c r="U314" s="18"/>
      <c r="V314" s="22"/>
    </row>
    <row r="315" spans="1:22">
      <c r="A315" s="86" t="s">
        <v>319</v>
      </c>
      <c r="B315" s="74" t="str">
        <f>IFERROR(HYPERLINK(VLOOKUP(A315,ÜRÜNLER!A:C,3,FALSE),VLOOKUP(A315,ÜRÜNLER!A:B,2,FALSE)),"")</f>
        <v>iQ300 Gazlı Ocak, 67cm, Sert Cam, Siyah</v>
      </c>
      <c r="C315" s="10"/>
      <c r="D315" s="10"/>
      <c r="E315" s="11"/>
      <c r="F315" s="11"/>
      <c r="G315" s="12"/>
      <c r="H315" s="12"/>
      <c r="I315" s="13"/>
      <c r="J315" s="13">
        <v>2</v>
      </c>
      <c r="K315" s="144">
        <v>3</v>
      </c>
      <c r="L315" s="13"/>
      <c r="M315" s="13"/>
      <c r="N315" s="14">
        <f t="shared" si="9"/>
        <v>5</v>
      </c>
      <c r="O315" s="11"/>
      <c r="P315" s="15"/>
      <c r="Q315" s="133" t="s">
        <v>1347</v>
      </c>
      <c r="R315" s="24">
        <v>15000</v>
      </c>
      <c r="S315" s="17">
        <v>15600</v>
      </c>
      <c r="T315" s="18"/>
      <c r="U315" s="18"/>
      <c r="V315" s="22"/>
    </row>
    <row r="316" spans="1:22">
      <c r="A316" s="86" t="s">
        <v>320</v>
      </c>
      <c r="B316" s="74" t="str">
        <f>IFERROR(HYPERLINK(VLOOKUP(A316,ÜRÜNLER!A:C,3,FALSE),VLOOKUP(A316,ÜRÜNLER!A:B,2,FALSE)),"")</f>
        <v>iQ300 Gazlı Ocak, 67cm, Sert Cam, Siyah</v>
      </c>
      <c r="C316" s="10">
        <v>3</v>
      </c>
      <c r="D316" s="10"/>
      <c r="E316" s="11"/>
      <c r="F316" s="11"/>
      <c r="G316" s="12"/>
      <c r="H316" s="12"/>
      <c r="I316" s="13">
        <v>2</v>
      </c>
      <c r="J316" s="13"/>
      <c r="K316" s="144">
        <v>1</v>
      </c>
      <c r="L316" s="13">
        <v>1</v>
      </c>
      <c r="M316" s="13"/>
      <c r="N316" s="14">
        <f t="shared" si="9"/>
        <v>7</v>
      </c>
      <c r="O316" s="11"/>
      <c r="P316" s="15"/>
      <c r="Q316" s="75">
        <v>13167.477103400217</v>
      </c>
      <c r="R316" s="65">
        <v>12509.103248230207</v>
      </c>
      <c r="S316" s="17">
        <v>13009.467378159416</v>
      </c>
      <c r="T316" s="18"/>
      <c r="U316" s="18"/>
      <c r="V316" s="22"/>
    </row>
    <row r="317" spans="1:22">
      <c r="A317" s="97" t="s">
        <v>321</v>
      </c>
      <c r="B317" s="74" t="str">
        <f>IFERROR(HYPERLINK(VLOOKUP(A317,ÜRÜNLER!A:C,3,FALSE),VLOOKUP(A317,ÜRÜNLER!A:B,2,FALSE)),"")</f>
        <v>iQ300 Gazlı Ocak, 67cm, Sert Cam, Antrasit Gri, Wok</v>
      </c>
      <c r="C317" s="10">
        <v>12</v>
      </c>
      <c r="D317" s="10"/>
      <c r="E317" s="11"/>
      <c r="F317" s="11"/>
      <c r="G317" s="12"/>
      <c r="H317" s="12"/>
      <c r="I317" s="13"/>
      <c r="J317" s="13"/>
      <c r="K317" s="144"/>
      <c r="L317" s="13"/>
      <c r="M317" s="13"/>
      <c r="N317" s="14">
        <f t="shared" si="9"/>
        <v>12</v>
      </c>
      <c r="O317" s="11"/>
      <c r="P317" s="15"/>
      <c r="Q317" s="75">
        <v>16468.157321697428</v>
      </c>
      <c r="R317" s="65">
        <v>15644.749455612557</v>
      </c>
      <c r="S317" s="17">
        <v>16270.539433837059</v>
      </c>
      <c r="T317" s="18"/>
      <c r="U317" s="18"/>
      <c r="V317" s="22"/>
    </row>
    <row r="318" spans="1:22">
      <c r="A318" s="97" t="s">
        <v>322</v>
      </c>
      <c r="B318" s="74" t="str">
        <f>IFERROR(HYPERLINK(VLOOKUP(A318,ÜRÜNLER!A:C,3,FALSE),VLOOKUP(A318,ÜRÜNLER!A:B,2,FALSE)),"")</f>
        <v>iQ100 Gazlı Ocak, 67cm, Sert Cam, Titanyum Gri</v>
      </c>
      <c r="C318" s="10">
        <v>16</v>
      </c>
      <c r="D318" s="10"/>
      <c r="E318" s="11"/>
      <c r="F318" s="11"/>
      <c r="G318" s="12"/>
      <c r="H318" s="12"/>
      <c r="I318" s="13"/>
      <c r="J318" s="13"/>
      <c r="K318" s="144"/>
      <c r="L318" s="13"/>
      <c r="M318" s="13">
        <v>1</v>
      </c>
      <c r="N318" s="14">
        <f t="shared" si="9"/>
        <v>17</v>
      </c>
      <c r="O318" s="11"/>
      <c r="P318" s="15"/>
      <c r="Q318" s="133" t="s">
        <v>1347</v>
      </c>
      <c r="R318" s="24">
        <v>12999</v>
      </c>
      <c r="S318" s="17">
        <v>13518.96</v>
      </c>
      <c r="T318" s="18">
        <v>432.04407879822247</v>
      </c>
      <c r="U318" s="18"/>
      <c r="V318" s="22"/>
    </row>
    <row r="319" spans="1:22">
      <c r="A319" s="97" t="s">
        <v>323</v>
      </c>
      <c r="B319" s="74" t="str">
        <f>IFERROR(HYPERLINK(VLOOKUP(A319,ÜRÜNLER!A:C,3,FALSE),VLOOKUP(A319,ÜRÜNLER!A:B,2,FALSE)),"")</f>
        <v>iQ300 Gazlı Ocak, 67cm, Sert Cam, Antrasit Gri</v>
      </c>
      <c r="C319" s="10"/>
      <c r="D319" s="10"/>
      <c r="E319" s="11"/>
      <c r="F319" s="11"/>
      <c r="G319" s="12"/>
      <c r="H319" s="12"/>
      <c r="I319" s="13">
        <v>2</v>
      </c>
      <c r="J319" s="13"/>
      <c r="K319" s="144"/>
      <c r="L319" s="13"/>
      <c r="M319" s="13"/>
      <c r="N319" s="14">
        <f t="shared" si="9"/>
        <v>2</v>
      </c>
      <c r="O319" s="11"/>
      <c r="P319" s="15"/>
      <c r="Q319" s="75">
        <v>13167.477103400217</v>
      </c>
      <c r="R319" s="34">
        <v>13167.477103400217</v>
      </c>
      <c r="S319" s="17">
        <v>13694.176187536226</v>
      </c>
      <c r="T319" s="18"/>
      <c r="U319" s="18"/>
      <c r="V319" s="22"/>
    </row>
    <row r="320" spans="1:22">
      <c r="A320" s="97" t="s">
        <v>324</v>
      </c>
      <c r="B320" s="74" t="str">
        <f>IFERROR(HYPERLINK(VLOOKUP(A320,ÜRÜNLER!A:C,3,FALSE),VLOOKUP(A320,ÜRÜNLER!A:B,2,FALSE)),"")</f>
        <v>iQ300 Gazlı Ocak, 67cm, Sert Cam, Dark Silver</v>
      </c>
      <c r="C320" s="10">
        <v>2</v>
      </c>
      <c r="D320" s="10"/>
      <c r="E320" s="11"/>
      <c r="F320" s="11"/>
      <c r="G320" s="12"/>
      <c r="H320" s="12"/>
      <c r="I320" s="13"/>
      <c r="J320" s="13"/>
      <c r="K320" s="144"/>
      <c r="L320" s="13">
        <v>1</v>
      </c>
      <c r="M320" s="13">
        <v>1</v>
      </c>
      <c r="N320" s="14">
        <f t="shared" si="9"/>
        <v>4</v>
      </c>
      <c r="O320" s="11"/>
      <c r="P320" s="15"/>
      <c r="Q320" s="133" t="s">
        <v>1347</v>
      </c>
      <c r="R320" s="24">
        <v>15000</v>
      </c>
      <c r="S320" s="17">
        <v>15600</v>
      </c>
      <c r="T320" s="18"/>
      <c r="U320" s="18"/>
      <c r="V320" s="22"/>
    </row>
    <row r="321" spans="1:22">
      <c r="A321" s="83" t="s">
        <v>325</v>
      </c>
      <c r="B321" s="74" t="str">
        <f>IFERROR(HYPERLINK(VLOOKUP(A321,ÜRÜNLER!A:C,3,FALSE),VLOOKUP(A321,ÜRÜNLER!A:B,2,FALSE)),"")</f>
        <v>iQ500 Gazlı Ocak, 60cm, Sert Cam, Siyah, Döküm, Wok</v>
      </c>
      <c r="C321" s="10">
        <v>1</v>
      </c>
      <c r="D321" s="10"/>
      <c r="E321" s="11"/>
      <c r="F321" s="11"/>
      <c r="G321" s="12"/>
      <c r="H321" s="12"/>
      <c r="I321" s="13"/>
      <c r="J321" s="13"/>
      <c r="K321" s="144"/>
      <c r="L321" s="13"/>
      <c r="M321" s="13"/>
      <c r="N321" s="14">
        <f t="shared" si="9"/>
        <v>1</v>
      </c>
      <c r="O321" s="11"/>
      <c r="P321" s="15"/>
      <c r="Q321" s="75">
        <v>33236.503143205104</v>
      </c>
      <c r="R321" s="65">
        <v>31574.677986044848</v>
      </c>
      <c r="S321" s="17">
        <v>32837.665105486645</v>
      </c>
      <c r="T321" s="18"/>
      <c r="U321" s="18"/>
      <c r="V321" s="22"/>
    </row>
    <row r="322" spans="1:22">
      <c r="A322" s="83" t="s">
        <v>326</v>
      </c>
      <c r="B322" s="74" t="str">
        <f>IFERROR(HYPERLINK(VLOOKUP(A322,ÜRÜNLER!A:C,3,FALSE),VLOOKUP(A322,ÜRÜNLER!A:B,2,FALSE)),"")</f>
        <v>iQ500 Gazlı Ocak, 60cm, Sert Cam, Siyah, Döküm</v>
      </c>
      <c r="C322" s="10">
        <v>2</v>
      </c>
      <c r="D322" s="10"/>
      <c r="E322" s="11"/>
      <c r="F322" s="11"/>
      <c r="G322" s="12"/>
      <c r="H322" s="12"/>
      <c r="I322" s="13"/>
      <c r="J322" s="13"/>
      <c r="K322" s="144"/>
      <c r="L322" s="13">
        <v>1</v>
      </c>
      <c r="M322" s="13"/>
      <c r="N322" s="14">
        <f t="shared" si="9"/>
        <v>3</v>
      </c>
      <c r="O322" s="11"/>
      <c r="P322" s="15"/>
      <c r="Q322" s="75">
        <v>31720.519454802557</v>
      </c>
      <c r="R322" s="65">
        <v>30134.493482062429</v>
      </c>
      <c r="S322" s="17">
        <v>31339.873221344926</v>
      </c>
      <c r="T322" s="18"/>
      <c r="U322" s="18"/>
      <c r="V322" s="22"/>
    </row>
    <row r="323" spans="1:22">
      <c r="A323" s="85" t="s">
        <v>327</v>
      </c>
      <c r="B323" s="74" t="str">
        <f>IFERROR(HYPERLINK(VLOOKUP(A323,ÜRÜNLER!A:C,3,FALSE),VLOOKUP(A323,ÜRÜNLER!A:B,2,FALSE)),"")</f>
        <v>iQ500 Gazlı Ocak, 60cm, Sert Cam, Beyaz, Döküm</v>
      </c>
      <c r="C323" s="10">
        <v>3</v>
      </c>
      <c r="D323" s="10"/>
      <c r="E323" s="11"/>
      <c r="F323" s="11"/>
      <c r="G323" s="12"/>
      <c r="H323" s="12"/>
      <c r="I323" s="13"/>
      <c r="J323" s="13">
        <v>1</v>
      </c>
      <c r="K323" s="144">
        <v>2</v>
      </c>
      <c r="L323" s="13"/>
      <c r="M323" s="13"/>
      <c r="N323" s="14">
        <f t="shared" si="9"/>
        <v>6</v>
      </c>
      <c r="O323" s="11"/>
      <c r="P323" s="15"/>
      <c r="Q323" s="133" t="s">
        <v>1347</v>
      </c>
      <c r="R323" s="24">
        <v>35000</v>
      </c>
      <c r="S323" s="17">
        <v>36400</v>
      </c>
      <c r="T323" s="18"/>
      <c r="U323" s="18"/>
      <c r="V323" s="22"/>
    </row>
    <row r="324" spans="1:22">
      <c r="A324" s="85" t="s">
        <v>328</v>
      </c>
      <c r="B324" s="74" t="str">
        <f>IFERROR(HYPERLINK(VLOOKUP(A324,ÜRÜNLER!A:C,3,FALSE),VLOOKUP(A324,ÜRÜNLER!A:B,2,FALSE)),"")</f>
        <v>iQ500 Gazlı Ocak, 60cm, Sert Cam, Siyah, Döküm, Wok</v>
      </c>
      <c r="C324" s="10"/>
      <c r="D324" s="10"/>
      <c r="E324" s="11"/>
      <c r="F324" s="11">
        <v>2</v>
      </c>
      <c r="G324" s="12"/>
      <c r="H324" s="12"/>
      <c r="I324" s="13"/>
      <c r="J324" s="13"/>
      <c r="K324" s="144">
        <v>2</v>
      </c>
      <c r="L324" s="13"/>
      <c r="M324" s="13"/>
      <c r="N324" s="14">
        <f t="shared" si="9"/>
        <v>4</v>
      </c>
      <c r="O324" s="11"/>
      <c r="P324" s="15"/>
      <c r="Q324" s="133" t="s">
        <v>1347</v>
      </c>
      <c r="R324" s="24">
        <v>30000</v>
      </c>
      <c r="S324" s="17">
        <v>31200</v>
      </c>
      <c r="T324" s="18"/>
      <c r="U324" s="18"/>
      <c r="V324" s="22">
        <v>250</v>
      </c>
    </row>
    <row r="325" spans="1:22">
      <c r="A325" s="85" t="s">
        <v>329</v>
      </c>
      <c r="B325" s="74" t="str">
        <f>IFERROR(HYPERLINK(VLOOKUP(A325,ÜRÜNLER!A:C,3,FALSE),VLOOKUP(A325,ÜRÜNLER!A:B,2,FALSE)),"")</f>
        <v>iQ500 Gazlı Ocak, 60cm, Sert Cam, Siyah, Döküm</v>
      </c>
      <c r="C325" s="10">
        <v>1</v>
      </c>
      <c r="D325" s="10"/>
      <c r="E325" s="11"/>
      <c r="F325" s="11"/>
      <c r="G325" s="12"/>
      <c r="H325" s="12"/>
      <c r="I325" s="13"/>
      <c r="J325" s="13"/>
      <c r="K325" s="144">
        <v>1</v>
      </c>
      <c r="L325" s="13"/>
      <c r="M325" s="13"/>
      <c r="N325" s="14">
        <f t="shared" si="9"/>
        <v>2</v>
      </c>
      <c r="O325" s="11"/>
      <c r="P325" s="15"/>
      <c r="Q325" s="133" t="s">
        <v>1347</v>
      </c>
      <c r="R325" s="24">
        <v>30000</v>
      </c>
      <c r="S325" s="17">
        <v>31200</v>
      </c>
      <c r="T325" s="18"/>
      <c r="U325" s="18"/>
      <c r="V325" s="22"/>
    </row>
    <row r="326" spans="1:22">
      <c r="A326" s="97" t="s">
        <v>331</v>
      </c>
      <c r="B326" s="74" t="str">
        <f>IFERROR(HYPERLINK(VLOOKUP(A326,ÜRÜNLER!A:C,3,FALSE),VLOOKUP(A326,ÜRÜNLER!A:B,2,FALSE)),"")</f>
        <v>iQ500 Gazlı Ocak, 60cm, Sert Cam, Titanyum Gri, Döküm, Wok</v>
      </c>
      <c r="C326" s="10"/>
      <c r="D326" s="10"/>
      <c r="E326" s="11"/>
      <c r="F326" s="11"/>
      <c r="G326" s="12"/>
      <c r="H326" s="12"/>
      <c r="I326" s="13">
        <v>1</v>
      </c>
      <c r="J326" s="13"/>
      <c r="K326" s="144">
        <v>1</v>
      </c>
      <c r="L326" s="13"/>
      <c r="M326" s="13"/>
      <c r="N326" s="14">
        <f t="shared" si="9"/>
        <v>2</v>
      </c>
      <c r="O326" s="11"/>
      <c r="P326" s="15"/>
      <c r="Q326" s="133" t="s">
        <v>1347</v>
      </c>
      <c r="R326" s="24">
        <v>21000</v>
      </c>
      <c r="S326" s="17">
        <v>21840</v>
      </c>
      <c r="T326" s="18"/>
      <c r="U326" s="18"/>
      <c r="V326" s="155">
        <v>500</v>
      </c>
    </row>
    <row r="327" spans="1:22">
      <c r="A327" s="97" t="s">
        <v>1408</v>
      </c>
      <c r="B327" s="74" t="str">
        <f>IFERROR(HYPERLINK(VLOOKUP(A327,ÜRÜNLER!A:C,3,FALSE),VLOOKUP(A327,ÜRÜNLER!A:B,2,FALSE)),"")</f>
        <v>iQ100 Gazlı Ocak, 60cm, Sert Cam, Antrasit, Wok</v>
      </c>
      <c r="C327" s="10">
        <v>1</v>
      </c>
      <c r="D327" s="10"/>
      <c r="E327" s="11"/>
      <c r="F327" s="11"/>
      <c r="G327" s="12"/>
      <c r="H327" s="12"/>
      <c r="I327" s="13"/>
      <c r="J327" s="13"/>
      <c r="K327" s="144"/>
      <c r="L327" s="13"/>
      <c r="M327" s="13"/>
      <c r="N327" s="14">
        <f t="shared" si="9"/>
        <v>1</v>
      </c>
      <c r="O327" s="11"/>
      <c r="P327" s="15"/>
      <c r="Q327" s="133" t="s">
        <v>1347</v>
      </c>
      <c r="R327" s="24">
        <v>20000</v>
      </c>
      <c r="S327" s="17">
        <v>20800</v>
      </c>
      <c r="T327" s="18"/>
      <c r="U327" s="18"/>
      <c r="V327" s="155">
        <v>500</v>
      </c>
    </row>
    <row r="328" spans="1:22">
      <c r="A328" s="85" t="s">
        <v>332</v>
      </c>
      <c r="B328" s="74" t="str">
        <f>IFERROR(HYPERLINK(VLOOKUP(A328,ÜRÜNLER!A:C,3,FALSE),VLOOKUP(A328,ÜRÜNLER!A:B,2,FALSE)),"")</f>
        <v>iQ300 Gazlı Ocak, 60cm, Sert Cam, Siyah, Döküm</v>
      </c>
      <c r="C328" s="10">
        <v>1</v>
      </c>
      <c r="D328" s="10"/>
      <c r="E328" s="11"/>
      <c r="F328" s="11"/>
      <c r="G328" s="12"/>
      <c r="H328" s="12"/>
      <c r="I328" s="13"/>
      <c r="J328" s="13"/>
      <c r="K328" s="144"/>
      <c r="L328" s="13"/>
      <c r="M328" s="13"/>
      <c r="N328" s="14">
        <f t="shared" si="9"/>
        <v>1</v>
      </c>
      <c r="O328" s="11"/>
      <c r="P328" s="15"/>
      <c r="Q328" s="75">
        <v>19408.978174486561</v>
      </c>
      <c r="R328" s="81">
        <v>18826.708829251966</v>
      </c>
      <c r="S328" s="17">
        <v>19579.777182422044</v>
      </c>
      <c r="T328" s="18">
        <v>1404.3270116958629</v>
      </c>
      <c r="U328" s="18"/>
      <c r="V328" s="22"/>
    </row>
    <row r="329" spans="1:22">
      <c r="A329" s="85" t="s">
        <v>333</v>
      </c>
      <c r="B329" s="74" t="str">
        <f>IFERROR(HYPERLINK(VLOOKUP(A329,ÜRÜNLER!A:C,3,FALSE),VLOOKUP(A329,ÜRÜNLER!A:B,2,FALSE)),"")</f>
        <v>iQ300 Gazlı Ocak, 75cm, 4 Gözlü, Sert Cam, Beyaz</v>
      </c>
      <c r="C329" s="10">
        <v>2</v>
      </c>
      <c r="D329" s="10"/>
      <c r="E329" s="11"/>
      <c r="F329" s="11"/>
      <c r="G329" s="12"/>
      <c r="H329" s="12"/>
      <c r="I329" s="13">
        <v>1</v>
      </c>
      <c r="J329" s="13"/>
      <c r="K329" s="144"/>
      <c r="L329" s="13"/>
      <c r="M329" s="13"/>
      <c r="N329" s="14">
        <f t="shared" si="9"/>
        <v>3</v>
      </c>
      <c r="O329" s="11"/>
      <c r="P329" s="15"/>
      <c r="Q329" s="133" t="s">
        <v>1347</v>
      </c>
      <c r="R329" s="24">
        <v>16000</v>
      </c>
      <c r="S329" s="17">
        <v>16640</v>
      </c>
      <c r="T329" s="18"/>
      <c r="U329" s="18"/>
      <c r="V329" s="22"/>
    </row>
    <row r="330" spans="1:22">
      <c r="A330" s="85" t="s">
        <v>334</v>
      </c>
      <c r="B330" s="74" t="str">
        <f>IFERROR(HYPERLINK(VLOOKUP(A330,ÜRÜNLER!A:C,3,FALSE),VLOOKUP(A330,ÜRÜNLER!A:B,2,FALSE)),"")</f>
        <v>iQ300 Gazlı Ocak, 75cm, 5 Gözlü, Sert Cam, Beyaz, Wok</v>
      </c>
      <c r="C330" s="10">
        <v>1</v>
      </c>
      <c r="D330" s="10"/>
      <c r="E330" s="11"/>
      <c r="F330" s="11">
        <v>1</v>
      </c>
      <c r="G330" s="12"/>
      <c r="H330" s="12"/>
      <c r="I330" s="13"/>
      <c r="J330" s="13"/>
      <c r="K330" s="144"/>
      <c r="L330" s="13"/>
      <c r="M330" s="13"/>
      <c r="N330" s="14">
        <f t="shared" si="9"/>
        <v>2</v>
      </c>
      <c r="O330" s="11"/>
      <c r="P330" s="15"/>
      <c r="Q330" s="133" t="s">
        <v>1347</v>
      </c>
      <c r="R330" s="24">
        <v>16000</v>
      </c>
      <c r="S330" s="17">
        <v>16640</v>
      </c>
      <c r="T330" s="18"/>
      <c r="U330" s="18"/>
      <c r="V330" s="22"/>
    </row>
    <row r="331" spans="1:22">
      <c r="A331" s="86" t="s">
        <v>335</v>
      </c>
      <c r="B331" s="74" t="str">
        <f>IFERROR(HYPERLINK(VLOOKUP(A331,ÜRÜNLER!A:C,3,FALSE),VLOOKUP(A331,ÜRÜNLER!A:B,2,FALSE)),"")</f>
        <v>iQ300 Gazlı Ocak, 75cm, 5 Gözlü, Sert Cam, Beyaz, Wok</v>
      </c>
      <c r="C331" s="10">
        <v>1</v>
      </c>
      <c r="D331" s="10"/>
      <c r="E331" s="11"/>
      <c r="F331" s="11"/>
      <c r="G331" s="12"/>
      <c r="H331" s="12"/>
      <c r="I331" s="13"/>
      <c r="J331" s="13"/>
      <c r="K331" s="144"/>
      <c r="L331" s="13">
        <v>1</v>
      </c>
      <c r="M331" s="13"/>
      <c r="N331" s="14">
        <f t="shared" si="9"/>
        <v>2</v>
      </c>
      <c r="O331" s="11"/>
      <c r="P331" s="15"/>
      <c r="Q331" s="75">
        <v>21869.152496855248</v>
      </c>
      <c r="R331" s="65">
        <v>20775.694872012486</v>
      </c>
      <c r="S331" s="17">
        <v>21606.722666892983</v>
      </c>
      <c r="T331" s="18"/>
      <c r="U331" s="18"/>
      <c r="V331" s="22"/>
    </row>
    <row r="332" spans="1:22">
      <c r="A332" s="85" t="s">
        <v>336</v>
      </c>
      <c r="B332" s="74" t="str">
        <f>IFERROR(HYPERLINK(VLOOKUP(A332,ÜRÜNLER!A:C,3,FALSE),VLOOKUP(A332,ÜRÜNLER!A:B,2,FALSE)),"")</f>
        <v>iQ300 Gazlı Ocak, 75cm, 5 Gözlü, Sert Cam, Siyah, Wok</v>
      </c>
      <c r="C332" s="10"/>
      <c r="D332" s="10"/>
      <c r="E332" s="11"/>
      <c r="F332" s="11"/>
      <c r="G332" s="12"/>
      <c r="H332" s="12"/>
      <c r="I332" s="13"/>
      <c r="J332" s="13"/>
      <c r="K332" s="144">
        <v>1</v>
      </c>
      <c r="L332" s="13"/>
      <c r="M332" s="13"/>
      <c r="N332" s="14">
        <f t="shared" si="9"/>
        <v>1</v>
      </c>
      <c r="O332" s="11"/>
      <c r="P332" s="15"/>
      <c r="Q332" s="133" t="s">
        <v>1347</v>
      </c>
      <c r="R332" s="24">
        <v>20000</v>
      </c>
      <c r="S332" s="17">
        <v>20800</v>
      </c>
      <c r="T332" s="18"/>
      <c r="U332" s="18"/>
      <c r="V332" s="22">
        <v>250</v>
      </c>
    </row>
    <row r="333" spans="1:22">
      <c r="A333" s="86" t="s">
        <v>337</v>
      </c>
      <c r="B333" s="74" t="str">
        <f>IFERROR(HYPERLINK(VLOOKUP(A333,ÜRÜNLER!A:C,3,FALSE),VLOOKUP(A333,ÜRÜNLER!A:B,2,FALSE)),"")</f>
        <v>iQ300 Gazlı Ocak, 75cm, 5 Gözlü, Sert Cam, Siyah, Wok</v>
      </c>
      <c r="C333" s="10">
        <v>2</v>
      </c>
      <c r="D333" s="10"/>
      <c r="E333" s="11"/>
      <c r="F333" s="11"/>
      <c r="G333" s="12"/>
      <c r="H333" s="12"/>
      <c r="I333" s="13"/>
      <c r="J333" s="13"/>
      <c r="K333" s="144"/>
      <c r="L333" s="13"/>
      <c r="M333" s="13"/>
      <c r="N333" s="14">
        <f t="shared" si="9"/>
        <v>2</v>
      </c>
      <c r="O333" s="11"/>
      <c r="P333" s="15"/>
      <c r="Q333" s="75">
        <v>21869.152496855248</v>
      </c>
      <c r="R333" s="65">
        <v>20775.694872012486</v>
      </c>
      <c r="S333" s="17">
        <v>21606.722666892983</v>
      </c>
      <c r="T333" s="18"/>
      <c r="U333" s="18"/>
      <c r="V333" s="22"/>
    </row>
    <row r="334" spans="1:22">
      <c r="A334" s="97" t="s">
        <v>338</v>
      </c>
      <c r="B334" s="74" t="str">
        <f>IFERROR(HYPERLINK(VLOOKUP(A334,ÜRÜNLER!A:C,3,FALSE),VLOOKUP(A334,ÜRÜNLER!A:B,2,FALSE)),"")</f>
        <v>iQ300 Gazlı Ocak, 75cm, 5 Gözlü, Sert Cam, Titanyum Gri, Wok</v>
      </c>
      <c r="C334" s="10">
        <v>4</v>
      </c>
      <c r="D334" s="10"/>
      <c r="E334" s="11"/>
      <c r="F334" s="11"/>
      <c r="G334" s="12"/>
      <c r="H334" s="12"/>
      <c r="I334" s="13">
        <v>2</v>
      </c>
      <c r="J334" s="13"/>
      <c r="K334" s="144">
        <v>1</v>
      </c>
      <c r="L334" s="13"/>
      <c r="M334" s="13">
        <v>1</v>
      </c>
      <c r="N334" s="14">
        <f t="shared" si="9"/>
        <v>8</v>
      </c>
      <c r="O334" s="11"/>
      <c r="P334" s="15"/>
      <c r="Q334" s="133" t="s">
        <v>1347</v>
      </c>
      <c r="R334" s="24">
        <v>22000</v>
      </c>
      <c r="S334" s="17">
        <v>22880</v>
      </c>
      <c r="T334" s="18"/>
      <c r="U334" s="18"/>
      <c r="V334" s="22"/>
    </row>
    <row r="335" spans="1:22">
      <c r="A335" s="97" t="s">
        <v>475</v>
      </c>
      <c r="B335" s="74" t="str">
        <f>IFERROR(HYPERLINK(VLOOKUP(A335,ÜRÜNLER!A:C,3,FALSE),VLOOKUP(A335,ÜRÜNLER!A:B,2,FALSE)),"")</f>
        <v>iQ300 Gazlı Ocak, 75cm, Sert Cam, Antrasit, Wok</v>
      </c>
      <c r="C335" s="10">
        <v>2</v>
      </c>
      <c r="D335" s="10"/>
      <c r="E335" s="11"/>
      <c r="F335" s="11"/>
      <c r="G335" s="12"/>
      <c r="H335" s="12"/>
      <c r="I335" s="13"/>
      <c r="J335" s="13"/>
      <c r="K335" s="144"/>
      <c r="L335" s="13"/>
      <c r="M335" s="13"/>
      <c r="N335" s="14">
        <f t="shared" si="9"/>
        <v>2</v>
      </c>
      <c r="O335" s="11"/>
      <c r="P335" s="15"/>
      <c r="Q335" s="75">
        <v>21869.152496855248</v>
      </c>
      <c r="R335" s="65">
        <v>20775.694872012486</v>
      </c>
      <c r="S335" s="17">
        <v>21606.722666892983</v>
      </c>
      <c r="T335" s="18"/>
      <c r="U335" s="18"/>
      <c r="V335" s="22"/>
    </row>
    <row r="336" spans="1:22">
      <c r="A336" s="85" t="s">
        <v>1340</v>
      </c>
      <c r="B336" s="74" t="str">
        <f>IFERROR(HYPERLINK(VLOOKUP(A336,ÜRÜNLER!A:C,3,FALSE),VLOOKUP(A336,ÜRÜNLER!A:B,2,FALSE)),"")</f>
        <v>iQ500 Gazlı Ocak, 75cm, 5 Gözlü, Sert Cam, Beyaz, Wok</v>
      </c>
      <c r="C336" s="10">
        <v>2</v>
      </c>
      <c r="D336" s="10"/>
      <c r="E336" s="11"/>
      <c r="F336" s="11"/>
      <c r="G336" s="12"/>
      <c r="H336" s="12"/>
      <c r="I336" s="13"/>
      <c r="J336" s="13"/>
      <c r="K336" s="144"/>
      <c r="L336" s="13"/>
      <c r="M336" s="13"/>
      <c r="N336" s="14">
        <f t="shared" si="9"/>
        <v>2</v>
      </c>
      <c r="O336" s="11"/>
      <c r="P336" s="15"/>
      <c r="Q336" s="75">
        <v>42802.552113694554</v>
      </c>
      <c r="R336" s="65">
        <v>40662.424508009826</v>
      </c>
      <c r="S336" s="17">
        <v>42288.921488330219</v>
      </c>
      <c r="T336" s="18"/>
      <c r="U336" s="18"/>
      <c r="V336" s="22"/>
    </row>
    <row r="337" spans="1:22">
      <c r="A337" s="85" t="s">
        <v>339</v>
      </c>
      <c r="B337" s="74" t="str">
        <f>IFERROR(HYPERLINK(VLOOKUP(A337,ÜRÜNLER!A:C,3,FALSE),VLOOKUP(A337,ÜRÜNLER!A:B,2,FALSE)),"")</f>
        <v>iQ500 Gazlı Ocak, 75cm, 5 Gözlü, Sert Cam, Beyaz, Döküm, Wok</v>
      </c>
      <c r="C337" s="10"/>
      <c r="D337" s="10"/>
      <c r="E337" s="11"/>
      <c r="F337" s="11"/>
      <c r="G337" s="12"/>
      <c r="H337" s="12"/>
      <c r="I337" s="13">
        <v>2</v>
      </c>
      <c r="J337" s="13">
        <v>1</v>
      </c>
      <c r="K337" s="144">
        <v>2</v>
      </c>
      <c r="L337" s="13">
        <v>1</v>
      </c>
      <c r="M337" s="13"/>
      <c r="N337" s="14">
        <f t="shared" si="9"/>
        <v>6</v>
      </c>
      <c r="O337" s="11"/>
      <c r="P337" s="15"/>
      <c r="Q337" s="133" t="s">
        <v>1347</v>
      </c>
      <c r="R337" s="24">
        <v>40503.896381559898</v>
      </c>
      <c r="S337" s="17">
        <v>42124.052236822296</v>
      </c>
      <c r="T337" s="18"/>
      <c r="U337" s="18"/>
      <c r="V337" s="22">
        <v>250</v>
      </c>
    </row>
    <row r="338" spans="1:22">
      <c r="A338" s="85" t="s">
        <v>340</v>
      </c>
      <c r="B338" s="74" t="str">
        <f>IFERROR(HYPERLINK(VLOOKUP(A338,ÜRÜNLER!A:C,3,FALSE),VLOOKUP(A338,ÜRÜNLER!A:B,2,FALSE)),"")</f>
        <v>iQ500 Gazlı Ocak, 75cm, 5 Gözlü, Sert Cam, Siyah, Wok</v>
      </c>
      <c r="C338" s="10"/>
      <c r="D338" s="10"/>
      <c r="E338" s="11"/>
      <c r="F338" s="11"/>
      <c r="G338" s="12"/>
      <c r="H338" s="12"/>
      <c r="I338" s="13">
        <v>1</v>
      </c>
      <c r="J338" s="13">
        <v>1</v>
      </c>
      <c r="K338" s="144">
        <v>2</v>
      </c>
      <c r="L338" s="13"/>
      <c r="M338" s="13"/>
      <c r="N338" s="14">
        <f t="shared" si="9"/>
        <v>4</v>
      </c>
      <c r="O338" s="11"/>
      <c r="P338" s="15"/>
      <c r="Q338" s="133" t="s">
        <v>1347</v>
      </c>
      <c r="R338" s="24">
        <v>40000</v>
      </c>
      <c r="S338" s="17">
        <v>41600</v>
      </c>
      <c r="T338" s="18"/>
      <c r="U338" s="18"/>
      <c r="V338" s="22">
        <v>250</v>
      </c>
    </row>
    <row r="339" spans="1:22">
      <c r="A339" s="86" t="s">
        <v>341</v>
      </c>
      <c r="B339" s="74" t="str">
        <f>IFERROR(HYPERLINK(VLOOKUP(A339,ÜRÜNLER!A:C,3,FALSE),VLOOKUP(A339,ÜRÜNLER!A:B,2,FALSE)),"")</f>
        <v>iQ500 Gazlı Ocak, 75cm, 5 Gözlü, Sert Cam, Siyah, Döküm, Wok</v>
      </c>
      <c r="C339" s="10"/>
      <c r="D339" s="10"/>
      <c r="E339" s="11"/>
      <c r="F339" s="11"/>
      <c r="G339" s="12"/>
      <c r="H339" s="12"/>
      <c r="I339" s="13">
        <v>1</v>
      </c>
      <c r="J339" s="13"/>
      <c r="K339" s="144"/>
      <c r="L339" s="13"/>
      <c r="M339" s="13"/>
      <c r="N339" s="14">
        <f t="shared" si="9"/>
        <v>1</v>
      </c>
      <c r="O339" s="11"/>
      <c r="P339" s="15"/>
      <c r="Q339" s="133" t="s">
        <v>1347</v>
      </c>
      <c r="R339" s="24">
        <v>40000</v>
      </c>
      <c r="S339" s="17">
        <v>41600</v>
      </c>
      <c r="T339" s="18"/>
      <c r="U339" s="18"/>
      <c r="V339" s="22">
        <v>250</v>
      </c>
    </row>
    <row r="340" spans="1:22">
      <c r="A340" s="86" t="s">
        <v>342</v>
      </c>
      <c r="B340" s="74" t="str">
        <f>IFERROR(HYPERLINK(VLOOKUP(A340,ÜRÜNLER!A:C,3,FALSE),VLOOKUP(A340,ÜRÜNLER!A:B,2,FALSE)),"")</f>
        <v>iQ500 Gazlı Ocak, 75cm, 5 Gözlü, Inox, Döküm, Wok</v>
      </c>
      <c r="C340" s="10">
        <v>1</v>
      </c>
      <c r="D340" s="10"/>
      <c r="E340" s="11"/>
      <c r="F340" s="11"/>
      <c r="G340" s="12"/>
      <c r="H340" s="12"/>
      <c r="I340" s="13"/>
      <c r="J340" s="13"/>
      <c r="K340" s="144"/>
      <c r="L340" s="13"/>
      <c r="M340" s="13"/>
      <c r="N340" s="14">
        <f t="shared" si="9"/>
        <v>1</v>
      </c>
      <c r="O340" s="11"/>
      <c r="P340" s="15"/>
      <c r="Q340" s="75">
        <v>39281.248229873469</v>
      </c>
      <c r="R340" s="65">
        <v>37317.185818379796</v>
      </c>
      <c r="S340" s="17">
        <v>38809.873251114986</v>
      </c>
      <c r="T340" s="18"/>
      <c r="U340" s="18"/>
      <c r="V340" s="41"/>
    </row>
    <row r="341" spans="1:22">
      <c r="A341" s="85" t="s">
        <v>343</v>
      </c>
      <c r="B341" s="74" t="str">
        <f>IFERROR(HYPERLINK(VLOOKUP(A341,ÜRÜNLER!A:C,3,FALSE),VLOOKUP(A341,ÜRÜNLER!A:B,2,FALSE)),"")</f>
        <v>iQ500 Gazlı Ocak, 75cm, 5 Gözlü, Inox, Döküm, Wok</v>
      </c>
      <c r="C341" s="10"/>
      <c r="D341" s="10"/>
      <c r="E341" s="11"/>
      <c r="F341" s="11"/>
      <c r="G341" s="12"/>
      <c r="H341" s="12"/>
      <c r="I341" s="13">
        <v>1</v>
      </c>
      <c r="J341" s="13"/>
      <c r="K341" s="144"/>
      <c r="L341" s="13"/>
      <c r="M341" s="13"/>
      <c r="N341" s="14">
        <f t="shared" si="9"/>
        <v>1</v>
      </c>
      <c r="O341" s="11"/>
      <c r="P341" s="15"/>
      <c r="Q341" s="133" t="s">
        <v>1347</v>
      </c>
      <c r="R341" s="24">
        <v>40000</v>
      </c>
      <c r="S341" s="17">
        <v>41600</v>
      </c>
      <c r="T341" s="18"/>
      <c r="U341" s="18"/>
      <c r="V341" s="22">
        <v>250</v>
      </c>
    </row>
    <row r="342" spans="1:22">
      <c r="A342" s="108" t="s">
        <v>344</v>
      </c>
      <c r="B342" s="74" t="str">
        <f>IFERROR(HYPERLINK(VLOOKUP(A342,ÜRÜNLER!A:C,3,FALSE),VLOOKUP(A342,ÜRÜNLER!A:B,2,FALSE)),"")</f>
        <v>iQ500 Gazlı Ocak, 90cm, 5 Gözlü, Sert Cam, Siyah, Döküm, Wok</v>
      </c>
      <c r="C342" s="10"/>
      <c r="D342" s="10"/>
      <c r="E342" s="11"/>
      <c r="F342" s="11"/>
      <c r="G342" s="12"/>
      <c r="H342" s="12"/>
      <c r="I342" s="13"/>
      <c r="J342" s="13"/>
      <c r="K342" s="144">
        <v>1</v>
      </c>
      <c r="L342" s="13"/>
      <c r="M342" s="13"/>
      <c r="N342" s="14">
        <f t="shared" si="9"/>
        <v>1</v>
      </c>
      <c r="O342" s="11"/>
      <c r="P342" s="15"/>
      <c r="Q342" s="133" t="s">
        <v>1347</v>
      </c>
      <c r="R342" s="24">
        <v>45000</v>
      </c>
      <c r="S342" s="17">
        <v>46800</v>
      </c>
      <c r="T342" s="18"/>
      <c r="U342" s="18"/>
      <c r="V342" s="22">
        <v>250</v>
      </c>
    </row>
    <row r="343" spans="1:22">
      <c r="A343" s="109" t="s">
        <v>345</v>
      </c>
      <c r="B343" s="74" t="str">
        <f>IFERROR(HYPERLINK(VLOOKUP(A343,ÜRÜNLER!A:C,3,FALSE),VLOOKUP(A343,ÜRÜNLER!A:B,2,FALSE)),"")</f>
        <v>iQ500 Gazlı Ocak, 90cm, 5 Gözlü, Sert Cam, Siyah, Döküm, Wok</v>
      </c>
      <c r="C343" s="10">
        <v>2</v>
      </c>
      <c r="D343" s="10"/>
      <c r="E343" s="11"/>
      <c r="F343" s="11"/>
      <c r="G343" s="12"/>
      <c r="H343" s="12"/>
      <c r="I343" s="13"/>
      <c r="J343" s="13">
        <v>1</v>
      </c>
      <c r="K343" s="144"/>
      <c r="L343" s="13"/>
      <c r="M343" s="13">
        <v>2</v>
      </c>
      <c r="N343" s="14">
        <f t="shared" si="9"/>
        <v>5</v>
      </c>
      <c r="O343" s="11"/>
      <c r="P343" s="15"/>
      <c r="Q343" s="75">
        <v>53395.248265570553</v>
      </c>
      <c r="R343" s="65">
        <v>50725.485852292026</v>
      </c>
      <c r="S343" s="17">
        <v>52754.505286383705</v>
      </c>
      <c r="T343" s="18"/>
      <c r="U343" s="18"/>
      <c r="V343" s="22"/>
    </row>
    <row r="344" spans="1:22">
      <c r="A344" s="86" t="s">
        <v>346</v>
      </c>
      <c r="B344" s="74" t="str">
        <f>IFERROR(HYPERLINK(VLOOKUP(A344,ÜRÜNLER!A:C,3,FALSE),VLOOKUP(A344,ÜRÜNLER!A:B,2,FALSE)),"")</f>
        <v>iQ700 Gazlı Domino Ocak, 30cm, Tek Gözlü, Seramik, Siyah, Wok</v>
      </c>
      <c r="C344" s="10">
        <v>5</v>
      </c>
      <c r="D344" s="10"/>
      <c r="E344" s="11"/>
      <c r="F344" s="11"/>
      <c r="G344" s="12"/>
      <c r="H344" s="12"/>
      <c r="I344" s="13"/>
      <c r="J344" s="13"/>
      <c r="K344" s="144"/>
      <c r="L344" s="13"/>
      <c r="M344" s="13"/>
      <c r="N344" s="14">
        <f t="shared" si="9"/>
        <v>5</v>
      </c>
      <c r="O344" s="11"/>
      <c r="P344" s="15"/>
      <c r="Q344" s="133" t="s">
        <v>1347</v>
      </c>
      <c r="R344" s="24">
        <v>35000</v>
      </c>
      <c r="S344" s="17">
        <v>36400</v>
      </c>
      <c r="T344" s="18"/>
      <c r="U344" s="18"/>
      <c r="V344" s="22"/>
    </row>
    <row r="345" spans="1:22">
      <c r="A345" s="86" t="s">
        <v>347</v>
      </c>
      <c r="B345" s="74" t="str">
        <f>IFERROR(HYPERLINK(VLOOKUP(A345,ÜRÜNLER!A:C,3,FALSE),VLOOKUP(A345,ÜRÜNLER!A:B,2,FALSE)),"")</f>
        <v>iQ500 Gazlı Ocak, 67cm, Sert Cam, Siyah, Wok, Döküm</v>
      </c>
      <c r="C345" s="10"/>
      <c r="D345" s="10"/>
      <c r="E345" s="11"/>
      <c r="F345" s="11"/>
      <c r="G345" s="12"/>
      <c r="H345" s="12"/>
      <c r="I345" s="13"/>
      <c r="J345" s="13"/>
      <c r="K345" s="144"/>
      <c r="L345" s="13"/>
      <c r="M345" s="13"/>
      <c r="N345" s="14">
        <f t="shared" si="9"/>
        <v>0</v>
      </c>
      <c r="O345" s="11">
        <v>2</v>
      </c>
      <c r="P345" s="15"/>
      <c r="Q345" s="75">
        <v>42802.552113694554</v>
      </c>
      <c r="R345" s="34">
        <v>42802.552113694554</v>
      </c>
      <c r="S345" s="17">
        <v>44514.654198242337</v>
      </c>
      <c r="T345" s="18"/>
      <c r="U345" s="18"/>
      <c r="V345" s="22"/>
    </row>
    <row r="346" spans="1:22">
      <c r="A346" s="86" t="s">
        <v>348</v>
      </c>
      <c r="B346" s="74" t="str">
        <f>IFERROR(HYPERLINK(VLOOKUP(A346,ÜRÜNLER!A:C,3,FALSE),VLOOKUP(A346,ÜRÜNLER!A:B,2,FALSE)),"")</f>
        <v>iQ700 Gazlı Domino Ocak, 30cm, 2 Gözlü, Seramik, Siyah</v>
      </c>
      <c r="C346" s="10">
        <v>2</v>
      </c>
      <c r="D346" s="10"/>
      <c r="E346" s="11"/>
      <c r="F346" s="11"/>
      <c r="G346" s="12">
        <v>1</v>
      </c>
      <c r="H346" s="12"/>
      <c r="I346" s="13"/>
      <c r="J346" s="13"/>
      <c r="K346" s="144"/>
      <c r="L346" s="13"/>
      <c r="M346" s="13"/>
      <c r="N346" s="14">
        <f t="shared" si="9"/>
        <v>3</v>
      </c>
      <c r="O346" s="11"/>
      <c r="P346" s="15"/>
      <c r="Q346" s="133" t="s">
        <v>1347</v>
      </c>
      <c r="R346" s="24">
        <v>40000</v>
      </c>
      <c r="S346" s="17">
        <v>41600</v>
      </c>
      <c r="T346" s="18"/>
      <c r="U346" s="18"/>
      <c r="V346" s="22"/>
    </row>
    <row r="347" spans="1:22">
      <c r="A347" s="86" t="s">
        <v>1335</v>
      </c>
      <c r="B347" s="74" t="str">
        <f>IFERROR(HYPERLINK(VLOOKUP(A347,ÜRÜNLER!A:C,3,FALSE),VLOOKUP(A347,ÜRÜNLER!A:B,2,FALSE)),"")</f>
        <v>iQ700 Gazlı Ocak, 90cm, 5 Gözlü, Sert Cam, Siyah, Döküm, Wok</v>
      </c>
      <c r="C347" s="10"/>
      <c r="D347" s="10">
        <v>1</v>
      </c>
      <c r="E347" s="11"/>
      <c r="F347" s="11"/>
      <c r="G347" s="12"/>
      <c r="H347" s="12"/>
      <c r="I347" s="13"/>
      <c r="J347" s="13"/>
      <c r="K347" s="144"/>
      <c r="L347" s="13"/>
      <c r="M347" s="13"/>
      <c r="N347" s="14">
        <f t="shared" si="9"/>
        <v>1</v>
      </c>
      <c r="O347" s="11"/>
      <c r="P347" s="15"/>
      <c r="Q347" s="75">
        <v>77888.798076923093</v>
      </c>
      <c r="R347" s="255">
        <v>72436.58221153848</v>
      </c>
      <c r="S347" s="17">
        <v>75334.045500000022</v>
      </c>
      <c r="T347" s="18"/>
      <c r="U347" s="18"/>
      <c r="V347" s="22"/>
    </row>
    <row r="348" spans="1:22">
      <c r="A348" s="108" t="s">
        <v>349</v>
      </c>
      <c r="B348" s="74" t="str">
        <f>IFERROR(HYPERLINK(VLOOKUP(A348,ÜRÜNLER!A:C,3,FALSE),VLOOKUP(A348,ÜRÜNLER!A:B,2,FALSE)),"")</f>
        <v>iQ700 Gazlı Ocak, 60cm, Seramik, Siyah, Döküm</v>
      </c>
      <c r="C348" s="10"/>
      <c r="D348" s="10"/>
      <c r="E348" s="11"/>
      <c r="F348" s="11"/>
      <c r="G348" s="12"/>
      <c r="H348" s="12"/>
      <c r="I348" s="13">
        <v>1</v>
      </c>
      <c r="J348" s="13"/>
      <c r="K348" s="144">
        <v>3</v>
      </c>
      <c r="L348" s="13"/>
      <c r="M348" s="13"/>
      <c r="N348" s="14">
        <f t="shared" si="9"/>
        <v>4</v>
      </c>
      <c r="O348" s="11"/>
      <c r="P348" s="15"/>
      <c r="Q348" s="133" t="s">
        <v>1347</v>
      </c>
      <c r="R348" s="24">
        <v>30000</v>
      </c>
      <c r="S348" s="17">
        <v>31200</v>
      </c>
      <c r="T348" s="18"/>
      <c r="U348" s="18"/>
      <c r="V348" s="22"/>
    </row>
    <row r="349" spans="1:22">
      <c r="A349" s="86" t="s">
        <v>350</v>
      </c>
      <c r="B349" s="74" t="str">
        <f>IFERROR(HYPERLINK(VLOOKUP(A349,ÜRÜNLER!A:C,3,FALSE),VLOOKUP(A349,ÜRÜNLER!A:B,2,FALSE)),"")</f>
        <v>iQ500 Moduler Teppanyaki, 40cm, Inox</v>
      </c>
      <c r="C349" s="10">
        <v>2</v>
      </c>
      <c r="D349" s="10"/>
      <c r="E349" s="11"/>
      <c r="F349" s="11"/>
      <c r="G349" s="12"/>
      <c r="H349" s="12"/>
      <c r="I349" s="13"/>
      <c r="J349" s="13"/>
      <c r="K349" s="144"/>
      <c r="L349" s="13"/>
      <c r="M349" s="13"/>
      <c r="N349" s="14">
        <f t="shared" si="9"/>
        <v>2</v>
      </c>
      <c r="O349" s="11"/>
      <c r="P349" s="15"/>
      <c r="Q349" s="133" t="s">
        <v>1347</v>
      </c>
      <c r="R349" s="24">
        <v>120000</v>
      </c>
      <c r="S349" s="17">
        <v>124800</v>
      </c>
      <c r="T349" s="18"/>
      <c r="U349" s="18"/>
      <c r="V349" s="22"/>
    </row>
    <row r="350" spans="1:22" ht="27.75" customHeight="1">
      <c r="A350" s="110" t="s">
        <v>351</v>
      </c>
      <c r="B350" s="74" t="str">
        <f>IFERROR(HYPERLINK(VLOOKUP(A350,ÜRÜNLER!A:C,3,FALSE),VLOOKUP(A350,ÜRÜNLER!A:B,2,FALSE)),"")</f>
        <v/>
      </c>
      <c r="C350" s="10"/>
      <c r="D350" s="10"/>
      <c r="E350" s="11"/>
      <c r="F350" s="11"/>
      <c r="G350" s="12"/>
      <c r="H350" s="12"/>
      <c r="I350" s="13"/>
      <c r="J350" s="13"/>
      <c r="K350" s="144"/>
      <c r="L350" s="13"/>
      <c r="M350" s="13"/>
      <c r="N350" s="14"/>
      <c r="O350" s="11"/>
      <c r="P350" s="11"/>
      <c r="Q350" s="133"/>
      <c r="R350" s="24"/>
      <c r="S350" s="17"/>
      <c r="T350" s="18"/>
      <c r="U350" s="18"/>
      <c r="V350" s="22"/>
    </row>
    <row r="351" spans="1:22">
      <c r="A351" s="85" t="s">
        <v>352</v>
      </c>
      <c r="B351" s="74" t="str">
        <f>IFERROR(HYPERLINK(VLOOKUP(A351,ÜRÜNLER!A:C,3,FALSE),VLOOKUP(A351,ÜRÜNLER!A:B,2,FALSE)),"")</f>
        <v>iQ100 Elektrikli Ocak, 60cm, Çerçevesiz, Siyah</v>
      </c>
      <c r="C351" s="10">
        <v>13</v>
      </c>
      <c r="D351" s="10"/>
      <c r="E351" s="11"/>
      <c r="F351" s="11"/>
      <c r="G351" s="12"/>
      <c r="H351" s="12"/>
      <c r="I351" s="13">
        <v>2</v>
      </c>
      <c r="J351" s="13">
        <v>1</v>
      </c>
      <c r="K351" s="144">
        <v>1</v>
      </c>
      <c r="L351" s="13">
        <v>1</v>
      </c>
      <c r="M351" s="13"/>
      <c r="N351" s="14">
        <f>SUM(C351:M351)</f>
        <v>18</v>
      </c>
      <c r="O351" s="11"/>
      <c r="P351" s="15"/>
      <c r="Q351" s="75">
        <v>21507.561282624778</v>
      </c>
      <c r="R351" s="65">
        <v>20432.183218493537</v>
      </c>
      <c r="S351" s="17">
        <v>21249.470547233279</v>
      </c>
      <c r="T351" s="18"/>
      <c r="U351" s="18"/>
      <c r="V351" s="22"/>
    </row>
    <row r="352" spans="1:22">
      <c r="A352" s="85" t="s">
        <v>353</v>
      </c>
      <c r="B352" s="74" t="str">
        <f>IFERROR(HYPERLINK(VLOOKUP(A352,ÜRÜNLER!A:C,3,FALSE),VLOOKUP(A352,ÜRÜNLER!A:B,2,FALSE)),"")</f>
        <v>iQ100 Elektrikli Ocak, 60cm, Çerçevesiz, Beyaz</v>
      </c>
      <c r="C352" s="10">
        <v>12</v>
      </c>
      <c r="D352" s="10"/>
      <c r="E352" s="11"/>
      <c r="F352" s="11"/>
      <c r="G352" s="12"/>
      <c r="H352" s="12"/>
      <c r="I352" s="13">
        <v>2</v>
      </c>
      <c r="J352" s="13"/>
      <c r="K352" s="144"/>
      <c r="L352" s="13"/>
      <c r="M352" s="13"/>
      <c r="N352" s="14">
        <f>SUM(C352:M352)</f>
        <v>14</v>
      </c>
      <c r="O352" s="11"/>
      <c r="P352" s="15"/>
      <c r="Q352" s="75">
        <v>26291.599234666766</v>
      </c>
      <c r="R352" s="65">
        <v>24977.019272933427</v>
      </c>
      <c r="S352" s="17">
        <v>25976.100043850765</v>
      </c>
      <c r="T352" s="18"/>
      <c r="U352" s="18"/>
      <c r="V352" s="22"/>
    </row>
    <row r="353" spans="1:22">
      <c r="A353" s="85" t="s">
        <v>354</v>
      </c>
      <c r="B353" s="74" t="str">
        <f>IFERROR(HYPERLINK(VLOOKUP(A353,ÜRÜNLER!A:C,3,FALSE),VLOOKUP(A353,ÜRÜNLER!A:B,2,FALSE)),"")</f>
        <v>iQ300 Elektrikli Ocak, 60cm, Çerçevesiz, Siyah</v>
      </c>
      <c r="C353" s="10">
        <v>6</v>
      </c>
      <c r="D353" s="10"/>
      <c r="E353" s="11"/>
      <c r="F353" s="11"/>
      <c r="G353" s="12">
        <v>1</v>
      </c>
      <c r="H353" s="12"/>
      <c r="I353" s="13"/>
      <c r="J353" s="13"/>
      <c r="K353" s="144"/>
      <c r="L353" s="13"/>
      <c r="M353" s="13"/>
      <c r="N353" s="14">
        <f>SUM(C353:M353)</f>
        <v>7</v>
      </c>
      <c r="O353" s="11">
        <v>6</v>
      </c>
      <c r="P353" s="15"/>
      <c r="Q353" s="75">
        <v>26066.701829397189</v>
      </c>
      <c r="R353" s="65">
        <v>24763.366737927328</v>
      </c>
      <c r="S353" s="17">
        <v>25753.90140744442</v>
      </c>
      <c r="T353" s="18"/>
      <c r="U353" s="18"/>
      <c r="V353" s="22"/>
    </row>
    <row r="354" spans="1:22">
      <c r="A354" s="85" t="s">
        <v>355</v>
      </c>
      <c r="B354" s="74" t="str">
        <f>IFERROR(HYPERLINK(VLOOKUP(A354,ÜRÜNLER!A:C,3,FALSE),VLOOKUP(A354,ÜRÜNLER!A:B,2,FALSE)),"")</f>
        <v>iQ300 Elektrikli Ocak, 70cm, Çerçeveli, Siyah</v>
      </c>
      <c r="C354" s="10">
        <v>3</v>
      </c>
      <c r="D354" s="10"/>
      <c r="E354" s="11"/>
      <c r="F354" s="11"/>
      <c r="G354" s="12"/>
      <c r="H354" s="12"/>
      <c r="I354" s="13">
        <v>1</v>
      </c>
      <c r="J354" s="13"/>
      <c r="K354" s="144"/>
      <c r="L354" s="13"/>
      <c r="M354" s="13">
        <v>1</v>
      </c>
      <c r="N354" s="14">
        <f>SUM(C354:M354)</f>
        <v>5</v>
      </c>
      <c r="O354" s="11"/>
      <c r="P354" s="15"/>
      <c r="Q354" s="133" t="s">
        <v>1347</v>
      </c>
      <c r="R354" s="146">
        <v>40000</v>
      </c>
      <c r="S354" s="17">
        <v>41600</v>
      </c>
      <c r="T354" s="18"/>
      <c r="U354" s="18"/>
      <c r="V354" s="22"/>
    </row>
    <row r="355" spans="1:22">
      <c r="A355" s="85" t="s">
        <v>356</v>
      </c>
      <c r="B355" s="74" t="str">
        <f>IFERROR(HYPERLINK(VLOOKUP(A355,ÜRÜNLER!A:C,3,FALSE),VLOOKUP(A355,ÜRÜNLER!A:B,2,FALSE)),"")</f>
        <v>iQ500 Elektrikli Ocak, 80cm, Çerçeveli, Siyah</v>
      </c>
      <c r="C355" s="10">
        <v>4</v>
      </c>
      <c r="D355" s="10"/>
      <c r="E355" s="11"/>
      <c r="F355" s="11"/>
      <c r="G355" s="12"/>
      <c r="H355" s="12"/>
      <c r="I355" s="13"/>
      <c r="J355" s="13"/>
      <c r="K355" s="144"/>
      <c r="L355" s="13"/>
      <c r="M355" s="13"/>
      <c r="N355" s="14">
        <f>SUM(C355:M355)</f>
        <v>4</v>
      </c>
      <c r="O355" s="11">
        <v>3</v>
      </c>
      <c r="P355" s="15"/>
      <c r="Q355" s="75">
        <v>51595.778829346098</v>
      </c>
      <c r="R355" s="65">
        <v>49015.989887878794</v>
      </c>
      <c r="S355" s="17">
        <v>50976.629483393946</v>
      </c>
      <c r="T355" s="18"/>
      <c r="U355" s="18"/>
      <c r="V355" s="22"/>
    </row>
    <row r="356" spans="1:22" ht="30">
      <c r="A356" s="110" t="s">
        <v>357</v>
      </c>
      <c r="B356" s="74" t="str">
        <f>IFERROR(HYPERLINK(VLOOKUP(A356,ÜRÜNLER!A:C,3,FALSE),VLOOKUP(A356,ÜRÜNLER!A:B,2,FALSE)),"")</f>
        <v/>
      </c>
      <c r="C356" s="10"/>
      <c r="D356" s="10"/>
      <c r="E356" s="11"/>
      <c r="F356" s="11"/>
      <c r="G356" s="12"/>
      <c r="H356" s="12"/>
      <c r="I356" s="13"/>
      <c r="J356" s="13"/>
      <c r="K356" s="144"/>
      <c r="L356" s="13"/>
      <c r="M356" s="13"/>
      <c r="N356" s="14">
        <f>SUM(N351:N355)</f>
        <v>48</v>
      </c>
      <c r="O356" s="11"/>
      <c r="P356" s="11"/>
      <c r="Q356" s="133"/>
      <c r="R356" s="24"/>
      <c r="S356" s="17"/>
      <c r="T356" s="18"/>
      <c r="U356" s="18"/>
      <c r="V356" s="22"/>
    </row>
    <row r="357" spans="1:22">
      <c r="A357" s="85" t="s">
        <v>358</v>
      </c>
      <c r="B357" s="74" t="str">
        <f>IFERROR(HYPERLINK(VLOOKUP(A357,ÜRÜNLER!A:C,3,FALSE),VLOOKUP(A357,ÜRÜNLER!A:B,2,FALSE)),"")</f>
        <v>iQ100 İndüksiyonlu Ocak, 60cm, Çerçevesiz, Siyah</v>
      </c>
      <c r="C357" s="10">
        <v>5</v>
      </c>
      <c r="D357" s="10"/>
      <c r="E357" s="11">
        <v>1</v>
      </c>
      <c r="F357" s="11"/>
      <c r="G357" s="12"/>
      <c r="H357" s="12"/>
      <c r="I357" s="13">
        <v>1</v>
      </c>
      <c r="J357" s="13">
        <v>1</v>
      </c>
      <c r="K357" s="144"/>
      <c r="L357" s="13">
        <v>2</v>
      </c>
      <c r="M357" s="13"/>
      <c r="N357" s="14">
        <f t="shared" ref="N357:N363" si="10">SUM(C357:M357)</f>
        <v>10</v>
      </c>
      <c r="O357" s="11"/>
      <c r="P357" s="15"/>
      <c r="Q357" s="75">
        <v>21320.242246304522</v>
      </c>
      <c r="R357" s="65">
        <v>20254.230133989295</v>
      </c>
      <c r="S357" s="17">
        <v>21064.399339348867</v>
      </c>
      <c r="T357" s="18"/>
      <c r="U357" s="18"/>
      <c r="V357" s="22"/>
    </row>
    <row r="358" spans="1:22">
      <c r="A358" s="82" t="s">
        <v>359</v>
      </c>
      <c r="B358" s="74" t="str">
        <f>IFERROR(HYPERLINK(VLOOKUP(A358,ÜRÜNLER!A:C,3,FALSE),VLOOKUP(A358,ÜRÜNLER!A:B,2,FALSE)),"")</f>
        <v>iQ700 İndüksiyonlu Ocak, 60cm, Çerçeveli, Siyah</v>
      </c>
      <c r="C358" s="10"/>
      <c r="D358" s="10"/>
      <c r="E358" s="11"/>
      <c r="F358" s="11"/>
      <c r="G358" s="12"/>
      <c r="H358" s="12"/>
      <c r="I358" s="13"/>
      <c r="J358" s="13">
        <v>1</v>
      </c>
      <c r="K358" s="144"/>
      <c r="L358" s="13"/>
      <c r="M358" s="13"/>
      <c r="N358" s="14">
        <f t="shared" si="10"/>
        <v>1</v>
      </c>
      <c r="O358" s="11">
        <v>2</v>
      </c>
      <c r="P358" s="15"/>
      <c r="Q358" s="75">
        <v>69658.958581571889</v>
      </c>
      <c r="R358" s="63">
        <v>69658.958581571889</v>
      </c>
      <c r="S358" s="17">
        <v>72445.316924834769</v>
      </c>
      <c r="T358" s="18"/>
      <c r="U358" s="18"/>
      <c r="V358" s="22"/>
    </row>
    <row r="359" spans="1:22">
      <c r="A359" s="82" t="s">
        <v>360</v>
      </c>
      <c r="B359" s="74" t="str">
        <f>IFERROR(HYPERLINK(VLOOKUP(A359,ÜRÜNLER!A:C,3,FALSE),VLOOKUP(A359,ÜRÜNLER!A:B,2,FALSE)),"")</f>
        <v>iQ700 studioLine İndüksiyonlu Ocak, 80cm, FlushMount, Siyah</v>
      </c>
      <c r="C359" s="10"/>
      <c r="D359" s="10">
        <v>3</v>
      </c>
      <c r="E359" s="11"/>
      <c r="F359" s="11"/>
      <c r="G359" s="12"/>
      <c r="H359" s="12"/>
      <c r="I359" s="13"/>
      <c r="J359" s="13"/>
      <c r="K359" s="144"/>
      <c r="L359" s="13"/>
      <c r="M359" s="13"/>
      <c r="N359" s="14">
        <f t="shared" si="10"/>
        <v>3</v>
      </c>
      <c r="O359" s="11">
        <v>2</v>
      </c>
      <c r="P359" s="15"/>
      <c r="Q359" s="75">
        <v>79689.739420189508</v>
      </c>
      <c r="R359" s="33">
        <v>74111.457660776243</v>
      </c>
      <c r="S359" s="17">
        <v>77075.915967207286</v>
      </c>
      <c r="T359" s="18"/>
      <c r="U359" s="18"/>
      <c r="V359" s="22"/>
    </row>
    <row r="360" spans="1:22">
      <c r="A360" s="82" t="s">
        <v>361</v>
      </c>
      <c r="B360" s="74" t="str">
        <f>IFERROR(HYPERLINK(VLOOKUP(A360,ÜRÜNLER!A:C,3,FALSE),VLOOKUP(A360,ÜRÜNLER!A:B,2,FALSE)),"")</f>
        <v>iQ700 studioLine İndüksiyonlu Ocak, 80cm, FlushMount, Siyah</v>
      </c>
      <c r="C360" s="10"/>
      <c r="D360" s="10">
        <v>3</v>
      </c>
      <c r="E360" s="11"/>
      <c r="F360" s="11"/>
      <c r="G360" s="12"/>
      <c r="H360" s="12">
        <v>1</v>
      </c>
      <c r="I360" s="13"/>
      <c r="J360" s="13"/>
      <c r="K360" s="144"/>
      <c r="L360" s="13"/>
      <c r="M360" s="13"/>
      <c r="N360" s="14">
        <f t="shared" si="10"/>
        <v>4</v>
      </c>
      <c r="O360" s="11"/>
      <c r="P360" s="15"/>
      <c r="Q360" s="75">
        <v>102806</v>
      </c>
      <c r="R360" s="33">
        <v>95609.58</v>
      </c>
      <c r="S360" s="17">
        <v>99433.963199999998</v>
      </c>
      <c r="T360" s="18"/>
      <c r="U360" s="18"/>
      <c r="V360" s="19">
        <v>500</v>
      </c>
    </row>
    <row r="361" spans="1:22">
      <c r="A361" s="82" t="s">
        <v>362</v>
      </c>
      <c r="B361" s="74" t="str">
        <f>IFERROR(HYPERLINK(VLOOKUP(A361,ÜRÜNLER!A:C,3,FALSE),VLOOKUP(A361,ÜRÜNLER!A:B,2,FALSE)),"")</f>
        <v>iQ700 studioLine İndüksiyonlu Ocak, 80cm, Çerçeveli, Siyah</v>
      </c>
      <c r="C361" s="10"/>
      <c r="D361" s="10">
        <v>1</v>
      </c>
      <c r="E361" s="11"/>
      <c r="F361" s="11"/>
      <c r="G361" s="12"/>
      <c r="H361" s="12"/>
      <c r="I361" s="13"/>
      <c r="J361" s="13"/>
      <c r="K361" s="144"/>
      <c r="L361" s="13"/>
      <c r="M361" s="13"/>
      <c r="N361" s="14">
        <f t="shared" si="10"/>
        <v>1</v>
      </c>
      <c r="O361" s="11"/>
      <c r="P361" s="15"/>
      <c r="Q361" s="75">
        <v>174205</v>
      </c>
      <c r="R361" s="33">
        <v>162010.65</v>
      </c>
      <c r="S361" s="17">
        <v>168491.076</v>
      </c>
      <c r="T361" s="18"/>
      <c r="U361" s="18"/>
      <c r="V361" s="19">
        <v>500</v>
      </c>
    </row>
    <row r="362" spans="1:22">
      <c r="A362" s="85" t="s">
        <v>365</v>
      </c>
      <c r="B362" s="74" t="str">
        <f>IFERROR(HYPERLINK(VLOOKUP(A362,ÜRÜNLER!A:C,3,FALSE),VLOOKUP(A362,ÜRÜNLER!A:B,2,FALSE)),"")</f>
        <v>iQ300 İndüksiyonlu Ocak, 90cm, Çerçeveli, Siyah</v>
      </c>
      <c r="C362" s="10">
        <v>4</v>
      </c>
      <c r="D362" s="10"/>
      <c r="E362" s="11"/>
      <c r="F362" s="11"/>
      <c r="G362" s="12"/>
      <c r="H362" s="12"/>
      <c r="I362" s="13"/>
      <c r="J362" s="13">
        <v>1</v>
      </c>
      <c r="K362" s="144">
        <v>1</v>
      </c>
      <c r="L362" s="13"/>
      <c r="M362" s="13"/>
      <c r="N362" s="14">
        <f t="shared" si="10"/>
        <v>6</v>
      </c>
      <c r="O362" s="11"/>
      <c r="P362" s="15"/>
      <c r="Q362" s="75">
        <v>92543.660669007018</v>
      </c>
      <c r="R362" s="33">
        <v>86065.604422176533</v>
      </c>
      <c r="S362" s="17">
        <v>89508.228599063601</v>
      </c>
      <c r="T362" s="18"/>
      <c r="U362" s="18"/>
      <c r="V362" s="22"/>
    </row>
    <row r="363" spans="1:22">
      <c r="A363" s="82" t="s">
        <v>366</v>
      </c>
      <c r="B363" s="74" t="str">
        <f>IFERROR(HYPERLINK(VLOOKUP(A363,ÜRÜNLER!A:C,3,FALSE),VLOOKUP(A363,ÜRÜNLER!A:B,2,FALSE)),"")</f>
        <v>iQ700 İndüksiyonlu Ocak, 90cm, Çerçeveli, Siyah</v>
      </c>
      <c r="C363" s="10">
        <v>5</v>
      </c>
      <c r="D363" s="10"/>
      <c r="E363" s="11"/>
      <c r="F363" s="11"/>
      <c r="G363" s="12"/>
      <c r="H363" s="12"/>
      <c r="I363" s="13"/>
      <c r="J363" s="13"/>
      <c r="K363" s="144"/>
      <c r="L363" s="13"/>
      <c r="M363" s="13"/>
      <c r="N363" s="14">
        <f t="shared" si="10"/>
        <v>5</v>
      </c>
      <c r="O363" s="11"/>
      <c r="P363" s="15"/>
      <c r="Q363" s="75">
        <v>101255.87662379886</v>
      </c>
      <c r="R363" s="33">
        <v>94167.965260132944</v>
      </c>
      <c r="S363" s="17">
        <v>97934.683870538254</v>
      </c>
      <c r="T363" s="18"/>
      <c r="U363" s="18"/>
      <c r="V363" s="22"/>
    </row>
    <row r="364" spans="1:22" ht="33.75">
      <c r="A364" s="111" t="s">
        <v>485</v>
      </c>
      <c r="B364" s="74" t="str">
        <f>IFERROR(HYPERLINK(VLOOKUP(A364,ÜRÜNLER!A:C,3,FALSE),VLOOKUP(A364,ÜRÜNLER!A:B,2,FALSE)),"")</f>
        <v/>
      </c>
      <c r="C364" s="10"/>
      <c r="D364" s="10"/>
      <c r="E364" s="11"/>
      <c r="F364" s="11"/>
      <c r="G364" s="12"/>
      <c r="H364" s="12"/>
      <c r="I364" s="13"/>
      <c r="J364" s="13"/>
      <c r="K364" s="144"/>
      <c r="L364" s="13"/>
      <c r="M364" s="13"/>
      <c r="N364" s="14">
        <f>SUM(N357:N363)</f>
        <v>30</v>
      </c>
      <c r="O364" s="11"/>
      <c r="P364" s="11"/>
      <c r="Q364" s="133"/>
      <c r="R364" s="24"/>
      <c r="S364" s="17"/>
      <c r="T364" s="18"/>
      <c r="U364" s="18"/>
      <c r="V364" s="22"/>
    </row>
    <row r="365" spans="1:22">
      <c r="A365" s="85" t="s">
        <v>473</v>
      </c>
      <c r="B365" s="74" t="str">
        <f>IFERROR(HYPERLINK(VLOOKUP(A365,ÜRÜNLER!A:C,3,FALSE),VLOOKUP(A365,ÜRÜNLER!A:B,2,FALSE)),"")</f>
        <v>iQ300 Davlumbaz Entegreli İndüksiyonlu Ocak, 80cm, Çerçevesiz, Siyah</v>
      </c>
      <c r="C365" s="10">
        <v>2</v>
      </c>
      <c r="D365" s="10"/>
      <c r="E365" s="11"/>
      <c r="F365" s="11"/>
      <c r="G365" s="12"/>
      <c r="H365" s="12"/>
      <c r="I365" s="13"/>
      <c r="J365" s="13"/>
      <c r="K365" s="144"/>
      <c r="L365" s="13"/>
      <c r="M365" s="13"/>
      <c r="N365" s="14">
        <f>SUM(C365:M365)</f>
        <v>2</v>
      </c>
      <c r="O365" s="11"/>
      <c r="P365" s="15"/>
      <c r="Q365" s="75">
        <v>79420.931511754403</v>
      </c>
      <c r="R365" s="65">
        <v>75449.88493616668</v>
      </c>
      <c r="S365" s="17">
        <v>78467.880333613342</v>
      </c>
      <c r="T365" s="18"/>
      <c r="U365" s="18"/>
      <c r="V365" s="22"/>
    </row>
    <row r="366" spans="1:22">
      <c r="A366" s="85" t="s">
        <v>364</v>
      </c>
      <c r="B366" s="74" t="str">
        <f>IFERROR(HYPERLINK(VLOOKUP(A366,ÜRÜNLER!A:C,3,FALSE),VLOOKUP(A366,ÜRÜNLER!A:B,2,FALSE)),"")</f>
        <v>iQ300 Davlumbaz Entegreli İndüksiyonlu Ocak, 80cm, Çerçevesiz, Siyah</v>
      </c>
      <c r="C366" s="10"/>
      <c r="D366" s="10"/>
      <c r="E366" s="11"/>
      <c r="F366" s="11"/>
      <c r="G366" s="12">
        <v>1</v>
      </c>
      <c r="H366" s="12"/>
      <c r="I366" s="13"/>
      <c r="J366" s="13"/>
      <c r="K366" s="144"/>
      <c r="L366" s="13"/>
      <c r="M366" s="13"/>
      <c r="N366" s="14">
        <f>SUM(C366:M366)</f>
        <v>1</v>
      </c>
      <c r="O366" s="11"/>
      <c r="P366" s="15"/>
      <c r="Q366" s="133" t="s">
        <v>1347</v>
      </c>
      <c r="R366" s="24">
        <v>75000</v>
      </c>
      <c r="S366" s="17">
        <v>78000</v>
      </c>
      <c r="T366" s="18"/>
      <c r="U366" s="18"/>
      <c r="V366" s="22">
        <v>250</v>
      </c>
    </row>
    <row r="367" spans="1:22">
      <c r="A367" s="85" t="s">
        <v>472</v>
      </c>
      <c r="B367" s="74" t="str">
        <f>IFERROR(HYPERLINK(VLOOKUP(A367,ÜRÜNLER!A:C,3,FALSE),VLOOKUP(A367,ÜRÜNLER!A:B,2,FALSE)),"")</f>
        <v>iQ700 Davlumbaz Entegreli İndüksiyonlu Ocak, 80cm, Çerçeveli, Siyah</v>
      </c>
      <c r="C367" s="10">
        <v>2</v>
      </c>
      <c r="D367" s="10"/>
      <c r="E367" s="11"/>
      <c r="F367" s="11"/>
      <c r="G367" s="12"/>
      <c r="H367" s="12"/>
      <c r="I367" s="13"/>
      <c r="J367" s="13"/>
      <c r="K367" s="144"/>
      <c r="L367" s="13"/>
      <c r="M367" s="13"/>
      <c r="N367" s="14">
        <f>SUM(C367:M367)</f>
        <v>2</v>
      </c>
      <c r="O367" s="11"/>
      <c r="P367" s="15"/>
      <c r="Q367" s="75">
        <v>92349.508566818578</v>
      </c>
      <c r="R367" s="65">
        <v>87732.033138477651</v>
      </c>
      <c r="S367" s="17">
        <v>91241.314464016759</v>
      </c>
      <c r="T367" s="18"/>
      <c r="U367" s="18"/>
      <c r="V367" s="22"/>
    </row>
    <row r="368" spans="1:22">
      <c r="A368" s="85" t="s">
        <v>363</v>
      </c>
      <c r="B368" s="74" t="str">
        <f>IFERROR(HYPERLINK(VLOOKUP(A368,ÜRÜNLER!A:C,3,FALSE),VLOOKUP(A368,ÜRÜNLER!A:B,2,FALSE)),"")</f>
        <v>iQ700 studioLine Davlumbaz Entegreli İndüksiyonlu Ocak, 80cm, Çerçeveli, Siyah</v>
      </c>
      <c r="C368" s="10"/>
      <c r="D368" s="10">
        <v>4</v>
      </c>
      <c r="E368" s="11"/>
      <c r="F368" s="11"/>
      <c r="G368" s="12"/>
      <c r="H368" s="12">
        <v>1</v>
      </c>
      <c r="I368" s="13"/>
      <c r="J368" s="13"/>
      <c r="K368" s="144"/>
      <c r="L368" s="13"/>
      <c r="M368" s="13"/>
      <c r="N368" s="14">
        <f>SUM(C368:M368)</f>
        <v>5</v>
      </c>
      <c r="O368" s="11"/>
      <c r="P368" s="15"/>
      <c r="Q368" s="75">
        <v>121937.08168357836</v>
      </c>
      <c r="R368" s="33">
        <v>113401.48596572787</v>
      </c>
      <c r="S368" s="17">
        <v>117937.54540435699</v>
      </c>
      <c r="T368" s="18"/>
      <c r="U368" s="18"/>
      <c r="V368" s="19">
        <v>500</v>
      </c>
    </row>
    <row r="369" spans="1:24" s="45" customFormat="1" ht="31.5">
      <c r="A369" s="47" t="s">
        <v>367</v>
      </c>
      <c r="B369" s="74" t="str">
        <f>IFERROR(HYPERLINK(VLOOKUP(A369,ÜRÜNLER!A:C,3,FALSE),VLOOKUP(A369,ÜRÜNLER!A:B,2,FALSE)),"")</f>
        <v/>
      </c>
      <c r="C369" s="10"/>
      <c r="D369" s="10"/>
      <c r="E369" s="11"/>
      <c r="F369" s="11"/>
      <c r="G369" s="12"/>
      <c r="H369" s="12"/>
      <c r="I369" s="13"/>
      <c r="J369" s="13"/>
      <c r="K369" s="144"/>
      <c r="L369" s="13"/>
      <c r="M369" s="13"/>
      <c r="N369" s="14">
        <f>SUM(N365:N368)</f>
        <v>10</v>
      </c>
      <c r="O369" s="11"/>
      <c r="P369" s="11"/>
      <c r="Q369" s="133"/>
      <c r="R369" s="24"/>
      <c r="S369" s="17"/>
      <c r="U369" s="18"/>
      <c r="V369" s="22"/>
      <c r="W369" s="140"/>
    </row>
    <row r="370" spans="1:24">
      <c r="A370" s="82" t="s">
        <v>368</v>
      </c>
      <c r="B370" s="74" t="str">
        <f>IFERROR(HYPERLINK(VLOOKUP(A370,ÜRÜNLER!A:C,3,FALSE),VLOOKUP(A370,ÜRÜNLER!A:B,2,FALSE)),"")</f>
        <v>iQ700 Ankastre Tam Otomatik Kahve Makinesi, Siyah/Inox</v>
      </c>
      <c r="C370" s="10"/>
      <c r="D370" s="10"/>
      <c r="E370" s="11"/>
      <c r="F370" s="11"/>
      <c r="G370" s="12"/>
      <c r="H370" s="12"/>
      <c r="I370" s="13"/>
      <c r="J370" s="13"/>
      <c r="K370" s="144">
        <v>1</v>
      </c>
      <c r="L370" s="13"/>
      <c r="M370" s="13"/>
      <c r="N370" s="14">
        <f t="shared" ref="N370:N399" si="11">SUM(C370:M370)</f>
        <v>1</v>
      </c>
      <c r="O370" s="11"/>
      <c r="P370" s="15"/>
      <c r="Q370" s="133" t="s">
        <v>1347</v>
      </c>
      <c r="R370" s="24">
        <v>100000</v>
      </c>
      <c r="S370" s="17">
        <v>103500</v>
      </c>
      <c r="T370" s="18"/>
      <c r="U370" s="18"/>
      <c r="V370" s="22">
        <v>250</v>
      </c>
    </row>
    <row r="371" spans="1:24">
      <c r="A371" s="82" t="s">
        <v>369</v>
      </c>
      <c r="B371" s="74" t="str">
        <f>IFERROR(HYPERLINK(VLOOKUP(A371,ÜRÜNLER!A:C,3,FALSE),VLOOKUP(A371,ÜRÜNLER!A:B,2,FALSE)),"")</f>
        <v>iQ700 Ankastre Tam Otomatik Kahve Makinesi, Siyah</v>
      </c>
      <c r="C371" s="10">
        <v>2</v>
      </c>
      <c r="D371" s="10"/>
      <c r="E371" s="11"/>
      <c r="F371" s="11"/>
      <c r="G371" s="12"/>
      <c r="H371" s="12"/>
      <c r="I371" s="13"/>
      <c r="J371" s="13"/>
      <c r="K371" s="144"/>
      <c r="L371" s="13"/>
      <c r="M371" s="13"/>
      <c r="N371" s="14">
        <f t="shared" si="11"/>
        <v>2</v>
      </c>
      <c r="O371" s="11"/>
      <c r="P371" s="15"/>
      <c r="Q371" s="75">
        <v>156223.26391127042</v>
      </c>
      <c r="R371" s="65">
        <v>148412.10071570691</v>
      </c>
      <c r="S371" s="17">
        <v>153606.52424075664</v>
      </c>
      <c r="T371" s="18"/>
      <c r="U371" s="18"/>
      <c r="V371" s="22">
        <v>250</v>
      </c>
    </row>
    <row r="372" spans="1:24">
      <c r="A372" s="82" t="s">
        <v>370</v>
      </c>
      <c r="B372" s="74" t="str">
        <f>IFERROR(HYPERLINK(VLOOKUP(A372,ÜRÜNLER!A:C,3,FALSE),VLOOKUP(A372,ÜRÜNLER!A:B,2,FALSE)),"")</f>
        <v>iQ700 studioLine Ankastre Tam Otomatik Kahve Makinesi, Siyah</v>
      </c>
      <c r="C372" s="10"/>
      <c r="D372" s="10">
        <v>5</v>
      </c>
      <c r="E372" s="11"/>
      <c r="F372" s="11"/>
      <c r="G372" s="12"/>
      <c r="H372" s="12">
        <v>1</v>
      </c>
      <c r="I372" s="13"/>
      <c r="J372" s="13"/>
      <c r="K372" s="144"/>
      <c r="L372" s="13"/>
      <c r="M372" s="13"/>
      <c r="N372" s="14">
        <f t="shared" si="11"/>
        <v>6</v>
      </c>
      <c r="O372" s="11"/>
      <c r="P372" s="15"/>
      <c r="Q372" s="75">
        <v>175670.34580559586</v>
      </c>
      <c r="R372" s="33">
        <v>163373.42159920416</v>
      </c>
      <c r="S372" s="17">
        <v>169091.49135517632</v>
      </c>
      <c r="T372" s="18"/>
      <c r="U372" s="18"/>
      <c r="V372" s="19">
        <v>500</v>
      </c>
    </row>
    <row r="373" spans="1:24">
      <c r="A373" s="86" t="s">
        <v>371</v>
      </c>
      <c r="B373" s="74" t="str">
        <f>IFERROR(HYPERLINK(VLOOKUP(A373,ÜRÜNLER!A:C,3,FALSE),VLOOKUP(A373,ÜRÜNLER!A:B,2,FALSE)),"")</f>
        <v>EQ6 plus s100 Tam Otomatik Kahve Makinesi, Metalik Elmas Titanyum</v>
      </c>
      <c r="C373" s="10">
        <v>2</v>
      </c>
      <c r="D373" s="10"/>
      <c r="E373" s="11"/>
      <c r="F373" s="11"/>
      <c r="G373" s="12"/>
      <c r="H373" s="12"/>
      <c r="I373" s="13"/>
      <c r="J373" s="13"/>
      <c r="K373" s="144">
        <v>2</v>
      </c>
      <c r="L373" s="13">
        <v>2</v>
      </c>
      <c r="M373" s="13"/>
      <c r="N373" s="14">
        <f t="shared" si="11"/>
        <v>6</v>
      </c>
      <c r="O373" s="11"/>
      <c r="P373" s="15"/>
      <c r="Q373" s="75">
        <v>29076.337558441104</v>
      </c>
      <c r="R373" s="34">
        <v>28229.453940234082</v>
      </c>
      <c r="S373" s="17">
        <v>29217.484828142275</v>
      </c>
      <c r="U373" s="18"/>
      <c r="V373" s="22">
        <v>250</v>
      </c>
      <c r="X373" s="18">
        <v>31490</v>
      </c>
    </row>
    <row r="374" spans="1:24">
      <c r="A374" s="86" t="s">
        <v>372</v>
      </c>
      <c r="B374" s="74" t="str">
        <f>IFERROR(HYPERLINK(VLOOKUP(A374,ÜRÜNLER!A:C,3,FALSE),VLOOKUP(A374,ÜRÜNLER!A:B,2,FALSE)),"")</f>
        <v>EQ6 plus s100 Tam Otomatik Kahve Makinesi, Metalik Safir Siyahı</v>
      </c>
      <c r="C374" s="10"/>
      <c r="D374" s="10"/>
      <c r="E374" s="11"/>
      <c r="F374" s="11">
        <v>2</v>
      </c>
      <c r="G374" s="12"/>
      <c r="H374" s="12"/>
      <c r="I374" s="13"/>
      <c r="J374" s="13">
        <v>1</v>
      </c>
      <c r="K374" s="144"/>
      <c r="L374" s="13"/>
      <c r="M374" s="13"/>
      <c r="N374" s="14">
        <f t="shared" si="11"/>
        <v>3</v>
      </c>
      <c r="O374" s="11"/>
      <c r="P374" s="15" t="s">
        <v>17</v>
      </c>
      <c r="Q374" s="133" t="s">
        <v>1347</v>
      </c>
      <c r="R374" s="24">
        <v>22999</v>
      </c>
      <c r="S374" s="17">
        <v>23803.965</v>
      </c>
      <c r="U374" s="18"/>
      <c r="V374" s="22">
        <v>250</v>
      </c>
      <c r="X374" s="18"/>
    </row>
    <row r="375" spans="1:24">
      <c r="A375" s="86" t="s">
        <v>373</v>
      </c>
      <c r="B375" s="74" t="str">
        <f>IFERROR(HYPERLINK(VLOOKUP(A375,ÜRÜNLER!A:C,3,FALSE),VLOOKUP(A375,ÜRÜNLER!A:B,2,FALSE)),"")</f>
        <v>EQ6 plus s300 Tam Otomatik Kahve Makinesi, Gümüş</v>
      </c>
      <c r="C375" s="10"/>
      <c r="D375" s="10"/>
      <c r="E375" s="11"/>
      <c r="F375" s="11">
        <v>1</v>
      </c>
      <c r="G375" s="12"/>
      <c r="H375" s="12"/>
      <c r="I375" s="13"/>
      <c r="J375" s="13">
        <v>1</v>
      </c>
      <c r="K375" s="144"/>
      <c r="L375" s="13">
        <v>1</v>
      </c>
      <c r="M375" s="13"/>
      <c r="N375" s="14">
        <f t="shared" si="11"/>
        <v>3</v>
      </c>
      <c r="O375" s="11"/>
      <c r="P375" s="15" t="s">
        <v>17</v>
      </c>
      <c r="Q375" s="133" t="s">
        <v>1347</v>
      </c>
      <c r="R375" s="23">
        <v>26000</v>
      </c>
      <c r="S375" s="17">
        <v>26910</v>
      </c>
      <c r="U375" s="18"/>
      <c r="V375" s="22">
        <v>250</v>
      </c>
      <c r="X375" s="18"/>
    </row>
    <row r="376" spans="1:24">
      <c r="A376" s="86" t="s">
        <v>374</v>
      </c>
      <c r="B376" s="74" t="str">
        <f>IFERROR(HYPERLINK(VLOOKUP(A376,ÜRÜNLER!A:C,3,FALSE),VLOOKUP(A376,ÜRÜNLER!A:B,2,FALSE)),"")</f>
        <v>EQ6 plus s500 Tam Otomatik Kahve Makinesi, Sabah Sisi Grisi</v>
      </c>
      <c r="C376" s="10">
        <v>48</v>
      </c>
      <c r="D376" s="10"/>
      <c r="E376" s="11"/>
      <c r="F376" s="11">
        <v>5</v>
      </c>
      <c r="G376" s="12"/>
      <c r="H376" s="12"/>
      <c r="I376" s="13">
        <v>6</v>
      </c>
      <c r="J376" s="13"/>
      <c r="K376" s="144">
        <v>2</v>
      </c>
      <c r="L376" s="13">
        <v>2</v>
      </c>
      <c r="M376" s="13"/>
      <c r="N376" s="14">
        <f t="shared" si="11"/>
        <v>63</v>
      </c>
      <c r="O376" s="11"/>
      <c r="P376" s="15" t="s">
        <v>17</v>
      </c>
      <c r="Q376" s="75">
        <v>43538.239389450049</v>
      </c>
      <c r="R376" s="63">
        <v>43538.239389450049</v>
      </c>
      <c r="S376" s="17">
        <v>45062.077768080802</v>
      </c>
      <c r="U376" s="18"/>
      <c r="V376" s="22">
        <v>250</v>
      </c>
      <c r="X376" s="18">
        <v>46790</v>
      </c>
    </row>
    <row r="377" spans="1:24">
      <c r="A377" s="86" t="s">
        <v>375</v>
      </c>
      <c r="B377" s="74" t="str">
        <f>IFERROR(HYPERLINK(VLOOKUP(A377,ÜRÜNLER!A:C,3,FALSE),VLOOKUP(A377,ÜRÜNLER!A:B,2,FALSE)),"")</f>
        <v>EQ6 plus s700 Tam Otomatik Kahve Makinesi, DarkInox/Siyah</v>
      </c>
      <c r="C377" s="10">
        <v>62</v>
      </c>
      <c r="D377" s="10"/>
      <c r="E377" s="11"/>
      <c r="F377" s="11">
        <v>6</v>
      </c>
      <c r="G377" s="12"/>
      <c r="H377" s="12"/>
      <c r="I377" s="13">
        <v>1</v>
      </c>
      <c r="J377" s="13"/>
      <c r="K377" s="144">
        <v>1</v>
      </c>
      <c r="L377" s="13">
        <v>4</v>
      </c>
      <c r="M377" s="13"/>
      <c r="N377" s="14">
        <f t="shared" si="11"/>
        <v>74</v>
      </c>
      <c r="O377" s="11"/>
      <c r="P377" s="15" t="s">
        <v>17</v>
      </c>
      <c r="Q377" s="75">
        <v>47135.971069032945</v>
      </c>
      <c r="R377" s="34">
        <v>47135.971069032945</v>
      </c>
      <c r="S377" s="17">
        <v>48785.730056449094</v>
      </c>
      <c r="U377" s="18"/>
      <c r="V377" s="22">
        <v>250</v>
      </c>
      <c r="X377" s="18">
        <v>49290</v>
      </c>
    </row>
    <row r="378" spans="1:24">
      <c r="A378" s="85" t="s">
        <v>376</v>
      </c>
      <c r="B378" s="74" t="str">
        <f>IFERROR(HYPERLINK(VLOOKUP(A378,ÜRÜNLER!A:C,3,FALSE),VLOOKUP(A378,ÜRÜNLER!A:B,2,FALSE)),"")</f>
        <v>EQ300 Tam Otomatik Kahve Makinesi, Siyah</v>
      </c>
      <c r="C378" s="10"/>
      <c r="D378" s="10"/>
      <c r="E378" s="11"/>
      <c r="F378" s="11">
        <v>3</v>
      </c>
      <c r="G378" s="12"/>
      <c r="H378" s="12"/>
      <c r="I378" s="13">
        <v>3</v>
      </c>
      <c r="J378" s="13">
        <v>1</v>
      </c>
      <c r="K378" s="144">
        <v>2</v>
      </c>
      <c r="L378" s="13"/>
      <c r="M378" s="13"/>
      <c r="N378" s="14">
        <f t="shared" si="11"/>
        <v>9</v>
      </c>
      <c r="O378" s="11"/>
      <c r="P378" s="15" t="s">
        <v>17</v>
      </c>
      <c r="Q378" s="133" t="s">
        <v>1347</v>
      </c>
      <c r="R378" s="24">
        <v>15999</v>
      </c>
      <c r="S378" s="17">
        <v>16558.965</v>
      </c>
      <c r="U378" s="18"/>
      <c r="V378" s="22">
        <v>250</v>
      </c>
      <c r="X378" s="18"/>
    </row>
    <row r="379" spans="1:24">
      <c r="A379" s="85" t="s">
        <v>377</v>
      </c>
      <c r="B379" s="74" t="str">
        <f>IFERROR(HYPERLINK(VLOOKUP(A379,ÜRÜNLER!A:C,3,FALSE),VLOOKUP(A379,ÜRÜNLER!A:B,2,FALSE)),"")</f>
        <v>EQ300 Tam Otomatik Kahve Makinesi, Şampanya/Siyah</v>
      </c>
      <c r="C379" s="10"/>
      <c r="D379" s="10"/>
      <c r="E379" s="11"/>
      <c r="F379" s="11">
        <v>1</v>
      </c>
      <c r="G379" s="12"/>
      <c r="H379" s="12"/>
      <c r="I379" s="13">
        <v>1</v>
      </c>
      <c r="J379" s="13"/>
      <c r="K379" s="144">
        <v>2</v>
      </c>
      <c r="L379" s="13">
        <v>1</v>
      </c>
      <c r="M379" s="13"/>
      <c r="N379" s="14">
        <f t="shared" si="11"/>
        <v>5</v>
      </c>
      <c r="O379" s="11"/>
      <c r="P379" s="15" t="s">
        <v>17</v>
      </c>
      <c r="Q379" s="133" t="s">
        <v>1347</v>
      </c>
      <c r="R379" s="24">
        <v>15999</v>
      </c>
      <c r="S379" s="17">
        <v>16558.965</v>
      </c>
      <c r="U379" s="18"/>
      <c r="V379" s="22">
        <v>250</v>
      </c>
      <c r="X379" s="18"/>
    </row>
    <row r="380" spans="1:24">
      <c r="A380" s="85" t="s">
        <v>378</v>
      </c>
      <c r="B380" s="74" t="str">
        <f>IFERROR(HYPERLINK(VLOOKUP(A380,ÜRÜNLER!A:C,3,FALSE),VLOOKUP(A380,ÜRÜNLER!A:B,2,FALSE)),"")</f>
        <v>EQ9 s300 Tam Otomatik Kahve Makinesi, Siyah</v>
      </c>
      <c r="C380" s="10"/>
      <c r="D380" s="10"/>
      <c r="E380" s="11"/>
      <c r="F380" s="11">
        <v>7</v>
      </c>
      <c r="G380" s="12"/>
      <c r="H380" s="12"/>
      <c r="I380" s="13">
        <v>1</v>
      </c>
      <c r="J380" s="13"/>
      <c r="K380" s="144">
        <v>5</v>
      </c>
      <c r="L380" s="13">
        <v>1</v>
      </c>
      <c r="M380" s="13"/>
      <c r="N380" s="14">
        <f t="shared" si="11"/>
        <v>14</v>
      </c>
      <c r="O380" s="11"/>
      <c r="P380" s="15" t="s">
        <v>17</v>
      </c>
      <c r="Q380" s="133" t="s">
        <v>1347</v>
      </c>
      <c r="R380" s="24">
        <v>49999</v>
      </c>
      <c r="S380" s="17">
        <v>51748.964999999997</v>
      </c>
      <c r="U380" s="18"/>
      <c r="V380" s="22">
        <v>250</v>
      </c>
      <c r="X380" s="18"/>
    </row>
    <row r="381" spans="1:24">
      <c r="A381" s="85" t="s">
        <v>379</v>
      </c>
      <c r="B381" s="74" t="str">
        <f>IFERROR(HYPERLINK(VLOOKUP(A381,ÜRÜNLER!A:C,3,FALSE),VLOOKUP(A381,ÜRÜNLER!A:B,2,FALSE)),"")</f>
        <v>EQ9 plus connect s500 Tam Otomatik Kahve Makinesi, Siyah</v>
      </c>
      <c r="C381" s="10"/>
      <c r="D381" s="10"/>
      <c r="E381" s="11"/>
      <c r="F381" s="11">
        <v>2</v>
      </c>
      <c r="G381" s="12"/>
      <c r="H381" s="12"/>
      <c r="I381" s="13">
        <v>2</v>
      </c>
      <c r="J381" s="13">
        <v>1</v>
      </c>
      <c r="K381" s="144">
        <v>2</v>
      </c>
      <c r="L381" s="13">
        <v>1</v>
      </c>
      <c r="M381" s="13"/>
      <c r="N381" s="14">
        <f t="shared" si="11"/>
        <v>8</v>
      </c>
      <c r="O381" s="11"/>
      <c r="P381" s="15" t="s">
        <v>17</v>
      </c>
      <c r="Q381" s="133" t="s">
        <v>1347</v>
      </c>
      <c r="R381" s="24">
        <v>59999</v>
      </c>
      <c r="S381" s="17">
        <v>62098.964999999997</v>
      </c>
      <c r="U381" s="18"/>
      <c r="V381" s="22">
        <v>250</v>
      </c>
      <c r="X381" s="18"/>
    </row>
    <row r="382" spans="1:24">
      <c r="A382" s="89" t="s">
        <v>380</v>
      </c>
      <c r="B382" s="74" t="str">
        <f>IFERROR(HYPERLINK(VLOOKUP(A382,ÜRÜNLER!A:C,3,FALSE),VLOOKUP(A382,ÜRÜNLER!A:B,2,FALSE)),"")</f>
        <v>EQ500 classic Tam Otomatik Kahve Makinesi, Piyano Siyahı</v>
      </c>
      <c r="C382" s="10"/>
      <c r="D382" s="10"/>
      <c r="E382" s="11"/>
      <c r="F382" s="11">
        <v>9</v>
      </c>
      <c r="G382" s="12"/>
      <c r="H382" s="12"/>
      <c r="I382" s="13">
        <v>4</v>
      </c>
      <c r="J382" s="13">
        <v>2</v>
      </c>
      <c r="K382" s="144">
        <v>1</v>
      </c>
      <c r="L382" s="13"/>
      <c r="M382" s="13"/>
      <c r="N382" s="14">
        <f t="shared" si="11"/>
        <v>16</v>
      </c>
      <c r="O382" s="11"/>
      <c r="P382" s="15" t="s">
        <v>17</v>
      </c>
      <c r="Q382" s="133" t="s">
        <v>1347</v>
      </c>
      <c r="R382" s="24">
        <v>19999</v>
      </c>
      <c r="S382" s="17">
        <v>20698.965</v>
      </c>
      <c r="U382" s="18"/>
      <c r="V382" s="22">
        <v>250</v>
      </c>
      <c r="X382" s="18"/>
    </row>
    <row r="383" spans="1:24">
      <c r="A383" s="89" t="s">
        <v>381</v>
      </c>
      <c r="B383" s="74" t="str">
        <f>IFERROR(HYPERLINK(VLOOKUP(A383,ÜRÜNLER!A:C,3,FALSE),VLOOKUP(A383,ÜRÜNLER!A:B,2,FALSE)),"")</f>
        <v>EQ500 classic Tam Otomatik Kahve Makinesi, Piyano Siyahı</v>
      </c>
      <c r="C383" s="10"/>
      <c r="D383" s="10"/>
      <c r="E383" s="11"/>
      <c r="F383" s="11">
        <v>4</v>
      </c>
      <c r="G383" s="12"/>
      <c r="H383" s="12"/>
      <c r="I383" s="13"/>
      <c r="J383" s="13">
        <v>1</v>
      </c>
      <c r="K383" s="144"/>
      <c r="L383" s="13">
        <v>1</v>
      </c>
      <c r="M383" s="13"/>
      <c r="N383" s="14">
        <f t="shared" si="11"/>
        <v>6</v>
      </c>
      <c r="O383" s="11"/>
      <c r="P383" s="15" t="s">
        <v>17</v>
      </c>
      <c r="Q383" s="133" t="s">
        <v>1347</v>
      </c>
      <c r="R383" s="24">
        <v>19999</v>
      </c>
      <c r="S383" s="17">
        <v>20698.965</v>
      </c>
      <c r="U383" s="18"/>
      <c r="V383" s="22">
        <v>250</v>
      </c>
      <c r="X383" s="18"/>
    </row>
    <row r="384" spans="1:24">
      <c r="A384" s="112" t="s">
        <v>382</v>
      </c>
      <c r="B384" s="74" t="str">
        <f>IFERROR(HYPERLINK(VLOOKUP(A384,ÜRÜNLER!A:C,3,FALSE),VLOOKUP(A384,ÜRÜNLER!A:B,2,FALSE)),"")</f>
        <v>EQ500 classic Tam Otomatik Kahve Makinesi, Metalik Inox/Gümüş</v>
      </c>
      <c r="C384" s="10"/>
      <c r="D384" s="10"/>
      <c r="E384" s="11"/>
      <c r="F384" s="11">
        <v>3</v>
      </c>
      <c r="G384" s="12"/>
      <c r="H384" s="12"/>
      <c r="I384" s="13">
        <v>1</v>
      </c>
      <c r="J384" s="13"/>
      <c r="K384" s="144">
        <v>1</v>
      </c>
      <c r="L384" s="13"/>
      <c r="M384" s="13"/>
      <c r="N384" s="14">
        <f t="shared" si="11"/>
        <v>5</v>
      </c>
      <c r="O384" s="11"/>
      <c r="P384" s="15" t="s">
        <v>17</v>
      </c>
      <c r="Q384" s="133" t="s">
        <v>1347</v>
      </c>
      <c r="R384" s="24">
        <v>19999</v>
      </c>
      <c r="S384" s="17">
        <v>20698.965</v>
      </c>
      <c r="U384" s="18"/>
      <c r="V384" s="22">
        <v>250</v>
      </c>
      <c r="X384" s="18"/>
    </row>
    <row r="385" spans="1:24">
      <c r="A385" s="112" t="s">
        <v>383</v>
      </c>
      <c r="B385" s="74" t="str">
        <f>IFERROR(HYPERLINK(VLOOKUP(A385,ÜRÜNLER!A:C,3,FALSE),VLOOKUP(A385,ÜRÜNLER!A:B,2,FALSE)),"")</f>
        <v>EQ500 classic Tam Otomatik Kahve Makinesi, Sabah Sisi Grisi</v>
      </c>
      <c r="C385" s="10"/>
      <c r="D385" s="10"/>
      <c r="E385" s="11"/>
      <c r="F385" s="11">
        <v>1</v>
      </c>
      <c r="G385" s="12"/>
      <c r="H385" s="12"/>
      <c r="I385" s="13"/>
      <c r="J385" s="13"/>
      <c r="K385" s="144"/>
      <c r="L385" s="13">
        <v>1</v>
      </c>
      <c r="M385" s="13"/>
      <c r="N385" s="14">
        <f t="shared" si="11"/>
        <v>2</v>
      </c>
      <c r="O385" s="11"/>
      <c r="P385" s="15" t="s">
        <v>17</v>
      </c>
      <c r="Q385" s="133" t="s">
        <v>1347</v>
      </c>
      <c r="R385" s="24">
        <v>24999</v>
      </c>
      <c r="S385" s="17">
        <v>25873.965</v>
      </c>
      <c r="U385" s="18"/>
      <c r="V385" s="22">
        <v>250</v>
      </c>
      <c r="X385" s="18"/>
    </row>
    <row r="386" spans="1:24">
      <c r="A386" s="113" t="s">
        <v>384</v>
      </c>
      <c r="B386" s="74" t="str">
        <f>IFERROR(HYPERLINK(VLOOKUP(A386,ÜRÜNLER!A:C,3,FALSE),VLOOKUP(A386,ÜRÜNLER!A:B,2,FALSE)),"")</f>
        <v>EQ500 classic connect Tam Otomatik Kahve Makinesi, Inox/Siyah</v>
      </c>
      <c r="C386" s="10">
        <v>12</v>
      </c>
      <c r="D386" s="10"/>
      <c r="E386" s="11"/>
      <c r="F386" s="11">
        <v>10</v>
      </c>
      <c r="G386" s="12"/>
      <c r="H386" s="12"/>
      <c r="I386" s="13">
        <v>3</v>
      </c>
      <c r="J386" s="13"/>
      <c r="K386" s="144">
        <v>1</v>
      </c>
      <c r="L386" s="13">
        <v>1</v>
      </c>
      <c r="M386" s="13"/>
      <c r="N386" s="14">
        <f t="shared" si="11"/>
        <v>27</v>
      </c>
      <c r="O386" s="11"/>
      <c r="P386" s="15" t="s">
        <v>17</v>
      </c>
      <c r="Q386" s="75">
        <v>38484.25199305846</v>
      </c>
      <c r="R386" s="34">
        <v>38484.25199305846</v>
      </c>
      <c r="S386" s="17">
        <v>39831.200812815507</v>
      </c>
      <c r="U386" s="18"/>
      <c r="V386" s="22">
        <v>250</v>
      </c>
      <c r="X386" s="18">
        <v>40190</v>
      </c>
    </row>
    <row r="387" spans="1:24">
      <c r="A387" s="113" t="s">
        <v>385</v>
      </c>
      <c r="B387" s="74" t="str">
        <f>IFERROR(HYPERLINK(VLOOKUP(A387,ÜRÜNLER!A:C,3,FALSE),VLOOKUP(A387,ÜRÜNLER!A:B,2,FALSE)),"")</f>
        <v>EQ500 classic Tam Otomatik Kahve Makinesi, Inox/Siyah</v>
      </c>
      <c r="C387" s="10">
        <v>74</v>
      </c>
      <c r="D387" s="10"/>
      <c r="E387" s="11"/>
      <c r="F387" s="11">
        <v>4</v>
      </c>
      <c r="G387" s="12"/>
      <c r="H387" s="12"/>
      <c r="I387" s="13">
        <v>1</v>
      </c>
      <c r="J387" s="13">
        <v>2</v>
      </c>
      <c r="K387" s="144">
        <v>1</v>
      </c>
      <c r="L387" s="13">
        <v>3</v>
      </c>
      <c r="M387" s="13"/>
      <c r="N387" s="14">
        <f t="shared" si="11"/>
        <v>85</v>
      </c>
      <c r="O387" s="11"/>
      <c r="P387" s="15" t="s">
        <v>17</v>
      </c>
      <c r="Q387" s="75">
        <v>30282.690092898465</v>
      </c>
      <c r="R387" s="34">
        <v>30282.690092898465</v>
      </c>
      <c r="S387" s="17">
        <v>31342.584246149912</v>
      </c>
      <c r="U387" s="18"/>
      <c r="V387" s="22">
        <v>250</v>
      </c>
      <c r="X387" s="18">
        <v>31890</v>
      </c>
    </row>
    <row r="388" spans="1:24">
      <c r="A388" s="89" t="s">
        <v>386</v>
      </c>
      <c r="B388" s="74" t="str">
        <f>IFERROR(HYPERLINK(VLOOKUP(A388,ÜRÜNLER!A:C,3,FALSE),VLOOKUP(A388,ÜRÜNLER!A:B,2,FALSE)),"")</f>
        <v>EQ700 classic Tam Otomatik Kahve Makinesi, Piyano Siyahı</v>
      </c>
      <c r="C388" s="10"/>
      <c r="D388" s="10"/>
      <c r="E388" s="11"/>
      <c r="F388" s="11">
        <v>1</v>
      </c>
      <c r="G388" s="12"/>
      <c r="H388" s="12"/>
      <c r="I388" s="13"/>
      <c r="J388" s="13"/>
      <c r="K388" s="144"/>
      <c r="L388" s="13"/>
      <c r="M388" s="13"/>
      <c r="N388" s="14">
        <f t="shared" si="11"/>
        <v>1</v>
      </c>
      <c r="O388" s="11"/>
      <c r="P388" s="15" t="s">
        <v>17</v>
      </c>
      <c r="Q388" s="133" t="s">
        <v>1347</v>
      </c>
      <c r="R388" s="23">
        <v>45000</v>
      </c>
      <c r="S388" s="17">
        <v>46575</v>
      </c>
      <c r="U388" s="18"/>
      <c r="V388" s="22">
        <v>250</v>
      </c>
      <c r="X388" s="18"/>
    </row>
    <row r="389" spans="1:24">
      <c r="A389" s="112" t="s">
        <v>387</v>
      </c>
      <c r="B389" s="74" t="str">
        <f>IFERROR(HYPERLINK(VLOOKUP(A389,ÜRÜNLER!A:C,3,FALSE),VLOOKUP(A389,ÜRÜNLER!A:B,2,FALSE)),"")</f>
        <v>EQ700 classic Tam Otomatik Kahve Makinesi, Piyano Siyahı</v>
      </c>
      <c r="C389" s="10"/>
      <c r="D389" s="10"/>
      <c r="E389" s="11"/>
      <c r="F389" s="11"/>
      <c r="G389" s="12"/>
      <c r="H389" s="12"/>
      <c r="I389" s="13">
        <v>1</v>
      </c>
      <c r="J389" s="13"/>
      <c r="K389" s="144"/>
      <c r="L389" s="13"/>
      <c r="M389" s="13"/>
      <c r="N389" s="14">
        <f t="shared" si="11"/>
        <v>1</v>
      </c>
      <c r="O389" s="11"/>
      <c r="P389" s="15" t="s">
        <v>17</v>
      </c>
      <c r="Q389" s="133" t="s">
        <v>1347</v>
      </c>
      <c r="R389" s="23">
        <v>40000</v>
      </c>
      <c r="S389" s="17">
        <v>41400</v>
      </c>
      <c r="U389" s="18"/>
      <c r="V389" s="22">
        <v>250</v>
      </c>
      <c r="X389" s="18"/>
    </row>
    <row r="390" spans="1:24">
      <c r="A390" s="112" t="s">
        <v>388</v>
      </c>
      <c r="B390" s="74" t="str">
        <f>IFERROR(HYPERLINK(VLOOKUP(A390,ÜRÜNLER!A:C,3,FALSE),VLOOKUP(A390,ÜRÜNLER!A:B,2,FALSE)),"")</f>
        <v>EQ700 classic Tam Otomatik Kahve Makinesi, Piyano Siyahı</v>
      </c>
      <c r="C390" s="10">
        <v>21</v>
      </c>
      <c r="D390" s="10"/>
      <c r="E390" s="11"/>
      <c r="F390" s="11"/>
      <c r="G390" s="12"/>
      <c r="H390" s="12"/>
      <c r="I390" s="13"/>
      <c r="J390" s="13">
        <v>1</v>
      </c>
      <c r="K390" s="144"/>
      <c r="L390" s="13">
        <v>3</v>
      </c>
      <c r="M390" s="13"/>
      <c r="N390" s="14">
        <f t="shared" si="11"/>
        <v>25</v>
      </c>
      <c r="O390" s="11"/>
      <c r="P390" s="15" t="s">
        <v>17</v>
      </c>
      <c r="Q390" s="75">
        <v>52494.176938714467</v>
      </c>
      <c r="R390" s="24">
        <v>52494.176938714467</v>
      </c>
      <c r="S390" s="17">
        <v>54331.473131569473</v>
      </c>
      <c r="U390" s="18"/>
      <c r="V390" s="22">
        <v>250</v>
      </c>
      <c r="X390" s="18">
        <v>54590</v>
      </c>
    </row>
    <row r="391" spans="1:24">
      <c r="A391" s="85" t="s">
        <v>389</v>
      </c>
      <c r="B391" s="74" t="str">
        <f>IFERROR(HYPERLINK(VLOOKUP(A391,ÜRÜNLER!A:C,3,FALSE),VLOOKUP(A391,ÜRÜNLER!A:B,2,FALSE)),"")</f>
        <v>EQ500 integral Tam Otomatik Kahve Makinesi, Metalik Safir Siyahı</v>
      </c>
      <c r="C391" s="10"/>
      <c r="D391" s="10"/>
      <c r="E391" s="11"/>
      <c r="F391" s="11"/>
      <c r="G391" s="12"/>
      <c r="H391" s="12"/>
      <c r="I391" s="13">
        <v>3</v>
      </c>
      <c r="J391" s="13">
        <v>1</v>
      </c>
      <c r="K391" s="144">
        <v>1</v>
      </c>
      <c r="L391" s="13">
        <v>2</v>
      </c>
      <c r="M391" s="13"/>
      <c r="N391" s="14">
        <f t="shared" si="11"/>
        <v>7</v>
      </c>
      <c r="O391" s="11"/>
      <c r="P391" s="15" t="s">
        <v>17</v>
      </c>
      <c r="Q391" s="133" t="s">
        <v>1347</v>
      </c>
      <c r="R391" s="23">
        <v>24000</v>
      </c>
      <c r="S391" s="17">
        <v>24840</v>
      </c>
      <c r="U391" s="18"/>
      <c r="V391" s="22">
        <v>250</v>
      </c>
      <c r="X391" s="18"/>
    </row>
    <row r="392" spans="1:24">
      <c r="A392" s="94" t="s">
        <v>390</v>
      </c>
      <c r="B392" s="74" t="str">
        <f>IFERROR(HYPERLINK(VLOOKUP(A392,ÜRÜNLER!A:C,3,FALSE),VLOOKUP(A392,ÜRÜNLER!A:B,2,FALSE)),"")</f>
        <v>EQ500 integral Tam Otomatik Kahve Makinesi, Inox</v>
      </c>
      <c r="C392" s="10"/>
      <c r="D392" s="10"/>
      <c r="E392" s="11"/>
      <c r="F392" s="11">
        <v>4</v>
      </c>
      <c r="G392" s="12"/>
      <c r="H392" s="12"/>
      <c r="I392" s="13">
        <v>1</v>
      </c>
      <c r="J392" s="13">
        <v>1</v>
      </c>
      <c r="K392" s="144">
        <v>1</v>
      </c>
      <c r="L392" s="13">
        <v>1</v>
      </c>
      <c r="M392" s="13"/>
      <c r="N392" s="14">
        <f t="shared" si="11"/>
        <v>8</v>
      </c>
      <c r="O392" s="11"/>
      <c r="P392" s="15" t="s">
        <v>17</v>
      </c>
      <c r="Q392" s="133" t="s">
        <v>1347</v>
      </c>
      <c r="R392" s="23">
        <v>23000</v>
      </c>
      <c r="S392" s="17">
        <v>23805</v>
      </c>
      <c r="U392" s="18"/>
      <c r="V392" s="22">
        <v>250</v>
      </c>
      <c r="X392" s="18"/>
    </row>
    <row r="393" spans="1:24">
      <c r="A393" s="114" t="s">
        <v>391</v>
      </c>
      <c r="B393" s="74" t="str">
        <f>IFERROR(HYPERLINK(VLOOKUP(A393,ÜRÜNLER!A:C,3,FALSE),VLOOKUP(A393,ÜRÜNLER!A:B,2,FALSE)),"")</f>
        <v>EQ700 integral Tam Otomatik Kahve Makinesi, Metalik Inox/Gümüş</v>
      </c>
      <c r="C393" s="10"/>
      <c r="D393" s="10"/>
      <c r="E393" s="11"/>
      <c r="F393" s="11">
        <v>1</v>
      </c>
      <c r="G393" s="12"/>
      <c r="H393" s="12"/>
      <c r="I393" s="13">
        <v>1</v>
      </c>
      <c r="J393" s="13">
        <v>1</v>
      </c>
      <c r="K393" s="144"/>
      <c r="L393" s="13"/>
      <c r="M393" s="13"/>
      <c r="N393" s="14">
        <f t="shared" si="11"/>
        <v>3</v>
      </c>
      <c r="O393" s="11"/>
      <c r="P393" s="15" t="s">
        <v>17</v>
      </c>
      <c r="Q393" s="133" t="s">
        <v>1347</v>
      </c>
      <c r="R393" s="24">
        <v>39999</v>
      </c>
      <c r="S393" s="17">
        <v>41398.964999999997</v>
      </c>
      <c r="U393" s="18"/>
      <c r="V393" s="22">
        <v>250</v>
      </c>
      <c r="X393" s="18"/>
    </row>
    <row r="394" spans="1:24">
      <c r="A394" s="114" t="s">
        <v>392</v>
      </c>
      <c r="B394" s="74" t="str">
        <f>IFERROR(HYPERLINK(VLOOKUP(A394,ÜRÜNLER!A:C,3,FALSE),VLOOKUP(A394,ÜRÜNLER!A:B,2,FALSE)),"")</f>
        <v>EQ700 Tam Otomatik Kahve Makinesi, Paslanmaz Çelik</v>
      </c>
      <c r="C394" s="10">
        <v>5</v>
      </c>
      <c r="D394" s="10"/>
      <c r="E394" s="11"/>
      <c r="F394" s="11">
        <v>4</v>
      </c>
      <c r="G394" s="12"/>
      <c r="H394" s="12"/>
      <c r="I394" s="13"/>
      <c r="J394" s="13"/>
      <c r="K394" s="144"/>
      <c r="L394" s="13">
        <v>2</v>
      </c>
      <c r="M394" s="13"/>
      <c r="N394" s="14">
        <f t="shared" si="11"/>
        <v>11</v>
      </c>
      <c r="O394" s="11"/>
      <c r="P394" s="15" t="s">
        <v>17</v>
      </c>
      <c r="Q394" s="75">
        <v>56989.324165687103</v>
      </c>
      <c r="R394" s="34">
        <v>56989.324165687103</v>
      </c>
      <c r="S394" s="17">
        <v>58983.950511486153</v>
      </c>
      <c r="U394" s="18"/>
      <c r="V394" s="22">
        <v>250</v>
      </c>
      <c r="X394" s="18">
        <v>59790</v>
      </c>
    </row>
    <row r="395" spans="1:24">
      <c r="A395" s="85" t="s">
        <v>393</v>
      </c>
      <c r="B395" s="74" t="str">
        <f>IFERROR(HYPERLINK(VLOOKUP(A395,ÜRÜNLER!A:C,3,FALSE),VLOOKUP(A395,ÜRÜNLER!A:B,2,FALSE)),"")</f>
        <v>EQ900 Tam Otomatik Kahve Makinesi, Paslanmaz Çelik</v>
      </c>
      <c r="C395" s="10">
        <v>18</v>
      </c>
      <c r="D395" s="10"/>
      <c r="E395" s="11"/>
      <c r="F395" s="11"/>
      <c r="G395" s="12"/>
      <c r="H395" s="12"/>
      <c r="I395" s="13">
        <v>1</v>
      </c>
      <c r="J395" s="13"/>
      <c r="K395" s="144">
        <v>1</v>
      </c>
      <c r="L395" s="13">
        <v>1</v>
      </c>
      <c r="M395" s="13"/>
      <c r="N395" s="14">
        <f t="shared" si="11"/>
        <v>21</v>
      </c>
      <c r="O395" s="11"/>
      <c r="P395" s="15" t="s">
        <v>17</v>
      </c>
      <c r="Q395" s="75">
        <v>80886.471339026728</v>
      </c>
      <c r="R395" s="34">
        <v>80886.471339026728</v>
      </c>
      <c r="S395" s="17">
        <v>83717.49783589266</v>
      </c>
      <c r="T395" s="18"/>
      <c r="U395" s="18"/>
      <c r="V395" s="22">
        <v>250</v>
      </c>
    </row>
    <row r="396" spans="1:24">
      <c r="A396" s="85" t="s">
        <v>394</v>
      </c>
      <c r="B396" s="74" t="str">
        <f>IFERROR(HYPERLINK(VLOOKUP(A396,ÜRÜNLER!A:C,3,FALSE),VLOOKUP(A396,ÜRÜNLER!A:B,2,FALSE)),"")</f>
        <v>EQ900 plus Tam Otomatik Kahve Makinesi, Inox</v>
      </c>
      <c r="C396" s="10">
        <v>11</v>
      </c>
      <c r="D396" s="10"/>
      <c r="E396" s="11"/>
      <c r="F396" s="11"/>
      <c r="G396" s="12"/>
      <c r="H396" s="12"/>
      <c r="I396" s="13"/>
      <c r="J396" s="13"/>
      <c r="K396" s="144"/>
      <c r="L396" s="13">
        <v>1</v>
      </c>
      <c r="M396" s="13"/>
      <c r="N396" s="14">
        <f t="shared" si="11"/>
        <v>12</v>
      </c>
      <c r="O396" s="11"/>
      <c r="P396" s="15" t="s">
        <v>17</v>
      </c>
      <c r="Q396" s="75">
        <v>101776.37741443558</v>
      </c>
      <c r="R396" s="34">
        <v>101776.37741443558</v>
      </c>
      <c r="S396" s="17">
        <v>105338.55062394083</v>
      </c>
      <c r="T396" s="18"/>
      <c r="U396" s="18"/>
      <c r="V396" s="22">
        <v>250</v>
      </c>
    </row>
    <row r="397" spans="1:24">
      <c r="A397" s="88" t="s">
        <v>395</v>
      </c>
      <c r="B397" s="74" t="str">
        <f>IFERROR(HYPERLINK(VLOOKUP(A397,ÜRÜNLER!A:C,3,FALSE),VLOOKUP(A397,ÜRÜNLER!A:B,2,FALSE)),"")</f>
        <v>iQ700 Sıcak Tutma Çekmecesi, 60x14cm, Siyah</v>
      </c>
      <c r="C397" s="10">
        <v>1</v>
      </c>
      <c r="D397" s="10"/>
      <c r="E397" s="11"/>
      <c r="F397" s="11">
        <v>1</v>
      </c>
      <c r="G397" s="12"/>
      <c r="H397" s="12"/>
      <c r="I397" s="13">
        <v>1</v>
      </c>
      <c r="J397" s="13">
        <v>1</v>
      </c>
      <c r="K397" s="144">
        <v>1</v>
      </c>
      <c r="L397" s="13"/>
      <c r="M397" s="13"/>
      <c r="N397" s="14">
        <f t="shared" si="11"/>
        <v>5</v>
      </c>
      <c r="O397" s="11"/>
      <c r="P397" s="15"/>
      <c r="Q397" s="133" t="s">
        <v>1347</v>
      </c>
      <c r="R397" s="24">
        <v>49999</v>
      </c>
      <c r="S397" s="17">
        <v>51748.964999999997</v>
      </c>
      <c r="T397" s="18"/>
      <c r="U397" s="18"/>
      <c r="V397" s="22">
        <v>250</v>
      </c>
    </row>
    <row r="398" spans="1:24">
      <c r="A398" s="88" t="s">
        <v>396</v>
      </c>
      <c r="B398" s="74" t="str">
        <f>IFERROR(HYPERLINK(VLOOKUP(A398,ÜRÜNLER!A:C,3,FALSE),VLOOKUP(A398,ÜRÜNLER!A:B,2,FALSE)),"")</f>
        <v>iQ700 Sıcak Tutma Çekmecesi, 60x14cm, Beyaz</v>
      </c>
      <c r="C398" s="10">
        <v>1</v>
      </c>
      <c r="D398" s="10"/>
      <c r="E398" s="11"/>
      <c r="F398" s="11"/>
      <c r="G398" s="12"/>
      <c r="H398" s="12"/>
      <c r="I398" s="13"/>
      <c r="J398" s="13"/>
      <c r="K398" s="144"/>
      <c r="L398" s="13"/>
      <c r="M398" s="13"/>
      <c r="N398" s="14">
        <f t="shared" si="11"/>
        <v>1</v>
      </c>
      <c r="O398" s="11"/>
      <c r="P398" s="15"/>
      <c r="Q398" s="133" t="s">
        <v>1347</v>
      </c>
      <c r="R398" s="24">
        <v>49999</v>
      </c>
      <c r="S398" s="17">
        <v>51748.964999999997</v>
      </c>
      <c r="T398" s="18"/>
      <c r="U398" s="18"/>
      <c r="V398" s="22">
        <v>250</v>
      </c>
    </row>
    <row r="399" spans="1:24">
      <c r="A399" s="88" t="s">
        <v>397</v>
      </c>
      <c r="B399" s="74" t="str">
        <f>IFERROR(HYPERLINK(VLOOKUP(A399,ÜRÜNLER!A:C,3,FALSE),VLOOKUP(A399,ÜRÜNLER!A:B,2,FALSE)),"")</f>
        <v>iQ700 studioLine Sıcak Tutma Çekmecesi, 60x14cm, Siyah</v>
      </c>
      <c r="C399" s="10"/>
      <c r="D399" s="10">
        <v>1</v>
      </c>
      <c r="E399" s="11"/>
      <c r="F399" s="11"/>
      <c r="G399" s="12"/>
      <c r="H399" s="12">
        <v>1</v>
      </c>
      <c r="I399" s="13"/>
      <c r="J399" s="13"/>
      <c r="K399" s="144"/>
      <c r="L399" s="13"/>
      <c r="M399" s="13"/>
      <c r="N399" s="14">
        <f t="shared" si="11"/>
        <v>2</v>
      </c>
      <c r="O399" s="11"/>
      <c r="P399" s="15"/>
      <c r="Q399" s="133" t="s">
        <v>1347</v>
      </c>
      <c r="R399" s="33">
        <v>49999</v>
      </c>
      <c r="S399" s="17">
        <v>51748.964999999997</v>
      </c>
      <c r="T399" s="18"/>
      <c r="U399" s="18"/>
      <c r="V399" s="19">
        <v>500</v>
      </c>
    </row>
    <row r="400" spans="1:24" ht="21">
      <c r="A400" s="49" t="s">
        <v>400</v>
      </c>
      <c r="B400" s="74" t="str">
        <f>IFERROR(HYPERLINK(VLOOKUP(A400,ÜRÜNLER!A:C,3,FALSE),VLOOKUP(A400,ÜRÜNLER!A:B,2,FALSE)),"")</f>
        <v/>
      </c>
      <c r="C400" s="10"/>
      <c r="D400" s="10"/>
      <c r="E400" s="11"/>
      <c r="F400" s="11"/>
      <c r="G400" s="12"/>
      <c r="H400" s="12"/>
      <c r="I400" s="13"/>
      <c r="J400" s="13"/>
      <c r="K400" s="144"/>
      <c r="L400" s="13"/>
      <c r="M400" s="13"/>
      <c r="N400" s="14">
        <f>SUM(N370:N399)</f>
        <v>432</v>
      </c>
      <c r="O400" s="11"/>
      <c r="P400" s="15"/>
      <c r="R400" s="20"/>
      <c r="S400" s="17"/>
      <c r="T400" s="18"/>
      <c r="U400" s="18"/>
      <c r="V400" s="72"/>
    </row>
    <row r="401" spans="1:22">
      <c r="A401" s="86" t="s">
        <v>401</v>
      </c>
      <c r="B401" s="74" t="str">
        <f>IFERROR(HYPERLINK(VLOOKUP(A401,ÜRÜNLER!A:C,3,FALSE),VLOOKUP(A401,ÜRÜNLER!A:B,2,FALSE)),"")</f>
        <v>iQ500 Dik Şarjlı Elektrik Süpürgesi</v>
      </c>
      <c r="C401" s="10">
        <v>15</v>
      </c>
      <c r="D401" s="10"/>
      <c r="E401" s="11"/>
      <c r="F401" s="11"/>
      <c r="G401" s="12"/>
      <c r="H401" s="12"/>
      <c r="I401" s="13">
        <v>3</v>
      </c>
      <c r="J401" s="13">
        <v>4</v>
      </c>
      <c r="K401" s="144">
        <v>2</v>
      </c>
      <c r="L401" s="13">
        <v>3</v>
      </c>
      <c r="M401" s="13"/>
      <c r="N401" s="14">
        <f t="shared" ref="N401:N417" si="12">SUM(C401:M401)</f>
        <v>27</v>
      </c>
      <c r="O401" s="11"/>
      <c r="P401" s="15" t="s">
        <v>17</v>
      </c>
      <c r="Q401" s="133">
        <v>15127.921517402399</v>
      </c>
      <c r="R401" s="33">
        <v>15127.921517402399</v>
      </c>
      <c r="S401" s="17">
        <v>15657.398770511483</v>
      </c>
      <c r="T401" s="18">
        <v>1446.1033355842194</v>
      </c>
      <c r="U401" s="18"/>
      <c r="V401" s="19"/>
    </row>
    <row r="402" spans="1:22" ht="21">
      <c r="A402" s="86" t="s">
        <v>402</v>
      </c>
      <c r="B402" s="74" t="str">
        <f>IFERROR(HYPERLINK(VLOOKUP(A402,ÜRÜNLER!A:C,3,FALSE),VLOOKUP(A402,ÜRÜNLER!A:B,2,FALSE)),"")</f>
        <v>iQ500 Dik Şarjlı Elektrik Süpürgesi, Çift Bataryalı</v>
      </c>
      <c r="C402" s="10">
        <v>29</v>
      </c>
      <c r="D402" s="10"/>
      <c r="E402" s="11"/>
      <c r="F402" s="11"/>
      <c r="G402" s="12"/>
      <c r="H402" s="12"/>
      <c r="I402" s="13">
        <v>8</v>
      </c>
      <c r="J402" s="13">
        <v>4</v>
      </c>
      <c r="K402" s="144">
        <v>2</v>
      </c>
      <c r="L402" s="13">
        <v>2</v>
      </c>
      <c r="M402" s="13"/>
      <c r="N402" s="14">
        <f t="shared" si="12"/>
        <v>45</v>
      </c>
      <c r="O402" s="143"/>
      <c r="P402" s="15" t="s">
        <v>17</v>
      </c>
      <c r="Q402" s="75">
        <v>20676.612007837331</v>
      </c>
      <c r="R402" s="151">
        <v>20676.612007837331</v>
      </c>
      <c r="S402" s="17">
        <v>21400.29342811164</v>
      </c>
      <c r="T402" s="18">
        <v>1975.4756442009675</v>
      </c>
      <c r="U402" s="18"/>
      <c r="V402" s="72"/>
    </row>
    <row r="403" spans="1:22" ht="21">
      <c r="A403" s="86" t="s">
        <v>403</v>
      </c>
      <c r="B403" s="74" t="str">
        <f>IFERROR(HYPERLINK(VLOOKUP(A403,ÜRÜNLER!A:C,3,FALSE),VLOOKUP(A403,ÜRÜNLER!A:B,2,FALSE)),"")</f>
        <v>iQ500 Dik Şarjlı 2'li Süpürme&amp;Silme Elektrik Süpürgesi</v>
      </c>
      <c r="C403" s="10">
        <v>27</v>
      </c>
      <c r="D403" s="10"/>
      <c r="E403" s="11"/>
      <c r="F403" s="11"/>
      <c r="G403" s="12"/>
      <c r="H403" s="12"/>
      <c r="I403" s="13">
        <v>9</v>
      </c>
      <c r="J403" s="13">
        <v>4</v>
      </c>
      <c r="K403" s="144">
        <v>2</v>
      </c>
      <c r="L403" s="13">
        <v>2</v>
      </c>
      <c r="M403" s="13"/>
      <c r="N403" s="14">
        <f t="shared" si="12"/>
        <v>44</v>
      </c>
      <c r="O403" s="143"/>
      <c r="P403" s="15" t="s">
        <v>17</v>
      </c>
      <c r="Q403" s="75">
        <v>21392.065710530664</v>
      </c>
      <c r="R403" s="151">
        <v>21392.065710530664</v>
      </c>
      <c r="S403" s="17">
        <v>22140.788010399236</v>
      </c>
      <c r="T403" s="18">
        <v>2046.6111650761195</v>
      </c>
      <c r="U403" s="18"/>
      <c r="V403" s="72"/>
    </row>
    <row r="404" spans="1:22">
      <c r="A404" s="86" t="s">
        <v>404</v>
      </c>
      <c r="B404" s="74" t="str">
        <f>IFERROR(HYPERLINK(VLOOKUP(A404,ÜRÜNLER!A:C,3,FALSE),VLOOKUP(A404,ÜRÜNLER!A:B,2,FALSE)),"")</f>
        <v>Toz torbalı Süpürge synchropower, 600w, Mavi</v>
      </c>
      <c r="C404" s="10"/>
      <c r="D404" s="10"/>
      <c r="E404" s="11"/>
      <c r="F404" s="11">
        <v>1</v>
      </c>
      <c r="G404" s="12"/>
      <c r="H404" s="12"/>
      <c r="I404" s="13">
        <v>1</v>
      </c>
      <c r="J404" s="13"/>
      <c r="K404" s="144">
        <v>1</v>
      </c>
      <c r="L404" s="13"/>
      <c r="M404" s="13"/>
      <c r="N404" s="14">
        <f t="shared" si="12"/>
        <v>3</v>
      </c>
      <c r="O404" s="11"/>
      <c r="P404" s="15" t="s">
        <v>17</v>
      </c>
      <c r="Q404" s="75">
        <v>6792.3783293638653</v>
      </c>
      <c r="R404" s="33">
        <v>6452.7594128956716</v>
      </c>
      <c r="S404" s="17">
        <v>6678.6059923470202</v>
      </c>
      <c r="T404" s="18"/>
      <c r="U404" s="18"/>
      <c r="V404" s="19">
        <v>250</v>
      </c>
    </row>
    <row r="405" spans="1:22">
      <c r="A405" s="86" t="s">
        <v>405</v>
      </c>
      <c r="B405" s="74" t="str">
        <f>IFERROR(HYPERLINK(VLOOKUP(A405,ÜRÜNLER!A:C,3,FALSE),VLOOKUP(A405,ÜRÜNLER!A:B,2,FALSE)),"")</f>
        <v>iQ300 Toz Torbalı Süpürge, 600w, Kırmızı</v>
      </c>
      <c r="C405" s="10"/>
      <c r="D405" s="10"/>
      <c r="E405" s="11"/>
      <c r="F405" s="11">
        <v>3</v>
      </c>
      <c r="G405" s="12"/>
      <c r="H405" s="12"/>
      <c r="I405" s="13">
        <v>1</v>
      </c>
      <c r="J405" s="13"/>
      <c r="K405" s="144"/>
      <c r="L405" s="13"/>
      <c r="M405" s="13">
        <v>1</v>
      </c>
      <c r="N405" s="14">
        <f t="shared" si="12"/>
        <v>5</v>
      </c>
      <c r="O405" s="11"/>
      <c r="P405" s="15" t="s">
        <v>17</v>
      </c>
      <c r="Q405" s="75">
        <v>7443.4323494792798</v>
      </c>
      <c r="R405" s="33">
        <v>7071.2607320053157</v>
      </c>
      <c r="S405" s="17">
        <v>7318.7548576255022</v>
      </c>
      <c r="T405" s="18"/>
      <c r="U405" s="18"/>
      <c r="V405" s="19">
        <v>250</v>
      </c>
    </row>
    <row r="406" spans="1:22">
      <c r="A406" s="87" t="s">
        <v>406</v>
      </c>
      <c r="B406" s="74" t="str">
        <f>IFERROR(HYPERLINK(VLOOKUP(A406,ÜRÜNLER!A:C,3,FALSE),VLOOKUP(A406,ÜRÜNLER!A:B,2,FALSE)),"")</f>
        <v>iQ300 Toz Torbalı Süpürge, 600w, Mavi</v>
      </c>
      <c r="C406" s="10"/>
      <c r="D406" s="10"/>
      <c r="E406" s="11"/>
      <c r="F406" s="11"/>
      <c r="G406" s="12"/>
      <c r="H406" s="12"/>
      <c r="I406" s="13">
        <v>1</v>
      </c>
      <c r="J406" s="13">
        <v>1</v>
      </c>
      <c r="K406" s="144">
        <v>2</v>
      </c>
      <c r="L406" s="13">
        <v>1</v>
      </c>
      <c r="M406" s="13"/>
      <c r="N406" s="14">
        <f t="shared" si="12"/>
        <v>5</v>
      </c>
      <c r="O406" s="11"/>
      <c r="P406" s="15" t="s">
        <v>17</v>
      </c>
      <c r="Q406" s="133" t="s">
        <v>1347</v>
      </c>
      <c r="R406" s="20">
        <v>6599</v>
      </c>
      <c r="S406" s="17">
        <v>6829.9650000000001</v>
      </c>
      <c r="T406" s="18"/>
      <c r="U406" s="18"/>
      <c r="V406" s="19">
        <v>250</v>
      </c>
    </row>
    <row r="407" spans="1:22">
      <c r="A407" s="87" t="s">
        <v>407</v>
      </c>
      <c r="B407" s="74" t="str">
        <f>IFERROR(HYPERLINK(VLOOKUP(A407,ÜRÜNLER!A:C,3,FALSE),VLOOKUP(A407,ÜRÜNLER!A:B,2,FALSE)),"")</f>
        <v>iQ300 Toz Torbalı Süpürge, 600w, Açık Mavi</v>
      </c>
      <c r="C407" s="10"/>
      <c r="D407" s="10"/>
      <c r="E407" s="11"/>
      <c r="F407" s="11"/>
      <c r="G407" s="12"/>
      <c r="H407" s="12"/>
      <c r="I407" s="13"/>
      <c r="J407" s="13"/>
      <c r="K407" s="144"/>
      <c r="L407" s="13">
        <v>1</v>
      </c>
      <c r="M407" s="13"/>
      <c r="N407" s="14">
        <f t="shared" si="12"/>
        <v>1</v>
      </c>
      <c r="O407" s="11"/>
      <c r="P407" s="15" t="s">
        <v>17</v>
      </c>
      <c r="Q407" s="133" t="s">
        <v>1347</v>
      </c>
      <c r="R407" s="24">
        <v>5999</v>
      </c>
      <c r="S407" s="17">
        <v>6208.9650000000001</v>
      </c>
      <c r="T407" s="18"/>
      <c r="U407" s="18"/>
      <c r="V407" s="19">
        <v>250</v>
      </c>
    </row>
    <row r="408" spans="1:22">
      <c r="A408" s="86" t="s">
        <v>408</v>
      </c>
      <c r="B408" s="74" t="str">
        <f>IFERROR(HYPERLINK(VLOOKUP(A408,ÜRÜNLER!A:C,3,FALSE),VLOOKUP(A408,ÜRÜNLER!A:B,2,FALSE)),"")</f>
        <v>iQ700 Toz Torbalı Süpürge, 650w, Beyaz</v>
      </c>
      <c r="C408" s="10"/>
      <c r="D408" s="10"/>
      <c r="E408" s="11"/>
      <c r="F408" s="11">
        <v>12</v>
      </c>
      <c r="G408" s="12"/>
      <c r="H408" s="12"/>
      <c r="I408" s="13">
        <v>7</v>
      </c>
      <c r="J408" s="13">
        <v>2</v>
      </c>
      <c r="K408" s="144">
        <v>2</v>
      </c>
      <c r="L408" s="13">
        <v>3</v>
      </c>
      <c r="M408" s="13"/>
      <c r="N408" s="14">
        <f t="shared" si="12"/>
        <v>26</v>
      </c>
      <c r="O408" s="11">
        <v>2</v>
      </c>
      <c r="P408" s="15" t="s">
        <v>17</v>
      </c>
      <c r="Q408" s="75">
        <v>17385.606197683526</v>
      </c>
      <c r="R408" s="33">
        <v>17385.606197683526</v>
      </c>
      <c r="S408" s="17">
        <v>17994.10241460245</v>
      </c>
      <c r="T408" s="18"/>
      <c r="U408" s="18"/>
      <c r="V408" s="19">
        <v>250</v>
      </c>
    </row>
    <row r="409" spans="1:22">
      <c r="A409" s="86" t="s">
        <v>409</v>
      </c>
      <c r="B409" s="74" t="str">
        <f>IFERROR(HYPERLINK(VLOOKUP(A409,ÜRÜNLER!A:C,3,FALSE),VLOOKUP(A409,ÜRÜNLER!A:B,2,FALSE)),"")</f>
        <v>iQ700 Toz Torbalı Süpürge, 650w, Kırmızı</v>
      </c>
      <c r="C409" s="10"/>
      <c r="D409" s="10"/>
      <c r="E409" s="11"/>
      <c r="F409" s="11"/>
      <c r="G409" s="12"/>
      <c r="H409" s="12"/>
      <c r="I409" s="13">
        <v>1</v>
      </c>
      <c r="J409" s="13"/>
      <c r="K409" s="144"/>
      <c r="L409" s="13">
        <v>1</v>
      </c>
      <c r="M409" s="13"/>
      <c r="N409" s="14">
        <f t="shared" si="12"/>
        <v>2</v>
      </c>
      <c r="O409" s="11"/>
      <c r="P409" s="15" t="s">
        <v>17</v>
      </c>
      <c r="Q409" s="133" t="s">
        <v>1347</v>
      </c>
      <c r="R409" s="24">
        <v>10999</v>
      </c>
      <c r="S409" s="17">
        <v>11383.965</v>
      </c>
      <c r="T409" s="18"/>
      <c r="U409" s="18"/>
      <c r="V409" s="19">
        <v>250</v>
      </c>
    </row>
    <row r="410" spans="1:22">
      <c r="A410" s="86" t="s">
        <v>410</v>
      </c>
      <c r="B410" s="74" t="str">
        <f>IFERROR(HYPERLINK(VLOOKUP(A410,ÜRÜNLER!A:C,3,FALSE),VLOOKUP(A410,ÜRÜNLER!A:B,2,FALSE)),"")</f>
        <v>iQ300 Plus Limited Edition Toz Torbalı Elektrik Süpürgesi, 750w, Kırmızı</v>
      </c>
      <c r="C410" s="10">
        <v>10</v>
      </c>
      <c r="D410" s="10"/>
      <c r="E410" s="11"/>
      <c r="F410" s="11"/>
      <c r="G410" s="12"/>
      <c r="H410" s="12"/>
      <c r="I410" s="13">
        <v>2</v>
      </c>
      <c r="J410" s="13">
        <v>1</v>
      </c>
      <c r="K410" s="144"/>
      <c r="L410" s="13">
        <v>1</v>
      </c>
      <c r="M410" s="13"/>
      <c r="N410" s="14">
        <f t="shared" si="12"/>
        <v>14</v>
      </c>
      <c r="O410" s="11"/>
      <c r="P410" s="15" t="s">
        <v>17</v>
      </c>
      <c r="Q410" s="75">
        <v>11767.523492193133</v>
      </c>
      <c r="R410" s="33">
        <v>11767.523492193133</v>
      </c>
      <c r="S410" s="17">
        <v>12179.386814419893</v>
      </c>
      <c r="T410" s="18"/>
      <c r="U410" s="18"/>
      <c r="V410" s="19">
        <v>250</v>
      </c>
    </row>
    <row r="411" spans="1:22">
      <c r="A411" s="85" t="s">
        <v>411</v>
      </c>
      <c r="B411" s="74" t="str">
        <f>IFERROR(HYPERLINK(VLOOKUP(A411,ÜRÜNLER!A:C,3,FALSE),VLOOKUP(A411,ÜRÜNLER!A:B,2,FALSE)),"")</f>
        <v>iQ300 Toz Torbasız Süpürge, 550w, Kırmızı</v>
      </c>
      <c r="C411" s="10"/>
      <c r="D411" s="10"/>
      <c r="E411" s="11"/>
      <c r="F411" s="11">
        <v>13</v>
      </c>
      <c r="G411" s="12"/>
      <c r="H411" s="12"/>
      <c r="I411" s="13">
        <v>6</v>
      </c>
      <c r="J411" s="13">
        <v>1</v>
      </c>
      <c r="K411" s="144">
        <v>24</v>
      </c>
      <c r="L411" s="13">
        <v>2</v>
      </c>
      <c r="M411" s="13"/>
      <c r="N411" s="14">
        <f t="shared" si="12"/>
        <v>46</v>
      </c>
      <c r="O411" s="11"/>
      <c r="P411" s="15" t="s">
        <v>17</v>
      </c>
      <c r="Q411" s="75">
        <v>8503.8640100416742</v>
      </c>
      <c r="R411" s="33">
        <v>8503.8640100416742</v>
      </c>
      <c r="S411" s="27">
        <v>8801.4992503931335</v>
      </c>
      <c r="T411" s="18"/>
      <c r="U411" s="18"/>
      <c r="V411" s="19">
        <v>250</v>
      </c>
    </row>
    <row r="412" spans="1:22">
      <c r="A412" s="85" t="s">
        <v>412</v>
      </c>
      <c r="B412" s="74" t="str">
        <f>IFERROR(HYPERLINK(VLOOKUP(A412,ÜRÜNLER!A:C,3,FALSE),VLOOKUP(A412,ÜRÜNLER!A:B,2,FALSE)),"")</f>
        <v>iQ300 Toz Torbasız Süpürge, 750w, Mavi</v>
      </c>
      <c r="C412" s="10">
        <v>9</v>
      </c>
      <c r="D412" s="10"/>
      <c r="E412" s="11"/>
      <c r="F412" s="11">
        <v>5</v>
      </c>
      <c r="G412" s="12"/>
      <c r="H412" s="12"/>
      <c r="I412" s="13">
        <v>1</v>
      </c>
      <c r="J412" s="13">
        <v>4</v>
      </c>
      <c r="K412" s="144">
        <v>4</v>
      </c>
      <c r="L412" s="13">
        <v>1</v>
      </c>
      <c r="M412" s="13"/>
      <c r="N412" s="14">
        <f t="shared" si="12"/>
        <v>24</v>
      </c>
      <c r="O412" s="11"/>
      <c r="P412" s="15" t="s">
        <v>17</v>
      </c>
      <c r="Q412" s="75">
        <v>10698.894345902496</v>
      </c>
      <c r="R412" s="33">
        <v>10698.894345902496</v>
      </c>
      <c r="S412" s="27">
        <v>11073.355648009083</v>
      </c>
      <c r="T412" s="18"/>
      <c r="U412" s="18"/>
      <c r="V412" s="19">
        <v>250</v>
      </c>
    </row>
    <row r="413" spans="1:22">
      <c r="A413" s="85" t="s">
        <v>413</v>
      </c>
      <c r="B413" s="74" t="str">
        <f>IFERROR(HYPERLINK(VLOOKUP(A413,ÜRÜNLER!A:C,3,FALSE),VLOOKUP(A413,ÜRÜNLER!A:B,2,FALSE)),"")</f>
        <v>iQ500 Toz Torbasız Süpürge, 550w, Kırmızı</v>
      </c>
      <c r="C413" s="10">
        <v>38</v>
      </c>
      <c r="D413" s="10"/>
      <c r="E413" s="11"/>
      <c r="F413" s="11">
        <v>3</v>
      </c>
      <c r="G413" s="12"/>
      <c r="H413" s="12"/>
      <c r="I413" s="13">
        <v>1</v>
      </c>
      <c r="J413" s="13">
        <v>1</v>
      </c>
      <c r="K413" s="144">
        <v>4</v>
      </c>
      <c r="L413" s="13">
        <v>1</v>
      </c>
      <c r="M413" s="13"/>
      <c r="N413" s="14">
        <f t="shared" si="12"/>
        <v>48</v>
      </c>
      <c r="O413" s="11"/>
      <c r="P413" s="15" t="s">
        <v>17</v>
      </c>
      <c r="Q413" s="75">
        <v>8997.8845468867039</v>
      </c>
      <c r="R413" s="33">
        <v>8997.8845468867039</v>
      </c>
      <c r="S413" s="27">
        <v>9312.8105060277394</v>
      </c>
      <c r="T413" s="18"/>
      <c r="U413" s="18"/>
      <c r="V413" s="19">
        <v>250</v>
      </c>
    </row>
    <row r="414" spans="1:22">
      <c r="A414" s="85" t="s">
        <v>414</v>
      </c>
      <c r="B414" s="74" t="str">
        <f>IFERROR(HYPERLINK(VLOOKUP(A414,ÜRÜNLER!A:C,3,FALSE),VLOOKUP(A414,ÜRÜNLER!A:B,2,FALSE)),"")</f>
        <v>iQ500 Toz Torbasız Süpürge, 550w, Mavi</v>
      </c>
      <c r="C414" s="10"/>
      <c r="D414" s="10"/>
      <c r="E414" s="11"/>
      <c r="F414" s="11">
        <v>1</v>
      </c>
      <c r="G414" s="12"/>
      <c r="H414" s="12"/>
      <c r="I414" s="13">
        <v>1</v>
      </c>
      <c r="J414" s="13"/>
      <c r="K414" s="144">
        <v>2</v>
      </c>
      <c r="L414" s="13">
        <v>1</v>
      </c>
      <c r="M414" s="13"/>
      <c r="N414" s="14">
        <f t="shared" si="12"/>
        <v>5</v>
      </c>
      <c r="O414" s="11"/>
      <c r="P414" s="15" t="s">
        <v>17</v>
      </c>
      <c r="Q414" s="133" t="s">
        <v>1347</v>
      </c>
      <c r="R414" s="20">
        <v>6548.6702364651073</v>
      </c>
      <c r="S414" s="17">
        <v>6777.8736947413863</v>
      </c>
      <c r="T414" s="18"/>
      <c r="U414" s="18"/>
      <c r="V414" s="19">
        <v>250</v>
      </c>
    </row>
    <row r="415" spans="1:22">
      <c r="A415" s="85" t="s">
        <v>415</v>
      </c>
      <c r="B415" s="74" t="str">
        <f>IFERROR(HYPERLINK(VLOOKUP(A415,ÜRÜNLER!A:C,3,FALSE),VLOOKUP(A415,ÜRÜNLER!A:B,2,FALSE)),"")</f>
        <v>iQ500 Toz Torbasız Elektrik Süpürgesi, 750w, Siyah</v>
      </c>
      <c r="C415" s="10">
        <v>27</v>
      </c>
      <c r="D415" s="10"/>
      <c r="E415" s="11"/>
      <c r="F415" s="11">
        <v>1</v>
      </c>
      <c r="G415" s="12"/>
      <c r="H415" s="12"/>
      <c r="I415" s="13">
        <v>5</v>
      </c>
      <c r="J415" s="13">
        <v>3</v>
      </c>
      <c r="K415" s="144">
        <v>4</v>
      </c>
      <c r="L415" s="13">
        <v>4</v>
      </c>
      <c r="M415" s="13"/>
      <c r="N415" s="14">
        <f t="shared" si="12"/>
        <v>44</v>
      </c>
      <c r="O415" s="11"/>
      <c r="P415" s="15" t="s">
        <v>17</v>
      </c>
      <c r="Q415" s="75">
        <v>11695.536950353717</v>
      </c>
      <c r="R415" s="33">
        <v>11695.536950353717</v>
      </c>
      <c r="S415" s="80">
        <v>12104.880743616097</v>
      </c>
      <c r="T415" s="18"/>
      <c r="U415" s="18"/>
      <c r="V415" s="19">
        <v>250</v>
      </c>
    </row>
    <row r="416" spans="1:22">
      <c r="A416" s="85" t="s">
        <v>416</v>
      </c>
      <c r="B416" s="74" t="str">
        <f>IFERROR(HYPERLINK(VLOOKUP(A416,ÜRÜNLER!A:C,3,FALSE),VLOOKUP(A416,ÜRÜNLER!A:B,2,FALSE)),"")</f>
        <v>Siemens Toz Torbasız Süpürge, 600w, Kırmızı</v>
      </c>
      <c r="C416" s="10"/>
      <c r="D416" s="10"/>
      <c r="E416" s="11"/>
      <c r="F416" s="11"/>
      <c r="G416" s="12"/>
      <c r="H416" s="12"/>
      <c r="I416" s="13">
        <v>1</v>
      </c>
      <c r="J416" s="13"/>
      <c r="K416" s="144"/>
      <c r="L416" s="13"/>
      <c r="M416" s="13"/>
      <c r="N416" s="14">
        <f t="shared" si="12"/>
        <v>1</v>
      </c>
      <c r="O416" s="11"/>
      <c r="P416" s="15" t="s">
        <v>17</v>
      </c>
      <c r="Q416" s="133" t="s">
        <v>1347</v>
      </c>
      <c r="R416" s="24">
        <v>4999</v>
      </c>
      <c r="S416" s="80">
        <v>5173.9650000000001</v>
      </c>
      <c r="T416" s="18"/>
      <c r="U416" s="18"/>
      <c r="V416" s="19">
        <v>250</v>
      </c>
    </row>
    <row r="417" spans="1:22">
      <c r="A417" s="85" t="s">
        <v>417</v>
      </c>
      <c r="B417" s="74" t="str">
        <f>IFERROR(HYPERLINK(VLOOKUP(A417,ÜRÜNLER!A:C,3,FALSE),VLOOKUP(A417,ÜRÜNLER!A:B,2,FALSE)),"")</f>
        <v>iQ700 Toz Torbasız Elektrik Süpürgesi, 850w, Siyah</v>
      </c>
      <c r="C417" s="10">
        <v>13</v>
      </c>
      <c r="D417" s="10"/>
      <c r="E417" s="11"/>
      <c r="F417" s="11">
        <v>34</v>
      </c>
      <c r="G417" s="12"/>
      <c r="H417" s="12"/>
      <c r="I417" s="13">
        <v>11</v>
      </c>
      <c r="J417" s="13">
        <v>3</v>
      </c>
      <c r="K417" s="144">
        <v>8</v>
      </c>
      <c r="L417" s="13">
        <v>5</v>
      </c>
      <c r="M417" s="13"/>
      <c r="N417" s="14">
        <f t="shared" si="12"/>
        <v>74</v>
      </c>
      <c r="O417" s="11"/>
      <c r="P417" s="15" t="s">
        <v>17</v>
      </c>
      <c r="Q417" s="75">
        <v>20504.68551240184</v>
      </c>
      <c r="R417" s="33">
        <v>20504.68551240184</v>
      </c>
      <c r="S417" s="80">
        <v>21222.349505335904</v>
      </c>
      <c r="T417" s="18"/>
      <c r="U417" s="18"/>
      <c r="V417" s="19">
        <v>250</v>
      </c>
    </row>
    <row r="418" spans="1:22" ht="34.5" customHeight="1">
      <c r="A418" s="49" t="s">
        <v>420</v>
      </c>
      <c r="B418" s="74" t="str">
        <f>IFERROR(HYPERLINK(VLOOKUP(A418,ÜRÜNLER!A:C,3,FALSE),VLOOKUP(A418,ÜRÜNLER!A:B,2,FALSE)),"")</f>
        <v/>
      </c>
      <c r="C418" s="10"/>
      <c r="D418" s="10"/>
      <c r="E418" s="11"/>
      <c r="F418" s="11"/>
      <c r="G418" s="12"/>
      <c r="H418" s="12"/>
      <c r="I418" s="13"/>
      <c r="J418" s="13"/>
      <c r="K418" s="144"/>
      <c r="L418" s="13"/>
      <c r="M418" s="13"/>
      <c r="N418" s="14">
        <f>SUM(N401:N417)</f>
        <v>414</v>
      </c>
      <c r="O418" s="11"/>
      <c r="P418" s="11"/>
      <c r="R418" s="24"/>
      <c r="S418" s="17"/>
      <c r="T418" s="18"/>
      <c r="U418" s="18"/>
      <c r="V418" s="22"/>
    </row>
    <row r="419" spans="1:22">
      <c r="A419" s="86" t="s">
        <v>423</v>
      </c>
      <c r="B419" s="74" t="str">
        <f>IFERROR(HYPERLINK(VLOOKUP(A419,ÜRÜNLER!A:C,3,FALSE),VLOOKUP(A419,ÜRÜNLER!A:B,2,FALSE)),"")</f>
        <v>Soğuk Su Sebili, Gri</v>
      </c>
      <c r="C419" s="10"/>
      <c r="D419" s="10"/>
      <c r="E419" s="11"/>
      <c r="F419" s="11"/>
      <c r="G419" s="12"/>
      <c r="H419" s="12"/>
      <c r="I419" s="13">
        <v>2</v>
      </c>
      <c r="J419" s="13">
        <v>2</v>
      </c>
      <c r="K419" s="144">
        <v>1</v>
      </c>
      <c r="L419" s="13">
        <v>1</v>
      </c>
      <c r="M419" s="13">
        <v>7</v>
      </c>
      <c r="N419" s="14">
        <f t="shared" ref="N419:N453" si="13">SUM(C419:M419)</f>
        <v>13</v>
      </c>
      <c r="O419" s="11"/>
      <c r="P419" s="15" t="s">
        <v>17</v>
      </c>
      <c r="Q419" s="75">
        <v>10412.280518405883</v>
      </c>
      <c r="R419" s="65">
        <v>11974.122596166766</v>
      </c>
      <c r="S419" s="17">
        <v>12453.087500013437</v>
      </c>
      <c r="T419" s="18"/>
      <c r="U419" s="18"/>
      <c r="V419" s="22">
        <v>50</v>
      </c>
    </row>
    <row r="420" spans="1:22">
      <c r="A420" s="86" t="s">
        <v>424</v>
      </c>
      <c r="B420" s="74" t="str">
        <f>IFERROR(HYPERLINK(VLOOKUP(A420,ÜRÜNLER!A:C,3,FALSE),VLOOKUP(A420,ÜRÜNLER!A:B,2,FALSE)),"")</f>
        <v>Soğuk Su Sebili, Siyah/Gri, Dokunmatik</v>
      </c>
      <c r="C420" s="10">
        <v>18</v>
      </c>
      <c r="D420" s="10"/>
      <c r="E420" s="11"/>
      <c r="F420" s="11"/>
      <c r="G420" s="12"/>
      <c r="H420" s="12"/>
      <c r="I420" s="13"/>
      <c r="J420" s="13">
        <v>2</v>
      </c>
      <c r="K420" s="144">
        <v>2</v>
      </c>
      <c r="L420" s="13">
        <v>1</v>
      </c>
      <c r="M420" s="13">
        <v>5</v>
      </c>
      <c r="N420" s="14">
        <f t="shared" si="13"/>
        <v>28</v>
      </c>
      <c r="O420" s="11"/>
      <c r="P420" s="15" t="s">
        <v>17</v>
      </c>
      <c r="Q420" s="75">
        <v>15159.194999120318</v>
      </c>
      <c r="R420" s="65">
        <v>17433.074248988367</v>
      </c>
      <c r="S420" s="17">
        <v>18130.397218947903</v>
      </c>
      <c r="T420" s="18"/>
      <c r="U420" s="18"/>
      <c r="V420" s="22">
        <v>50</v>
      </c>
    </row>
    <row r="421" spans="1:22">
      <c r="A421" s="86" t="s">
        <v>425</v>
      </c>
      <c r="B421" s="74" t="str">
        <f>IFERROR(HYPERLINK(VLOOKUP(A421,ÜRÜNLER!A:C,3,FALSE),VLOOKUP(A421,ÜRÜNLER!A:B,2,FALSE)),"")</f>
        <v>Soğuk Su Sebili, Siyah/Gri</v>
      </c>
      <c r="C421" s="10"/>
      <c r="D421" s="10"/>
      <c r="E421" s="11"/>
      <c r="F421" s="11"/>
      <c r="G421" s="12"/>
      <c r="H421" s="12"/>
      <c r="I421" s="13">
        <v>2</v>
      </c>
      <c r="J421" s="13">
        <v>1</v>
      </c>
      <c r="K421" s="144">
        <v>1</v>
      </c>
      <c r="L421" s="13">
        <v>1</v>
      </c>
      <c r="M421" s="13">
        <v>5</v>
      </c>
      <c r="N421" s="14">
        <f t="shared" si="13"/>
        <v>10</v>
      </c>
      <c r="O421" s="11"/>
      <c r="P421" s="15" t="s">
        <v>17</v>
      </c>
      <c r="Q421" s="75">
        <v>14978.950144916385</v>
      </c>
      <c r="R421" s="65">
        <v>17225.792666653844</v>
      </c>
      <c r="S421" s="17">
        <v>17914.82437332</v>
      </c>
      <c r="T421" s="18"/>
      <c r="U421" s="18"/>
      <c r="V421" s="22">
        <v>50</v>
      </c>
    </row>
    <row r="422" spans="1:22">
      <c r="A422" s="86" t="s">
        <v>426</v>
      </c>
      <c r="B422" s="74" t="str">
        <f>IFERROR(HYPERLINK(VLOOKUP(A422,ÜRÜNLER!A:C,3,FALSE),VLOOKUP(A422,ÜRÜNLER!A:B,2,FALSE)),"")</f>
        <v>Sıcak/Soğuk Su Sebili, Beyaz</v>
      </c>
      <c r="C422" s="10">
        <v>93</v>
      </c>
      <c r="D422" s="10"/>
      <c r="E422" s="11"/>
      <c r="F422" s="11">
        <v>1</v>
      </c>
      <c r="G422" s="12"/>
      <c r="H422" s="12"/>
      <c r="I422" s="13">
        <v>2</v>
      </c>
      <c r="J422" s="13">
        <v>1</v>
      </c>
      <c r="K422" s="144"/>
      <c r="L422" s="13">
        <v>1</v>
      </c>
      <c r="M422" s="13">
        <v>6</v>
      </c>
      <c r="N422" s="14">
        <f t="shared" si="13"/>
        <v>104</v>
      </c>
      <c r="O422" s="11"/>
      <c r="P422" s="15" t="s">
        <v>17</v>
      </c>
      <c r="Q422" s="75">
        <v>13867.0707767613</v>
      </c>
      <c r="R422" s="65">
        <v>15947.131393275495</v>
      </c>
      <c r="S422" s="17">
        <v>16585.016649006513</v>
      </c>
      <c r="T422" s="18"/>
      <c r="U422" s="18"/>
      <c r="V422" s="22">
        <v>50</v>
      </c>
    </row>
    <row r="423" spans="1:22">
      <c r="A423" s="86" t="s">
        <v>427</v>
      </c>
      <c r="B423" s="74" t="str">
        <f>IFERROR(HYPERLINK(VLOOKUP(A423,ÜRÜNLER!A:C,3,FALSE),VLOOKUP(A423,ÜRÜNLER!A:B,2,FALSE)),"")</f>
        <v>Soğuk Su Sebili, Siyah/Gri, Sensörlü</v>
      </c>
      <c r="C423" s="10"/>
      <c r="D423" s="10"/>
      <c r="E423" s="11"/>
      <c r="F423" s="11"/>
      <c r="G423" s="12"/>
      <c r="H423" s="12"/>
      <c r="I423" s="13"/>
      <c r="J423" s="13">
        <v>1</v>
      </c>
      <c r="K423" s="144"/>
      <c r="L423" s="13"/>
      <c r="M423" s="13">
        <v>2</v>
      </c>
      <c r="N423" s="14">
        <f t="shared" si="13"/>
        <v>3</v>
      </c>
      <c r="O423" s="11"/>
      <c r="P423" s="15" t="s">
        <v>17</v>
      </c>
      <c r="Q423" s="75">
        <v>15878.152251444433</v>
      </c>
      <c r="R423" s="65">
        <v>18259.875089161098</v>
      </c>
      <c r="S423" s="17">
        <v>18990.270092727544</v>
      </c>
      <c r="T423" s="18"/>
      <c r="U423" s="18"/>
      <c r="V423" s="22">
        <v>50</v>
      </c>
    </row>
    <row r="424" spans="1:22">
      <c r="A424" s="88" t="s">
        <v>398</v>
      </c>
      <c r="B424" s="74" t="str">
        <f>IFERROR(HYPERLINK(VLOOKUP(A424,ÜRÜNLER!A:C,3,FALSE),VLOOKUP(A424,ÜRÜNLER!A:B,2,FALSE)),"")</f>
        <v>Temizleme Tableti</v>
      </c>
      <c r="C424" s="10"/>
      <c r="D424" s="10"/>
      <c r="E424" s="11"/>
      <c r="F424" s="11"/>
      <c r="G424" s="12"/>
      <c r="H424" s="12"/>
      <c r="I424" s="13">
        <v>33</v>
      </c>
      <c r="J424" s="13">
        <v>42</v>
      </c>
      <c r="K424" s="144">
        <v>19</v>
      </c>
      <c r="L424" s="13">
        <v>4</v>
      </c>
      <c r="M424" s="13"/>
      <c r="N424" s="14">
        <f t="shared" si="13"/>
        <v>98</v>
      </c>
      <c r="O424" s="11"/>
      <c r="P424" s="15" t="s">
        <v>17</v>
      </c>
      <c r="Q424" s="75">
        <v>452.60361139646415</v>
      </c>
      <c r="R424" s="24">
        <v>600</v>
      </c>
      <c r="S424" s="17">
        <v>650</v>
      </c>
      <c r="T424" s="18"/>
      <c r="U424" s="18"/>
      <c r="V424" s="22">
        <v>50</v>
      </c>
    </row>
    <row r="425" spans="1:22">
      <c r="A425" s="88" t="s">
        <v>399</v>
      </c>
      <c r="B425" s="74" t="str">
        <f>IFERROR(HYPERLINK(VLOOKUP(A425,ÜRÜNLER!A:C,3,FALSE),VLOOKUP(A425,ÜRÜNLER!A:B,2,FALSE)),"")</f>
        <v>Kireç Temizleme Tableti</v>
      </c>
      <c r="C425" s="10"/>
      <c r="D425" s="10"/>
      <c r="E425" s="11"/>
      <c r="F425" s="11"/>
      <c r="G425" s="12"/>
      <c r="H425" s="12"/>
      <c r="I425" s="13">
        <v>12</v>
      </c>
      <c r="J425" s="13"/>
      <c r="K425" s="144">
        <v>10</v>
      </c>
      <c r="L425" s="13"/>
      <c r="M425" s="13"/>
      <c r="N425" s="14">
        <f t="shared" si="13"/>
        <v>22</v>
      </c>
      <c r="O425" s="11"/>
      <c r="P425" s="15" t="s">
        <v>17</v>
      </c>
      <c r="Q425" s="75">
        <v>452.60361139646415</v>
      </c>
      <c r="R425" s="24">
        <v>600</v>
      </c>
      <c r="S425" s="17">
        <v>650</v>
      </c>
      <c r="T425" s="18"/>
      <c r="U425" s="18"/>
      <c r="V425" s="22">
        <v>50</v>
      </c>
    </row>
    <row r="426" spans="1:22">
      <c r="A426" s="85" t="s">
        <v>208</v>
      </c>
      <c r="B426" s="74" t="str">
        <f>IFERROR(HYPERLINK(VLOOKUP(A426,ÜRÜNLER!A:C,3,FALSE),VLOOKUP(A426,ÜRÜNLER!A:B,2,FALSE)),"")</f>
        <v>3D Fry Tepsi</v>
      </c>
      <c r="C426" s="10">
        <v>8</v>
      </c>
      <c r="D426" s="10"/>
      <c r="E426" s="11"/>
      <c r="F426" s="11">
        <v>12</v>
      </c>
      <c r="G426" s="12"/>
      <c r="H426" s="12"/>
      <c r="I426" s="13">
        <v>6</v>
      </c>
      <c r="J426" s="13">
        <v>10</v>
      </c>
      <c r="K426" s="144">
        <v>9</v>
      </c>
      <c r="L426" s="13">
        <v>5</v>
      </c>
      <c r="M426" s="13">
        <v>1</v>
      </c>
      <c r="N426" s="14">
        <f t="shared" si="13"/>
        <v>51</v>
      </c>
      <c r="O426" s="11">
        <v>5</v>
      </c>
      <c r="P426" s="15" t="s">
        <v>17</v>
      </c>
      <c r="Q426" s="75">
        <v>344</v>
      </c>
      <c r="R426" s="24">
        <v>600</v>
      </c>
      <c r="S426" s="17">
        <v>650</v>
      </c>
      <c r="T426" s="18"/>
      <c r="U426" s="18"/>
      <c r="V426" s="22">
        <v>50</v>
      </c>
    </row>
    <row r="427" spans="1:22">
      <c r="A427" s="85" t="s">
        <v>209</v>
      </c>
      <c r="B427" s="74" t="str">
        <f>IFERROR(HYPERLINK(VLOOKUP(A427,ÜRÜNLER!A:C,3,FALSE),VLOOKUP(A427,ÜRÜNLER!A:B,2,FALSE)),"")</f>
        <v>Siemens starter kit unducted recirculation</v>
      </c>
      <c r="C427" s="10">
        <v>3</v>
      </c>
      <c r="D427" s="10"/>
      <c r="E427" s="11"/>
      <c r="F427" s="11"/>
      <c r="G427" s="12"/>
      <c r="H427" s="12"/>
      <c r="I427" s="13"/>
      <c r="J427" s="13"/>
      <c r="K427" s="144"/>
      <c r="L427" s="13"/>
      <c r="M427" s="13"/>
      <c r="N427" s="14">
        <f t="shared" si="13"/>
        <v>3</v>
      </c>
      <c r="O427" s="11"/>
      <c r="P427" s="15"/>
      <c r="Q427" s="133"/>
      <c r="R427" s="24">
        <v>999</v>
      </c>
      <c r="S427" s="17">
        <v>1038.96</v>
      </c>
      <c r="T427" s="18"/>
      <c r="U427" s="18"/>
      <c r="V427" s="22">
        <v>50</v>
      </c>
    </row>
    <row r="428" spans="1:22">
      <c r="A428" s="85" t="s">
        <v>418</v>
      </c>
      <c r="B428" s="74" t="str">
        <f>IFERROR(HYPERLINK(VLOOKUP(A428,ÜRÜNLER!A:C,3,FALSE),VLOOKUP(A428,ÜRÜNLER!A:B,2,FALSE)),"")</f>
        <v>Siemens Elektrikli Süpürgeler için Toz Torbası (P Tip) 4'lü Paket</v>
      </c>
      <c r="C428" s="10"/>
      <c r="D428" s="10"/>
      <c r="E428" s="11"/>
      <c r="F428" s="11"/>
      <c r="G428" s="12"/>
      <c r="H428" s="12"/>
      <c r="I428" s="13">
        <v>6</v>
      </c>
      <c r="J428" s="13"/>
      <c r="K428" s="144"/>
      <c r="L428" s="13"/>
      <c r="M428" s="13"/>
      <c r="N428" s="14">
        <f t="shared" si="13"/>
        <v>6</v>
      </c>
      <c r="O428" s="11"/>
      <c r="P428" s="15" t="s">
        <v>17</v>
      </c>
      <c r="R428" s="24">
        <v>400</v>
      </c>
      <c r="S428" s="17">
        <v>450</v>
      </c>
      <c r="T428" s="18"/>
      <c r="U428" s="18"/>
      <c r="V428" s="22">
        <v>50</v>
      </c>
    </row>
    <row r="429" spans="1:22">
      <c r="A429" s="85" t="s">
        <v>419</v>
      </c>
      <c r="B429" s="74" t="str">
        <f>IFERROR(HYPERLINK(VLOOKUP(A429,ÜRÜNLER!A:C,3,FALSE),VLOOKUP(A429,ÜRÜNLER!A:B,2,FALSE)),"")</f>
        <v>Elektrik Süpürgesi Toz Torbası 4'lü</v>
      </c>
      <c r="C429" s="10">
        <v>11</v>
      </c>
      <c r="D429" s="10"/>
      <c r="E429" s="11"/>
      <c r="F429" s="11"/>
      <c r="G429" s="12"/>
      <c r="H429" s="12"/>
      <c r="I429" s="13">
        <v>77</v>
      </c>
      <c r="J429" s="13"/>
      <c r="K429" s="144">
        <v>9</v>
      </c>
      <c r="L429" s="13">
        <v>1</v>
      </c>
      <c r="M429" s="13"/>
      <c r="N429" s="14">
        <f t="shared" si="13"/>
        <v>98</v>
      </c>
      <c r="O429" s="11">
        <v>2</v>
      </c>
      <c r="P429" s="15" t="s">
        <v>17</v>
      </c>
      <c r="Q429" s="75">
        <v>310</v>
      </c>
      <c r="R429" s="24">
        <v>400</v>
      </c>
      <c r="S429" s="17">
        <v>450</v>
      </c>
      <c r="T429" s="18"/>
      <c r="U429" s="18"/>
      <c r="V429" s="22">
        <v>50</v>
      </c>
    </row>
    <row r="430" spans="1:22">
      <c r="A430" s="85" t="s">
        <v>421</v>
      </c>
      <c r="B430" s="74" t="str">
        <f>IFERROR(HYPERLINK(VLOOKUP(A430,ÜRÜNLER!A:C,3,FALSE),VLOOKUP(A430,ÜRÜNLER!A:B,2,FALSE)),"")</f>
        <v>Siemens Trifaze Ani Su Isıtıcı</v>
      </c>
      <c r="C430" s="10"/>
      <c r="D430" s="10"/>
      <c r="E430" s="11"/>
      <c r="F430" s="11"/>
      <c r="G430" s="12"/>
      <c r="H430" s="12"/>
      <c r="I430" s="13"/>
      <c r="J430" s="13"/>
      <c r="K430" s="144">
        <v>1</v>
      </c>
      <c r="L430" s="13"/>
      <c r="M430" s="13"/>
      <c r="N430" s="14">
        <f t="shared" si="13"/>
        <v>1</v>
      </c>
      <c r="O430" s="11"/>
      <c r="P430" s="15"/>
      <c r="R430" s="24">
        <v>39999</v>
      </c>
      <c r="S430" s="17">
        <v>41598.959999999999</v>
      </c>
      <c r="T430" s="18"/>
      <c r="U430" s="18"/>
      <c r="V430" s="19">
        <v>250</v>
      </c>
    </row>
    <row r="431" spans="1:22">
      <c r="A431" s="85" t="s">
        <v>422</v>
      </c>
      <c r="B431" s="74" t="str">
        <f>IFERROR(HYPERLINK(VLOOKUP(A431,ÜRÜNLER!A:C,3,FALSE),VLOOKUP(A431,ÜRÜNLER!A:B,2,FALSE)),"")</f>
        <v>Siemens Trifaze Ani Su Isıtıcı</v>
      </c>
      <c r="C431" s="10"/>
      <c r="D431" s="10"/>
      <c r="E431" s="11"/>
      <c r="F431" s="11"/>
      <c r="G431" s="12"/>
      <c r="H431" s="12"/>
      <c r="I431" s="13"/>
      <c r="J431" s="13"/>
      <c r="K431" s="144"/>
      <c r="L431" s="13"/>
      <c r="M431" s="13">
        <v>1</v>
      </c>
      <c r="N431" s="14">
        <f t="shared" si="13"/>
        <v>1</v>
      </c>
      <c r="O431" s="11"/>
      <c r="P431" s="15"/>
      <c r="R431" s="24">
        <v>49999</v>
      </c>
      <c r="S431" s="17">
        <v>51998.96</v>
      </c>
      <c r="T431" s="18"/>
      <c r="U431" s="18"/>
      <c r="V431" s="19">
        <v>250</v>
      </c>
    </row>
    <row r="432" spans="1:22">
      <c r="A432" s="85" t="s">
        <v>428</v>
      </c>
      <c r="B432" s="74" t="str">
        <f>IFERROR(HYPERLINK(VLOOKUP(A432,ÜRÜNLER!A:C,3,FALSE),VLOOKUP(A432,ÜRÜNLER!A:B,2,FALSE)),"")</f>
        <v>Siemens Çay Makinesi</v>
      </c>
      <c r="C432" s="10"/>
      <c r="D432" s="10"/>
      <c r="E432" s="11"/>
      <c r="F432" s="11"/>
      <c r="G432" s="12"/>
      <c r="H432" s="12"/>
      <c r="I432" s="13">
        <v>3</v>
      </c>
      <c r="J432" s="13">
        <v>1</v>
      </c>
      <c r="K432" s="144">
        <v>1</v>
      </c>
      <c r="L432" s="13">
        <v>1</v>
      </c>
      <c r="M432" s="13"/>
      <c r="N432" s="14">
        <f t="shared" si="13"/>
        <v>6</v>
      </c>
      <c r="O432" s="11"/>
      <c r="P432" s="15"/>
      <c r="R432" s="24">
        <v>3999</v>
      </c>
      <c r="S432" s="17">
        <v>4158.96</v>
      </c>
      <c r="T432" s="18"/>
      <c r="U432" s="18"/>
      <c r="V432" s="19">
        <v>50</v>
      </c>
    </row>
    <row r="433" spans="1:22">
      <c r="A433" s="85" t="s">
        <v>429</v>
      </c>
      <c r="B433" s="74" t="str">
        <f>IFERROR(HYPERLINK(VLOOKUP(A433,ÜRÜNLER!A:C,3,FALSE),VLOOKUP(A433,ÜRÜNLER!A:B,2,FALSE)),"")</f>
        <v>Siemens Filtre Kahve Makinesi</v>
      </c>
      <c r="C433" s="10"/>
      <c r="D433" s="10"/>
      <c r="E433" s="11"/>
      <c r="F433" s="11"/>
      <c r="G433" s="12"/>
      <c r="H433" s="12"/>
      <c r="I433" s="13">
        <v>1</v>
      </c>
      <c r="J433" s="13"/>
      <c r="K433" s="144"/>
      <c r="L433" s="13"/>
      <c r="M433" s="13"/>
      <c r="N433" s="14">
        <f t="shared" si="13"/>
        <v>1</v>
      </c>
      <c r="O433" s="11"/>
      <c r="P433" s="15"/>
      <c r="R433" s="24">
        <v>4999</v>
      </c>
      <c r="S433" s="17">
        <v>5198.96</v>
      </c>
      <c r="T433" s="18"/>
      <c r="U433" s="18"/>
      <c r="V433" s="19">
        <v>50</v>
      </c>
    </row>
    <row r="434" spans="1:22">
      <c r="A434" s="85" t="s">
        <v>430</v>
      </c>
      <c r="B434" s="74" t="str">
        <f>IFERROR(HYPERLINK(VLOOKUP(A434,ÜRÜNLER!A:C,3,FALSE),VLOOKUP(A434,ÜRÜNLER!A:B,2,FALSE)),"")</f>
        <v>Siemens El Blenderı ergonomicEdition, 600w, Beyaz/Mavi</v>
      </c>
      <c r="C434" s="10"/>
      <c r="D434" s="10"/>
      <c r="E434" s="11"/>
      <c r="F434" s="11"/>
      <c r="G434" s="12"/>
      <c r="H434" s="12"/>
      <c r="I434" s="13">
        <v>2</v>
      </c>
      <c r="J434" s="13"/>
      <c r="K434" s="144"/>
      <c r="L434" s="13"/>
      <c r="M434" s="13"/>
      <c r="N434" s="14">
        <f t="shared" si="13"/>
        <v>2</v>
      </c>
      <c r="O434" s="11"/>
      <c r="P434" s="15"/>
      <c r="R434" s="24">
        <v>1999</v>
      </c>
      <c r="S434" s="17">
        <v>2078.96</v>
      </c>
      <c r="T434" s="18"/>
      <c r="U434" s="18"/>
      <c r="V434" s="19">
        <v>50</v>
      </c>
    </row>
    <row r="435" spans="1:22">
      <c r="A435" s="85" t="s">
        <v>431</v>
      </c>
      <c r="B435" s="74" t="str">
        <f>IFERROR(HYPERLINK(VLOOKUP(A435,ÜRÜNLER!A:C,3,FALSE),VLOOKUP(A435,ÜRÜNLER!A:B,2,FALSE)),"")</f>
        <v>Siemens El Blenderı, 600w, Beyaz/Mavi</v>
      </c>
      <c r="C435" s="10"/>
      <c r="D435" s="10"/>
      <c r="E435" s="11"/>
      <c r="F435" s="11"/>
      <c r="G435" s="12"/>
      <c r="H435" s="12"/>
      <c r="I435" s="13">
        <v>1</v>
      </c>
      <c r="J435" s="13"/>
      <c r="K435" s="144"/>
      <c r="L435" s="13"/>
      <c r="M435" s="13"/>
      <c r="N435" s="14">
        <f t="shared" si="13"/>
        <v>1</v>
      </c>
      <c r="O435" s="11"/>
      <c r="P435" s="15"/>
      <c r="R435" s="24">
        <v>2499</v>
      </c>
      <c r="S435" s="17">
        <v>2598.96</v>
      </c>
      <c r="T435" s="18"/>
      <c r="U435" s="18"/>
      <c r="V435" s="19">
        <v>50</v>
      </c>
    </row>
    <row r="436" spans="1:22">
      <c r="A436" s="85" t="s">
        <v>432</v>
      </c>
      <c r="B436" s="74" t="str">
        <f>IFERROR(HYPERLINK(VLOOKUP(A436,ÜRÜNLER!A:C,3,FALSE),VLOOKUP(A436,ÜRÜNLER!A:B,2,FALSE)),"")</f>
        <v>Siemens El Blenderı FQ.1, 750w, Siyah/Gri</v>
      </c>
      <c r="C436" s="10"/>
      <c r="D436" s="10"/>
      <c r="E436" s="11"/>
      <c r="F436" s="11"/>
      <c r="G436" s="12"/>
      <c r="H436" s="12"/>
      <c r="I436" s="13">
        <v>2</v>
      </c>
      <c r="J436" s="13"/>
      <c r="K436" s="144"/>
      <c r="L436" s="13"/>
      <c r="M436" s="13"/>
      <c r="N436" s="14">
        <f t="shared" si="13"/>
        <v>2</v>
      </c>
      <c r="O436" s="11"/>
      <c r="P436" s="15"/>
      <c r="R436" s="24">
        <v>1999</v>
      </c>
      <c r="S436" s="17">
        <v>2078.96</v>
      </c>
      <c r="T436" s="18"/>
      <c r="U436" s="18"/>
      <c r="V436" s="19">
        <v>50</v>
      </c>
    </row>
    <row r="437" spans="1:22">
      <c r="A437" s="85" t="s">
        <v>434</v>
      </c>
      <c r="B437" s="74" t="str">
        <f>IFERROR(HYPERLINK(VLOOKUP(A437,ÜRÜNLER!A:C,3,FALSE),VLOOKUP(A437,ÜRÜNLER!A:B,2,FALSE)),"")</f>
        <v>Siemens El Mikseri, 450w, Beyaz/Antrasit</v>
      </c>
      <c r="C437" s="10"/>
      <c r="D437" s="10"/>
      <c r="E437" s="11"/>
      <c r="F437" s="11"/>
      <c r="G437" s="12"/>
      <c r="H437" s="12"/>
      <c r="I437" s="13">
        <v>1</v>
      </c>
      <c r="J437" s="13"/>
      <c r="K437" s="144"/>
      <c r="L437" s="13"/>
      <c r="M437" s="13"/>
      <c r="N437" s="14">
        <f t="shared" si="13"/>
        <v>1</v>
      </c>
      <c r="O437" s="11"/>
      <c r="P437" s="15"/>
      <c r="R437" s="24">
        <v>999</v>
      </c>
      <c r="S437" s="17">
        <v>1038.96</v>
      </c>
      <c r="T437" s="18"/>
      <c r="U437" s="18"/>
      <c r="V437" s="19">
        <v>50</v>
      </c>
    </row>
    <row r="438" spans="1:22">
      <c r="A438" s="85" t="s">
        <v>435</v>
      </c>
      <c r="B438" s="74" t="str">
        <f>IFERROR(HYPERLINK(VLOOKUP(A438,ÜRÜNLER!A:C,3,FALSE),VLOOKUP(A438,ÜRÜNLER!A:B,2,FALSE)),"")</f>
        <v>Siemens El Mikseri, 450w, Beyaz/Mavi</v>
      </c>
      <c r="C438" s="10"/>
      <c r="D438" s="10"/>
      <c r="E438" s="11"/>
      <c r="F438" s="11"/>
      <c r="G438" s="12"/>
      <c r="H438" s="12"/>
      <c r="I438" s="13">
        <v>1</v>
      </c>
      <c r="J438" s="13"/>
      <c r="K438" s="144"/>
      <c r="L438" s="13"/>
      <c r="M438" s="13"/>
      <c r="N438" s="14">
        <f t="shared" si="13"/>
        <v>1</v>
      </c>
      <c r="O438" s="11"/>
      <c r="P438" s="15"/>
      <c r="R438" s="24">
        <v>1499</v>
      </c>
      <c r="S438" s="17">
        <v>1558.96</v>
      </c>
      <c r="T438" s="18"/>
      <c r="U438" s="18"/>
      <c r="V438" s="19">
        <v>50</v>
      </c>
    </row>
    <row r="439" spans="1:22">
      <c r="A439" s="85" t="s">
        <v>436</v>
      </c>
      <c r="B439" s="74" t="str">
        <f>IFERROR(HYPERLINK(VLOOKUP(A439,ÜRÜNLER!A:C,3,FALSE),VLOOKUP(A439,ÜRÜNLER!A:B,2,FALSE)),"")</f>
        <v>El Mikser Seti, 500w, Siyah</v>
      </c>
      <c r="C439" s="10"/>
      <c r="D439" s="10"/>
      <c r="E439" s="11"/>
      <c r="F439" s="11"/>
      <c r="G439" s="12"/>
      <c r="H439" s="12"/>
      <c r="I439" s="13">
        <v>3</v>
      </c>
      <c r="J439" s="13"/>
      <c r="K439" s="144"/>
      <c r="L439" s="13"/>
      <c r="M439" s="13"/>
      <c r="N439" s="14">
        <f t="shared" si="13"/>
        <v>3</v>
      </c>
      <c r="O439" s="11"/>
      <c r="P439" s="15"/>
      <c r="R439" s="24">
        <v>2999</v>
      </c>
      <c r="S439" s="17">
        <v>3118.96</v>
      </c>
      <c r="T439" s="18"/>
      <c r="U439" s="18"/>
      <c r="V439" s="19">
        <v>50</v>
      </c>
    </row>
    <row r="440" spans="1:22">
      <c r="A440" s="85" t="s">
        <v>438</v>
      </c>
      <c r="B440" s="74" t="str">
        <f>IFERROR(HYPERLINK(VLOOKUP(A440,ÜRÜNLER!A:C,3,FALSE),VLOOKUP(A440,ÜRÜNLER!A:B,2,FALSE)),"")</f>
        <v>Siemens Ekmek Kızartma Makinesi, 860w, Siyah/Inox</v>
      </c>
      <c r="C440" s="10"/>
      <c r="D440" s="10"/>
      <c r="E440" s="11"/>
      <c r="F440" s="11"/>
      <c r="G440" s="12"/>
      <c r="H440" s="12"/>
      <c r="I440" s="13">
        <v>3</v>
      </c>
      <c r="J440" s="13"/>
      <c r="K440" s="144"/>
      <c r="L440" s="13"/>
      <c r="M440" s="13"/>
      <c r="N440" s="14">
        <f t="shared" si="13"/>
        <v>3</v>
      </c>
      <c r="O440" s="11"/>
      <c r="P440" s="15"/>
      <c r="R440" s="24">
        <v>2999</v>
      </c>
      <c r="S440" s="17">
        <v>3118.96</v>
      </c>
      <c r="T440" s="18"/>
      <c r="U440" s="18"/>
      <c r="V440" s="19">
        <v>50</v>
      </c>
    </row>
    <row r="441" spans="1:22">
      <c r="A441" s="86" t="s">
        <v>439</v>
      </c>
      <c r="B441" s="74" t="str">
        <f>IFERROR(HYPERLINK(VLOOKUP(A441,ÜRÜNLER!A:C,3,FALSE),VLOOKUP(A441,ÜRÜNLER!A:B,2,FALSE)),"")</f>
        <v>Siemens Kettle series300 Su Isıtıcı, 1.7L, Siyah</v>
      </c>
      <c r="C441" s="10"/>
      <c r="D441" s="10"/>
      <c r="E441" s="11"/>
      <c r="F441" s="11"/>
      <c r="G441" s="12"/>
      <c r="H441" s="12"/>
      <c r="I441" s="13">
        <v>1</v>
      </c>
      <c r="J441" s="13"/>
      <c r="K441" s="144"/>
      <c r="L441" s="13"/>
      <c r="M441" s="13"/>
      <c r="N441" s="14">
        <f t="shared" si="13"/>
        <v>1</v>
      </c>
      <c r="O441" s="11"/>
      <c r="P441" s="15"/>
      <c r="R441" s="24">
        <v>1499</v>
      </c>
      <c r="S441" s="17">
        <v>1558.96</v>
      </c>
      <c r="T441" s="18"/>
      <c r="U441" s="18"/>
      <c r="V441" s="19">
        <v>50</v>
      </c>
    </row>
    <row r="442" spans="1:22">
      <c r="A442" s="85" t="s">
        <v>440</v>
      </c>
      <c r="B442" s="74" t="str">
        <f>IFERROR(HYPERLINK(VLOOKUP(A442,ÜRÜNLER!A:C,3,FALSE),VLOOKUP(A442,ÜRÜNLER!A:B,2,FALSE)),"")</f>
        <v>Siemens Buzdolabı Kulpu 79cm, Inox</v>
      </c>
      <c r="C442" s="10">
        <v>1</v>
      </c>
      <c r="D442" s="10"/>
      <c r="E442" s="11"/>
      <c r="F442" s="11"/>
      <c r="G442" s="12"/>
      <c r="H442" s="12"/>
      <c r="I442" s="13"/>
      <c r="J442" s="13"/>
      <c r="K442" s="144">
        <v>4</v>
      </c>
      <c r="L442" s="13"/>
      <c r="M442" s="13"/>
      <c r="N442" s="14">
        <f t="shared" si="13"/>
        <v>5</v>
      </c>
      <c r="O442" s="11"/>
      <c r="P442" s="15"/>
      <c r="R442" s="24">
        <v>24999</v>
      </c>
      <c r="S442" s="17">
        <v>25998.959999999999</v>
      </c>
      <c r="T442" s="18"/>
      <c r="U442" s="18"/>
      <c r="V442" s="19">
        <v>250</v>
      </c>
    </row>
    <row r="443" spans="1:22">
      <c r="A443" s="85" t="s">
        <v>441</v>
      </c>
      <c r="B443" s="74" t="str">
        <f>IFERROR(HYPERLINK(VLOOKUP(A443,ÜRÜNLER!A:C,3,FALSE),VLOOKUP(A443,ÜRÜNLER!A:B,2,FALSE)),"")</f>
        <v>Siemens Buzdolabı Kulpu</v>
      </c>
      <c r="C443" s="10"/>
      <c r="D443" s="10"/>
      <c r="E443" s="11"/>
      <c r="F443" s="11"/>
      <c r="G443" s="12"/>
      <c r="H443" s="12"/>
      <c r="I443" s="13"/>
      <c r="J443" s="13">
        <v>1</v>
      </c>
      <c r="K443" s="144">
        <v>1</v>
      </c>
      <c r="L443" s="13"/>
      <c r="M443" s="13"/>
      <c r="N443" s="14">
        <f t="shared" si="13"/>
        <v>2</v>
      </c>
      <c r="O443" s="11"/>
      <c r="P443" s="15"/>
      <c r="R443" s="24">
        <v>6148.9750000000004</v>
      </c>
      <c r="S443" s="17">
        <v>6394.9340000000002</v>
      </c>
      <c r="T443" s="18"/>
      <c r="U443" s="18"/>
      <c r="V443" s="19">
        <v>250</v>
      </c>
    </row>
    <row r="444" spans="1:22">
      <c r="A444" s="85" t="s">
        <v>442</v>
      </c>
      <c r="B444" s="74" t="str">
        <f>IFERROR(HYPERLINK(VLOOKUP(A444,ÜRÜNLER!A:C,3,FALSE),VLOOKUP(A444,ÜRÜNLER!A:B,2,FALSE)),"")</f>
        <v>Siemens Buzdolabı Kulpu</v>
      </c>
      <c r="C444" s="10">
        <v>5</v>
      </c>
      <c r="D444" s="10">
        <v>4</v>
      </c>
      <c r="E444" s="11"/>
      <c r="F444" s="11"/>
      <c r="G444" s="12"/>
      <c r="H444" s="12"/>
      <c r="I444" s="13"/>
      <c r="J444" s="13"/>
      <c r="K444" s="144"/>
      <c r="L444" s="13"/>
      <c r="M444" s="13"/>
      <c r="N444" s="14">
        <f t="shared" si="13"/>
        <v>9</v>
      </c>
      <c r="O444" s="11"/>
      <c r="P444" s="15" t="s">
        <v>17</v>
      </c>
      <c r="Q444" s="75">
        <v>8867.3785891660682</v>
      </c>
      <c r="R444" s="33">
        <v>8867.3785891660682</v>
      </c>
      <c r="S444" s="17">
        <v>9222.0737327327115</v>
      </c>
      <c r="T444" s="18"/>
      <c r="U444" s="18"/>
      <c r="V444" s="19">
        <v>250</v>
      </c>
    </row>
    <row r="445" spans="1:22">
      <c r="A445" s="85" t="s">
        <v>443</v>
      </c>
      <c r="B445" s="74" t="str">
        <f>IFERROR(HYPERLINK(VLOOKUP(A445,ÜRÜNLER!A:C,3,FALSE),VLOOKUP(A445,ÜRÜNLER!A:B,2,FALSE)),"")</f>
        <v>Siemens studioLine Buzdolabı Kulpu</v>
      </c>
      <c r="C445" s="10"/>
      <c r="D445" s="10">
        <v>4</v>
      </c>
      <c r="E445" s="11"/>
      <c r="F445" s="11"/>
      <c r="G445" s="12"/>
      <c r="H445" s="12"/>
      <c r="I445" s="13"/>
      <c r="J445" s="13"/>
      <c r="K445" s="144"/>
      <c r="L445" s="13"/>
      <c r="M445" s="13"/>
      <c r="N445" s="14">
        <f t="shared" si="13"/>
        <v>4</v>
      </c>
      <c r="O445" s="11"/>
      <c r="P445" s="15" t="s">
        <v>17</v>
      </c>
      <c r="Q445" s="75">
        <v>3521.1995943386523</v>
      </c>
      <c r="R445" s="33">
        <v>3521.1995943386523</v>
      </c>
      <c r="S445" s="17">
        <v>3662.0475781121986</v>
      </c>
      <c r="T445" s="18"/>
      <c r="U445" s="18"/>
      <c r="V445" s="19">
        <v>250</v>
      </c>
    </row>
    <row r="446" spans="1:22">
      <c r="A446" s="85" t="s">
        <v>444</v>
      </c>
      <c r="B446" s="74" t="str">
        <f>IFERROR(HYPERLINK(VLOOKUP(A446,ÜRÜNLER!A:C,3,FALSE),VLOOKUP(A446,ÜRÜNLER!A:B,2,FALSE)),"")</f>
        <v>Siemens Buzdolabı Kulpu 79cm, Inox</v>
      </c>
      <c r="C446" s="10">
        <v>1</v>
      </c>
      <c r="D446" s="10"/>
      <c r="E446" s="11"/>
      <c r="F446" s="11"/>
      <c r="G446" s="12"/>
      <c r="H446" s="12"/>
      <c r="I446" s="13"/>
      <c r="J446" s="13"/>
      <c r="K446" s="144"/>
      <c r="L446" s="13"/>
      <c r="M446" s="13"/>
      <c r="N446" s="14">
        <f t="shared" si="13"/>
        <v>1</v>
      </c>
      <c r="O446" s="11"/>
      <c r="P446" s="15" t="s">
        <v>17</v>
      </c>
      <c r="Q446" s="75">
        <v>2510.3949651838452</v>
      </c>
      <c r="R446" s="24">
        <v>2437</v>
      </c>
      <c r="S446" s="17">
        <v>2534.48</v>
      </c>
      <c r="T446" s="18"/>
      <c r="U446" s="18"/>
      <c r="V446" s="19">
        <v>250</v>
      </c>
    </row>
    <row r="447" spans="1:22">
      <c r="A447" s="86" t="s">
        <v>445</v>
      </c>
      <c r="B447" s="74" t="str">
        <f>IFERROR(HYPERLINK(VLOOKUP(A447,ÜRÜNLER!A:C,3,FALSE),VLOOKUP(A447,ÜRÜNLER!A:B,2,FALSE)),"")</f>
        <v>Siemens studioLine Buzdolabı Kapı Paneli, 202.9x60.3cm</v>
      </c>
      <c r="C447" s="10"/>
      <c r="D447" s="10">
        <v>2</v>
      </c>
      <c r="E447" s="11"/>
      <c r="F447" s="11"/>
      <c r="G447" s="12"/>
      <c r="H447" s="12"/>
      <c r="I447" s="13"/>
      <c r="J447" s="13"/>
      <c r="K447" s="144">
        <v>1</v>
      </c>
      <c r="L447" s="13"/>
      <c r="M447" s="13"/>
      <c r="N447" s="14">
        <f t="shared" si="13"/>
        <v>3</v>
      </c>
      <c r="O447" s="11"/>
      <c r="P447" s="15" t="s">
        <v>17</v>
      </c>
      <c r="Q447" s="75">
        <v>6515.7970471358785</v>
      </c>
      <c r="R447" s="33">
        <v>6515.7970471358785</v>
      </c>
      <c r="S447" s="17">
        <v>6776.4289290213137</v>
      </c>
      <c r="T447" s="18"/>
      <c r="U447" s="18"/>
      <c r="V447" s="19">
        <v>250</v>
      </c>
    </row>
    <row r="448" spans="1:22">
      <c r="A448" s="86" t="s">
        <v>446</v>
      </c>
      <c r="B448" s="74" t="str">
        <f>IFERROR(HYPERLINK(VLOOKUP(A448,ÜRÜNLER!A:C,3,FALSE),VLOOKUP(A448,ÜRÜNLER!A:B,2,FALSE)),"")</f>
        <v>Siemens Buzdolabı Kapı Paneli, 202.9x75.6cm</v>
      </c>
      <c r="C448" s="10">
        <v>4</v>
      </c>
      <c r="D448" s="10">
        <v>2</v>
      </c>
      <c r="E448" s="11"/>
      <c r="F448" s="11"/>
      <c r="G448" s="12"/>
      <c r="H448" s="12"/>
      <c r="I448" s="13"/>
      <c r="J448" s="13"/>
      <c r="K448" s="144">
        <v>1</v>
      </c>
      <c r="L448" s="13"/>
      <c r="M448" s="13"/>
      <c r="N448" s="14">
        <f t="shared" si="13"/>
        <v>7</v>
      </c>
      <c r="O448" s="11"/>
      <c r="P448" s="15" t="s">
        <v>17</v>
      </c>
      <c r="Q448" s="75">
        <v>12864.686900934046</v>
      </c>
      <c r="R448" s="33">
        <v>12864.686900934046</v>
      </c>
      <c r="S448" s="17">
        <v>13379.274376971409</v>
      </c>
      <c r="T448" s="18"/>
      <c r="U448" s="18"/>
      <c r="V448" s="19">
        <v>250</v>
      </c>
    </row>
    <row r="449" spans="1:23">
      <c r="A449" s="85" t="s">
        <v>447</v>
      </c>
      <c r="B449" s="74" t="str">
        <f>IFERROR(HYPERLINK(VLOOKUP(A449,ÜRÜNLER!A:C,3,FALSE),VLOOKUP(A449,ÜRÜNLER!A:B,2,FALSE)),"")</f>
        <v>Siemens Buzdolabı Kapı Paneli, 202.9x90.8cm</v>
      </c>
      <c r="C449" s="10">
        <v>5</v>
      </c>
      <c r="D449" s="10">
        <v>2</v>
      </c>
      <c r="E449" s="11"/>
      <c r="F449" s="11"/>
      <c r="G449" s="12"/>
      <c r="H449" s="12"/>
      <c r="I449" s="13"/>
      <c r="J449" s="13">
        <v>1</v>
      </c>
      <c r="K449" s="144">
        <v>1</v>
      </c>
      <c r="L449" s="13"/>
      <c r="M449" s="13"/>
      <c r="N449" s="14">
        <f t="shared" si="13"/>
        <v>9</v>
      </c>
      <c r="O449" s="11"/>
      <c r="P449" s="15" t="s">
        <v>17</v>
      </c>
      <c r="Q449" s="75">
        <v>18868.450592859805</v>
      </c>
      <c r="R449" s="33">
        <v>18868.450592859805</v>
      </c>
      <c r="S449" s="17">
        <v>19623.188616574196</v>
      </c>
      <c r="T449" s="18"/>
      <c r="U449" s="18"/>
      <c r="V449" s="19">
        <v>250</v>
      </c>
    </row>
    <row r="450" spans="1:23">
      <c r="A450" s="85" t="s">
        <v>448</v>
      </c>
      <c r="B450" s="74" t="str">
        <f>IFERROR(HYPERLINK(VLOOKUP(A450,ÜRÜNLER!A:C,3,FALSE),VLOOKUP(A450,ÜRÜNLER!A:B,2,FALSE)),"")</f>
        <v>Siemens Buzdolabı Bağlantı Seti</v>
      </c>
      <c r="C450" s="10">
        <v>4</v>
      </c>
      <c r="D450" s="10"/>
      <c r="E450" s="11"/>
      <c r="F450" s="11"/>
      <c r="G450" s="12"/>
      <c r="H450" s="12"/>
      <c r="I450" s="13"/>
      <c r="J450" s="13"/>
      <c r="K450" s="144"/>
      <c r="L450" s="13"/>
      <c r="M450" s="13"/>
      <c r="N450" s="14">
        <f t="shared" si="13"/>
        <v>4</v>
      </c>
      <c r="O450" s="11"/>
      <c r="P450" s="15" t="s">
        <v>17</v>
      </c>
      <c r="R450" s="50"/>
      <c r="S450" s="17"/>
      <c r="T450" s="18"/>
      <c r="U450" s="18"/>
      <c r="V450" s="19"/>
    </row>
    <row r="451" spans="1:23">
      <c r="A451" s="85" t="s">
        <v>449</v>
      </c>
      <c r="B451" s="74" t="str">
        <f>IFERROR(HYPERLINK(VLOOKUP(A451,ÜRÜNLER!A:C,3,FALSE),VLOOKUP(A451,ÜRÜNLER!A:B,2,FALSE)),"")</f>
        <v>Siemens Buzdolabı Bağlantı Seti</v>
      </c>
      <c r="C451" s="10">
        <v>2</v>
      </c>
      <c r="D451" s="10">
        <v>2</v>
      </c>
      <c r="E451" s="11"/>
      <c r="F451" s="11"/>
      <c r="G451" s="12"/>
      <c r="H451" s="12">
        <v>2</v>
      </c>
      <c r="I451" s="13"/>
      <c r="J451" s="13"/>
      <c r="K451" s="144"/>
      <c r="L451" s="13"/>
      <c r="M451" s="13"/>
      <c r="N451" s="14">
        <f t="shared" si="13"/>
        <v>6</v>
      </c>
      <c r="O451" s="11"/>
      <c r="P451" s="15" t="s">
        <v>17</v>
      </c>
      <c r="R451" s="20"/>
      <c r="S451" s="17"/>
      <c r="T451" s="18"/>
      <c r="U451" s="18"/>
      <c r="V451" s="19"/>
    </row>
    <row r="452" spans="1:23">
      <c r="A452" s="85" t="s">
        <v>450</v>
      </c>
      <c r="B452" s="74" t="str">
        <f>IFERROR(HYPERLINK(VLOOKUP(A452,ÜRÜNLER!A:C,3,FALSE),VLOOKUP(A452,ÜRÜNLER!A:B,2,FALSE)),"")</f>
        <v>Siemens studioLine Buzdolabı Çekmecesi</v>
      </c>
      <c r="C452" s="10"/>
      <c r="D452" s="10">
        <v>1</v>
      </c>
      <c r="E452" s="11"/>
      <c r="F452" s="11"/>
      <c r="G452" s="12"/>
      <c r="H452" s="12"/>
      <c r="I452" s="13"/>
      <c r="J452" s="13"/>
      <c r="K452" s="144"/>
      <c r="L452" s="13"/>
      <c r="M452" s="13"/>
      <c r="N452" s="14">
        <f t="shared" si="13"/>
        <v>1</v>
      </c>
      <c r="O452" s="11"/>
      <c r="P452" s="15" t="s">
        <v>17</v>
      </c>
      <c r="Q452" s="75">
        <v>2251.7843805077478</v>
      </c>
      <c r="R452" s="33">
        <v>2251.7843805077478</v>
      </c>
      <c r="S452" s="17">
        <v>2330.5968338255188</v>
      </c>
      <c r="T452" s="18"/>
      <c r="U452" s="18"/>
      <c r="V452" s="19">
        <v>250</v>
      </c>
    </row>
    <row r="453" spans="1:23">
      <c r="A453" s="85" t="s">
        <v>451</v>
      </c>
      <c r="B453" s="74" t="str">
        <f>IFERROR(HYPERLINK(VLOOKUP(A453,ÜRÜNLER!A:C,3,FALSE),VLOOKUP(A453,ÜRÜNLER!A:B,2,FALSE)),"")</f>
        <v>Siemens studioLine 36'' Buzdolabı Kapı Paneli, Paslanmaz Çelik, 3 Kapı</v>
      </c>
      <c r="C453" s="10"/>
      <c r="D453" s="10">
        <v>1</v>
      </c>
      <c r="E453" s="11"/>
      <c r="F453" s="11"/>
      <c r="G453" s="12"/>
      <c r="H453" s="12"/>
      <c r="I453" s="13"/>
      <c r="J453" s="13"/>
      <c r="K453" s="144"/>
      <c r="L453" s="13"/>
      <c r="M453" s="13"/>
      <c r="N453" s="14">
        <f t="shared" si="13"/>
        <v>1</v>
      </c>
      <c r="O453" s="11"/>
      <c r="P453" s="15" t="s">
        <v>17</v>
      </c>
      <c r="Q453" s="75">
        <v>10600.401058527552</v>
      </c>
      <c r="R453" s="33">
        <v>10600.401058527552</v>
      </c>
      <c r="S453" s="17">
        <v>10971.415095576016</v>
      </c>
      <c r="T453" s="18"/>
      <c r="U453" s="18"/>
      <c r="V453" s="19">
        <v>250</v>
      </c>
    </row>
    <row r="454" spans="1:23">
      <c r="A454" s="44" t="s">
        <v>452</v>
      </c>
      <c r="B454" s="74" t="str">
        <f>IFERROR(HYPERLINK(VLOOKUP(A454,ÜRÜNLER!A:C,3,FALSE),VLOOKUP(A454,ÜRÜNLER!A:B,2,FALSE)),"")</f>
        <v/>
      </c>
      <c r="C454" s="10"/>
      <c r="D454" s="10"/>
      <c r="E454" s="11"/>
      <c r="F454" s="11"/>
      <c r="G454" s="12"/>
      <c r="H454" s="12"/>
      <c r="I454" s="13"/>
      <c r="J454" s="13"/>
      <c r="K454" s="144"/>
      <c r="L454" s="13"/>
      <c r="M454" s="13"/>
      <c r="N454" s="14"/>
      <c r="O454" s="11"/>
      <c r="P454" s="15"/>
      <c r="R454" s="51"/>
      <c r="S454" s="17"/>
      <c r="T454" s="18"/>
      <c r="U454" s="18"/>
      <c r="V454" s="19"/>
    </row>
    <row r="455" spans="1:23">
      <c r="A455" s="84" t="s">
        <v>453</v>
      </c>
      <c r="B455" s="74" t="str">
        <f>IFERROR(HYPERLINK(VLOOKUP(A455,ÜRÜNLER!A:C,3,FALSE),VLOOKUP(A455,ÜRÜNLER!A:B,2,FALSE)),"")</f>
        <v>Siemens Ev Tipi Klima İç Ünite, 9.000BTU, Beyaz</v>
      </c>
      <c r="C455" s="10">
        <v>5</v>
      </c>
      <c r="D455" s="10"/>
      <c r="E455" s="11"/>
      <c r="F455" s="11"/>
      <c r="G455" s="12"/>
      <c r="H455" s="12"/>
      <c r="I455" s="13">
        <v>1</v>
      </c>
      <c r="J455" s="13"/>
      <c r="K455" s="144"/>
      <c r="L455" s="13"/>
      <c r="M455" s="13"/>
      <c r="N455" s="14">
        <f t="shared" ref="N455:N468" si="14">SUM(C455:M455)</f>
        <v>6</v>
      </c>
      <c r="O455" s="11"/>
      <c r="P455" s="15" t="s">
        <v>17</v>
      </c>
      <c r="Q455" s="75">
        <v>16020.74074189603</v>
      </c>
      <c r="R455" s="65">
        <v>16180.948149314991</v>
      </c>
      <c r="S455" s="17">
        <v>16747.281334541014</v>
      </c>
      <c r="T455" s="18"/>
      <c r="U455" s="18"/>
      <c r="V455" s="19">
        <v>250</v>
      </c>
    </row>
    <row r="456" spans="1:23">
      <c r="A456" s="84" t="s">
        <v>454</v>
      </c>
      <c r="B456" s="74" t="str">
        <f>IFERROR(HYPERLINK(VLOOKUP(A456,ÜRÜNLER!A:C,3,FALSE),VLOOKUP(A456,ÜRÜNLER!A:B,2,FALSE)),"")</f>
        <v>Siemens Ev Tipi Klima Dış Ünite, 9.000BTU, Beyaz</v>
      </c>
      <c r="C456" s="10">
        <v>6</v>
      </c>
      <c r="D456" s="10"/>
      <c r="E456" s="11"/>
      <c r="F456" s="11"/>
      <c r="G456" s="12"/>
      <c r="H456" s="12"/>
      <c r="I456" s="13"/>
      <c r="J456" s="13"/>
      <c r="K456" s="144"/>
      <c r="L456" s="13"/>
      <c r="M456" s="13"/>
      <c r="N456" s="14">
        <f t="shared" si="14"/>
        <v>6</v>
      </c>
      <c r="O456" s="11"/>
      <c r="P456" s="15" t="s">
        <v>17</v>
      </c>
      <c r="Q456" s="75">
        <v>24031.111112844046</v>
      </c>
      <c r="R456" s="65">
        <v>24271.422223972488</v>
      </c>
      <c r="S456" s="17">
        <v>25120.922001811527</v>
      </c>
      <c r="T456" s="18"/>
      <c r="U456" s="18"/>
      <c r="V456" s="19"/>
    </row>
    <row r="457" spans="1:23">
      <c r="A457" s="171" t="s">
        <v>455</v>
      </c>
      <c r="B457" s="74" t="str">
        <f>IFERROR(HYPERLINK(VLOOKUP(A457,ÜRÜNLER!A:C,3,FALSE),VLOOKUP(A457,ÜRÜNLER!A:B,2,FALSE)),"")</f>
        <v>Siemens Ev Tipi Klima İç Ünite, 12.000BTU, Beyaz</v>
      </c>
      <c r="C457" s="172"/>
      <c r="D457" s="172"/>
      <c r="E457" s="173"/>
      <c r="F457" s="173"/>
      <c r="G457" s="174"/>
      <c r="H457" s="174"/>
      <c r="I457" s="1"/>
      <c r="J457" s="1"/>
      <c r="K457" s="175">
        <v>2</v>
      </c>
      <c r="L457" s="1"/>
      <c r="M457" s="1"/>
      <c r="N457" s="176">
        <f t="shared" si="14"/>
        <v>2</v>
      </c>
      <c r="O457" s="173"/>
      <c r="P457" s="177" t="s">
        <v>17</v>
      </c>
      <c r="Q457" s="178"/>
      <c r="R457" s="179">
        <v>13000</v>
      </c>
      <c r="S457" s="180">
        <v>13455</v>
      </c>
      <c r="T457" s="18"/>
      <c r="U457" s="18"/>
      <c r="V457" s="19">
        <v>250</v>
      </c>
    </row>
    <row r="458" spans="1:23">
      <c r="A458" s="171" t="s">
        <v>456</v>
      </c>
      <c r="B458" s="74" t="str">
        <f>IFERROR(HYPERLINK(VLOOKUP(A458,ÜRÜNLER!A:C,3,FALSE),VLOOKUP(A458,ÜRÜNLER!A:B,2,FALSE)),"")</f>
        <v>Siemens Ev Tipi Klima Dış Ünite, 12.000BTU, Beyaz</v>
      </c>
      <c r="C458" s="172">
        <v>1</v>
      </c>
      <c r="D458" s="172"/>
      <c r="E458" s="173"/>
      <c r="F458" s="173"/>
      <c r="G458" s="174"/>
      <c r="H458" s="174"/>
      <c r="I458" s="1"/>
      <c r="J458" s="1"/>
      <c r="K458" s="175">
        <v>1</v>
      </c>
      <c r="L458" s="1"/>
      <c r="M458" s="1"/>
      <c r="N458" s="176">
        <f t="shared" si="14"/>
        <v>2</v>
      </c>
      <c r="O458" s="173"/>
      <c r="P458" s="177" t="s">
        <v>17</v>
      </c>
      <c r="Q458" s="178"/>
      <c r="R458" s="179">
        <v>18000</v>
      </c>
      <c r="S458" s="180">
        <v>18630</v>
      </c>
      <c r="T458" s="18"/>
      <c r="U458" s="18"/>
      <c r="V458" s="19"/>
    </row>
    <row r="459" spans="1:23">
      <c r="A459" s="115" t="s">
        <v>457</v>
      </c>
      <c r="B459" s="74" t="str">
        <f>IFERROR(HYPERLINK(VLOOKUP(A459,ÜRÜNLER!A:C,3,FALSE),VLOOKUP(A459,ÜRÜNLER!A:B,2,FALSE)),"")</f>
        <v>Siemens Ev Tipi Klima İç Ünite, 12.000BTU, Beyaz</v>
      </c>
      <c r="C459" s="10">
        <v>2</v>
      </c>
      <c r="D459" s="10"/>
      <c r="E459" s="11"/>
      <c r="F459" s="11"/>
      <c r="G459" s="12"/>
      <c r="H459" s="12"/>
      <c r="I459" s="13">
        <v>1</v>
      </c>
      <c r="J459" s="13"/>
      <c r="K459" s="144"/>
      <c r="L459" s="13"/>
      <c r="M459" s="13">
        <v>1</v>
      </c>
      <c r="N459" s="14">
        <f t="shared" si="14"/>
        <v>4</v>
      </c>
      <c r="O459" s="11"/>
      <c r="P459" s="15" t="s">
        <v>17</v>
      </c>
      <c r="Q459" s="75">
        <v>17599.318782707702</v>
      </c>
      <c r="R459" s="65">
        <v>17775.311970534778</v>
      </c>
      <c r="S459" s="17">
        <v>18397.447889503495</v>
      </c>
      <c r="T459" s="18"/>
      <c r="U459" s="18"/>
      <c r="V459" s="19">
        <v>250</v>
      </c>
    </row>
    <row r="460" spans="1:23">
      <c r="A460" s="115" t="s">
        <v>458</v>
      </c>
      <c r="B460" s="74" t="str">
        <f>IFERROR(HYPERLINK(VLOOKUP(A460,ÜRÜNLER!A:C,3,FALSE),VLOOKUP(A460,ÜRÜNLER!A:B,2,FALSE)),"")</f>
        <v>Siemens Ev Tipi Klima Dış Ünite, 12.000BTU, Beyaz</v>
      </c>
      <c r="C460" s="10">
        <v>2</v>
      </c>
      <c r="D460" s="10"/>
      <c r="E460" s="11"/>
      <c r="F460" s="11"/>
      <c r="G460" s="12"/>
      <c r="H460" s="12"/>
      <c r="I460" s="13"/>
      <c r="J460" s="13"/>
      <c r="K460" s="144">
        <v>1</v>
      </c>
      <c r="L460" s="13"/>
      <c r="M460" s="13">
        <v>1</v>
      </c>
      <c r="N460" s="14">
        <f t="shared" si="14"/>
        <v>4</v>
      </c>
      <c r="O460" s="11"/>
      <c r="P460" s="15" t="s">
        <v>17</v>
      </c>
      <c r="Q460" s="75">
        <v>26398.978174061547</v>
      </c>
      <c r="R460" s="65">
        <v>26662.967955802163</v>
      </c>
      <c r="S460" s="17">
        <v>27596.171834255238</v>
      </c>
      <c r="T460" s="18"/>
      <c r="U460" s="18"/>
      <c r="V460" s="19"/>
    </row>
    <row r="461" spans="1:23">
      <c r="A461" s="181" t="s">
        <v>459</v>
      </c>
      <c r="B461" s="74" t="str">
        <f>IFERROR(HYPERLINK(VLOOKUP(A461,ÜRÜNLER!A:C,3,FALSE),VLOOKUP(A461,ÜRÜNLER!A:B,2,FALSE)),"")</f>
        <v>Siemens Ev Tipi Klima İç Ünite, 12.000BTU, Siyah</v>
      </c>
      <c r="C461" s="172">
        <v>2</v>
      </c>
      <c r="D461" s="172"/>
      <c r="E461" s="173"/>
      <c r="F461" s="173"/>
      <c r="G461" s="174"/>
      <c r="H461" s="174"/>
      <c r="I461" s="1"/>
      <c r="J461" s="1"/>
      <c r="K461" s="175"/>
      <c r="L461" s="1"/>
      <c r="M461" s="1"/>
      <c r="N461" s="176">
        <f t="shared" si="14"/>
        <v>2</v>
      </c>
      <c r="O461" s="173"/>
      <c r="P461" s="177" t="s">
        <v>17</v>
      </c>
      <c r="Q461" s="178">
        <v>19638.932436439351</v>
      </c>
      <c r="R461" s="182">
        <v>19835.321760803745</v>
      </c>
      <c r="S461" s="180">
        <v>20529.558022431876</v>
      </c>
      <c r="T461" s="18"/>
      <c r="U461" s="18"/>
      <c r="V461" s="19">
        <v>250</v>
      </c>
    </row>
    <row r="462" spans="1:23">
      <c r="A462" s="181" t="s">
        <v>460</v>
      </c>
      <c r="B462" s="74" t="str">
        <f>IFERROR(HYPERLINK(VLOOKUP(A462,ÜRÜNLER!A:C,3,FALSE),VLOOKUP(A462,ÜRÜNLER!A:B,2,FALSE)),"")</f>
        <v>Siemens Ev Tipi Klima Dış Ünite, 12.000BTU, Beyaz</v>
      </c>
      <c r="C462" s="172">
        <v>2</v>
      </c>
      <c r="D462" s="172"/>
      <c r="E462" s="173"/>
      <c r="F462" s="173"/>
      <c r="G462" s="174"/>
      <c r="H462" s="174"/>
      <c r="I462" s="1"/>
      <c r="J462" s="1"/>
      <c r="K462" s="175"/>
      <c r="L462" s="1"/>
      <c r="M462" s="1"/>
      <c r="N462" s="176">
        <f t="shared" si="14"/>
        <v>2</v>
      </c>
      <c r="O462" s="173"/>
      <c r="P462" s="177" t="s">
        <v>17</v>
      </c>
      <c r="Q462" s="178">
        <v>29458.398654659028</v>
      </c>
      <c r="R462" s="182">
        <v>29752.982641205617</v>
      </c>
      <c r="S462" s="180">
        <v>30794.337033647815</v>
      </c>
      <c r="T462" s="18"/>
      <c r="U462" s="18"/>
      <c r="V462" s="19"/>
    </row>
    <row r="463" spans="1:23" s="21" customFormat="1">
      <c r="A463" s="115" t="s">
        <v>461</v>
      </c>
      <c r="B463" s="74" t="str">
        <f>IFERROR(HYPERLINK(VLOOKUP(A463,ÜRÜNLER!A:C,3,FALSE),VLOOKUP(A463,ÜRÜNLER!A:B,2,FALSE)),"")</f>
        <v>Siemens Ev Tipi Klima İç Ünite, 18.000BTU, Beyaz</v>
      </c>
      <c r="C463" s="10">
        <v>6</v>
      </c>
      <c r="D463" s="10"/>
      <c r="E463" s="11"/>
      <c r="F463" s="11"/>
      <c r="G463" s="12"/>
      <c r="H463" s="12"/>
      <c r="I463" s="13">
        <v>1</v>
      </c>
      <c r="J463" s="13"/>
      <c r="K463" s="144">
        <v>2</v>
      </c>
      <c r="L463" s="13"/>
      <c r="M463" s="13"/>
      <c r="N463" s="14">
        <f t="shared" si="14"/>
        <v>9</v>
      </c>
      <c r="O463" s="11"/>
      <c r="P463" s="52" t="s">
        <v>17</v>
      </c>
      <c r="Q463" s="75"/>
      <c r="R463" s="24">
        <v>20000</v>
      </c>
      <c r="S463" s="17">
        <v>20700</v>
      </c>
      <c r="T463" s="18"/>
      <c r="U463" s="18"/>
      <c r="V463" s="19">
        <v>250</v>
      </c>
      <c r="W463" s="140"/>
    </row>
    <row r="464" spans="1:23" s="21" customFormat="1">
      <c r="A464" s="115" t="s">
        <v>462</v>
      </c>
      <c r="B464" s="74" t="str">
        <f>IFERROR(HYPERLINK(VLOOKUP(A464,ÜRÜNLER!A:C,3,FALSE),VLOOKUP(A464,ÜRÜNLER!A:B,2,FALSE)),"")</f>
        <v>Siemens Ev Tipi Klima Dış Ünite, 18.000BTU, Beyaz</v>
      </c>
      <c r="C464" s="10">
        <v>8</v>
      </c>
      <c r="D464" s="10"/>
      <c r="E464" s="11"/>
      <c r="F464" s="11"/>
      <c r="G464" s="12"/>
      <c r="H464" s="12"/>
      <c r="I464" s="13"/>
      <c r="J464" s="13"/>
      <c r="K464" s="144">
        <v>1</v>
      </c>
      <c r="L464" s="13"/>
      <c r="M464" s="13"/>
      <c r="N464" s="14">
        <f t="shared" si="14"/>
        <v>9</v>
      </c>
      <c r="O464" s="11"/>
      <c r="P464" s="52" t="s">
        <v>17</v>
      </c>
      <c r="Q464" s="75"/>
      <c r="R464" s="24">
        <v>34000</v>
      </c>
      <c r="S464" s="17">
        <v>35190</v>
      </c>
      <c r="T464" s="18"/>
      <c r="U464" s="18"/>
      <c r="V464" s="19"/>
      <c r="W464" s="140"/>
    </row>
    <row r="465" spans="1:23">
      <c r="A465" s="183" t="s">
        <v>463</v>
      </c>
      <c r="B465" s="74" t="str">
        <f>IFERROR(HYPERLINK(VLOOKUP(A465,ÜRÜNLER!A:C,3,FALSE),VLOOKUP(A465,ÜRÜNLER!A:B,2,FALSE)),"")</f>
        <v>Siemens Ev Tipi Klima İç Ünite, 18.000BTU, Siyah</v>
      </c>
      <c r="C465" s="172">
        <v>2</v>
      </c>
      <c r="D465" s="172"/>
      <c r="E465" s="173"/>
      <c r="F465" s="173"/>
      <c r="G465" s="174"/>
      <c r="H465" s="174"/>
      <c r="I465" s="1"/>
      <c r="J465" s="1"/>
      <c r="K465" s="175"/>
      <c r="L465" s="1"/>
      <c r="M465" s="1"/>
      <c r="N465" s="176">
        <f t="shared" si="14"/>
        <v>2</v>
      </c>
      <c r="O465" s="173"/>
      <c r="P465" s="177" t="s">
        <v>17</v>
      </c>
      <c r="Q465" s="178">
        <v>27721.370472790273</v>
      </c>
      <c r="R465" s="182">
        <v>27998.584177518176</v>
      </c>
      <c r="S465" s="180">
        <v>28978.534623731313</v>
      </c>
      <c r="T465" s="18"/>
      <c r="U465" s="18"/>
      <c r="V465" s="19">
        <v>250</v>
      </c>
    </row>
    <row r="466" spans="1:23">
      <c r="A466" s="183" t="s">
        <v>464</v>
      </c>
      <c r="B466" s="74" t="str">
        <f>IFERROR(HYPERLINK(VLOOKUP(A466,ÜRÜNLER!A:C,3,FALSE),VLOOKUP(A466,ÜRÜNLER!A:B,2,FALSE)),"")</f>
        <v>Siemens Ev Tipi Klima Dış Ünite, 18.000BTU, Beyaz</v>
      </c>
      <c r="C466" s="172">
        <v>2</v>
      </c>
      <c r="D466" s="172"/>
      <c r="E466" s="173"/>
      <c r="F466" s="173"/>
      <c r="G466" s="174"/>
      <c r="H466" s="174"/>
      <c r="I466" s="1"/>
      <c r="J466" s="1"/>
      <c r="K466" s="175"/>
      <c r="L466" s="1"/>
      <c r="M466" s="1"/>
      <c r="N466" s="176">
        <f t="shared" si="14"/>
        <v>2</v>
      </c>
      <c r="O466" s="173"/>
      <c r="P466" s="177" t="s">
        <v>17</v>
      </c>
      <c r="Q466" s="178">
        <v>41582.055709185406</v>
      </c>
      <c r="R466" s="182">
        <v>41997.876266277257</v>
      </c>
      <c r="S466" s="180">
        <v>43467.801935596959</v>
      </c>
      <c r="T466" s="18"/>
      <c r="U466" s="18"/>
      <c r="V466" s="19"/>
    </row>
    <row r="467" spans="1:23" s="21" customFormat="1">
      <c r="A467" s="85" t="s">
        <v>465</v>
      </c>
      <c r="B467" s="74" t="str">
        <f>IFERROR(HYPERLINK(VLOOKUP(A467,ÜRÜNLER!A:C,3,FALSE),VLOOKUP(A467,ÜRÜNLER!A:B,2,FALSE)),"")</f>
        <v>Siemens Ev Tipi Klima İç Ünite, 24.000BTU, Beyaz</v>
      </c>
      <c r="C467" s="10"/>
      <c r="D467" s="10"/>
      <c r="E467" s="11"/>
      <c r="F467" s="11"/>
      <c r="G467" s="12"/>
      <c r="H467" s="12"/>
      <c r="I467" s="13"/>
      <c r="J467" s="13"/>
      <c r="K467" s="144">
        <v>1</v>
      </c>
      <c r="L467" s="13"/>
      <c r="M467" s="13"/>
      <c r="N467" s="14">
        <f t="shared" si="14"/>
        <v>1</v>
      </c>
      <c r="O467" s="11"/>
      <c r="P467" s="52"/>
      <c r="Q467" s="75"/>
      <c r="R467" s="24">
        <v>24000</v>
      </c>
      <c r="S467" s="17">
        <v>24840</v>
      </c>
      <c r="T467" s="18"/>
      <c r="U467" s="18"/>
      <c r="V467" s="19">
        <v>250</v>
      </c>
      <c r="W467" s="140"/>
    </row>
    <row r="468" spans="1:23" s="21" customFormat="1">
      <c r="A468" s="85" t="s">
        <v>466</v>
      </c>
      <c r="B468" s="74" t="str">
        <f>IFERROR(HYPERLINK(VLOOKUP(A468,ÜRÜNLER!A:C,3,FALSE),VLOOKUP(A468,ÜRÜNLER!A:B,2,FALSE)),"")</f>
        <v>Siemens Ev Tipi Klima Dış Ünite, 24.000BTU, Beyaz</v>
      </c>
      <c r="C468" s="10"/>
      <c r="D468" s="10"/>
      <c r="E468" s="11"/>
      <c r="F468" s="11"/>
      <c r="G468" s="12"/>
      <c r="H468" s="12"/>
      <c r="I468" s="13"/>
      <c r="J468" s="13"/>
      <c r="K468" s="144">
        <v>1</v>
      </c>
      <c r="L468" s="13"/>
      <c r="M468" s="13"/>
      <c r="N468" s="14">
        <f t="shared" si="14"/>
        <v>1</v>
      </c>
      <c r="O468" s="11"/>
      <c r="P468" s="52"/>
      <c r="Q468" s="75"/>
      <c r="R468" s="24">
        <v>35000</v>
      </c>
      <c r="S468" s="17">
        <v>36225</v>
      </c>
      <c r="T468" s="18"/>
      <c r="U468" s="18"/>
      <c r="V468" s="19"/>
      <c r="W468" s="140"/>
    </row>
    <row r="469" spans="1:23" s="21" customFormat="1">
      <c r="A469" s="183" t="s">
        <v>1522</v>
      </c>
      <c r="B469" s="74" t="str">
        <f>IFERROR(HYPERLINK(VLOOKUP(A469,ÜRÜNLER!A:C,3,FALSE),VLOOKUP(A469,ÜRÜNLER!A:B,2,FALSE)),"")</f>
        <v/>
      </c>
      <c r="C469" s="172"/>
      <c r="D469" s="172"/>
      <c r="E469" s="173"/>
      <c r="F469" s="173"/>
      <c r="G469" s="174"/>
      <c r="H469" s="174"/>
      <c r="I469" s="1"/>
      <c r="J469" s="1"/>
      <c r="K469" s="175"/>
      <c r="L469" s="1"/>
      <c r="M469" s="1"/>
      <c r="N469" s="176"/>
      <c r="O469" s="173"/>
      <c r="P469" s="184"/>
      <c r="Q469" s="178">
        <v>30075.909952049711</v>
      </c>
      <c r="R469" s="182">
        <v>30376.669051570207</v>
      </c>
      <c r="S469" s="180">
        <v>31439.852468375164</v>
      </c>
      <c r="T469" s="18"/>
      <c r="U469" s="18"/>
      <c r="V469" s="19">
        <v>250</v>
      </c>
      <c r="W469" s="140"/>
    </row>
    <row r="470" spans="1:23" s="21" customFormat="1">
      <c r="A470" s="183" t="s">
        <v>1523</v>
      </c>
      <c r="B470" s="74" t="str">
        <f>IFERROR(HYPERLINK(VLOOKUP(A470,ÜRÜNLER!A:C,3,FALSE),VLOOKUP(A470,ÜRÜNLER!A:B,2,FALSE)),"")</f>
        <v/>
      </c>
      <c r="C470" s="172"/>
      <c r="D470" s="172"/>
      <c r="E470" s="173"/>
      <c r="F470" s="173"/>
      <c r="G470" s="174"/>
      <c r="H470" s="174"/>
      <c r="I470" s="1"/>
      <c r="J470" s="1"/>
      <c r="K470" s="175"/>
      <c r="L470" s="1"/>
      <c r="M470" s="1"/>
      <c r="N470" s="176"/>
      <c r="O470" s="173"/>
      <c r="P470" s="184"/>
      <c r="Q470" s="178">
        <v>45113.864928074559</v>
      </c>
      <c r="R470" s="182">
        <v>45565.003577355303</v>
      </c>
      <c r="S470" s="180">
        <v>47159.77870256274</v>
      </c>
      <c r="T470" s="18"/>
      <c r="U470" s="18"/>
      <c r="V470" s="19"/>
      <c r="W470" s="140"/>
    </row>
    <row r="471" spans="1:23">
      <c r="A471" s="85" t="s">
        <v>1329</v>
      </c>
      <c r="B471" s="74" t="str">
        <f>IFERROR(HYPERLINK(VLOOKUP(A471,ÜRÜNLER!A:C,3,FALSE),VLOOKUP(A471,ÜRÜNLER!A:B,2,FALSE)),"")</f>
        <v>SHAZA Akım Korumalı Akıllı Priz (Beyaz)</v>
      </c>
      <c r="E471" s="11"/>
      <c r="F471" s="11"/>
      <c r="G471" s="12"/>
      <c r="H471" s="12"/>
      <c r="I471" s="13">
        <v>13</v>
      </c>
      <c r="J471" s="13">
        <v>7</v>
      </c>
      <c r="K471" s="144"/>
      <c r="L471" s="13"/>
      <c r="M471" s="13"/>
      <c r="N471" s="14">
        <f>SUM(C471:M471)</f>
        <v>20</v>
      </c>
      <c r="O471" s="11"/>
      <c r="R471" s="20">
        <v>850</v>
      </c>
      <c r="S471" s="58">
        <v>879.75</v>
      </c>
      <c r="T471" s="18"/>
      <c r="U471" s="18"/>
    </row>
    <row r="472" spans="1:23">
      <c r="A472" s="85" t="s">
        <v>1330</v>
      </c>
      <c r="B472" s="74" t="str">
        <f>IFERROR(HYPERLINK(VLOOKUP(A472,ÜRÜNLER!A:C,3,FALSE),VLOOKUP(A472,ÜRÜNLER!A:B,2,FALSE)),"")</f>
        <v>SHAZA Akım Korumalı Üçlü Priz (Beyaz)</v>
      </c>
      <c r="E472" s="11"/>
      <c r="F472" s="11"/>
      <c r="G472" s="12"/>
      <c r="H472" s="12"/>
      <c r="I472" s="13">
        <v>29</v>
      </c>
      <c r="J472" s="13">
        <v>10</v>
      </c>
      <c r="K472" s="144"/>
      <c r="L472" s="13"/>
      <c r="M472" s="13"/>
      <c r="N472" s="14">
        <f>SUM(C472:M472)</f>
        <v>39</v>
      </c>
      <c r="O472" s="11"/>
      <c r="R472" s="57">
        <v>850</v>
      </c>
      <c r="S472" s="58">
        <v>879.75</v>
      </c>
      <c r="T472" s="18"/>
      <c r="U472" s="18"/>
    </row>
    <row r="473" spans="1:23">
      <c r="A473" s="44" t="s">
        <v>1524</v>
      </c>
      <c r="B473" s="74" t="str">
        <f>IFERROR(HYPERLINK(VLOOKUP(A473,ÜRÜNLER!A:C,3,FALSE),VLOOKUP(A473,ÜRÜNLER!A:B,2,FALSE)),"")</f>
        <v/>
      </c>
      <c r="C473" s="2"/>
      <c r="D473" s="10"/>
      <c r="E473" s="11"/>
      <c r="F473" s="11"/>
      <c r="G473" s="12"/>
      <c r="H473" s="12"/>
      <c r="I473" s="13"/>
      <c r="J473" s="13"/>
      <c r="K473" s="144"/>
      <c r="L473" s="13"/>
      <c r="M473" s="13"/>
      <c r="N473" s="14"/>
      <c r="O473" s="11"/>
      <c r="P473" s="15"/>
      <c r="R473" s="51"/>
      <c r="S473" s="17"/>
      <c r="T473" s="18"/>
      <c r="U473" s="18"/>
      <c r="V473" s="19"/>
    </row>
    <row r="474" spans="1:23">
      <c r="A474" t="s">
        <v>1525</v>
      </c>
      <c r="B474" s="74" t="str">
        <f>IFERROR(HYPERLINK(VLOOKUP(A474,ÜRÜNLER!A:C,3,FALSE),VLOOKUP(A474,ÜRÜNLER!A:B,2,FALSE)),"")</f>
        <v/>
      </c>
      <c r="N474" s="14">
        <f t="shared" ref="N474:N480" si="15">SUM(C474:M474)</f>
        <v>0</v>
      </c>
    </row>
    <row r="475" spans="1:23">
      <c r="A475" t="s">
        <v>1526</v>
      </c>
      <c r="B475" s="74" t="str">
        <f>IFERROR(HYPERLINK(VLOOKUP(A475,ÜRÜNLER!A:C,3,FALSE),VLOOKUP(A475,ÜRÜNLER!A:B,2,FALSE)),"")</f>
        <v/>
      </c>
      <c r="N475" s="14">
        <f t="shared" si="15"/>
        <v>0</v>
      </c>
    </row>
    <row r="476" spans="1:23">
      <c r="A476" t="s">
        <v>1527</v>
      </c>
      <c r="B476" s="74" t="str">
        <f>IFERROR(HYPERLINK(VLOOKUP(A476,ÜRÜNLER!A:C,3,FALSE),VLOOKUP(A476,ÜRÜNLER!A:B,2,FALSE)),"")</f>
        <v/>
      </c>
      <c r="N476" s="14">
        <f t="shared" si="15"/>
        <v>0</v>
      </c>
    </row>
    <row r="477" spans="1:23">
      <c r="A477" t="s">
        <v>1528</v>
      </c>
      <c r="B477" s="74" t="str">
        <f>IFERROR(HYPERLINK(VLOOKUP(A477,ÜRÜNLER!A:C,3,FALSE),VLOOKUP(A477,ÜRÜNLER!A:B,2,FALSE)),"")</f>
        <v/>
      </c>
      <c r="N477" s="14">
        <f t="shared" si="15"/>
        <v>0</v>
      </c>
    </row>
    <row r="478" spans="1:23">
      <c r="A478" t="s">
        <v>1529</v>
      </c>
      <c r="B478" s="74" t="str">
        <f>IFERROR(HYPERLINK(VLOOKUP(A478,ÜRÜNLER!A:C,3,FALSE),VLOOKUP(A478,ÜRÜNLER!A:B,2,FALSE)),"")</f>
        <v/>
      </c>
      <c r="N478" s="14">
        <f t="shared" si="15"/>
        <v>0</v>
      </c>
    </row>
    <row r="479" spans="1:23">
      <c r="A479" t="s">
        <v>1530</v>
      </c>
      <c r="B479" s="74" t="str">
        <f>IFERROR(HYPERLINK(VLOOKUP(A479,ÜRÜNLER!A:C,3,FALSE),VLOOKUP(A479,ÜRÜNLER!A:B,2,FALSE)),"")</f>
        <v/>
      </c>
      <c r="N479" s="14">
        <f t="shared" si="15"/>
        <v>0</v>
      </c>
    </row>
    <row r="480" spans="1:23">
      <c r="A480" t="s">
        <v>1531</v>
      </c>
      <c r="B480" s="74" t="str">
        <f>IFERROR(HYPERLINK(VLOOKUP(A480,ÜRÜNLER!A:C,3,FALSE),VLOOKUP(A480,ÜRÜNLER!A:B,2,FALSE)),"")</f>
        <v/>
      </c>
      <c r="N480" s="14">
        <f t="shared" si="15"/>
        <v>0</v>
      </c>
    </row>
  </sheetData>
  <autoFilter ref="A1:X467" xr:uid="{AC73DB62-B119-47DA-B050-7B48DF780A54}"/>
  <conditionalFormatting sqref="A1:A1048576">
    <cfRule type="duplicateValues" dxfId="1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A7" sqref="A7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28" customWidth="1"/>
    <col min="9" max="9" width="15.42578125" style="128" customWidth="1"/>
    <col min="10" max="10" width="10.7109375" style="128" customWidth="1"/>
    <col min="11" max="11" width="52.42578125" bestFit="1" customWidth="1"/>
  </cols>
  <sheetData>
    <row r="1" spans="1:12" s="9" customFormat="1" ht="78.75">
      <c r="A1" s="1" t="str">
        <f>Sayfa1!A1</f>
        <v>STOK KODU</v>
      </c>
      <c r="B1" s="1" t="str">
        <f>Sayfa1!B1</f>
        <v>AÇIKLAMA</v>
      </c>
      <c r="C1" s="117" t="str">
        <f>Sayfa1!C1</f>
        <v>30 Mart  HOROZ</v>
      </c>
      <c r="D1" s="118" t="str">
        <f>Sayfa1!Q1</f>
        <v>MART  TOPTAN</v>
      </c>
      <c r="E1" s="119" t="str">
        <f>Sayfa1!R1</f>
        <v>HAVALE FİYATI</v>
      </c>
      <c r="F1" s="120" t="str">
        <f>Sayfa1!S1</f>
        <v>TEK ÇEKİM FİYATI</v>
      </c>
      <c r="G1" s="121" t="str">
        <f>Sayfa1!T1</f>
        <v>MART BİP</v>
      </c>
      <c r="H1" s="122" t="str">
        <f>Sayfa1!U1</f>
        <v>Phase out ürünler 30.04.2026 montaj  ZORUNLU</v>
      </c>
      <c r="I1" s="124" t="s">
        <v>471</v>
      </c>
      <c r="J1" s="123" t="str">
        <f>Sayfa1!V1</f>
        <v>Hakedişler LİSTE FİYATINDAN SATILIRSA geçerli olacak</v>
      </c>
      <c r="K1" s="125" t="str">
        <f>Sayfa1!W1</f>
        <v>PREMİUM 4 LÜ ÜRÜN ALIMINDA 27.000 TL İNDİRİM</v>
      </c>
      <c r="L1" s="137" t="str">
        <f>Sayfa1!X1</f>
        <v>ONLINE FİYAT</v>
      </c>
    </row>
    <row r="2" spans="1:12">
      <c r="A2" s="67" t="s">
        <v>227</v>
      </c>
      <c r="B2" s="126" t="str">
        <f>IFERROR(VLOOKUP(A2,Sayfa1!A:B,2,FALSE),"?")</f>
        <v>iQ700 studioLine Ankastre Mikrodalga, 21L, Siyah</v>
      </c>
      <c r="C2" s="127">
        <f>IFERROR(VLOOKUP(A2,Sayfa1!A:C,3,FALSE),"?")</f>
        <v>0</v>
      </c>
      <c r="D2" s="128">
        <f>IFERROR(VLOOKUP(A2,Sayfa1!A:Q,17,FALSE),"?")</f>
        <v>48975.730734347773</v>
      </c>
      <c r="E2" s="128">
        <f>IFERROR(VLOOKUP(A2,Sayfa1!A:R,18,FALSE),"?")</f>
        <v>45547.429582943427</v>
      </c>
      <c r="F2" s="128">
        <f>IFERROR(VLOOKUP(A2,Sayfa1!A:S,19,FALSE),"?")</f>
        <v>47369.326766261162</v>
      </c>
      <c r="G2" s="128">
        <f>IFERROR(VLOOKUP(A2,Sayfa1!A:T,20,FALSE),"?")</f>
        <v>0</v>
      </c>
      <c r="H2" s="128">
        <f>IFERROR(VLOOKUP(A2,Sayfa1!A:U,21,FALSE),"?")</f>
        <v>0</v>
      </c>
      <c r="I2" s="188">
        <v>0</v>
      </c>
      <c r="J2" s="116">
        <f>IFERROR(VLOOKUP(A2,Sayfa1!A:V,22,FALSE),"?")</f>
        <v>500</v>
      </c>
      <c r="K2" s="116">
        <f>IFERROR(VLOOKUP(A2,Sayfa1!A:W,23,FALSE),"?")</f>
        <v>0</v>
      </c>
      <c r="L2" s="116">
        <f>IFERROR(VLOOKUP(A2,Sayfa1!A:X,24,FALSE),"?")</f>
        <v>0</v>
      </c>
    </row>
    <row r="3" spans="1:12">
      <c r="A3" t="s">
        <v>203</v>
      </c>
      <c r="B3" s="126" t="str">
        <f>IFERROR(VLOOKUP(A3,Sayfa1!A:B,2,FALSE),"?")</f>
        <v>iQ700 studioLine Buhar ve Mikrodalga Fonksiyonlu Ankastre Fırın, Komple Kendini Temizler, Siyah</v>
      </c>
      <c r="C3" s="127">
        <f>IFERROR(VLOOKUP(A3,Sayfa1!A:C,3,FALSE),"?")</f>
        <v>0</v>
      </c>
      <c r="D3" s="128">
        <f>IFERROR(VLOOKUP(A3,Sayfa1!A:Q,17,FALSE),"?")</f>
        <v>214828.55238041832</v>
      </c>
      <c r="E3" s="128">
        <f>IFERROR(VLOOKUP(A3,Sayfa1!A:R,18,FALSE),"?")</f>
        <v>199790.55371378904</v>
      </c>
      <c r="F3" s="128">
        <f>IFERROR(VLOOKUP(A3,Sayfa1!A:S,19,FALSE),"?")</f>
        <v>207782.17586234061</v>
      </c>
      <c r="G3" s="128">
        <f>IFERROR(VLOOKUP(A3,Sayfa1!A:S,19,FALSE),"?")</f>
        <v>207782.17586234061</v>
      </c>
      <c r="H3" s="128">
        <f>IFERROR(VLOOKUP(A3,Sayfa1!A:U,21,FALSE),"?")</f>
        <v>0</v>
      </c>
      <c r="I3" s="188"/>
      <c r="J3" s="116">
        <f>IFERROR(VLOOKUP(A3,Sayfa1!A:V,22,FALSE),"?")</f>
        <v>500</v>
      </c>
      <c r="K3" s="116">
        <f>IFERROR(VLOOKUP(A3,Sayfa1!A:W,23,FALSE),"?")</f>
        <v>0</v>
      </c>
      <c r="L3" s="116">
        <f>IFERROR(VLOOKUP(A3,Sayfa1!A:X,24,FALSE),"?")</f>
        <v>0</v>
      </c>
    </row>
    <row r="4" spans="1:12">
      <c r="A4" t="s">
        <v>263</v>
      </c>
      <c r="B4" s="126" t="str">
        <f>IFERROR(VLOOKUP(A4,Sayfa1!A:B,2,FALSE),"?")</f>
        <v>iQ700 studioLine Eğimli Davlumbaz, 90cm, 441m3, Siyah Cam</v>
      </c>
      <c r="C4" s="127">
        <f>IFERROR(VLOOKUP(A4,Sayfa1!A:C,3,FALSE),"?")</f>
        <v>0</v>
      </c>
      <c r="D4" s="128">
        <f>IFERROR(VLOOKUP(A4,Sayfa1!A:Q,17,FALSE),"?")</f>
        <v>79664.143496936216</v>
      </c>
      <c r="E4" s="128">
        <f>IFERROR(VLOOKUP(A4,Sayfa1!A:R,18,FALSE),"?")</f>
        <v>74087.653452150684</v>
      </c>
      <c r="F4" s="128">
        <f>IFERROR(VLOOKUP(A4,Sayfa1!A:S,19,FALSE),"?")</f>
        <v>77051.159590236712</v>
      </c>
      <c r="G4" s="128">
        <f>IFERROR(VLOOKUP(A4,Sayfa1!A:S,19,FALSE),"?")</f>
        <v>77051.159590236712</v>
      </c>
      <c r="H4" s="128">
        <f>IFERROR(VLOOKUP(A4,Sayfa1!A:U,21,FALSE),"?")</f>
        <v>0</v>
      </c>
      <c r="I4"/>
      <c r="J4" s="116">
        <f>IFERROR(VLOOKUP(A4,Sayfa1!A:V,22,FALSE),"?")</f>
        <v>500</v>
      </c>
      <c r="K4" s="116">
        <f>IFERROR(VLOOKUP(A4,Sayfa1!A:W,23,FALSE),"?")</f>
        <v>0</v>
      </c>
      <c r="L4" s="116">
        <f>IFERROR(VLOOKUP(A4,Sayfa1!A:X,24,FALSE),"?")</f>
        <v>0</v>
      </c>
    </row>
    <row r="5" spans="1:12">
      <c r="A5" t="s">
        <v>362</v>
      </c>
      <c r="B5" s="126" t="str">
        <f>IFERROR(VLOOKUP(A5,Sayfa1!A:B,2,FALSE),"?")</f>
        <v>iQ700 studioLine İndüksiyonlu Ocak, 80cm, Çerçeveli, Siyah</v>
      </c>
      <c r="C5" s="127">
        <f>IFERROR(VLOOKUP(A5,Sayfa1!A:C,3,FALSE),"?")</f>
        <v>0</v>
      </c>
      <c r="D5" s="128">
        <f>IFERROR(VLOOKUP(A5,Sayfa1!A:Q,17,FALSE),"?")</f>
        <v>174205</v>
      </c>
      <c r="E5" s="128">
        <f>IFERROR(VLOOKUP(A5,Sayfa1!A:R,18,FALSE),"?")</f>
        <v>162010.65</v>
      </c>
      <c r="F5" s="128">
        <f>IFERROR(VLOOKUP(A5,Sayfa1!A:S,19,FALSE),"?")</f>
        <v>168491.076</v>
      </c>
      <c r="G5" s="128">
        <f>IFERROR(VLOOKUP(A5,Sayfa1!A:S,19,FALSE),"?")</f>
        <v>168491.076</v>
      </c>
      <c r="H5" s="128">
        <f>IFERROR(VLOOKUP(A5,Sayfa1!A:U,21,FALSE),"?")</f>
        <v>0</v>
      </c>
      <c r="I5"/>
      <c r="J5" s="116">
        <f>IFERROR(VLOOKUP(A5,Sayfa1!A:V,22,FALSE),"?")</f>
        <v>500</v>
      </c>
      <c r="K5" s="116">
        <f>IFERROR(VLOOKUP(A5,Sayfa1!A:W,23,FALSE),"?")</f>
        <v>0</v>
      </c>
      <c r="L5" s="116">
        <f>IFERROR(VLOOKUP(A5,Sayfa1!A:X,24,FALSE),"?")</f>
        <v>0</v>
      </c>
    </row>
    <row r="6" spans="1:12">
      <c r="A6" s="67" t="s">
        <v>66</v>
      </c>
      <c r="B6" s="126" t="str">
        <f>IFERROR(VLOOKUP(A6,Sayfa1!A:B,2,FALSE),"?")</f>
        <v>iQ700 studioLine Ankastre Şarap Soğutucu, 212.5x60.3cm</v>
      </c>
      <c r="C6" s="127">
        <f>IFERROR(VLOOKUP(A6,Sayfa1!A:C,3,FALSE),"?")</f>
        <v>0</v>
      </c>
      <c r="D6" s="128">
        <f>IFERROR(VLOOKUP(A6,Sayfa1!A:Q,17,FALSE),"?")</f>
        <v>311386.8525140846</v>
      </c>
      <c r="E6" s="128">
        <f>IFERROR(VLOOKUP(A6,Sayfa1!A:R,18,FALSE),"?")</f>
        <v>289589.7728380987</v>
      </c>
      <c r="F6" s="128">
        <f>IFERROR(VLOOKUP(A6,Sayfa1!A:S,19,FALSE),"?")</f>
        <v>301173.36375162262</v>
      </c>
      <c r="G6" s="128">
        <f>IFERROR(VLOOKUP(A6,Sayfa1!A:S,19,FALSE),"?")</f>
        <v>301173.36375162262</v>
      </c>
      <c r="H6" s="128">
        <f>IFERROR(VLOOKUP(A6,Sayfa1!A:U,21,FALSE),"?")</f>
        <v>0</v>
      </c>
      <c r="I6"/>
      <c r="J6" s="116">
        <f>IFERROR(VLOOKUP(A6,Sayfa1!A:V,22,FALSE),"?")</f>
        <v>500</v>
      </c>
      <c r="K6" s="116">
        <f>IFERROR(VLOOKUP(A6,Sayfa1!A:W,23,FALSE),"?")</f>
        <v>0</v>
      </c>
      <c r="L6" s="116">
        <f>IFERROR(VLOOKUP(A6,Sayfa1!A:X,24,FALSE),"?")</f>
        <v>0</v>
      </c>
    </row>
    <row r="7" spans="1:12">
      <c r="A7" s="67" t="s">
        <v>1532</v>
      </c>
      <c r="B7" s="126" t="str">
        <f>IFERROR(VLOOKUP(A7,Sayfa1!A:B,2,FALSE),"?")</f>
        <v>?</v>
      </c>
      <c r="C7" s="127" t="str">
        <f>IFERROR(VLOOKUP(A7,Sayfa1!A:C,3,FALSE),"?")</f>
        <v>?</v>
      </c>
      <c r="D7" s="128" t="str">
        <f>IFERROR(VLOOKUP(A7,Sayfa1!A:Q,17,FALSE),"?")</f>
        <v>?</v>
      </c>
      <c r="E7" s="128" t="str">
        <f>IFERROR(VLOOKUP(A7,Sayfa1!A:R,18,FALSE),"?")</f>
        <v>?</v>
      </c>
      <c r="F7" s="128" t="str">
        <f>IFERROR(VLOOKUP(A7,Sayfa1!A:S,19,FALSE),"?")</f>
        <v>?</v>
      </c>
      <c r="G7" s="128" t="str">
        <f>IFERROR(VLOOKUP(A7,Sayfa1!A:S,19,FALSE),"?")</f>
        <v>?</v>
      </c>
      <c r="H7" s="128" t="str">
        <f>IFERROR(VLOOKUP(A7,Sayfa1!A:U,21,FALSE),"?")</f>
        <v>?</v>
      </c>
      <c r="I7"/>
      <c r="J7" s="116" t="str">
        <f>IFERROR(VLOOKUP(A7,Sayfa1!A:V,22,FALSE),"?")</f>
        <v>?</v>
      </c>
      <c r="K7" s="116" t="str">
        <f>IFERROR(VLOOKUP(A7,Sayfa1!A:W,23,FALSE),"?")</f>
        <v>?</v>
      </c>
      <c r="L7" s="116" t="str">
        <f>IFERROR(VLOOKUP(A7,Sayfa1!A:X,24,FALSE),"?")</f>
        <v>?</v>
      </c>
    </row>
    <row r="8" spans="1:12">
      <c r="A8" s="67"/>
      <c r="B8" s="126" t="str">
        <f>IFERROR(VLOOKUP(A8,Sayfa1!A:B,2,FALSE),"?")</f>
        <v>?</v>
      </c>
      <c r="C8" s="127" t="str">
        <f>IFERROR(VLOOKUP(A8,Sayfa1!A:C,3,FALSE),"?")</f>
        <v>?</v>
      </c>
      <c r="D8" s="128" t="str">
        <f>IFERROR(VLOOKUP(A8,Sayfa1!A:Q,17,FALSE),"?")</f>
        <v>?</v>
      </c>
      <c r="E8" s="128" t="str">
        <f>IFERROR(VLOOKUP(A8,Sayfa1!A:R,18,FALSE),"?")</f>
        <v>?</v>
      </c>
      <c r="F8" s="128" t="str">
        <f>IFERROR(VLOOKUP(A8,Sayfa1!A:S,19,FALSE),"?")</f>
        <v>?</v>
      </c>
      <c r="G8" s="128" t="str">
        <f>IFERROR(VLOOKUP(A8,Sayfa1!A:S,19,FALSE),"?")</f>
        <v>?</v>
      </c>
      <c r="H8" s="128" t="str">
        <f>IFERROR(VLOOKUP(A8,Sayfa1!A:U,21,FALSE),"?")</f>
        <v>?</v>
      </c>
      <c r="I8"/>
      <c r="J8" s="116" t="str">
        <f>IFERROR(VLOOKUP(A8,Sayfa1!A:V,22,FALSE),"?")</f>
        <v>?</v>
      </c>
      <c r="K8" s="116" t="str">
        <f>IFERROR(VLOOKUP(A8,Sayfa1!A:W,23,FALSE),"?")</f>
        <v>?</v>
      </c>
      <c r="L8" s="116" t="str">
        <f>IFERROR(VLOOKUP(A8,Sayfa1!A:X,24,FALSE),"?")</f>
        <v>?</v>
      </c>
    </row>
    <row r="9" spans="1:12">
      <c r="A9" s="67"/>
      <c r="B9" s="126" t="str">
        <f>IFERROR(VLOOKUP(A9,Sayfa1!A:B,2,FALSE),"?")</f>
        <v>?</v>
      </c>
      <c r="C9" s="127" t="str">
        <f>IFERROR(VLOOKUP(A9,Sayfa1!A:C,3,FALSE),"?")</f>
        <v>?</v>
      </c>
      <c r="D9" s="128" t="str">
        <f>IFERROR(VLOOKUP(A9,Sayfa1!A:Q,17,FALSE),"?")</f>
        <v>?</v>
      </c>
      <c r="E9" s="128" t="str">
        <f>IFERROR(VLOOKUP(A9,Sayfa1!A:R,18,FALSE),"?")</f>
        <v>?</v>
      </c>
      <c r="F9" s="128" t="str">
        <f>IFERROR(VLOOKUP(A9,Sayfa1!A:S,19,FALSE),"?")</f>
        <v>?</v>
      </c>
      <c r="G9" s="128" t="str">
        <f>IFERROR(VLOOKUP(A9,Sayfa1!A:S,19,FALSE),"?")</f>
        <v>?</v>
      </c>
      <c r="H9" s="128" t="str">
        <f>IFERROR(VLOOKUP(A9,Sayfa1!A:U,21,FALSE),"?")</f>
        <v>?</v>
      </c>
      <c r="I9"/>
      <c r="J9" s="116" t="str">
        <f>IFERROR(VLOOKUP(A9,Sayfa1!A:V,22,FALSE),"?")</f>
        <v>?</v>
      </c>
      <c r="K9" s="116" t="str">
        <f>IFERROR(VLOOKUP(A9,Sayfa1!A:W,23,FALSE),"?")</f>
        <v>?</v>
      </c>
      <c r="L9" s="116" t="str">
        <f>IFERROR(VLOOKUP(A9,Sayfa1!A:X,24,FALSE),"?")</f>
        <v>?</v>
      </c>
    </row>
    <row r="10" spans="1:12">
      <c r="A10" s="67"/>
      <c r="B10" s="126" t="str">
        <f>IFERROR(VLOOKUP(A10,Sayfa1!A:B,2,FALSE),"?")</f>
        <v>?</v>
      </c>
      <c r="C10" s="127" t="str">
        <f>IFERROR(VLOOKUP(A10,Sayfa1!A:C,3,FALSE),"?")</f>
        <v>?</v>
      </c>
      <c r="D10" s="128" t="str">
        <f>IFERROR(VLOOKUP(A10,Sayfa1!A:Q,17,FALSE),"?")</f>
        <v>?</v>
      </c>
      <c r="E10" s="128" t="str">
        <f>IFERROR(VLOOKUP(A10,Sayfa1!A:R,18,FALSE),"?")</f>
        <v>?</v>
      </c>
      <c r="F10" s="128" t="str">
        <f>IFERROR(VLOOKUP(A10,Sayfa1!A:S,19,FALSE),"?")</f>
        <v>?</v>
      </c>
      <c r="G10" s="128" t="str">
        <f>IFERROR(VLOOKUP(A10,Sayfa1!A:S,19,FALSE),"?")</f>
        <v>?</v>
      </c>
      <c r="H10" s="128" t="str">
        <f>IFERROR(VLOOKUP(A10,Sayfa1!A:U,21,FALSE),"?")</f>
        <v>?</v>
      </c>
      <c r="I10"/>
      <c r="J10" s="116" t="str">
        <f>IFERROR(VLOOKUP(A10,Sayfa1!A:V,22,FALSE),"?")</f>
        <v>?</v>
      </c>
      <c r="K10" s="116" t="str">
        <f>IFERROR(VLOOKUP(A10,Sayfa1!A:W,23,FALSE),"?")</f>
        <v>?</v>
      </c>
      <c r="L10" s="116" t="str">
        <f>IFERROR(VLOOKUP(A10,Sayfa1!A:X,24,FALSE),"?")</f>
        <v>?</v>
      </c>
    </row>
    <row r="11" spans="1:12">
      <c r="A11" s="67"/>
      <c r="B11" s="126" t="str">
        <f>IFERROR(VLOOKUP(A11,Sayfa1!A:B,2,FALSE),"?")</f>
        <v>?</v>
      </c>
      <c r="C11" s="127" t="str">
        <f>IFERROR(VLOOKUP(A11,Sayfa1!A:C,3,FALSE),"?")</f>
        <v>?</v>
      </c>
      <c r="D11" s="128" t="str">
        <f>IFERROR(VLOOKUP(A11,Sayfa1!A:Q,17,FALSE),"?")</f>
        <v>?</v>
      </c>
      <c r="E11" s="128" t="str">
        <f>IFERROR(VLOOKUP(A11,Sayfa1!A:R,18,FALSE),"?")</f>
        <v>?</v>
      </c>
      <c r="F11" s="128" t="str">
        <f>IFERROR(VLOOKUP(A11,Sayfa1!A:S,19,FALSE),"?")</f>
        <v>?</v>
      </c>
      <c r="G11" s="128" t="str">
        <f>IFERROR(VLOOKUP(A11,Sayfa1!A:S,19,FALSE),"?")</f>
        <v>?</v>
      </c>
      <c r="H11" s="128" t="str">
        <f>IFERROR(VLOOKUP(A11,Sayfa1!A:U,21,FALSE),"?")</f>
        <v>?</v>
      </c>
      <c r="I11"/>
      <c r="J11" s="116" t="str">
        <f>IFERROR(VLOOKUP(A11,Sayfa1!A:V,22,FALSE),"?")</f>
        <v>?</v>
      </c>
      <c r="K11" s="116" t="str">
        <f>IFERROR(VLOOKUP(A11,Sayfa1!A:W,23,FALSE),"?")</f>
        <v>?</v>
      </c>
      <c r="L11" s="116" t="str">
        <f>IFERROR(VLOOKUP(A11,Sayfa1!A:X,24,FALSE),"?")</f>
        <v>?</v>
      </c>
    </row>
    <row r="12" spans="1:12">
      <c r="A12" s="189" t="s">
        <v>467</v>
      </c>
      <c r="B12" s="189"/>
      <c r="C12" s="189"/>
      <c r="D12" s="189"/>
      <c r="E12" s="129">
        <f>SUM(E2:E11)</f>
        <v>771026.05958698189</v>
      </c>
      <c r="F12" s="129">
        <f>SUM(F2:F11)</f>
        <v>801867.10197046108</v>
      </c>
      <c r="I12"/>
      <c r="J12"/>
      <c r="K12" s="116"/>
      <c r="L12" s="116"/>
    </row>
    <row r="13" spans="1:12">
      <c r="A13" s="189" t="s">
        <v>468</v>
      </c>
      <c r="B13" s="189"/>
      <c r="C13" s="189"/>
      <c r="D13" s="189"/>
      <c r="E13" s="129">
        <f>SUM(G:G)*-1</f>
        <v>-754497.77520419995</v>
      </c>
      <c r="F13" s="129">
        <f>SUM(G:G)*-1</f>
        <v>-754497.77520419995</v>
      </c>
      <c r="I13"/>
      <c r="J13"/>
      <c r="K13" s="116"/>
      <c r="L13" s="116"/>
    </row>
    <row r="14" spans="1:12">
      <c r="A14" s="189" t="s">
        <v>1321</v>
      </c>
      <c r="B14" s="189"/>
      <c r="C14" s="189"/>
      <c r="D14" s="189"/>
      <c r="E14" s="129">
        <f>SUM(H:H)*-1</f>
        <v>0</v>
      </c>
      <c r="F14" s="129">
        <f>SUM(H:H)*-1</f>
        <v>0</v>
      </c>
      <c r="I14"/>
      <c r="J14"/>
      <c r="K14" s="116"/>
      <c r="L14" s="116"/>
    </row>
    <row r="15" spans="1:12">
      <c r="A15" s="189" t="s">
        <v>470</v>
      </c>
      <c r="B15" s="189"/>
      <c r="C15" s="189"/>
      <c r="D15" s="189"/>
      <c r="E15" s="129">
        <f>I2*-1</f>
        <v>0</v>
      </c>
      <c r="F15" s="129">
        <f>I2*-1</f>
        <v>0</v>
      </c>
      <c r="I15"/>
      <c r="J15"/>
      <c r="K15" s="116"/>
      <c r="L15" s="116"/>
    </row>
    <row r="16" spans="1:12">
      <c r="A16" s="187" t="s">
        <v>469</v>
      </c>
      <c r="B16" s="187"/>
      <c r="C16" s="187"/>
      <c r="D16" s="187"/>
      <c r="E16" s="130">
        <f>SUM(E12:E15)</f>
        <v>16528.284382781945</v>
      </c>
      <c r="F16" s="130">
        <f>SUM(F12:F15)</f>
        <v>47369.326766261132</v>
      </c>
      <c r="I16"/>
      <c r="J16"/>
    </row>
    <row r="17" spans="1:8">
      <c r="A17" s="185" t="s">
        <v>1382</v>
      </c>
      <c r="B17" s="185"/>
      <c r="C17" s="185"/>
      <c r="D17" s="185"/>
      <c r="E17" s="186">
        <f>E16*1.08</f>
        <v>17850.547133404503</v>
      </c>
      <c r="F17" s="186"/>
    </row>
    <row r="20" spans="1:8">
      <c r="F20" s="131"/>
    </row>
    <row r="21" spans="1:8">
      <c r="G21" s="85"/>
      <c r="H21" s="85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topLeftCell="A12" zoomScale="30" zoomScaleNormal="30" workbookViewId="0">
      <selection activeCell="L33" sqref="L33:M37"/>
    </sheetView>
  </sheetViews>
  <sheetFormatPr defaultColWidth="9.140625" defaultRowHeight="34.5"/>
  <cols>
    <col min="1" max="1" width="5.140625" style="136" customWidth="1"/>
    <col min="2" max="2" width="2.28515625" style="73" customWidth="1"/>
    <col min="3" max="3" width="79.5703125" style="73" customWidth="1"/>
    <col min="4" max="4" width="79.140625" style="73" customWidth="1"/>
    <col min="5" max="5" width="125.140625" style="73" customWidth="1"/>
    <col min="6" max="6" width="5.42578125" style="73" bestFit="1" customWidth="1"/>
    <col min="7" max="7" width="9.140625" style="73" hidden="1" customWidth="1"/>
    <col min="8" max="8" width="9.140625" style="73"/>
    <col min="9" max="9" width="9.140625" style="73" customWidth="1"/>
    <col min="10" max="10" width="9.140625" style="73"/>
    <col min="11" max="11" width="60.5703125" style="73" customWidth="1"/>
    <col min="12" max="12" width="97.28515625" style="73" customWidth="1"/>
    <col min="13" max="13" width="79.28515625" style="73" customWidth="1"/>
    <col min="14" max="16384" width="9.140625" style="73"/>
  </cols>
  <sheetData>
    <row r="1" spans="3:13" ht="45.75" thickBot="1">
      <c r="C1" s="135" t="s">
        <v>1348</v>
      </c>
    </row>
    <row r="2" spans="3:13">
      <c r="C2" s="218" t="s">
        <v>1349</v>
      </c>
      <c r="D2" s="237" t="s">
        <v>1350</v>
      </c>
      <c r="E2" s="238"/>
    </row>
    <row r="3" spans="3:13">
      <c r="C3" s="218"/>
      <c r="D3" s="239"/>
      <c r="E3" s="240"/>
    </row>
    <row r="4" spans="3:13">
      <c r="C4" s="218"/>
      <c r="D4" s="239"/>
      <c r="E4" s="240"/>
    </row>
    <row r="5" spans="3:13">
      <c r="C5" s="218"/>
      <c r="D5" s="239"/>
      <c r="E5" s="240"/>
    </row>
    <row r="6" spans="3:13">
      <c r="C6" s="218"/>
      <c r="D6" s="239"/>
      <c r="E6" s="240"/>
    </row>
    <row r="7" spans="3:13">
      <c r="C7" s="218"/>
      <c r="D7" s="239"/>
      <c r="E7" s="240"/>
    </row>
    <row r="8" spans="3:13" ht="35.25" customHeight="1" thickBot="1">
      <c r="C8" s="218"/>
      <c r="D8" s="239"/>
      <c r="E8" s="240"/>
    </row>
    <row r="9" spans="3:13" ht="34.5" customHeight="1" thickBot="1">
      <c r="C9" s="219"/>
      <c r="D9" s="241"/>
      <c r="E9" s="242"/>
      <c r="K9" s="217" t="s">
        <v>476</v>
      </c>
      <c r="L9" s="220" t="s">
        <v>477</v>
      </c>
      <c r="M9" s="221"/>
    </row>
    <row r="10" spans="3:13" ht="35.25" customHeight="1" thickBot="1">
      <c r="K10" s="218"/>
      <c r="L10" s="222"/>
      <c r="M10" s="223"/>
    </row>
    <row r="11" spans="3:13" ht="34.5" customHeight="1">
      <c r="C11" s="217" t="s">
        <v>1351</v>
      </c>
      <c r="D11" s="237" t="s">
        <v>1352</v>
      </c>
      <c r="E11" s="238"/>
      <c r="K11" s="218"/>
      <c r="L11" s="211" t="s">
        <v>1353</v>
      </c>
      <c r="M11" s="212"/>
    </row>
    <row r="12" spans="3:13" ht="34.5" customHeight="1">
      <c r="C12" s="218"/>
      <c r="D12" s="239"/>
      <c r="E12" s="240"/>
      <c r="K12" s="218"/>
      <c r="L12" s="213"/>
      <c r="M12" s="214"/>
    </row>
    <row r="13" spans="3:13" ht="113.25" customHeight="1" thickBot="1">
      <c r="C13" s="218"/>
      <c r="D13" s="239"/>
      <c r="E13" s="240"/>
      <c r="K13" s="218"/>
      <c r="L13" s="213"/>
      <c r="M13" s="214"/>
    </row>
    <row r="14" spans="3:13" ht="36" hidden="1" customHeight="1" thickBot="1">
      <c r="C14" s="218"/>
      <c r="D14" s="239"/>
      <c r="E14" s="240"/>
      <c r="K14" s="218"/>
      <c r="L14" s="215"/>
      <c r="M14" s="216"/>
    </row>
    <row r="15" spans="3:13" ht="34.5" customHeight="1">
      <c r="C15" s="218"/>
      <c r="D15" s="239"/>
      <c r="E15" s="240"/>
      <c r="K15" s="218"/>
      <c r="L15" s="202" t="s">
        <v>1354</v>
      </c>
      <c r="M15" s="203"/>
    </row>
    <row r="16" spans="3:13" ht="35.25" customHeight="1">
      <c r="C16" s="218"/>
      <c r="D16" s="239"/>
      <c r="E16" s="240"/>
      <c r="K16" s="218"/>
      <c r="L16" s="204"/>
      <c r="M16" s="205"/>
    </row>
    <row r="17" spans="3:13">
      <c r="C17" s="218"/>
      <c r="D17" s="239"/>
      <c r="E17" s="240"/>
      <c r="K17" s="218"/>
      <c r="L17" s="204"/>
      <c r="M17" s="205"/>
    </row>
    <row r="18" spans="3:13" ht="34.5" customHeight="1" thickBot="1">
      <c r="C18" s="219"/>
      <c r="D18" s="241"/>
      <c r="E18" s="242"/>
      <c r="K18" s="218"/>
      <c r="L18" s="204"/>
      <c r="M18" s="205"/>
    </row>
    <row r="19" spans="3:13" ht="0.75" customHeight="1">
      <c r="K19" s="218"/>
      <c r="L19" s="204"/>
      <c r="M19" s="205"/>
    </row>
    <row r="20" spans="3:13" ht="34.5" customHeight="1" thickBot="1">
      <c r="K20" s="218"/>
      <c r="L20" s="204"/>
      <c r="M20" s="205"/>
    </row>
    <row r="21" spans="3:13" ht="9" customHeight="1">
      <c r="C21" s="217" t="s">
        <v>1355</v>
      </c>
      <c r="D21" s="237" t="s">
        <v>1356</v>
      </c>
      <c r="E21" s="238"/>
      <c r="K21" s="218"/>
      <c r="L21" s="204"/>
      <c r="M21" s="205"/>
    </row>
    <row r="22" spans="3:13" ht="35.25" hidden="1" customHeight="1">
      <c r="C22" s="218"/>
      <c r="D22" s="239"/>
      <c r="E22" s="240"/>
      <c r="K22" s="218"/>
      <c r="L22" s="204"/>
      <c r="M22" s="205"/>
    </row>
    <row r="23" spans="3:13" ht="173.25" hidden="1" customHeight="1">
      <c r="C23" s="218"/>
      <c r="D23" s="239"/>
      <c r="E23" s="240"/>
      <c r="K23" s="218"/>
      <c r="L23" s="204"/>
      <c r="M23" s="205"/>
    </row>
    <row r="24" spans="3:13" ht="22.5" customHeight="1" thickBot="1">
      <c r="C24" s="218"/>
      <c r="D24" s="239"/>
      <c r="E24" s="240"/>
      <c r="K24" s="219"/>
      <c r="L24" s="206"/>
      <c r="M24" s="207"/>
    </row>
    <row r="25" spans="3:13" ht="34.5" customHeight="1">
      <c r="C25" s="218"/>
      <c r="D25" s="239"/>
      <c r="E25" s="240"/>
    </row>
    <row r="26" spans="3:13" ht="35.25" customHeight="1" thickBot="1">
      <c r="C26" s="218"/>
      <c r="D26" s="239"/>
      <c r="E26" s="240"/>
    </row>
    <row r="27" spans="3:13" ht="34.5" customHeight="1">
      <c r="C27" s="218"/>
      <c r="D27" s="239"/>
      <c r="E27" s="240"/>
      <c r="K27" s="217" t="s">
        <v>1357</v>
      </c>
      <c r="L27" s="220" t="s">
        <v>478</v>
      </c>
      <c r="M27" s="221"/>
    </row>
    <row r="28" spans="3:13" ht="35.25" customHeight="1" thickBot="1">
      <c r="C28" s="218"/>
      <c r="D28" s="241"/>
      <c r="E28" s="242"/>
      <c r="K28" s="218"/>
      <c r="L28" s="222"/>
      <c r="M28" s="223"/>
    </row>
    <row r="29" spans="3:13" ht="6.75" customHeight="1">
      <c r="C29" s="218"/>
      <c r="D29" s="202" t="s">
        <v>1358</v>
      </c>
      <c r="E29" s="203"/>
      <c r="K29" s="218"/>
      <c r="L29" s="243" t="s">
        <v>479</v>
      </c>
      <c r="M29" s="244"/>
    </row>
    <row r="30" spans="3:13" ht="36" hidden="1" customHeight="1" thickBot="1">
      <c r="C30" s="218"/>
      <c r="D30" s="204"/>
      <c r="E30" s="205"/>
      <c r="K30" s="218"/>
      <c r="L30" s="245"/>
      <c r="M30" s="246"/>
    </row>
    <row r="31" spans="3:13" ht="61.5" customHeight="1">
      <c r="C31" s="218"/>
      <c r="D31" s="204"/>
      <c r="E31" s="205"/>
      <c r="K31" s="218"/>
      <c r="L31" s="245"/>
      <c r="M31" s="246"/>
    </row>
    <row r="32" spans="3:13" ht="35.25" customHeight="1" thickBot="1">
      <c r="C32" s="218"/>
      <c r="D32" s="204"/>
      <c r="E32" s="205"/>
      <c r="K32" s="218"/>
      <c r="L32" s="247"/>
      <c r="M32" s="248"/>
    </row>
    <row r="33" spans="3:13" ht="34.5" customHeight="1">
      <c r="C33" s="218"/>
      <c r="D33" s="204"/>
      <c r="E33" s="205"/>
      <c r="K33" s="218"/>
      <c r="L33" s="249" t="s">
        <v>1359</v>
      </c>
      <c r="M33" s="250"/>
    </row>
    <row r="34" spans="3:13" ht="66.75" customHeight="1" thickBot="1">
      <c r="C34" s="219"/>
      <c r="D34" s="206"/>
      <c r="E34" s="207"/>
      <c r="K34" s="218"/>
      <c r="L34" s="251"/>
      <c r="M34" s="252"/>
    </row>
    <row r="35" spans="3:13" ht="34.5" customHeight="1" thickBot="1">
      <c r="K35" s="218"/>
      <c r="L35" s="251"/>
      <c r="M35" s="252"/>
    </row>
    <row r="36" spans="3:13" ht="35.25" customHeight="1">
      <c r="C36" s="224" t="s">
        <v>1360</v>
      </c>
      <c r="D36" s="220" t="s">
        <v>480</v>
      </c>
      <c r="E36" s="221"/>
      <c r="K36" s="218"/>
      <c r="L36" s="251"/>
      <c r="M36" s="252"/>
    </row>
    <row r="37" spans="3:13" ht="35.25" customHeight="1" thickBot="1">
      <c r="C37" s="225"/>
      <c r="D37" s="222"/>
      <c r="E37" s="223"/>
      <c r="K37" s="219"/>
      <c r="L37" s="253"/>
      <c r="M37" s="254"/>
    </row>
    <row r="38" spans="3:13" ht="34.5" customHeight="1">
      <c r="C38" s="225"/>
      <c r="D38" s="227" t="s">
        <v>1361</v>
      </c>
      <c r="E38" s="228"/>
    </row>
    <row r="39" spans="3:13" ht="35.25" customHeight="1" thickBot="1">
      <c r="C39" s="225"/>
      <c r="D39" s="229"/>
      <c r="E39" s="230"/>
    </row>
    <row r="40" spans="3:13" ht="83.25" customHeight="1">
      <c r="C40" s="225"/>
      <c r="D40" s="229"/>
      <c r="E40" s="230"/>
      <c r="K40" s="217" t="s">
        <v>1322</v>
      </c>
      <c r="L40" s="233" t="s">
        <v>477</v>
      </c>
      <c r="M40" s="234"/>
    </row>
    <row r="41" spans="3:13" ht="218.25" customHeight="1" thickBot="1">
      <c r="C41" s="225"/>
      <c r="D41" s="229"/>
      <c r="E41" s="230"/>
      <c r="K41" s="218"/>
      <c r="L41" s="235"/>
      <c r="M41" s="236"/>
    </row>
    <row r="42" spans="3:13" ht="34.5" customHeight="1">
      <c r="C42" s="225"/>
      <c r="D42" s="229"/>
      <c r="E42" s="230"/>
      <c r="K42" s="218"/>
      <c r="L42" s="190" t="s">
        <v>481</v>
      </c>
      <c r="M42" s="191"/>
    </row>
    <row r="43" spans="3:13" ht="34.5" customHeight="1" thickBot="1">
      <c r="C43" s="225"/>
      <c r="D43" s="231"/>
      <c r="E43" s="232"/>
      <c r="K43" s="218"/>
      <c r="L43" s="192"/>
      <c r="M43" s="193"/>
    </row>
    <row r="44" spans="3:13" ht="34.5" customHeight="1">
      <c r="C44" s="225"/>
      <c r="D44" s="196" t="s">
        <v>1362</v>
      </c>
      <c r="E44" s="197"/>
      <c r="K44" s="218"/>
      <c r="L44" s="192"/>
      <c r="M44" s="193"/>
    </row>
    <row r="45" spans="3:13" ht="35.25" customHeight="1" thickBot="1">
      <c r="C45" s="225"/>
      <c r="D45" s="198"/>
      <c r="E45" s="199"/>
      <c r="K45" s="218"/>
      <c r="L45" s="194"/>
      <c r="M45" s="195"/>
    </row>
    <row r="46" spans="3:13" ht="34.5" customHeight="1">
      <c r="C46" s="225"/>
      <c r="D46" s="198"/>
      <c r="E46" s="199"/>
      <c r="K46" s="218"/>
      <c r="L46" s="202" t="s">
        <v>1363</v>
      </c>
      <c r="M46" s="203"/>
    </row>
    <row r="47" spans="3:13" ht="34.5" customHeight="1">
      <c r="C47" s="225"/>
      <c r="D47" s="198"/>
      <c r="E47" s="199"/>
      <c r="K47" s="218"/>
      <c r="L47" s="204"/>
      <c r="M47" s="205"/>
    </row>
    <row r="48" spans="3:13" ht="34.5" customHeight="1">
      <c r="C48" s="225"/>
      <c r="D48" s="198"/>
      <c r="E48" s="199"/>
      <c r="K48" s="218"/>
      <c r="L48" s="204"/>
      <c r="M48" s="205"/>
    </row>
    <row r="49" spans="3:13" ht="34.5" customHeight="1" thickBot="1">
      <c r="C49" s="226"/>
      <c r="D49" s="200"/>
      <c r="E49" s="201"/>
      <c r="K49" s="218"/>
      <c r="L49" s="204"/>
      <c r="M49" s="205"/>
    </row>
    <row r="50" spans="3:13" ht="34.5" customHeight="1" thickBot="1">
      <c r="K50" s="218"/>
      <c r="L50" s="204"/>
      <c r="M50" s="205"/>
    </row>
    <row r="51" spans="3:13" ht="35.25" customHeight="1">
      <c r="C51" s="208" t="s">
        <v>1364</v>
      </c>
      <c r="D51" s="211" t="s">
        <v>1365</v>
      </c>
      <c r="E51" s="212"/>
      <c r="K51" s="218"/>
      <c r="L51" s="204"/>
      <c r="M51" s="205"/>
    </row>
    <row r="52" spans="3:13" ht="34.5" customHeight="1">
      <c r="C52" s="209"/>
      <c r="D52" s="213"/>
      <c r="E52" s="214"/>
      <c r="K52" s="218"/>
      <c r="L52" s="204"/>
      <c r="M52" s="205"/>
    </row>
    <row r="53" spans="3:13" ht="34.5" customHeight="1">
      <c r="C53" s="209"/>
      <c r="D53" s="213"/>
      <c r="E53" s="214"/>
      <c r="K53" s="218"/>
      <c r="L53" s="204"/>
      <c r="M53" s="205"/>
    </row>
    <row r="54" spans="3:13" ht="34.5" customHeight="1">
      <c r="C54" s="209"/>
      <c r="D54" s="213"/>
      <c r="E54" s="214"/>
      <c r="K54" s="218"/>
      <c r="L54" s="204"/>
      <c r="M54" s="205"/>
    </row>
    <row r="55" spans="3:13" ht="35.25" customHeight="1" thickBot="1">
      <c r="C55" s="209"/>
      <c r="D55" s="213"/>
      <c r="E55" s="214"/>
      <c r="K55" s="219"/>
      <c r="L55" s="206"/>
      <c r="M55" s="207"/>
    </row>
    <row r="56" spans="3:13">
      <c r="C56" s="209"/>
      <c r="D56" s="213"/>
      <c r="E56" s="214"/>
    </row>
    <row r="57" spans="3:13" ht="45.75" thickBot="1">
      <c r="C57" s="209"/>
      <c r="D57" s="213"/>
      <c r="E57" s="214"/>
      <c r="K57" s="135" t="s">
        <v>1348</v>
      </c>
    </row>
    <row r="58" spans="3:13" ht="35.25" thickBot="1">
      <c r="C58" s="210"/>
      <c r="D58" s="215"/>
      <c r="E58" s="216"/>
      <c r="K58" s="217" t="s">
        <v>1366</v>
      </c>
      <c r="L58" s="220" t="s">
        <v>477</v>
      </c>
      <c r="M58" s="221"/>
    </row>
    <row r="59" spans="3:13" ht="35.25" thickBot="1">
      <c r="K59" s="218"/>
      <c r="L59" s="222"/>
      <c r="M59" s="223"/>
    </row>
    <row r="60" spans="3:13">
      <c r="K60" s="218"/>
      <c r="L60" s="190" t="s">
        <v>481</v>
      </c>
      <c r="M60" s="191"/>
    </row>
    <row r="61" spans="3:13">
      <c r="K61" s="218"/>
      <c r="L61" s="192"/>
      <c r="M61" s="193"/>
    </row>
    <row r="62" spans="3:13">
      <c r="K62" s="218"/>
      <c r="L62" s="192"/>
      <c r="M62" s="193"/>
    </row>
    <row r="63" spans="3:13" ht="35.25" thickBot="1">
      <c r="K63" s="218"/>
      <c r="L63" s="194"/>
      <c r="M63" s="195"/>
    </row>
    <row r="64" spans="3:13">
      <c r="K64" s="218"/>
      <c r="L64" s="202" t="s">
        <v>1367</v>
      </c>
      <c r="M64" s="203"/>
    </row>
    <row r="65" spans="11:13">
      <c r="K65" s="218"/>
      <c r="L65" s="204"/>
      <c r="M65" s="205"/>
    </row>
    <row r="66" spans="11:13">
      <c r="K66" s="218"/>
      <c r="L66" s="204"/>
      <c r="M66" s="205"/>
    </row>
    <row r="67" spans="11:13">
      <c r="K67" s="218"/>
      <c r="L67" s="204"/>
      <c r="M67" s="205"/>
    </row>
    <row r="68" spans="11:13">
      <c r="K68" s="218"/>
      <c r="L68" s="204"/>
      <c r="M68" s="205"/>
    </row>
    <row r="69" spans="11:13">
      <c r="K69" s="218"/>
      <c r="L69" s="204"/>
      <c r="M69" s="205"/>
    </row>
    <row r="70" spans="11:13">
      <c r="K70" s="218"/>
      <c r="L70" s="204"/>
      <c r="M70" s="205"/>
    </row>
    <row r="71" spans="11:13">
      <c r="K71" s="218"/>
      <c r="L71" s="204"/>
      <c r="M71" s="205"/>
    </row>
    <row r="72" spans="11:13">
      <c r="K72" s="218"/>
      <c r="L72" s="204"/>
      <c r="M72" s="205"/>
    </row>
    <row r="73" spans="11:13" ht="35.25" thickBot="1">
      <c r="K73" s="219"/>
      <c r="L73" s="206"/>
      <c r="M73" s="207"/>
    </row>
  </sheetData>
  <mergeCells count="29"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517"/>
  <sheetViews>
    <sheetView topLeftCell="A514" workbookViewId="0">
      <selection activeCell="A517" sqref="A517"/>
    </sheetView>
  </sheetViews>
  <sheetFormatPr defaultRowHeight="15"/>
  <cols>
    <col min="1" max="1" width="13.7109375" bestFit="1" customWidth="1"/>
    <col min="2" max="2" width="59.28515625" customWidth="1"/>
    <col min="3" max="3" width="170.42578125" style="67" customWidth="1"/>
  </cols>
  <sheetData>
    <row r="1" spans="1:3">
      <c r="A1" s="156" t="s">
        <v>858</v>
      </c>
      <c r="B1" s="156" t="s">
        <v>859</v>
      </c>
      <c r="C1" s="157" t="s">
        <v>860</v>
      </c>
    </row>
    <row r="2" spans="1:3">
      <c r="A2" s="158" t="s">
        <v>453</v>
      </c>
      <c r="B2" s="159" t="s">
        <v>848</v>
      </c>
      <c r="C2" s="160" t="s">
        <v>1313</v>
      </c>
    </row>
    <row r="3" spans="1:3">
      <c r="A3" s="158" t="s">
        <v>454</v>
      </c>
      <c r="B3" s="159" t="s">
        <v>849</v>
      </c>
      <c r="C3" s="160" t="s">
        <v>1313</v>
      </c>
    </row>
    <row r="4" spans="1:3">
      <c r="A4" s="158" t="s">
        <v>455</v>
      </c>
      <c r="B4" s="159" t="s">
        <v>850</v>
      </c>
      <c r="C4" s="160" t="s">
        <v>1314</v>
      </c>
    </row>
    <row r="5" spans="1:3">
      <c r="A5" s="158" t="s">
        <v>457</v>
      </c>
      <c r="B5" s="159" t="s">
        <v>850</v>
      </c>
      <c r="C5" s="160" t="s">
        <v>1314</v>
      </c>
    </row>
    <row r="6" spans="1:3">
      <c r="A6" s="158" t="s">
        <v>459</v>
      </c>
      <c r="B6" s="159" t="s">
        <v>852</v>
      </c>
      <c r="C6" s="160" t="s">
        <v>1315</v>
      </c>
    </row>
    <row r="7" spans="1:3">
      <c r="A7" s="158" t="s">
        <v>456</v>
      </c>
      <c r="B7" s="159" t="s">
        <v>851</v>
      </c>
      <c r="C7" s="160" t="s">
        <v>1314</v>
      </c>
    </row>
    <row r="8" spans="1:3">
      <c r="A8" s="158" t="s">
        <v>458</v>
      </c>
      <c r="B8" s="159" t="s">
        <v>851</v>
      </c>
      <c r="C8" s="160" t="s">
        <v>1314</v>
      </c>
    </row>
    <row r="9" spans="1:3">
      <c r="A9" s="158" t="s">
        <v>460</v>
      </c>
      <c r="B9" s="159" t="s">
        <v>851</v>
      </c>
      <c r="C9" s="160" t="s">
        <v>1315</v>
      </c>
    </row>
    <row r="10" spans="1:3">
      <c r="A10" s="158" t="s">
        <v>461</v>
      </c>
      <c r="B10" s="159" t="s">
        <v>853</v>
      </c>
      <c r="C10" s="160" t="s">
        <v>1316</v>
      </c>
    </row>
    <row r="11" spans="1:3">
      <c r="A11" s="158" t="s">
        <v>463</v>
      </c>
      <c r="B11" s="159" t="s">
        <v>855</v>
      </c>
      <c r="C11" s="160" t="s">
        <v>1317</v>
      </c>
    </row>
    <row r="12" spans="1:3">
      <c r="A12" s="158" t="s">
        <v>462</v>
      </c>
      <c r="B12" s="159" t="s">
        <v>854</v>
      </c>
      <c r="C12" s="160" t="s">
        <v>1316</v>
      </c>
    </row>
    <row r="13" spans="1:3">
      <c r="A13" s="158" t="s">
        <v>464</v>
      </c>
      <c r="B13" s="159" t="s">
        <v>854</v>
      </c>
      <c r="C13" s="160" t="s">
        <v>1317</v>
      </c>
    </row>
    <row r="14" spans="1:3">
      <c r="A14" s="158" t="s">
        <v>465</v>
      </c>
      <c r="B14" s="159" t="s">
        <v>856</v>
      </c>
      <c r="C14" s="160" t="s">
        <v>1318</v>
      </c>
    </row>
    <row r="15" spans="1:3">
      <c r="A15" s="158" t="s">
        <v>466</v>
      </c>
      <c r="B15" s="159" t="s">
        <v>857</v>
      </c>
      <c r="C15" s="160" t="s">
        <v>1318</v>
      </c>
    </row>
    <row r="16" spans="1:3">
      <c r="A16" s="161" t="s">
        <v>211</v>
      </c>
      <c r="B16" s="74" t="s">
        <v>633</v>
      </c>
      <c r="C16" s="160" t="s">
        <v>861</v>
      </c>
    </row>
    <row r="17" spans="1:3">
      <c r="A17" s="161" t="s">
        <v>213</v>
      </c>
      <c r="B17" s="74" t="s">
        <v>635</v>
      </c>
      <c r="C17" s="160" t="s">
        <v>862</v>
      </c>
    </row>
    <row r="18" spans="1:3">
      <c r="A18" s="158" t="s">
        <v>212</v>
      </c>
      <c r="B18" s="159" t="s">
        <v>634</v>
      </c>
      <c r="C18" s="160" t="s">
        <v>1086</v>
      </c>
    </row>
    <row r="19" spans="1:3">
      <c r="A19" s="158" t="s">
        <v>215</v>
      </c>
      <c r="B19" s="159" t="s">
        <v>637</v>
      </c>
      <c r="C19" s="160" t="s">
        <v>1088</v>
      </c>
    </row>
    <row r="20" spans="1:3">
      <c r="A20" s="158" t="s">
        <v>214</v>
      </c>
      <c r="B20" s="159" t="s">
        <v>636</v>
      </c>
      <c r="C20" s="160" t="s">
        <v>1087</v>
      </c>
    </row>
    <row r="21" spans="1:3">
      <c r="A21" s="161" t="s">
        <v>217</v>
      </c>
      <c r="B21" s="74" t="s">
        <v>633</v>
      </c>
      <c r="C21" s="160" t="s">
        <v>863</v>
      </c>
    </row>
    <row r="22" spans="1:3">
      <c r="A22" s="158" t="s">
        <v>216</v>
      </c>
      <c r="B22" s="159" t="s">
        <v>638</v>
      </c>
      <c r="C22" s="160" t="s">
        <v>1089</v>
      </c>
    </row>
    <row r="23" spans="1:3">
      <c r="A23" s="158" t="s">
        <v>218</v>
      </c>
      <c r="B23" s="159" t="s">
        <v>639</v>
      </c>
      <c r="C23" s="160" t="s">
        <v>1090</v>
      </c>
    </row>
    <row r="24" spans="1:3">
      <c r="A24" s="158" t="s">
        <v>219</v>
      </c>
      <c r="B24" s="159" t="s">
        <v>640</v>
      </c>
      <c r="C24" s="160" t="s">
        <v>1091</v>
      </c>
    </row>
    <row r="25" spans="1:3">
      <c r="A25" s="158" t="s">
        <v>220</v>
      </c>
      <c r="B25" s="159" t="s">
        <v>641</v>
      </c>
      <c r="C25" s="160" t="s">
        <v>1092</v>
      </c>
    </row>
    <row r="26" spans="1:3">
      <c r="A26" s="161" t="s">
        <v>221</v>
      </c>
      <c r="B26" s="74" t="s">
        <v>864</v>
      </c>
      <c r="C26" s="160" t="s">
        <v>865</v>
      </c>
    </row>
    <row r="27" spans="1:3">
      <c r="A27" s="158" t="s">
        <v>222</v>
      </c>
      <c r="B27" s="159" t="s">
        <v>642</v>
      </c>
      <c r="C27" s="160" t="s">
        <v>1093</v>
      </c>
    </row>
    <row r="28" spans="1:3">
      <c r="A28" s="158" t="s">
        <v>223</v>
      </c>
      <c r="B28" s="159" t="s">
        <v>643</v>
      </c>
      <c r="C28" s="160" t="s">
        <v>1094</v>
      </c>
    </row>
    <row r="29" spans="1:3">
      <c r="A29" s="161" t="s">
        <v>224</v>
      </c>
      <c r="B29" s="74" t="s">
        <v>644</v>
      </c>
      <c r="C29" s="160" t="s">
        <v>866</v>
      </c>
    </row>
    <row r="30" spans="1:3">
      <c r="A30" s="158" t="s">
        <v>225</v>
      </c>
      <c r="B30" s="159" t="s">
        <v>645</v>
      </c>
      <c r="C30" s="160" t="s">
        <v>1095</v>
      </c>
    </row>
    <row r="31" spans="1:3">
      <c r="A31" s="158" t="s">
        <v>226</v>
      </c>
      <c r="B31" s="159" t="s">
        <v>646</v>
      </c>
      <c r="C31" s="160" t="s">
        <v>1096</v>
      </c>
    </row>
    <row r="32" spans="1:3">
      <c r="A32" s="158" t="s">
        <v>227</v>
      </c>
      <c r="B32" s="159" t="s">
        <v>646</v>
      </c>
      <c r="C32" s="160" t="s">
        <v>1097</v>
      </c>
    </row>
    <row r="33" spans="1:3">
      <c r="A33" s="158" t="s">
        <v>395</v>
      </c>
      <c r="B33" s="159" t="s">
        <v>795</v>
      </c>
      <c r="C33" s="160" t="s">
        <v>1266</v>
      </c>
    </row>
    <row r="34" spans="1:3">
      <c r="A34" s="158" t="s">
        <v>396</v>
      </c>
      <c r="B34" s="159" t="s">
        <v>796</v>
      </c>
      <c r="C34" s="160" t="s">
        <v>1267</v>
      </c>
    </row>
    <row r="35" spans="1:3">
      <c r="A35" s="158" t="s">
        <v>397</v>
      </c>
      <c r="B35" s="159" t="s">
        <v>797</v>
      </c>
      <c r="C35" s="160" t="s">
        <v>1268</v>
      </c>
    </row>
    <row r="36" spans="1:3">
      <c r="A36" s="158" t="s">
        <v>205</v>
      </c>
      <c r="B36" s="159" t="s">
        <v>630</v>
      </c>
      <c r="C36" s="160" t="s">
        <v>1083</v>
      </c>
    </row>
    <row r="37" spans="1:3">
      <c r="A37" s="158" t="s">
        <v>206</v>
      </c>
      <c r="B37" s="159" t="s">
        <v>631</v>
      </c>
      <c r="C37" s="160" t="s">
        <v>1084</v>
      </c>
    </row>
    <row r="38" spans="1:3">
      <c r="A38" s="158" t="s">
        <v>440</v>
      </c>
      <c r="B38" s="74" t="s">
        <v>839</v>
      </c>
      <c r="C38" s="160" t="s">
        <v>1301</v>
      </c>
    </row>
    <row r="39" spans="1:3">
      <c r="A39" s="158" t="s">
        <v>441</v>
      </c>
      <c r="B39" s="74" t="s">
        <v>840</v>
      </c>
      <c r="C39" s="160" t="s">
        <v>1302</v>
      </c>
    </row>
    <row r="40" spans="1:3">
      <c r="A40" s="158" t="s">
        <v>442</v>
      </c>
      <c r="B40" s="74" t="s">
        <v>840</v>
      </c>
      <c r="C40" s="160" t="s">
        <v>1303</v>
      </c>
    </row>
    <row r="41" spans="1:3">
      <c r="A41" s="158" t="s">
        <v>443</v>
      </c>
      <c r="B41" s="74" t="s">
        <v>841</v>
      </c>
      <c r="C41" s="160" t="s">
        <v>1304</v>
      </c>
    </row>
    <row r="42" spans="1:3">
      <c r="A42" s="158" t="s">
        <v>444</v>
      </c>
      <c r="B42" s="159" t="s">
        <v>839</v>
      </c>
      <c r="C42" s="160" t="s">
        <v>1305</v>
      </c>
    </row>
    <row r="43" spans="1:3">
      <c r="A43" s="158" t="s">
        <v>66</v>
      </c>
      <c r="B43" s="159" t="s">
        <v>524</v>
      </c>
      <c r="C43" s="160" t="s">
        <v>969</v>
      </c>
    </row>
    <row r="44" spans="1:3">
      <c r="A44" s="158" t="s">
        <v>67</v>
      </c>
      <c r="B44" s="159" t="s">
        <v>525</v>
      </c>
      <c r="C44" s="160" t="s">
        <v>970</v>
      </c>
    </row>
    <row r="45" spans="1:3">
      <c r="A45" s="158" t="s">
        <v>68</v>
      </c>
      <c r="B45" s="159" t="s">
        <v>526</v>
      </c>
      <c r="C45" s="160" t="s">
        <v>971</v>
      </c>
    </row>
    <row r="46" spans="1:3">
      <c r="A46" s="158" t="s">
        <v>451</v>
      </c>
      <c r="B46" s="159" t="s">
        <v>847</v>
      </c>
      <c r="C46" s="160" t="s">
        <v>1312</v>
      </c>
    </row>
    <row r="47" spans="1:3">
      <c r="A47" s="158" t="s">
        <v>69</v>
      </c>
      <c r="B47" s="159" t="s">
        <v>527</v>
      </c>
      <c r="C47" s="160" t="s">
        <v>972</v>
      </c>
    </row>
    <row r="48" spans="1:3">
      <c r="A48" s="158" t="s">
        <v>447</v>
      </c>
      <c r="B48" s="159" t="s">
        <v>844</v>
      </c>
      <c r="C48" s="160" t="s">
        <v>1308</v>
      </c>
    </row>
    <row r="49" spans="1:3">
      <c r="A49" s="158" t="s">
        <v>448</v>
      </c>
      <c r="B49" s="159" t="s">
        <v>845</v>
      </c>
      <c r="C49" s="160" t="s">
        <v>1309</v>
      </c>
    </row>
    <row r="50" spans="1:3">
      <c r="A50" s="158" t="s">
        <v>449</v>
      </c>
      <c r="B50" s="159" t="s">
        <v>845</v>
      </c>
      <c r="C50" s="160" t="s">
        <v>1310</v>
      </c>
    </row>
    <row r="51" spans="1:3">
      <c r="A51" s="158" t="s">
        <v>450</v>
      </c>
      <c r="B51" s="159" t="s">
        <v>846</v>
      </c>
      <c r="C51" s="160" t="s">
        <v>1311</v>
      </c>
    </row>
    <row r="52" spans="1:3">
      <c r="A52" s="158" t="s">
        <v>204</v>
      </c>
      <c r="B52" s="159" t="s">
        <v>629</v>
      </c>
      <c r="C52" s="160" t="s">
        <v>1082</v>
      </c>
    </row>
    <row r="53" spans="1:3">
      <c r="A53" s="158" t="s">
        <v>207</v>
      </c>
      <c r="B53" s="159" t="s">
        <v>632</v>
      </c>
      <c r="C53" s="160" t="s">
        <v>1085</v>
      </c>
    </row>
    <row r="54" spans="1:3">
      <c r="A54" s="158" t="s">
        <v>368</v>
      </c>
      <c r="B54" s="74" t="s">
        <v>771</v>
      </c>
      <c r="C54" s="160" t="s">
        <v>1244</v>
      </c>
    </row>
    <row r="55" spans="1:3">
      <c r="A55" s="158" t="s">
        <v>369</v>
      </c>
      <c r="B55" s="74" t="s">
        <v>772</v>
      </c>
      <c r="C55" s="160" t="s">
        <v>1245</v>
      </c>
    </row>
    <row r="56" spans="1:3">
      <c r="A56" s="158" t="s">
        <v>370</v>
      </c>
      <c r="B56" s="74" t="s">
        <v>773</v>
      </c>
      <c r="C56" s="160" t="s">
        <v>1246</v>
      </c>
    </row>
    <row r="57" spans="1:3">
      <c r="A57" s="158" t="s">
        <v>421</v>
      </c>
      <c r="B57" s="74" t="s">
        <v>821</v>
      </c>
      <c r="C57" s="160" t="s">
        <v>1289</v>
      </c>
    </row>
    <row r="58" spans="1:3">
      <c r="A58" s="158" t="s">
        <v>422</v>
      </c>
      <c r="B58" s="74" t="s">
        <v>821</v>
      </c>
      <c r="C58" s="160" t="s">
        <v>1290</v>
      </c>
    </row>
    <row r="59" spans="1:3">
      <c r="A59" s="161" t="s">
        <v>423</v>
      </c>
      <c r="B59" s="74" t="s">
        <v>822</v>
      </c>
      <c r="C59" s="160" t="s">
        <v>867</v>
      </c>
    </row>
    <row r="60" spans="1:3">
      <c r="A60" s="161" t="s">
        <v>424</v>
      </c>
      <c r="B60" s="74" t="s">
        <v>823</v>
      </c>
      <c r="C60" s="160" t="s">
        <v>868</v>
      </c>
    </row>
    <row r="61" spans="1:3">
      <c r="A61" s="161" t="s">
        <v>425</v>
      </c>
      <c r="B61" s="74" t="s">
        <v>824</v>
      </c>
      <c r="C61" s="160" t="s">
        <v>869</v>
      </c>
    </row>
    <row r="62" spans="1:3">
      <c r="A62" s="161" t="s">
        <v>426</v>
      </c>
      <c r="B62" s="74" t="s">
        <v>825</v>
      </c>
      <c r="C62" s="160" t="s">
        <v>870</v>
      </c>
    </row>
    <row r="63" spans="1:3">
      <c r="A63" s="158" t="s">
        <v>290</v>
      </c>
      <c r="B63" s="74" t="s">
        <v>704</v>
      </c>
      <c r="C63" s="160" t="s">
        <v>1173</v>
      </c>
    </row>
    <row r="64" spans="1:3">
      <c r="A64" t="s">
        <v>1399</v>
      </c>
      <c r="B64" s="70" t="s">
        <v>1400</v>
      </c>
      <c r="C64" s="71" t="s">
        <v>1401</v>
      </c>
    </row>
    <row r="65" spans="1:3">
      <c r="A65" s="158" t="s">
        <v>291</v>
      </c>
      <c r="B65" s="74" t="s">
        <v>705</v>
      </c>
      <c r="C65" s="160" t="s">
        <v>1174</v>
      </c>
    </row>
    <row r="66" spans="1:3">
      <c r="A66" s="158" t="s">
        <v>292</v>
      </c>
      <c r="B66" s="74" t="s">
        <v>706</v>
      </c>
      <c r="C66" s="160" t="s">
        <v>1175</v>
      </c>
    </row>
    <row r="67" spans="1:3">
      <c r="A67" s="158" t="s">
        <v>293</v>
      </c>
      <c r="B67" s="74" t="s">
        <v>707</v>
      </c>
      <c r="C67" s="160" t="s">
        <v>1176</v>
      </c>
    </row>
    <row r="68" spans="1:3">
      <c r="A68" s="158" t="s">
        <v>294</v>
      </c>
      <c r="B68" s="159" t="s">
        <v>708</v>
      </c>
      <c r="C68" s="160" t="s">
        <v>1177</v>
      </c>
    </row>
    <row r="69" spans="1:3">
      <c r="A69" s="158" t="s">
        <v>295</v>
      </c>
      <c r="B69" s="159" t="s">
        <v>709</v>
      </c>
      <c r="C69" s="160" t="s">
        <v>1178</v>
      </c>
    </row>
    <row r="70" spans="1:3">
      <c r="A70" s="158" t="s">
        <v>343</v>
      </c>
      <c r="B70" s="159" t="s">
        <v>751</v>
      </c>
      <c r="C70" s="160" t="s">
        <v>1218</v>
      </c>
    </row>
    <row r="71" spans="1:3">
      <c r="A71" s="161" t="s">
        <v>342</v>
      </c>
      <c r="B71" s="74" t="s">
        <v>1157</v>
      </c>
      <c r="C71" s="160" t="s">
        <v>1158</v>
      </c>
    </row>
    <row r="72" spans="1:3">
      <c r="A72" t="s">
        <v>1402</v>
      </c>
      <c r="B72" s="70" t="s">
        <v>1403</v>
      </c>
      <c r="C72" s="71" t="s">
        <v>1404</v>
      </c>
    </row>
    <row r="73" spans="1:3">
      <c r="A73" s="158" t="s">
        <v>473</v>
      </c>
      <c r="B73" s="159" t="s">
        <v>768</v>
      </c>
      <c r="C73" s="160" t="s">
        <v>1233</v>
      </c>
    </row>
    <row r="74" spans="1:3">
      <c r="A74" s="158" t="s">
        <v>296</v>
      </c>
      <c r="B74" s="74" t="s">
        <v>710</v>
      </c>
      <c r="C74" s="160" t="s">
        <v>1179</v>
      </c>
    </row>
    <row r="75" spans="1:3">
      <c r="A75" s="158" t="s">
        <v>297</v>
      </c>
      <c r="B75" s="74" t="s">
        <v>711</v>
      </c>
      <c r="C75" s="160" t="s">
        <v>1180</v>
      </c>
    </row>
    <row r="76" spans="1:3">
      <c r="A76" s="158" t="s">
        <v>364</v>
      </c>
      <c r="B76" s="159" t="s">
        <v>768</v>
      </c>
      <c r="C76" s="160" t="s">
        <v>1234</v>
      </c>
    </row>
    <row r="77" spans="1:3">
      <c r="A77" s="161" t="s">
        <v>365</v>
      </c>
      <c r="B77" s="74" t="s">
        <v>1159</v>
      </c>
      <c r="C77" s="160" t="s">
        <v>1160</v>
      </c>
    </row>
    <row r="78" spans="1:3">
      <c r="A78" s="158" t="s">
        <v>298</v>
      </c>
      <c r="B78" s="74" t="s">
        <v>712</v>
      </c>
      <c r="C78" s="160" t="s">
        <v>1181</v>
      </c>
    </row>
    <row r="79" spans="1:3">
      <c r="A79" s="161" t="s">
        <v>332</v>
      </c>
      <c r="B79" s="74" t="s">
        <v>742</v>
      </c>
      <c r="C79" s="160" t="s">
        <v>1161</v>
      </c>
    </row>
    <row r="80" spans="1:3">
      <c r="A80" s="158" t="s">
        <v>299</v>
      </c>
      <c r="B80" s="74" t="s">
        <v>713</v>
      </c>
      <c r="C80" s="160" t="s">
        <v>1182</v>
      </c>
    </row>
    <row r="81" spans="1:3">
      <c r="A81" t="s">
        <v>1405</v>
      </c>
      <c r="B81" s="70" t="s">
        <v>1406</v>
      </c>
      <c r="C81" s="71" t="s">
        <v>1407</v>
      </c>
    </row>
    <row r="82" spans="1:3">
      <c r="A82" s="158" t="s">
        <v>300</v>
      </c>
      <c r="B82" s="74" t="s">
        <v>714</v>
      </c>
      <c r="C82" s="160" t="s">
        <v>1183</v>
      </c>
    </row>
    <row r="83" spans="1:3">
      <c r="A83" s="158" t="s">
        <v>301</v>
      </c>
      <c r="B83" s="74" t="s">
        <v>715</v>
      </c>
      <c r="C83" s="160" t="s">
        <v>1184</v>
      </c>
    </row>
    <row r="84" spans="1:3">
      <c r="A84" t="s">
        <v>1408</v>
      </c>
      <c r="B84" s="70" t="s">
        <v>1409</v>
      </c>
      <c r="C84" s="160" t="s">
        <v>1410</v>
      </c>
    </row>
    <row r="85" spans="1:3">
      <c r="A85" s="158" t="s">
        <v>302</v>
      </c>
      <c r="B85" s="74" t="s">
        <v>716</v>
      </c>
      <c r="C85" s="160" t="s">
        <v>1185</v>
      </c>
    </row>
    <row r="86" spans="1:3">
      <c r="A86" s="158" t="s">
        <v>333</v>
      </c>
      <c r="B86" s="159" t="s">
        <v>743</v>
      </c>
      <c r="C86" s="160" t="s">
        <v>1209</v>
      </c>
    </row>
    <row r="87" spans="1:3">
      <c r="A87" s="158" t="s">
        <v>334</v>
      </c>
      <c r="B87" s="159" t="s">
        <v>744</v>
      </c>
      <c r="C87" s="160" t="s">
        <v>1210</v>
      </c>
    </row>
    <row r="88" spans="1:3">
      <c r="A88" s="158" t="s">
        <v>335</v>
      </c>
      <c r="B88" s="159" t="s">
        <v>744</v>
      </c>
      <c r="C88" s="160" t="s">
        <v>1211</v>
      </c>
    </row>
    <row r="89" spans="1:3">
      <c r="A89" s="158" t="s">
        <v>336</v>
      </c>
      <c r="B89" s="159" t="s">
        <v>745</v>
      </c>
      <c r="C89" s="160" t="s">
        <v>1212</v>
      </c>
    </row>
    <row r="90" spans="1:3">
      <c r="A90" s="158" t="s">
        <v>337</v>
      </c>
      <c r="B90" s="159" t="s">
        <v>745</v>
      </c>
      <c r="C90" s="160" t="s">
        <v>1213</v>
      </c>
    </row>
    <row r="91" spans="1:3">
      <c r="A91" s="158" t="s">
        <v>338</v>
      </c>
      <c r="B91" s="159" t="s">
        <v>746</v>
      </c>
      <c r="C91" s="160" t="s">
        <v>1214</v>
      </c>
    </row>
    <row r="92" spans="1:3">
      <c r="A92" s="161" t="s">
        <v>475</v>
      </c>
      <c r="B92" s="74" t="s">
        <v>747</v>
      </c>
      <c r="C92" s="160" t="s">
        <v>1162</v>
      </c>
    </row>
    <row r="93" spans="1:3">
      <c r="A93" s="158" t="s">
        <v>303</v>
      </c>
      <c r="B93" s="159" t="s">
        <v>717</v>
      </c>
      <c r="C93" s="160" t="s">
        <v>1186</v>
      </c>
    </row>
    <row r="94" spans="1:3">
      <c r="A94" t="s">
        <v>1411</v>
      </c>
      <c r="B94" s="70" t="s">
        <v>1412</v>
      </c>
      <c r="C94" s="160" t="s">
        <v>1413</v>
      </c>
    </row>
    <row r="95" spans="1:3">
      <c r="A95" s="161" t="s">
        <v>304</v>
      </c>
      <c r="B95" s="74" t="s">
        <v>718</v>
      </c>
      <c r="C95" s="160" t="s">
        <v>1163</v>
      </c>
    </row>
    <row r="96" spans="1:3">
      <c r="A96" s="158" t="s">
        <v>305</v>
      </c>
      <c r="B96" s="159" t="s">
        <v>719</v>
      </c>
      <c r="C96" s="160" t="s">
        <v>1187</v>
      </c>
    </row>
    <row r="97" spans="1:3">
      <c r="A97" s="158" t="s">
        <v>306</v>
      </c>
      <c r="B97" s="159" t="s">
        <v>720</v>
      </c>
      <c r="C97" s="160" t="s">
        <v>1188</v>
      </c>
    </row>
    <row r="98" spans="1:3">
      <c r="A98" s="158" t="s">
        <v>307</v>
      </c>
      <c r="B98" s="159" t="s">
        <v>720</v>
      </c>
      <c r="C98" s="160" t="s">
        <v>1189</v>
      </c>
    </row>
    <row r="99" spans="1:3">
      <c r="A99" s="161" t="s">
        <v>308</v>
      </c>
      <c r="B99" s="74" t="s">
        <v>721</v>
      </c>
      <c r="C99" s="160" t="s">
        <v>1164</v>
      </c>
    </row>
    <row r="100" spans="1:3">
      <c r="A100" s="158" t="s">
        <v>309</v>
      </c>
      <c r="B100" s="159" t="s">
        <v>715</v>
      </c>
      <c r="C100" s="160" t="s">
        <v>1190</v>
      </c>
    </row>
    <row r="101" spans="1:3">
      <c r="A101" s="158" t="s">
        <v>310</v>
      </c>
      <c r="B101" s="159" t="s">
        <v>722</v>
      </c>
      <c r="C101" s="160" t="s">
        <v>1191</v>
      </c>
    </row>
    <row r="102" spans="1:3">
      <c r="A102" s="161" t="s">
        <v>311</v>
      </c>
      <c r="B102" s="74" t="s">
        <v>723</v>
      </c>
      <c r="C102" s="160" t="s">
        <v>1165</v>
      </c>
    </row>
    <row r="103" spans="1:3">
      <c r="A103" s="158" t="s">
        <v>312</v>
      </c>
      <c r="B103" s="159" t="s">
        <v>724</v>
      </c>
      <c r="C103" s="160" t="s">
        <v>1192</v>
      </c>
    </row>
    <row r="104" spans="1:3">
      <c r="A104" s="158" t="s">
        <v>313</v>
      </c>
      <c r="B104" s="159" t="s">
        <v>725</v>
      </c>
      <c r="C104" s="160" t="s">
        <v>1193</v>
      </c>
    </row>
    <row r="105" spans="1:3">
      <c r="A105" s="158" t="s">
        <v>315</v>
      </c>
      <c r="B105" s="159" t="s">
        <v>727</v>
      </c>
      <c r="C105" s="160" t="s">
        <v>1194</v>
      </c>
    </row>
    <row r="106" spans="1:3">
      <c r="A106" s="158" t="s">
        <v>316</v>
      </c>
      <c r="B106" s="159" t="s">
        <v>728</v>
      </c>
      <c r="C106" s="160" t="s">
        <v>1195</v>
      </c>
    </row>
    <row r="107" spans="1:3">
      <c r="A107" s="161" t="s">
        <v>314</v>
      </c>
      <c r="B107" s="74" t="s">
        <v>726</v>
      </c>
      <c r="C107" s="160" t="s">
        <v>1166</v>
      </c>
    </row>
    <row r="108" spans="1:3">
      <c r="A108" s="158" t="s">
        <v>317</v>
      </c>
      <c r="B108" s="159" t="s">
        <v>729</v>
      </c>
      <c r="C108" s="160" t="s">
        <v>1196</v>
      </c>
    </row>
    <row r="109" spans="1:3">
      <c r="A109" s="161" t="s">
        <v>318</v>
      </c>
      <c r="B109" s="74" t="s">
        <v>730</v>
      </c>
      <c r="C109" s="160" t="s">
        <v>1167</v>
      </c>
    </row>
    <row r="110" spans="1:3">
      <c r="A110" s="158" t="s">
        <v>319</v>
      </c>
      <c r="B110" s="159" t="s">
        <v>731</v>
      </c>
      <c r="C110" s="160" t="s">
        <v>1197</v>
      </c>
    </row>
    <row r="111" spans="1:3">
      <c r="A111" s="161" t="s">
        <v>320</v>
      </c>
      <c r="B111" s="74" t="s">
        <v>732</v>
      </c>
      <c r="C111" s="160" t="s">
        <v>1168</v>
      </c>
    </row>
    <row r="112" spans="1:3">
      <c r="A112" s="158" t="s">
        <v>321</v>
      </c>
      <c r="B112" s="159" t="s">
        <v>733</v>
      </c>
      <c r="C112" s="160" t="s">
        <v>1198</v>
      </c>
    </row>
    <row r="113" spans="1:3">
      <c r="A113" s="158" t="s">
        <v>322</v>
      </c>
      <c r="B113" s="159" t="s">
        <v>734</v>
      </c>
      <c r="C113" s="160" t="s">
        <v>1199</v>
      </c>
    </row>
    <row r="114" spans="1:3">
      <c r="A114" s="158" t="s">
        <v>323</v>
      </c>
      <c r="B114" s="159" t="s">
        <v>735</v>
      </c>
      <c r="C114" s="160" t="s">
        <v>1200</v>
      </c>
    </row>
    <row r="115" spans="1:3">
      <c r="A115" t="s">
        <v>1414</v>
      </c>
      <c r="B115" s="70" t="s">
        <v>1415</v>
      </c>
      <c r="C115" s="160" t="s">
        <v>1416</v>
      </c>
    </row>
    <row r="116" spans="1:3">
      <c r="A116" s="158" t="s">
        <v>324</v>
      </c>
      <c r="B116" s="159" t="s">
        <v>736</v>
      </c>
      <c r="C116" s="160" t="s">
        <v>1201</v>
      </c>
    </row>
    <row r="117" spans="1:3">
      <c r="A117" s="158" t="s">
        <v>327</v>
      </c>
      <c r="B117" s="159" t="s">
        <v>739</v>
      </c>
      <c r="C117" s="160" t="s">
        <v>1204</v>
      </c>
    </row>
    <row r="118" spans="1:3">
      <c r="A118" s="158" t="s">
        <v>328</v>
      </c>
      <c r="B118" s="159" t="s">
        <v>737</v>
      </c>
      <c r="C118" s="160" t="s">
        <v>1205</v>
      </c>
    </row>
    <row r="119" spans="1:3">
      <c r="A119" s="158" t="s">
        <v>325</v>
      </c>
      <c r="B119" s="159" t="s">
        <v>737</v>
      </c>
      <c r="C119" s="160" t="s">
        <v>1202</v>
      </c>
    </row>
    <row r="120" spans="1:3">
      <c r="A120" s="158" t="s">
        <v>329</v>
      </c>
      <c r="B120" s="159" t="s">
        <v>738</v>
      </c>
      <c r="C120" s="160" t="s">
        <v>1206</v>
      </c>
    </row>
    <row r="121" spans="1:3">
      <c r="A121" s="158" t="s">
        <v>326</v>
      </c>
      <c r="B121" s="159" t="s">
        <v>738</v>
      </c>
      <c r="C121" s="160" t="s">
        <v>1203</v>
      </c>
    </row>
    <row r="122" spans="1:3">
      <c r="A122" s="158" t="s">
        <v>331</v>
      </c>
      <c r="B122" s="159" t="s">
        <v>741</v>
      </c>
      <c r="C122" s="160" t="s">
        <v>1208</v>
      </c>
    </row>
    <row r="123" spans="1:3">
      <c r="A123" s="158" t="s">
        <v>330</v>
      </c>
      <c r="B123" s="159" t="s">
        <v>740</v>
      </c>
      <c r="C123" s="160" t="s">
        <v>1207</v>
      </c>
    </row>
    <row r="124" spans="1:3">
      <c r="A124" s="158" t="s">
        <v>339</v>
      </c>
      <c r="B124" s="159" t="s">
        <v>748</v>
      </c>
      <c r="C124" s="160" t="s">
        <v>1215</v>
      </c>
    </row>
    <row r="125" spans="1:3">
      <c r="A125" s="158" t="s">
        <v>1340</v>
      </c>
      <c r="B125" s="159" t="s">
        <v>1341</v>
      </c>
      <c r="C125" s="160" t="s">
        <v>1342</v>
      </c>
    </row>
    <row r="126" spans="1:3">
      <c r="A126" s="158" t="s">
        <v>340</v>
      </c>
      <c r="B126" s="159" t="s">
        <v>749</v>
      </c>
      <c r="C126" s="160" t="s">
        <v>1216</v>
      </c>
    </row>
    <row r="127" spans="1:3">
      <c r="A127" s="158" t="s">
        <v>341</v>
      </c>
      <c r="B127" s="159" t="s">
        <v>750</v>
      </c>
      <c r="C127" s="160" t="s">
        <v>1217</v>
      </c>
    </row>
    <row r="128" spans="1:3">
      <c r="A128" s="161" t="s">
        <v>347</v>
      </c>
      <c r="B128" s="74" t="s">
        <v>754</v>
      </c>
      <c r="C128" s="160" t="s">
        <v>1169</v>
      </c>
    </row>
    <row r="129" spans="1:3">
      <c r="A129" s="158" t="s">
        <v>344</v>
      </c>
      <c r="B129" s="159" t="s">
        <v>752</v>
      </c>
      <c r="C129" s="160" t="s">
        <v>1219</v>
      </c>
    </row>
    <row r="130" spans="1:3">
      <c r="A130" s="158" t="s">
        <v>345</v>
      </c>
      <c r="B130" s="159" t="s">
        <v>752</v>
      </c>
      <c r="C130" s="160" t="s">
        <v>1220</v>
      </c>
    </row>
    <row r="131" spans="1:3">
      <c r="A131" s="158" t="s">
        <v>346</v>
      </c>
      <c r="B131" s="159" t="s">
        <v>753</v>
      </c>
      <c r="C131" s="160" t="s">
        <v>1221</v>
      </c>
    </row>
    <row r="132" spans="1:3">
      <c r="A132" s="158" t="s">
        <v>348</v>
      </c>
      <c r="B132" s="159" t="s">
        <v>755</v>
      </c>
      <c r="C132" s="160" t="s">
        <v>1222</v>
      </c>
    </row>
    <row r="133" spans="1:3">
      <c r="A133" s="158" t="s">
        <v>349</v>
      </c>
      <c r="B133" s="159" t="s">
        <v>756</v>
      </c>
      <c r="C133" s="160" t="s">
        <v>1223</v>
      </c>
    </row>
    <row r="134" spans="1:3">
      <c r="A134" s="161" t="s">
        <v>1335</v>
      </c>
      <c r="B134" s="74" t="s">
        <v>1336</v>
      </c>
      <c r="C134" s="162" t="s">
        <v>1337</v>
      </c>
    </row>
    <row r="135" spans="1:3">
      <c r="A135" s="158" t="s">
        <v>350</v>
      </c>
      <c r="B135" s="159" t="s">
        <v>757</v>
      </c>
      <c r="C135" s="160" t="s">
        <v>1224</v>
      </c>
    </row>
    <row r="136" spans="1:3">
      <c r="A136" s="161" t="s">
        <v>352</v>
      </c>
      <c r="B136" s="74" t="s">
        <v>758</v>
      </c>
      <c r="C136" s="160" t="s">
        <v>1170</v>
      </c>
    </row>
    <row r="137" spans="1:3">
      <c r="A137" s="158" t="s">
        <v>353</v>
      </c>
      <c r="B137" s="159" t="s">
        <v>759</v>
      </c>
      <c r="C137" s="160" t="s">
        <v>1225</v>
      </c>
    </row>
    <row r="138" spans="1:3">
      <c r="A138" s="158" t="s">
        <v>354</v>
      </c>
      <c r="B138" s="159" t="s">
        <v>760</v>
      </c>
      <c r="C138" s="160" t="s">
        <v>1226</v>
      </c>
    </row>
    <row r="139" spans="1:3">
      <c r="A139" s="158" t="s">
        <v>355</v>
      </c>
      <c r="B139" s="159" t="s">
        <v>761</v>
      </c>
      <c r="C139" s="160" t="s">
        <v>1227</v>
      </c>
    </row>
    <row r="140" spans="1:3">
      <c r="A140" s="158" t="s">
        <v>356</v>
      </c>
      <c r="B140" s="159" t="s">
        <v>762</v>
      </c>
      <c r="C140" s="160" t="s">
        <v>1228</v>
      </c>
    </row>
    <row r="141" spans="1:3">
      <c r="A141" t="s">
        <v>1417</v>
      </c>
      <c r="B141" s="70" t="s">
        <v>1418</v>
      </c>
      <c r="C141" s="71" t="s">
        <v>1419</v>
      </c>
    </row>
    <row r="142" spans="1:3">
      <c r="A142" s="161" t="s">
        <v>358</v>
      </c>
      <c r="B142" s="74" t="s">
        <v>763</v>
      </c>
      <c r="C142" s="160" t="s">
        <v>1171</v>
      </c>
    </row>
    <row r="143" spans="1:3">
      <c r="A143" t="s">
        <v>1420</v>
      </c>
      <c r="B143" s="69" t="s">
        <v>763</v>
      </c>
      <c r="C143" s="160" t="s">
        <v>1421</v>
      </c>
    </row>
    <row r="144" spans="1:3">
      <c r="A144" t="s">
        <v>1422</v>
      </c>
      <c r="B144" s="69" t="s">
        <v>764</v>
      </c>
      <c r="C144" s="160" t="s">
        <v>1423</v>
      </c>
    </row>
    <row r="145" spans="1:3">
      <c r="A145" s="161" t="s">
        <v>359</v>
      </c>
      <c r="B145" s="74" t="s">
        <v>764</v>
      </c>
      <c r="C145" s="160" t="s">
        <v>1172</v>
      </c>
    </row>
    <row r="146" spans="1:3">
      <c r="A146" t="s">
        <v>1424</v>
      </c>
      <c r="B146" s="69" t="s">
        <v>1425</v>
      </c>
      <c r="C146" s="160" t="s">
        <v>1426</v>
      </c>
    </row>
    <row r="147" spans="1:3">
      <c r="A147" s="158" t="s">
        <v>360</v>
      </c>
      <c r="B147" s="159" t="s">
        <v>765</v>
      </c>
      <c r="C147" s="160" t="s">
        <v>1229</v>
      </c>
    </row>
    <row r="148" spans="1:3">
      <c r="A148" s="158" t="s">
        <v>361</v>
      </c>
      <c r="B148" s="159" t="s">
        <v>765</v>
      </c>
      <c r="C148" s="160" t="s">
        <v>1230</v>
      </c>
    </row>
    <row r="149" spans="1:3">
      <c r="A149" s="158" t="s">
        <v>472</v>
      </c>
      <c r="B149" s="159" t="s">
        <v>769</v>
      </c>
      <c r="C149" s="160" t="s">
        <v>1235</v>
      </c>
    </row>
    <row r="150" spans="1:3">
      <c r="A150" s="158" t="s">
        <v>363</v>
      </c>
      <c r="B150" s="159" t="s">
        <v>770</v>
      </c>
      <c r="C150" s="160" t="s">
        <v>1236</v>
      </c>
    </row>
    <row r="151" spans="1:3">
      <c r="A151" s="158" t="s">
        <v>366</v>
      </c>
      <c r="B151" s="159" t="s">
        <v>767</v>
      </c>
      <c r="C151" s="160" t="s">
        <v>1232</v>
      </c>
    </row>
    <row r="152" spans="1:3">
      <c r="A152" s="158" t="s">
        <v>362</v>
      </c>
      <c r="B152" s="159" t="s">
        <v>766</v>
      </c>
      <c r="C152" s="160" t="s">
        <v>1231</v>
      </c>
    </row>
    <row r="153" spans="1:3">
      <c r="A153" s="158" t="s">
        <v>228</v>
      </c>
      <c r="B153" s="159" t="s">
        <v>647</v>
      </c>
      <c r="C153" s="160" t="s">
        <v>1098</v>
      </c>
    </row>
    <row r="154" spans="1:3">
      <c r="A154" s="158" t="s">
        <v>229</v>
      </c>
      <c r="B154" s="159" t="s">
        <v>648</v>
      </c>
      <c r="C154" s="160" t="s">
        <v>1099</v>
      </c>
    </row>
    <row r="155" spans="1:3">
      <c r="A155" s="158" t="s">
        <v>230</v>
      </c>
      <c r="B155" s="159" t="s">
        <v>649</v>
      </c>
      <c r="C155" s="160" t="s">
        <v>1100</v>
      </c>
    </row>
    <row r="156" spans="1:3">
      <c r="A156" s="158" t="s">
        <v>70</v>
      </c>
      <c r="B156" s="159" t="s">
        <v>528</v>
      </c>
      <c r="C156" s="160" t="s">
        <v>973</v>
      </c>
    </row>
    <row r="157" spans="1:3">
      <c r="A157" s="158" t="s">
        <v>71</v>
      </c>
      <c r="B157" s="159" t="s">
        <v>528</v>
      </c>
      <c r="C157" s="160" t="s">
        <v>974</v>
      </c>
    </row>
    <row r="158" spans="1:3">
      <c r="A158" s="158" t="s">
        <v>445</v>
      </c>
      <c r="B158" s="159" t="s">
        <v>842</v>
      </c>
      <c r="C158" s="160" t="s">
        <v>1306</v>
      </c>
    </row>
    <row r="159" spans="1:3">
      <c r="A159" s="158" t="s">
        <v>446</v>
      </c>
      <c r="B159" s="159" t="s">
        <v>843</v>
      </c>
      <c r="C159" s="160" t="s">
        <v>1307</v>
      </c>
    </row>
    <row r="160" spans="1:3">
      <c r="A160" s="158" t="s">
        <v>57</v>
      </c>
      <c r="B160" s="159" t="s">
        <v>517</v>
      </c>
      <c r="C160" s="160" t="s">
        <v>961</v>
      </c>
    </row>
    <row r="161" spans="1:3">
      <c r="A161" s="158" t="s">
        <v>58</v>
      </c>
      <c r="B161" s="159" t="s">
        <v>517</v>
      </c>
      <c r="C161" s="160" t="s">
        <v>962</v>
      </c>
    </row>
    <row r="162" spans="1:3">
      <c r="A162" s="158" t="s">
        <v>59</v>
      </c>
      <c r="B162" s="159" t="s">
        <v>518</v>
      </c>
      <c r="C162" s="160" t="s">
        <v>963</v>
      </c>
    </row>
    <row r="163" spans="1:3">
      <c r="A163" s="158" t="s">
        <v>60</v>
      </c>
      <c r="B163" s="159" t="s">
        <v>519</v>
      </c>
      <c r="C163" s="160" t="s">
        <v>964</v>
      </c>
    </row>
    <row r="164" spans="1:3">
      <c r="A164" s="158" t="s">
        <v>61</v>
      </c>
      <c r="B164" s="159" t="s">
        <v>520</v>
      </c>
      <c r="C164" s="160" t="s">
        <v>965</v>
      </c>
    </row>
    <row r="165" spans="1:3">
      <c r="A165" s="158" t="s">
        <v>62</v>
      </c>
      <c r="B165" s="159" t="s">
        <v>521</v>
      </c>
      <c r="C165" s="160" t="s">
        <v>966</v>
      </c>
    </row>
    <row r="166" spans="1:3">
      <c r="A166" s="161" t="s">
        <v>63</v>
      </c>
      <c r="B166" s="74" t="s">
        <v>874</v>
      </c>
      <c r="C166" s="160" t="s">
        <v>875</v>
      </c>
    </row>
    <row r="167" spans="1:3">
      <c r="A167" s="158" t="s">
        <v>1375</v>
      </c>
      <c r="B167" s="159" t="s">
        <v>1377</v>
      </c>
      <c r="C167" s="160" t="s">
        <v>1376</v>
      </c>
    </row>
    <row r="168" spans="1:3">
      <c r="A168" s="158" t="s">
        <v>64</v>
      </c>
      <c r="B168" s="159" t="s">
        <v>522</v>
      </c>
      <c r="C168" s="160" t="s">
        <v>967</v>
      </c>
    </row>
    <row r="169" spans="1:3">
      <c r="A169" s="158" t="s">
        <v>65</v>
      </c>
      <c r="B169" s="159" t="s">
        <v>523</v>
      </c>
      <c r="C169" s="160" t="s">
        <v>968</v>
      </c>
    </row>
    <row r="170" spans="1:3">
      <c r="A170" t="s">
        <v>1427</v>
      </c>
      <c r="B170" s="70" t="s">
        <v>1428</v>
      </c>
      <c r="C170" s="160" t="s">
        <v>1429</v>
      </c>
    </row>
    <row r="171" spans="1:3">
      <c r="A171" s="158" t="s">
        <v>171</v>
      </c>
      <c r="B171" s="159" t="s">
        <v>603</v>
      </c>
      <c r="C171" s="160" t="s">
        <v>1054</v>
      </c>
    </row>
    <row r="172" spans="1:3">
      <c r="A172" s="158" t="s">
        <v>172</v>
      </c>
      <c r="B172" s="159" t="s">
        <v>604</v>
      </c>
      <c r="C172" s="160" t="s">
        <v>1055</v>
      </c>
    </row>
    <row r="173" spans="1:3">
      <c r="A173" s="161" t="s">
        <v>173</v>
      </c>
      <c r="B173" s="74" t="s">
        <v>605</v>
      </c>
      <c r="C173" s="160" t="s">
        <v>1029</v>
      </c>
    </row>
    <row r="174" spans="1:3">
      <c r="A174" s="68" t="s">
        <v>1387</v>
      </c>
      <c r="B174" s="74" t="s">
        <v>603</v>
      </c>
      <c r="C174" s="67" t="s">
        <v>1394</v>
      </c>
    </row>
    <row r="175" spans="1:3">
      <c r="A175" t="s">
        <v>1430</v>
      </c>
      <c r="B175" s="69" t="s">
        <v>605</v>
      </c>
      <c r="C175" s="160" t="s">
        <v>1431</v>
      </c>
    </row>
    <row r="176" spans="1:3">
      <c r="A176" s="158" t="s">
        <v>174</v>
      </c>
      <c r="B176" s="159" t="s">
        <v>606</v>
      </c>
      <c r="C176" s="160" t="s">
        <v>1056</v>
      </c>
    </row>
    <row r="177" spans="1:3">
      <c r="A177" s="158" t="s">
        <v>175</v>
      </c>
      <c r="B177" s="159" t="s">
        <v>606</v>
      </c>
      <c r="C177" s="160" t="s">
        <v>1057</v>
      </c>
    </row>
    <row r="178" spans="1:3">
      <c r="A178" t="s">
        <v>1388</v>
      </c>
      <c r="B178" s="70" t="s">
        <v>606</v>
      </c>
      <c r="C178" s="160" t="s">
        <v>1393</v>
      </c>
    </row>
    <row r="179" spans="1:3">
      <c r="A179" s="158" t="s">
        <v>176</v>
      </c>
      <c r="B179" s="159" t="s">
        <v>607</v>
      </c>
      <c r="C179" s="160" t="s">
        <v>1058</v>
      </c>
    </row>
    <row r="180" spans="1:3">
      <c r="A180" s="161" t="s">
        <v>1339</v>
      </c>
      <c r="B180" s="74" t="s">
        <v>1346</v>
      </c>
      <c r="C180" s="160" t="s">
        <v>1345</v>
      </c>
    </row>
    <row r="181" spans="1:3">
      <c r="A181" s="158" t="s">
        <v>177</v>
      </c>
      <c r="B181" s="159" t="s">
        <v>601</v>
      </c>
      <c r="C181" s="160" t="s">
        <v>1059</v>
      </c>
    </row>
    <row r="182" spans="1:3">
      <c r="A182" s="158" t="s">
        <v>178</v>
      </c>
      <c r="B182" s="159" t="s">
        <v>608</v>
      </c>
      <c r="C182" s="160" t="s">
        <v>1060</v>
      </c>
    </row>
    <row r="183" spans="1:3">
      <c r="A183" s="158" t="s">
        <v>179</v>
      </c>
      <c r="B183" s="159" t="s">
        <v>609</v>
      </c>
      <c r="C183" s="160" t="s">
        <v>1061</v>
      </c>
    </row>
    <row r="184" spans="1:3">
      <c r="A184" s="161" t="s">
        <v>1030</v>
      </c>
      <c r="B184" s="74" t="s">
        <v>1031</v>
      </c>
      <c r="C184" s="160" t="s">
        <v>1032</v>
      </c>
    </row>
    <row r="185" spans="1:3">
      <c r="A185" t="s">
        <v>1432</v>
      </c>
      <c r="B185" s="70" t="s">
        <v>611</v>
      </c>
      <c r="C185" s="160" t="s">
        <v>1433</v>
      </c>
    </row>
    <row r="186" spans="1:3">
      <c r="A186" s="158" t="s">
        <v>181</v>
      </c>
      <c r="B186" s="159" t="s">
        <v>611</v>
      </c>
      <c r="C186" s="160" t="s">
        <v>1063</v>
      </c>
    </row>
    <row r="187" spans="1:3">
      <c r="A187" s="158" t="s">
        <v>180</v>
      </c>
      <c r="B187" s="159" t="s">
        <v>610</v>
      </c>
      <c r="C187" s="160" t="s">
        <v>1062</v>
      </c>
    </row>
    <row r="188" spans="1:3">
      <c r="A188" s="161" t="s">
        <v>1033</v>
      </c>
      <c r="B188" s="74" t="s">
        <v>1034</v>
      </c>
      <c r="C188" s="160" t="s">
        <v>1035</v>
      </c>
    </row>
    <row r="189" spans="1:3">
      <c r="A189" t="s">
        <v>1434</v>
      </c>
      <c r="B189" s="69" t="s">
        <v>1034</v>
      </c>
      <c r="C189" s="160" t="s">
        <v>1435</v>
      </c>
    </row>
    <row r="190" spans="1:3">
      <c r="A190" s="158" t="s">
        <v>182</v>
      </c>
      <c r="B190" s="159" t="s">
        <v>606</v>
      </c>
      <c r="C190" s="160" t="s">
        <v>1064</v>
      </c>
    </row>
    <row r="191" spans="1:3">
      <c r="A191" s="158" t="s">
        <v>183</v>
      </c>
      <c r="B191" s="159" t="s">
        <v>612</v>
      </c>
      <c r="C191" s="160" t="s">
        <v>1065</v>
      </c>
    </row>
    <row r="192" spans="1:3">
      <c r="A192" s="161" t="s">
        <v>1036</v>
      </c>
      <c r="B192" s="74" t="s">
        <v>612</v>
      </c>
      <c r="C192" s="160" t="s">
        <v>1037</v>
      </c>
    </row>
    <row r="193" spans="1:3">
      <c r="A193" s="158" t="s">
        <v>184</v>
      </c>
      <c r="B193" s="159" t="s">
        <v>613</v>
      </c>
      <c r="C193" s="160" t="s">
        <v>1066</v>
      </c>
    </row>
    <row r="194" spans="1:3">
      <c r="A194" s="158" t="s">
        <v>185</v>
      </c>
      <c r="B194" s="159" t="s">
        <v>614</v>
      </c>
      <c r="C194" s="160" t="s">
        <v>1067</v>
      </c>
    </row>
    <row r="195" spans="1:3">
      <c r="A195" t="s">
        <v>1436</v>
      </c>
      <c r="B195" s="70" t="s">
        <v>614</v>
      </c>
      <c r="C195" s="160" t="s">
        <v>1437</v>
      </c>
    </row>
    <row r="196" spans="1:3">
      <c r="A196" s="158" t="s">
        <v>186</v>
      </c>
      <c r="B196" s="159" t="s">
        <v>593</v>
      </c>
      <c r="C196" s="160" t="s">
        <v>1068</v>
      </c>
    </row>
    <row r="197" spans="1:3">
      <c r="A197" s="161" t="s">
        <v>187</v>
      </c>
      <c r="B197" s="74" t="s">
        <v>1381</v>
      </c>
      <c r="C197" s="160" t="s">
        <v>1038</v>
      </c>
    </row>
    <row r="198" spans="1:3">
      <c r="A198" s="158" t="s">
        <v>188</v>
      </c>
      <c r="B198" s="159" t="s">
        <v>594</v>
      </c>
      <c r="C198" s="160" t="s">
        <v>1069</v>
      </c>
    </row>
    <row r="199" spans="1:3">
      <c r="A199" s="68" t="s">
        <v>1389</v>
      </c>
      <c r="B199" s="74" t="s">
        <v>619</v>
      </c>
      <c r="C199" s="162" t="s">
        <v>1391</v>
      </c>
    </row>
    <row r="200" spans="1:3">
      <c r="A200" s="158" t="s">
        <v>189</v>
      </c>
      <c r="B200" s="159" t="s">
        <v>615</v>
      </c>
      <c r="C200" s="160" t="s">
        <v>1070</v>
      </c>
    </row>
    <row r="201" spans="1:3">
      <c r="A201" t="s">
        <v>1390</v>
      </c>
      <c r="B201" s="70" t="s">
        <v>615</v>
      </c>
      <c r="C201" s="160" t="s">
        <v>1392</v>
      </c>
    </row>
    <row r="202" spans="1:3">
      <c r="A202" s="158" t="s">
        <v>190</v>
      </c>
      <c r="B202" s="159" t="s">
        <v>616</v>
      </c>
      <c r="C202" s="160" t="s">
        <v>1071</v>
      </c>
    </row>
    <row r="203" spans="1:3">
      <c r="A203" s="158" t="s">
        <v>191</v>
      </c>
      <c r="B203" s="159" t="s">
        <v>617</v>
      </c>
      <c r="C203" s="160" t="s">
        <v>1072</v>
      </c>
    </row>
    <row r="204" spans="1:3">
      <c r="A204" s="158" t="s">
        <v>192</v>
      </c>
      <c r="B204" s="159" t="s">
        <v>618</v>
      </c>
      <c r="C204" s="160" t="s">
        <v>1073</v>
      </c>
    </row>
    <row r="205" spans="1:3">
      <c r="A205" s="161" t="s">
        <v>193</v>
      </c>
      <c r="B205" s="74" t="s">
        <v>619</v>
      </c>
      <c r="C205" s="160" t="s">
        <v>1039</v>
      </c>
    </row>
    <row r="206" spans="1:3">
      <c r="A206" s="158" t="s">
        <v>194</v>
      </c>
      <c r="B206" s="159" t="s">
        <v>620</v>
      </c>
      <c r="C206" s="160" t="s">
        <v>1074</v>
      </c>
    </row>
    <row r="207" spans="1:3">
      <c r="A207" s="158" t="s">
        <v>195</v>
      </c>
      <c r="B207" s="159" t="s">
        <v>621</v>
      </c>
      <c r="C207" s="160" t="s">
        <v>1075</v>
      </c>
    </row>
    <row r="208" spans="1:3">
      <c r="A208" s="158" t="s">
        <v>202</v>
      </c>
      <c r="B208" s="159" t="s">
        <v>627</v>
      </c>
      <c r="C208" s="160" t="s">
        <v>1080</v>
      </c>
    </row>
    <row r="209" spans="1:3">
      <c r="A209" s="158" t="s">
        <v>196</v>
      </c>
      <c r="B209" s="159" t="s">
        <v>622</v>
      </c>
      <c r="C209" s="160" t="s">
        <v>1076</v>
      </c>
    </row>
    <row r="210" spans="1:3">
      <c r="A210" s="158" t="s">
        <v>1328</v>
      </c>
      <c r="B210" s="159" t="s">
        <v>1333</v>
      </c>
      <c r="C210" s="162" t="s">
        <v>1334</v>
      </c>
    </row>
    <row r="211" spans="1:3">
      <c r="A211" t="s">
        <v>1438</v>
      </c>
      <c r="B211" s="70" t="s">
        <v>1333</v>
      </c>
      <c r="C211" s="160" t="s">
        <v>1439</v>
      </c>
    </row>
    <row r="212" spans="1:3">
      <c r="A212" s="161" t="s">
        <v>161</v>
      </c>
      <c r="B212" s="74" t="s">
        <v>593</v>
      </c>
      <c r="C212" s="160" t="s">
        <v>1040</v>
      </c>
    </row>
    <row r="213" spans="1:3">
      <c r="A213" s="161" t="s">
        <v>163</v>
      </c>
      <c r="B213" s="74" t="s">
        <v>595</v>
      </c>
      <c r="C213" s="160" t="s">
        <v>1041</v>
      </c>
    </row>
    <row r="214" spans="1:3">
      <c r="A214" s="161" t="s">
        <v>162</v>
      </c>
      <c r="B214" s="74" t="s">
        <v>594</v>
      </c>
      <c r="C214" s="160" t="s">
        <v>1042</v>
      </c>
    </row>
    <row r="215" spans="1:3">
      <c r="A215" s="158" t="s">
        <v>197</v>
      </c>
      <c r="B215" s="159" t="s">
        <v>623</v>
      </c>
      <c r="C215" s="160" t="s">
        <v>1077</v>
      </c>
    </row>
    <row r="216" spans="1:3">
      <c r="A216" s="158" t="s">
        <v>203</v>
      </c>
      <c r="B216" s="159" t="s">
        <v>628</v>
      </c>
      <c r="C216" s="160" t="s">
        <v>1081</v>
      </c>
    </row>
    <row r="217" spans="1:3">
      <c r="A217" s="158" t="s">
        <v>160</v>
      </c>
      <c r="B217" s="159" t="s">
        <v>592</v>
      </c>
      <c r="C217" s="160" t="s">
        <v>1050</v>
      </c>
    </row>
    <row r="218" spans="1:3">
      <c r="A218" s="161" t="s">
        <v>198</v>
      </c>
      <c r="B218" s="74" t="s">
        <v>624</v>
      </c>
      <c r="C218" s="160" t="s">
        <v>1043</v>
      </c>
    </row>
    <row r="219" spans="1:3">
      <c r="A219" s="161" t="s">
        <v>199</v>
      </c>
      <c r="B219" s="74" t="s">
        <v>619</v>
      </c>
      <c r="C219" s="160" t="s">
        <v>1044</v>
      </c>
    </row>
    <row r="220" spans="1:3">
      <c r="A220" s="158" t="s">
        <v>200</v>
      </c>
      <c r="B220" s="159" t="s">
        <v>625</v>
      </c>
      <c r="C220" s="160" t="s">
        <v>1078</v>
      </c>
    </row>
    <row r="221" spans="1:3">
      <c r="A221" s="158" t="s">
        <v>201</v>
      </c>
      <c r="B221" s="159" t="s">
        <v>626</v>
      </c>
      <c r="C221" s="160" t="s">
        <v>1079</v>
      </c>
    </row>
    <row r="222" spans="1:3">
      <c r="A222" s="161" t="s">
        <v>165</v>
      </c>
      <c r="B222" s="74" t="s">
        <v>597</v>
      </c>
      <c r="C222" s="160" t="s">
        <v>1045</v>
      </c>
    </row>
    <row r="223" spans="1:3">
      <c r="A223" s="158" t="s">
        <v>166</v>
      </c>
      <c r="B223" s="159" t="s">
        <v>598</v>
      </c>
      <c r="C223" s="160" t="s">
        <v>1051</v>
      </c>
    </row>
    <row r="224" spans="1:3">
      <c r="A224" s="161" t="s">
        <v>164</v>
      </c>
      <c r="B224" s="74" t="s">
        <v>596</v>
      </c>
      <c r="C224" s="160" t="s">
        <v>1046</v>
      </c>
    </row>
    <row r="225" spans="1:3">
      <c r="A225" s="161" t="s">
        <v>167</v>
      </c>
      <c r="B225" s="74" t="s">
        <v>599</v>
      </c>
      <c r="C225" s="160" t="s">
        <v>1047</v>
      </c>
    </row>
    <row r="226" spans="1:3">
      <c r="A226" s="158" t="s">
        <v>168</v>
      </c>
      <c r="B226" s="159" t="s">
        <v>600</v>
      </c>
      <c r="C226" s="160" t="s">
        <v>1052</v>
      </c>
    </row>
    <row r="227" spans="1:3">
      <c r="A227" s="161" t="s">
        <v>169</v>
      </c>
      <c r="B227" s="74" t="s">
        <v>601</v>
      </c>
      <c r="C227" s="160" t="s">
        <v>1048</v>
      </c>
    </row>
    <row r="228" spans="1:3">
      <c r="A228" s="158" t="s">
        <v>170</v>
      </c>
      <c r="B228" s="159" t="s">
        <v>602</v>
      </c>
      <c r="C228" s="160" t="s">
        <v>1053</v>
      </c>
    </row>
    <row r="229" spans="1:3">
      <c r="A229" s="161" t="s">
        <v>208</v>
      </c>
      <c r="B229" s="74" t="s">
        <v>817</v>
      </c>
      <c r="C229" s="160" t="s">
        <v>1049</v>
      </c>
    </row>
    <row r="230" spans="1:3">
      <c r="A230" s="158" t="s">
        <v>209</v>
      </c>
      <c r="B230" s="74" t="s">
        <v>818</v>
      </c>
      <c r="C230" s="160" t="s">
        <v>1287</v>
      </c>
    </row>
    <row r="231" spans="1:3">
      <c r="A231" s="158" t="s">
        <v>12</v>
      </c>
      <c r="B231" s="74" t="s">
        <v>488</v>
      </c>
      <c r="C231" s="160" t="s">
        <v>937</v>
      </c>
    </row>
    <row r="232" spans="1:3">
      <c r="A232" s="158" t="s">
        <v>77</v>
      </c>
      <c r="B232" s="159" t="s">
        <v>534</v>
      </c>
      <c r="C232" s="160" t="s">
        <v>980</v>
      </c>
    </row>
    <row r="233" spans="1:3">
      <c r="A233" s="158" t="s">
        <v>16</v>
      </c>
      <c r="B233" s="159" t="s">
        <v>492</v>
      </c>
      <c r="C233" s="160" t="s">
        <v>939</v>
      </c>
    </row>
    <row r="234" spans="1:3">
      <c r="A234" s="158" t="s">
        <v>1374</v>
      </c>
      <c r="B234" s="159" t="s">
        <v>1378</v>
      </c>
      <c r="C234" s="160" t="s">
        <v>1379</v>
      </c>
    </row>
    <row r="235" spans="1:3">
      <c r="A235" s="158" t="s">
        <v>18</v>
      </c>
      <c r="B235" s="159" t="s">
        <v>493</v>
      </c>
      <c r="C235" s="160" t="s">
        <v>940</v>
      </c>
    </row>
    <row r="236" spans="1:3">
      <c r="A236" s="158" t="s">
        <v>19</v>
      </c>
      <c r="B236" s="159" t="s">
        <v>493</v>
      </c>
      <c r="C236" s="160" t="s">
        <v>941</v>
      </c>
    </row>
    <row r="237" spans="1:3">
      <c r="A237" s="158" t="s">
        <v>20</v>
      </c>
      <c r="B237" s="159" t="s">
        <v>494</v>
      </c>
      <c r="C237" s="160" t="s">
        <v>942</v>
      </c>
    </row>
    <row r="238" spans="1:3">
      <c r="A238" s="158" t="s">
        <v>21</v>
      </c>
      <c r="B238" s="159" t="s">
        <v>494</v>
      </c>
      <c r="C238" s="160" t="s">
        <v>943</v>
      </c>
    </row>
    <row r="239" spans="1:3">
      <c r="A239" t="s">
        <v>1440</v>
      </c>
      <c r="B239" s="70" t="s">
        <v>1441</v>
      </c>
      <c r="C239" s="160" t="s">
        <v>1442</v>
      </c>
    </row>
    <row r="240" spans="1:3">
      <c r="A240" s="158" t="s">
        <v>22</v>
      </c>
      <c r="B240" s="159" t="s">
        <v>494</v>
      </c>
      <c r="C240" s="160" t="s">
        <v>944</v>
      </c>
    </row>
    <row r="241" spans="1:3">
      <c r="A241" s="158" t="s">
        <v>23</v>
      </c>
      <c r="B241" s="159" t="s">
        <v>495</v>
      </c>
      <c r="C241" s="160" t="s">
        <v>945</v>
      </c>
    </row>
    <row r="242" spans="1:3">
      <c r="A242" s="158" t="s">
        <v>1338</v>
      </c>
      <c r="B242" s="159" t="s">
        <v>1343</v>
      </c>
      <c r="C242" s="160" t="s">
        <v>1344</v>
      </c>
    </row>
    <row r="243" spans="1:3">
      <c r="A243" s="161" t="s">
        <v>24</v>
      </c>
      <c r="B243" s="74" t="s">
        <v>496</v>
      </c>
      <c r="C243" s="160" t="s">
        <v>876</v>
      </c>
    </row>
    <row r="244" spans="1:3">
      <c r="A244" s="158" t="s">
        <v>25</v>
      </c>
      <c r="B244" s="159" t="s">
        <v>497</v>
      </c>
      <c r="C244" s="160" t="s">
        <v>946</v>
      </c>
    </row>
    <row r="245" spans="1:3">
      <c r="A245" s="158" t="s">
        <v>26</v>
      </c>
      <c r="B245" s="159" t="s">
        <v>497</v>
      </c>
      <c r="C245" s="160" t="s">
        <v>947</v>
      </c>
    </row>
    <row r="246" spans="1:3">
      <c r="A246" s="158" t="s">
        <v>27</v>
      </c>
      <c r="B246" s="159" t="s">
        <v>498</v>
      </c>
      <c r="C246" s="160" t="s">
        <v>948</v>
      </c>
    </row>
    <row r="247" spans="1:3">
      <c r="A247" s="158" t="s">
        <v>28</v>
      </c>
      <c r="B247" s="159" t="s">
        <v>498</v>
      </c>
      <c r="C247" s="160" t="s">
        <v>949</v>
      </c>
    </row>
    <row r="248" spans="1:3">
      <c r="A248" s="158" t="s">
        <v>29</v>
      </c>
      <c r="B248" s="159" t="s">
        <v>497</v>
      </c>
      <c r="C248" s="160" t="s">
        <v>950</v>
      </c>
    </row>
    <row r="249" spans="1:3">
      <c r="A249" s="161" t="s">
        <v>14</v>
      </c>
      <c r="B249" s="74" t="s">
        <v>490</v>
      </c>
      <c r="C249" s="160" t="s">
        <v>877</v>
      </c>
    </row>
    <row r="250" spans="1:3">
      <c r="A250" s="161" t="s">
        <v>15</v>
      </c>
      <c r="B250" s="74" t="s">
        <v>491</v>
      </c>
      <c r="C250" s="160" t="s">
        <v>878</v>
      </c>
    </row>
    <row r="251" spans="1:3">
      <c r="A251" s="158" t="s">
        <v>13</v>
      </c>
      <c r="B251" s="74" t="s">
        <v>489</v>
      </c>
      <c r="C251" s="160" t="s">
        <v>938</v>
      </c>
    </row>
    <row r="252" spans="1:3">
      <c r="A252" s="161" t="s">
        <v>30</v>
      </c>
      <c r="B252" s="74" t="s">
        <v>499</v>
      </c>
      <c r="C252" s="160" t="s">
        <v>879</v>
      </c>
    </row>
    <row r="253" spans="1:3">
      <c r="A253" s="161" t="s">
        <v>31</v>
      </c>
      <c r="B253" s="74" t="s">
        <v>500</v>
      </c>
      <c r="C253" s="160" t="s">
        <v>880</v>
      </c>
    </row>
    <row r="254" spans="1:3">
      <c r="A254" s="161" t="s">
        <v>32</v>
      </c>
      <c r="B254" s="74" t="s">
        <v>501</v>
      </c>
      <c r="C254" s="160" t="s">
        <v>881</v>
      </c>
    </row>
    <row r="255" spans="1:3">
      <c r="A255" s="161" t="s">
        <v>33</v>
      </c>
      <c r="B255" s="74" t="s">
        <v>500</v>
      </c>
      <c r="C255" s="160" t="s">
        <v>882</v>
      </c>
    </row>
    <row r="256" spans="1:3">
      <c r="A256" s="161" t="s">
        <v>34</v>
      </c>
      <c r="B256" s="74" t="s">
        <v>501</v>
      </c>
      <c r="C256" s="160" t="s">
        <v>883</v>
      </c>
    </row>
    <row r="257" spans="1:3">
      <c r="A257" s="158" t="s">
        <v>35</v>
      </c>
      <c r="B257" s="159" t="s">
        <v>502</v>
      </c>
      <c r="C257" s="160" t="s">
        <v>951</v>
      </c>
    </row>
    <row r="258" spans="1:3">
      <c r="A258" s="158" t="s">
        <v>36</v>
      </c>
      <c r="B258" s="159" t="s">
        <v>503</v>
      </c>
      <c r="C258" s="160" t="s">
        <v>952</v>
      </c>
    </row>
    <row r="259" spans="1:3">
      <c r="A259" s="158" t="s">
        <v>37</v>
      </c>
      <c r="B259" s="159" t="s">
        <v>504</v>
      </c>
      <c r="C259" s="160" t="s">
        <v>953</v>
      </c>
    </row>
    <row r="260" spans="1:3">
      <c r="A260" s="158" t="s">
        <v>38</v>
      </c>
      <c r="B260" s="159" t="s">
        <v>503</v>
      </c>
      <c r="C260" s="160" t="s">
        <v>954</v>
      </c>
    </row>
    <row r="261" spans="1:3">
      <c r="A261" s="158" t="s">
        <v>39</v>
      </c>
      <c r="B261" s="159" t="s">
        <v>501</v>
      </c>
      <c r="C261" s="160" t="s">
        <v>955</v>
      </c>
    </row>
    <row r="262" spans="1:3">
      <c r="A262" s="158" t="s">
        <v>40</v>
      </c>
      <c r="B262" s="159" t="s">
        <v>505</v>
      </c>
      <c r="C262" s="160" t="s">
        <v>956</v>
      </c>
    </row>
    <row r="263" spans="1:3">
      <c r="A263" s="161" t="s">
        <v>41</v>
      </c>
      <c r="B263" s="74" t="s">
        <v>506</v>
      </c>
      <c r="C263" s="160" t="s">
        <v>884</v>
      </c>
    </row>
    <row r="264" spans="1:3">
      <c r="A264" s="161" t="s">
        <v>42</v>
      </c>
      <c r="B264" s="74" t="s">
        <v>507</v>
      </c>
      <c r="C264" s="160" t="s">
        <v>885</v>
      </c>
    </row>
    <row r="265" spans="1:3">
      <c r="A265" s="161" t="s">
        <v>43</v>
      </c>
      <c r="B265" s="74" t="s">
        <v>508</v>
      </c>
      <c r="C265" s="160" t="s">
        <v>886</v>
      </c>
    </row>
    <row r="266" spans="1:3">
      <c r="A266" s="161" t="s">
        <v>44</v>
      </c>
      <c r="B266" s="74" t="s">
        <v>509</v>
      </c>
      <c r="C266" s="160" t="s">
        <v>887</v>
      </c>
    </row>
    <row r="267" spans="1:3">
      <c r="A267" s="158" t="s">
        <v>45</v>
      </c>
      <c r="B267" s="159" t="s">
        <v>510</v>
      </c>
      <c r="C267" s="160" t="s">
        <v>957</v>
      </c>
    </row>
    <row r="268" spans="1:3">
      <c r="A268" s="161" t="s">
        <v>46</v>
      </c>
      <c r="B268" s="74" t="s">
        <v>505</v>
      </c>
      <c r="C268" s="160" t="s">
        <v>888</v>
      </c>
    </row>
    <row r="269" spans="1:3">
      <c r="A269" s="161" t="s">
        <v>47</v>
      </c>
      <c r="B269" s="74" t="s">
        <v>511</v>
      </c>
      <c r="C269" s="160" t="s">
        <v>889</v>
      </c>
    </row>
    <row r="270" spans="1:3">
      <c r="A270" s="161" t="s">
        <v>48</v>
      </c>
      <c r="B270" s="74" t="s">
        <v>512</v>
      </c>
      <c r="C270" s="160" t="s">
        <v>890</v>
      </c>
    </row>
    <row r="271" spans="1:3">
      <c r="A271" s="158" t="s">
        <v>49</v>
      </c>
      <c r="B271" s="159" t="s">
        <v>513</v>
      </c>
      <c r="C271" s="160" t="s">
        <v>958</v>
      </c>
    </row>
    <row r="272" spans="1:3">
      <c r="A272" s="158" t="s">
        <v>50</v>
      </c>
      <c r="B272" s="159" t="s">
        <v>514</v>
      </c>
      <c r="C272" s="160" t="s">
        <v>959</v>
      </c>
    </row>
    <row r="273" spans="1:3">
      <c r="A273" s="158" t="s">
        <v>52</v>
      </c>
      <c r="B273" s="159" t="s">
        <v>516</v>
      </c>
      <c r="C273" s="160" t="s">
        <v>960</v>
      </c>
    </row>
    <row r="274" spans="1:3">
      <c r="A274" t="s">
        <v>1443</v>
      </c>
      <c r="B274" s="70" t="s">
        <v>893</v>
      </c>
      <c r="C274" s="160" t="s">
        <v>1444</v>
      </c>
    </row>
    <row r="275" spans="1:3">
      <c r="A275" s="161" t="s">
        <v>51</v>
      </c>
      <c r="B275" s="74" t="s">
        <v>515</v>
      </c>
      <c r="C275" s="160" t="s">
        <v>891</v>
      </c>
    </row>
    <row r="276" spans="1:3">
      <c r="A276" s="161" t="s">
        <v>53</v>
      </c>
      <c r="B276" s="74" t="s">
        <v>516</v>
      </c>
      <c r="C276" s="160" t="s">
        <v>892</v>
      </c>
    </row>
    <row r="277" spans="1:3">
      <c r="A277" s="161" t="s">
        <v>54</v>
      </c>
      <c r="B277" s="74" t="s">
        <v>893</v>
      </c>
      <c r="C277" s="160" t="s">
        <v>894</v>
      </c>
    </row>
    <row r="278" spans="1:3">
      <c r="A278" s="158" t="s">
        <v>74</v>
      </c>
      <c r="B278" s="159" t="s">
        <v>531</v>
      </c>
      <c r="C278" s="160" t="s">
        <v>977</v>
      </c>
    </row>
    <row r="279" spans="1:3">
      <c r="A279" s="158" t="s">
        <v>75</v>
      </c>
      <c r="B279" s="159" t="s">
        <v>532</v>
      </c>
      <c r="C279" s="160" t="s">
        <v>978</v>
      </c>
    </row>
    <row r="280" spans="1:3">
      <c r="A280" s="158" t="s">
        <v>76</v>
      </c>
      <c r="B280" s="159" t="s">
        <v>533</v>
      </c>
      <c r="C280" s="160" t="s">
        <v>979</v>
      </c>
    </row>
    <row r="281" spans="1:3">
      <c r="A281" s="158" t="s">
        <v>72</v>
      </c>
      <c r="B281" s="159" t="s">
        <v>529</v>
      </c>
      <c r="C281" s="160" t="s">
        <v>975</v>
      </c>
    </row>
    <row r="282" spans="1:3">
      <c r="A282" s="158" t="s">
        <v>73</v>
      </c>
      <c r="B282" s="159" t="s">
        <v>530</v>
      </c>
      <c r="C282" s="160" t="s">
        <v>976</v>
      </c>
    </row>
    <row r="283" spans="1:3">
      <c r="A283" s="158" t="s">
        <v>286</v>
      </c>
      <c r="B283" s="159" t="s">
        <v>701</v>
      </c>
      <c r="C283" s="160" t="s">
        <v>1154</v>
      </c>
    </row>
    <row r="284" spans="1:3">
      <c r="A284" s="158" t="s">
        <v>285</v>
      </c>
      <c r="B284" s="159" t="s">
        <v>700</v>
      </c>
      <c r="C284" s="160" t="s">
        <v>1153</v>
      </c>
    </row>
    <row r="285" spans="1:3">
      <c r="A285" s="158" t="s">
        <v>288</v>
      </c>
      <c r="B285" s="159" t="s">
        <v>703</v>
      </c>
      <c r="C285" s="160" t="s">
        <v>1156</v>
      </c>
    </row>
    <row r="286" spans="1:3">
      <c r="A286" s="158" t="s">
        <v>287</v>
      </c>
      <c r="B286" s="159" t="s">
        <v>702</v>
      </c>
      <c r="C286" s="160" t="s">
        <v>1155</v>
      </c>
    </row>
    <row r="287" spans="1:3">
      <c r="A287" s="158" t="s">
        <v>236</v>
      </c>
      <c r="B287" s="159" t="s">
        <v>653</v>
      </c>
      <c r="C287" s="160" t="s">
        <v>1111</v>
      </c>
    </row>
    <row r="288" spans="1:3">
      <c r="A288" s="158" t="s">
        <v>237</v>
      </c>
      <c r="B288" s="159" t="s">
        <v>654</v>
      </c>
      <c r="C288" s="160" t="s">
        <v>1112</v>
      </c>
    </row>
    <row r="289" spans="1:3">
      <c r="A289" s="158" t="s">
        <v>238</v>
      </c>
      <c r="B289" s="159" t="s">
        <v>654</v>
      </c>
      <c r="C289" s="160" t="s">
        <v>1113</v>
      </c>
    </row>
    <row r="290" spans="1:3">
      <c r="A290" s="158" t="s">
        <v>245</v>
      </c>
      <c r="B290" s="159" t="s">
        <v>661</v>
      </c>
      <c r="C290" s="160" t="s">
        <v>1118</v>
      </c>
    </row>
    <row r="291" spans="1:3">
      <c r="A291" s="158" t="s">
        <v>246</v>
      </c>
      <c r="B291" s="159" t="s">
        <v>662</v>
      </c>
      <c r="C291" s="160" t="s">
        <v>1119</v>
      </c>
    </row>
    <row r="292" spans="1:3">
      <c r="A292" s="158" t="s">
        <v>247</v>
      </c>
      <c r="B292" s="159" t="s">
        <v>663</v>
      </c>
      <c r="C292" s="160" t="s">
        <v>1120</v>
      </c>
    </row>
    <row r="293" spans="1:3">
      <c r="A293" s="158" t="s">
        <v>232</v>
      </c>
      <c r="B293" s="74" t="s">
        <v>650</v>
      </c>
      <c r="C293" s="160" t="s">
        <v>1108</v>
      </c>
    </row>
    <row r="294" spans="1:3">
      <c r="A294" s="158" t="s">
        <v>233</v>
      </c>
      <c r="B294" s="74" t="s">
        <v>651</v>
      </c>
      <c r="C294" s="160" t="s">
        <v>1109</v>
      </c>
    </row>
    <row r="295" spans="1:3">
      <c r="A295" s="158" t="s">
        <v>235</v>
      </c>
      <c r="B295" s="74" t="s">
        <v>652</v>
      </c>
      <c r="C295" s="160" t="s">
        <v>1110</v>
      </c>
    </row>
    <row r="296" spans="1:3">
      <c r="A296" s="161" t="s">
        <v>239</v>
      </c>
      <c r="B296" s="74" t="s">
        <v>655</v>
      </c>
      <c r="C296" s="160" t="s">
        <v>1101</v>
      </c>
    </row>
    <row r="297" spans="1:3">
      <c r="A297" s="158" t="s">
        <v>253</v>
      </c>
      <c r="B297" s="159" t="s">
        <v>669</v>
      </c>
      <c r="C297" s="160" t="s">
        <v>1122</v>
      </c>
    </row>
    <row r="298" spans="1:3">
      <c r="A298" s="158" t="s">
        <v>241</v>
      </c>
      <c r="B298" s="159" t="s">
        <v>657</v>
      </c>
      <c r="C298" s="160" t="s">
        <v>1115</v>
      </c>
    </row>
    <row r="299" spans="1:3">
      <c r="A299" s="158" t="s">
        <v>242</v>
      </c>
      <c r="B299" s="159" t="s">
        <v>658</v>
      </c>
      <c r="C299" s="160" t="s">
        <v>1116</v>
      </c>
    </row>
    <row r="300" spans="1:3">
      <c r="A300" s="161" t="s">
        <v>243</v>
      </c>
      <c r="B300" s="74" t="s">
        <v>659</v>
      </c>
      <c r="C300" s="160" t="s">
        <v>1102</v>
      </c>
    </row>
    <row r="301" spans="1:3">
      <c r="A301" t="s">
        <v>1445</v>
      </c>
      <c r="B301" s="69" t="s">
        <v>1446</v>
      </c>
      <c r="C301" s="160" t="s">
        <v>1447</v>
      </c>
    </row>
    <row r="302" spans="1:3">
      <c r="A302" s="158" t="s">
        <v>244</v>
      </c>
      <c r="B302" s="159" t="s">
        <v>660</v>
      </c>
      <c r="C302" s="160" t="s">
        <v>1117</v>
      </c>
    </row>
    <row r="303" spans="1:3">
      <c r="A303" s="158" t="s">
        <v>240</v>
      </c>
      <c r="B303" s="159" t="s">
        <v>656</v>
      </c>
      <c r="C303" s="160" t="s">
        <v>1114</v>
      </c>
    </row>
    <row r="304" spans="1:3">
      <c r="A304" s="161" t="s">
        <v>248</v>
      </c>
      <c r="B304" s="74" t="s">
        <v>664</v>
      </c>
      <c r="C304" s="160" t="s">
        <v>1103</v>
      </c>
    </row>
    <row r="305" spans="1:3">
      <c r="A305" s="161" t="s">
        <v>249</v>
      </c>
      <c r="B305" s="74" t="s">
        <v>665</v>
      </c>
      <c r="C305" s="160" t="s">
        <v>1104</v>
      </c>
    </row>
    <row r="306" spans="1:3">
      <c r="A306" s="161" t="s">
        <v>250</v>
      </c>
      <c r="B306" s="74" t="s">
        <v>666</v>
      </c>
      <c r="C306" s="160" t="s">
        <v>1105</v>
      </c>
    </row>
    <row r="307" spans="1:3">
      <c r="A307" s="158" t="s">
        <v>251</v>
      </c>
      <c r="B307" s="159" t="s">
        <v>667</v>
      </c>
      <c r="C307" s="160" t="s">
        <v>1121</v>
      </c>
    </row>
    <row r="308" spans="1:3">
      <c r="A308" s="161" t="s">
        <v>252</v>
      </c>
      <c r="B308" s="74" t="s">
        <v>668</v>
      </c>
      <c r="C308" s="160" t="s">
        <v>1106</v>
      </c>
    </row>
    <row r="309" spans="1:3">
      <c r="A309" t="s">
        <v>1448</v>
      </c>
      <c r="B309" s="69" t="s">
        <v>1449</v>
      </c>
      <c r="C309" s="160" t="s">
        <v>1450</v>
      </c>
    </row>
    <row r="310" spans="1:3">
      <c r="A310" s="158" t="s">
        <v>254</v>
      </c>
      <c r="B310" s="159" t="s">
        <v>670</v>
      </c>
      <c r="C310" s="160" t="s">
        <v>1123</v>
      </c>
    </row>
    <row r="311" spans="1:3">
      <c r="A311" s="158" t="s">
        <v>255</v>
      </c>
      <c r="B311" s="159" t="s">
        <v>671</v>
      </c>
      <c r="C311" s="160" t="s">
        <v>1124</v>
      </c>
    </row>
    <row r="312" spans="1:3">
      <c r="A312" s="158" t="s">
        <v>259</v>
      </c>
      <c r="B312" s="159" t="s">
        <v>675</v>
      </c>
      <c r="C312" s="160" t="s">
        <v>1128</v>
      </c>
    </row>
    <row r="313" spans="1:3">
      <c r="A313" s="158" t="s">
        <v>260</v>
      </c>
      <c r="B313" s="159" t="s">
        <v>676</v>
      </c>
      <c r="C313" s="160" t="s">
        <v>1129</v>
      </c>
    </row>
    <row r="314" spans="1:3">
      <c r="A314" s="158" t="s">
        <v>256</v>
      </c>
      <c r="B314" s="159" t="s">
        <v>672</v>
      </c>
      <c r="C314" s="160" t="s">
        <v>1125</v>
      </c>
    </row>
    <row r="315" spans="1:3">
      <c r="A315" s="158" t="s">
        <v>257</v>
      </c>
      <c r="B315" s="159" t="s">
        <v>673</v>
      </c>
      <c r="C315" s="160" t="s">
        <v>1126</v>
      </c>
    </row>
    <row r="316" spans="1:3">
      <c r="A316" t="s">
        <v>1451</v>
      </c>
      <c r="B316" s="70" t="s">
        <v>1452</v>
      </c>
      <c r="C316" s="160" t="s">
        <v>1453</v>
      </c>
    </row>
    <row r="317" spans="1:3">
      <c r="A317" s="158" t="s">
        <v>258</v>
      </c>
      <c r="B317" s="159" t="s">
        <v>674</v>
      </c>
      <c r="C317" s="160" t="s">
        <v>1127</v>
      </c>
    </row>
    <row r="318" spans="1:3">
      <c r="A318" s="161" t="s">
        <v>261</v>
      </c>
      <c r="B318" s="74" t="s">
        <v>677</v>
      </c>
      <c r="C318" s="160" t="s">
        <v>1107</v>
      </c>
    </row>
    <row r="319" spans="1:3">
      <c r="A319" s="158" t="s">
        <v>262</v>
      </c>
      <c r="B319" s="159" t="s">
        <v>678</v>
      </c>
      <c r="C319" s="160" t="s">
        <v>1130</v>
      </c>
    </row>
    <row r="320" spans="1:3">
      <c r="A320" s="158" t="s">
        <v>263</v>
      </c>
      <c r="B320" s="159" t="s">
        <v>679</v>
      </c>
      <c r="C320" s="160" t="s">
        <v>1131</v>
      </c>
    </row>
    <row r="321" spans="1:3">
      <c r="A321" s="158" t="s">
        <v>264</v>
      </c>
      <c r="B321" s="159" t="s">
        <v>680</v>
      </c>
      <c r="C321" s="160" t="s">
        <v>1132</v>
      </c>
    </row>
    <row r="322" spans="1:3">
      <c r="A322" s="158" t="s">
        <v>265</v>
      </c>
      <c r="B322" s="159" t="s">
        <v>681</v>
      </c>
      <c r="C322" s="160" t="s">
        <v>1133</v>
      </c>
    </row>
    <row r="323" spans="1:3">
      <c r="A323" s="158" t="s">
        <v>266</v>
      </c>
      <c r="B323" s="159" t="s">
        <v>682</v>
      </c>
      <c r="C323" s="160" t="s">
        <v>1134</v>
      </c>
    </row>
    <row r="324" spans="1:3">
      <c r="A324" s="158" t="s">
        <v>267</v>
      </c>
      <c r="B324" s="159" t="s">
        <v>683</v>
      </c>
      <c r="C324" s="160" t="s">
        <v>1135</v>
      </c>
    </row>
    <row r="325" spans="1:3">
      <c r="A325" s="158" t="s">
        <v>268</v>
      </c>
      <c r="B325" s="159" t="s">
        <v>684</v>
      </c>
      <c r="C325" s="160" t="s">
        <v>1136</v>
      </c>
    </row>
    <row r="326" spans="1:3">
      <c r="A326" t="s">
        <v>1454</v>
      </c>
      <c r="B326" s="70" t="s">
        <v>1455</v>
      </c>
      <c r="C326" s="160" t="s">
        <v>1456</v>
      </c>
    </row>
    <row r="327" spans="1:3">
      <c r="A327" s="158" t="s">
        <v>269</v>
      </c>
      <c r="B327" s="159" t="s">
        <v>685</v>
      </c>
      <c r="C327" s="160" t="s">
        <v>1137</v>
      </c>
    </row>
    <row r="328" spans="1:3">
      <c r="A328" s="158" t="s">
        <v>270</v>
      </c>
      <c r="B328" s="159" t="s">
        <v>686</v>
      </c>
      <c r="C328" s="160" t="s">
        <v>1138</v>
      </c>
    </row>
    <row r="329" spans="1:3">
      <c r="A329" s="158" t="s">
        <v>271</v>
      </c>
      <c r="B329" s="159" t="s">
        <v>687</v>
      </c>
      <c r="C329" s="160" t="s">
        <v>1139</v>
      </c>
    </row>
    <row r="330" spans="1:3">
      <c r="A330" s="158" t="s">
        <v>272</v>
      </c>
      <c r="B330" s="159" t="s">
        <v>687</v>
      </c>
      <c r="C330" s="160" t="s">
        <v>1140</v>
      </c>
    </row>
    <row r="331" spans="1:3">
      <c r="A331" s="158" t="s">
        <v>273</v>
      </c>
      <c r="B331" s="159" t="s">
        <v>688</v>
      </c>
      <c r="C331" s="160" t="s">
        <v>1141</v>
      </c>
    </row>
    <row r="332" spans="1:3">
      <c r="A332" s="158" t="s">
        <v>274</v>
      </c>
      <c r="B332" s="159" t="s">
        <v>689</v>
      </c>
      <c r="C332" s="160" t="s">
        <v>1142</v>
      </c>
    </row>
    <row r="333" spans="1:3">
      <c r="A333" s="158" t="s">
        <v>275</v>
      </c>
      <c r="B333" s="159" t="s">
        <v>690</v>
      </c>
      <c r="C333" s="160" t="s">
        <v>1143</v>
      </c>
    </row>
    <row r="334" spans="1:3">
      <c r="A334" s="158" t="s">
        <v>276</v>
      </c>
      <c r="B334" s="159" t="s">
        <v>691</v>
      </c>
      <c r="C334" s="160" t="s">
        <v>1144</v>
      </c>
    </row>
    <row r="335" spans="1:3">
      <c r="A335" s="158" t="s">
        <v>277</v>
      </c>
      <c r="B335" s="159" t="s">
        <v>692</v>
      </c>
      <c r="C335" s="160" t="s">
        <v>1145</v>
      </c>
    </row>
    <row r="336" spans="1:3">
      <c r="A336" s="158" t="s">
        <v>278</v>
      </c>
      <c r="B336" s="159" t="s">
        <v>693</v>
      </c>
      <c r="C336" s="160" t="s">
        <v>1146</v>
      </c>
    </row>
    <row r="337" spans="1:3">
      <c r="A337" s="158" t="s">
        <v>280</v>
      </c>
      <c r="B337" s="159" t="s">
        <v>695</v>
      </c>
      <c r="C337" s="160" t="s">
        <v>1148</v>
      </c>
    </row>
    <row r="338" spans="1:3">
      <c r="A338" s="158" t="s">
        <v>281</v>
      </c>
      <c r="B338" s="159" t="s">
        <v>696</v>
      </c>
      <c r="C338" s="160" t="s">
        <v>1149</v>
      </c>
    </row>
    <row r="339" spans="1:3">
      <c r="A339" s="158" t="s">
        <v>282</v>
      </c>
      <c r="B339" s="159" t="s">
        <v>697</v>
      </c>
      <c r="C339" s="160" t="s">
        <v>1150</v>
      </c>
    </row>
    <row r="340" spans="1:3">
      <c r="A340" s="158" t="s">
        <v>283</v>
      </c>
      <c r="B340" s="159" t="s">
        <v>698</v>
      </c>
      <c r="C340" s="160" t="s">
        <v>1151</v>
      </c>
    </row>
    <row r="341" spans="1:3">
      <c r="A341" s="158" t="s">
        <v>284</v>
      </c>
      <c r="B341" s="159" t="s">
        <v>699</v>
      </c>
      <c r="C341" s="160" t="s">
        <v>1152</v>
      </c>
    </row>
    <row r="342" spans="1:3">
      <c r="A342" s="158" t="s">
        <v>279</v>
      </c>
      <c r="B342" s="159" t="s">
        <v>694</v>
      </c>
      <c r="C342" s="160" t="s">
        <v>1147</v>
      </c>
    </row>
    <row r="343" spans="1:3">
      <c r="A343" s="158" t="s">
        <v>430</v>
      </c>
      <c r="B343" s="74" t="s">
        <v>829</v>
      </c>
      <c r="C343" s="160" t="s">
        <v>1293</v>
      </c>
    </row>
    <row r="344" spans="1:3">
      <c r="A344" s="158" t="s">
        <v>431</v>
      </c>
      <c r="B344" s="74" t="s">
        <v>830</v>
      </c>
      <c r="C344" s="160" t="s">
        <v>1294</v>
      </c>
    </row>
    <row r="345" spans="1:3">
      <c r="A345" s="158" t="s">
        <v>432</v>
      </c>
      <c r="B345" s="74" t="s">
        <v>831</v>
      </c>
      <c r="C345" s="160" t="s">
        <v>1295</v>
      </c>
    </row>
    <row r="346" spans="1:3">
      <c r="A346" s="161" t="s">
        <v>433</v>
      </c>
      <c r="B346" s="74" t="s">
        <v>832</v>
      </c>
      <c r="C346" s="160" t="s">
        <v>872</v>
      </c>
    </row>
    <row r="347" spans="1:3">
      <c r="A347" s="158" t="s">
        <v>434</v>
      </c>
      <c r="B347" s="74" t="s">
        <v>833</v>
      </c>
      <c r="C347" s="160" t="s">
        <v>1296</v>
      </c>
    </row>
    <row r="348" spans="1:3">
      <c r="A348" s="158" t="s">
        <v>435</v>
      </c>
      <c r="B348" s="74" t="s">
        <v>834</v>
      </c>
      <c r="C348" s="160" t="s">
        <v>1297</v>
      </c>
    </row>
    <row r="349" spans="1:3">
      <c r="A349" s="161" t="s">
        <v>436</v>
      </c>
      <c r="B349" s="74" t="s">
        <v>835</v>
      </c>
      <c r="C349" s="160" t="s">
        <v>873</v>
      </c>
    </row>
    <row r="350" spans="1:3">
      <c r="A350" s="158" t="s">
        <v>437</v>
      </c>
      <c r="B350" s="74" t="s">
        <v>836</v>
      </c>
      <c r="C350" s="160" t="s">
        <v>1298</v>
      </c>
    </row>
    <row r="351" spans="1:3">
      <c r="A351" s="158" t="s">
        <v>1329</v>
      </c>
      <c r="B351" s="159" t="s">
        <v>486</v>
      </c>
      <c r="C351" s="160" t="s">
        <v>1319</v>
      </c>
    </row>
    <row r="352" spans="1:3">
      <c r="A352" s="158" t="s">
        <v>1330</v>
      </c>
      <c r="B352" s="159" t="s">
        <v>487</v>
      </c>
      <c r="C352" s="160" t="s">
        <v>1320</v>
      </c>
    </row>
    <row r="353" spans="1:3">
      <c r="A353" s="161" t="s">
        <v>119</v>
      </c>
      <c r="B353" s="74" t="s">
        <v>895</v>
      </c>
      <c r="C353" s="160" t="s">
        <v>896</v>
      </c>
    </row>
    <row r="354" spans="1:3">
      <c r="A354" s="161" t="s">
        <v>118</v>
      </c>
      <c r="B354" s="74" t="s">
        <v>897</v>
      </c>
      <c r="C354" s="160" t="s">
        <v>898</v>
      </c>
    </row>
    <row r="355" spans="1:3">
      <c r="A355" s="161" t="s">
        <v>117</v>
      </c>
      <c r="B355" s="74" t="s">
        <v>899</v>
      </c>
      <c r="C355" s="160" t="s">
        <v>900</v>
      </c>
    </row>
    <row r="356" spans="1:3">
      <c r="A356" s="161" t="s">
        <v>120</v>
      </c>
      <c r="B356" s="74" t="s">
        <v>565</v>
      </c>
      <c r="C356" s="160" t="s">
        <v>901</v>
      </c>
    </row>
    <row r="357" spans="1:3">
      <c r="A357" s="158" t="s">
        <v>121</v>
      </c>
      <c r="B357" s="159" t="s">
        <v>566</v>
      </c>
      <c r="C357" s="160" t="s">
        <v>998</v>
      </c>
    </row>
    <row r="358" spans="1:3">
      <c r="A358" t="s">
        <v>1457</v>
      </c>
      <c r="B358" s="69" t="s">
        <v>572</v>
      </c>
      <c r="C358" s="160" t="s">
        <v>1458</v>
      </c>
    </row>
    <row r="359" spans="1:3">
      <c r="A359" s="158" t="s">
        <v>131</v>
      </c>
      <c r="B359" s="159" t="s">
        <v>564</v>
      </c>
      <c r="C359" s="160" t="s">
        <v>1002</v>
      </c>
    </row>
    <row r="360" spans="1:3">
      <c r="A360" s="161" t="s">
        <v>132</v>
      </c>
      <c r="B360" s="74" t="s">
        <v>563</v>
      </c>
      <c r="C360" s="160" t="s">
        <v>902</v>
      </c>
    </row>
    <row r="361" spans="1:3">
      <c r="A361" s="161" t="s">
        <v>122</v>
      </c>
      <c r="B361" s="74" t="s">
        <v>567</v>
      </c>
      <c r="C361" s="160" t="s">
        <v>903</v>
      </c>
    </row>
    <row r="362" spans="1:3">
      <c r="A362" s="158" t="s">
        <v>123</v>
      </c>
      <c r="B362" s="159" t="s">
        <v>568</v>
      </c>
      <c r="C362" s="160" t="s">
        <v>999</v>
      </c>
    </row>
    <row r="363" spans="1:3">
      <c r="A363" t="s">
        <v>1459</v>
      </c>
      <c r="B363" s="70" t="s">
        <v>569</v>
      </c>
      <c r="C363" s="160" t="s">
        <v>1460</v>
      </c>
    </row>
    <row r="364" spans="1:3">
      <c r="A364" s="158" t="s">
        <v>124</v>
      </c>
      <c r="B364" s="159" t="s">
        <v>569</v>
      </c>
      <c r="C364" s="160" t="s">
        <v>1000</v>
      </c>
    </row>
    <row r="365" spans="1:3">
      <c r="A365" s="158" t="s">
        <v>125</v>
      </c>
      <c r="B365" s="159" t="s">
        <v>570</v>
      </c>
      <c r="C365" s="160" t="s">
        <v>1001</v>
      </c>
    </row>
    <row r="366" spans="1:3">
      <c r="A366" s="161" t="s">
        <v>126</v>
      </c>
      <c r="B366" s="74" t="s">
        <v>571</v>
      </c>
      <c r="C366" s="160" t="s">
        <v>904</v>
      </c>
    </row>
    <row r="367" spans="1:3">
      <c r="A367" t="s">
        <v>1461</v>
      </c>
      <c r="B367" s="69" t="s">
        <v>572</v>
      </c>
      <c r="C367" s="160" t="s">
        <v>1462</v>
      </c>
    </row>
    <row r="368" spans="1:3">
      <c r="A368" s="161" t="s">
        <v>127</v>
      </c>
      <c r="B368" s="74" t="s">
        <v>572</v>
      </c>
      <c r="C368" s="160" t="s">
        <v>905</v>
      </c>
    </row>
    <row r="369" spans="1:3">
      <c r="A369" s="161" t="s">
        <v>128</v>
      </c>
      <c r="B369" s="74" t="s">
        <v>573</v>
      </c>
      <c r="C369" s="160" t="s">
        <v>906</v>
      </c>
    </row>
    <row r="370" spans="1:3">
      <c r="A370" s="161" t="s">
        <v>129</v>
      </c>
      <c r="B370" s="74" t="s">
        <v>574</v>
      </c>
      <c r="C370" s="160" t="s">
        <v>907</v>
      </c>
    </row>
    <row r="371" spans="1:3">
      <c r="A371" s="161" t="s">
        <v>130</v>
      </c>
      <c r="B371" s="74" t="s">
        <v>575</v>
      </c>
      <c r="C371" s="160" t="s">
        <v>908</v>
      </c>
    </row>
    <row r="372" spans="1:3">
      <c r="A372" s="161" t="s">
        <v>133</v>
      </c>
      <c r="B372" s="74" t="s">
        <v>564</v>
      </c>
      <c r="C372" s="160" t="s">
        <v>909</v>
      </c>
    </row>
    <row r="373" spans="1:3">
      <c r="A373" s="158" t="s">
        <v>116</v>
      </c>
      <c r="B373" s="159" t="s">
        <v>562</v>
      </c>
      <c r="C373" s="160" t="s">
        <v>997</v>
      </c>
    </row>
    <row r="374" spans="1:3">
      <c r="A374" s="158" t="s">
        <v>135</v>
      </c>
      <c r="B374" s="159" t="s">
        <v>562</v>
      </c>
      <c r="C374" s="160" t="s">
        <v>1004</v>
      </c>
    </row>
    <row r="375" spans="1:3">
      <c r="A375" s="158" t="s">
        <v>136</v>
      </c>
      <c r="B375" s="159" t="s">
        <v>897</v>
      </c>
      <c r="C375" s="160" t="s">
        <v>1005</v>
      </c>
    </row>
    <row r="376" spans="1:3">
      <c r="A376" s="158" t="s">
        <v>139</v>
      </c>
      <c r="B376" s="159" t="s">
        <v>1008</v>
      </c>
      <c r="C376" s="160" t="s">
        <v>1009</v>
      </c>
    </row>
    <row r="377" spans="1:3">
      <c r="A377" s="158" t="s">
        <v>134</v>
      </c>
      <c r="B377" s="159" t="s">
        <v>563</v>
      </c>
      <c r="C377" s="160" t="s">
        <v>1003</v>
      </c>
    </row>
    <row r="378" spans="1:3">
      <c r="A378" s="158" t="s">
        <v>137</v>
      </c>
      <c r="B378" s="159" t="s">
        <v>576</v>
      </c>
      <c r="C378" s="160" t="s">
        <v>1006</v>
      </c>
    </row>
    <row r="379" spans="1:3">
      <c r="A379" s="158" t="s">
        <v>138</v>
      </c>
      <c r="B379" s="159" t="s">
        <v>577</v>
      </c>
      <c r="C379" s="160" t="s">
        <v>1007</v>
      </c>
    </row>
    <row r="380" spans="1:3">
      <c r="A380" s="161" t="s">
        <v>140</v>
      </c>
      <c r="B380" s="74" t="s">
        <v>578</v>
      </c>
      <c r="C380" s="160" t="s">
        <v>910</v>
      </c>
    </row>
    <row r="381" spans="1:3">
      <c r="A381" s="158" t="s">
        <v>483</v>
      </c>
      <c r="B381" s="159" t="s">
        <v>1025</v>
      </c>
      <c r="C381" s="160" t="s">
        <v>1026</v>
      </c>
    </row>
    <row r="382" spans="1:3">
      <c r="A382" s="158" t="s">
        <v>484</v>
      </c>
      <c r="B382" s="159" t="s">
        <v>1027</v>
      </c>
      <c r="C382" s="160" t="s">
        <v>1028</v>
      </c>
    </row>
    <row r="383" spans="1:3">
      <c r="A383" s="158" t="s">
        <v>142</v>
      </c>
      <c r="B383" s="159" t="s">
        <v>579</v>
      </c>
      <c r="C383" s="160" t="s">
        <v>1010</v>
      </c>
    </row>
    <row r="384" spans="1:3">
      <c r="A384" t="s">
        <v>1386</v>
      </c>
      <c r="B384" s="70" t="s">
        <v>1395</v>
      </c>
      <c r="C384" s="160" t="s">
        <v>1396</v>
      </c>
    </row>
    <row r="385" spans="1:3">
      <c r="A385" s="158" t="s">
        <v>144</v>
      </c>
      <c r="B385" s="159" t="s">
        <v>580</v>
      </c>
      <c r="C385" s="160" t="s">
        <v>1012</v>
      </c>
    </row>
    <row r="386" spans="1:3">
      <c r="A386" s="158" t="s">
        <v>143</v>
      </c>
      <c r="B386" s="159" t="s">
        <v>580</v>
      </c>
      <c r="C386" s="160" t="s">
        <v>1011</v>
      </c>
    </row>
    <row r="387" spans="1:3">
      <c r="A387" s="158" t="s">
        <v>147</v>
      </c>
      <c r="B387" s="159" t="s">
        <v>583</v>
      </c>
      <c r="C387" s="160" t="s">
        <v>1014</v>
      </c>
    </row>
    <row r="388" spans="1:3">
      <c r="A388" s="161" t="s">
        <v>145</v>
      </c>
      <c r="B388" s="74" t="s">
        <v>581</v>
      </c>
      <c r="C388" s="160" t="s">
        <v>911</v>
      </c>
    </row>
    <row r="389" spans="1:3">
      <c r="A389" s="158" t="s">
        <v>146</v>
      </c>
      <c r="B389" s="159" t="s">
        <v>582</v>
      </c>
      <c r="C389" s="160" t="s">
        <v>1013</v>
      </c>
    </row>
    <row r="390" spans="1:3">
      <c r="A390" s="158" t="s">
        <v>148</v>
      </c>
      <c r="B390" s="159" t="s">
        <v>584</v>
      </c>
      <c r="C390" s="160" t="s">
        <v>1015</v>
      </c>
    </row>
    <row r="391" spans="1:3">
      <c r="A391" s="158" t="s">
        <v>149</v>
      </c>
      <c r="B391" s="159" t="s">
        <v>584</v>
      </c>
      <c r="C391" s="160" t="s">
        <v>1016</v>
      </c>
    </row>
    <row r="392" spans="1:3">
      <c r="A392" s="158" t="s">
        <v>150</v>
      </c>
      <c r="B392" s="159" t="s">
        <v>585</v>
      </c>
      <c r="C392" s="160" t="s">
        <v>1017</v>
      </c>
    </row>
    <row r="393" spans="1:3">
      <c r="A393" s="158" t="s">
        <v>151</v>
      </c>
      <c r="B393" s="159" t="s">
        <v>585</v>
      </c>
      <c r="C393" s="160" t="s">
        <v>1018</v>
      </c>
    </row>
    <row r="394" spans="1:3">
      <c r="A394" t="s">
        <v>1463</v>
      </c>
      <c r="B394" s="69" t="s">
        <v>586</v>
      </c>
      <c r="C394" s="160" t="s">
        <v>1464</v>
      </c>
    </row>
    <row r="395" spans="1:3">
      <c r="A395" s="161" t="s">
        <v>152</v>
      </c>
      <c r="B395" s="74" t="s">
        <v>586</v>
      </c>
      <c r="C395" s="160" t="s">
        <v>912</v>
      </c>
    </row>
    <row r="396" spans="1:3">
      <c r="A396" t="s">
        <v>1465</v>
      </c>
      <c r="B396" s="69" t="s">
        <v>586</v>
      </c>
      <c r="C396" s="160" t="s">
        <v>1466</v>
      </c>
    </row>
    <row r="397" spans="1:3">
      <c r="A397" s="158" t="s">
        <v>153</v>
      </c>
      <c r="B397" s="159" t="s">
        <v>587</v>
      </c>
      <c r="C397" s="160" t="s">
        <v>1019</v>
      </c>
    </row>
    <row r="398" spans="1:3">
      <c r="A398" s="158" t="s">
        <v>154</v>
      </c>
      <c r="B398" s="159" t="s">
        <v>588</v>
      </c>
      <c r="C398" s="160" t="s">
        <v>1020</v>
      </c>
    </row>
    <row r="399" spans="1:3">
      <c r="A399" t="s">
        <v>1467</v>
      </c>
      <c r="B399" s="70" t="s">
        <v>588</v>
      </c>
      <c r="C399" s="160" t="s">
        <v>1468</v>
      </c>
    </row>
    <row r="400" spans="1:3">
      <c r="A400" s="158" t="s">
        <v>155</v>
      </c>
      <c r="B400" s="159" t="s">
        <v>589</v>
      </c>
      <c r="C400" s="160" t="s">
        <v>1021</v>
      </c>
    </row>
    <row r="401" spans="1:3">
      <c r="A401" s="158" t="s">
        <v>157</v>
      </c>
      <c r="B401" s="159" t="s">
        <v>590</v>
      </c>
      <c r="C401" s="160" t="s">
        <v>1022</v>
      </c>
    </row>
    <row r="402" spans="1:3">
      <c r="A402" t="s">
        <v>1469</v>
      </c>
      <c r="B402" s="70" t="s">
        <v>1470</v>
      </c>
      <c r="C402" s="160" t="s">
        <v>1471</v>
      </c>
    </row>
    <row r="403" spans="1:3">
      <c r="A403" s="158" t="s">
        <v>156</v>
      </c>
      <c r="B403" s="159" t="s">
        <v>591</v>
      </c>
      <c r="C403" s="160" t="s">
        <v>1023</v>
      </c>
    </row>
    <row r="404" spans="1:3">
      <c r="A404" s="158" t="s">
        <v>158</v>
      </c>
      <c r="B404" s="159" t="s">
        <v>589</v>
      </c>
      <c r="C404" s="160" t="s">
        <v>1024</v>
      </c>
    </row>
    <row r="405" spans="1:3">
      <c r="A405" s="158" t="s">
        <v>428</v>
      </c>
      <c r="B405" s="74" t="s">
        <v>827</v>
      </c>
      <c r="C405" s="160" t="s">
        <v>1291</v>
      </c>
    </row>
    <row r="406" spans="1:3">
      <c r="A406" s="158" t="s">
        <v>429</v>
      </c>
      <c r="B406" s="74" t="s">
        <v>828</v>
      </c>
      <c r="C406" s="160" t="s">
        <v>1292</v>
      </c>
    </row>
    <row r="407" spans="1:3">
      <c r="A407" s="161" t="s">
        <v>371</v>
      </c>
      <c r="B407" s="74" t="s">
        <v>774</v>
      </c>
      <c r="C407" s="160" t="s">
        <v>1237</v>
      </c>
    </row>
    <row r="408" spans="1:3">
      <c r="A408" s="161" t="s">
        <v>372</v>
      </c>
      <c r="B408" s="74" t="s">
        <v>775</v>
      </c>
      <c r="C408" s="160" t="s">
        <v>1238</v>
      </c>
    </row>
    <row r="409" spans="1:3">
      <c r="A409" s="158" t="s">
        <v>373</v>
      </c>
      <c r="B409" s="159" t="s">
        <v>776</v>
      </c>
      <c r="C409" s="160" t="s">
        <v>1247</v>
      </c>
    </row>
    <row r="410" spans="1:3">
      <c r="A410" s="158" t="s">
        <v>374</v>
      </c>
      <c r="B410" s="159" t="s">
        <v>777</v>
      </c>
      <c r="C410" s="160" t="s">
        <v>1248</v>
      </c>
    </row>
    <row r="411" spans="1:3">
      <c r="A411" s="158" t="s">
        <v>375</v>
      </c>
      <c r="B411" s="159" t="s">
        <v>778</v>
      </c>
      <c r="C411" s="160" t="s">
        <v>1249</v>
      </c>
    </row>
    <row r="412" spans="1:3">
      <c r="A412" s="161" t="s">
        <v>376</v>
      </c>
      <c r="B412" s="74" t="s">
        <v>779</v>
      </c>
      <c r="C412" s="160" t="s">
        <v>1239</v>
      </c>
    </row>
    <row r="413" spans="1:3">
      <c r="A413" s="158" t="s">
        <v>377</v>
      </c>
      <c r="B413" s="159" t="s">
        <v>780</v>
      </c>
      <c r="C413" s="160" t="s">
        <v>1250</v>
      </c>
    </row>
    <row r="414" spans="1:3">
      <c r="A414" s="158" t="s">
        <v>378</v>
      </c>
      <c r="B414" s="159" t="s">
        <v>781</v>
      </c>
      <c r="C414" s="160" t="s">
        <v>1251</v>
      </c>
    </row>
    <row r="415" spans="1:3">
      <c r="A415" s="158" t="s">
        <v>379</v>
      </c>
      <c r="B415" s="159" t="s">
        <v>782</v>
      </c>
      <c r="C415" s="160" t="s">
        <v>1252</v>
      </c>
    </row>
    <row r="416" spans="1:3">
      <c r="A416" s="158" t="s">
        <v>380</v>
      </c>
      <c r="B416" s="159" t="s">
        <v>783</v>
      </c>
      <c r="C416" s="160" t="s">
        <v>1253</v>
      </c>
    </row>
    <row r="417" spans="1:3">
      <c r="A417" s="158" t="s">
        <v>381</v>
      </c>
      <c r="B417" s="159" t="s">
        <v>783</v>
      </c>
      <c r="C417" s="160" t="s">
        <v>1254</v>
      </c>
    </row>
    <row r="418" spans="1:3">
      <c r="A418" s="158" t="s">
        <v>382</v>
      </c>
      <c r="B418" s="159" t="s">
        <v>784</v>
      </c>
      <c r="C418" s="160" t="s">
        <v>1255</v>
      </c>
    </row>
    <row r="419" spans="1:3">
      <c r="A419" s="158" t="s">
        <v>383</v>
      </c>
      <c r="B419" s="159" t="s">
        <v>785</v>
      </c>
      <c r="C419" s="160" t="s">
        <v>1256</v>
      </c>
    </row>
    <row r="420" spans="1:3">
      <c r="A420" s="158" t="s">
        <v>384</v>
      </c>
      <c r="B420" s="159" t="s">
        <v>786</v>
      </c>
      <c r="C420" s="160" t="s">
        <v>1257</v>
      </c>
    </row>
    <row r="421" spans="1:3">
      <c r="A421" s="158" t="s">
        <v>385</v>
      </c>
      <c r="B421" s="159" t="s">
        <v>787</v>
      </c>
      <c r="C421" s="160" t="s">
        <v>1258</v>
      </c>
    </row>
    <row r="422" spans="1:3">
      <c r="A422" s="158" t="s">
        <v>386</v>
      </c>
      <c r="B422" s="159" t="s">
        <v>788</v>
      </c>
      <c r="C422" s="160" t="s">
        <v>1259</v>
      </c>
    </row>
    <row r="423" spans="1:3">
      <c r="A423" s="158" t="s">
        <v>387</v>
      </c>
      <c r="B423" s="159" t="s">
        <v>788</v>
      </c>
      <c r="C423" s="160" t="s">
        <v>1260</v>
      </c>
    </row>
    <row r="424" spans="1:3">
      <c r="A424" s="158" t="s">
        <v>388</v>
      </c>
      <c r="B424" s="159" t="s">
        <v>788</v>
      </c>
      <c r="C424" s="160" t="s">
        <v>1261</v>
      </c>
    </row>
    <row r="425" spans="1:3">
      <c r="A425" s="158" t="s">
        <v>389</v>
      </c>
      <c r="B425" s="159" t="s">
        <v>789</v>
      </c>
      <c r="C425" s="160" t="s">
        <v>1262</v>
      </c>
    </row>
    <row r="426" spans="1:3">
      <c r="A426" s="158" t="s">
        <v>390</v>
      </c>
      <c r="B426" s="159" t="s">
        <v>790</v>
      </c>
      <c r="C426" s="160" t="s">
        <v>1263</v>
      </c>
    </row>
    <row r="427" spans="1:3">
      <c r="A427" s="158" t="s">
        <v>391</v>
      </c>
      <c r="B427" s="159" t="s">
        <v>791</v>
      </c>
      <c r="C427" s="160" t="s">
        <v>1264</v>
      </c>
    </row>
    <row r="428" spans="1:3">
      <c r="A428" s="161" t="s">
        <v>392</v>
      </c>
      <c r="B428" s="74" t="s">
        <v>792</v>
      </c>
      <c r="C428" s="160" t="s">
        <v>1240</v>
      </c>
    </row>
    <row r="429" spans="1:3">
      <c r="A429" s="161" t="s">
        <v>393</v>
      </c>
      <c r="B429" s="74" t="s">
        <v>793</v>
      </c>
      <c r="C429" s="160" t="s">
        <v>1241</v>
      </c>
    </row>
    <row r="430" spans="1:3">
      <c r="A430" s="158" t="s">
        <v>394</v>
      </c>
      <c r="B430" s="159" t="s">
        <v>794</v>
      </c>
      <c r="C430" s="160" t="s">
        <v>1265</v>
      </c>
    </row>
    <row r="431" spans="1:3">
      <c r="A431" s="158" t="s">
        <v>438</v>
      </c>
      <c r="B431" s="74" t="s">
        <v>837</v>
      </c>
      <c r="C431" s="160" t="s">
        <v>1299</v>
      </c>
    </row>
    <row r="432" spans="1:3">
      <c r="A432" s="158" t="s">
        <v>439</v>
      </c>
      <c r="B432" s="74" t="s">
        <v>838</v>
      </c>
      <c r="C432" s="160" t="s">
        <v>1300</v>
      </c>
    </row>
    <row r="433" spans="1:3">
      <c r="A433" s="161" t="s">
        <v>398</v>
      </c>
      <c r="B433" s="74" t="s">
        <v>815</v>
      </c>
      <c r="C433" s="160" t="s">
        <v>1242</v>
      </c>
    </row>
    <row r="434" spans="1:3">
      <c r="A434" s="161" t="s">
        <v>399</v>
      </c>
      <c r="B434" s="74" t="s">
        <v>816</v>
      </c>
      <c r="C434" s="160" t="s">
        <v>1243</v>
      </c>
    </row>
    <row r="435" spans="1:3">
      <c r="A435" t="s">
        <v>1472</v>
      </c>
      <c r="B435" s="70" t="s">
        <v>1473</v>
      </c>
      <c r="C435" s="160" t="s">
        <v>1474</v>
      </c>
    </row>
    <row r="436" spans="1:3">
      <c r="A436" s="158" t="s">
        <v>404</v>
      </c>
      <c r="B436" s="74" t="s">
        <v>801</v>
      </c>
      <c r="C436" s="160" t="s">
        <v>1278</v>
      </c>
    </row>
    <row r="437" spans="1:3">
      <c r="A437" s="158" t="s">
        <v>405</v>
      </c>
      <c r="B437" s="159" t="s">
        <v>802</v>
      </c>
      <c r="C437" s="160" t="s">
        <v>1279</v>
      </c>
    </row>
    <row r="438" spans="1:3">
      <c r="A438" s="161" t="s">
        <v>406</v>
      </c>
      <c r="B438" s="74" t="s">
        <v>803</v>
      </c>
      <c r="C438" s="160" t="s">
        <v>1269</v>
      </c>
    </row>
    <row r="439" spans="1:3">
      <c r="A439" s="158" t="s">
        <v>407</v>
      </c>
      <c r="B439" s="159" t="s">
        <v>804</v>
      </c>
      <c r="C439" s="160" t="s">
        <v>1280</v>
      </c>
    </row>
    <row r="440" spans="1:3">
      <c r="A440" s="161" t="s">
        <v>408</v>
      </c>
      <c r="B440" s="74" t="s">
        <v>805</v>
      </c>
      <c r="C440" s="160" t="s">
        <v>1270</v>
      </c>
    </row>
    <row r="441" spans="1:3">
      <c r="A441" s="158" t="s">
        <v>409</v>
      </c>
      <c r="B441" s="74" t="s">
        <v>806</v>
      </c>
      <c r="C441" s="160" t="s">
        <v>1281</v>
      </c>
    </row>
    <row r="442" spans="1:3">
      <c r="A442" s="161" t="s">
        <v>401</v>
      </c>
      <c r="B442" s="74" t="s">
        <v>798</v>
      </c>
      <c r="C442" s="160" t="s">
        <v>1271</v>
      </c>
    </row>
    <row r="443" spans="1:3">
      <c r="A443" s="161" t="s">
        <v>403</v>
      </c>
      <c r="B443" s="74" t="s">
        <v>800</v>
      </c>
      <c r="C443" s="160" t="s">
        <v>1272</v>
      </c>
    </row>
    <row r="444" spans="1:3">
      <c r="A444" s="161" t="s">
        <v>402</v>
      </c>
      <c r="B444" s="74" t="s">
        <v>799</v>
      </c>
      <c r="C444" s="160" t="s">
        <v>1273</v>
      </c>
    </row>
    <row r="445" spans="1:3">
      <c r="A445" s="161" t="s">
        <v>410</v>
      </c>
      <c r="B445" s="74" t="s">
        <v>807</v>
      </c>
      <c r="C445" s="160" t="s">
        <v>1274</v>
      </c>
    </row>
    <row r="446" spans="1:3">
      <c r="A446" s="158" t="s">
        <v>411</v>
      </c>
      <c r="B446" s="74" t="s">
        <v>808</v>
      </c>
      <c r="C446" s="160" t="s">
        <v>1282</v>
      </c>
    </row>
    <row r="447" spans="1:3">
      <c r="A447" s="158" t="s">
        <v>412</v>
      </c>
      <c r="B447" s="74" t="s">
        <v>809</v>
      </c>
      <c r="C447" s="160" t="s">
        <v>1283</v>
      </c>
    </row>
    <row r="448" spans="1:3">
      <c r="A448" s="158" t="s">
        <v>413</v>
      </c>
      <c r="B448" s="74" t="s">
        <v>810</v>
      </c>
      <c r="C448" s="160" t="s">
        <v>1284</v>
      </c>
    </row>
    <row r="449" spans="1:3">
      <c r="A449" s="158" t="s">
        <v>414</v>
      </c>
      <c r="B449" s="74" t="s">
        <v>811</v>
      </c>
      <c r="C449" s="160" t="s">
        <v>1285</v>
      </c>
    </row>
    <row r="450" spans="1:3">
      <c r="A450" s="161" t="s">
        <v>415</v>
      </c>
      <c r="B450" s="74" t="s">
        <v>812</v>
      </c>
      <c r="C450" s="160" t="s">
        <v>1275</v>
      </c>
    </row>
    <row r="451" spans="1:3">
      <c r="A451" s="158" t="s">
        <v>416</v>
      </c>
      <c r="B451" s="74" t="s">
        <v>813</v>
      </c>
      <c r="C451" s="162" t="s">
        <v>1286</v>
      </c>
    </row>
    <row r="452" spans="1:3">
      <c r="A452" s="161" t="s">
        <v>417</v>
      </c>
      <c r="B452" s="74" t="s">
        <v>814</v>
      </c>
      <c r="C452" s="160" t="s">
        <v>1276</v>
      </c>
    </row>
    <row r="453" spans="1:3">
      <c r="A453" s="158" t="s">
        <v>418</v>
      </c>
      <c r="B453" s="74" t="s">
        <v>819</v>
      </c>
      <c r="C453" s="160" t="s">
        <v>1288</v>
      </c>
    </row>
    <row r="454" spans="1:3">
      <c r="A454" s="161" t="s">
        <v>419</v>
      </c>
      <c r="B454" s="74" t="s">
        <v>820</v>
      </c>
      <c r="C454" s="160" t="s">
        <v>1277</v>
      </c>
    </row>
    <row r="455" spans="1:3">
      <c r="A455" s="158" t="s">
        <v>79</v>
      </c>
      <c r="B455" s="159" t="s">
        <v>535</v>
      </c>
      <c r="C455" s="160" t="s">
        <v>981</v>
      </c>
    </row>
    <row r="456" spans="1:3">
      <c r="A456" s="161" t="s">
        <v>427</v>
      </c>
      <c r="B456" s="74" t="s">
        <v>826</v>
      </c>
      <c r="C456" s="160" t="s">
        <v>871</v>
      </c>
    </row>
    <row r="457" spans="1:3">
      <c r="A457" s="158" t="s">
        <v>80</v>
      </c>
      <c r="B457" s="159" t="s">
        <v>536</v>
      </c>
      <c r="C457" s="160" t="s">
        <v>982</v>
      </c>
    </row>
    <row r="458" spans="1:3">
      <c r="A458" t="s">
        <v>1475</v>
      </c>
      <c r="B458" s="70" t="s">
        <v>1476</v>
      </c>
      <c r="C458" s="160" t="s">
        <v>1477</v>
      </c>
    </row>
    <row r="459" spans="1:3">
      <c r="A459" s="161" t="s">
        <v>81</v>
      </c>
      <c r="B459" s="74" t="s">
        <v>536</v>
      </c>
      <c r="C459" s="160" t="s">
        <v>913</v>
      </c>
    </row>
    <row r="460" spans="1:3">
      <c r="A460" t="s">
        <v>1478</v>
      </c>
      <c r="B460" s="69" t="s">
        <v>536</v>
      </c>
      <c r="C460" s="160" t="s">
        <v>1479</v>
      </c>
    </row>
    <row r="461" spans="1:3">
      <c r="A461" t="s">
        <v>1480</v>
      </c>
      <c r="B461" s="70" t="s">
        <v>1476</v>
      </c>
      <c r="C461" s="160" t="s">
        <v>1481</v>
      </c>
    </row>
    <row r="462" spans="1:3">
      <c r="A462" s="161" t="s">
        <v>82</v>
      </c>
      <c r="B462" s="74" t="s">
        <v>537</v>
      </c>
      <c r="C462" s="160" t="s">
        <v>914</v>
      </c>
    </row>
    <row r="463" spans="1:3">
      <c r="A463" s="161" t="s">
        <v>83</v>
      </c>
      <c r="B463" s="74" t="s">
        <v>538</v>
      </c>
      <c r="C463" s="160" t="s">
        <v>915</v>
      </c>
    </row>
    <row r="464" spans="1:3">
      <c r="A464" s="158" t="s">
        <v>84</v>
      </c>
      <c r="B464" s="159" t="s">
        <v>539</v>
      </c>
      <c r="C464" s="160" t="s">
        <v>983</v>
      </c>
    </row>
    <row r="465" spans="1:3">
      <c r="A465" s="158" t="s">
        <v>85</v>
      </c>
      <c r="B465" s="159" t="s">
        <v>540</v>
      </c>
      <c r="C465" s="160" t="s">
        <v>984</v>
      </c>
    </row>
    <row r="466" spans="1:3">
      <c r="A466" s="158" t="s">
        <v>86</v>
      </c>
      <c r="B466" s="159" t="s">
        <v>541</v>
      </c>
      <c r="C466" s="160" t="s">
        <v>985</v>
      </c>
    </row>
    <row r="467" spans="1:3">
      <c r="A467" s="82" t="s">
        <v>1517</v>
      </c>
      <c r="B467" s="70" t="s">
        <v>1519</v>
      </c>
      <c r="C467" s="160" t="s">
        <v>1518</v>
      </c>
    </row>
    <row r="468" spans="1:3">
      <c r="A468" s="158" t="s">
        <v>87</v>
      </c>
      <c r="B468" s="159" t="s">
        <v>542</v>
      </c>
      <c r="C468" s="160" t="s">
        <v>986</v>
      </c>
    </row>
    <row r="469" spans="1:3">
      <c r="A469" s="161" t="s">
        <v>88</v>
      </c>
      <c r="B469" s="74" t="s">
        <v>543</v>
      </c>
      <c r="C469" s="160" t="s">
        <v>916</v>
      </c>
    </row>
    <row r="470" spans="1:3">
      <c r="A470" s="161" t="s">
        <v>1482</v>
      </c>
      <c r="B470" t="s">
        <v>543</v>
      </c>
      <c r="C470" s="160"/>
    </row>
    <row r="471" spans="1:3">
      <c r="A471" s="158" t="s">
        <v>89</v>
      </c>
      <c r="B471" s="159" t="s">
        <v>535</v>
      </c>
      <c r="C471" s="160" t="s">
        <v>987</v>
      </c>
    </row>
    <row r="472" spans="1:3">
      <c r="A472" s="158" t="s">
        <v>90</v>
      </c>
      <c r="B472" s="159" t="s">
        <v>535</v>
      </c>
      <c r="C472" s="160" t="s">
        <v>988</v>
      </c>
    </row>
    <row r="473" spans="1:3">
      <c r="A473" t="s">
        <v>1483</v>
      </c>
      <c r="B473" s="70" t="s">
        <v>544</v>
      </c>
      <c r="C473" s="160" t="s">
        <v>1484</v>
      </c>
    </row>
    <row r="474" spans="1:3">
      <c r="A474" t="s">
        <v>1485</v>
      </c>
      <c r="B474" s="69" t="s">
        <v>545</v>
      </c>
      <c r="C474" s="160" t="s">
        <v>1486</v>
      </c>
    </row>
    <row r="475" spans="1:3">
      <c r="A475" s="158" t="s">
        <v>91</v>
      </c>
      <c r="B475" s="159" t="s">
        <v>544</v>
      </c>
      <c r="C475" s="160" t="s">
        <v>989</v>
      </c>
    </row>
    <row r="476" spans="1:3">
      <c r="A476" s="161" t="s">
        <v>92</v>
      </c>
      <c r="B476" s="74" t="s">
        <v>545</v>
      </c>
      <c r="C476" s="160" t="s">
        <v>917</v>
      </c>
    </row>
    <row r="477" spans="1:3">
      <c r="A477" s="161" t="s">
        <v>1487</v>
      </c>
      <c r="B477" t="s">
        <v>545</v>
      </c>
      <c r="C477" s="160"/>
    </row>
    <row r="478" spans="1:3">
      <c r="A478" s="161" t="s">
        <v>93</v>
      </c>
      <c r="B478" s="74" t="s">
        <v>546</v>
      </c>
      <c r="C478" s="160" t="s">
        <v>918</v>
      </c>
    </row>
    <row r="479" spans="1:3">
      <c r="A479" t="s">
        <v>1488</v>
      </c>
      <c r="B479" s="70" t="s">
        <v>547</v>
      </c>
      <c r="C479" s="160" t="s">
        <v>1489</v>
      </c>
    </row>
    <row r="480" spans="1:3">
      <c r="A480" s="158" t="s">
        <v>94</v>
      </c>
      <c r="B480" s="159" t="s">
        <v>547</v>
      </c>
      <c r="C480" s="160" t="s">
        <v>990</v>
      </c>
    </row>
    <row r="481" spans="1:3">
      <c r="A481" t="s">
        <v>1490</v>
      </c>
      <c r="B481" s="69" t="s">
        <v>548</v>
      </c>
      <c r="C481" s="160" t="s">
        <v>1491</v>
      </c>
    </row>
    <row r="482" spans="1:3">
      <c r="A482" s="161" t="s">
        <v>95</v>
      </c>
      <c r="B482" s="74" t="s">
        <v>548</v>
      </c>
      <c r="C482" s="160" t="s">
        <v>919</v>
      </c>
    </row>
    <row r="483" spans="1:3">
      <c r="A483" s="161" t="s">
        <v>96</v>
      </c>
      <c r="B483" s="74" t="s">
        <v>549</v>
      </c>
      <c r="C483" s="160" t="s">
        <v>920</v>
      </c>
    </row>
    <row r="484" spans="1:3">
      <c r="A484" t="s">
        <v>1492</v>
      </c>
      <c r="B484" s="69" t="s">
        <v>549</v>
      </c>
      <c r="C484" s="160" t="s">
        <v>1493</v>
      </c>
    </row>
    <row r="485" spans="1:3">
      <c r="A485" t="s">
        <v>1494</v>
      </c>
      <c r="B485" s="70" t="s">
        <v>1495</v>
      </c>
      <c r="C485" s="160" t="s">
        <v>1520</v>
      </c>
    </row>
    <row r="486" spans="1:3">
      <c r="A486" t="s">
        <v>1496</v>
      </c>
      <c r="B486" s="70" t="s">
        <v>550</v>
      </c>
      <c r="C486" s="160" t="s">
        <v>1521</v>
      </c>
    </row>
    <row r="487" spans="1:3">
      <c r="A487" s="161" t="s">
        <v>97</v>
      </c>
      <c r="B487" s="74" t="s">
        <v>550</v>
      </c>
      <c r="C487" s="160" t="s">
        <v>921</v>
      </c>
    </row>
    <row r="488" spans="1:3">
      <c r="A488" s="161" t="s">
        <v>98</v>
      </c>
      <c r="B488" s="74" t="s">
        <v>551</v>
      </c>
      <c r="C488" s="160" t="s">
        <v>922</v>
      </c>
    </row>
    <row r="489" spans="1:3">
      <c r="A489" s="161" t="s">
        <v>99</v>
      </c>
      <c r="B489" s="74" t="s">
        <v>923</v>
      </c>
      <c r="C489" s="160" t="s">
        <v>924</v>
      </c>
    </row>
    <row r="490" spans="1:3">
      <c r="A490" t="s">
        <v>1497</v>
      </c>
      <c r="B490" s="70" t="s">
        <v>1498</v>
      </c>
      <c r="C490" s="160" t="s">
        <v>1499</v>
      </c>
    </row>
    <row r="491" spans="1:3">
      <c r="A491" s="158" t="s">
        <v>100</v>
      </c>
      <c r="B491" s="159" t="s">
        <v>536</v>
      </c>
      <c r="C491" s="160" t="s">
        <v>991</v>
      </c>
    </row>
    <row r="492" spans="1:3">
      <c r="A492" s="158" t="s">
        <v>101</v>
      </c>
      <c r="B492" s="159" t="s">
        <v>552</v>
      </c>
      <c r="C492" s="160" t="s">
        <v>992</v>
      </c>
    </row>
    <row r="493" spans="1:3">
      <c r="A493" t="s">
        <v>1500</v>
      </c>
      <c r="B493" s="70" t="s">
        <v>541</v>
      </c>
      <c r="C493" s="160" t="s">
        <v>1501</v>
      </c>
    </row>
    <row r="494" spans="1:3">
      <c r="A494" s="158" t="s">
        <v>102</v>
      </c>
      <c r="B494" s="159" t="s">
        <v>548</v>
      </c>
      <c r="C494" s="160" t="s">
        <v>993</v>
      </c>
    </row>
    <row r="495" spans="1:3">
      <c r="A495" t="s">
        <v>1502</v>
      </c>
      <c r="B495" s="70" t="s">
        <v>1503</v>
      </c>
      <c r="C495" s="71" t="s">
        <v>1504</v>
      </c>
    </row>
    <row r="496" spans="1:3">
      <c r="A496" s="158" t="s">
        <v>103</v>
      </c>
      <c r="B496" s="159" t="s">
        <v>553</v>
      </c>
      <c r="C496" s="160" t="s">
        <v>994</v>
      </c>
    </row>
    <row r="497" spans="1:3">
      <c r="A497" t="s">
        <v>1505</v>
      </c>
      <c r="B497" s="69" t="s">
        <v>556</v>
      </c>
      <c r="C497" s="160" t="s">
        <v>1506</v>
      </c>
    </row>
    <row r="498" spans="1:3">
      <c r="A498" s="161" t="s">
        <v>1327</v>
      </c>
      <c r="B498" s="74" t="s">
        <v>1332</v>
      </c>
      <c r="C498" s="162" t="s">
        <v>1331</v>
      </c>
    </row>
    <row r="499" spans="1:3">
      <c r="A499" s="158" t="s">
        <v>108</v>
      </c>
      <c r="B499" s="159" t="s">
        <v>554</v>
      </c>
      <c r="C499" s="160" t="s">
        <v>995</v>
      </c>
    </row>
    <row r="500" spans="1:3">
      <c r="A500" s="161" t="s">
        <v>109</v>
      </c>
      <c r="B500" s="74" t="s">
        <v>556</v>
      </c>
      <c r="C500" s="160" t="s">
        <v>925</v>
      </c>
    </row>
    <row r="501" spans="1:3">
      <c r="A501" t="s">
        <v>1507</v>
      </c>
      <c r="B501" s="69" t="s">
        <v>1508</v>
      </c>
      <c r="C501" s="160" t="s">
        <v>1509</v>
      </c>
    </row>
    <row r="502" spans="1:3">
      <c r="A502" s="161" t="s">
        <v>105</v>
      </c>
      <c r="B502" s="74" t="s">
        <v>554</v>
      </c>
      <c r="C502" s="160" t="s">
        <v>926</v>
      </c>
    </row>
    <row r="503" spans="1:3">
      <c r="A503" s="68" t="s">
        <v>1385</v>
      </c>
      <c r="B503" s="74" t="s">
        <v>1397</v>
      </c>
      <c r="C503" s="67" t="s">
        <v>1398</v>
      </c>
    </row>
    <row r="504" spans="1:3">
      <c r="A504" s="161" t="s">
        <v>106</v>
      </c>
      <c r="B504" s="74" t="s">
        <v>554</v>
      </c>
      <c r="C504" s="160" t="s">
        <v>927</v>
      </c>
    </row>
    <row r="505" spans="1:3">
      <c r="A505" s="161" t="s">
        <v>110</v>
      </c>
      <c r="B505" s="74" t="s">
        <v>557</v>
      </c>
      <c r="C505" s="160" t="s">
        <v>928</v>
      </c>
    </row>
    <row r="506" spans="1:3">
      <c r="A506" s="161" t="s">
        <v>929</v>
      </c>
      <c r="B506" s="74" t="s">
        <v>930</v>
      </c>
      <c r="C506" s="160" t="s">
        <v>931</v>
      </c>
    </row>
    <row r="507" spans="1:3">
      <c r="A507" s="161" t="s">
        <v>111</v>
      </c>
      <c r="B507" s="74" t="s">
        <v>558</v>
      </c>
      <c r="C507" s="160" t="s">
        <v>932</v>
      </c>
    </row>
    <row r="508" spans="1:3">
      <c r="A508" s="161" t="s">
        <v>112</v>
      </c>
      <c r="B508" s="74" t="s">
        <v>559</v>
      </c>
      <c r="C508" s="160" t="s">
        <v>933</v>
      </c>
    </row>
    <row r="509" spans="1:3">
      <c r="A509" s="161" t="s">
        <v>113</v>
      </c>
      <c r="B509" s="74" t="s">
        <v>560</v>
      </c>
      <c r="C509" s="160" t="s">
        <v>934</v>
      </c>
    </row>
    <row r="510" spans="1:3">
      <c r="A510" s="158" t="s">
        <v>482</v>
      </c>
      <c r="B510" s="159" t="s">
        <v>560</v>
      </c>
      <c r="C510" s="160" t="s">
        <v>996</v>
      </c>
    </row>
    <row r="511" spans="1:3">
      <c r="A511" s="161" t="s">
        <v>1324</v>
      </c>
      <c r="B511" s="74" t="s">
        <v>1325</v>
      </c>
      <c r="C511" s="160" t="s">
        <v>1326</v>
      </c>
    </row>
    <row r="512" spans="1:3">
      <c r="A512" s="161" t="s">
        <v>114</v>
      </c>
      <c r="B512" s="74" t="s">
        <v>561</v>
      </c>
      <c r="C512" s="160" t="s">
        <v>935</v>
      </c>
    </row>
    <row r="513" spans="1:3">
      <c r="A513" t="s">
        <v>1510</v>
      </c>
      <c r="B513" s="69" t="s">
        <v>555</v>
      </c>
      <c r="C513" s="160" t="s">
        <v>1511</v>
      </c>
    </row>
    <row r="514" spans="1:3">
      <c r="A514" s="161" t="s">
        <v>107</v>
      </c>
      <c r="B514" s="74" t="s">
        <v>555</v>
      </c>
      <c r="C514" s="160" t="s">
        <v>936</v>
      </c>
    </row>
    <row r="515" spans="1:3">
      <c r="A515" t="s">
        <v>1512</v>
      </c>
      <c r="B515" s="69" t="s">
        <v>1513</v>
      </c>
      <c r="C515" s="160" t="s">
        <v>1514</v>
      </c>
    </row>
    <row r="516" spans="1:3">
      <c r="A516" t="s">
        <v>1515</v>
      </c>
      <c r="B516" s="69" t="s">
        <v>558</v>
      </c>
      <c r="C516" s="160" t="s">
        <v>1516</v>
      </c>
    </row>
    <row r="517" spans="1:3">
      <c r="A517" t="s">
        <v>1536</v>
      </c>
      <c r="B517" t="s">
        <v>1538</v>
      </c>
      <c r="C517" s="70" t="s">
        <v>1537</v>
      </c>
    </row>
  </sheetData>
  <conditionalFormatting sqref="A467">
    <cfRule type="duplicateValues" dxfId="0" priority="1"/>
  </conditionalFormatting>
  <hyperlinks>
    <hyperlink ref="B395" r:id="rId1" xr:uid="{879FF144-DD56-41B7-B94A-64C4F499F907}"/>
    <hyperlink ref="B388" r:id="rId2" xr:uid="{7714EE36-0227-433E-B6E5-DDE78D7A7941}"/>
    <hyperlink ref="B380" r:id="rId3" xr:uid="{A4082E76-D40C-47CF-84FD-1C9F441BAD48}"/>
    <hyperlink ref="B372" r:id="rId4" xr:uid="{D557D61D-06F7-4D0B-A0B6-908A1AE4C163}"/>
    <hyperlink ref="B371" r:id="rId5" xr:uid="{21DCBD60-3CE1-494D-9524-2BFC4A2FABB7}"/>
    <hyperlink ref="B370" r:id="rId6" xr:uid="{43B98CDB-7735-42BE-B312-39857EF39124}"/>
    <hyperlink ref="B369" r:id="rId7" xr:uid="{518DCEB5-F313-4CE1-9A54-CEC95441DCAA}"/>
    <hyperlink ref="B368" r:id="rId8" xr:uid="{1F74B86A-D844-43E6-837B-0241FA5FB99D}"/>
    <hyperlink ref="B366" r:id="rId9" xr:uid="{5805BC0F-AC80-4497-ACA3-8F0F7D994BF8}"/>
    <hyperlink ref="B361" r:id="rId10" xr:uid="{6F50889D-11BD-4E78-84FA-0901E51AE98B}"/>
    <hyperlink ref="B360" r:id="rId11" xr:uid="{82D6BC37-5FDD-48C8-9847-724C4E36DD9C}"/>
    <hyperlink ref="B356" r:id="rId12" xr:uid="{4E00976E-BE98-44E5-93CD-98CADDDC8486}"/>
    <hyperlink ref="B355" r:id="rId13" display="iQ500 Solo Bulaşık Makinesi, autoOpen dry, Beyaz" xr:uid="{8CF24A24-6C59-4DF1-95E7-A8D53409D628}"/>
    <hyperlink ref="B354" r:id="rId14" display="iQ500 Solo Bulaşık Makinesi, autoOpen dry, Inox" xr:uid="{0482BA91-7513-436C-9222-FF51AE36E893}"/>
    <hyperlink ref="B353" r:id="rId15" display="iQ500 Solo Bulaşık Makinesi, autoOpen dry, darkSteel" xr:uid="{B045F2FD-2966-40D2-8468-E5EA0F92A453}"/>
    <hyperlink ref="B349" r:id="rId16" xr:uid="{44C1A458-88DA-4CEB-93BB-2056623D33A9}"/>
    <hyperlink ref="B346" r:id="rId17" xr:uid="{E08CDA48-5150-44B5-91E3-216B3F69B4B5}"/>
    <hyperlink ref="B277" r:id="rId18" display="iQ700 Alttan Donduruculu Kulpsuz Buzdolabı, 86cm, Beyaz" xr:uid="{F900227E-10AB-4E14-92E7-3E668BDB4823}"/>
    <hyperlink ref="B276" r:id="rId19" display="iQ700 Alttan Donduruculu Kulpsuz Buzdolabı, 86cm, Inox" xr:uid="{4E109B78-F8B3-472B-AA4C-870379B534CA}"/>
    <hyperlink ref="B275" r:id="rId20" xr:uid="{BED8A18D-54A4-44C2-8F1D-D42D9A3D1899}"/>
    <hyperlink ref="B270" r:id="rId21" xr:uid="{76D74F20-5BD9-41AE-9969-72007E175178}"/>
    <hyperlink ref="B269" r:id="rId22" xr:uid="{63C59B04-FA53-4E26-BAF8-5DB3C2BB258B}"/>
    <hyperlink ref="B268" r:id="rId23" xr:uid="{4B1E2EC2-CFA1-4BFD-810A-6348DD95DEDB}"/>
    <hyperlink ref="B266" r:id="rId24" xr:uid="{06503113-5AC0-4D17-8E50-409A179E35B3}"/>
    <hyperlink ref="B265" r:id="rId25" xr:uid="{47FD4FAC-A703-4E48-ABB6-797DED9E27FA}"/>
    <hyperlink ref="B264" r:id="rId26" xr:uid="{3A77FFE7-4894-4642-B1B8-F45EF15531EE}"/>
    <hyperlink ref="B263" r:id="rId27" xr:uid="{467E50ED-4995-4967-97BA-5CA9AE1DC468}"/>
    <hyperlink ref="B256" r:id="rId28" xr:uid="{5EC05675-4B41-419C-B47D-AD000E9F7134}"/>
    <hyperlink ref="B255" r:id="rId29" xr:uid="{AD806E0D-004E-46D1-9C9A-A8DC33DC579C}"/>
    <hyperlink ref="B254" r:id="rId30" xr:uid="{273EE002-A5AF-446E-AE7B-06538B6D20F8}"/>
    <hyperlink ref="B253" r:id="rId31" xr:uid="{38B41444-FDCC-43F7-AD15-04782269E718}"/>
    <hyperlink ref="B252" r:id="rId32" xr:uid="{B07F838A-0B48-46CD-9104-722E698231D3}"/>
    <hyperlink ref="B250" r:id="rId33" xr:uid="{59D8070C-F5EF-42BC-9F15-8E94A89607CC}"/>
    <hyperlink ref="B249" r:id="rId34" xr:uid="{0F87C54A-AAD2-4607-B787-D279674ADCDB}"/>
    <hyperlink ref="B243" r:id="rId35" xr:uid="{D969EB63-2692-4F37-B526-73E497A115CD}"/>
    <hyperlink ref="B166" r:id="rId36" display="iQ300 Solo Derin Dondurucu, 60cm, Inox" xr:uid="{93CAEC6A-7C02-4289-B0FD-5700E9F3118A}"/>
    <hyperlink ref="B62" r:id="rId37" xr:uid="{99D14D14-D805-424D-B347-A0B322712CF6}"/>
    <hyperlink ref="B61" r:id="rId38" xr:uid="{93819A3C-A420-4C2B-9250-1A59F08280CB}"/>
    <hyperlink ref="B60" r:id="rId39" xr:uid="{353BDC28-1450-4A5B-BB19-3F34DFEA9FDC}"/>
    <hyperlink ref="B59" r:id="rId40" xr:uid="{A7133D06-3058-48F7-BC24-4F949FEABB77}"/>
    <hyperlink ref="B29" r:id="rId41" xr:uid="{4CC99705-2EA7-4808-AD72-845D1BAAD2B4}"/>
    <hyperlink ref="B26" r:id="rId42" xr:uid="{AAD7ACEB-ECC9-48AB-AC39-D91F6BA8E6BD}"/>
    <hyperlink ref="B21" r:id="rId43" xr:uid="{ADF8AB64-8FD0-48FF-A206-96058DB3CF96}"/>
    <hyperlink ref="B17" r:id="rId44" xr:uid="{347FF60A-8DE4-4B21-8A63-CB1D8944C492}"/>
    <hyperlink ref="B16" r:id="rId45" xr:uid="{865BF0D1-AD5F-403A-9F6E-91A7F937C6EA}"/>
    <hyperlink ref="B456" r:id="rId46" xr:uid="{919ED7A8-45C5-4D1E-AFB4-9850C00EF277}"/>
    <hyperlink ref="B459" r:id="rId47" xr:uid="{B8DD32DB-6BB1-4CCE-81F1-5913E2B0564E}"/>
    <hyperlink ref="B462" r:id="rId48" xr:uid="{1E95E2F2-A595-4272-B178-AB4DB5243292}"/>
    <hyperlink ref="B463" r:id="rId49" xr:uid="{11B7BAC6-C1F3-4888-9B4E-21EF5A2EC742}"/>
    <hyperlink ref="B469" r:id="rId50" xr:uid="{D85A2479-A53F-47DC-83DE-B3BAD24930D1}"/>
    <hyperlink ref="B476" r:id="rId51" xr:uid="{D0B96D3A-5027-4955-9620-0D4AE37B0894}"/>
    <hyperlink ref="B478" r:id="rId52" xr:uid="{09ACFE99-BAE6-43AC-BABA-2E0DEFB3A4C5}"/>
    <hyperlink ref="B482" r:id="rId53" xr:uid="{EC08674B-E9C1-4BE8-B84E-D765E0B0F95E}"/>
    <hyperlink ref="B483" r:id="rId54" xr:uid="{4502C62B-4793-41F8-BD0D-DC145351D3B5}"/>
    <hyperlink ref="B487" r:id="rId55" xr:uid="{88F39825-B421-4AB6-BCF5-834D3A044FCD}"/>
    <hyperlink ref="B488" r:id="rId56" xr:uid="{215933E4-757A-4008-B08C-6BAA02C1CEF7}"/>
    <hyperlink ref="B489" r:id="rId57" xr:uid="{9E74AFF5-D91C-458C-B4A3-943A0E9C9148}"/>
    <hyperlink ref="B500" r:id="rId58" xr:uid="{35F7E753-678E-4365-8DDC-4B9CD692909B}"/>
    <hyperlink ref="B502" r:id="rId59" xr:uid="{CDFFC0A3-9490-4981-B5C4-D570ABA3A8F4}"/>
    <hyperlink ref="B504" r:id="rId60" xr:uid="{65C4A000-F42D-454A-A688-6E5ED723ED6B}"/>
    <hyperlink ref="B505" r:id="rId61" xr:uid="{085C327C-639B-4AA2-AA0F-A83BD76D00FB}"/>
    <hyperlink ref="B506" r:id="rId62" xr:uid="{4339FD33-67C9-4004-A98C-FE0BE6F479F2}"/>
    <hyperlink ref="B507" r:id="rId63" display="iQ700 Isı Pompalı Kurutma Makinesi, 9kg, SelfClean, Beyaz" xr:uid="{4EFCD4B5-48C0-4356-A101-95437E4C8959}"/>
    <hyperlink ref="B508" r:id="rId64" display="iQ700 Isı Pompalı Kurutma Makinesi, 9kg, SelfClean, Gümüş" xr:uid="{89AFC9A6-B76F-4E36-8546-0DFDAFA82DEF}"/>
    <hyperlink ref="B509" r:id="rId65" xr:uid="{D1A368C1-8607-4F6F-A3BF-38FB8B7AA764}"/>
    <hyperlink ref="B512" r:id="rId66" xr:uid="{DF3DE340-69C1-4A42-8B68-380D5F955A82}"/>
    <hyperlink ref="B514" r:id="rId67" xr:uid="{967E535B-E481-4AA3-BB08-FB0041CE9D15}"/>
    <hyperlink ref="B231" r:id="rId68" xr:uid="{59E44079-1AA0-4E8C-AC66-1E9F6C2D7742}"/>
    <hyperlink ref="B251" r:id="rId69" xr:uid="{64DB5E61-3F66-4347-96A0-EA641768C3ED}"/>
    <hyperlink ref="B233" r:id="rId70" xr:uid="{D523648A-C5DD-49B5-86A5-F8BDF442A217}"/>
    <hyperlink ref="B235" r:id="rId71" xr:uid="{DD11D7FC-3063-4A00-8517-C14393148AF2}"/>
    <hyperlink ref="B236" r:id="rId72" xr:uid="{B40AEE66-F4A8-45D3-A539-1DDDEB51661B}"/>
    <hyperlink ref="B237" r:id="rId73" xr:uid="{0B0FC689-3A1C-4B71-B904-E547D1D06181}"/>
    <hyperlink ref="B238" r:id="rId74" xr:uid="{DF6401A8-2DD9-458E-BE77-2EB41059D542}"/>
    <hyperlink ref="B240" r:id="rId75" xr:uid="{DC66471D-032D-41FF-A31F-5993D4278C76}"/>
    <hyperlink ref="B241" r:id="rId76" xr:uid="{591CE54B-3544-43EF-837C-3676E75BA4D7}"/>
    <hyperlink ref="B244" r:id="rId77" xr:uid="{88A7771A-BA53-47EF-ADEC-DDF12FA61C12}"/>
    <hyperlink ref="B245" r:id="rId78" xr:uid="{93A8687F-8542-4869-94B6-6B043A74D5AA}"/>
    <hyperlink ref="B246" r:id="rId79" xr:uid="{A9AC5EB1-45FF-4798-B72A-17135CCB7F8D}"/>
    <hyperlink ref="B247" r:id="rId80" xr:uid="{036E4781-77D2-4C8A-AC2D-125FFA59D955}"/>
    <hyperlink ref="B248" r:id="rId81" xr:uid="{0EE5030C-D430-4C34-9661-A013E3910A45}"/>
    <hyperlink ref="B257" r:id="rId82" xr:uid="{AF8913B9-50BD-418F-8F3C-BEBBF85AF85B}"/>
    <hyperlink ref="B258" r:id="rId83" xr:uid="{B29A0189-5CC9-401C-AD41-B41A53849BEF}"/>
    <hyperlink ref="B259" r:id="rId84" xr:uid="{1855B96A-3875-4EC3-9633-0090490E87B4}"/>
    <hyperlink ref="B260" r:id="rId85" xr:uid="{B58F3E07-EC14-4EEB-B270-C2BD39A9B0E4}"/>
    <hyperlink ref="B261" r:id="rId86" xr:uid="{05792384-57BD-43A4-BE52-54AAC8749F80}"/>
    <hyperlink ref="B262" r:id="rId87" xr:uid="{03B4FBB3-0ED8-4845-BABA-6E79634B0CA8}"/>
    <hyperlink ref="B267" r:id="rId88" xr:uid="{7FBA06B6-AB41-4E6D-A168-E837459D7E2B}"/>
    <hyperlink ref="B271" r:id="rId89" xr:uid="{A1D87306-8387-485C-9469-0A93A3ED6FEE}"/>
    <hyperlink ref="B272" r:id="rId90" xr:uid="{7901FB6D-225D-48FE-B273-AEBE87C3DD6E}"/>
    <hyperlink ref="B273" r:id="rId91" xr:uid="{ECECFA61-F303-4A9F-8CF5-EF883858857C}"/>
    <hyperlink ref="B160" r:id="rId92" display="iQ300 Derin Dondurucu, 146x60cm, Beyaz" xr:uid="{AE17C24D-B232-4B0D-901D-46FC368FA29E}"/>
    <hyperlink ref="B161" r:id="rId93" display="iQ300 Derin Dondurucu, 146x60cm, Beyaz" xr:uid="{D9905D64-8592-4882-95CA-A6C45B8513A5}"/>
    <hyperlink ref="B162" r:id="rId94" display="iQ300 Derin Dondurucu, 161x60cm, Beyaz" xr:uid="{688F5A38-8CD7-41EF-9E1E-9E274A0071A7}"/>
    <hyperlink ref="B163" r:id="rId95" display="iQ300 Derin Dondurucu, 161x60cm, Beyaz" xr:uid="{29B34D1A-6522-4860-808C-6C13218022D3}"/>
    <hyperlink ref="B164" r:id="rId96" display="iQ300 Derin Dondurucu, 176x60cm, Inox" xr:uid="{79707DC5-588A-4FC6-893E-A58C41EED503}"/>
    <hyperlink ref="B165" r:id="rId97" xr:uid="{153532EF-AA1F-43B9-BF92-A904DDB17031}"/>
    <hyperlink ref="B168" r:id="rId98" xr:uid="{C3F44014-04E0-417A-BF73-F285D87B748E}"/>
    <hyperlink ref="B169" r:id="rId99" xr:uid="{C0597D92-7F7B-45EE-AADD-FC0019E0E467}"/>
    <hyperlink ref="B43" r:id="rId100" xr:uid="{5DB4165E-7622-44F8-BB92-EEF1DF90EEE6}"/>
    <hyperlink ref="B44" r:id="rId101" xr:uid="{81014122-CFF1-4FB9-8C66-4A12901578E7}"/>
    <hyperlink ref="B45" r:id="rId102" xr:uid="{B17437B1-C4AA-40C3-9D75-2AABE1722FD6}"/>
    <hyperlink ref="B47" r:id="rId103" xr:uid="{FC42462D-9D27-43BF-B8A6-9B7DDBC67CA5}"/>
    <hyperlink ref="B156" r:id="rId104" xr:uid="{7C3DA318-E064-40D1-A3B2-2141FCE7540D}"/>
    <hyperlink ref="B157" r:id="rId105" xr:uid="{CAC67CBA-6C73-4EA2-92CC-935AFBA86C47}"/>
    <hyperlink ref="B281" r:id="rId106" xr:uid="{402E8A47-1156-4C66-9273-FB2CD1C64DB9}"/>
    <hyperlink ref="B282" r:id="rId107" xr:uid="{9DC0D730-BB31-41E7-8291-11CFC2BC845B}"/>
    <hyperlink ref="B278" r:id="rId108" xr:uid="{449AE8A0-FA32-4065-AB35-200745B321EC}"/>
    <hyperlink ref="B279" r:id="rId109" xr:uid="{010FD511-0A53-437F-9FCC-70C78037EEAA}"/>
    <hyperlink ref="B280" r:id="rId110" xr:uid="{5AE58859-A3A8-48D5-9710-627902B4A5C3}"/>
    <hyperlink ref="B232" r:id="rId111" xr:uid="{B613CB1D-A7EC-4723-AD49-DCDE33BB8D66}"/>
    <hyperlink ref="B455" r:id="rId112" xr:uid="{55F1484C-95F4-4E21-A69C-2A3BD0B940E1}"/>
    <hyperlink ref="B457" r:id="rId113" xr:uid="{EFE2CEEA-7396-41AD-896E-60ADD82ABACE}"/>
    <hyperlink ref="B464" r:id="rId114" xr:uid="{AA3B2629-72F4-4364-ABC3-B780E57BC25F}"/>
    <hyperlink ref="B465" r:id="rId115" xr:uid="{52E80D2C-2EA1-4725-BA26-57DE85932D31}"/>
    <hyperlink ref="B466" r:id="rId116" xr:uid="{50B51F53-B381-4A4C-8A17-92A3F8B0BEB8}"/>
    <hyperlink ref="B468" r:id="rId117" xr:uid="{82D1ACD4-E64F-4CC4-B264-D134B3736D38}"/>
    <hyperlink ref="B471" r:id="rId118" xr:uid="{943FAB75-4670-459C-89F6-1BAE7AC97567}"/>
    <hyperlink ref="B472" r:id="rId119" xr:uid="{6C575018-BF3D-42CD-98FD-32656C912B5E}"/>
    <hyperlink ref="B475" r:id="rId120" xr:uid="{5C7BDE5D-3872-48A0-99C3-D8B65BFF6B0F}"/>
    <hyperlink ref="B480" r:id="rId121" xr:uid="{939ABF0A-D97E-4E1B-B3CB-AA6D0CE0E983}"/>
    <hyperlink ref="B491" r:id="rId122" xr:uid="{BBECAE3F-4A05-4463-931D-85DDB0211FF2}"/>
    <hyperlink ref="B492" r:id="rId123" xr:uid="{0537601D-4F82-4351-9855-350D25FF7CCD}"/>
    <hyperlink ref="B494" r:id="rId124" xr:uid="{E5CFF6BC-3162-43BE-A587-7A6199722076}"/>
    <hyperlink ref="B496" r:id="rId125" xr:uid="{A4D76592-5353-40B2-883B-D4A95FFA1976}"/>
    <hyperlink ref="B499" r:id="rId126" xr:uid="{8C5FF65D-E6B5-4C5E-A538-5F454E7F8B31}"/>
    <hyperlink ref="B510" r:id="rId127" xr:uid="{3341ED40-572D-48EA-82FC-166A30DE50B8}"/>
    <hyperlink ref="B373" r:id="rId128" xr:uid="{85DCD647-7315-44C1-BE35-7D70DB34EBF9}"/>
    <hyperlink ref="B357" r:id="rId129" xr:uid="{B29B6C79-5853-4526-A93F-4DECFC4A14F2}"/>
    <hyperlink ref="B362" r:id="rId130" xr:uid="{13CCDFA2-405D-4A01-AF9E-28408B9C3869}"/>
    <hyperlink ref="B364" r:id="rId131" xr:uid="{29D3CEA6-DB85-4DE9-9F38-7A84F4C0C58F}"/>
    <hyperlink ref="B365" r:id="rId132" xr:uid="{BB750B0C-5DC9-436F-B81B-DDC2169B6C17}"/>
    <hyperlink ref="B359" r:id="rId133" xr:uid="{0AC0355E-F786-4E62-A71D-337284969353}"/>
    <hyperlink ref="B377" r:id="rId134" xr:uid="{D5F805E1-9CCD-40F5-80CC-880BBC2F81F4}"/>
    <hyperlink ref="B374" r:id="rId135" xr:uid="{6FB68C5D-010E-49C2-A479-DCA3DAE8304B}"/>
    <hyperlink ref="B375" r:id="rId136" display="iQ500 Solo Bulaşık Makinesi, autoOpen dry, Inox" xr:uid="{ABAB1E48-D12D-44D3-81C8-BB6013B058AD}"/>
    <hyperlink ref="B378" r:id="rId137" xr:uid="{A88CE8C2-D032-4BF1-AFBB-5E43F4BAD7E1}"/>
    <hyperlink ref="B379" r:id="rId138" xr:uid="{F5B9C5B5-08B3-4C95-8FCA-386C0DF1E091}"/>
    <hyperlink ref="B376" r:id="rId139" display="iQ500 Solo Bulaşık Makinesi, autoOpen dry, Üstten Sepetli, Inox" xr:uid="{CA3D7B0B-B85F-483C-ACB6-C5AF82F42180}"/>
    <hyperlink ref="B383" r:id="rId140" xr:uid="{363EE2C1-CABF-4678-B5F0-D432A6296FE6}"/>
    <hyperlink ref="B386" r:id="rId141" xr:uid="{A23D3406-3027-4238-A80E-5F74823947C9}"/>
    <hyperlink ref="B385" r:id="rId142" xr:uid="{BD8840EE-0AFF-4089-97F0-B35F427499E6}"/>
    <hyperlink ref="B389" r:id="rId143" xr:uid="{55AD104B-8FAC-431D-A7D9-FEB6B52B70EB}"/>
    <hyperlink ref="B387" r:id="rId144" xr:uid="{AC49EB06-FCC2-41FA-A476-0A85D4BD90B0}"/>
    <hyperlink ref="B390" r:id="rId145" xr:uid="{CBBF557E-D01B-4B12-BB17-5BB044DAAD9B}"/>
    <hyperlink ref="B391" r:id="rId146" xr:uid="{63A7D448-8E77-4FC8-81BA-981CF0FA79DA}"/>
    <hyperlink ref="B392" r:id="rId147" xr:uid="{62C01B37-DCDD-4FB3-B0A7-21013E373B20}"/>
    <hyperlink ref="B393" r:id="rId148" xr:uid="{D80D9E0B-0CFF-4BFD-BD10-CA904FCD21E8}"/>
    <hyperlink ref="B397" r:id="rId149" xr:uid="{BD05D05D-2E91-46C1-84AD-F784F4749009}"/>
    <hyperlink ref="B398" r:id="rId150" xr:uid="{0121FAE4-68EC-4630-BF9E-9DD45C66C48F}"/>
    <hyperlink ref="B400" r:id="rId151" xr:uid="{243F1FE6-62DC-4A35-9FFA-CE71B033FF07}"/>
    <hyperlink ref="B401" r:id="rId152" xr:uid="{F14CE331-2C31-4564-A7EB-5D1F73238399}"/>
    <hyperlink ref="B403" r:id="rId153" xr:uid="{E6E620F9-D52C-4417-B2D6-FC84E9B992EC}"/>
    <hyperlink ref="B404" r:id="rId154" xr:uid="{CEC465B4-9352-46A8-9FF6-2EDEA05D94C7}"/>
    <hyperlink ref="B173" r:id="rId155" xr:uid="{D416ED5C-5D9E-4DA0-8FEC-F41764509E92}"/>
    <hyperlink ref="B184" r:id="rId156" display="iQ500 Ankastre Fırın, 1 Tele-Ray, darkSteel" xr:uid="{7D30B84F-FEA0-42E5-97DD-0F45971C1237}"/>
    <hyperlink ref="B188" r:id="rId157" xr:uid="{C56B31D0-D812-448B-80F8-DF195D263BBD}"/>
    <hyperlink ref="B192" r:id="rId158" display="iQ300 Ankastre Fırın, 1 Tele-Ray, Arkası Kendini Temizler, Siyah/Inox" xr:uid="{DABC0DFE-53E6-4EB4-B9D0-F020D4D56957}"/>
    <hyperlink ref="B197" r:id="rId159" display="iQ300 Ankastre Fırın, 2 Tele-Ray, Siyah/Inox" xr:uid="{1B5D7D7E-11C0-43D9-ADD3-7124A18EA8F7}"/>
    <hyperlink ref="B205" r:id="rId160" xr:uid="{2066808A-098E-448A-9BE3-369F33164F2F}"/>
    <hyperlink ref="B212" r:id="rId161" display="iQ500 Ankastre Fırın, 2 Tele-Ray, Komple Kendini Temizler, Siyah" xr:uid="{9ECBE9FA-6E3D-433C-89BE-20D60FDF2488}"/>
    <hyperlink ref="B213" r:id="rId162" display="iQ500 Ankastre Fırın, 2 Tele-Ray, Komple Kendini Temizler, Antrasit" xr:uid="{B4410955-B861-4FC2-8386-3B04F968EC11}"/>
    <hyperlink ref="B214" r:id="rId163" display="iQ500 Ankastre Fırın, 2 Tele-Ray, Komple Kendini Temizler, Beyaz" xr:uid="{3056B8FC-B499-406C-9DC7-6F71285F9982}"/>
    <hyperlink ref="B218" r:id="rId164" xr:uid="{C058BBD8-32E1-4ED7-AF53-34552A3989FE}"/>
    <hyperlink ref="B219" r:id="rId165" xr:uid="{FD4C8BAF-5D83-43D1-8748-388D7526F688}"/>
    <hyperlink ref="B222" r:id="rId166" xr:uid="{51766167-8607-4EA3-93F1-828C3A1AF5F6}"/>
    <hyperlink ref="B224" r:id="rId167" xr:uid="{AFAD7EF9-96AE-4E62-A6AD-BF7D3D8D63FA}"/>
    <hyperlink ref="B225" r:id="rId168" display="iQ300 Ankastre Fırın, 1 Tele-Ray, Arkası Kendini Temizler, Siyah" xr:uid="{73C0C9C9-BEC0-4468-A43B-3E1441969A85}"/>
    <hyperlink ref="B227" r:id="rId169" display="iQ300 Ankastre Fırın, 1 Tele-Ray, Arkası Kendini Temizler, Antrasit" xr:uid="{7204F6E9-E4C3-4590-B0FA-98D3E6547F00}"/>
    <hyperlink ref="B229" r:id="rId170" xr:uid="{7634F3EE-1AA3-4514-B54E-9BD89415B708}"/>
    <hyperlink ref="B217" r:id="rId171" display="iQ300 Buhar Destekli Ankastre Fırın, 1 Tele-Ray, Arkası Kendini Temizler, Siyah" xr:uid="{8782D553-5EC2-49C0-B772-CBA800F5947C}"/>
    <hyperlink ref="B223" r:id="rId172" xr:uid="{D7471006-CB83-42F5-855A-8848F203B1B0}"/>
    <hyperlink ref="B226" r:id="rId173" display="iQ300 Buhar Destekli Ankastre Fırın, 1 Tele-Ray, Arkası Kendini Temizler, Siyah" xr:uid="{FC1E7E74-B824-40ED-AF5F-0037605C8BFF}"/>
    <hyperlink ref="B228" r:id="rId174" display="iQ300 Buhar Destekli Ankastre Fırın, 1 Tele-Ray, Arkası Kendini Temizler, Beyaz" xr:uid="{3A8E6C2A-2CB2-429A-B500-43E9ABBC50D3}"/>
    <hyperlink ref="B171" r:id="rId175" xr:uid="{A782ADC7-FF69-4D2C-A213-D16C26A8459A}"/>
    <hyperlink ref="B172" r:id="rId176" xr:uid="{56654A4A-3A0B-4764-9B4C-A97C70B22919}"/>
    <hyperlink ref="B176" r:id="rId177" xr:uid="{87807AFC-3C09-430B-8479-04C7E2AA60B7}"/>
    <hyperlink ref="B177" r:id="rId178" xr:uid="{064A4331-EB92-42E8-BA15-25478ABE6016}"/>
    <hyperlink ref="B179" r:id="rId179" xr:uid="{A0C3BB74-AF58-46DD-8FEA-23493E47BADD}"/>
    <hyperlink ref="B181" r:id="rId180" xr:uid="{5312AAF4-C87B-4034-8319-3E6AAAD9AC1D}"/>
    <hyperlink ref="B182" r:id="rId181" xr:uid="{AF6AF3C2-1129-4868-8A30-48570BB32525}"/>
    <hyperlink ref="B183" r:id="rId182" display="iQ500 Ankastre Fırın, 1 Teleskopik Ray, Arkası Kendini Temizler, darkSteel" xr:uid="{A80C17A1-DA36-4169-A8C4-6A33FA4ADCB4}"/>
    <hyperlink ref="B187" r:id="rId183" xr:uid="{CAB4F283-2F28-429E-97AB-5972B70865D3}"/>
    <hyperlink ref="B186" r:id="rId184" xr:uid="{246672EF-ABE5-4E60-A774-A8FDCC45BFE8}"/>
    <hyperlink ref="B190" r:id="rId185" xr:uid="{BC6BCEDF-9336-4B5A-A517-022470579231}"/>
    <hyperlink ref="B191" r:id="rId186" xr:uid="{6A04557F-38FF-49F5-BEB3-CF5B6FE74E9F}"/>
    <hyperlink ref="B193" r:id="rId187" xr:uid="{870EBDCA-7627-479C-AFD3-6B964B171D19}"/>
    <hyperlink ref="B194" r:id="rId188" xr:uid="{80D8DE22-0181-4E25-9C32-9641B593A721}"/>
    <hyperlink ref="B196" r:id="rId189" xr:uid="{2E17E071-A039-4C4B-8699-D133E9DC481D}"/>
    <hyperlink ref="B198" r:id="rId190" xr:uid="{05F7463B-3096-4212-B8DB-C03C7F75AD47}"/>
    <hyperlink ref="B200" r:id="rId191" xr:uid="{BB6AFD4C-25DB-41C0-BBEC-E7D4EE226CC4}"/>
    <hyperlink ref="B202" r:id="rId192" xr:uid="{1FCC2AA4-17A3-43E1-8677-E5C8CA04C03B}"/>
    <hyperlink ref="B203" r:id="rId193" xr:uid="{DB9F2210-5865-4C11-811A-E92575CEF43D}"/>
    <hyperlink ref="B204" r:id="rId194" xr:uid="{5F7AE2C1-24E4-4EB2-AFF0-C18201425876}"/>
    <hyperlink ref="B206" r:id="rId195" xr:uid="{D3D5F82C-9848-4A46-AF09-CDFCC27E3E91}"/>
    <hyperlink ref="B207" r:id="rId196" xr:uid="{CE435BB1-C9B0-432E-9D18-0E888DED90D6}"/>
    <hyperlink ref="B209" r:id="rId197" xr:uid="{624ABD5C-8814-4BAF-A917-B4F309BB311D}"/>
    <hyperlink ref="B215" r:id="rId198" xr:uid="{DD7BD710-A0D4-4EEC-8221-CD5E85B13C90}"/>
    <hyperlink ref="B220" r:id="rId199" xr:uid="{99318E3C-CF18-4D24-AF88-4CA8DDC9EE53}"/>
    <hyperlink ref="B221" r:id="rId200" display="iQ700 Buhar Destekli Ankastre Fırın, 3 Teleskopik Ray, Komple Kendini Temizler, Siyah" xr:uid="{988036D6-292A-4507-AFF9-D628D36156D4}"/>
    <hyperlink ref="B208" r:id="rId201" xr:uid="{B69AAB9F-5495-4FBD-B9D3-37362C2219A8}"/>
    <hyperlink ref="B216" r:id="rId202" xr:uid="{94C96321-C110-43E9-A0AE-CA433FB20C6D}"/>
    <hyperlink ref="B52" r:id="rId203" xr:uid="{018448F7-835C-404F-B3A5-7A2BEF6830B3}"/>
    <hyperlink ref="B36" r:id="rId204" xr:uid="{84BF0A17-EDA1-47CE-AE16-D835123CEFBA}"/>
    <hyperlink ref="B37" r:id="rId205" xr:uid="{E8C07E06-0FFE-4BB3-ACD9-21EB00A1BB36}"/>
    <hyperlink ref="B53" r:id="rId206" xr:uid="{840AA862-99F6-46F8-9A27-F6BCE54E77BB}"/>
    <hyperlink ref="B18" r:id="rId207" xr:uid="{1DDF64DE-B5E9-4D09-B6F1-F8655534147D}"/>
    <hyperlink ref="B20" r:id="rId208" xr:uid="{310CF762-9DB7-4112-B81D-D16C4F3198FE}"/>
    <hyperlink ref="B19" r:id="rId209" xr:uid="{FABBF171-B4E8-4940-8653-260E628C79A2}"/>
    <hyperlink ref="B22" r:id="rId210" xr:uid="{B41FF8CC-DB88-4AAA-B28A-0756B0B35E86}"/>
    <hyperlink ref="B23" r:id="rId211" xr:uid="{A25DF4C2-0A09-4C76-B9BA-A60D4A914F97}"/>
    <hyperlink ref="B24" r:id="rId212" location="/Tabs=section-spareparts/" xr:uid="{31FD369E-E887-4EFC-972B-0EA9D0F63CCA}"/>
    <hyperlink ref="B25" r:id="rId213" xr:uid="{4B10BC41-E772-4676-A3BE-0ADB504F5297}"/>
    <hyperlink ref="B27" r:id="rId214" xr:uid="{3482BE3D-FD8C-44C0-8EC7-E49F74A5669B}"/>
    <hyperlink ref="B28" r:id="rId215" xr:uid="{022867EB-2911-4C02-A68B-139DC56B17C0}"/>
    <hyperlink ref="B30" r:id="rId216" xr:uid="{03A1EAFC-6014-408F-BA34-915F1A29103A}"/>
    <hyperlink ref="B31" r:id="rId217" xr:uid="{8BF9F064-67DD-4E68-9395-E43DAD659265}"/>
    <hyperlink ref="B32" r:id="rId218" xr:uid="{F77928E4-3CB7-452D-997B-A4F1093EB2D8}"/>
    <hyperlink ref="B153" r:id="rId219" xr:uid="{9946735C-DA4D-4770-9CDA-7106EE1FF136}"/>
    <hyperlink ref="B154" r:id="rId220" xr:uid="{9F6CF14F-A112-4BA4-9954-C5F69682D86B}"/>
    <hyperlink ref="B155" r:id="rId221" xr:uid="{B46B6577-0F3E-425C-A100-A400EE9AE782}"/>
    <hyperlink ref="B296" r:id="rId222" xr:uid="{222FC0FF-A429-474D-B508-02E36068285D}"/>
    <hyperlink ref="B300" r:id="rId223" xr:uid="{8840560F-B5CC-453F-BE8C-414EAE5CAA24}"/>
    <hyperlink ref="B304" r:id="rId224" xr:uid="{31CD185C-35F2-4929-B8D9-261D21E8428E}"/>
    <hyperlink ref="B305" r:id="rId225" xr:uid="{86BB8AB3-6DF9-4E7D-8446-5127376A16AA}"/>
    <hyperlink ref="B306" r:id="rId226" xr:uid="{68A44CCD-E8EA-4FC3-96C5-0AC361A75F02}"/>
    <hyperlink ref="B308" r:id="rId227" xr:uid="{EFD9F93C-9239-459F-B226-172BDAE02B17}"/>
    <hyperlink ref="B318" r:id="rId228" xr:uid="{E28B06DC-75C4-49A6-9EDB-5B94F92CFB4A}"/>
    <hyperlink ref="B293" r:id="rId229" xr:uid="{0C136A7A-C4EC-445D-A1F5-4C3ED5F46A35}"/>
    <hyperlink ref="B294" r:id="rId230" xr:uid="{4ACA60FB-54AD-45FA-AABB-E6DB2258E896}"/>
    <hyperlink ref="B295" r:id="rId231" xr:uid="{9787C4FE-6136-4989-909E-FB067D29301F}"/>
    <hyperlink ref="B287" r:id="rId232" xr:uid="{58A12D80-22B4-455F-99A1-DEEF2E5CD514}"/>
    <hyperlink ref="B288" r:id="rId233" xr:uid="{9AF6CC89-42B8-4019-8583-DB7C3DDB1945}"/>
    <hyperlink ref="B289" r:id="rId234" xr:uid="{EE14F9CD-8B45-4EF0-985B-154027B0AE38}"/>
    <hyperlink ref="B303" r:id="rId235" xr:uid="{DE043171-8EFC-48F3-A3C1-BBDEF8C0571C}"/>
    <hyperlink ref="B298" r:id="rId236" xr:uid="{7AD58907-7EA2-4A8C-9FCC-BB60B010193B}"/>
    <hyperlink ref="B299" r:id="rId237" xr:uid="{695BECC5-5180-4FE7-8DEA-8F35FD4AADA0}"/>
    <hyperlink ref="B302" r:id="rId238" xr:uid="{A9F9484E-9162-47FE-B94B-DCFDC2A09E34}"/>
    <hyperlink ref="B290" r:id="rId239" xr:uid="{AD9F700F-D321-4326-8E86-3BE05FCC844C}"/>
    <hyperlink ref="B291" r:id="rId240" xr:uid="{90BF49ED-EE6F-4771-9B14-5073FEC92E55}"/>
    <hyperlink ref="B292" r:id="rId241" xr:uid="{62FBA722-24CF-4455-96A6-42C4C551A331}"/>
    <hyperlink ref="B307" r:id="rId242" xr:uid="{7AFD517F-A436-4013-BE06-464A8A382075}"/>
    <hyperlink ref="B297" r:id="rId243" xr:uid="{CFC68DAA-ED04-4801-957B-93522F64BFD3}"/>
    <hyperlink ref="B310" r:id="rId244" xr:uid="{0C5D5A3F-E859-4B76-B596-76C8DAE30815}"/>
    <hyperlink ref="B311" r:id="rId245" xr:uid="{DD460369-BF95-4C8D-9E4A-3AEA848B85A6}"/>
    <hyperlink ref="B314" r:id="rId246" xr:uid="{A4B8F491-0293-4863-AE9A-831CC90C3CD8}"/>
    <hyperlink ref="B315" r:id="rId247" xr:uid="{9EFEBFC5-67AB-4CC7-B764-43E25A381D1A}"/>
    <hyperlink ref="B317" r:id="rId248" xr:uid="{A613B655-BF0C-438A-A42B-AE5950166C57}"/>
    <hyperlink ref="B312" r:id="rId249" xr:uid="{77DAABC4-EE30-4E80-B30F-1124E1E67782}"/>
    <hyperlink ref="B313" r:id="rId250" xr:uid="{1798EF7F-EB6C-4D31-8DAF-6A58D4CAA7FA}"/>
    <hyperlink ref="B319" r:id="rId251" xr:uid="{AB34E923-97AF-46FD-AE4B-E52306B1ED1E}"/>
    <hyperlink ref="B320" r:id="rId252" xr:uid="{A51159D3-5C61-4B64-A4FE-41B8E00001B7}"/>
    <hyperlink ref="B321" r:id="rId253" xr:uid="{9F46B447-F962-43CE-8104-335B6462CF7A}"/>
    <hyperlink ref="B322" r:id="rId254" xr:uid="{CC8CF4B0-929A-401F-8314-58BCED8CD44E}"/>
    <hyperlink ref="B323" r:id="rId255" xr:uid="{FBF0E80A-3E86-4FB6-988B-CA9E91FD8240}"/>
    <hyperlink ref="B324" r:id="rId256" xr:uid="{476A0600-3943-4674-BA4A-8E2EAEF57DCE}"/>
    <hyperlink ref="B325" r:id="rId257" xr:uid="{B88BCCFF-F801-4EC2-A2AE-E1C8CA79284B}"/>
    <hyperlink ref="B327" r:id="rId258" xr:uid="{798747C2-5CA6-4F00-956C-EE533A27E427}"/>
    <hyperlink ref="B328" r:id="rId259" xr:uid="{AD3112FD-DE8A-4618-9DD9-447EAB6088C3}"/>
    <hyperlink ref="B329" r:id="rId260" xr:uid="{5FFF342D-5D88-4B07-8FB6-E0804B0D1BA2}"/>
    <hyperlink ref="B330" r:id="rId261" xr:uid="{6403E969-2034-499E-A4B0-635BFE4F62D6}"/>
    <hyperlink ref="B331" r:id="rId262" xr:uid="{01E597B1-EEDB-4DAF-9753-6D09729D729E}"/>
    <hyperlink ref="B332" r:id="rId263" xr:uid="{7639AA40-2E64-4C9B-9079-FDF3CF82272C}"/>
    <hyperlink ref="B333" r:id="rId264" xr:uid="{04CBC983-57F6-4937-B8B4-14D90A0B9D44}"/>
    <hyperlink ref="B334" r:id="rId265" xr:uid="{CCAF47B0-EE84-4FC8-AC35-3FBD62DB3763}"/>
    <hyperlink ref="B335" r:id="rId266" xr:uid="{67738199-A284-42DB-8F6B-89760B95D11E}"/>
    <hyperlink ref="B336" r:id="rId267" xr:uid="{3D24F1C8-AA2F-41E0-A31B-7FE4C788F7F7}"/>
    <hyperlink ref="B342" r:id="rId268" xr:uid="{E20C8D12-5A87-4EC0-9B90-AA092B91CB80}"/>
    <hyperlink ref="B337" r:id="rId269" xr:uid="{2C895267-B9EE-429B-BF72-B0F5E68081D2}"/>
    <hyperlink ref="B338" r:id="rId270" xr:uid="{CD879369-C07E-4196-A2B8-649555466178}"/>
    <hyperlink ref="B339" r:id="rId271" xr:uid="{A860E550-153A-40B8-B0BB-0E508BFBFE39}"/>
    <hyperlink ref="B340" r:id="rId272" xr:uid="{C2140501-256A-438C-A464-2905026057AC}"/>
    <hyperlink ref="B341" r:id="rId273" xr:uid="{EB94D183-1707-4428-A979-AA7FAFD0997D}"/>
    <hyperlink ref="B284" r:id="rId274" xr:uid="{4D46FA7D-7996-4566-BB5E-6BDFF80D6B3E}"/>
    <hyperlink ref="B283" r:id="rId275" xr:uid="{01107793-E5D1-4C29-BB1D-28324649AFD5}"/>
    <hyperlink ref="B286" r:id="rId276" xr:uid="{73DDF6F2-4FEA-4900-BCC3-BD2916146C2C}"/>
    <hyperlink ref="B285" r:id="rId277" xr:uid="{7D74E67F-323E-4B99-AD0A-B3E607C31D4A}"/>
    <hyperlink ref="B71" r:id="rId278" display="iQ500 Gazlı Ocak, 75cm, Paslanmaz Çelik, Wok, Döküm" xr:uid="{954AEF5A-9139-4642-A618-4755B319E05A}"/>
    <hyperlink ref="B77" r:id="rId279" display="iQ300 İndüksiyonlu Ocak, 90cm, Çerçeveli" xr:uid="{D374028D-EC4B-4197-B44E-9C611801CD72}"/>
    <hyperlink ref="B79" r:id="rId280" xr:uid="{946FAD05-CF12-44A8-8142-D11AC7A88179}"/>
    <hyperlink ref="B92" r:id="rId281" xr:uid="{0D333E94-CCDE-49F8-9178-A520C2D2570E}"/>
    <hyperlink ref="B95" r:id="rId282" xr:uid="{D4A88CB2-516B-4A5F-B188-F617211CAEA4}"/>
    <hyperlink ref="B99" r:id="rId283" xr:uid="{610D6C2C-1D43-472D-8FCB-3E4402F74F7B}"/>
    <hyperlink ref="B102" r:id="rId284" xr:uid="{6FDBC6F3-D115-45B6-924D-9FF5E0773C71}"/>
    <hyperlink ref="B107" r:id="rId285" xr:uid="{E9A7560E-CA23-43BE-9E19-D6C391EA8D15}"/>
    <hyperlink ref="B109" r:id="rId286" xr:uid="{8609B389-7377-4B5A-85DF-01F1C3CEA93A}"/>
    <hyperlink ref="B111" r:id="rId287" xr:uid="{F451CCBA-AE8A-45DE-85AE-B19E48833D88}"/>
    <hyperlink ref="B128" r:id="rId288" xr:uid="{43FC40FC-B579-4BD0-9470-02AFE8A6150A}"/>
    <hyperlink ref="B136" r:id="rId289" xr:uid="{557B8F21-DB60-4423-A427-1E0122FF549B}"/>
    <hyperlink ref="B142" r:id="rId290" xr:uid="{791C5AF1-CAE5-4639-B697-974C669C3EBF}"/>
    <hyperlink ref="B145" r:id="rId291" xr:uid="{14AC6933-9344-4EB5-BD32-3FC160EAB097}"/>
    <hyperlink ref="B63" r:id="rId292" xr:uid="{B748BCFC-0F5B-4D39-BCD7-2C0C128842FA}"/>
    <hyperlink ref="B65" r:id="rId293" xr:uid="{0849F3A5-77B4-4C95-9E28-4B80D85E188A}"/>
    <hyperlink ref="B66" r:id="rId294" xr:uid="{3E7BB998-DD73-4441-8F24-F8A6A10596D4}"/>
    <hyperlink ref="B67" r:id="rId295" xr:uid="{7C8E7871-06F8-4BA2-8B18-50BCDF9248B9}"/>
    <hyperlink ref="B68" r:id="rId296" xr:uid="{E48BA316-88F8-4D34-AEC1-2F5AAA15AB77}"/>
    <hyperlink ref="B69" r:id="rId297" xr:uid="{D1D0BEE7-3D0D-452C-BCA7-A4B2A7B8AEF5}"/>
    <hyperlink ref="B74" r:id="rId298" display="iQ300 Gazlı Ocak, 60cm, Inox, Döküm" xr:uid="{817926EF-A9DA-4492-87AC-4FC207D53701}"/>
    <hyperlink ref="B75" r:id="rId299" xr:uid="{52883A4A-E7A1-45EE-A782-E219E2272FC5}"/>
    <hyperlink ref="B78" r:id="rId300" xr:uid="{D281595F-F204-4081-8E97-ED08F50015D2}"/>
    <hyperlink ref="B80" r:id="rId301" xr:uid="{5D2AC35A-7C2C-405B-95E2-7A00926F520D}"/>
    <hyperlink ref="B82" r:id="rId302" display="iQ100 Gazlı Ocak, 60cm, Sert Cam, Siyah" xr:uid="{DAC35635-16B4-4867-8A8C-F292BBB06ED5}"/>
    <hyperlink ref="B83" r:id="rId303" xr:uid="{FBD8BF22-03EC-4A4C-B2DF-702A6798AB5D}"/>
    <hyperlink ref="B85" r:id="rId304" xr:uid="{29DF0B77-8C64-4AE8-AB95-90A6F61008F6}"/>
    <hyperlink ref="B93" r:id="rId305" xr:uid="{7EF84C7F-4482-4672-B4AF-22AB528162A8}"/>
    <hyperlink ref="B96" r:id="rId306" xr:uid="{DC59CC5C-F77C-4BAE-9413-06490FD47529}"/>
    <hyperlink ref="B97" r:id="rId307" xr:uid="{B729BD42-A72D-4746-BE67-520B2C0DD9D9}"/>
    <hyperlink ref="B98" r:id="rId308" xr:uid="{9E3FB0F1-8E80-4E60-8D28-CE8FC0893246}"/>
    <hyperlink ref="B100" r:id="rId309" xr:uid="{1C85FB04-2745-44E6-9653-2078B936F2B9}"/>
    <hyperlink ref="B101" r:id="rId310" xr:uid="{5AA1258D-A1FC-4B38-BC63-04F903C90F00}"/>
    <hyperlink ref="B103" r:id="rId311" xr:uid="{D0C5D92D-55AA-48A3-A6B1-F32A5260BE22}"/>
    <hyperlink ref="B104" r:id="rId312" display="iQ300 Gazlı Ocak, 67cm, Sert Cam, Beyaz" xr:uid="{54081C71-4B0E-4A66-9AC2-A119ABAA4BF1}"/>
    <hyperlink ref="B105" r:id="rId313" xr:uid="{D5008465-0C2C-4896-8153-809A3CEA772C}"/>
    <hyperlink ref="B106" r:id="rId314" xr:uid="{91983174-3544-4EA9-8276-D3523914797D}"/>
    <hyperlink ref="B108" r:id="rId315" xr:uid="{3F7232BD-7A9C-4018-B43F-BA25433A2577}"/>
    <hyperlink ref="B110" r:id="rId316" xr:uid="{58FEDE18-C004-48AB-9F98-44665445FACC}"/>
    <hyperlink ref="B112" r:id="rId317" xr:uid="{781739C8-ACEB-4605-965F-A7C90CA51519}"/>
    <hyperlink ref="B113" r:id="rId318" xr:uid="{2079A79C-501A-4376-9A23-5EE9EEEBF452}"/>
    <hyperlink ref="B114" r:id="rId319" xr:uid="{65B2E9A0-4FF3-4A3C-86B2-2AE3F8C26C7B}"/>
    <hyperlink ref="B116" r:id="rId320" xr:uid="{61A37B31-927E-445D-929A-BA5EE33089A6}"/>
    <hyperlink ref="B119" r:id="rId321" xr:uid="{0E536F27-06ED-4BA0-A017-51589C933026}"/>
    <hyperlink ref="B121" r:id="rId322" xr:uid="{78016375-422F-4C22-859E-7B3B0849BFBE}"/>
    <hyperlink ref="B117" r:id="rId323" xr:uid="{DACEB1C1-5D47-412D-BE2A-AA5E89DC69BE}"/>
    <hyperlink ref="B118" r:id="rId324" xr:uid="{A26E6D39-9A8C-4D66-9196-DB5A68F0E098}"/>
    <hyperlink ref="B120" r:id="rId325" xr:uid="{3F9807FE-78C1-4F9D-93D8-B09A3F215850}"/>
    <hyperlink ref="B123" r:id="rId326" xr:uid="{0D2A059B-BCFE-4675-B346-07B9C3B48FA4}"/>
    <hyperlink ref="B122" r:id="rId327" xr:uid="{47D9CA4E-2991-45C4-936D-C69EAAD3A364}"/>
    <hyperlink ref="B86" r:id="rId328" xr:uid="{C68436A1-ED51-4F53-AF31-96C8A0DEC17A}"/>
    <hyperlink ref="B87" r:id="rId329" xr:uid="{55219788-ADB8-41B8-82CF-76F2B39BB117}"/>
    <hyperlink ref="B88" r:id="rId330" xr:uid="{0FF7C9BC-5520-4263-BC6D-9AC2AFAC369A}"/>
    <hyperlink ref="B89" r:id="rId331" xr:uid="{099C2B39-C208-4630-9C27-38DC98476CCB}"/>
    <hyperlink ref="B90" r:id="rId332" xr:uid="{C3C4CE00-176D-4A3C-92E5-5E2DDD7AF329}"/>
    <hyperlink ref="B91" r:id="rId333" xr:uid="{F230C41B-6BA2-4E8D-BE77-D7F8053C4869}"/>
    <hyperlink ref="B124" r:id="rId334" xr:uid="{D1E280A1-0524-4524-8C21-F761F1145FC4}"/>
    <hyperlink ref="B126" r:id="rId335" xr:uid="{B8DE24BF-A1AB-4AD8-8455-5170B1EBF6D5}"/>
    <hyperlink ref="B127" r:id="rId336" xr:uid="{EA850F10-83DD-4EA3-B261-8D76D496A1CA}"/>
    <hyperlink ref="B70" r:id="rId337" xr:uid="{96110767-D3D6-4950-8FD7-4EB4C37F7E3A}"/>
    <hyperlink ref="B129" r:id="rId338" xr:uid="{2747E5CA-5E28-4048-B6F7-04AB629EF5E5}"/>
    <hyperlink ref="B130" r:id="rId339" xr:uid="{A6386861-84CA-4219-B353-E49C099538F7}"/>
    <hyperlink ref="B131" r:id="rId340" display="iQ700 Gazlı Domino Ocak, 30cm, Tek Gözlü, Seramik, Siyah" xr:uid="{75B17F9E-2F86-4150-A319-7F2C4147DF15}"/>
    <hyperlink ref="B132" r:id="rId341" xr:uid="{F65B85A1-A1DD-4AA7-8C16-096225FD4632}"/>
    <hyperlink ref="B133" r:id="rId342" xr:uid="{9C0ADC12-B082-4B32-939F-02CF170B1B2F}"/>
    <hyperlink ref="B135" r:id="rId343" xr:uid="{68CA6EA4-D79D-486A-894A-3916E462E948}"/>
    <hyperlink ref="B137" r:id="rId344" xr:uid="{E7B3C73F-AC08-43D1-BD7D-2A71B8704DF4}"/>
    <hyperlink ref="B138" r:id="rId345" xr:uid="{9AF529DF-943D-45EA-A141-147E321AC0C8}"/>
    <hyperlink ref="B139" r:id="rId346" xr:uid="{F1F8B4FA-AF28-4589-91BC-4B813588DD16}"/>
    <hyperlink ref="B140" r:id="rId347" xr:uid="{256B39E0-BDE1-4C10-A195-46333CEDEFFF}"/>
    <hyperlink ref="B147" r:id="rId348" xr:uid="{C73D6294-277E-4F58-83C0-41E90BCD6DAB}"/>
    <hyperlink ref="B148" r:id="rId349" xr:uid="{E1308072-90F1-471D-BF02-D5D29F7DF6D4}"/>
    <hyperlink ref="B152" r:id="rId350" xr:uid="{8CEC8262-646C-49AA-94F0-A83726E37DAD}"/>
    <hyperlink ref="B151" r:id="rId351" xr:uid="{87C8830F-A0F3-416D-BEE0-12FB1DF70E47}"/>
    <hyperlink ref="B73" r:id="rId352" xr:uid="{B819C64A-D6D2-4965-B51B-329F8C42D701}"/>
    <hyperlink ref="B76" r:id="rId353" xr:uid="{379E757A-D5A9-4938-A796-C78F41050B46}"/>
    <hyperlink ref="B149" r:id="rId354" xr:uid="{A30FC7D2-49FB-4CAB-8B44-57AAAC0F1C24}"/>
    <hyperlink ref="B150" r:id="rId355" xr:uid="{EB0CC2C3-A137-49D9-B915-E66EAA1FE488}"/>
    <hyperlink ref="B407" r:id="rId356" xr:uid="{EBB16D3A-1D5B-40C2-9BAD-7572336E45A9}"/>
    <hyperlink ref="B408" r:id="rId357" xr:uid="{8D621080-48E2-4ED1-84B4-7F2927646C40}"/>
    <hyperlink ref="B412" r:id="rId358" xr:uid="{72C96C22-25FD-4251-8FBF-2A134F4B44C0}"/>
    <hyperlink ref="B428" r:id="rId359" xr:uid="{DE7057AC-2A14-4282-8588-E8FCBD88BD24}"/>
    <hyperlink ref="B429" r:id="rId360" xr:uid="{D7D5816D-D0DF-415C-A72E-F1BF16C4D5FD}"/>
    <hyperlink ref="B433" r:id="rId361" xr:uid="{A5B400D1-05AB-492F-9D1B-5FB2C5163BA6}"/>
    <hyperlink ref="B434" r:id="rId362" xr:uid="{B1A36AE8-C985-4918-8504-3F1EC062E975}"/>
    <hyperlink ref="B54" r:id="rId363" xr:uid="{44C7FFA5-A3D6-465B-8CF7-BE9B86675B15}"/>
    <hyperlink ref="B55" r:id="rId364" xr:uid="{FAE2F154-0DF8-46E6-AD7A-DC0CB5A76815}"/>
    <hyperlink ref="B56" r:id="rId365" xr:uid="{65EC8133-481A-45DB-8DAC-139B25E6F58F}"/>
    <hyperlink ref="B409" r:id="rId366" xr:uid="{C02450EF-34C0-4F0E-A7B7-D2DBEDC6CCCE}"/>
    <hyperlink ref="B410" r:id="rId367" xr:uid="{9B8743DD-67AC-4858-92EA-E34C2F1BB72B}"/>
    <hyperlink ref="B411" r:id="rId368" xr:uid="{412C819B-2627-47B5-AF26-25F536748B4A}"/>
    <hyperlink ref="B413" r:id="rId369" xr:uid="{4262212B-A48E-4FFD-9560-4CE509F8B5F7}"/>
    <hyperlink ref="B414" r:id="rId370" xr:uid="{36F47148-5C3C-4385-AA9A-CF1D36DB6C04}"/>
    <hyperlink ref="B415" r:id="rId371" xr:uid="{B31A9501-55F0-4742-A0FB-466771AAA03C}"/>
    <hyperlink ref="B416" r:id="rId372" xr:uid="{30745262-9D8B-4465-A8E6-62FE88E88492}"/>
    <hyperlink ref="B417" r:id="rId373" xr:uid="{D91303CF-1008-4FC8-AF05-59A781FCCB1D}"/>
    <hyperlink ref="B418" r:id="rId374" xr:uid="{F9A0E88B-843D-43F1-A407-48B13BBC286C}"/>
    <hyperlink ref="B419" r:id="rId375" xr:uid="{52B51AD7-6206-48C6-9508-A6DF6D77791B}"/>
    <hyperlink ref="B420" r:id="rId376" xr:uid="{A232A4E6-A750-422F-AAF0-69E937D59F77}"/>
    <hyperlink ref="B421" r:id="rId377" xr:uid="{FC001ECA-3F62-47BB-969F-46F581831A09}"/>
    <hyperlink ref="B422" r:id="rId378" xr:uid="{2971CAB7-88DC-40CF-90B5-D98D93223452}"/>
    <hyperlink ref="B423" r:id="rId379" xr:uid="{4A1CAB3D-E847-4E2F-8D18-B4423F9E83FF}"/>
    <hyperlink ref="B424" r:id="rId380" xr:uid="{84F0E22E-A6D1-421D-8D29-F34A1DAFD357}"/>
    <hyperlink ref="B425" r:id="rId381" xr:uid="{85CD33D7-9EAE-4A3B-ABA3-668377C5FEF7}"/>
    <hyperlink ref="B426" r:id="rId382" xr:uid="{4F638EC7-638B-4C30-B592-36865AFD2094}"/>
    <hyperlink ref="B427" r:id="rId383" xr:uid="{414F1F8A-9986-4BD1-B104-BED1A40B098C}"/>
    <hyperlink ref="B430" r:id="rId384" xr:uid="{C853AB65-7C0E-48CF-9E6E-327DF836C2B6}"/>
    <hyperlink ref="B33" r:id="rId385" xr:uid="{25B8B07F-4E37-441E-B1B6-5776F5A6595B}"/>
    <hyperlink ref="B34" r:id="rId386" xr:uid="{3B449AF0-A864-47F1-9E24-4AC7777E5C2C}"/>
    <hyperlink ref="B35" r:id="rId387" xr:uid="{909DBDFC-634B-4688-A117-715DE7B34CB5}"/>
    <hyperlink ref="B438" r:id="rId388" xr:uid="{42F9F75F-2925-4B88-81DD-B1628F34CE88}"/>
    <hyperlink ref="B440" r:id="rId389" xr:uid="{31D16BC6-7DFE-4912-97FF-707835E6689E}"/>
    <hyperlink ref="B442" r:id="rId390" xr:uid="{2A0768AB-21DD-4DA2-A1A4-777228A516AF}"/>
    <hyperlink ref="B443" r:id="rId391" xr:uid="{85E6E68B-681B-480F-84F9-C13D092EFE79}"/>
    <hyperlink ref="B444" r:id="rId392" xr:uid="{BC2DEEF6-F991-477A-BD55-B847F602C800}"/>
    <hyperlink ref="B445" r:id="rId393" xr:uid="{42BD4DE8-3475-4516-B2A1-804BB91855BB}"/>
    <hyperlink ref="B450" r:id="rId394" xr:uid="{F180EB23-C5C0-42FC-AB78-5B25163C8BD4}"/>
    <hyperlink ref="B452" r:id="rId395" xr:uid="{13C48BD3-95A7-4487-9486-18E388985BC1}"/>
    <hyperlink ref="B454" r:id="rId396" xr:uid="{01F8D2DD-14D3-4F56-AF45-5D866AF7A996}"/>
    <hyperlink ref="B436" r:id="rId397" xr:uid="{00421D23-73DE-4BB2-A865-456358926831}"/>
    <hyperlink ref="B437" r:id="rId398" xr:uid="{77112FF9-7335-4760-8F54-3AE492FF27C5}"/>
    <hyperlink ref="B439" r:id="rId399" xr:uid="{74CC9E1F-12DF-4719-839C-60670C94293F}"/>
    <hyperlink ref="B441" r:id="rId400" xr:uid="{AAAE9979-A52D-4A68-812C-A328A14A37AC}"/>
    <hyperlink ref="B446" r:id="rId401" xr:uid="{7D647274-EEC5-49BA-AC76-395165064A76}"/>
    <hyperlink ref="B447" r:id="rId402" xr:uid="{F4D9644F-7B91-4A63-AFC0-1B01B9B16F96}"/>
    <hyperlink ref="B448" r:id="rId403" xr:uid="{0673CE0B-7794-454B-9B3E-54EC9AE9E0EA}"/>
    <hyperlink ref="B449" r:id="rId404" xr:uid="{A189A419-3A4F-40AC-BF5C-DF253CFC046C}"/>
    <hyperlink ref="B451" r:id="rId405" xr:uid="{AA35946B-A190-4703-BD8C-2A46A1D8FD81}"/>
    <hyperlink ref="B230" r:id="rId406" xr:uid="{11822AF0-66EC-4669-BD23-FA4309693BA2}"/>
    <hyperlink ref="B453" r:id="rId407" xr:uid="{E54F6C55-07C7-4D42-8A17-D8499DAE01C4}"/>
    <hyperlink ref="B57" r:id="rId408" xr:uid="{477D29B8-7ACE-43EF-AEDA-0C1EBEE49C48}"/>
    <hyperlink ref="B58" r:id="rId409" xr:uid="{A0CC7CFB-DAF8-444C-9698-21024147132C}"/>
    <hyperlink ref="B405" r:id="rId410" xr:uid="{CC29A772-BDED-41C4-AD00-A80E161FA6B8}"/>
    <hyperlink ref="B406" r:id="rId411" xr:uid="{EB359E50-29D7-4607-916D-0EFBBBD19AC7}"/>
    <hyperlink ref="B343" r:id="rId412" xr:uid="{3BCF44AF-C3F9-4758-8FDF-C67E6050AEEB}"/>
    <hyperlink ref="B344" r:id="rId413" xr:uid="{031DF57F-31EE-4335-8637-4F5EC56F455C}"/>
    <hyperlink ref="B345" r:id="rId414" xr:uid="{C1320645-1A3B-43D9-B0C4-F5C857558165}"/>
    <hyperlink ref="B347" r:id="rId415" xr:uid="{3974723D-78F5-47B6-9F8C-B15DE2E521EB}"/>
    <hyperlink ref="B348" r:id="rId416" xr:uid="{12B82E1B-CFFF-41FB-AACC-C1EDB13963A0}"/>
    <hyperlink ref="B350" r:id="rId417" xr:uid="{8E372520-7EA5-49E5-9108-D46B0CCB8030}"/>
    <hyperlink ref="B431" r:id="rId418" xr:uid="{9DBBDEC2-B6D6-459B-837B-7D61C01C4528}"/>
    <hyperlink ref="B432" r:id="rId419" xr:uid="{44446EA9-C958-4412-AD35-197AEC8F7CE9}"/>
    <hyperlink ref="B38" r:id="rId420" xr:uid="{332E2D57-2B44-4D8E-B8F5-A2ECBE507955}"/>
    <hyperlink ref="B39" r:id="rId421" xr:uid="{D0FD625A-B83C-4AF0-9E2B-0037E6A5E1AC}"/>
    <hyperlink ref="B40" r:id="rId422" xr:uid="{B237B74C-00C5-46F2-A61A-EFE700674A6A}"/>
    <hyperlink ref="B41" r:id="rId423" xr:uid="{A969520D-863B-4ED4-9E74-14B057C4BEB7}"/>
    <hyperlink ref="B42" r:id="rId424" xr:uid="{C792A6DA-837C-4211-BA80-3036944A3FA5}"/>
    <hyperlink ref="B158" r:id="rId425" xr:uid="{867E900D-040D-48EA-AA21-FF74D4D5E2F1}"/>
    <hyperlink ref="B159" r:id="rId426" xr:uid="{2E9D286E-24EF-4A58-BE79-5E776600A177}"/>
    <hyperlink ref="B48" r:id="rId427" xr:uid="{2A54F2E0-226D-43BE-B988-9B316490C5E6}"/>
    <hyperlink ref="B49" r:id="rId428" xr:uid="{72E9E6AA-0189-4EC4-B65F-BAF694973734}"/>
    <hyperlink ref="B50" r:id="rId429" xr:uid="{0A23A706-1613-4309-A01D-D39662A597F1}"/>
    <hyperlink ref="B51" r:id="rId430" xr:uid="{84AB9354-3E76-458E-92C9-126ECAC09D84}"/>
    <hyperlink ref="B46" r:id="rId431" location="/Tabs=section-spareparts/" xr:uid="{533FEE46-819B-47E5-8268-0E90E0BA23E7}"/>
    <hyperlink ref="B2" r:id="rId432" xr:uid="{467DCD9E-447B-4275-BEED-1DB2B444F90F}"/>
    <hyperlink ref="B3" r:id="rId433" xr:uid="{253AE06D-128C-47C0-BA84-290A339FC88B}"/>
    <hyperlink ref="B4" r:id="rId434" xr:uid="{D81233C8-6EE8-4B51-AABC-250EB7028384}"/>
    <hyperlink ref="B7" r:id="rId435" xr:uid="{90DC9238-1D35-44FD-9300-F1BBF2EAD9E0}"/>
    <hyperlink ref="B5" r:id="rId436" xr:uid="{6CB85BF3-CAB3-42DE-A93D-0FA431C66E7B}"/>
    <hyperlink ref="B8" r:id="rId437" xr:uid="{2C72FD58-DF53-44EB-B63D-927442717469}"/>
    <hyperlink ref="B6" r:id="rId438" xr:uid="{AC8D2B49-2634-4FAA-8156-5CD88C73A418}"/>
    <hyperlink ref="B9" r:id="rId439" xr:uid="{4EB7EBF1-1BDC-4A4C-B655-EAEE9B8E91DA}"/>
    <hyperlink ref="B10" r:id="rId440" xr:uid="{52D9CAA4-1809-4F26-A7D9-3E22FF2A50BE}"/>
    <hyperlink ref="B12" r:id="rId441" xr:uid="{7BBDEA83-A1D3-49E4-B6BB-49E1F3BCAA3B}"/>
    <hyperlink ref="B11" r:id="rId442" xr:uid="{49037B6B-FF44-470E-8DF7-A036E4897756}"/>
    <hyperlink ref="B13" r:id="rId443" xr:uid="{6ABCF6EF-4DE7-4954-878A-D52C831C6BD9}"/>
    <hyperlink ref="B14" r:id="rId444" xr:uid="{4C4C454C-C1B7-405E-B413-5DC18A88B32B}"/>
    <hyperlink ref="B15" r:id="rId445" xr:uid="{A76CBD58-9B0D-46D1-90C6-8A907B5DA4E5}"/>
    <hyperlink ref="B351" r:id="rId446" xr:uid="{64C773F1-F2FF-4258-A7A8-9A0B89913F85}"/>
    <hyperlink ref="B352" r:id="rId447" xr:uid="{7DADD5C1-4D9A-48F8-B905-6F0A425C262D}"/>
    <hyperlink ref="C451" r:id="rId448" xr:uid="{393FC34F-1B16-4497-848D-A63369F8340A}"/>
    <hyperlink ref="B381" r:id="rId449" display="iQ500 Tam Ankastre Bulaşık Makinesi, autoOpen dry, glassZone, 3 Sepetli, Siyah Cam" xr:uid="{5EA9B90F-E17B-44E5-9588-029ACBFAA2F5}"/>
    <hyperlink ref="C381" r:id="rId450" xr:uid="{9C7E08F7-BBD3-4A05-A298-830309C3ADAD}"/>
    <hyperlink ref="C382" r:id="rId451" xr:uid="{E68DE151-71D6-463D-8EEF-02D0560AAE2D}"/>
    <hyperlink ref="B382" r:id="rId452" display="iQ500 Tam Ankastre Kapaklı Bulaşık Makinesi, autoOpen dry, glassZone, timeLight, 3 Sepetli, Siyah Cam" xr:uid="{9CC32574-2509-4E8E-AF12-D811B9282207}"/>
    <hyperlink ref="C511" r:id="rId453" xr:uid="{D3703A4A-057A-44FB-850B-2283B4D42EF5}"/>
    <hyperlink ref="C498" r:id="rId454" xr:uid="{078C2EDC-2D60-4F38-AA46-3952EB615AEC}"/>
    <hyperlink ref="B498" r:id="rId455" xr:uid="{6C6DAB39-E346-44EB-9133-CEA0DA581B9E}"/>
    <hyperlink ref="C134" r:id="rId456" xr:uid="{0F15509F-0A20-4681-8E18-7258F5246FAA}"/>
    <hyperlink ref="B134" r:id="rId457" xr:uid="{8E7051C0-C3CA-4AA4-852B-4DFE0C8788A1}"/>
    <hyperlink ref="B210" r:id="rId458" xr:uid="{944D5F11-6DB7-402C-A7A1-0E09178CAD0B}"/>
    <hyperlink ref="C210" r:id="rId459" xr:uid="{2973CD34-5452-40A2-81A5-32C2F0EDFA06}"/>
    <hyperlink ref="B125" r:id="rId460" xr:uid="{825377CA-AFCF-4102-AE40-32100FF5767A}"/>
    <hyperlink ref="B242" r:id="rId461" xr:uid="{3FEAC64F-CF05-4271-BA49-8C67A17B5571}"/>
    <hyperlink ref="B180" r:id="rId462" display="iQ100 Ankastre Fırın, Beyaz" xr:uid="{4FB752F3-39FB-4594-B256-16BACB923902}"/>
    <hyperlink ref="B167" r:id="rId463" display="iQ300 Derin Dondurucu, 176x70cm, No-Frost, Beyaz" xr:uid="{DBC2F935-D3F2-4D0E-8B7F-A342A6B14187}"/>
    <hyperlink ref="B234" r:id="rId464" xr:uid="{7AF870D1-98D5-452A-821B-86AD4BF8E3E5}"/>
    <hyperlink ref="B72" r:id="rId465" display="iQ500 Gazlı Ocak, 75cm, 5 Gözlü, Sert Cam, Beyaz, Döküm, Wok" xr:uid="{E38299C8-89B1-4362-82A5-B6706AE075B6}"/>
    <hyperlink ref="C72" r:id="rId466" xr:uid="{52B2C07A-43CC-4BDA-A4F4-5F0E253724A4}"/>
    <hyperlink ref="C64" r:id="rId467" xr:uid="{2011AF8E-203F-48C2-8DB7-2938F9E66F37}"/>
    <hyperlink ref="B64" r:id="rId468" xr:uid="{A2FCF25E-0859-4D43-AFAE-8D69E5CC4425}"/>
    <hyperlink ref="C81" r:id="rId469" xr:uid="{BD0FFF71-478B-4973-8339-3069C9133D95}"/>
    <hyperlink ref="B81" r:id="rId470" display="iQ100 Gazlı Ocak 60 cm Sert cam, Beyaz" xr:uid="{6019AA46-8422-4C38-80B9-712F1128257F}"/>
    <hyperlink ref="B84" r:id="rId471" xr:uid="{C3D78174-8A37-4B96-BA48-29FE9D0AEC6C}"/>
    <hyperlink ref="B94" r:id="rId472" display="iQ100 Gazlı Ocak, 60cm, Sert Cam, Antrasit, Wok" xr:uid="{558ADC80-A014-46BF-BCE9-50ED85C253F7}"/>
    <hyperlink ref="B115" r:id="rId473" display="iQ100 Gazlı Ocak, 60cm, Sert Cam, Beyaz, Döküm" xr:uid="{69CE86B3-9148-43FE-8E41-26CEEF597E45}"/>
    <hyperlink ref="C141" r:id="rId474" xr:uid="{5BA7D675-7FE5-4715-B598-D69F46AD07E2}"/>
    <hyperlink ref="B141" r:id="rId475" display="iQ500 Elektrikli Ocak 80 cm Çerçeveli" xr:uid="{42EFD178-C56E-4B7A-BEDD-3E6BDD97FA52}"/>
    <hyperlink ref="B143" r:id="rId476" xr:uid="{0A45C2E5-276A-4E05-8EFD-ECD503DE675B}"/>
    <hyperlink ref="B144" r:id="rId477" xr:uid="{E89A25F6-476E-4128-AD91-54A4096EB70D}"/>
    <hyperlink ref="B146" r:id="rId478" xr:uid="{CEF0079B-2DB2-42AA-B028-3E404CF06E3E}"/>
    <hyperlink ref="B170" r:id="rId479" xr:uid="{9640A430-E357-42D5-AA6F-C6978C6363F0}"/>
    <hyperlink ref="B175" r:id="rId480" xr:uid="{80D7BBEE-1BDB-4BC0-A8CC-C7E33C6C5BE4}"/>
    <hyperlink ref="B178" r:id="rId481" xr:uid="{02E31265-8FF6-4201-8729-18E0F74AC70F}"/>
    <hyperlink ref="B185" r:id="rId482" xr:uid="{D554313C-EB9E-42E7-ADB9-72BA3258F4D6}"/>
    <hyperlink ref="B189" r:id="rId483" xr:uid="{DA32CFA5-7F54-41C5-AD5A-D96622539449}"/>
    <hyperlink ref="B195" r:id="rId484" xr:uid="{C43EF6FA-87CD-4A73-88A3-0DC414342736}"/>
    <hyperlink ref="B201" r:id="rId485" xr:uid="{6C17763E-1C7E-456F-A86C-D0B62D0181CB}"/>
    <hyperlink ref="B211" r:id="rId486" xr:uid="{3A05613C-B77C-432E-B482-D135CFDD1E02}"/>
    <hyperlink ref="B239" r:id="rId487" display="iQ500 Üstten Donduruculu Kulplu Buzdolabı, 75cm, Inox" xr:uid="{5E332C2F-9811-4D32-98F2-AB6289E42CEC}"/>
    <hyperlink ref="B274" r:id="rId488" xr:uid="{68E1FCD0-F02D-4EDC-94F2-3895F8F840BB}"/>
    <hyperlink ref="B301" r:id="rId489" display="iQ300 Eğimli Davlumbaz, 60cm, 593m3, Siyah Cam" xr:uid="{06F72DA4-8388-444D-82BC-E4D4B14C7888}"/>
    <hyperlink ref="B309" r:id="rId490" display="iQ300 Düz Davlumbaz, 60cm, 582m3, Siyah/Inox" xr:uid="{6A9625CF-A5A8-4674-B16F-EF383CD0D6F4}"/>
    <hyperlink ref="B316" r:id="rId491" display="iQ500 Eğimli Davlumbaz, 60cm, 578m3, Beyaz Cam" xr:uid="{6F2DEFCB-1A19-4130-9F64-DFC959287107}"/>
    <hyperlink ref="B326" r:id="rId492" display="iQ300 Eğimli Davlumbaz, 90cm, 629m3, Beyaz Cam" xr:uid="{33A55B31-B02D-4284-8C68-3DDF0E00C2EB}"/>
    <hyperlink ref="B358" r:id="rId493" xr:uid="{05C7DBAB-8D9C-4AB4-8D3D-7FBBD1CE7A1B}"/>
    <hyperlink ref="B363" r:id="rId494" xr:uid="{2D3B9548-9AFC-4A21-9196-146C036F67C1}"/>
    <hyperlink ref="B367" r:id="rId495" xr:uid="{D8C8AAE8-1736-4B1E-A81A-12632EC1D57C}"/>
    <hyperlink ref="B384" r:id="rId496" display="iQ100 Yarı Ankastre Bulaşık Makinesi, Siyah" xr:uid="{97F3A4D8-E2B1-47FE-99C9-9EA37AD6E91E}"/>
    <hyperlink ref="B394" r:id="rId497" xr:uid="{6E9A37AA-038A-4C33-8D82-30506FCB19F2}"/>
    <hyperlink ref="B396" r:id="rId498" xr:uid="{91B887FE-8C57-4EF8-8658-7A74A08E0EC6}"/>
    <hyperlink ref="B399" r:id="rId499" xr:uid="{8C5CAA2E-2B9E-48EB-8C3E-1C28ABAAC919}"/>
    <hyperlink ref="B402" r:id="rId500" display="iQ700 studioLine Tam Ankastre Bulaşık Makinesi, Zeolith dry, glassZone" xr:uid="{31C81329-7EF4-4A4F-B143-CDEC27C05EB2}"/>
    <hyperlink ref="B435" r:id="rId501" xr:uid="{DAD6E424-814A-4961-B26D-D459A137B59F}"/>
    <hyperlink ref="B458" r:id="rId502" display="iQ300 Çamaşır Makinesi, 9kg/1200devir, Beyaz" xr:uid="{383D45EF-85E1-477C-8F35-39F83D0E2415}"/>
    <hyperlink ref="B460" r:id="rId503" xr:uid="{09A0087A-9D83-4AF6-88A4-FF5DED95AD38}"/>
    <hyperlink ref="B461" r:id="rId504" xr:uid="{630AF42B-CCC2-4FB5-84D3-9A87682CB9FA}"/>
    <hyperlink ref="B473" r:id="rId505" xr:uid="{1C62BFF3-EF3C-441A-A8D2-453C69138BD0}"/>
    <hyperlink ref="B474" r:id="rId506" xr:uid="{12742CCE-5B49-4459-8816-5C7C43333B19}"/>
    <hyperlink ref="B479" r:id="rId507" xr:uid="{0E51F4D3-9BED-40B4-9888-D3DF904F5448}"/>
    <hyperlink ref="B481" r:id="rId508" xr:uid="{1AE6BA57-3CB5-4BE3-8539-9EFCB5AE9B15}"/>
    <hyperlink ref="B484" r:id="rId509" xr:uid="{D8FBC2CE-2C4A-416E-B21A-6EAF9B7439EF}"/>
    <hyperlink ref="B490" r:id="rId510" display="iQ300 Çamaşır Makinesi, 8kg/1200devir, Beyaz" xr:uid="{2213C3A0-46C3-441F-B4E7-E6125916C6A1}"/>
    <hyperlink ref="B493" r:id="rId511" display="iQ500 Çamaşır Makinesi, 9kg/1400devir, i-dos, Beyaz" xr:uid="{8AB865F3-F5C4-41EE-AE7A-210AE67F0AAF}"/>
    <hyperlink ref="C495" r:id="rId512" xr:uid="{089A857E-544D-4B89-863F-2AE8B17BD75C}"/>
    <hyperlink ref="B495" r:id="rId513" xr:uid="{C67C5AFC-31DA-45B6-9BE3-D95A00A47C0C}"/>
    <hyperlink ref="B497" r:id="rId514" xr:uid="{B328016E-6EAA-490A-BC92-7A0E54132AAC}"/>
    <hyperlink ref="B501" r:id="rId515" xr:uid="{2F8E77DF-BAC2-4014-97B9-06518E65C7E0}"/>
    <hyperlink ref="B513" r:id="rId516" xr:uid="{2BC83062-D866-45E8-A15D-DECC04F1F190}"/>
    <hyperlink ref="B515" r:id="rId517" xr:uid="{2EAD83F7-5DAC-438E-8E69-84DA6DB0700E}"/>
    <hyperlink ref="B516" r:id="rId518" display="iQ700 Isı Pompalı Kurutma Makinesi, 8kg, Beyaz" xr:uid="{EA0338D0-87ED-49E6-A575-19FC5A17E29E}"/>
    <hyperlink ref="B503" r:id="rId519" xr:uid="{03A14A2C-7A77-4522-B959-2E8973452511}"/>
    <hyperlink ref="B174" r:id="rId520" display="iQ100 Ankastre Fırın, Beyaz" xr:uid="{6CCFA202-F6A4-4A6F-8461-D34FA835D5BB}"/>
    <hyperlink ref="B199" r:id="rId521" xr:uid="{F32C233E-39E9-4C6B-A364-0D82C512E549}"/>
    <hyperlink ref="C199" r:id="rId522" xr:uid="{60CE4474-9DAF-41F5-A2C2-25AA41681609}"/>
    <hyperlink ref="B467" r:id="rId523" display="iQ700 Çamaşır Makinesi, 9kg/1400devir, i-dos, Beyaz" xr:uid="{820CB1DA-27E2-4490-8C48-B022A1124CD7}"/>
    <hyperlink ref="B485" r:id="rId524" xr:uid="{D157383A-E1DA-4EBD-911F-C8B62213FA9B}"/>
    <hyperlink ref="B486" r:id="rId525" xr:uid="{52C4F24D-0C7C-4011-87EF-5646B4F921E5}"/>
    <hyperlink ref="C517" r:id="rId526" xr:uid="{40A77F80-99A0-4385-BCD5-51E8CC4D8B63}"/>
  </hyperlinks>
  <pageMargins left="0.7" right="0.7" top="0.75" bottom="0.75" header="0.3" footer="0.3"/>
  <pageSetup paperSize="9" orientation="portrait" verticalDpi="0" r:id="rId5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2026-03-30T10:58:57Z</dcterms:modified>
</cp:coreProperties>
</file>