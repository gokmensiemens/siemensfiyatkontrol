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22" documentId="8_{2EBB2C6D-8E58-4E89-86B9-A599C0293498}" xr6:coauthVersionLast="47" xr6:coauthVersionMax="47" xr10:uidLastSave="{6367C2A1-505A-4B81-A11F-7C852BC271BE}"/>
  <bookViews>
    <workbookView xWindow="-120" yWindow="-120" windowWidth="29040" windowHeight="15720" xr2:uid="{54432ACC-C78B-4696-9EB7-4D0F89253B3F}"/>
  </bookViews>
  <sheets>
    <sheet name="Sayfa1" sheetId="1" r:id="rId1"/>
    <sheet name="HESAPLAYICI" sheetId="4" r:id="rId2"/>
    <sheet name="Bundle Kampanya" sheetId="2" r:id="rId3"/>
    <sheet name="ÜRÜNLER" sheetId="3" r:id="rId4"/>
  </sheets>
  <definedNames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0" hidden="1">Sayfa1!$A$1:$Y$497</definedName>
    <definedName name="A">#REF!</definedName>
    <definedName name="AIDATA" hidden="1">{#N/A,#N/A,TRUE,"Exchange Rate";#N/A,#N/A,TRUE,"Profit Margin";#N/A,#N/A,TRUE,"Units";#N/A,#N/A,TRUE,"Purchase Price";#N/A,#N/A,TRUE,"Selling Price";#N/A,#N/A,TRUE,"Purchase";#N/A,#N/A,TRUE,"Sales"}</definedName>
    <definedName name="ddd">#REF!</definedName>
    <definedName name="dfg" hidden="1">{#N/A,#N/A,TRUE,"Exchange Rate";#N/A,#N/A,TRUE,"Profit Margin";#N/A,#N/A,TRUE,"Units";#N/A,#N/A,TRUE,"Purchase Price";#N/A,#N/A,TRUE,"Selling Price";#N/A,#N/A,TRUE,"Purchase";#N/A,#N/A,TRUE,"Sales"}</definedName>
    <definedName name="e">#REF!</definedName>
    <definedName name="ege" hidden="1">{#N/A,#N/A,TRUE,"Exchange Rate-Dm";#N/A,#N/A,TRUE,"Exchange Rate-$";#N/A,#N/A,TRUE,"Exchange Rate-Euro";#N/A,#N/A,TRUE,"Balance Sheet TL-2";#N/A,#N/A,TRUE,"Balance Sheet TL";#N/A,#N/A,TRUE,"Balance Sheet DM";#N/A,#N/A,TRUE,"Notes";#N/A,#N/A,TRUE,"Notes Explanations";#N/A,#N/A,TRUE,"Liabilities";#N/A,#N/A,TRUE,"Balance Sheet Explanation";#N/A,#N/A,TRUE,"Consolidation";#N/A,#N/A,TRUE,"Classic Balance Sheet";#N/A,#N/A,TRUE,"Peg Aş";#N/A,#N/A,TRUE,"Profilo Telra Aş";#N/A,#N/A,TRUE,"P-L TL";#N/A,#N/A,TRUE,"P-L DM";#N/A,#N/A,TRUE,"Comparative P-L 2";#N/A,#N/A,TRUE,"Comparative P-L";#N/A,#N/A,TRUE,"Comparative P-L DM";#N/A,#N/A,TRUE,"Monthly P-L-2";#N/A,#N/A,TRUE,"Monthly P-L";#N/A,#N/A,TRUE,"Cumulative P-L";#N/A,#N/A,TRUE,"Monthly P-L DM";#N/A,#N/A,TRUE,"Cumulative P-L DM";#N/A,#N/A,TRUE,"Comparative Monthly P-L";#N/A,#N/A,TRUE,"Comparative Cumulative P-L";#N/A,#N/A,TRUE,"Comparative Monthly P-L DM ";#N/A,#N/A,TRUE,"Comparative Cumulative P-L DM";#N/A,#N/A,TRUE,"Tax Calculation";#N/A,#N/A,TRUE,"Rediscount";#N/A,#N/A,TRUE,"Other Income";#N/A,#N/A,TRUE,"PL Provisions";#N/A,#N/A,TRUE,"PL Without Provisions";#N/A,#N/A,TRUE,"PL Provision Lists";#N/A,#N/A,TRUE,"Classic PL";#N/A,#N/A,TRUE,"Financial Report";#N/A,#N/A,TRUE,"Advance";#N/A,#N/A,TRUE,"Operating Exp-Summary";#N/A,#N/A,TRUE,"Operating Expenses";#N/A,#N/A,TRUE,"Cost Of Service";#N/A,#N/A,TRUE,"AW Control";#N/A,#N/A,TRUE,"Economic Data";#N/A,#N/A,TRUE,"KIS Income Statement";#N/A,#N/A,TRUE,"KIS Summary Expenses";#N/A,#N/A,TRUE,"KIS Expenses";#N/A,#N/A,TRUE,"KIS Expenses-2";#N/A,#N/A,TRUE,"KIS BLATT2";#N/A,#N/A,TRUE,"KIS BLATT3.1";#N/A,#N/A,TRUE,"KIS BLATT3.1A";#N/A,#N/A,TRUE,"KIS BLATT3.1B";#N/A,#N/A,TRUE,"KIS BLATT3.2";#N/A,#N/A,TRUE,"KIS BLATT3.3";#N/A,#N/A,TRUE,"KIS BLATT4";#N/A,#N/A,TRUE,"KIS BLATT5";#N/A,#N/A,TRUE,"KIS BLATT8";#N/A,#N/A,TRUE,"KIS BLATT11";#N/A,#N/A,TRUE,"Taseron"}</definedName>
    <definedName name="Print_Area_MI">#REF!</definedName>
    <definedName name="Print_Area_MIe">#REF!</definedName>
    <definedName name="Query1">#REF!</definedName>
    <definedName name="Query11">#REF!</definedName>
    <definedName name="SAPBEXdnldView" hidden="1">"45QKW8PQR9IUFOK42FN8BKWM1"</definedName>
    <definedName name="SAPBEXsysID" hidden="1">"B1P"</definedName>
    <definedName name="sss">#REF!</definedName>
    <definedName name="ssss" hidden="1">{#N/A,#N/A,TRUE,"Exchange Rate";#N/A,#N/A,TRUE,"Profit Margin";#N/A,#N/A,TRUE,"Units";#N/A,#N/A,TRUE,"Purchase Price";#N/A,#N/A,TRUE,"Selling Price";#N/A,#N/A,TRUE,"Purchase";#N/A,#N/A,TRUE,"Sales"}</definedName>
    <definedName name="sssssss">#REF!</definedName>
    <definedName name="TEST0">#REF!</definedName>
    <definedName name="TEST1">#REF!</definedName>
    <definedName name="TEST122">#REF!</definedName>
    <definedName name="TEST2">#REF!</definedName>
    <definedName name="TEST33939">#REF!</definedName>
    <definedName name="TESTHKEY">#REF!</definedName>
    <definedName name="tt">#REF!</definedName>
    <definedName name="tttt">#REF!</definedName>
    <definedName name="wrn.Budget." hidden="1">{#N/A,#N/A,TRUE,"Exchange Rate";#N/A,#N/A,TRUE,"Profit Margin";#N/A,#N/A,TRUE,"Units";#N/A,#N/A,TRUE,"Purchase Price";#N/A,#N/A,TRUE,"Selling Price";#N/A,#N/A,TRUE,"Purchase";#N/A,#N/A,TRUE,"Sales"}</definedName>
    <definedName name="wrn.Financial._.Statements." hidden="1">{#N/A,#N/A,TRUE,"Exchange Rate-Dm";#N/A,#N/A,TRUE,"Exchange Rate-$";#N/A,#N/A,TRUE,"Exchange Rate-Euro";#N/A,#N/A,TRUE,"Balance Sheet TL-2";#N/A,#N/A,TRUE,"Balance Sheet TL";#N/A,#N/A,TRUE,"Balance Sheet DM";#N/A,#N/A,TRUE,"Notes";#N/A,#N/A,TRUE,"Notes Explanations";#N/A,#N/A,TRUE,"Liabilities";#N/A,#N/A,TRUE,"Balance Sheet Explanation";#N/A,#N/A,TRUE,"Consolidation";#N/A,#N/A,TRUE,"Classic Balance Sheet";#N/A,#N/A,TRUE,"Peg Aş";#N/A,#N/A,TRUE,"Profilo Telra Aş";#N/A,#N/A,TRUE,"P-L TL";#N/A,#N/A,TRUE,"P-L DM";#N/A,#N/A,TRUE,"Comparative P-L 2";#N/A,#N/A,TRUE,"Comparative P-L";#N/A,#N/A,TRUE,"Comparative P-L DM";#N/A,#N/A,TRUE,"Monthly P-L-2";#N/A,#N/A,TRUE,"Monthly P-L";#N/A,#N/A,TRUE,"Cumulative P-L";#N/A,#N/A,TRUE,"Monthly P-L DM";#N/A,#N/A,TRUE,"Cumulative P-L DM";#N/A,#N/A,TRUE,"Comparative Monthly P-L";#N/A,#N/A,TRUE,"Comparative Cumulative P-L";#N/A,#N/A,TRUE,"Comparative Monthly P-L DM ";#N/A,#N/A,TRUE,"Comparative Cumulative P-L DM";#N/A,#N/A,TRUE,"Tax Calculation";#N/A,#N/A,TRUE,"Rediscount";#N/A,#N/A,TRUE,"Other Income";#N/A,#N/A,TRUE,"PL Provisions";#N/A,#N/A,TRUE,"PL Without Provisions";#N/A,#N/A,TRUE,"PL Provision Lists";#N/A,#N/A,TRUE,"Classic PL";#N/A,#N/A,TRUE,"Financial Report";#N/A,#N/A,TRUE,"Advance";#N/A,#N/A,TRUE,"Operating Exp-Summary";#N/A,#N/A,TRUE,"Operating Expenses";#N/A,#N/A,TRUE,"Cost Of Service";#N/A,#N/A,TRUE,"AW Control";#N/A,#N/A,TRUE,"Economic Data";#N/A,#N/A,TRUE,"KIS Income Statement";#N/A,#N/A,TRUE,"KIS Summary Expenses";#N/A,#N/A,TRUE,"KIS Expenses";#N/A,#N/A,TRUE,"KIS Expenses-2";#N/A,#N/A,TRUE,"KIS BLATT2";#N/A,#N/A,TRUE,"KIS BLATT3.1";#N/A,#N/A,TRUE,"KIS BLATT3.1A";#N/A,#N/A,TRUE,"KIS BLATT3.1B";#N/A,#N/A,TRUE,"KIS BLATT3.2";#N/A,#N/A,TRUE,"KIS BLATT3.3";#N/A,#N/A,TRUE,"KIS BLATT4";#N/A,#N/A,TRUE,"KIS BLATT5";#N/A,#N/A,TRUE,"KIS BLATT8";#N/A,#N/A,TRUE,"KIS BLATT11";#N/A,#N/A,TRUE,"Taseron"}</definedName>
    <definedName name="wrn.Flash._.Reports." hidden="1">{#N/A,#N/A,TRUE,"Exchange Rate-Dm";#N/A,#N/A,TRUE,"Personnel";#N/A,#N/A,TRUE,"Weekly Sales";#N/A,#N/A,TRUE,"Flash Report";#N/A,#N/A,TRUE,"BLATT3.1 Draft";#N/A,#N/A,TRUE,"BLATT8 Draft";#N/A,#N/A,TRUE,"BLATT11 Draft";#N/A,#N/A,TRUE,"Taseron";#N/A,#N/A,TRUE,"Calculation personal";#N/A,#N/A,TRUE,"Draft Sales Development";#N/A,#N/A,TRUE,"Sales Development Work";#N/A,#N/A,TRUE,"Draft Sales Figures";#N/A,#N/A,TRUE,"Draft Sales Figures WG";#N/A,#N/A,TRUE,"Draft Sales Figures Elect";#N/A,#N/A,TRUE,"Sales Figures Work";#N/A,#N/A,TRUE,"Estimated Net Quantity";#N/A,#N/A,TRUE,"Summary Report";#N/A,#N/A,TRUE,"INDEX"}</definedName>
    <definedName name="wrn.Presantation._.Flash._.Reports." hidden="1">{#N/A,#N/A,TRUE,"Weekly Sales";#N/A,#N/A,TRUE,"Flash Report";#N/A,#N/A,TRUE,"BLATT3.1 Draft";#N/A,#N/A,TRUE,"BLATT8 Draft";#N/A,#N/A,TRUE,"BLATT11 Draft";#N/A,#N/A,TRUE,"Taseron";#N/A,#N/A,TRUE,"Draft Sales Development";#N/A,#N/A,TRUE,"Draft Sales Figures";#N/A,#N/A,TRUE,"Draft Sales Figures WG";#N/A,#N/A,TRUE,"Draft Sales Figures Elect";#N/A,#N/A,TRUE,"Estimated Net Quantity";#N/A,#N/A,TRUE,"Summary Report"}</definedName>
    <definedName name="xx">#REF!</definedName>
    <definedName name="xxx" hidden="1">"45QKW8PQR9IUFOK42FN8BKWM1"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2" i="1"/>
  <c r="B53" i="1"/>
  <c r="B54" i="1"/>
  <c r="B55" i="1"/>
  <c r="B56" i="1"/>
  <c r="B57" i="1"/>
  <c r="B58" i="1"/>
  <c r="B59" i="1"/>
  <c r="B60" i="1"/>
  <c r="B61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" i="4" s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2" i="1"/>
  <c r="B283" i="1"/>
  <c r="B284" i="1"/>
  <c r="B285" i="1"/>
  <c r="B286" i="1"/>
  <c r="B287" i="1"/>
  <c r="B288" i="1"/>
  <c r="B289" i="1"/>
  <c r="B290" i="1"/>
  <c r="B291" i="1"/>
  <c r="B292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1" i="1"/>
  <c r="B362" i="1"/>
  <c r="B363" i="1"/>
  <c r="B364" i="1"/>
  <c r="B365" i="1"/>
  <c r="B366" i="1"/>
  <c r="B368" i="1"/>
  <c r="B369" i="1"/>
  <c r="B370" i="1"/>
  <c r="B371" i="1"/>
  <c r="B372" i="1"/>
  <c r="B373" i="1"/>
  <c r="B374" i="1"/>
  <c r="B375" i="1"/>
  <c r="B376" i="1"/>
  <c r="B377" i="1"/>
  <c r="B379" i="1"/>
  <c r="B380" i="1"/>
  <c r="B381" i="1"/>
  <c r="B382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9" i="1"/>
  <c r="B490" i="1"/>
  <c r="B491" i="1"/>
  <c r="B492" i="1"/>
  <c r="B493" i="1"/>
  <c r="B494" i="1"/>
  <c r="B495" i="1"/>
  <c r="B496" i="1"/>
  <c r="B497" i="1"/>
  <c r="B2" i="1"/>
  <c r="T497" i="1"/>
  <c r="S497" i="1"/>
  <c r="N497" i="1"/>
  <c r="T496" i="1"/>
  <c r="S496" i="1"/>
  <c r="N496" i="1"/>
  <c r="T495" i="1"/>
  <c r="S495" i="1"/>
  <c r="N495" i="1"/>
  <c r="T494" i="1"/>
  <c r="S494" i="1"/>
  <c r="N494" i="1"/>
  <c r="T493" i="1"/>
  <c r="S493" i="1"/>
  <c r="N493" i="1"/>
  <c r="T492" i="1"/>
  <c r="S492" i="1"/>
  <c r="N492" i="1"/>
  <c r="T491" i="1"/>
  <c r="S491" i="1"/>
  <c r="N491" i="1"/>
  <c r="T490" i="1"/>
  <c r="S490" i="1"/>
  <c r="N490" i="1"/>
  <c r="T489" i="1"/>
  <c r="S489" i="1"/>
  <c r="N489" i="1"/>
  <c r="T487" i="1"/>
  <c r="S487" i="1"/>
  <c r="N487" i="1"/>
  <c r="T486" i="1"/>
  <c r="S486" i="1"/>
  <c r="N486" i="1"/>
  <c r="T485" i="1"/>
  <c r="S485" i="1"/>
  <c r="N485" i="1"/>
  <c r="T484" i="1"/>
  <c r="S484" i="1"/>
  <c r="N484" i="1"/>
  <c r="T483" i="1"/>
  <c r="S483" i="1"/>
  <c r="N483" i="1"/>
  <c r="T482" i="1"/>
  <c r="S482" i="1"/>
  <c r="N482" i="1"/>
  <c r="T481" i="1"/>
  <c r="S481" i="1"/>
  <c r="N481" i="1"/>
  <c r="T480" i="1"/>
  <c r="S480" i="1"/>
  <c r="N480" i="1"/>
  <c r="T479" i="1"/>
  <c r="S479" i="1"/>
  <c r="N479" i="1"/>
  <c r="T478" i="1"/>
  <c r="S478" i="1"/>
  <c r="N478" i="1"/>
  <c r="T477" i="1"/>
  <c r="S477" i="1"/>
  <c r="N477" i="1"/>
  <c r="T476" i="1"/>
  <c r="S476" i="1"/>
  <c r="N476" i="1"/>
  <c r="T475" i="1"/>
  <c r="S475" i="1"/>
  <c r="N475" i="1"/>
  <c r="T474" i="1"/>
  <c r="S474" i="1"/>
  <c r="N474" i="1"/>
  <c r="T473" i="1"/>
  <c r="S473" i="1"/>
  <c r="N473" i="1"/>
  <c r="T472" i="1"/>
  <c r="S472" i="1"/>
  <c r="N472" i="1"/>
  <c r="T470" i="1"/>
  <c r="S470" i="1"/>
  <c r="N470" i="1"/>
  <c r="T469" i="1"/>
  <c r="S469" i="1"/>
  <c r="N469" i="1"/>
  <c r="T468" i="1"/>
  <c r="S468" i="1"/>
  <c r="N468" i="1"/>
  <c r="T467" i="1"/>
  <c r="S467" i="1"/>
  <c r="N467" i="1"/>
  <c r="T466" i="1"/>
  <c r="S466" i="1"/>
  <c r="N466" i="1"/>
  <c r="T465" i="1"/>
  <c r="S465" i="1"/>
  <c r="N465" i="1"/>
  <c r="T464" i="1"/>
  <c r="S464" i="1"/>
  <c r="N464" i="1"/>
  <c r="T463" i="1"/>
  <c r="S463" i="1"/>
  <c r="N463" i="1"/>
  <c r="T462" i="1"/>
  <c r="S462" i="1"/>
  <c r="N462" i="1"/>
  <c r="T461" i="1"/>
  <c r="S461" i="1"/>
  <c r="N461" i="1"/>
  <c r="T460" i="1"/>
  <c r="S460" i="1"/>
  <c r="N460" i="1"/>
  <c r="T459" i="1"/>
  <c r="S459" i="1"/>
  <c r="N459" i="1"/>
  <c r="T458" i="1"/>
  <c r="S458" i="1"/>
  <c r="N458" i="1"/>
  <c r="T457" i="1"/>
  <c r="S457" i="1"/>
  <c r="N457" i="1"/>
  <c r="T456" i="1"/>
  <c r="S456" i="1"/>
  <c r="N456" i="1"/>
  <c r="T455" i="1"/>
  <c r="S455" i="1"/>
  <c r="N455" i="1"/>
  <c r="T454" i="1"/>
  <c r="S454" i="1"/>
  <c r="N454" i="1"/>
  <c r="T453" i="1"/>
  <c r="S453" i="1"/>
  <c r="N453" i="1"/>
  <c r="T452" i="1"/>
  <c r="S452" i="1"/>
  <c r="N452" i="1"/>
  <c r="T451" i="1"/>
  <c r="S451" i="1"/>
  <c r="N451" i="1"/>
  <c r="T450" i="1"/>
  <c r="S450" i="1"/>
  <c r="N450" i="1"/>
  <c r="T449" i="1"/>
  <c r="S449" i="1"/>
  <c r="N449" i="1"/>
  <c r="N448" i="1"/>
  <c r="N447" i="1"/>
  <c r="N446" i="1"/>
  <c r="N445" i="1"/>
  <c r="N444" i="1"/>
  <c r="N443" i="1"/>
  <c r="T442" i="1"/>
  <c r="S442" i="1"/>
  <c r="N442" i="1"/>
  <c r="T441" i="1"/>
  <c r="S441" i="1"/>
  <c r="N441" i="1"/>
  <c r="T440" i="1"/>
  <c r="S440" i="1"/>
  <c r="N440" i="1"/>
  <c r="T439" i="1"/>
  <c r="S439" i="1"/>
  <c r="N439" i="1"/>
  <c r="T438" i="1"/>
  <c r="S438" i="1"/>
  <c r="N438" i="1"/>
  <c r="T436" i="1"/>
  <c r="S436" i="1"/>
  <c r="N436" i="1"/>
  <c r="T435" i="1"/>
  <c r="S435" i="1"/>
  <c r="N435" i="1"/>
  <c r="T434" i="1"/>
  <c r="S434" i="1"/>
  <c r="N434" i="1"/>
  <c r="T433" i="1"/>
  <c r="S433" i="1"/>
  <c r="N433" i="1"/>
  <c r="T432" i="1"/>
  <c r="S432" i="1"/>
  <c r="N432" i="1"/>
  <c r="T431" i="1"/>
  <c r="S431" i="1"/>
  <c r="N431" i="1"/>
  <c r="T430" i="1"/>
  <c r="S430" i="1"/>
  <c r="N430" i="1"/>
  <c r="T429" i="1"/>
  <c r="S429" i="1"/>
  <c r="N429" i="1"/>
  <c r="T428" i="1"/>
  <c r="S428" i="1"/>
  <c r="N428" i="1"/>
  <c r="T427" i="1"/>
  <c r="S427" i="1"/>
  <c r="N427" i="1"/>
  <c r="T426" i="1"/>
  <c r="S426" i="1"/>
  <c r="N426" i="1"/>
  <c r="T425" i="1"/>
  <c r="S425" i="1"/>
  <c r="N425" i="1"/>
  <c r="T424" i="1"/>
  <c r="S424" i="1"/>
  <c r="N424" i="1"/>
  <c r="T423" i="1"/>
  <c r="S423" i="1"/>
  <c r="N423" i="1"/>
  <c r="T422" i="1"/>
  <c r="S422" i="1"/>
  <c r="N422" i="1"/>
  <c r="T421" i="1"/>
  <c r="S421" i="1"/>
  <c r="N421" i="1"/>
  <c r="T420" i="1"/>
  <c r="S420" i="1"/>
  <c r="N420" i="1"/>
  <c r="T418" i="1"/>
  <c r="S418" i="1"/>
  <c r="N418" i="1"/>
  <c r="T417" i="1"/>
  <c r="S417" i="1"/>
  <c r="N417" i="1"/>
  <c r="T416" i="1"/>
  <c r="S416" i="1"/>
  <c r="N416" i="1"/>
  <c r="T415" i="1"/>
  <c r="S415" i="1"/>
  <c r="N415" i="1"/>
  <c r="T414" i="1"/>
  <c r="S414" i="1"/>
  <c r="N414" i="1"/>
  <c r="T413" i="1"/>
  <c r="S413" i="1"/>
  <c r="N413" i="1"/>
  <c r="T412" i="1"/>
  <c r="S412" i="1"/>
  <c r="N412" i="1"/>
  <c r="T411" i="1"/>
  <c r="S411" i="1"/>
  <c r="N411" i="1"/>
  <c r="T410" i="1"/>
  <c r="S410" i="1"/>
  <c r="N410" i="1"/>
  <c r="T409" i="1"/>
  <c r="S409" i="1"/>
  <c r="N409" i="1"/>
  <c r="T408" i="1"/>
  <c r="S408" i="1"/>
  <c r="N408" i="1"/>
  <c r="T407" i="1"/>
  <c r="S407" i="1"/>
  <c r="N407" i="1"/>
  <c r="T406" i="1"/>
  <c r="S406" i="1"/>
  <c r="N406" i="1"/>
  <c r="T405" i="1"/>
  <c r="S405" i="1"/>
  <c r="N405" i="1"/>
  <c r="T404" i="1"/>
  <c r="S404" i="1"/>
  <c r="N404" i="1"/>
  <c r="T403" i="1"/>
  <c r="S403" i="1"/>
  <c r="N403" i="1"/>
  <c r="T402" i="1"/>
  <c r="S402" i="1"/>
  <c r="N402" i="1"/>
  <c r="T401" i="1"/>
  <c r="S401" i="1"/>
  <c r="N401" i="1"/>
  <c r="T400" i="1"/>
  <c r="S400" i="1"/>
  <c r="N400" i="1"/>
  <c r="T399" i="1"/>
  <c r="S399" i="1"/>
  <c r="N399" i="1"/>
  <c r="T398" i="1"/>
  <c r="S398" i="1"/>
  <c r="N398" i="1"/>
  <c r="T397" i="1"/>
  <c r="S397" i="1"/>
  <c r="N397" i="1"/>
  <c r="T396" i="1"/>
  <c r="S396" i="1"/>
  <c r="N396" i="1"/>
  <c r="T395" i="1"/>
  <c r="S395" i="1"/>
  <c r="N395" i="1"/>
  <c r="T394" i="1"/>
  <c r="S394" i="1"/>
  <c r="N394" i="1"/>
  <c r="T393" i="1"/>
  <c r="S393" i="1"/>
  <c r="N393" i="1"/>
  <c r="T392" i="1"/>
  <c r="S392" i="1"/>
  <c r="N392" i="1"/>
  <c r="T391" i="1"/>
  <c r="S391" i="1"/>
  <c r="N391" i="1"/>
  <c r="T390" i="1"/>
  <c r="S390" i="1"/>
  <c r="N390" i="1"/>
  <c r="T389" i="1"/>
  <c r="S389" i="1"/>
  <c r="N389" i="1"/>
  <c r="T388" i="1"/>
  <c r="S388" i="1"/>
  <c r="N388" i="1"/>
  <c r="T387" i="1"/>
  <c r="S387" i="1"/>
  <c r="N387" i="1"/>
  <c r="T386" i="1"/>
  <c r="S386" i="1"/>
  <c r="N386" i="1"/>
  <c r="T385" i="1"/>
  <c r="S385" i="1"/>
  <c r="N385" i="1"/>
  <c r="T384" i="1"/>
  <c r="S384" i="1"/>
  <c r="N384" i="1"/>
  <c r="T382" i="1"/>
  <c r="S382" i="1"/>
  <c r="N382" i="1"/>
  <c r="T381" i="1"/>
  <c r="S381" i="1"/>
  <c r="N381" i="1"/>
  <c r="T380" i="1"/>
  <c r="S380" i="1"/>
  <c r="N380" i="1"/>
  <c r="T379" i="1"/>
  <c r="S379" i="1"/>
  <c r="N379" i="1"/>
  <c r="T377" i="1"/>
  <c r="S377" i="1"/>
  <c r="N377" i="1"/>
  <c r="T376" i="1"/>
  <c r="S376" i="1"/>
  <c r="N376" i="1"/>
  <c r="T375" i="1"/>
  <c r="S375" i="1"/>
  <c r="N375" i="1"/>
  <c r="T374" i="1"/>
  <c r="S374" i="1"/>
  <c r="N374" i="1"/>
  <c r="T373" i="1"/>
  <c r="S373" i="1"/>
  <c r="N373" i="1"/>
  <c r="T372" i="1"/>
  <c r="S372" i="1"/>
  <c r="N372" i="1"/>
  <c r="T371" i="1"/>
  <c r="S371" i="1"/>
  <c r="N371" i="1"/>
  <c r="T370" i="1"/>
  <c r="S370" i="1"/>
  <c r="N370" i="1"/>
  <c r="T369" i="1"/>
  <c r="S369" i="1"/>
  <c r="N369" i="1"/>
  <c r="T368" i="1"/>
  <c r="S368" i="1"/>
  <c r="N368" i="1"/>
  <c r="T366" i="1"/>
  <c r="S366" i="1"/>
  <c r="N366" i="1"/>
  <c r="T365" i="1"/>
  <c r="S365" i="1"/>
  <c r="N365" i="1"/>
  <c r="T364" i="1"/>
  <c r="S364" i="1"/>
  <c r="N364" i="1"/>
  <c r="T363" i="1"/>
  <c r="S363" i="1"/>
  <c r="N363" i="1"/>
  <c r="T362" i="1"/>
  <c r="S362" i="1"/>
  <c r="N362" i="1"/>
  <c r="T361" i="1"/>
  <c r="S361" i="1"/>
  <c r="N361" i="1"/>
  <c r="T359" i="1"/>
  <c r="S359" i="1"/>
  <c r="N359" i="1"/>
  <c r="T358" i="1"/>
  <c r="S358" i="1"/>
  <c r="N358" i="1"/>
  <c r="T357" i="1"/>
  <c r="S357" i="1"/>
  <c r="N357" i="1"/>
  <c r="T356" i="1"/>
  <c r="S356" i="1"/>
  <c r="N356" i="1"/>
  <c r="T355" i="1"/>
  <c r="S355" i="1"/>
  <c r="N355" i="1"/>
  <c r="T354" i="1"/>
  <c r="S354" i="1"/>
  <c r="N354" i="1"/>
  <c r="T353" i="1"/>
  <c r="S353" i="1"/>
  <c r="N353" i="1"/>
  <c r="T352" i="1"/>
  <c r="S352" i="1"/>
  <c r="N352" i="1"/>
  <c r="T351" i="1"/>
  <c r="S351" i="1"/>
  <c r="N351" i="1"/>
  <c r="T350" i="1"/>
  <c r="S350" i="1"/>
  <c r="N350" i="1"/>
  <c r="T349" i="1"/>
  <c r="S349" i="1"/>
  <c r="N349" i="1"/>
  <c r="T348" i="1"/>
  <c r="S348" i="1"/>
  <c r="N348" i="1"/>
  <c r="T347" i="1"/>
  <c r="S347" i="1"/>
  <c r="N347" i="1"/>
  <c r="T346" i="1"/>
  <c r="S346" i="1"/>
  <c r="N346" i="1"/>
  <c r="T345" i="1"/>
  <c r="S345" i="1"/>
  <c r="N345" i="1"/>
  <c r="T344" i="1"/>
  <c r="S344" i="1"/>
  <c r="N344" i="1"/>
  <c r="T343" i="1"/>
  <c r="S343" i="1"/>
  <c r="N343" i="1"/>
  <c r="T342" i="1"/>
  <c r="S342" i="1"/>
  <c r="N342" i="1"/>
  <c r="T341" i="1"/>
  <c r="S341" i="1"/>
  <c r="N341" i="1"/>
  <c r="T340" i="1"/>
  <c r="S340" i="1"/>
  <c r="N340" i="1"/>
  <c r="T339" i="1"/>
  <c r="S339" i="1"/>
  <c r="N339" i="1"/>
  <c r="T338" i="1"/>
  <c r="S338" i="1"/>
  <c r="N338" i="1"/>
  <c r="T337" i="1"/>
  <c r="S337" i="1"/>
  <c r="N337" i="1"/>
  <c r="T336" i="1"/>
  <c r="S336" i="1"/>
  <c r="N336" i="1"/>
  <c r="T335" i="1"/>
  <c r="S335" i="1"/>
  <c r="N335" i="1"/>
  <c r="T334" i="1"/>
  <c r="S334" i="1"/>
  <c r="N334" i="1"/>
  <c r="T333" i="1"/>
  <c r="S333" i="1"/>
  <c r="N333" i="1"/>
  <c r="T332" i="1"/>
  <c r="S332" i="1"/>
  <c r="N332" i="1"/>
  <c r="T331" i="1"/>
  <c r="S331" i="1"/>
  <c r="N331" i="1"/>
  <c r="T330" i="1"/>
  <c r="S330" i="1"/>
  <c r="N330" i="1"/>
  <c r="T329" i="1"/>
  <c r="S329" i="1"/>
  <c r="N329" i="1"/>
  <c r="T328" i="1"/>
  <c r="S328" i="1"/>
  <c r="N328" i="1"/>
  <c r="T327" i="1"/>
  <c r="S327" i="1"/>
  <c r="N327" i="1"/>
  <c r="T326" i="1"/>
  <c r="S326" i="1"/>
  <c r="N326" i="1"/>
  <c r="T325" i="1"/>
  <c r="S325" i="1"/>
  <c r="N325" i="1"/>
  <c r="T324" i="1"/>
  <c r="S324" i="1"/>
  <c r="N324" i="1"/>
  <c r="T323" i="1"/>
  <c r="S323" i="1"/>
  <c r="N323" i="1"/>
  <c r="T322" i="1"/>
  <c r="S322" i="1"/>
  <c r="N322" i="1"/>
  <c r="T321" i="1"/>
  <c r="S321" i="1"/>
  <c r="N321" i="1"/>
  <c r="T320" i="1"/>
  <c r="S320" i="1"/>
  <c r="N320" i="1"/>
  <c r="T319" i="1"/>
  <c r="S319" i="1"/>
  <c r="N319" i="1"/>
  <c r="T318" i="1"/>
  <c r="S318" i="1"/>
  <c r="N318" i="1"/>
  <c r="T317" i="1"/>
  <c r="S317" i="1"/>
  <c r="N317" i="1"/>
  <c r="T316" i="1"/>
  <c r="S316" i="1"/>
  <c r="N316" i="1"/>
  <c r="T315" i="1"/>
  <c r="S315" i="1"/>
  <c r="N315" i="1"/>
  <c r="T314" i="1"/>
  <c r="S314" i="1"/>
  <c r="N314" i="1"/>
  <c r="T313" i="1"/>
  <c r="S313" i="1"/>
  <c r="N313" i="1"/>
  <c r="T312" i="1"/>
  <c r="S312" i="1"/>
  <c r="N312" i="1"/>
  <c r="T311" i="1"/>
  <c r="S311" i="1"/>
  <c r="N311" i="1"/>
  <c r="T310" i="1"/>
  <c r="S310" i="1"/>
  <c r="N310" i="1"/>
  <c r="T309" i="1"/>
  <c r="S309" i="1"/>
  <c r="N309" i="1"/>
  <c r="T308" i="1"/>
  <c r="S308" i="1"/>
  <c r="N308" i="1"/>
  <c r="T307" i="1"/>
  <c r="S307" i="1"/>
  <c r="N307" i="1"/>
  <c r="T306" i="1"/>
  <c r="S306" i="1"/>
  <c r="N306" i="1"/>
  <c r="T305" i="1"/>
  <c r="S305" i="1"/>
  <c r="N305" i="1"/>
  <c r="T304" i="1"/>
  <c r="S304" i="1"/>
  <c r="N304" i="1"/>
  <c r="T303" i="1"/>
  <c r="S303" i="1"/>
  <c r="N303" i="1"/>
  <c r="T302" i="1"/>
  <c r="S302" i="1"/>
  <c r="N302" i="1"/>
  <c r="T301" i="1"/>
  <c r="S301" i="1"/>
  <c r="N301" i="1"/>
  <c r="T300" i="1"/>
  <c r="S300" i="1"/>
  <c r="N300" i="1"/>
  <c r="I3" i="4"/>
  <c r="H3" i="4"/>
  <c r="T299" i="1"/>
  <c r="G3" i="4" s="1"/>
  <c r="S299" i="1"/>
  <c r="F3" i="4" s="1"/>
  <c r="D3" i="4"/>
  <c r="N299" i="1"/>
  <c r="B3" i="4"/>
  <c r="T298" i="1"/>
  <c r="S298" i="1"/>
  <c r="N298" i="1"/>
  <c r="T297" i="1"/>
  <c r="S297" i="1"/>
  <c r="N297" i="1"/>
  <c r="T296" i="1"/>
  <c r="S296" i="1"/>
  <c r="N296" i="1"/>
  <c r="T295" i="1"/>
  <c r="S295" i="1"/>
  <c r="N295" i="1"/>
  <c r="T294" i="1"/>
  <c r="S294" i="1"/>
  <c r="N294" i="1"/>
  <c r="T292" i="1"/>
  <c r="S292" i="1"/>
  <c r="N292" i="1"/>
  <c r="T291" i="1"/>
  <c r="S291" i="1"/>
  <c r="N291" i="1"/>
  <c r="T290" i="1"/>
  <c r="S290" i="1"/>
  <c r="N290" i="1"/>
  <c r="T289" i="1"/>
  <c r="S289" i="1"/>
  <c r="N289" i="1"/>
  <c r="T288" i="1"/>
  <c r="S288" i="1"/>
  <c r="N288" i="1"/>
  <c r="T287" i="1"/>
  <c r="S287" i="1"/>
  <c r="N287" i="1"/>
  <c r="T286" i="1"/>
  <c r="S286" i="1"/>
  <c r="N286" i="1"/>
  <c r="T285" i="1"/>
  <c r="S285" i="1"/>
  <c r="N285" i="1"/>
  <c r="T284" i="1"/>
  <c r="S284" i="1"/>
  <c r="N284" i="1"/>
  <c r="T283" i="1"/>
  <c r="S283" i="1"/>
  <c r="N283" i="1"/>
  <c r="T282" i="1"/>
  <c r="S282" i="1"/>
  <c r="N282" i="1"/>
  <c r="T280" i="1"/>
  <c r="S280" i="1"/>
  <c r="N280" i="1"/>
  <c r="T279" i="1"/>
  <c r="S279" i="1"/>
  <c r="N279" i="1"/>
  <c r="T278" i="1"/>
  <c r="S278" i="1"/>
  <c r="N278" i="1"/>
  <c r="T277" i="1"/>
  <c r="S277" i="1"/>
  <c r="N277" i="1"/>
  <c r="T276" i="1"/>
  <c r="S276" i="1"/>
  <c r="N276" i="1"/>
  <c r="T275" i="1"/>
  <c r="S275" i="1"/>
  <c r="N275" i="1"/>
  <c r="T274" i="1"/>
  <c r="S274" i="1"/>
  <c r="N274" i="1"/>
  <c r="T273" i="1"/>
  <c r="S273" i="1"/>
  <c r="N273" i="1"/>
  <c r="T272" i="1"/>
  <c r="S272" i="1"/>
  <c r="N272" i="1"/>
  <c r="T271" i="1"/>
  <c r="S271" i="1"/>
  <c r="N271" i="1"/>
  <c r="T270" i="1"/>
  <c r="S270" i="1"/>
  <c r="N270" i="1"/>
  <c r="T269" i="1"/>
  <c r="S269" i="1"/>
  <c r="N269" i="1"/>
  <c r="T268" i="1"/>
  <c r="S268" i="1"/>
  <c r="N268" i="1"/>
  <c r="T267" i="1"/>
  <c r="S267" i="1"/>
  <c r="N267" i="1"/>
  <c r="T266" i="1"/>
  <c r="S266" i="1"/>
  <c r="N266" i="1"/>
  <c r="T265" i="1"/>
  <c r="S265" i="1"/>
  <c r="N265" i="1"/>
  <c r="T264" i="1"/>
  <c r="S264" i="1"/>
  <c r="N264" i="1"/>
  <c r="T263" i="1"/>
  <c r="S263" i="1"/>
  <c r="N263" i="1"/>
  <c r="T262" i="1"/>
  <c r="S262" i="1"/>
  <c r="N262" i="1"/>
  <c r="T261" i="1"/>
  <c r="S261" i="1"/>
  <c r="N261" i="1"/>
  <c r="T260" i="1"/>
  <c r="S260" i="1"/>
  <c r="N260" i="1"/>
  <c r="T259" i="1"/>
  <c r="S259" i="1"/>
  <c r="N259" i="1"/>
  <c r="T258" i="1"/>
  <c r="S258" i="1"/>
  <c r="N258" i="1"/>
  <c r="T257" i="1"/>
  <c r="S257" i="1"/>
  <c r="N257" i="1"/>
  <c r="T256" i="1"/>
  <c r="S256" i="1"/>
  <c r="N256" i="1"/>
  <c r="T255" i="1"/>
  <c r="S255" i="1"/>
  <c r="N255" i="1"/>
  <c r="T254" i="1"/>
  <c r="S254" i="1"/>
  <c r="N254" i="1"/>
  <c r="I4" i="4"/>
  <c r="H4" i="4"/>
  <c r="T253" i="1"/>
  <c r="G4" i="4" s="1"/>
  <c r="S253" i="1"/>
  <c r="F4" i="4" s="1"/>
  <c r="D4" i="4"/>
  <c r="N253" i="1"/>
  <c r="B4" i="4"/>
  <c r="T252" i="1"/>
  <c r="S252" i="1"/>
  <c r="N252" i="1"/>
  <c r="T251" i="1"/>
  <c r="S251" i="1"/>
  <c r="N251" i="1"/>
  <c r="T250" i="1"/>
  <c r="S250" i="1"/>
  <c r="N250" i="1"/>
  <c r="T249" i="1"/>
  <c r="S249" i="1"/>
  <c r="N249" i="1"/>
  <c r="T248" i="1"/>
  <c r="S248" i="1"/>
  <c r="N248" i="1"/>
  <c r="T247" i="1"/>
  <c r="S247" i="1"/>
  <c r="N247" i="1"/>
  <c r="T246" i="1"/>
  <c r="S246" i="1"/>
  <c r="N246" i="1"/>
  <c r="T245" i="1"/>
  <c r="S245" i="1"/>
  <c r="N245" i="1"/>
  <c r="T244" i="1"/>
  <c r="S244" i="1"/>
  <c r="N244" i="1"/>
  <c r="T243" i="1"/>
  <c r="S243" i="1"/>
  <c r="N243" i="1"/>
  <c r="T242" i="1"/>
  <c r="S242" i="1"/>
  <c r="N242" i="1"/>
  <c r="T241" i="1"/>
  <c r="S241" i="1"/>
  <c r="N241" i="1"/>
  <c r="T240" i="1"/>
  <c r="S240" i="1"/>
  <c r="N240" i="1"/>
  <c r="T239" i="1"/>
  <c r="S239" i="1"/>
  <c r="N239" i="1"/>
  <c r="T238" i="1"/>
  <c r="S238" i="1"/>
  <c r="N238" i="1"/>
  <c r="T237" i="1"/>
  <c r="S237" i="1"/>
  <c r="N237" i="1"/>
  <c r="T236" i="1"/>
  <c r="S236" i="1"/>
  <c r="N236" i="1"/>
  <c r="T235" i="1"/>
  <c r="S235" i="1"/>
  <c r="N235" i="1"/>
  <c r="T234" i="1"/>
  <c r="S234" i="1"/>
  <c r="N234" i="1"/>
  <c r="T233" i="1"/>
  <c r="S233" i="1"/>
  <c r="N233" i="1"/>
  <c r="T232" i="1"/>
  <c r="S232" i="1"/>
  <c r="N232" i="1"/>
  <c r="T231" i="1"/>
  <c r="S231" i="1"/>
  <c r="N231" i="1"/>
  <c r="T229" i="1"/>
  <c r="S229" i="1"/>
  <c r="N229" i="1"/>
  <c r="T228" i="1"/>
  <c r="S228" i="1"/>
  <c r="N228" i="1"/>
  <c r="T227" i="1"/>
  <c r="S227" i="1"/>
  <c r="N227" i="1"/>
  <c r="T226" i="1"/>
  <c r="S226" i="1"/>
  <c r="N226" i="1"/>
  <c r="T225" i="1"/>
  <c r="S225" i="1"/>
  <c r="N225" i="1"/>
  <c r="T224" i="1"/>
  <c r="S224" i="1"/>
  <c r="N224" i="1"/>
  <c r="T223" i="1"/>
  <c r="S223" i="1"/>
  <c r="N223" i="1"/>
  <c r="T222" i="1"/>
  <c r="S222" i="1"/>
  <c r="N222" i="1"/>
  <c r="T221" i="1"/>
  <c r="S221" i="1"/>
  <c r="N221" i="1"/>
  <c r="T220" i="1"/>
  <c r="S220" i="1"/>
  <c r="N220" i="1"/>
  <c r="T219" i="1"/>
  <c r="S219" i="1"/>
  <c r="N219" i="1"/>
  <c r="T218" i="1"/>
  <c r="S218" i="1"/>
  <c r="N218" i="1"/>
  <c r="T217" i="1"/>
  <c r="S217" i="1"/>
  <c r="N217" i="1"/>
  <c r="T216" i="1"/>
  <c r="S216" i="1"/>
  <c r="N216" i="1"/>
  <c r="T215" i="1"/>
  <c r="S215" i="1"/>
  <c r="N215" i="1"/>
  <c r="T214" i="1"/>
  <c r="S214" i="1"/>
  <c r="N214" i="1"/>
  <c r="T213" i="1"/>
  <c r="S213" i="1"/>
  <c r="N213" i="1"/>
  <c r="T211" i="1"/>
  <c r="S211" i="1"/>
  <c r="N211" i="1"/>
  <c r="T210" i="1"/>
  <c r="S210" i="1"/>
  <c r="N210" i="1"/>
  <c r="T209" i="1"/>
  <c r="S209" i="1"/>
  <c r="N209" i="1"/>
  <c r="T208" i="1"/>
  <c r="S208" i="1"/>
  <c r="N208" i="1"/>
  <c r="T207" i="1"/>
  <c r="S207" i="1"/>
  <c r="N207" i="1"/>
  <c r="T206" i="1"/>
  <c r="S206" i="1"/>
  <c r="N206" i="1"/>
  <c r="T205" i="1"/>
  <c r="S205" i="1"/>
  <c r="N205" i="1"/>
  <c r="T204" i="1"/>
  <c r="S204" i="1"/>
  <c r="N204" i="1"/>
  <c r="T203" i="1"/>
  <c r="S203" i="1"/>
  <c r="N203" i="1"/>
  <c r="T202" i="1"/>
  <c r="S202" i="1"/>
  <c r="N202" i="1"/>
  <c r="T201" i="1"/>
  <c r="S201" i="1"/>
  <c r="N201" i="1"/>
  <c r="T200" i="1"/>
  <c r="S200" i="1"/>
  <c r="N200" i="1"/>
  <c r="I2" i="4"/>
  <c r="H2" i="4"/>
  <c r="T199" i="1"/>
  <c r="G2" i="4" s="1"/>
  <c r="S199" i="1"/>
  <c r="F2" i="4" s="1"/>
  <c r="D2" i="4"/>
  <c r="N199" i="1"/>
  <c r="T198" i="1"/>
  <c r="S198" i="1"/>
  <c r="N198" i="1"/>
  <c r="T197" i="1"/>
  <c r="S197" i="1"/>
  <c r="N197" i="1"/>
  <c r="T196" i="1"/>
  <c r="S196" i="1"/>
  <c r="N196" i="1"/>
  <c r="T195" i="1"/>
  <c r="S195" i="1"/>
  <c r="N195" i="1"/>
  <c r="T194" i="1"/>
  <c r="S194" i="1"/>
  <c r="N194" i="1"/>
  <c r="T193" i="1"/>
  <c r="S193" i="1"/>
  <c r="N193" i="1"/>
  <c r="T192" i="1"/>
  <c r="S192" i="1"/>
  <c r="N192" i="1"/>
  <c r="T191" i="1"/>
  <c r="S191" i="1"/>
  <c r="N191" i="1"/>
  <c r="T190" i="1"/>
  <c r="S190" i="1"/>
  <c r="N190" i="1"/>
  <c r="T189" i="1"/>
  <c r="S189" i="1"/>
  <c r="N189" i="1"/>
  <c r="T188" i="1"/>
  <c r="S188" i="1"/>
  <c r="N188" i="1"/>
  <c r="T187" i="1"/>
  <c r="S187" i="1"/>
  <c r="N187" i="1"/>
  <c r="T186" i="1"/>
  <c r="S186" i="1"/>
  <c r="N186" i="1"/>
  <c r="T185" i="1"/>
  <c r="S185" i="1"/>
  <c r="N185" i="1"/>
  <c r="T184" i="1"/>
  <c r="S184" i="1"/>
  <c r="N184" i="1"/>
  <c r="T183" i="1"/>
  <c r="S183" i="1"/>
  <c r="N183" i="1"/>
  <c r="T182" i="1"/>
  <c r="S182" i="1"/>
  <c r="N182" i="1"/>
  <c r="T181" i="1"/>
  <c r="S181" i="1"/>
  <c r="N181" i="1"/>
  <c r="T180" i="1"/>
  <c r="S180" i="1"/>
  <c r="N180" i="1"/>
  <c r="T179" i="1"/>
  <c r="S179" i="1"/>
  <c r="N179" i="1"/>
  <c r="T178" i="1"/>
  <c r="S178" i="1"/>
  <c r="N178" i="1"/>
  <c r="T177" i="1"/>
  <c r="S177" i="1"/>
  <c r="N177" i="1"/>
  <c r="T176" i="1"/>
  <c r="S176" i="1"/>
  <c r="N176" i="1"/>
  <c r="T175" i="1"/>
  <c r="S175" i="1"/>
  <c r="N175" i="1"/>
  <c r="T174" i="1"/>
  <c r="S174" i="1"/>
  <c r="N174" i="1"/>
  <c r="T173" i="1"/>
  <c r="S173" i="1"/>
  <c r="N173" i="1"/>
  <c r="T171" i="1"/>
  <c r="S171" i="1"/>
  <c r="N171" i="1"/>
  <c r="T170" i="1"/>
  <c r="S170" i="1"/>
  <c r="N170" i="1"/>
  <c r="T169" i="1"/>
  <c r="S169" i="1"/>
  <c r="N169" i="1"/>
  <c r="T168" i="1"/>
  <c r="S168" i="1"/>
  <c r="N168" i="1"/>
  <c r="T167" i="1"/>
  <c r="S167" i="1"/>
  <c r="N167" i="1"/>
  <c r="T166" i="1"/>
  <c r="S166" i="1"/>
  <c r="N166" i="1"/>
  <c r="T165" i="1"/>
  <c r="S165" i="1"/>
  <c r="N165" i="1"/>
  <c r="T164" i="1"/>
  <c r="S164" i="1"/>
  <c r="N164" i="1"/>
  <c r="T163" i="1"/>
  <c r="S163" i="1"/>
  <c r="N163" i="1"/>
  <c r="T162" i="1"/>
  <c r="S162" i="1"/>
  <c r="N162" i="1"/>
  <c r="T161" i="1"/>
  <c r="S161" i="1"/>
  <c r="N161" i="1"/>
  <c r="T160" i="1"/>
  <c r="S160" i="1"/>
  <c r="N160" i="1"/>
  <c r="T159" i="1"/>
  <c r="S159" i="1"/>
  <c r="N159" i="1"/>
  <c r="T158" i="1"/>
  <c r="S158" i="1"/>
  <c r="N158" i="1"/>
  <c r="T157" i="1"/>
  <c r="S157" i="1"/>
  <c r="N157" i="1"/>
  <c r="T156" i="1"/>
  <c r="S156" i="1"/>
  <c r="N156" i="1"/>
  <c r="T155" i="1"/>
  <c r="S155" i="1"/>
  <c r="N155" i="1"/>
  <c r="T154" i="1"/>
  <c r="S154" i="1"/>
  <c r="N154" i="1"/>
  <c r="T153" i="1"/>
  <c r="S153" i="1"/>
  <c r="N153" i="1"/>
  <c r="T152" i="1"/>
  <c r="S152" i="1"/>
  <c r="N152" i="1"/>
  <c r="T151" i="1"/>
  <c r="S151" i="1"/>
  <c r="N151" i="1"/>
  <c r="T149" i="1"/>
  <c r="S149" i="1"/>
  <c r="N149" i="1"/>
  <c r="T148" i="1"/>
  <c r="S148" i="1"/>
  <c r="N148" i="1"/>
  <c r="T147" i="1"/>
  <c r="S147" i="1"/>
  <c r="N147" i="1"/>
  <c r="T146" i="1"/>
  <c r="S146" i="1"/>
  <c r="N146" i="1"/>
  <c r="T145" i="1"/>
  <c r="S145" i="1"/>
  <c r="N145" i="1"/>
  <c r="T144" i="1"/>
  <c r="S144" i="1"/>
  <c r="N144" i="1"/>
  <c r="T143" i="1"/>
  <c r="S143" i="1"/>
  <c r="N143" i="1"/>
  <c r="T142" i="1"/>
  <c r="S142" i="1"/>
  <c r="N142" i="1"/>
  <c r="T141" i="1"/>
  <c r="S141" i="1"/>
  <c r="N141" i="1"/>
  <c r="T140" i="1"/>
  <c r="S140" i="1"/>
  <c r="N140" i="1"/>
  <c r="T139" i="1"/>
  <c r="S139" i="1"/>
  <c r="N139" i="1"/>
  <c r="T138" i="1"/>
  <c r="S138" i="1"/>
  <c r="N138" i="1"/>
  <c r="T137" i="1"/>
  <c r="S137" i="1"/>
  <c r="N137" i="1"/>
  <c r="T136" i="1"/>
  <c r="S136" i="1"/>
  <c r="N136" i="1"/>
  <c r="T135" i="1"/>
  <c r="S135" i="1"/>
  <c r="N135" i="1"/>
  <c r="T134" i="1"/>
  <c r="S134" i="1"/>
  <c r="N134" i="1"/>
  <c r="T133" i="1"/>
  <c r="S133" i="1"/>
  <c r="N133" i="1"/>
  <c r="T132" i="1"/>
  <c r="S132" i="1"/>
  <c r="N132" i="1"/>
  <c r="T131" i="1"/>
  <c r="S131" i="1"/>
  <c r="N131" i="1"/>
  <c r="T130" i="1"/>
  <c r="S130" i="1"/>
  <c r="N130" i="1"/>
  <c r="T129" i="1"/>
  <c r="S129" i="1"/>
  <c r="N129" i="1"/>
  <c r="T128" i="1"/>
  <c r="S128" i="1"/>
  <c r="N128" i="1"/>
  <c r="T127" i="1"/>
  <c r="S127" i="1"/>
  <c r="N127" i="1"/>
  <c r="T126" i="1"/>
  <c r="S126" i="1"/>
  <c r="N126" i="1"/>
  <c r="T125" i="1"/>
  <c r="S125" i="1"/>
  <c r="N125" i="1"/>
  <c r="T124" i="1"/>
  <c r="S124" i="1"/>
  <c r="N124" i="1"/>
  <c r="T123" i="1"/>
  <c r="S123" i="1"/>
  <c r="N123" i="1"/>
  <c r="T121" i="1"/>
  <c r="S121" i="1"/>
  <c r="N121" i="1"/>
  <c r="T120" i="1"/>
  <c r="S120" i="1"/>
  <c r="N120" i="1"/>
  <c r="T119" i="1"/>
  <c r="S119" i="1"/>
  <c r="N119" i="1"/>
  <c r="T118" i="1"/>
  <c r="S118" i="1"/>
  <c r="N118" i="1"/>
  <c r="T117" i="1"/>
  <c r="S117" i="1"/>
  <c r="N117" i="1"/>
  <c r="T116" i="1"/>
  <c r="S116" i="1"/>
  <c r="N116" i="1"/>
  <c r="T115" i="1"/>
  <c r="S115" i="1"/>
  <c r="N115" i="1"/>
  <c r="T114" i="1"/>
  <c r="S114" i="1"/>
  <c r="N114" i="1"/>
  <c r="T113" i="1"/>
  <c r="S113" i="1"/>
  <c r="N113" i="1"/>
  <c r="T112" i="1"/>
  <c r="S112" i="1"/>
  <c r="N112" i="1"/>
  <c r="T111" i="1"/>
  <c r="S111" i="1"/>
  <c r="N111" i="1"/>
  <c r="T110" i="1"/>
  <c r="S110" i="1"/>
  <c r="N110" i="1"/>
  <c r="T108" i="1"/>
  <c r="S108" i="1"/>
  <c r="N108" i="1"/>
  <c r="T107" i="1"/>
  <c r="S107" i="1"/>
  <c r="N107" i="1"/>
  <c r="T106" i="1"/>
  <c r="S106" i="1"/>
  <c r="N106" i="1"/>
  <c r="T105" i="1"/>
  <c r="S105" i="1"/>
  <c r="N105" i="1"/>
  <c r="T104" i="1"/>
  <c r="S104" i="1"/>
  <c r="N104" i="1"/>
  <c r="T103" i="1"/>
  <c r="S103" i="1"/>
  <c r="N103" i="1"/>
  <c r="T102" i="1"/>
  <c r="S102" i="1"/>
  <c r="N102" i="1"/>
  <c r="T101" i="1"/>
  <c r="S101" i="1"/>
  <c r="N101" i="1"/>
  <c r="T100" i="1"/>
  <c r="S100" i="1"/>
  <c r="N100" i="1"/>
  <c r="T99" i="1"/>
  <c r="S99" i="1"/>
  <c r="N99" i="1"/>
  <c r="T98" i="1"/>
  <c r="S98" i="1"/>
  <c r="N98" i="1"/>
  <c r="T97" i="1"/>
  <c r="S97" i="1"/>
  <c r="N97" i="1"/>
  <c r="T96" i="1"/>
  <c r="S96" i="1"/>
  <c r="N96" i="1"/>
  <c r="T95" i="1"/>
  <c r="S95" i="1"/>
  <c r="N95" i="1"/>
  <c r="T94" i="1"/>
  <c r="S94" i="1"/>
  <c r="N94" i="1"/>
  <c r="T93" i="1"/>
  <c r="S93" i="1"/>
  <c r="N93" i="1"/>
  <c r="T92" i="1"/>
  <c r="S92" i="1"/>
  <c r="N92" i="1"/>
  <c r="T91" i="1"/>
  <c r="S91" i="1"/>
  <c r="N91" i="1"/>
  <c r="T90" i="1"/>
  <c r="S90" i="1"/>
  <c r="N90" i="1"/>
  <c r="T89" i="1"/>
  <c r="S89" i="1"/>
  <c r="N89" i="1"/>
  <c r="T88" i="1"/>
  <c r="S88" i="1"/>
  <c r="N88" i="1"/>
  <c r="T87" i="1"/>
  <c r="S87" i="1"/>
  <c r="N87" i="1"/>
  <c r="T86" i="1"/>
  <c r="S86" i="1"/>
  <c r="N86" i="1"/>
  <c r="T85" i="1"/>
  <c r="S85" i="1"/>
  <c r="N85" i="1"/>
  <c r="T84" i="1"/>
  <c r="S84" i="1"/>
  <c r="N84" i="1"/>
  <c r="T83" i="1"/>
  <c r="S83" i="1"/>
  <c r="N83" i="1"/>
  <c r="T82" i="1"/>
  <c r="S82" i="1"/>
  <c r="N82" i="1"/>
  <c r="T81" i="1"/>
  <c r="S81" i="1"/>
  <c r="N81" i="1"/>
  <c r="T80" i="1"/>
  <c r="S80" i="1"/>
  <c r="N80" i="1"/>
  <c r="T79" i="1"/>
  <c r="S79" i="1"/>
  <c r="N79" i="1"/>
  <c r="T78" i="1"/>
  <c r="S78" i="1"/>
  <c r="N78" i="1"/>
  <c r="T76" i="1"/>
  <c r="S76" i="1"/>
  <c r="N76" i="1"/>
  <c r="T75" i="1"/>
  <c r="S75" i="1"/>
  <c r="N75" i="1"/>
  <c r="T74" i="1"/>
  <c r="S74" i="1"/>
  <c r="N74" i="1"/>
  <c r="T73" i="1"/>
  <c r="S73" i="1"/>
  <c r="N73" i="1"/>
  <c r="T72" i="1"/>
  <c r="S72" i="1"/>
  <c r="N72" i="1"/>
  <c r="T71" i="1"/>
  <c r="S71" i="1"/>
  <c r="N71" i="1"/>
  <c r="T70" i="1"/>
  <c r="S70" i="1"/>
  <c r="N70" i="1"/>
  <c r="T69" i="1"/>
  <c r="S69" i="1"/>
  <c r="N69" i="1"/>
  <c r="T68" i="1"/>
  <c r="S68" i="1"/>
  <c r="N68" i="1"/>
  <c r="T67" i="1"/>
  <c r="S67" i="1"/>
  <c r="N67" i="1"/>
  <c r="T66" i="1"/>
  <c r="S66" i="1"/>
  <c r="N66" i="1"/>
  <c r="T65" i="1"/>
  <c r="S65" i="1"/>
  <c r="N65" i="1"/>
  <c r="T64" i="1"/>
  <c r="S64" i="1"/>
  <c r="N64" i="1"/>
  <c r="T63" i="1"/>
  <c r="S63" i="1"/>
  <c r="N63" i="1"/>
  <c r="T61" i="1"/>
  <c r="S61" i="1"/>
  <c r="N61" i="1"/>
  <c r="T60" i="1"/>
  <c r="S60" i="1"/>
  <c r="N60" i="1"/>
  <c r="T59" i="1"/>
  <c r="S59" i="1"/>
  <c r="N59" i="1"/>
  <c r="T58" i="1"/>
  <c r="S58" i="1"/>
  <c r="N58" i="1"/>
  <c r="T57" i="1"/>
  <c r="S57" i="1"/>
  <c r="N57" i="1"/>
  <c r="T56" i="1"/>
  <c r="S56" i="1"/>
  <c r="N56" i="1"/>
  <c r="T55" i="1"/>
  <c r="S55" i="1"/>
  <c r="N55" i="1"/>
  <c r="T54" i="1"/>
  <c r="S54" i="1"/>
  <c r="N54" i="1"/>
  <c r="T53" i="1"/>
  <c r="S53" i="1"/>
  <c r="N53" i="1"/>
  <c r="T52" i="1"/>
  <c r="S52" i="1"/>
  <c r="N52" i="1"/>
  <c r="T50" i="1"/>
  <c r="S50" i="1"/>
  <c r="N50" i="1"/>
  <c r="T49" i="1"/>
  <c r="S49" i="1"/>
  <c r="N49" i="1"/>
  <c r="T48" i="1"/>
  <c r="S48" i="1"/>
  <c r="N48" i="1"/>
  <c r="T47" i="1"/>
  <c r="S47" i="1"/>
  <c r="N47" i="1"/>
  <c r="T46" i="1"/>
  <c r="S46" i="1"/>
  <c r="N46" i="1"/>
  <c r="T45" i="1"/>
  <c r="S45" i="1"/>
  <c r="N45" i="1"/>
  <c r="T44" i="1"/>
  <c r="S44" i="1"/>
  <c r="N44" i="1"/>
  <c r="T43" i="1"/>
  <c r="S43" i="1"/>
  <c r="N43" i="1"/>
  <c r="T42" i="1"/>
  <c r="S42" i="1"/>
  <c r="N42" i="1"/>
  <c r="T41" i="1"/>
  <c r="S41" i="1"/>
  <c r="N41" i="1"/>
  <c r="T40" i="1"/>
  <c r="S40" i="1"/>
  <c r="N40" i="1"/>
  <c r="T39" i="1"/>
  <c r="S39" i="1"/>
  <c r="N39" i="1"/>
  <c r="T38" i="1"/>
  <c r="S38" i="1"/>
  <c r="N38" i="1"/>
  <c r="T37" i="1"/>
  <c r="S37" i="1"/>
  <c r="N37" i="1"/>
  <c r="T36" i="1"/>
  <c r="S36" i="1"/>
  <c r="N36" i="1"/>
  <c r="T35" i="1"/>
  <c r="S35" i="1"/>
  <c r="N35" i="1"/>
  <c r="T34" i="1"/>
  <c r="S34" i="1"/>
  <c r="N34" i="1"/>
  <c r="T33" i="1"/>
  <c r="S33" i="1"/>
  <c r="N33" i="1"/>
  <c r="T32" i="1"/>
  <c r="S32" i="1"/>
  <c r="N32" i="1"/>
  <c r="T31" i="1"/>
  <c r="S31" i="1"/>
  <c r="N31" i="1"/>
  <c r="T30" i="1"/>
  <c r="S30" i="1"/>
  <c r="N30" i="1"/>
  <c r="T29" i="1"/>
  <c r="S29" i="1"/>
  <c r="N29" i="1"/>
  <c r="T28" i="1"/>
  <c r="S28" i="1"/>
  <c r="N28" i="1"/>
  <c r="T27" i="1"/>
  <c r="S27" i="1"/>
  <c r="N27" i="1"/>
  <c r="T26" i="1"/>
  <c r="S26" i="1"/>
  <c r="N26" i="1"/>
  <c r="T25" i="1"/>
  <c r="S25" i="1"/>
  <c r="N25" i="1"/>
  <c r="T24" i="1"/>
  <c r="S24" i="1"/>
  <c r="N24" i="1"/>
  <c r="T23" i="1"/>
  <c r="S23" i="1"/>
  <c r="N23" i="1"/>
  <c r="T22" i="1"/>
  <c r="S22" i="1"/>
  <c r="N22" i="1"/>
  <c r="T21" i="1"/>
  <c r="S21" i="1"/>
  <c r="N21" i="1"/>
  <c r="T20" i="1"/>
  <c r="S20" i="1"/>
  <c r="N20" i="1"/>
  <c r="T19" i="1"/>
  <c r="S19" i="1"/>
  <c r="N19" i="1"/>
  <c r="T18" i="1"/>
  <c r="S18" i="1"/>
  <c r="N18" i="1"/>
  <c r="T17" i="1"/>
  <c r="S17" i="1"/>
  <c r="N17" i="1"/>
  <c r="T16" i="1"/>
  <c r="S16" i="1"/>
  <c r="N16" i="1"/>
  <c r="T15" i="1"/>
  <c r="S15" i="1"/>
  <c r="N15" i="1"/>
  <c r="T14" i="1"/>
  <c r="S14" i="1"/>
  <c r="N14" i="1"/>
  <c r="T13" i="1"/>
  <c r="S13" i="1"/>
  <c r="N13" i="1"/>
  <c r="T12" i="1"/>
  <c r="S12" i="1"/>
  <c r="N12" i="1"/>
  <c r="T11" i="1"/>
  <c r="S11" i="1"/>
  <c r="N11" i="1"/>
  <c r="T10" i="1"/>
  <c r="S10" i="1"/>
  <c r="N10" i="1"/>
  <c r="T9" i="1"/>
  <c r="S9" i="1"/>
  <c r="N9" i="1"/>
  <c r="T8" i="1"/>
  <c r="S8" i="1"/>
  <c r="N8" i="1"/>
  <c r="T7" i="1"/>
  <c r="S7" i="1"/>
  <c r="N7" i="1"/>
  <c r="T6" i="1"/>
  <c r="S6" i="1"/>
  <c r="N6" i="1"/>
  <c r="T5" i="1"/>
  <c r="S5" i="1"/>
  <c r="N5" i="1"/>
  <c r="T4" i="1"/>
  <c r="S4" i="1"/>
  <c r="N4" i="1"/>
  <c r="T3" i="1"/>
  <c r="S3" i="1"/>
  <c r="N3" i="1"/>
  <c r="T2" i="1"/>
  <c r="S2" i="1"/>
  <c r="N2" i="1"/>
  <c r="I5" i="4"/>
  <c r="I6" i="4"/>
  <c r="I7" i="4"/>
  <c r="I8" i="4"/>
  <c r="I9" i="4"/>
  <c r="I10" i="4"/>
  <c r="I11" i="4"/>
  <c r="I12" i="4"/>
  <c r="G5" i="4"/>
  <c r="G6" i="4"/>
  <c r="G7" i="4"/>
  <c r="G8" i="4"/>
  <c r="G9" i="4"/>
  <c r="G10" i="4"/>
  <c r="G11" i="4"/>
  <c r="G12" i="4"/>
  <c r="F5" i="4"/>
  <c r="F6" i="4"/>
  <c r="F7" i="4"/>
  <c r="F8" i="4"/>
  <c r="F9" i="4"/>
  <c r="F10" i="4"/>
  <c r="F11" i="4"/>
  <c r="F12" i="4"/>
  <c r="E3" i="4"/>
  <c r="E4" i="4"/>
  <c r="E5" i="4"/>
  <c r="E6" i="4"/>
  <c r="E7" i="4"/>
  <c r="E8" i="4"/>
  <c r="E9" i="4"/>
  <c r="E10" i="4"/>
  <c r="E11" i="4"/>
  <c r="E12" i="4"/>
  <c r="E2" i="4"/>
  <c r="D5" i="4"/>
  <c r="D6" i="4"/>
  <c r="D7" i="4"/>
  <c r="D8" i="4"/>
  <c r="D9" i="4"/>
  <c r="D10" i="4"/>
  <c r="D11" i="4"/>
  <c r="D12" i="4"/>
  <c r="B5" i="4"/>
  <c r="B6" i="4"/>
  <c r="B7" i="4"/>
  <c r="B8" i="4"/>
  <c r="B9" i="4"/>
  <c r="B10" i="4"/>
  <c r="B11" i="4"/>
  <c r="B12" i="4"/>
  <c r="G16" i="4"/>
  <c r="H12" i="4"/>
  <c r="I1" i="4"/>
  <c r="H1" i="4"/>
  <c r="G1" i="4"/>
  <c r="F1" i="4"/>
  <c r="E1" i="4"/>
  <c r="D1" i="4"/>
  <c r="H5" i="4"/>
  <c r="H6" i="4"/>
  <c r="H7" i="4"/>
  <c r="H8" i="4"/>
  <c r="H9" i="4"/>
  <c r="H10" i="4"/>
  <c r="H11" i="4"/>
  <c r="F16" i="4"/>
  <c r="E16" i="4"/>
  <c r="E13" i="4" l="1"/>
  <c r="G15" i="4"/>
  <c r="G14" i="4"/>
  <c r="G13" i="4"/>
  <c r="F13" i="4"/>
  <c r="F15" i="4"/>
  <c r="E15" i="4"/>
  <c r="F14" i="4"/>
  <c r="E14" i="4"/>
  <c r="G17" i="4" l="1"/>
  <c r="F17" i="4"/>
  <c r="E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9EB1EF74-5E2C-4147-A0BD-DE040DA9475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<sst xmlns="http://schemas.openxmlformats.org/spreadsheetml/2006/main" count="6491" uniqueCount="1897">
  <si>
    <t>STOK KODU</t>
  </si>
  <si>
    <t>AÇIKLAMA</t>
  </si>
  <si>
    <t>16 EKİM YILDIZ DEPO</t>
  </si>
  <si>
    <t>CAM OFİS KAPALI KUTU</t>
  </si>
  <si>
    <t>CAM OFİS TEŞHİR</t>
  </si>
  <si>
    <t>STUDIO LINE CEPA</t>
  </si>
  <si>
    <t>ANKAMALL</t>
  </si>
  <si>
    <t>CEPA</t>
  </si>
  <si>
    <t xml:space="preserve">OPTIMUM </t>
  </si>
  <si>
    <t xml:space="preserve">ONE TOWER </t>
  </si>
  <si>
    <t xml:space="preserve">PANORA </t>
  </si>
  <si>
    <t>TOPLAM STOK</t>
  </si>
  <si>
    <t>PRİM HARİÇ ÜRÜN</t>
  </si>
  <si>
    <t>EKİM TOPTAN</t>
  </si>
  <si>
    <t>HAVALE FİYATI</t>
  </si>
  <si>
    <t>TEK ÇEKİM FİYATI</t>
  </si>
  <si>
    <t>TAKSİTLİ FİYATI 3/6 TAKSİT</t>
  </si>
  <si>
    <t>EKİM BİP</t>
  </si>
  <si>
    <t>30.11.2026 montaj zorunlu PHASE OUT</t>
  </si>
  <si>
    <t>Hakedişler LİSTE FİYATINDAN SATILIRSA geçerli olacak</t>
  </si>
  <si>
    <t>ONLINE FİYATI</t>
  </si>
  <si>
    <t>ÜRÜN NOTLARI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</si>
  <si>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</si>
  <si>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</si>
  <si>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</si>
  <si>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</si>
  <si>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</si>
  <si>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</si>
  <si>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</si>
  <si>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KD55NNLE0N</t>
  </si>
  <si>
    <t>KD56NXWF1N</t>
  </si>
  <si>
    <t>KD76NAIE1N</t>
  </si>
  <si>
    <t>KD76NAWE1N</t>
  </si>
  <si>
    <t>KD76NXIE1N</t>
  </si>
  <si>
    <t>KD76NXWE1N</t>
  </si>
  <si>
    <t>KD76NXWE0N</t>
  </si>
  <si>
    <t>KD76NNWE0N</t>
  </si>
  <si>
    <t>KD86NAID1N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</si>
  <si>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</si>
  <si>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</si>
  <si>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</si>
  <si>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</si>
  <si>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</si>
  <si>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</si>
  <si>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</si>
  <si>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KG56NCID0N</t>
  </si>
  <si>
    <t>KG56NCWD0N</t>
  </si>
  <si>
    <t>KG56NCXD0N</t>
  </si>
  <si>
    <t>KG56NLBE0N</t>
  </si>
  <si>
    <t>KG56NNWD0N</t>
  </si>
  <si>
    <t>KG56NQWF0N</t>
  </si>
  <si>
    <t>KG56NTEE0N</t>
  </si>
  <si>
    <t>KG56NTWE0N</t>
  </si>
  <si>
    <t>KG56NVPD0N</t>
  </si>
  <si>
    <t>KG56NVWD0N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</si>
  <si>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</si>
  <si>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</si>
  <si>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</si>
  <si>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</si>
  <si>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</si>
  <si>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</si>
  <si>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</si>
  <si>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</si>
  <si>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</si>
  <si>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</si>
  <si>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</si>
  <si>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KG86PAIC0N</t>
  </si>
  <si>
    <t>KG86PAXB0N</t>
  </si>
  <si>
    <t>KG86PFIC0N</t>
  </si>
  <si>
    <t>KG86PFWC0N</t>
  </si>
  <si>
    <t xml:space="preserve"> DONDURUCU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</si>
  <si>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</si>
  <si>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</si>
  <si>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</si>
  <si>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</si>
  <si>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</si>
  <si>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</si>
  <si>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</si>
  <si>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GS36NVIEP</t>
  </si>
  <si>
    <t>GS36NVWF0N</t>
  </si>
  <si>
    <t>GS54NVWE0N</t>
  </si>
  <si>
    <t>A.DOLAP</t>
  </si>
  <si>
    <t>CI24WP03</t>
  </si>
  <si>
    <t>CI30BP02</t>
  </si>
  <si>
    <t>teşhir fiyatı 300 bin tl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</si>
  <si>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</si>
  <si>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</si>
  <si>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</si>
  <si>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</si>
  <si>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</si>
  <si>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</si>
  <si>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</si>
  <si>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</si>
  <si>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</si>
  <si>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KB96NADD1</t>
  </si>
  <si>
    <t>KB96NADD0</t>
  </si>
  <si>
    <t>KB96NSDD0</t>
  </si>
  <si>
    <t>ÇAMAŞIR MAKİNASI</t>
  </si>
  <si>
    <t>WG42A1ZXTR</t>
  </si>
  <si>
    <t>WG42A2X3TR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</si>
  <si>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</si>
  <si>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</si>
  <si>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</si>
  <si>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</si>
  <si>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</si>
  <si>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</si>
  <si>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</si>
  <si>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</si>
  <si>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</si>
  <si>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</si>
  <si>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</si>
  <si>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</si>
  <si>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</si>
  <si>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</si>
  <si>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</si>
  <si>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</si>
  <si>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WG54B200TR</t>
  </si>
  <si>
    <t>WG54B2A1TR</t>
  </si>
  <si>
    <t>WG54B2AXTR</t>
  </si>
  <si>
    <t>WG54K2Y0TR</t>
  </si>
  <si>
    <t>WG64B2A0TR</t>
  </si>
  <si>
    <t>WG64B2AXTR</t>
  </si>
  <si>
    <t>WG64K2F0TR</t>
  </si>
  <si>
    <t>WG64K2Y0TR</t>
  </si>
  <si>
    <t>WG64K2Z0TR</t>
  </si>
  <si>
    <t>WG64K2ZRTR</t>
  </si>
  <si>
    <t>WM14UP91TR</t>
  </si>
  <si>
    <t>WM14XE50TR</t>
  </si>
  <si>
    <t>WN54C2A0TR</t>
  </si>
  <si>
    <t>KURUTMA MAKİNASI</t>
  </si>
  <si>
    <t>WQ41G20TTR</t>
  </si>
  <si>
    <t>WQ42A201TR</t>
  </si>
  <si>
    <t>WQ42J200TR</t>
  </si>
  <si>
    <t>WQ42J20XTR</t>
  </si>
  <si>
    <t>WQ43J2C0TR</t>
  </si>
  <si>
    <t>WQ44G2C1TR</t>
  </si>
  <si>
    <t>WQ45B2A0TR</t>
  </si>
  <si>
    <t>WQ45B2AXTR</t>
  </si>
  <si>
    <t>WQ52G201TR</t>
  </si>
  <si>
    <t>WQ52J20RTR</t>
  </si>
  <si>
    <t>WQ52K200TR</t>
  </si>
  <si>
    <t>WT00H201TR</t>
  </si>
  <si>
    <t>BULAŞIK MAK.</t>
  </si>
  <si>
    <t>SN15EI00KT</t>
  </si>
  <si>
    <t>SN15EC00NT</t>
  </si>
  <si>
    <t>SN15EW00KT</t>
  </si>
  <si>
    <t>SN216I00DT</t>
  </si>
  <si>
    <t>SN216W00DT</t>
  </si>
  <si>
    <t>SN23II51KT</t>
  </si>
  <si>
    <t>SN23EI62KT</t>
  </si>
  <si>
    <t>SN23EW63KT</t>
  </si>
  <si>
    <t>SN23HB62MT</t>
  </si>
  <si>
    <t>SN23HW62MT</t>
  </si>
  <si>
    <t>SN23HY62MT</t>
  </si>
  <si>
    <t>SN23IC62MT</t>
  </si>
  <si>
    <t>SN23II62KT</t>
  </si>
  <si>
    <t>SN23IW62KT</t>
  </si>
  <si>
    <t>SN23II62MT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</si>
  <si>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</si>
  <si>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</si>
  <si>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</si>
  <si>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</si>
  <si>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</si>
  <si>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</si>
  <si>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</si>
  <si>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</si>
  <si>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</si>
  <si>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</si>
  <si>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ANKASTRE BULAŞIK / LDA</t>
  </si>
  <si>
    <t>SN45EB01NT</t>
  </si>
  <si>
    <t>SN45EY01NT</t>
  </si>
  <si>
    <t>SN515W00DT</t>
  </si>
  <si>
    <t>SN515W01DT</t>
  </si>
  <si>
    <t>SN53ES63MT</t>
  </si>
  <si>
    <t>SN53IS50KT</t>
  </si>
  <si>
    <t>SN53IS62MT</t>
  </si>
  <si>
    <t>SN53IW50KT</t>
  </si>
  <si>
    <t>SN55ES82KT</t>
  </si>
  <si>
    <t>SN57ZS80DT</t>
  </si>
  <si>
    <t>SN57ZS82DT</t>
  </si>
  <si>
    <t>SN616X00DT</t>
  </si>
  <si>
    <t>SN63HX62MT</t>
  </si>
  <si>
    <t>SN65EX62MT</t>
  </si>
  <si>
    <t>SN75EX23CE</t>
  </si>
  <si>
    <t>SN85E801BE</t>
  </si>
  <si>
    <t>SN85E803BE</t>
  </si>
  <si>
    <t>SN97T801BE</t>
  </si>
  <si>
    <t>SX95EX12CE</t>
  </si>
  <si>
    <t>SX95EX22CE</t>
  </si>
  <si>
    <t>SZ36RB04</t>
  </si>
  <si>
    <t>ANKASTRE FIRIN / LDA</t>
  </si>
  <si>
    <t>CD634GAS0</t>
  </si>
  <si>
    <t>CD714GXB1</t>
  </si>
  <si>
    <t>CM978GNB1</t>
  </si>
  <si>
    <t>CN838GRB6</t>
  </si>
  <si>
    <t>HB012FBB1T</t>
  </si>
  <si>
    <t>HB012FBH1T</t>
  </si>
  <si>
    <t>HB012FBW1T</t>
  </si>
  <si>
    <t>HB013FBS1T</t>
  </si>
  <si>
    <t>HB234FEH2T</t>
  </si>
  <si>
    <t>HB478G5B6</t>
  </si>
  <si>
    <t>HB514FBH0T</t>
  </si>
  <si>
    <t>HB534FER0T</t>
  </si>
  <si>
    <t>HB557JEB6T</t>
  </si>
  <si>
    <t>HB557JYH0T</t>
  </si>
  <si>
    <t>HB011FBA1T</t>
  </si>
  <si>
    <t>HB237FEG5T</t>
  </si>
  <si>
    <t>HB634GBS1</t>
  </si>
  <si>
    <t>HB734G1B1</t>
  </si>
  <si>
    <t>HB734G1W1</t>
  </si>
  <si>
    <t>HB776G1B1</t>
  </si>
  <si>
    <t>HB778G3B1</t>
  </si>
  <si>
    <t>HB876G8B6</t>
  </si>
  <si>
    <t>HB976GMB1</t>
  </si>
  <si>
    <t>HI133FEW0T</t>
  </si>
  <si>
    <t>HJ852GYB0T</t>
  </si>
  <si>
    <t>HJ852GYN0T</t>
  </si>
  <si>
    <t>HJ852GYW0T</t>
  </si>
  <si>
    <t>HN978GQB1</t>
  </si>
  <si>
    <t>HR232GEB3</t>
  </si>
  <si>
    <t>HR538ABS1</t>
  </si>
  <si>
    <t>HR776G3B1</t>
  </si>
  <si>
    <t>HS636GDS2</t>
  </si>
  <si>
    <t>HU717ABA0T</t>
  </si>
  <si>
    <t>HU717ABN0T</t>
  </si>
  <si>
    <t>HU717ABV0T</t>
  </si>
  <si>
    <t>HU736AEA0T</t>
  </si>
  <si>
    <t>HU736AEG0T</t>
  </si>
  <si>
    <t>HU736AEN0T</t>
  </si>
  <si>
    <t>HU736AEV0T</t>
  </si>
  <si>
    <t xml:space="preserve">MİKRODALGA </t>
  </si>
  <si>
    <t>BE525LMB2</t>
  </si>
  <si>
    <t>BE525LMH2</t>
  </si>
  <si>
    <t>BE525LMG2</t>
  </si>
  <si>
    <t>BE525LMW2</t>
  </si>
  <si>
    <t>BE555LMB2</t>
  </si>
  <si>
    <t>BE732L1B1</t>
  </si>
  <si>
    <t>BF520LMA1</t>
  </si>
  <si>
    <t>BF520LMR0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</si>
  <si>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</si>
  <si>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</si>
  <si>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</si>
  <si>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</si>
  <si>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</si>
  <si>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</si>
  <si>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</si>
  <si>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</si>
  <si>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</si>
  <si>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</si>
  <si>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LC63KPJ20T</t>
  </si>
  <si>
    <t>LC63KPJ60T</t>
  </si>
  <si>
    <t>LC63KPJ61T</t>
  </si>
  <si>
    <t>LC64KPJ20T</t>
  </si>
  <si>
    <t>LC64KPJ60T</t>
  </si>
  <si>
    <t>LC64KPJ70T</t>
  </si>
  <si>
    <t>LC64PCC20T</t>
  </si>
  <si>
    <t>LC64PCC50T</t>
  </si>
  <si>
    <t>LC64PCC60T</t>
  </si>
  <si>
    <t>LC65BBC50T</t>
  </si>
  <si>
    <t>LC65FCJ00T</t>
  </si>
  <si>
    <t>LC65FCJ20T</t>
  </si>
  <si>
    <t>LC65FCJ60T</t>
  </si>
  <si>
    <t>LC65KA670T</t>
  </si>
  <si>
    <t>LC66KPJ20T</t>
  </si>
  <si>
    <t>LC66KPJ60T</t>
  </si>
  <si>
    <t>LC66KPJ70T</t>
  </si>
  <si>
    <t>LC67BBK00T</t>
  </si>
  <si>
    <t>LC67BBK20T</t>
  </si>
  <si>
    <t>LC67BBK60T</t>
  </si>
  <si>
    <t>LC67FCK20T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</si>
  <si>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</si>
  <si>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</si>
  <si>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</si>
  <si>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</si>
  <si>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</si>
  <si>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</si>
  <si>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</si>
  <si>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LC91KLT60</t>
  </si>
  <si>
    <t>LC91KLT65</t>
  </si>
  <si>
    <t>LC95BBC50T</t>
  </si>
  <si>
    <t>LC95FCJ00T</t>
  </si>
  <si>
    <t>LC95FCJ20T</t>
  </si>
  <si>
    <t>LC95FCJ60T</t>
  </si>
  <si>
    <t>LC95FCJ70T</t>
  </si>
  <si>
    <t>LC95KA270T</t>
  </si>
  <si>
    <t>LC95KA670T</t>
  </si>
  <si>
    <t>LC97BBM50T</t>
  </si>
  <si>
    <t>LC97FQP60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</si>
  <si>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</si>
  <si>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</si>
  <si>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</si>
  <si>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</si>
  <si>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</si>
  <si>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</si>
  <si>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</si>
  <si>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LD88WMM65</t>
  </si>
  <si>
    <t>LF97BBM50</t>
  </si>
  <si>
    <t>LF98BIR55</t>
  </si>
  <si>
    <t>LR18HLT65</t>
  </si>
  <si>
    <t>ASPİRATÖR</t>
  </si>
  <si>
    <t>LB53NAA30</t>
  </si>
  <si>
    <t>LB56NAC50</t>
  </si>
  <si>
    <t>LB73NAA30</t>
  </si>
  <si>
    <t>LB75565</t>
  </si>
  <si>
    <t>LB87NAC50</t>
  </si>
  <si>
    <t>LB88NPC60</t>
  </si>
  <si>
    <t>LI63TCA11T</t>
  </si>
  <si>
    <t>LI63TCA21T</t>
  </si>
  <si>
    <t>LJ65BCC60</t>
  </si>
  <si>
    <t>LJ67BDP60</t>
  </si>
  <si>
    <t>LJ85BCC60</t>
  </si>
  <si>
    <t>ANKASTRE OCAK / MDA</t>
  </si>
  <si>
    <t>ER6A6PH40</t>
  </si>
  <si>
    <t>ER3A6AI10</t>
  </si>
  <si>
    <t>ER3A6BI40</t>
  </si>
  <si>
    <t>EC9A5RI90</t>
  </si>
  <si>
    <t>EP6A2PI40O</t>
  </si>
  <si>
    <t>EO7C2PP30L</t>
  </si>
  <si>
    <t>EB6C2PB80O</t>
  </si>
  <si>
    <t>EN6B6PO10O</t>
  </si>
  <si>
    <t>EO6C2PO92O</t>
  </si>
  <si>
    <t>EO6C6HB11O</t>
  </si>
  <si>
    <t>EB6C2PB82O</t>
  </si>
  <si>
    <t>EB6C5YB82L</t>
  </si>
  <si>
    <t>EB6C6PB82O</t>
  </si>
  <si>
    <t>EC6A5HB90</t>
  </si>
  <si>
    <t>EG6B5PO51</t>
  </si>
  <si>
    <t>EN6B2NP40O</t>
  </si>
  <si>
    <t>EN6C6HO12O</t>
  </si>
  <si>
    <t>EN6C8PO12O</t>
  </si>
  <si>
    <t>EN6C9PO12O</t>
  </si>
  <si>
    <t>EO6C2PB11O</t>
  </si>
  <si>
    <t>EO6C2PP30O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</si>
  <si>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</si>
  <si>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</si>
  <si>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</si>
  <si>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</si>
  <si>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</si>
  <si>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</si>
  <si>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</si>
  <si>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</si>
  <si>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</si>
  <si>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</si>
  <si>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</si>
  <si>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</si>
  <si>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</si>
  <si>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</si>
  <si>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</si>
  <si>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</si>
  <si>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</si>
  <si>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</si>
  <si>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</si>
  <si>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</si>
  <si>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</si>
  <si>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</si>
  <si>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</si>
  <si>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</si>
  <si>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</si>
  <si>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</si>
  <si>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</si>
  <si>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</si>
  <si>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</si>
  <si>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</si>
  <si>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EN7B8QP30O</t>
  </si>
  <si>
    <t>EP7A2QI40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</si>
  <si>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</si>
  <si>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</si>
  <si>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</si>
  <si>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</si>
  <si>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</si>
  <si>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</si>
  <si>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</si>
  <si>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EP7A6QI40O</t>
  </si>
  <si>
    <t>ER9A6SH40</t>
  </si>
  <si>
    <t>ER6A6PD70</t>
  </si>
  <si>
    <t>ET475FYB1E</t>
  </si>
  <si>
    <t>ER3A6BB70</t>
  </si>
  <si>
    <t>ER3A6AB70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</si>
  <si>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</si>
  <si>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</si>
  <si>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</si>
  <si>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</si>
  <si>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</si>
  <si>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</si>
  <si>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ET375CFA1E</t>
  </si>
  <si>
    <t>İNDÜKSİYONLU OCAK</t>
  </si>
  <si>
    <t>EU611AGA5E</t>
  </si>
  <si>
    <t>EX675LYV1E</t>
  </si>
  <si>
    <t>EX807NYV6E</t>
  </si>
  <si>
    <t>EX808LYV5E</t>
  </si>
  <si>
    <t>EX801LYC1E</t>
  </si>
  <si>
    <t>EX877NVV6E</t>
  </si>
  <si>
    <t>EH975LVC1E</t>
  </si>
  <si>
    <t>EX907NXV6E</t>
  </si>
  <si>
    <t>EX975LXC1E</t>
  </si>
  <si>
    <t>ED65KHQB1E</t>
  </si>
  <si>
    <t>DAVLUMBAZ ENTEGRELİ İNDÜKSİYONLU OCAK</t>
  </si>
  <si>
    <t>ED811BS16E</t>
  </si>
  <si>
    <t>EH811BE15E</t>
  </si>
  <si>
    <t>EX875LX67E</t>
  </si>
  <si>
    <t>EX877NX68E</t>
  </si>
  <si>
    <t>KAHVE MAKİNASI</t>
  </si>
  <si>
    <t>TP551E19</t>
  </si>
  <si>
    <t>TP553E05</t>
  </si>
  <si>
    <t>CT636LES6</t>
  </si>
  <si>
    <t>CT718L1B0</t>
  </si>
  <si>
    <t>CT918L1B0</t>
  </si>
  <si>
    <t>TE651209RW</t>
  </si>
  <si>
    <t>6 Kasım Montaj Zorunlu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</si>
  <si>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</si>
  <si>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</si>
  <si>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</si>
  <si>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</si>
  <si>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</si>
  <si>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</si>
  <si>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</si>
  <si>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</si>
  <si>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</si>
  <si>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</si>
  <si>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</si>
  <si>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</si>
  <si>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</si>
  <si>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</si>
  <si>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TP601E01</t>
  </si>
  <si>
    <t>TP605EM3</t>
  </si>
  <si>
    <t>TP607ET5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</si>
  <si>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</si>
  <si>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</si>
  <si>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</si>
  <si>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</si>
  <si>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</si>
  <si>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</si>
  <si>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</si>
  <si>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</si>
  <si>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</si>
  <si>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BI910C1B1</t>
  </si>
  <si>
    <t>BI630CNW1</t>
  </si>
  <si>
    <t>BI830CNB1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</si>
  <si>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</si>
  <si>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</si>
  <si>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</si>
  <si>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</si>
  <si>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</si>
  <si>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</si>
  <si>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</si>
  <si>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</si>
  <si>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</si>
  <si>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</si>
  <si>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</si>
  <si>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</si>
  <si>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</si>
  <si>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</si>
  <si>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</si>
  <si>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</si>
  <si>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</si>
  <si>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</si>
  <si>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DİĞER</t>
  </si>
  <si>
    <t>DW15701</t>
  </si>
  <si>
    <t>DW15702</t>
  </si>
  <si>
    <t>DW15703</t>
  </si>
  <si>
    <t>DW15704</t>
  </si>
  <si>
    <t>WB13CPB0N</t>
  </si>
  <si>
    <t>TZ80001A</t>
  </si>
  <si>
    <t>TZ80002A</t>
  </si>
  <si>
    <t>HZ429000</t>
  </si>
  <si>
    <t>HZ9VRUD0</t>
  </si>
  <si>
    <t>VZ41AFP</t>
  </si>
  <si>
    <t>VZ41FGALL</t>
  </si>
  <si>
    <t>DE2124407M</t>
  </si>
  <si>
    <t>DE21307M</t>
  </si>
  <si>
    <t>TA22005</t>
  </si>
  <si>
    <t>TC86505</t>
  </si>
  <si>
    <t>MQ66120</t>
  </si>
  <si>
    <t>MQ66155</t>
  </si>
  <si>
    <t>MQ67110</t>
  </si>
  <si>
    <t>MQ955PE</t>
  </si>
  <si>
    <t>MQ96400</t>
  </si>
  <si>
    <t>MQ96580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</si>
  <si>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</si>
  <si>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</si>
  <si>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</si>
  <si>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</si>
  <si>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</si>
  <si>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</si>
  <si>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</si>
  <si>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</si>
  <si>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</si>
  <si>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</si>
  <si>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</si>
  <si>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</si>
  <si>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</si>
  <si>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</si>
  <si>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</si>
  <si>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</si>
  <si>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</si>
  <si>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</si>
  <si>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</si>
  <si>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</si>
  <si>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</si>
  <si>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</si>
  <si>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</si>
  <si>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</si>
  <si>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</si>
  <si>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</si>
  <si>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</si>
  <si>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AS24IVW32N</t>
  </si>
  <si>
    <t>AS24OVW32N</t>
  </si>
  <si>
    <t>TELEVİZYON</t>
  </si>
  <si>
    <t>SA9001/WT</t>
  </si>
  <si>
    <t>SA9002/WT</t>
  </si>
  <si>
    <t>50PUS8009/62</t>
  </si>
  <si>
    <t>50PUS8349/62</t>
  </si>
  <si>
    <t>PHLTVLED/021</t>
  </si>
  <si>
    <t>55PUS8349/62</t>
  </si>
  <si>
    <t>PHLTVLED/027</t>
  </si>
  <si>
    <t>65PUS8349/62</t>
  </si>
  <si>
    <t>PHLTVLED/031</t>
  </si>
  <si>
    <t>2'li LDA alımında perakende de                 5.000 TL                          İndirim!</t>
  </si>
  <si>
    <r>
      <t xml:space="preserve">2’li LDA alımında perakende de </t>
    </r>
    <r>
      <rPr>
        <b/>
        <u/>
        <sz val="36"/>
        <color theme="1"/>
        <rFont val="Siemens Progress"/>
      </rPr>
      <t>5.000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b/>
        <sz val="36"/>
        <color theme="1"/>
        <rFont val="Siemens Progress"/>
      </rPr>
      <t xml:space="preserve">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(Buzdolabı-Çamaşır-Bulaşık-Kurutma-Derin Dondurucu)               </t>
    </r>
    <r>
      <rPr>
        <b/>
        <sz val="36"/>
        <color rgb="FFFF0000"/>
        <rFont val="Siemens Progress"/>
        <charset val="162"/>
      </rPr>
      <t>(XL-XXL Buzdolapları hariç)</t>
    </r>
  </si>
  <si>
    <t>Seçili Ankastre Set Alımına perakende de 5.000 TL  İndirim!</t>
  </si>
  <si>
    <t>Geçerli  Ankastre Fırınlar</t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</si>
  <si>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</si>
  <si>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>(fırın+ocak+dav.) set alana perakende de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                                                                           </t>
    </r>
    <r>
      <rPr>
        <b/>
        <sz val="28"/>
        <color rgb="FFFF0000"/>
        <rFont val="Siemens Progress"/>
        <charset val="162"/>
      </rPr>
      <t>Diğer fırınlarda geçerli değildir</t>
    </r>
    <r>
      <rPr>
        <sz val="28"/>
        <rFont val="Siemens Progress"/>
      </rPr>
      <t xml:space="preserve">. KDV dahil </t>
    </r>
    <r>
      <rPr>
        <b/>
        <sz val="28"/>
        <rFont val="Siemens Progress"/>
        <charset val="162"/>
      </rPr>
      <t>3.700 ₺</t>
    </r>
    <r>
      <rPr>
        <sz val="28"/>
        <rFont val="Siemens Progress"/>
      </rPr>
      <t xml:space="preserve"> hak ediş ödenir. 
</t>
    </r>
    <r>
      <rPr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</si>
  <si>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Çamaşır + Kurutma alımında perakende de 10.000 TL                        İndirim!</t>
  </si>
  <si>
    <r>
      <t xml:space="preserve">Çamaşır ile Kurutma birlikte alımında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uygulanır.</t>
    </r>
    <r>
      <rPr>
        <b/>
        <sz val="36"/>
        <color rgb="FFFF0000"/>
        <rFont val="Siemens Progress"/>
        <charset val="162"/>
      </rPr>
      <t xml:space="preserve">“diğer kampanyalar ile birleşemez”    </t>
    </r>
    <r>
      <rPr>
        <b/>
        <sz val="36"/>
        <color theme="1"/>
        <rFont val="Siemens Progress"/>
      </rPr>
      <t xml:space="preserve">                                             </t>
    </r>
    <r>
      <rPr>
        <sz val="36"/>
        <color theme="1"/>
        <rFont val="Siemens Progress"/>
      </rPr>
      <t xml:space="preserve"> </t>
    </r>
    <r>
      <rPr>
        <b/>
        <u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</t>
    </r>
    <r>
      <rPr>
        <b/>
        <sz val="36"/>
        <color rgb="FFFF0000"/>
        <rFont val="Siemens Progress"/>
        <charset val="162"/>
      </rPr>
      <t>(Çamaşır + Kurutma)</t>
    </r>
  </si>
  <si>
    <t>Seçili Fırınlarla Ankastre set alana perakende de 10.000 TL       indirim!</t>
  </si>
  <si>
    <t>Geçerli  Ankastre Setler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</si>
  <si>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</si>
  <si>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150.000 TL ve üzeri Beyaz Eşya alımlarında TE651209RW kahve makinesi perakende de 50%                                indirimli!</t>
  </si>
  <si>
    <r>
      <rPr>
        <b/>
        <sz val="28"/>
        <color theme="1"/>
        <rFont val="Siemens Progress"/>
        <charset val="162"/>
      </rPr>
      <t xml:space="preserve">150.000 TL </t>
    </r>
    <r>
      <rPr>
        <sz val="28"/>
        <color theme="1"/>
        <rFont val="Siemens Progress"/>
      </rPr>
      <t xml:space="preserve">ve üzeri beyaz eşya alımlarında </t>
    </r>
    <r>
      <rPr>
        <b/>
        <sz val="28"/>
        <color theme="1"/>
        <rFont val="Siemens Progress"/>
        <charset val="162"/>
      </rPr>
      <t xml:space="preserve">TE651209RW kahve makinesi perakende de 50% (20.000 TL) indirim uygulanır.                          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>Diğer FAEM'lerde aynı tutarda indirim uygulanır</t>
    </r>
    <r>
      <rPr>
        <sz val="28"/>
        <color rgb="FFFF0000"/>
        <rFont val="Siemens Progress"/>
        <charset val="162"/>
      </rPr>
      <t xml:space="preserve">. </t>
    </r>
    <r>
      <rPr>
        <b/>
        <u/>
        <sz val="28"/>
        <color theme="1"/>
        <rFont val="Siemens Progress"/>
        <charset val="162"/>
      </rPr>
      <t xml:space="preserve">                                                                                   5.000₺</t>
    </r>
    <r>
      <rPr>
        <sz val="28"/>
        <color theme="1"/>
        <rFont val="Siemens Progress"/>
      </rPr>
      <t xml:space="preserve">  kdv dahil fiyat farkı hak edişi ödenecektir                                                                                                                                                   .</t>
    </r>
    <r>
      <rPr>
        <sz val="28"/>
        <color theme="6" tint="0.39997558519241921"/>
        <rFont val="Siemens Progress"/>
        <charset val="162"/>
      </rPr>
      <t xml:space="preserve"> </t>
    </r>
    <r>
      <rPr>
        <b/>
        <sz val="28"/>
        <color theme="6" tint="0.39997558519241921"/>
        <rFont val="Siemens Progress"/>
        <charset val="162"/>
      </rPr>
      <t>(150.000 TL ve üzeri sepet tutarında Buzdolabı-Çamaşır-Bulaşık-Kurutma-Derin Dondurucu ürün grupları dahildir.)</t>
    </r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</si>
  <si>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10.000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7.600 ₺ </t>
    </r>
    <r>
      <rPr>
        <sz val="28"/>
        <color theme="1"/>
        <rFont val="Siemens Progress"/>
        <charset val="162"/>
      </rPr>
      <t xml:space="preserve">hak ediş ödenir.
</t>
    </r>
    <r>
      <rPr>
        <b/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</si>
  <si>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Ürün No</t>
  </si>
  <si>
    <t>Ürün Adı</t>
  </si>
  <si>
    <t>Ürün Linki</t>
  </si>
  <si>
    <t>Ürün Grubu</t>
  </si>
  <si>
    <t>Marka</t>
  </si>
  <si>
    <t>Philips 50" 4K Ambilight LED TV (Titan OS) (50PUS8009/62)</t>
  </si>
  <si>
    <t>https://www.philips.com.tr/c-p/50PUS8009_62/led-50pus8009-4k-ambilight-tv</t>
  </si>
  <si>
    <t>Televizyon</t>
  </si>
  <si>
    <t>Philips</t>
  </si>
  <si>
    <t>Philips 55" 4K Ambilight LED TV (Titan OS) (55PUS8349/62)</t>
  </si>
  <si>
    <t>https://www.philips.com.tr/c-p/55PUS8349_62/led-55pus8349-4k-ambilight-tv</t>
  </si>
  <si>
    <t>Siemens Ev Tipi Klima İç Ünite, 9.000BTU, Beyaz</t>
  </si>
  <si>
    <t>https://www.siemens-home.bsh-group.com/tr/tr/product/klimalar/AS09XVW32N</t>
  </si>
  <si>
    <t>Klima</t>
  </si>
  <si>
    <t>Siemens</t>
  </si>
  <si>
    <t>Siemens Ev Tipi Klima Dış Ünite, 9.000BTU, Beyaz</t>
  </si>
  <si>
    <t>Siemens Ev Tipi Klima İç Ünite, 12.000BTU, Beyaz</t>
  </si>
  <si>
    <t>https://www.siemens-home.bsh-group.com/tr/tr/product/klimalar/AS12XVW32N</t>
  </si>
  <si>
    <t>Siemens Ev Tipi Klima İç Ünite, 12.000BTU, Siyah</t>
  </si>
  <si>
    <t>https://www.siemens-home.bsh-group.com/tr/tr/product/klimalar/AS12XXB32N</t>
  </si>
  <si>
    <t>Siemens Ev Tipi Klima Dış Ünite, 12.000BTU, Beyaz</t>
  </si>
  <si>
    <t>Siemens Ev Tipi Klima İç Ünite, 18.000BTU, Beyaz</t>
  </si>
  <si>
    <t>https://www.siemens-home.bsh-group.com/tr/tr/product/klimalar/AS18XVW32N</t>
  </si>
  <si>
    <t>AS18IVW32N</t>
  </si>
  <si>
    <t>https://www.siemens-home.bsh-group.com/tr/tr/product/AS18IVW32N</t>
  </si>
  <si>
    <t>Siemens Ev Tipi Klima İç Ünite, 18.000BTU, Siyah</t>
  </si>
  <si>
    <t>https://www.siemens-home.bsh-group.com/tr/tr/product/klimalar/AS18XXB32N</t>
  </si>
  <si>
    <t>Siemens Ev Tipi Klima Dış Ünite, 18.000BTU, Beyaz</t>
  </si>
  <si>
    <t>AS18OVW32N</t>
  </si>
  <si>
    <t>https://www.siemens-home.bsh-group.com/tr/tr/product/AS18OVW32N</t>
  </si>
  <si>
    <t>Siemens Ev Tipi Klima İç Ünite, 24.000BTU, Beyaz</t>
  </si>
  <si>
    <t>https://www.siemens-home.bsh-group.com/tr/tr/product/klimalar/AS24XVW32N</t>
  </si>
  <si>
    <t>https://www.siemens-home.bsh-group.com/tr/tr/product/AS24IVW32N</t>
  </si>
  <si>
    <t>Siemens Ev Tipi Klima Dış Ünite, 24.000BTU, Beyaz</t>
  </si>
  <si>
    <t>https://www.siemens-home.bsh-group.com/tr/tr/product/AS24OVW32N</t>
  </si>
  <si>
    <t>iQ500 Ankastre Mikrodalga, Izgaralı, Siyah</t>
  </si>
  <si>
    <t>https://www.siemens-home.bsh-group.com/tr/tr/product/pisirme-grubu/firinlar/kompakt-firinlar/BE525LMB2</t>
  </si>
  <si>
    <t>Ankastre Mikrodalga</t>
  </si>
  <si>
    <t>iQ500 Ankastre Mikrodalga, Izgaralı, Anstrasit</t>
  </si>
  <si>
    <t>https://www.siemens-home.bsh-group.com/tr/tr/product/pisirme-grubu/firinlar/kompakt-firinlar/BE525LMG2</t>
  </si>
  <si>
    <t>iQ500 Ankastre Mikrodalga, Izgara Fonksiyonlu, 20L, Siyah/darkSteel</t>
  </si>
  <si>
    <t>https://www.siemens-home.bsh-group.com/tr/tr/product/pisirme-grubu/firinlar/kompakt-firinlar/BE525LMH2</t>
  </si>
  <si>
    <t>BE525LMS0</t>
  </si>
  <si>
    <t>iQ500 Ankastre Mikrodalga, Izgara Fonksiyonlu, 20L, Siyah/Inox</t>
  </si>
  <si>
    <t>https://www.siemens-home.bsh-group.com/tr/tr/product/BE525LMS0</t>
  </si>
  <si>
    <t>iQ500 Ankastre Mikrodalga, Izgara Fonksiyonlu, 20L, Beyaz</t>
  </si>
  <si>
    <t>https://www.siemens-home.bsh-group.com/tr/tr/product/pisirme-grubu/firinlar/kompakt-firinlar/BE525LMW2</t>
  </si>
  <si>
    <t>https://www.siemens-home.bsh-group.com/tr/tr/product/pisirme-grubu/firinlar/kompakt-firinlar/BE555LMB2</t>
  </si>
  <si>
    <t>BE555LMS0</t>
  </si>
  <si>
    <t>iQ500 Ankastre Mikrodalga, Izgara Fonksiyonlu, 25L, Siyah/Inox</t>
  </si>
  <si>
    <t>https://www.siemens-home.bsh-group.com/tr/tr/product/BE555LMS0</t>
  </si>
  <si>
    <t>iQ700 Ankastre Mikrodalga, Izgara Fonksiyonlu, 21L, Siyah</t>
  </si>
  <si>
    <t>https://www.siemens-home.bsh-group.com/tr/tr/product/pisirme-grubu/firinlar/kompakt-firinlar/BE732L1B1</t>
  </si>
  <si>
    <t>iQ300 Ankastre Mikrodalga, 20L, Siyah</t>
  </si>
  <si>
    <t>https://www.siemens-home.bsh-group.com/tr/supportdetail/product/BF520LMA1/01</t>
  </si>
  <si>
    <t>iQ300 Ankastre Mikrodalga, 20L, Siyah/Inox</t>
  </si>
  <si>
    <t>https://www.siemens-home.bsh-group.com/tr/tr/product/BF520LMR0</t>
  </si>
  <si>
    <t>BF525LMS0</t>
  </si>
  <si>
    <t>iQ500 Ankastre Mikrodalga, Siyah/Inox</t>
  </si>
  <si>
    <t>https://www.siemens-home.bsh-group.com/tr/tr/product/BF525LMS0</t>
  </si>
  <si>
    <t>iQ500 Ankastre Mikrodalga, 20L, Beyaz/Inox</t>
  </si>
  <si>
    <t>https://www.siemens-home.bsh-group.com/tr/tr/product/BF525LMW0</t>
  </si>
  <si>
    <t>iQ300 Ankastre Mikrodalga, 20L, Antrasit/Titanyum Gri</t>
  </si>
  <si>
    <t>https://www.siemens-home.bsh-group.com/tr/tr/product/pisirme-grubu/firinlar/kompakt-firinlar/BF623LMG3</t>
  </si>
  <si>
    <t>iQ300 Ankastre Mikrodalga, Inox</t>
  </si>
  <si>
    <t>https://www.siemens-home.bsh-group.com/tr/tr/product/pisirme-grubu/firinlar/kompakt-firinlar/BF623LMS3</t>
  </si>
  <si>
    <t>iQ300 Ankastre Mikrodalga, 20L, Beyaz</t>
  </si>
  <si>
    <t>https://www.siemens-home.bsh-group.com/tr/tr/product/pisirme-grubu/firinlar/kompakt-firinlar/BF623LMW3</t>
  </si>
  <si>
    <t>iQ700 studioLine Ankastre Mikrodalga, 21L, Siyah</t>
  </si>
  <si>
    <t>https://www.siemens-home.bsh-group.com/tr/tr/product/studioline/BF834LGB1</t>
  </si>
  <si>
    <t>studioLine</t>
  </si>
  <si>
    <t>https://www.siemens-home.bsh-group.com/tr/tr/product/pisirme-grubu/firinlar/kompakt-firinlar/BF922L1B1</t>
  </si>
  <si>
    <t>iQ700 Sıcak Tutma Çekmecesi, 60x14cm, Siyah</t>
  </si>
  <si>
    <t>https://www.siemens-home.bsh-group.com/tr/tr/product/BI630CNS1</t>
  </si>
  <si>
    <t>iQ700 Sıcak Tutma Çekmecesi, 60x14cm, Beyaz</t>
  </si>
  <si>
    <t>https://www.siemens-home.bsh-group.com/tr/tr/product/BI630CNW1</t>
  </si>
  <si>
    <t>iQ700 studioLine Sıcak Tutma Çekmecesi, 60x14cm, Siyah</t>
  </si>
  <si>
    <t>https://www.siemens-home.bsh-group.com/tr/tr/product/studioline/BI830CNB1</t>
  </si>
  <si>
    <t>https://www.siemens-home.bsh-group.com/tr/tr/product/pisirme-grubu/sicak-tutma-cekmecesi/isitma-cekmeceleri/BI910C1B1</t>
  </si>
  <si>
    <t>iQ700 Buhar Destekli Kompakt Ankastre Fırın, Siyah/Inox</t>
  </si>
  <si>
    <t>https://www.siemens-home.bsh-group.com/tr/tr/product/ankastre/ankastre-firinlar/CD634GAS0</t>
  </si>
  <si>
    <t>Fırın</t>
  </si>
  <si>
    <t>iQ700 Buhar Destekli Kompakt Ankastre Fırın, Siyah</t>
  </si>
  <si>
    <t>https://www.siemens-home.bsh-group.com/tr/tr/product/pisirme-grubu/buharli-firinlar/buharli-pisirici/CD714GXB1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</si>
  <si>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</si>
  <si>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</si>
  <si>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</si>
  <si>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</si>
  <si>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</si>
  <si>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</si>
  <si>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</si>
  <si>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</si>
  <si>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</si>
  <si>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</si>
  <si>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</si>
  <si>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</si>
  <si>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</si>
  <si>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</si>
  <si>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</si>
  <si>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</si>
  <si>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</si>
  <si>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</si>
  <si>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</si>
  <si>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</si>
  <si>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</si>
  <si>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</si>
  <si>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</si>
  <si>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</si>
  <si>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</si>
  <si>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</si>
  <si>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</si>
  <si>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</si>
  <si>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</si>
  <si>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</si>
  <si>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</si>
  <si>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</si>
  <si>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</si>
  <si>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</si>
  <si>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</si>
  <si>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</si>
  <si>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</si>
  <si>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Siemens Buzdolabı Kulpu 79cm, Inox</t>
  </si>
  <si>
    <t>https://www.siemens-home.bsh-group.com/tr/tr/product/CI10Z090</t>
  </si>
  <si>
    <t>Aksesuar</t>
  </si>
  <si>
    <t>Siemens Buzdolabı Kulpu</t>
  </si>
  <si>
    <t>https://www.siemens-home.bsh-group.com/tr/tr/product/CI10Z490</t>
  </si>
  <si>
    <t>https://www.siemens-home.bsh-group.com/tr/tr/product/CI10Z491</t>
  </si>
  <si>
    <t>Siemens studioLine Buzdolabı Kulpu</t>
  </si>
  <si>
    <t>https://www.siemens-home.bsh-group.com/tr/tr/product/CI10Z591</t>
  </si>
  <si>
    <t>https://www.siemens-home.bsh-group.com/tr/tr/product/CI10ZH10</t>
  </si>
  <si>
    <t>iQ700 studioLine Ankastre Şarap Soğutucu, 212.5x60.3cm</t>
  </si>
  <si>
    <t>https://www.siemens-home.bsh-group.com/tr/tr/product/ankastre/ankastre-buzdolaplari-ve-sogutucular/CI24WP03</t>
  </si>
  <si>
    <t>iQ700 studioLine Alttan Donduruculu Ankastre Buzdolabı, 212.5x75.6cm, Düz Menteşe</t>
  </si>
  <si>
    <t>https://www.siemens-home.bsh-group.com/tr/tr/product/ankastre/ankastre-buzdolaplari-ve-sogutucular/CI30BP02</t>
  </si>
  <si>
    <t>iQ700 studioLine Ankastre Buzdolabı, 212.5x75.6cm, Düz Menteşe</t>
  </si>
  <si>
    <t>https://www.siemens-home.bsh-group.com/tr/tr/product/ankastre/ankastre-buzdolaplari-ve-sogutucular/CI30RP02</t>
  </si>
  <si>
    <t>Siemens studioLine 36'' Buzdolabı Kapı Paneli, Paslanmaz Çelik, 3 Kapı</t>
  </si>
  <si>
    <t>https://www.siemens-home.bsh-group.com/tr/supportdetail/product/CI30ZSETB2(00)</t>
  </si>
  <si>
    <t>iQ700 Alttan Donduruculu Ankastre Buzdolabı, 212.5x90.8cm, Düz Menteşe</t>
  </si>
  <si>
    <t>https://www.siemens-home.bsh-group.com/tr/tr/product/ankastre/ankastre-buzdolaplari-ve-sogutucular/CI36TP02</t>
  </si>
  <si>
    <t>Ankastre Buzdolabı</t>
  </si>
  <si>
    <t>Siemens Buzdolabı Kapı Paneli, 202.9x90.8cm</t>
  </si>
  <si>
    <t>https://www.siemens-home.bsh-group.com/tr/tr/product/CI36Z490</t>
  </si>
  <si>
    <t>Siemens Buzdolabı Bağlantı Seti</t>
  </si>
  <si>
    <t>https://www.siemens-home.bsh-group.com/tr/tr/product/arsiv/CI60Z000</t>
  </si>
  <si>
    <t>https://www.siemens-home.bsh-group.com/tr/tr/product/arsiv/CI60Z200</t>
  </si>
  <si>
    <t>Siemens studioLine Buzdolabı Çekmecesi</t>
  </si>
  <si>
    <t>https://www.siemens-home.bsh-group.com/tr/tr/product/CI60ZBL1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</si>
  <si>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</si>
  <si>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</si>
  <si>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</si>
  <si>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iQ700 studioLine Mikrodalga Fonksiyonlu Kompakt Ankastre Fırın, Komple Kendini Temizler, Siyah</t>
  </si>
  <si>
    <t>https://www.siemens-home.bsh-group.com/tr/tr/product/pisirme-grubu/firinlar/kompakt-firinlar/CM978GNB1</t>
  </si>
  <si>
    <t>iQ700 studioLine Mikrodalga Fonksiyonlu Kompakt Ankastre Fırın, Arkası Kendini Temizler, Siyah</t>
  </si>
  <si>
    <t>https://www.siemens-home.bsh-group.com/tr/tr/product/ankastre/ankastre-firinlar/CN838GRB6</t>
  </si>
  <si>
    <t>iQ700 Ankastre Tam Otomatik Kahve Makinesi, Siyah/Inox</t>
  </si>
  <si>
    <t>https://www.siemens-home.bsh-group.com/tr/tr/product/CT636LES6</t>
  </si>
  <si>
    <t>Kahve Makinesi</t>
  </si>
  <si>
    <t>iQ700 Ankastre Tam Otomatik Kahve Makinesi, Siyah</t>
  </si>
  <si>
    <t>https://www.siemens-home.bsh-group.com/tr/tr/product/kahve-makineleri/ankastre-tam-otomatik-kahve-makineleri/CT718L1B0</t>
  </si>
  <si>
    <t>iQ700 studioLine Ankastre Tam Otomatik Kahve Makinesi, Siyah</t>
  </si>
  <si>
    <t>https://www.siemens-home.bsh-group.com/tr/tr/product/kahve-makineleri/ankastre-tam-otomatik-kahve-makineleri/CT918L1B0</t>
  </si>
  <si>
    <t>Siemens Trifaze Ani Su Isıtıcı</t>
  </si>
  <si>
    <t>https://www.siemens-home.bsh-group.com/tr/tr/product/DE2124407M</t>
  </si>
  <si>
    <t>Küçük Ev Aletleri</t>
  </si>
  <si>
    <t>https://www.siemens-home.bsh-group.com/tr/tr/product/DE21307M</t>
  </si>
  <si>
    <t>DG50016TR</t>
  </si>
  <si>
    <t>Siemens Termosifon, 50L, Beyaz</t>
  </si>
  <si>
    <t>https://www.siemens-home.bsh-group.com/tr/tr/product/DG50016TR</t>
  </si>
  <si>
    <t>DG65016TR</t>
  </si>
  <si>
    <t>Siemens Termosifon, 65L, Beyaz</t>
  </si>
  <si>
    <t>https://www.siemens-home.bsh-group.com/tr/tr/product/DG65016TR</t>
  </si>
  <si>
    <t>Soğuk Su Sebili, Gri</t>
  </si>
  <si>
    <t>https://www.siemens-home.bsh-group.com/tr/tr/product/su-sebilleri/DW15701</t>
  </si>
  <si>
    <t>Sebil</t>
  </si>
  <si>
    <t>Soğuk Su Sebili, Siyah/Gri, Dokunmatik</t>
  </si>
  <si>
    <t>https://www.siemens-home.bsh-group.com/tr/tr/product/su-sebilleri/DW15702</t>
  </si>
  <si>
    <t>Soğuk Su Sebili, Siyah/Gri</t>
  </si>
  <si>
    <t>https://www.siemens-home.bsh-group.com/tr/tr/product/su-sebilleri/DW15703</t>
  </si>
  <si>
    <t>Sıcak/Soğuk Su Sebili, Beyaz</t>
  </si>
  <si>
    <t>https://www.siemens-home.bsh-group.com/tr/tr/product/su-sebilleri/DW15704</t>
  </si>
  <si>
    <t>EB0C2PB82O</t>
  </si>
  <si>
    <t>iQ100 Set Üstü Gazlı Ocak, 60cm, Beyaz</t>
  </si>
  <si>
    <t>https://www.siemens-home.bsh-group.com/tr/tr/product/EB0C2PB82O</t>
  </si>
  <si>
    <t>Ocak</t>
  </si>
  <si>
    <t>EB0C2PK80O</t>
  </si>
  <si>
    <t>iQ100 Set Üstü Gazlı Ocak, 60cm, Beyaz</t>
  </si>
  <si>
    <t>https://www.siemens-home.bsh-group.com/tr/tr/product/pisirme-grubu/ocaklar/gazli-ocaklar/EB0C2PK80O</t>
  </si>
  <si>
    <t>EB0C5PB82O</t>
  </si>
  <si>
    <t>iQ100 Set Üstü Gazlı Ocak, 60cm, Inox</t>
  </si>
  <si>
    <t>https://www.siemens-home.bsh-group.com/tr/tr/product/EB0C5PB82O</t>
  </si>
  <si>
    <t>iQ100 Ankastre Gazlı Ocak, 60cm, Emaye, Beyaz</t>
  </si>
  <si>
    <t>https://www.siemens-home.bsh-group.com/tr/tr/product/EB6C2PB80O</t>
  </si>
  <si>
    <t>iQ100 Gazlı Ocak, 60cm, Emaye, Beyaz</t>
  </si>
  <si>
    <t>https://www.siemens-home.bsh-group.com/tr/tr/product/ankastre/ankastre-ocaklar/EB6C2PB82O</t>
  </si>
  <si>
    <t>EB6C5PB82O</t>
  </si>
  <si>
    <t>iQ100 Gazlı Ocak, 60cm, Inox</t>
  </si>
  <si>
    <t>https://www.siemens-home.bsh-group.com/tr/tr/product/ankastre/ankastre-ocaklar/EB6C5PB82O</t>
  </si>
  <si>
    <t>iQ100 Gazlı/Elektrikli Ocak, 60cm, Inox</t>
  </si>
  <si>
    <t>https://www.siemens-home.bsh-group.com/tr/tr/product/EB6C5YB82L</t>
  </si>
  <si>
    <t>EB6C6PB80O</t>
  </si>
  <si>
    <t>iQ100 Gazlı Ocak, 60cm, Siyah</t>
  </si>
  <si>
    <t>iQ100 Gazlı Ocak, 60cm, Emaye, Siyah</t>
  </si>
  <si>
    <t>https://www.siemens-home.bsh-group.com/tr/tr/product/ankastre/ankastre-ocaklar/EB6C6PB82O</t>
  </si>
  <si>
    <t>iQ500 Gazlı Ocak, 60cm, Inox, Döküm</t>
  </si>
  <si>
    <t>https://www.siemens-home.bsh-group.com/tr/tr/product/pisirme-grubu/ocaklar/gazli-ocaklar/EC6A5HB90</t>
  </si>
  <si>
    <t>iQ500 Gazlı Ocak, 75cm, 5 Gözlü, Inox, Döküm, Wok</t>
  </si>
  <si>
    <t>https://www.siemens-home.bsh-group.com/tr/tr/product/pisirme-grubu/ocaklar/gazli-ocaklar/EC7A5RB90</t>
  </si>
  <si>
    <t>iQ500 Gazlı Ocak, 75cm, 5 Gözlü, Inox, Döküm, Wok</t>
  </si>
  <si>
    <t>https://www.siemens-home.bsh-group.com/tr/tr/product/pisirme-grubu/ocaklar/gazli-ocaklar/EC7A5RI90</t>
  </si>
  <si>
    <t>EC9A5TB90</t>
  </si>
  <si>
    <t>iQ500 Gazlı Ocak, 90cm, 6 Gözlü, Inox, Döküm, Çift Wok</t>
  </si>
  <si>
    <t>https://www.siemens-home.bsh-group.com/tr/tr/product/ankastre/ankastre-ocaklar/EC9A5TB90</t>
  </si>
  <si>
    <t>iQ500 İndüksiyonlu Ocak, 60cm, Çerçevesiz, Siyah</t>
  </si>
  <si>
    <t>https://www.siemens-home.bsh-group.com/tr/tr/product/pisirme-grubu/ocaklar/induksiyonlu-ocaklar/ED65KHQB1E</t>
  </si>
  <si>
    <t>iQ300 Davlumbaz Entegreli İndüksiyonlu Ocak, 80cm, Çerçevesiz, Siyah</t>
  </si>
  <si>
    <t>https://www.siemens-home.bsh-group.com/tr/tr/product/pisirme-grubu/davlumbazlar-ve-aspiratorler/tezgah-havalandirma-cozumleri/davlumbaz-entegreli-ocak/ED811BS16E</t>
  </si>
  <si>
    <t>EG6B5HB60O</t>
  </si>
  <si>
    <t>iQ300 Gazlı Ocak, 60cm, Inox, Döküm, Wok</t>
  </si>
  <si>
    <t>https://www.siemens-home.bsh-group.com/tr/tr/product/EG6B5HB60O</t>
  </si>
  <si>
    <t>iQ300 Gazlı Ocak, 60cm, Inox, Döküm</t>
  </si>
  <si>
    <t>https://www.siemens-home.bsh-group.com/tr/tr/product/EG6B5PO51</t>
  </si>
  <si>
    <t>https://www.siemens-home.bsh-group.com/tr/tr/product/ankastre/ankastre-ocaklar/EH811BE15E</t>
  </si>
  <si>
    <t>iQ300 İndüksiyonlu Ocak, 90cm, Çerçeveli, Siyah</t>
  </si>
  <si>
    <t>https://www.siemens-home.bsh-group.com/tr/tr/product/pisirme-grubu/ocaklar/induksiyonlu-ocaklar/EH975LVC1E</t>
  </si>
  <si>
    <t>iQ300 Gazlı Ocak, 60cm, Sert Cam, Beyaz, Döküm</t>
  </si>
  <si>
    <t>https://www.siemens-home.bsh-group.com/tr/tr/product/pisirme-grubu/ocaklar/gazli-ocaklar/EN6B2NP40O</t>
  </si>
  <si>
    <t>iQ300 Gazlı Ocak, 60cm, Sert Cam, Siyah, Döküm</t>
  </si>
  <si>
    <t>https://www.siemens-home.bsh-group.com/tr/tr/product/pisirme-grubu/ocaklar/gazli-ocaklar/EN6B6NP40R</t>
  </si>
  <si>
    <t>iQ300 Gazlı Ocak, 60cm, Sert Cam, Siyah</t>
  </si>
  <si>
    <t>https://www.siemens-home.bsh-group.com/tr/tr/product/EN6B6PO10O</t>
  </si>
  <si>
    <t>EN6B8NP40O</t>
  </si>
  <si>
    <t>iQ300 Gazlı Ocak, 60cm, Sert Cam, Antrasit Gri, Döküm</t>
  </si>
  <si>
    <t>https://www.siemens-home.bsh-group.com/tr/tr/product/pisirme-grubu/ocaklar/gazli-ocaklar/EN6B8NP40O</t>
  </si>
  <si>
    <t>EN6C2HO12O</t>
  </si>
  <si>
    <t>iQ100 Ankastre Gazlı Ocak, 60cm, Sert Cam, Beyaz</t>
  </si>
  <si>
    <t>https://www.siemens-home.bsh-group.com/tr/tr/product/ankastre/ankastre-ocaklar/EN6C2HO12O</t>
  </si>
  <si>
    <t>EN6C2PO12O</t>
  </si>
  <si>
    <t>iQ100 Gazlı Ocak, 60cm, Sert Cam, Beyaz</t>
  </si>
  <si>
    <t>https://www.siemens-home.bsh-group.com/tr/tr/product/ankastre/ankastre-ocaklar/EN6C2PO12O</t>
  </si>
  <si>
    <t>iQ100 Gazlı Ocak, 60cm, Sert Cam, Siyah, Wok</t>
  </si>
  <si>
    <t>https://www.siemens-home.bsh-group.com/tr/tr/product/ankastre/ankastre-ocaklar/EN6C6HO12O</t>
  </si>
  <si>
    <t>iQ100 Gazlı Ocak, 60cm, Sert Cam, Titanyum Gri</t>
  </si>
  <si>
    <t>https://www.siemens-home.bsh-group.com/tr/tr/product/ankastre/ankastre-ocaklar/EN6C8PO12O</t>
  </si>
  <si>
    <t>EN6C9HO12O</t>
  </si>
  <si>
    <t>iQ100 Gazlı Ocak, 60cm, Sert Cam, Antrasit, Wok</t>
  </si>
  <si>
    <t>https://www.siemens-home.bsh-group.com/tr/tr/product/ankastre/ankastre-ocaklar/EN6C9HO12O</t>
  </si>
  <si>
    <t>iQ100 Gazlı Ocak, 60cm, Sert Cam, Antrasit Gri</t>
  </si>
  <si>
    <t>https://www.siemens-home.bsh-group.com/tr/tr/product/ankastre/ankastre-ocaklar/EN6C9PO12O</t>
  </si>
  <si>
    <t>iQ300 Gazlı Ocak, 75cm, 4 Gözlü, Sert Cam, Beyaz</t>
  </si>
  <si>
    <t>https://www.siemens-home.bsh-group.com/tr/tr/product/EN7B2PO10O</t>
  </si>
  <si>
    <t>iQ300 Gazlı Ocak, 75cm, 5 Gözlü, Sert Cam, Beyaz, Wok</t>
  </si>
  <si>
    <t>https://www.siemens-home.bsh-group.com/tr/tr/product/ankastre/ankastre-ocaklar/EN7B2QO12O</t>
  </si>
  <si>
    <t>https://www.siemens-home.bsh-group.com/tr/tr/product/pisirme-grubu/ocaklar/gazli-ocaklar/EN7B2QP30O</t>
  </si>
  <si>
    <t>iQ300 Gazlı Ocak, 75cm, 5 Gözlü, Sert Cam, Siyah, Wok</t>
  </si>
  <si>
    <t>https://www.siemens-home.bsh-group.com/tr/tr/product/ankastre/ankastre-ocaklar/EN7B6QO12O</t>
  </si>
  <si>
    <t>https://www.siemens-home.bsh-group.com/tr/tr/product/pisirme-grubu/ocaklar/gazli-ocaklar/EN7B6QP30O</t>
  </si>
  <si>
    <t>iQ300 Gazlı Ocak, 75cm, 5 Gözlü, Sert Cam, Titanyum Gri, Wok</t>
  </si>
  <si>
    <t>https://www.siemens-home.bsh-group.com/tr/tr/product/ankastre/ankastre-ocaklar/EN7B8QO12O</t>
  </si>
  <si>
    <t>iQ300 Gazlı Ocak, 75cm, Sert Cam, Antrasit, Wok</t>
  </si>
  <si>
    <t>https://www.siemens-home.bsh-group.com/tr/tr/product/pisirme-grubu/ocaklar/gazli-ocaklar/EN7B8QP30O</t>
  </si>
  <si>
    <t>EN7B9QO12O</t>
  </si>
  <si>
    <t>https://www.siemens-home.bsh-group.com/tr/tr/product/ankastre/ankastre-ocaklar/EN7B9QO12O</t>
  </si>
  <si>
    <t>iQ300 Gazlı Ocak, 60cm, Sert Cam, Beyaz</t>
  </si>
  <si>
    <t>https://www.siemens-home.bsh-group.com/tr/tr/product/ankastre/ankastre-ocaklar/EO6C2PB11O</t>
  </si>
  <si>
    <t>iQ100 Gazlı Ocak, 60cm, Sert Cam, Beyaz, Döküm</t>
  </si>
  <si>
    <t>https://www.siemens-home.bsh-group.com/tr/tr/product/EO6C2PO92O</t>
  </si>
  <si>
    <t>iQ300 Gazlı Ocak, 60cm, Sert Cam, Beyaz</t>
  </si>
  <si>
    <t>https://www.siemens-home.bsh-group.com/tr/tr/product/pisirme-grubu/ocaklar/gazli-ocaklar/EO6C2PP30O</t>
  </si>
  <si>
    <t>https://www.siemens-home.bsh-group.com/tr/tr/product/EO6C6HB11O</t>
  </si>
  <si>
    <t>EO6C6PB11O</t>
  </si>
  <si>
    <t>iQ300 Gazlı Ocak, 60cm, Sert Cam, Siyah</t>
  </si>
  <si>
    <t>https://www.siemens-home.bsh-group.com/tr/tr/product/ankastre/ankastre-ocaklar/EO6C6PB11O</t>
  </si>
  <si>
    <t>EO6C6PO90O</t>
  </si>
  <si>
    <t>iQ100 Gazlı Ocak, 60cm, Sert Cam, Siyah, Döküm</t>
  </si>
  <si>
    <t>https://www.siemens-home.bsh-group.com/tr/tr/product/EO6C6PO90O</t>
  </si>
  <si>
    <t>EO6C6PO92O</t>
  </si>
  <si>
    <t>https://www.siemens-home.bsh-group.com/tr/tr/product/EO6C6PO92O</t>
  </si>
  <si>
    <t>https://www.siemens-home.bsh-group.com/tr/tr/product/pisirme-grubu/ocaklar/gazli-ocaklar/EO6C6PP30O</t>
  </si>
  <si>
    <t>https://www.siemens-home.bsh-group.com/tr/tr/product/ankastre/ankastre-ocaklar/EO6C8PO00O</t>
  </si>
  <si>
    <t>iQ100 Gazlı Ocak, 60cm, Sert Cam, Titanyum Gri, Döküm</t>
  </si>
  <si>
    <t>https://www.siemens-home.bsh-group.com/tr/tr/product/EO6C8PO92O</t>
  </si>
  <si>
    <t>iQ300 Gazlı Ocak, 60cm, Sert Cam, Antrasit</t>
  </si>
  <si>
    <t>https://www.siemens-home.bsh-group.com/tr/tr/product/pisirme-grubu/ocaklar/gazli-ocaklar/EO6C8PP30O</t>
  </si>
  <si>
    <t>iQ300 Gazlı Ocak, 60cm, Sert Cam, Antrasit Gri</t>
  </si>
  <si>
    <t>https://www.siemens-home.bsh-group.com/tr/tr/product/pisirme-grubu/ocaklar/gazli-ocaklar/EO6C9PO00O</t>
  </si>
  <si>
    <t>iQ300 Gazlı Ocak, 67cm, Sert Cam, Beyaz, Wok</t>
  </si>
  <si>
    <t>https://www.siemens-home.bsh-group.com/tr/tr/product/pisirme-grubu/ocaklar/gazli-ocaklar/EO7C2HP30O</t>
  </si>
  <si>
    <t>iQ100 Gazlı Ocak, 67cm, Sert Cam, Beyaz</t>
  </si>
  <si>
    <t>https://www.siemens-home.bsh-group.com/tr/tr/product/EO7C2PO10O</t>
  </si>
  <si>
    <t>iQ300 Gazlı Ocak, 67cm, Sert Cam, Beyaz</t>
  </si>
  <si>
    <t>https://www.siemens-home.bsh-group.com/tr/tr/product/ankastre/ankastre-ocaklar/EO7C2PO12O</t>
  </si>
  <si>
    <t>https://www.siemens-home.bsh-group.com/tr/tr/product/pisirme-grubu/ocaklar/gazli-ocaklar/EO7C2PP30L</t>
  </si>
  <si>
    <t>iQ300 Gazlı Ocak, 67cm, Sert Cam, Beyaz</t>
  </si>
  <si>
    <t>https://www.siemens-home.bsh-group.com/tr/tr/product/pisirme-grubu/ocaklar/gazli-ocaklar/EO7C2PP30O</t>
  </si>
  <si>
    <t>iQ300 Gazlı Ocak, 67cm, Sert Cam, Siyah, Wok</t>
  </si>
  <si>
    <t>https://www.siemens-home.bsh-group.com/tr/tr/product/ankastre/ankastre-ocaklar/EO7C6HO12O</t>
  </si>
  <si>
    <t>iQ300 Gazlı Ocak, 67cm, Sert Cam, Siyah, Wok</t>
  </si>
  <si>
    <t>https://www.siemens-home.bsh-group.com/tr/tr/product/pisirme-grubu/ocaklar/gazli-ocaklar/EO7C6HP30O</t>
  </si>
  <si>
    <t>EO7C6PO10O</t>
  </si>
  <si>
    <t>iQ300 Gazlı Ocak, 67cm, Sert Cam, Siyah</t>
  </si>
  <si>
    <t>https://www.siemens-home.bsh-group.com/tr/tr/product/EO7C6PO10O</t>
  </si>
  <si>
    <t>https://www.siemens-home.bsh-group.com/tr/tr/product/ankastre/ankastre-ocaklar/EO7C6PO12O</t>
  </si>
  <si>
    <t>iQ300 Gazlı Ocak, 67cm, Sert Cam, Siyah</t>
  </si>
  <si>
    <t>https://www.siemens-home.bsh-group.com/tr/tr/product/pisirme-grubu/ocaklar/gazli-ocaklar/EO7C6PP30O</t>
  </si>
  <si>
    <t>iQ300 Gazlı Ocak, 67cm, Sert Cam, Antrasit Gri, Wok</t>
  </si>
  <si>
    <t>https://www.siemens-home.bsh-group.com/tr/tr/product/pisirme-grubu/ocaklar/gazli-ocaklar/EO7C8HP30O</t>
  </si>
  <si>
    <t>EO7C8PO10O</t>
  </si>
  <si>
    <t>iQ100 Gazlı Ocak, 67cm, Sert Cam, Titanyum Gri</t>
  </si>
  <si>
    <t>https://www.siemens-home.bsh-group.com/tr/tr/product/EO7C8PO10O</t>
  </si>
  <si>
    <t>https://www.siemens-home.bsh-group.com/tr/tr/product/ankastre/ankastre-ocaklar/EO7C8PO12O</t>
  </si>
  <si>
    <t>iQ300 Gazlı Ocak, 67cm, Sert Cam, Antrasit Gri</t>
  </si>
  <si>
    <t>https://www.siemens-home.bsh-group.com/tr/tr/product/pisirme-grubu/ocaklar/gazli-ocaklar/EO7C8PP30O</t>
  </si>
  <si>
    <t>EO7C9HO12O</t>
  </si>
  <si>
    <t>iQ300 Gazlı Ocak, 67cm, Sert Cam, Antrasit, Wok</t>
  </si>
  <si>
    <t>https://www.siemens-home.bsh-group.com/tr/tr/product/ankastre/ankastre-ocaklar/EO7C9HO12O</t>
  </si>
  <si>
    <t>iQ300 Gazlı Ocak, 67cm, Sert Cam, Dark Silver</t>
  </si>
  <si>
    <t>https://www.siemens-home.bsh-group.com/tr/tr/product/pisirme-grubu/ocaklar/gazli-ocaklar/EO7C9PO12O</t>
  </si>
  <si>
    <t>iQ500 Gazlı Ocak, 60cm, Sert Cam, Beyaz, Döküm</t>
  </si>
  <si>
    <t>https://www.siemens-home.bsh-group.com/tr/tr/product/ankastre/ankastre-ocaklar/EP6A2PB20O</t>
  </si>
  <si>
    <t>iQ500 Gazlı Ocak, 60cm, Sert Cam, Siyah, Döküm, Wok</t>
  </si>
  <si>
    <t>https://www.siemens-home.bsh-group.com/tr/tr/product/pisirme-grubu/ocaklar/gazli-ocaklar/EP6A6HB20</t>
  </si>
  <si>
    <t>https://www.siemens-home.bsh-group.com/tr/tr/product/pisirme-grubu/ocaklar/gazli-ocaklar/EP6A6HI40O</t>
  </si>
  <si>
    <t>iQ500 Gazlı Ocak, 60cm, Sert Cam, Siyah, Döküm</t>
  </si>
  <si>
    <t>https://www.siemens-home.bsh-group.com/tr/tr/product/ankastre/ankastre-ocaklar/EP6A6PB20</t>
  </si>
  <si>
    <t>https://www.siemens-home.bsh-group.com/tr/tr/product/pisirme-grubu/ocaklar/gazli-ocaklar/EP6A6PI40O</t>
  </si>
  <si>
    <t>iQ500 Gazlı Ocak, 60cm, Sert Cam, Titanyum Gri, Döküm, Wok</t>
  </si>
  <si>
    <t>https://www.siemens-home.bsh-group.com/tr/tr/product/ankastre/ankastre-ocaklar/EP6A8HB20</t>
  </si>
  <si>
    <t>EP6A8HI40</t>
  </si>
  <si>
    <t>iQ500 Gazlı Ocak, 60cm, Sert Cam, Antrasit Gri, Döküm, Wok</t>
  </si>
  <si>
    <t>https://www.siemens-home.bsh-group.com/tr/tr/product/pisirme-grubu/ocaklar/gazli-ocaklar/EP6A8HI40</t>
  </si>
  <si>
    <t>iQ500 Gazlı Ocak, 75cm, 5 Gözlü, Sert Cam, Beyaz, Döküm, Wok</t>
  </si>
  <si>
    <t>https://www.siemens-home.bsh-group.com/tr/tr/product/ankastre/ankastre-ocaklar/EP7A2QB20</t>
  </si>
  <si>
    <t>iQ500 Gazlı Ocak, 75cm, 5 Gözlü, Sert Cam, Beyaz, Wok</t>
  </si>
  <si>
    <t>https://www.siemens-home.bsh-group.com/tr/tr/product/pisirme-grubu/ocaklar/gazli-ocaklar/EP7A2QI40</t>
  </si>
  <si>
    <t>iQ500 Gazlı Ocak, 75cm, 5 Gözlü, Sert Cam, Siyah, Wok</t>
  </si>
  <si>
    <t>https://www.siemens-home.bsh-group.com/tr/tr/product/ankastre/ankastre-ocaklar/EP7A6QB10</t>
  </si>
  <si>
    <t>iQ500 Gazlı Ocak, 75cm, 5 Gözlü, Sert Cam, Siyah, Döküm, Wok</t>
  </si>
  <si>
    <t>https://www.siemens-home.bsh-group.com/tr/tr/product/ankastre/ankastre-ocaklar/EP7A6QB20</t>
  </si>
  <si>
    <t>iQ500 Gazlı Ocak, 67cm, Sert Cam, Siyah, Wok, Döküm</t>
  </si>
  <si>
    <t>https://www.siemens-home.bsh-group.com/tr/tr/product/pisirme-grubu/ocaklar/gazli-ocaklar/EP7A6QI40O</t>
  </si>
  <si>
    <t>iQ500 Gazlı Ocak, 90cm, 5 Gözlü, Sert Cam, Siyah, Döküm, Wok</t>
  </si>
  <si>
    <t>https://www.siemens-home.bsh-group.com/tr/tr/product/pisirme-grubu/ocaklar/gazli-ocaklar/EP9A6QB90</t>
  </si>
  <si>
    <t>https://www.siemens-home.bsh-group.com/tr/tr/product/pisirme-grubu/ocaklar/gazli-ocaklar/EP9A6QI40</t>
  </si>
  <si>
    <t>iQ700 Gazlı Domino Ocak, 30cm, Tek Gözlü, Seramik, Siyah, Wok</t>
  </si>
  <si>
    <t>https://www.siemens-home.bsh-group.com/tr/tr/product/pisirme-grubu/ocaklar/domino-ocaklar/ER3A6AB70</t>
  </si>
  <si>
    <t>iQ700 Gazlı Domino Ocak, 30cm, 2 Gözlü, Seramik, Siyah</t>
  </si>
  <si>
    <t>https://www.siemens-home.bsh-group.com/tr/tr/product/pisirme-grubu/ocaklar/domino-ocaklar/ER3A6BB70</t>
  </si>
  <si>
    <t>iQ700 Gazlı Ocak, 60cm, Seramik, Siyah, Döküm</t>
  </si>
  <si>
    <t>https://www.siemens-home.bsh-group.com/tr/tr/product/ER6A6PD70</t>
  </si>
  <si>
    <t>iQ700 studioLine Gazlı Ocak, 90cm, 5 Gözlü, Sert Cam, Siyah, Döküm, Wok</t>
  </si>
  <si>
    <t>https://www.siemens-home.bsh-group.com/tr/tr/product/pisirme-grubu/ocaklar/gazli-ocaklar/ER9A6SH40</t>
  </si>
  <si>
    <t>iQ300 Elektrikli Domino Ocak, 30cm, 2 Gözlü, Siyah</t>
  </si>
  <si>
    <t>https://www.siemens-home.bsh-group.com/tr/tr/product/ankastre/ankastre-ocaklar/ET375CFA1E</t>
  </si>
  <si>
    <t>iQ500 Moduler Teppanyaki, 40cm, Inox</t>
  </si>
  <si>
    <t>https://www.siemens-home.bsh-group.com/tr/tr/product/ankastre/ankastre-ocaklar/ET475FYB1E</t>
  </si>
  <si>
    <t>iQ100 Elektrikli Ocak, 60cm, Çerçevesiz, Siyah</t>
  </si>
  <si>
    <t>https://www.siemens-home.bsh-group.com/tr/tr/product/pisirme-grubu/ocaklar/seramik-ocaklar/ET611HE17E</t>
  </si>
  <si>
    <t>iQ100 Elektrikli Ocak, 60cm, Çerçevesiz, Beyaz</t>
  </si>
  <si>
    <t>https://www.siemens-home.bsh-group.com/tr/tr/product/pisirme-grubu/ocaklar/seramik-ocaklar/ET612FEA1E</t>
  </si>
  <si>
    <t>iQ300 Elektrikli Ocak, 60cm, Çerçevesiz, Siyah</t>
  </si>
  <si>
    <t>https://www.siemens-home.bsh-group.com/tr/tr/product/pisirme-grubu/ocaklar/seramik-ocaklar/ET651FFP2E</t>
  </si>
  <si>
    <t>iQ300 Elektrikli Ocak, 70cm, Çerçeveli, Siyah</t>
  </si>
  <si>
    <t>https://www.siemens-home.bsh-group.com/tr/tr/product/ankastre/ankastre-ocaklar/ET775FGP1E</t>
  </si>
  <si>
    <t>iQ500 Elektrikli Ocak, 80cm, Çerçeveli, Siyah</t>
  </si>
  <si>
    <t>https://www.siemens-home.bsh-group.com/tr/tr/product/pisirme-grubu/ocaklar/seramik-ocaklar/ET875LMP1D</t>
  </si>
  <si>
    <t>ET875LMV1D</t>
  </si>
  <si>
    <t>iQ500 Elektrikli Ocak, 80cm, Çerçeveli, Siyah</t>
  </si>
  <si>
    <t>https://www.siemens-home.bsh-group.com/tr/tr/product/ankastre/ankastre-ocaklar/ET875LMV1D</t>
  </si>
  <si>
    <t>iQ100 İndüksiyonlu Ocak, 60cm, Çerçevesiz, Siyah</t>
  </si>
  <si>
    <t>https://www.siemens-home.bsh-group.com/tr/tr/product/ankastre/ankastre-ocaklar/EU611AGA5E</t>
  </si>
  <si>
    <t>EU611BEB1E</t>
  </si>
  <si>
    <t>https://www.siemens-home.bsh-group.com/tr/tr/product/EU611BEB1E</t>
  </si>
  <si>
    <t>EX675FXC1E</t>
  </si>
  <si>
    <t>iQ700 İndüksiyonlu Ocak, 60cm, Çerçeveli, Siyah</t>
  </si>
  <si>
    <t>https://www.siemens-home.bsh-group.com/tr/tr/product/ankastre/ankastre-ocaklar/EX675FXC1E</t>
  </si>
  <si>
    <t>https://www.siemens-home.bsh-group.com/tr/tr/product/pisirme-grubu/ocaklar/induksiyonlu-ocaklar/EX675LYV1E</t>
  </si>
  <si>
    <t>EX777NEV6E</t>
  </si>
  <si>
    <t>iQ700 İndüksiyonlu Ocak, 70cm, Çerçeveli, Siyah</t>
  </si>
  <si>
    <t>https://www.siemens-home.bsh-group.com/tr/tr/product/ankastre/ankastre-ocaklar/EX777NEV6E</t>
  </si>
  <si>
    <t>iQ700 studioLine İndüksiyonlu Ocak, 80cm, FlushMount, Siyah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</si>
  <si>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</si>
  <si>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</si>
  <si>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iQ700 Davlumbaz Entegreli İndüksiyonlu Ocak, 80cm, Çerçeveli, Siyah</t>
  </si>
  <si>
    <t>https://www.siemens-home.bsh-group.com/tr/tr/product/ankastre/ankastre-ocaklar/EX875LX67E</t>
  </si>
  <si>
    <t>iQ700 studioLine Davlumbaz Entegreli İndüksiyonlu Ocak, 80cm, Çerçeveli, Siyah</t>
  </si>
  <si>
    <t>https://www.siemens-home.bsh-group.com/tr/tr/product/pisirme-grubu/ocaklar/induksiyonlu-ocaklar/EX877NVV6E</t>
  </si>
  <si>
    <t>https://www.siemens-home.bsh-group.com/tr/tr/product/pisirme-grubu/davlumbazlar-ve-aspiratorler/tezgah-havalandirma-cozumleri/davlumbaz-entegreli-ocak/EX877NX68E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</si>
  <si>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</si>
  <si>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</si>
  <si>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</si>
  <si>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iQ700 İndüksiyonlu Ocak, 90cm, Çerçeveli, Siyah</t>
  </si>
  <si>
    <t>https://www.siemens-home.bsh-group.com/tr/tr/product/EX975KXV1E</t>
  </si>
  <si>
    <t>https://www.siemens-home.bsh-group.com/tr/tr/product/pisirme-grubu/ocaklar/induksiyonlu-ocaklar/EX975LXC1E</t>
  </si>
  <si>
    <t>EZ877KZY1E</t>
  </si>
  <si>
    <t>iQ700 studioLine İndüksiyonlu Ocak, 80cm, Çerçeveli, Siyah</t>
  </si>
  <si>
    <t>https://www.siemens-home.bsh-group.com/tr/tr/product/pisirme-grubu/ocaklar/induksiyonlu-ocaklar/EZ877KZY1E</t>
  </si>
  <si>
    <t>iQ300 Solo Mikrodalga, 20L, Siyah</t>
  </si>
  <si>
    <t>https://www.siemens-home.bsh-group.com/tr/tr/product/FF020LMB2</t>
  </si>
  <si>
    <t>Mikrodalga</t>
  </si>
  <si>
    <t>iQ300 Solo Mikrodalga, 20L, Beyaz</t>
  </si>
  <si>
    <t>https://www.siemens-home.bsh-group.com/tr/tr/product/FF020LMW0</t>
  </si>
  <si>
    <t>iQ300 Solo Mikrodalga, 20L, Siyah/Inox</t>
  </si>
  <si>
    <t>https://www.siemens-home.bsh-group.com/tr/tr/product/FF023LMS1</t>
  </si>
  <si>
    <t>iQ700 Ankastre Derin Dondurucu, 212.5x60.3cm, Düz Menteşe</t>
  </si>
  <si>
    <t>https://www.siemens-home.bsh-group.com/tr/tr/product/studioline/FI24NP32</t>
  </si>
  <si>
    <t>Ankastre Derin Dondurucu</t>
  </si>
  <si>
    <t>https://www.siemens-home.bsh-group.com/tr/tr/product/buzdolaplari-ve-derin-dondurucular/ankastre-buzdolaplari-ve-derin-dondurucular/ankastre-derin-dondurucular/FI24NP33</t>
  </si>
  <si>
    <t>Siemens studioLine Buzdolabı Kapı Paneli, 202.9x60.3cm</t>
  </si>
  <si>
    <t>https://www.siemens-home.bsh-group.com/tr/tr/product/buzdolaplari-ve-derin-dondurucular/aksesuarlar/FI24Z090</t>
  </si>
  <si>
    <t>Siemens Buzdolabı Kapı Paneli, 202.9x75.6cm</t>
  </si>
  <si>
    <t>https://www.siemens-home.bsh-group.com/tr/tr/product/buzdolaplari-ve-derin-dondurucular/aksesuarlar/FI30Z090</t>
  </si>
  <si>
    <t>iQ300 Derin Dondurucu, 146x60cm, Statik, Beyaz</t>
  </si>
  <si>
    <t>https://www.siemens-home.bsh-group.com/tr/tr/product/buzdolaplari-ve-derin-dondurucular/solo-buzdolaplari-ve-derin-dondurucular/solo-derin-dondurucular/GS24VVWE0N</t>
  </si>
  <si>
    <t>Derin Dondurucu</t>
  </si>
  <si>
    <t>https://www.siemens-home.bsh-group.com/tr/tr/product/GS24VVWF0N</t>
  </si>
  <si>
    <t>iQ300 Derin Dondurucu, 161x60cm, No-Frost, Beyaz</t>
  </si>
  <si>
    <t>https://www.siemens-home.bsh-group.com/tr/tr/product/ldaset2ref/GS29NVWE0N</t>
  </si>
  <si>
    <t>iQ300 Derin Dondurucu, 161x60cm, Statik, Beyaz</t>
  </si>
  <si>
    <t>https://www.siemens-home.bsh-group.com/tr/tr/product/ldaset2ref/GS29VVWE0N</t>
  </si>
  <si>
    <t>iQ300 Derin Dondurucu, 176x60cm, Statik, Inox</t>
  </si>
  <si>
    <t>https://www.siemens-home.bsh-group.com/tr/tr/product/ldaset2ref/GS33VVIE0N</t>
  </si>
  <si>
    <t>iQ300 Derin Dondurucu, 176x60cm, Statik, Beyaz</t>
  </si>
  <si>
    <t>https://www.siemens-home.bsh-group.com/tr/tr/product/ldaset2ref/GS33VVWE0N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</si>
  <si>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</si>
  <si>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</si>
  <si>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iQ300 Derin Dondurucu, 186x60cm, No-Frost, Inox</t>
  </si>
  <si>
    <t>https://www.siemens-home.bsh-group.com/tr/tr/product/buzdolaplari-ve-derin-dondurucular/solo-buzdolaplari-ve-derin-dondurucular/solo-derin-dondurucular/GS36NVIEP</t>
  </si>
  <si>
    <t>iQ300 Derin Dondurucu, 186x60cm, No-Frost, Beyaz</t>
  </si>
  <si>
    <t>https://www.siemens-home.bsh-group.com/tr/tr/product/GS36NVWF0N</t>
  </si>
  <si>
    <t>iQ300 Derin Dondurucu, 176x70cm, No-Frost, Beyaz</t>
  </si>
  <si>
    <t>https://www.siemens-home.bsh-group.com/tr/tr/product/ldaset2ref/GS54NVWE0N</t>
  </si>
  <si>
    <t>HB010FBR1T</t>
  </si>
  <si>
    <t>iQ100 Ankastre Fırın, Siyah/Inox</t>
  </si>
  <si>
    <t>https://www.siemens-home.bsh-group.com/tr/tr/product/ankastre/ankastre-firinlar/HB010FBR1T</t>
  </si>
  <si>
    <t>iQ100 Ankastre Fırın, Siyah</t>
  </si>
  <si>
    <t>https://www.siemens-home.bsh-group.com/tr/tr/product/pisirme-grubu/firinlar/ankastre-firinlar/HB011FBA1T</t>
  </si>
  <si>
    <t>https://www.siemens-home.bsh-group.com/tr/tr/product/pisirme-grubu/firinlar/ankastre-firinlar/HB012FBB1T</t>
  </si>
  <si>
    <t>iQ100 Ankastre Fırın, Antrasit</t>
  </si>
  <si>
    <t>https://www.siemens-home.bsh-group.com/tr/tr/product/pisirme-grubu/firinlar/ankastre-firinlar/HB012FBH1T</t>
  </si>
  <si>
    <t>iQ100 Ankastre Fırın, Beyaz</t>
  </si>
  <si>
    <t>https://www.siemens-home.bsh-group.com/tr/tr/product/pisirme-grubu/firinlar/ankastre-firinlar/HB012FBW1T</t>
  </si>
  <si>
    <t>https://www.siemens-home.bsh-group.com/tr/tr/product/ankastre/ankastre-firinlar/HB013FBS1T</t>
  </si>
  <si>
    <t>HB013FBW1T</t>
  </si>
  <si>
    <t>https://www.siemens-home.bsh-group.com/tr/tr/product/3d-airfry-ankastre-firinlar/HB013FBW1T</t>
  </si>
  <si>
    <t>HB134FES1T</t>
  </si>
  <si>
    <t>iQ300 Ankastre Fırın, Siyah/Inox</t>
  </si>
  <si>
    <t>https://www.siemens-home.bsh-group.com/tr/tr/product/ankastre/ankastre-firinlar/HB134FES1T</t>
  </si>
  <si>
    <t>HB134FES3T</t>
  </si>
  <si>
    <t>iQ300 Ankastre Fırın, 1 Teleskopik Ray, Arkası Kendini Temizler, Beyaz</t>
  </si>
  <si>
    <t>https://www.siemens-home.bsh-group.com/tr/tr/product/ankastre/ankastre-firinlar/HB134FES3T</t>
  </si>
  <si>
    <t>HB214FBS0T</t>
  </si>
  <si>
    <t>https://www.siemens-home.bsh-group.com/tr/tr/product/3d-airfry-ankastre-firinlar/HB214FBS0T</t>
  </si>
  <si>
    <t>HB214FBS1T</t>
  </si>
  <si>
    <t>https://www.siemens-home.bsh-group.com/tr/tr/product/3d-airfry-ankastre-firinlar/HB214FBS1T</t>
  </si>
  <si>
    <t>HB214FBW0T</t>
  </si>
  <si>
    <t>iQ300 Ankastre Fırın, Beyaz/Inox</t>
  </si>
  <si>
    <t>https://www.siemens-home.bsh-group.com/tr/tr/product/3d-airfry-ankastre-firinlar/HB214FBW0T</t>
  </si>
  <si>
    <t>HB214FBW1T</t>
  </si>
  <si>
    <t>iQ300 Ankastre Fırın, Beyaz</t>
  </si>
  <si>
    <t>https://www.siemens-home.bsh-group.com/tr/tr/product/ankastre/ankastre-firinlar/HB214FBW1T</t>
  </si>
  <si>
    <t>HB234FEH0T</t>
  </si>
  <si>
    <t>iQ300 Ankastre Fırın, 1 Teleskopik Ray, Arkası Kendini Temizler, Antrasit</t>
  </si>
  <si>
    <t>https://www.siemens-home.bsh-group.com/tr/tr/product/3d-airfry-ankastre-firinlar/HB234FEH0T</t>
  </si>
  <si>
    <t>iQ300 Ankastre Fırın, 1 Teleskopik Ray, Arkası Kendini Temizler, Gri</t>
  </si>
  <si>
    <t>https://www.siemens-home.bsh-group.com/tr/tr/product/pisirme-grubu/firinlar/ankastre-firinlar/HB234FEH2T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</si>
  <si>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</si>
  <si>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</si>
  <si>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</si>
  <si>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</si>
  <si>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HB237FEG0T</t>
  </si>
  <si>
    <t>iQ500 Ankastre Fırın, 1 Teleskopik Ray, Arkası Kendini Temizler, darkSteel Line</t>
  </si>
  <si>
    <t>http://siemens-home.bsh-group.com/tr/tr/product/ankastre/ankastre-firinlar/HB237FEG0T</t>
  </si>
  <si>
    <t>iQ500 Ankastre Fırın, 1 Teleskopik Ray, darkSteel</t>
  </si>
  <si>
    <t>https://www.siemens-home.bsh-group.com/tr/tr/product/pisirme-grubu/firinlar/ankastre-firinlar/HB237FEG5T</t>
  </si>
  <si>
    <t>HB237JES0T</t>
  </si>
  <si>
    <t>iQ500 Ankastre Fırın, 1 Teleskopik Ray, Arkası Kendini Temizler, Siyah</t>
  </si>
  <si>
    <t>https://www.siemens-home.bsh-group.com/tr/tr/product/ankastre/ankastre-firinlar/HB237JES0T</t>
  </si>
  <si>
    <t>HB237JES5T</t>
  </si>
  <si>
    <t>https://www.siemens-home.bsh-group.com/tr/tr/product/pisirme-grubu/firinlar/ankastre-firinlar/HB237JES5T</t>
  </si>
  <si>
    <t>iQ500 studioLine Ankastre Fırın, 1 Teleskopik Ray, Komple Kendini Temizler, Siyah</t>
  </si>
  <si>
    <t>https://www.siemens-home.bsh-group.com/tr/tr/product/ankastre/ankastre-firinlar/HB478G5B6</t>
  </si>
  <si>
    <t>iQ300 Ankastre Fırın, Titanyum Gri</t>
  </si>
  <si>
    <t>https://www.siemens-home.bsh-group.com/tr/tr/product/3d-airfry-ankastre-firinlar/HB514FBH0T</t>
  </si>
  <si>
    <t>HB514FBH2T</t>
  </si>
  <si>
    <t>https://www.siemens-home.bsh-group.com/tr/tr/product/ankastre/ankastre-firinlar/HB514FBH2T</t>
  </si>
  <si>
    <t>HB514FBR0T</t>
  </si>
  <si>
    <t>https://www.siemens-home.bsh-group.com/tr/tr/product/3d-airfry-ankastre-firinlar/HB514FBR0T</t>
  </si>
  <si>
    <t>HB514FBR1T</t>
  </si>
  <si>
    <t>https://www.siemens-home.bsh-group.com/tr/tr/product/ankastre/ankastre-firinlar/HB514FBR1T</t>
  </si>
  <si>
    <t>iQ300 Ankastre Fırın, 1 Teleskopik Ray, Arkası Kendini Temizler, Siyah/Inox</t>
  </si>
  <si>
    <t>https://www.siemens-home.bsh-group.com/tr/tr/product/ankastre/ankastre-firinlar/HB534FER0T</t>
  </si>
  <si>
    <t>HB534FER3T</t>
  </si>
  <si>
    <t>https://www.siemens-home.bsh-group.com/tr/tr/product/pisirme-grubu/firinlar/ankastre-firinlar/HB534FER3T</t>
  </si>
  <si>
    <t>iQ500 Ankastre Fırın, 1 Teleskopik Ray, Komple Kendini Temizler, Siyah</t>
  </si>
  <si>
    <t>https://www.siemens-home.bsh-group.com/tr/tr/product/pisirme-grubu/firinlar/ankastre-firinlar/HB557JEB6T</t>
  </si>
  <si>
    <t>iQ500 Ankastre Fırın, 2 Teleskopik Ray, Komple Kendini Temizler, Titanyum Gri</t>
  </si>
  <si>
    <t>https://www.siemens-home.bsh-group.com/tr/tr/product/ankastre/ankastre-firinlar/HB557JYH0T</t>
  </si>
  <si>
    <t>HB557JYH2T</t>
  </si>
  <si>
    <t>https://www.siemens-home.bsh-group.com/tr/tr/product/ankastre/ankastre-firinlar/HB557JYH2T</t>
  </si>
  <si>
    <t>HB557JYS0T</t>
  </si>
  <si>
    <t>iQ500 Ankastre Fırın, 2 Teleskopik Ray, Komple Kendini Temizler, Siyah</t>
  </si>
  <si>
    <t>https://www.siemens-home.bsh-group.com/tr/tr/product/prsiemensovenaddedvalue/HB557JYS0T</t>
  </si>
  <si>
    <t>HB557JYS5T</t>
  </si>
  <si>
    <t>iQ500 Ankastre Fırın, 2 Teleskopik Ray, Siyah/Inox</t>
  </si>
  <si>
    <t>https://www.siemens-home.bsh-group.com/tr/tr/product/pisirme-grubu/firinlar/ankastre-firinlar/HB557JYS5T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</si>
  <si>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</si>
  <si>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</si>
  <si>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</si>
  <si>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HB557JYW5T</t>
  </si>
  <si>
    <t>iQ500 Ankastre Fırın, 2 Teleskopik Ray, Komple Kendini Temizler, Beyaz</t>
  </si>
  <si>
    <t>https://www.siemens-home.bsh-group.com/tr/tr/product/pisirme-grubu/firinlar/ankastre-firinlar/HB557JYW5T</t>
  </si>
  <si>
    <t>iQ700 Ankastre Fırın, Siyah</t>
  </si>
  <si>
    <t>https://www.siemens-home.bsh-group.com/tr/tr/product/3d-airfry-ankastre-firinlar/HB634GBS1</t>
  </si>
  <si>
    <t>HB655GNW1</t>
  </si>
  <si>
    <t>iQ700 Ankastre Fırın, 1 Teleskopik Ray, Komple Kendini Temizler, Beyaz</t>
  </si>
  <si>
    <t>https://www.siemens-home.bsh-group.com/tr/tr/product/arsiv/HB655GNW1</t>
  </si>
  <si>
    <t>HB656GHW1</t>
  </si>
  <si>
    <t>https://www.siemens-home.bsh-group.com/tr/tr/product/3d-airfry-ankastre-firinlar/HB656GHW1</t>
  </si>
  <si>
    <t>HB676G5S6</t>
  </si>
  <si>
    <t>iQ700 Ankastre Fırın, 3 Teleskopik Ray, Komple Kendini Temizler, Siyah/Inox</t>
  </si>
  <si>
    <t>https://www.siemens-home.bsh-group.com/tr/tr/product/ankastre/ankastre-firinlar/HB676G5S6</t>
  </si>
  <si>
    <t>iQ700 Ankastre Fırın, Arkası Kendini Temizler, Siyah</t>
  </si>
  <si>
    <t>https://www.siemens-home.bsh-group.com/tr/tr/product/pisirme-grubu/firinlar/ankastre-firinlar/HB734G1B1</t>
  </si>
  <si>
    <t>iQ700 Ankastre Fırın, Arkası Kendini Temizler, Beyaz</t>
  </si>
  <si>
    <t>https://www.siemens-home.bsh-group.com/tr/tr/product/ankastre/ankastre-firinlar/HB734G1W1</t>
  </si>
  <si>
    <t>https://www.siemens-home.bsh-group.com/tr/tr/product/pisirme-grubu/firinlar/ankastre-firinlar/HB776G1B1</t>
  </si>
  <si>
    <t>iQ700 Ankastre Fırın, Komple Kendini Temizler, Siyah</t>
  </si>
  <si>
    <t>https://www.siemens-home.bsh-group.com/tr/tr/product/ankastre/ankastre-firinlar/HB778G3B1</t>
  </si>
  <si>
    <t>iQ700 studioLine Ankastre Fırın, 3 Teleskopik Ray, Komple Kendini Temizler, Siyah</t>
  </si>
  <si>
    <t>https://www.siemens-home.bsh-group.com/tr/tr/product/ankastre/ankastre-firinlar/HB876G8B6</t>
  </si>
  <si>
    <t>iQ700 studioLine Ankastre Fırın, 1 Teleskopik Ray, Komple Kendini Temizler, Siyah</t>
  </si>
  <si>
    <t>https://www.siemens-home.bsh-group.com/tr/tr/product/pisirme-grubu/firinlar/ankastre-firinlar/HB976GMB1</t>
  </si>
  <si>
    <t>HI133FES0T</t>
  </si>
  <si>
    <t>iQ300 Buhar Destekli Ankastre Fırın, 1 Teleskopik Ray, Arkası Kendini Temizler, Siyah/Inox</t>
  </si>
  <si>
    <t>https://www.siemens-home.bsh-group.com/tr/tr/product/3d-airfry-ankastre-firinlar/HI133FES0T</t>
  </si>
  <si>
    <t>HI133FES3T</t>
  </si>
  <si>
    <t>https://www.siemens-home.bsh-group.com/tr/tr/product/ankastre/ankastre-firinlar/HI133FES3T</t>
  </si>
  <si>
    <t>https://www.siemens-home.bsh-group.com/tr/tr/product/3d-airfry-ankastre-firinlar/HI133FEW0T</t>
  </si>
  <si>
    <t>HI133FEW3T</t>
  </si>
  <si>
    <t>https://www.siemens-home.bsh-group.com/tr/tr/product/ankastre/ankastre-firinlar/HI133FEW3T</t>
  </si>
  <si>
    <t>https://www.siemens-home.bsh-group.com/tr/tr/product/pisirme-grubu/firinlar/ankastre-firinlar/HJ852GYB0T</t>
  </si>
  <si>
    <t>iQ500 Ankastre Fırın, 2 Teleskopik Ray, Komple Kendini Temizler, Antrasit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</si>
  <si>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</si>
  <si>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</si>
  <si>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HN678G4S6</t>
  </si>
  <si>
    <t>iQ700 Mikrodalga Fonksiyonlu Ankastre Fırın, Komple Kendini Temizler, Siyah/Inox</t>
  </si>
  <si>
    <t>https://www.siemens-home.bsh-group.com/tr/tr/product/3d-airfry-ankastre-firinlar/HN678G4S6</t>
  </si>
  <si>
    <t>iQ700 studioLine Buhar ve Mikrodalga Fonksiyonlu Ankastre Fırın, Komple Kendini Temizler, Siyah</t>
  </si>
  <si>
    <t>https://www.siemens-home.bsh-group.com/tr/tr/product/pisirme-grubu/firinlar/mikrodalgali-firinlar/HN978GQB1</t>
  </si>
  <si>
    <t>iQ300 Buhar Destekli Ankastre Fırın, 1 Teleskopik Ray, Arkası Kendini Temizler, Siyah/Dark Inox</t>
  </si>
  <si>
    <t>https://www.siemens-home.bsh-group.com/tr/tr/product/pisirme-grubu/buharli-firinlar/buharli-firinlar/HR232GEB3</t>
  </si>
  <si>
    <t>iQ500 Buhar Destekli Ankastre Fırın, Arkası Kendini Temizler, Siyah/Inox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</si>
  <si>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</si>
  <si>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</si>
  <si>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iQ700 Buhar Destekli Ankastre Fırın, Arkası Kendini Temizler, Siyah/Inox</t>
  </si>
  <si>
    <t>https://www.siemens-home.bsh-group.com/tr/tr/product/3d-airfry-ankastre-firinlar/HS636GDS2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</si>
  <si>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</si>
  <si>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</si>
  <si>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</si>
  <si>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HS858KXB6</t>
  </si>
  <si>
    <t>iQ700 studioLine Buhar Destekli Ankastre Fırın, 3 Teleskopik Ray, Komple Kendini Temizler, Siyah</t>
  </si>
  <si>
    <t>https://www.siemens-home.bsh-group.com/tr/tr/product/ankastre/ankastre-firinlar/HS858KXB6</t>
  </si>
  <si>
    <t>iQ300 Buhar Destekli Ankastre Fırın, Siyah</t>
  </si>
  <si>
    <t>https://www.siemens-home.bsh-group.com/tr/tr/product/pisirme-grubu/buharli-firinlar/buharli-firinlar/HU717ABA0T</t>
  </si>
  <si>
    <t>iQ300 Buhar Destekli Ankastre Fırın, Antrasit</t>
  </si>
  <si>
    <t>https://www.siemens-home.bsh-group.com/tr/tr/product/pisirme-grubu/buharli-firinlar/buharli-firinlar/HU717ABN0T</t>
  </si>
  <si>
    <t>iQ300 Buhar Destekli Ankastre Fırın, Beyaz</t>
  </si>
  <si>
    <t>https://www.siemens-home.bsh-group.com/tr/tr/product/pisirme-grubu/buharli-firinlar/buharli-firinlar/HU717ABV0T</t>
  </si>
  <si>
    <t>iQ300 Ankastre Fırın, 1 Teleskopik Ray, Arkası Kendini Temizler, Siyah</t>
  </si>
  <si>
    <t>https://www.siemens-home.bsh-group.com/tr/tr/product/pisirme-grubu/buharli-firinlar/buharli-firinlar/HU736AEA0T</t>
  </si>
  <si>
    <t>iQ300 Buhar Destekli Ankastre Fırın, 1 Teleskopik Ray, Arkası Kendini Temizler, darkSteel Line</t>
  </si>
  <si>
    <t>https://www.siemens-home.bsh-group.com/tr/tr/product/pisirme-grubu/buharli-firinlar/buharli-firinlar/HU736AEG0T</t>
  </si>
  <si>
    <t>https://www.siemens-home.bsh-group.com/tr/tr/product/pisirme-grubu/buharli-firinlar/buharli-firinlar/HU736AEN0T</t>
  </si>
  <si>
    <t>iQ300 Buhar Destekli Ankastre Fırın, 1 Teleskopik Ray, Arkası Kendini Temizler, Beyaz</t>
  </si>
  <si>
    <t>https://www.siemens-home.bsh-group.com/tr/tr/product/pisirme-grubu/buharli-firinlar/buharli-firinlar/HU736AEV0T</t>
  </si>
  <si>
    <t>3D Fry Tepsi</t>
  </si>
  <si>
    <t>https://www.siemens-home.bsh-group.com/tr/tr/product/pisirme-grubu/aksesuarlar/HZ429000</t>
  </si>
  <si>
    <t>HZ629070</t>
  </si>
  <si>
    <t>https://www.siemens-home.bsh-group.com/tr/tr/product/pisirme-grubu/aksesuarlar/HZ629070</t>
  </si>
  <si>
    <t>Siemens starter kit unducted recirculation</t>
  </si>
  <si>
    <t>https://www.siemens-home.bsh-group.com/tr/tr/product/HZ9VRUD0</t>
  </si>
  <si>
    <t>iQ300 Gardırop Tipi Buzdolabı, 90.8cm, Inox</t>
  </si>
  <si>
    <t>https://www.siemens-home.bsh-group.com/tr/tr/product/KA93NVL30N</t>
  </si>
  <si>
    <t>Buzdolabı</t>
  </si>
  <si>
    <t>iQ500 Alttan Donduruculu Ankastre Buzdolabı, 193.5x70.8cm, softClosing Düz Menteşe</t>
  </si>
  <si>
    <t>https://www.siemens-home.bsh-group.com/tr/tr/product/buzdolaplari-ve-derin-dondurucular/ankastre-buzdolaplari-ve-derin-dondurucular/alttan-donduruculu-ankastre-buzdolaplari/KB96NADD0</t>
  </si>
  <si>
    <t>iQ500 studioLine Alttan Donduruculu Ankastre Buzdolabı, 193.5x70.8cm, Düz Menteşe</t>
  </si>
  <si>
    <t>https://www.siemens-home.bsh-group.com/tr/tr/product/ankastre/ankastre-buzdolaplari-ve-sogutucular/KB96NSDD0</t>
  </si>
  <si>
    <t>iQ100 Üstten Donduruculu Kulpsuz Buzdolabı, 70cm, Beyaz</t>
  </si>
  <si>
    <t>https://www.siemens-home.bsh-group.com/tr/tr/product/buzdolaplari-ve-derin-dondurucular/solo-buzdolaplari-ve-derin-dondurucular/ustten-donduruculu-solo-buzdolaplari/KD43NNWE0N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</si>
  <si>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</si>
  <si>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</si>
  <si>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KD55NNLF1N</t>
  </si>
  <si>
    <t>https://www.siemens-home.bsh-group.com/tr/tr/product/prsiemensfridge/KD55NNLF1N</t>
  </si>
  <si>
    <t>iQ300 Üstten Donduruculu Kulpsuz Buzdolabı, 70cm, Beyaz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</si>
  <si>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</si>
  <si>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</si>
  <si>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KD76NAIE0N</t>
  </si>
  <si>
    <t>iQ500 Üstten Donduruculu Kulplu Buzdolabı, 75cm, Inox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</si>
  <si>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</si>
  <si>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</si>
  <si>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</si>
  <si>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</si>
  <si>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</si>
  <si>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https://www.siemens-home.bsh-group.com/tr/tr/product/KD76NAWE1N</t>
  </si>
  <si>
    <t>KD76NHID1N</t>
  </si>
  <si>
    <t>https://www.siemens-home.bsh-group.com/tr/tr/product/prsiemensfridge/KD76NHID1N</t>
  </si>
  <si>
    <t>iQ500 Üstten Donduruculu Kulpsuz Buzdolabı, 75cm, Inox</t>
  </si>
  <si>
    <t>https://www.siemens-home.bsh-group.com/tr/tr/product/buzdolaplari-ve-derin-dondurucular/solo-buzdolaplari-ve-derin-dondurucular/ustten-donduruculu-solo-buzdolaplari/KD76NXIE1N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</si>
  <si>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</si>
  <si>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</si>
  <si>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iQ300 Üstten Donduruculu, Kulpsuz Buzdolabı, 75cm, Beyaz</t>
  </si>
  <si>
    <t>https://www.siemens-home.bsh-group.com/tr/tr/product/buzdolaplari-ve-derin-dondurucular/solo-buzdolaplari-ve-derin-dondurucular/ustten-donduruculu-solo-buzdolaplari/KD76NXWE1N</t>
  </si>
  <si>
    <t>iQ500 Üstten Donduruculu Kulplu Buzdolabı, 86cm, Inox</t>
  </si>
  <si>
    <t>https://www.siemens-home.bsh-group.com/tr/tr/product/buzdolaplari-ve-derin-dondurucular/solo-buzdolaplari-ve-derin-dondurucular/ustten-donduruculu-solo-buzdolaplari/KD86NAID1N</t>
  </si>
  <si>
    <t>KD86NAIE0N</t>
  </si>
  <si>
    <t>https://www.siemens-home.bsh-group.com/tr/tr/product/prsiemensfridge/KD86NAIE0N</t>
  </si>
  <si>
    <t>KD86NAWE0N</t>
  </si>
  <si>
    <t>iQ500 Üstten Donduruculu Kulplu Buzdolabı, 86cm, Beyaz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</si>
  <si>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</si>
  <si>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</si>
  <si>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KD86NAWF1N</t>
  </si>
  <si>
    <t>https://www.siemens-home.bsh-group.com/tr/tr/product/prsiemensfridge/KD86NAWF1N</t>
  </si>
  <si>
    <t>https://www.siemens-home.bsh-group.com/tr/tr/product/prsiemensfridge/KD86NHID1N</t>
  </si>
  <si>
    <t>iQ300 Gardırop Tipi Buzdolabı, 90.5cm, BlackSteel</t>
  </si>
  <si>
    <t>https://www.siemens-home.bsh-group.com/tr/tr/product/buzdolaplari-ve-derin-dondurucular/solo-buzdolaplari-ve-derin-dondurucular/alttan-donduruculu-solo-buzdolaplari/KF96NAXEA</t>
  </si>
  <si>
    <t>iQ300 Gardırop Tipi Buzdolabı, 90.5cm, Inox</t>
  </si>
  <si>
    <t>https://www.siemens-home.bsh-group.com/tr/tr/product/buzdolaplari-ve-derin-dondurucular/solo-buzdolaplari-ve-derin-dondurucular/alttan-donduruculu-solo-buzdolaplari/KF96NVPEA</t>
  </si>
  <si>
    <t>iQ700 Gardırop Tipi Buzdolabı, Cam Kapı, Alkol Çekmeceli, 90.5cm, Siyah</t>
  </si>
  <si>
    <t>https://www.siemens-home.bsh-group.com/tr/tr/product/buzdolaplari-ve-derin-dondurucular/solo-buzdolaplari-ve-derin-dondurucular/alttan-donduruculu-solo-buzdolaplari/KF96RSBEA</t>
  </si>
  <si>
    <t>iQ100 Alttan Donduruculu Kulpsuz Buzdolabı, 60cm, Inox</t>
  </si>
  <si>
    <t>https://www.siemens-home.bsh-group.com/tr/tr/product/prsiemensfridge/KG36NNLE0N</t>
  </si>
  <si>
    <t>iQ300 Alttan Donduruculu Kulpsuz Buzdolabı, 70cm, Inox</t>
  </si>
  <si>
    <t>https://www.siemens-home.bsh-group.com/tr/tr/product/buzdolaplari-ve-derin-dondurucular/solo-buzdolaplari-ve-derin-dondurucular/alttan-donduruculu-solo-buzdolaplari/KG55NCIE0N</t>
  </si>
  <si>
    <t>iQ300 Alttan Donduruculu Kulpsuz Buzdolabı, 70cm, Beyaz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</si>
  <si>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</si>
  <si>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</si>
  <si>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</si>
  <si>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KG56NAWF0N</t>
  </si>
  <si>
    <t>https://www.siemens-home.bsh-group.com/tr/tr/product/KG56NAWF0N</t>
  </si>
  <si>
    <t>iQ500 Alttan Donduruculu Kulpsuz Buzdolabı, 70cm, Parlak Siyah</t>
  </si>
  <si>
    <t>https://www.siemens-home.bsh-group.com/tr/tr/product/buzdolaplari-ve-derin-dondurucular/solo-buzdolaplari-ve-derin-dondurucular/alttan-donduruculu-solo-buzdolaplari/KG56NLBE0N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</si>
  <si>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</si>
  <si>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</si>
  <si>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iQ500 Alttan Donduruculu Kulpsuz Buzdolabı, 70cm, Seramik Desen</t>
  </si>
  <si>
    <t>https://www.siemens-home.bsh-group.com/tr/tr/product/prsiemensfridge/KG56NQWF0N</t>
  </si>
  <si>
    <t>iQ500 Alttan Donduruculu Kulpsuz Buzdolabı, 70cm, Mat Siyah</t>
  </si>
  <si>
    <t>https://www.siemens-home.bsh-group.com/tr/tr/product/prsiemensfridge/KG56NTEE0N</t>
  </si>
  <si>
    <t>https://www.siemens-home.bsh-group.com/tr/tr/product/prsiemensfridge/KG56NTWE0N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</si>
  <si>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</si>
  <si>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</si>
  <si>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</si>
  <si>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</si>
  <si>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KG56NXWE0N</t>
  </si>
  <si>
    <t>https://www.siemens-home.bsh-group.com/tr/tr/product/kampanyalar/set-kurutma-firsati/siemensbuiltinset3cooker/KG56NXWE0N</t>
  </si>
  <si>
    <t>iQ700 Alttan Donduruculu Kulplu Buzdolabı, 75cm, Inox</t>
  </si>
  <si>
    <t>https://www.siemens-home.bsh-group.com/tr/tr/product/buzdolaplari-ve-derin-dondurucular/solo-buzdolaplari-ve-derin-dondurucular/alttan-donduruculu-solo-buzdolaplari/KG76APIE0N</t>
  </si>
  <si>
    <t>iQ500 Alttan Donduruculu Kulplu Buzdolabı, 75cm, Inox</t>
  </si>
  <si>
    <t>https://www.siemens-home.bsh-group.com/tr/tr/product/buzdolaplari-ve-derin-dondurucular/solo-buzdolaplari-ve-derin-dondurucular/alttan-donduruculu-solo-buzdolaplari/KG76NCIE0N</t>
  </si>
  <si>
    <t>iQ500 Alttan Donduruculu Kulplu Buzdolabı, 75cm, Beyaz</t>
  </si>
  <si>
    <t>https://www.siemens-home.bsh-group.com/tr/tr/product/buzdolaplari-ve-derin-dondurucular/solo-buzdolaplari-ve-derin-dondurucular/alttan-donduruculu-solo-buzdolaplari/KG76NCWE0N</t>
  </si>
  <si>
    <t>iQ500 Alttan Donduruculu Kulpsuz Buzdolabı, 75cm, darkSteel</t>
  </si>
  <si>
    <t>https://www.siemens-home.bsh-group.com/tr/tr/product/buzdolaplari-ve-derin-dondurucular/solo-buzdolaplari-ve-derin-dondurucular/alttan-donduruculu-solo-buzdolaplari/KG76NCXE0N</t>
  </si>
  <si>
    <t>iQ300 Alttan Donduruculu Kulpsuz Buzdolabı, 75cm, Inox</t>
  </si>
  <si>
    <t>https://www.siemens-home.bsh-group.com/tr/tr/product/buzdolaplari-ve-derin-dondurucular/solo-buzdolaplari-ve-derin-dondurucular/alttan-donduruculu-solo-buzdolaplari/KG76NVIE0N</t>
  </si>
  <si>
    <t>iQ300 Alttan Donduruculu Kulpsuz Buzdolabı, 75cm, Beyaz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</si>
  <si>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</si>
  <si>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https://www.siemens-home.bsh-group.com/tr/tr/product/buzdolaplari-ve-derin-dondurucular/solo-buzdolaplari-ve-derin-dondurucular/alttan-donduruculu-solo-buzdolaplari/KG76PAIC0N</t>
  </si>
  <si>
    <t>iQ700 Alttan Donduruculu Kulplu Buzdolabı, 75cm, Beyaz</t>
  </si>
  <si>
    <t>https://www.siemens-home.bsh-group.com/tr/tr/product/buzdolaplari-ve-derin-dondurucular/solo-buzdolaplari-ve-derin-dondurucular/alttan-donduruculu-solo-buzdolaplari/KG76PAWC0N</t>
  </si>
  <si>
    <t>iQ500 Alttan Donduruculu Kulplu Buzdolabı, 86cm, Inox</t>
  </si>
  <si>
    <t>https://www.siemens-home.bsh-group.com/tr/tr/product/buzdolaplari-ve-derin-dondurucular/solo-buzdolaplari-ve-derin-dondurucular/alttan-donduruculu-solo-buzdolaplari/KG86NAID2N</t>
  </si>
  <si>
    <t>KG86NAWF0N</t>
  </si>
  <si>
    <t>iQ500 Alttan Donduruculu Kulplu Buzdolabı, 86cm, Beyaz</t>
  </si>
  <si>
    <t>https://www.siemens-home.bsh-group.com/tr/tr/product/prsiemensfridge/KG86NAWF0N</t>
  </si>
  <si>
    <t>https://www.siemens-home.bsh-group.com/tr/tr/product/buzdolaplari-ve-derin-dondurucular/solo-buzdolaplari-ve-derin-dondurucular/alttan-donduruculu-solo-buzdolaplari/KG86NCWE0N</t>
  </si>
  <si>
    <t>iQ500 Alttan Donduruculu Kulpsuz Buzdolabı, 86cm, Beyaz</t>
  </si>
  <si>
    <t>https://www.siemens-home.bsh-group.com/tr/tr/product/buzdolaplari-ve-derin-dondurucular/solo-buzdolaplari-ve-derin-dondurucular/alttan-donduruculu-solo-buzdolaplari/KG86NVWE0N</t>
  </si>
  <si>
    <t>iQ700 Alttan Donduruculu Kulplu Buzdolabı, 86cm, Inox</t>
  </si>
  <si>
    <t>https://www.siemens-home.bsh-group.com/tr/tr/product/kampanyalar/supurge-hediye-firsati/KG86PAIC0N</t>
  </si>
  <si>
    <t>KG86PAWC0N</t>
  </si>
  <si>
    <t>iQ700 Alttan Donduruculu Kulplu Buzdolabı, 86cm, Beyaz</t>
  </si>
  <si>
    <t>https://www.siemens-home.bsh-group.com/tr/tr/product/kampanyalar/supurge-hediye-firsati/KG86PAWC0N</t>
  </si>
  <si>
    <t>iQ700 Alttan Donduruculu Kulpsuz Buzdolabı, 86cm, darkSteel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</si>
  <si>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</si>
  <si>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</si>
  <si>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https://www.siemens-home.bsh-group.com/tr/tr/product/buzdolaplari-ve-derin-dondurucular/solo-buzdolaplari-ve-derin-dondurucular/alttan-donduruculu-solo-buzdolaplari/KG86PFWC0N</t>
  </si>
  <si>
    <t>iQ500 Derin Donduruculu Ankastre Buzdolabı, 177.2x55.8cm, softClosing Düz Menteşe</t>
  </si>
  <si>
    <t>https://www.siemens-home.bsh-group.com/tr/tr/product/buzdolaplari-ve-derin-dondurucular/ankastre-buzdolaplari-ve-derin-dondurucular/ankastre-buzdolaplari/KI82LADD0</t>
  </si>
  <si>
    <t>KI82LADE0</t>
  </si>
  <si>
    <t>https://www.siemens-home.bsh-group.com/tr/tr/product/ankastre/ankastre-buzdolaplari-ve-sogutucular/KI82LADE0</t>
  </si>
  <si>
    <t>iQ500 Alttan Donduruculu Ankastre Buzdolabı, 177.2x55.8cm, softClosing Düz Menteşe</t>
  </si>
  <si>
    <t>https://www.siemens-home.bsh-group.com/tr/tr/product/ankastre/ankastre-buzdolaplari-ve-sogutucular/KI86NHDF0</t>
  </si>
  <si>
    <t>iQ500 Alttan Donduruculu Ankastre Buzdolabı, 177.2x55.8cm, Düz Menteşe</t>
  </si>
  <si>
    <t>https://www.siemens-home.bsh-group.com/tr/tr/product/ankastre/ankastre-buzdolaplari-ve-sogutucular/KI87SAFE0N</t>
  </si>
  <si>
    <t>iQ500 Tezgah Altı Ankastre Buzdolabı, 82x59.8cm, softClosing Düz Menteşe</t>
  </si>
  <si>
    <t>https://www.siemens-home.bsh-group.com/tr/tr/product/buzdolaplari-ve-derin-dondurucular/ankastre-buzdolaplari-ve-derin-dondurucular/ankastre-buzdolaplari/KU21RADE0</t>
  </si>
  <si>
    <t>iQ500 Ankastre Şarap Soğutucu, 81.8x59.8cm</t>
  </si>
  <si>
    <t>https://www.siemens-home.bsh-group.com/tr/tr/product/ankastre/ankastre-buzdolaplari-ve-sogutucular/KU21WAHG0</t>
  </si>
  <si>
    <t>iQ100 Gömme Aspiratör, 53cm, 302m3, Gri</t>
  </si>
  <si>
    <t>https://www.siemens-home.bsh-group.com/tr/tr/product/ankastre/ankastre-davlumbazlar/LB53NAA30</t>
  </si>
  <si>
    <t>Davlumbaz/Aspiratör</t>
  </si>
  <si>
    <t>LB55565</t>
  </si>
  <si>
    <t>iQ300 Gömme Aspiratör, 53cm, 363m3, Metalik Gümüş</t>
  </si>
  <si>
    <t>https://www.siemens-home.bsh-group.com/tr/tr/product/ankastre/ankastre-davlumbazlar/LB55565</t>
  </si>
  <si>
    <t>iQ500 Gömme Aspiratör, 52cm, 570m3, Inox</t>
  </si>
  <si>
    <t>https://www.siemens-home.bsh-group.com/tr/tr/product/pisirme-grubu/davlumbazlar-ve-aspiratorler/entegre-ankastre-davlumbazlar/surgulu-aspiratorler/LB56NAC50</t>
  </si>
  <si>
    <t>LB57574</t>
  </si>
  <si>
    <t>iQ500 Gömme Aspiratör, 52cm, 560m3, Inox</t>
  </si>
  <si>
    <t>https://www.siemens-home.bsh-group.com/tr/tr/product/ankastre/ankastre-davlumbazlar/LB57574</t>
  </si>
  <si>
    <t>iQ100 Gömme Aspiratör, 73cm, 302m3, Gri</t>
  </si>
  <si>
    <t>https://www.siemens-home.bsh-group.com/tr/tr/product/pisirme-grubu/davlumbazlar-ve-aspiratorler/entegre-ankastre-davlumbazlar/surgulu-aspiratorler/LB73NAA30</t>
  </si>
  <si>
    <t>iQ300 Gömme Aspiratör, 75cm, 379m3, Metalik Gümüş</t>
  </si>
  <si>
    <t>https://www.siemens-home.bsh-group.com/tr/tr/product/ankastre/ankastre-davlumbazlar/LB75565</t>
  </si>
  <si>
    <t>iQ500 Gömme Aspiratör, 86cm, 600m3, Inox</t>
  </si>
  <si>
    <t>https://www.siemens-home.bsh-group.com/tr/tr/product/pisirme-grubu/davlumbazlar-ve-aspiratorler/entegre-ankastre-davlumbazlar/surgulu-aspiratorler/LB87NAC50</t>
  </si>
  <si>
    <t>LB88574</t>
  </si>
  <si>
    <t>iQ500 Gömme Aspiratör, 86cm, 630m3, Inox</t>
  </si>
  <si>
    <t>https://www.siemens-home.bsh-group.com/tr/tr/product/ankastre/ankastre-davlumbazlar/LB88574</t>
  </si>
  <si>
    <t>iQ700 Gömme Aspiratör, 86cm, 595m3, Siyah</t>
  </si>
  <si>
    <t>https://www.siemens-home.bsh-group.com/tr/tr/product/pisirme-grubu/davlumbazlar-ve-aspiratorler/entegre-ankastre-davlumbazlar/surgulu-aspiratorler/LB88NPC60</t>
  </si>
  <si>
    <t>iQ100 Eğimli Davlumbaz, 59cm, 360m3, Beyaz Cam</t>
  </si>
  <si>
    <t>https://www.siemens-home.bsh-group.com/tr/tr/product/pisirme-grubu/davlumbazlar-ve-aspiratorler/duvar-tipi-davlumbazlar/egimli-duvar-tipi-davlumbazlar/LC63KPJ20T</t>
  </si>
  <si>
    <t>iQ100 Eğimli Davlumbaz, 59cm, 360m3, Siyah Cam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</si>
  <si>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</si>
  <si>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</si>
  <si>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iQ100 Eğimli Davlumbaz, 60cm, 400m3, Beyaz Cam</t>
  </si>
  <si>
    <t>https://www.siemens-home.bsh-group.com/tr/tr/product/pisirme-grubu/davlumbazlar-ve-aspiratorler/duvar-tipi-davlumbazlar/egimli-duvar-tipi-davlumbazlar/LC64KPJ20T</t>
  </si>
  <si>
    <t>iQ100 Eğimli Davlumbaz, 60cm, 400m3, Siyah Cam</t>
  </si>
  <si>
    <t>https://www.siemens-home.bsh-group.com/tr/tr/product/pisirme-grubu/davlumbazlar-ve-aspiratorler/duvar-tipi-davlumbazlar/egimli-duvar-tipi-davlumbazlar/LC64KPJ60T</t>
  </si>
  <si>
    <t>iQ100 Eğimli Davlumbaz, 60cm, 400m3, Antrasit Gri Cam</t>
  </si>
  <si>
    <t>https://www.siemens-home.bsh-group.com/tr/tr/product/pisirme-grubu/davlumbazlar-ve-aspiratorler/duvar-tipi-davlumbazlar/egimli-duvar-tipi-davlumbazlar/LC64KPJ70T</t>
  </si>
  <si>
    <t>iQ100 Düz Davlumbaz, 60cm, 380m3, Beyaz</t>
  </si>
  <si>
    <t>https://www.siemens-home.bsh-group.com/tr/tr/product/ankastre/ankastre-davlumbazlar/LC64PCC20T</t>
  </si>
  <si>
    <t>iQ100 Düz Davlumbaz, 60cm, 380m3, Inox</t>
  </si>
  <si>
    <t>https://www.siemens-home.bsh-group.com/tr/tr/product/ankastre/ankastre-davlumbazlar/LC64PCC50T</t>
  </si>
  <si>
    <t>iQ100 Düz Davlumbaz, 60cm, 380m3, Siyah</t>
  </si>
  <si>
    <t>https://www.siemens-home.bsh-group.com/tr/tr/product/ankastre/ankastre-davlumbazlar/LC64PCC60T</t>
  </si>
  <si>
    <t>iQ100 Düz Davlumbaz, 60cm, 612m3, Paslanmaz Çelik</t>
  </si>
  <si>
    <t>https://www.siemens-home.bsh-group.com/tr/tr/product/ankastre/ankastre-davlumbazlar/LC65BBC50T</t>
  </si>
  <si>
    <t>iQ300 Düz Davlumbaz, 60cm, 649m3, Antrasit Gri Cam</t>
  </si>
  <si>
    <t>https://www.siemens-home.bsh-group.com/tr/tr/product/pisirme-grubu/davlumbazlar-ve-aspiratorler/duvar-tipi-davlumbazlar/duz-duvar-tipi-davlumbaz/LC65FCJ00T</t>
  </si>
  <si>
    <t>iQ300 Düz Davlumbaz, 60cm, 649m3, Beyaz Cam</t>
  </si>
  <si>
    <t>https://www.siemens-home.bsh-group.com/tr/tr/product/ankastre/ankastre-davlumbazlar/LC65FCJ20T</t>
  </si>
  <si>
    <t>iQ300 Düz Davlumbaz, 60cm, 649m3, Siyah Cam</t>
  </si>
  <si>
    <t>https://www.siemens-home.bsh-group.com/tr/tr/product/ankastre/ankastre-davlumbazlar/LC65FCJ60T</t>
  </si>
  <si>
    <t>LC65KA270T</t>
  </si>
  <si>
    <t>iQ300 Eğimli Davlumbaz, 60cm, 593m3, Beyaz</t>
  </si>
  <si>
    <t>https://www.siemens-home.bsh-group.com/tr/tr/product/ankastre/ankastre-davlumbazlar/LC65KA270T</t>
  </si>
  <si>
    <t>iQ300 Eğimli Davlumbaz, 60cm, 593m3, Siyah Cam</t>
  </si>
  <si>
    <t>https://www.siemens-home.bsh-group.com/tr/tr/product/ankastre/ankastre-davlumbazlar/LC65KA670T</t>
  </si>
  <si>
    <t>LC65KAJ00T</t>
  </si>
  <si>
    <t>iQ300 Eğimli Davlumbaz, 60cm, 616m3, Antrasit</t>
  </si>
  <si>
    <t>https://www.siemens-home.bsh-group.com/tr/tr/product/ankastre/ankastre-davlumbazlar/LC65KAJ00T</t>
  </si>
  <si>
    <t>LC65KAJ20T</t>
  </si>
  <si>
    <t>iQ300 Eğimli Davlumbaz, 60cm, 616m3, Beyaz</t>
  </si>
  <si>
    <t>https://www.siemens-home.bsh-group.com/tr/tr/product/ankastre/ankastre-davlumbazlar/LC65KAJ20T</t>
  </si>
  <si>
    <t>LC65KAJ30T</t>
  </si>
  <si>
    <t>iQ300 Eğimli Davlumbaz, 60cm, 638m3, Siyah Cam</t>
  </si>
  <si>
    <t>https://www.siemens-home.bsh-group.com/tr/tr/product/ankastre/ankastre-davlumbazlar/LC65KAJ30T</t>
  </si>
  <si>
    <t>LC65KAJ60T</t>
  </si>
  <si>
    <t>iQ300 Eğimli Davlumbaz, 60cm, 616m3, Siyah Cam</t>
  </si>
  <si>
    <t>https://www.siemens-home.bsh-group.com/tr/tr/product/ankastre/ankastre-davlumbazlar/LC65KAJ60T</t>
  </si>
  <si>
    <t>LC66BBM50</t>
  </si>
  <si>
    <t>iQ300 Düz Davlumbaz, 60cm, 368m3, Inox</t>
  </si>
  <si>
    <t>https://www.siemens-home.bsh-group.com/tr/tr/product/LC66BBM50</t>
  </si>
  <si>
    <t>LC66GCD60T</t>
  </si>
  <si>
    <t>iQ300 Düz Davlumbaz, 60cm, 620m3, Siyah/Cam</t>
  </si>
  <si>
    <t>https://www.siemens-home.bsh-group.com/tr/tr/product/LC66GCD60T</t>
  </si>
  <si>
    <t>iQ300 Eğimli Davlumbaz, 60cm, 510m3, Beyaz Cam</t>
  </si>
  <si>
    <t>https://www.siemens-home.bsh-group.com/tr/tr/product/pisirme-grubu/davlumbazlar-ve-aspiratorler/duvar-tipi-davlumbazlar/egimli-duvar-tipi-davlumbazlar/LC66KPJ20T</t>
  </si>
  <si>
    <t>iQ300 Eğimli Davlumbaz, 60cm, 510m3, Siyah Cam</t>
  </si>
  <si>
    <t>https://www.siemens-home.bsh-group.com/tr/tr/product/pisirme-grubu/davlumbazlar-ve-aspiratorler/duvar-tipi-davlumbazlar/egimli-duvar-tipi-davlumbazlar/LC66KPJ60T</t>
  </si>
  <si>
    <t>iQ300 Eğimli Davlumbaz, 60cm, 510m3, Antrasit Gri Cam</t>
  </si>
  <si>
    <t>https://www.siemens-home.bsh-group.com/tr/tr/product/pisirme-grubu/davlumbazlar-ve-aspiratorler/duvar-tipi-davlumbazlar/egimli-duvar-tipi-davlumbazlar/LC66KPJ70T</t>
  </si>
  <si>
    <t>iQ300 Düz Davlumbaz, 60cm, 582m3, Magnet Silver</t>
  </si>
  <si>
    <t>https://www.siemens-home.bsh-group.com/tr/tr/product/ankastre/ankastre-davlumbazlar/LC67BBK00T</t>
  </si>
  <si>
    <t>iQ300 Düz Davlumbaz, 60cm, 582m3, Beyaz/Inox</t>
  </si>
  <si>
    <t>https://www.siemens-home.bsh-group.com/tr/tr/product/ankastre/ankastre-davlumbazlar/LC67BBK20T</t>
  </si>
  <si>
    <t>iQ300 Düz Davlumbaz, 60cm, 582m3, Siyah/Inox</t>
  </si>
  <si>
    <t>https://www.siemens-home.bsh-group.com/tr/tr/product/kampanyalar/ankastre-set-indirim/davlumbazlar/LC67BBK60T</t>
  </si>
  <si>
    <t>LC67BBK70T</t>
  </si>
  <si>
    <t>iQ300 Düz Davlumbaz, 60cm, 582m3, Titanyum Gri/Inox</t>
  </si>
  <si>
    <t>https://www.siemens-home.bsh-group.com/tr/tr/product/ankastre/ankastre-davlumbazlar/LC67BBK70T</t>
  </si>
  <si>
    <t>LC67BHM50</t>
  </si>
  <si>
    <t>iQ300 Düz Davlumbaz, 60cm, 459m3, Inox</t>
  </si>
  <si>
    <t>https://www.siemens-home.bsh-group.com/tr/tr/product/LC67BHM50</t>
  </si>
  <si>
    <t>iQ500 Düz Davlumbaz, 60cm, 645m3, Beyaz Cam</t>
  </si>
  <si>
    <t>https://www.siemens-home.bsh-group.com/tr/tr/product/ankastre/ankastre-davlumbazlar/LC67FCK20T</t>
  </si>
  <si>
    <t>iQ500 Düz Davlumbaz, 60cm, 645m3, Siyah Cam</t>
  </si>
  <si>
    <t>https://www.siemens-home.bsh-group.com/tr/tr/product/ankastre/ankastre-davlumbazlar/LC67FCK60T</t>
  </si>
  <si>
    <t>iQ500 Eğimli Davlumbaz, 60cm, 510m3, Beyaz Cam</t>
  </si>
  <si>
    <t>https://www.siemens-home.bsh-group.com/tr/tr/product/pisirme-grubu/davlumbazlar-ve-aspiratorler/duvar-tipi-davlumbazlar/egimli-duvar-tipi-davlumbazlar/LC67KPJ20T</t>
  </si>
  <si>
    <t>iQ500 Eğimli Davlumbaz, 60cm, 700m3, Siyah Cam</t>
  </si>
  <si>
    <t>https://www.siemens-home.bsh-group.com/tr/tr/product/pisirme-grubu/davlumbazlar-ve-aspiratorler/duvar-tipi-davlumbazlar/egimli-duvar-tipi-davlumbazlar/LC67KPJ30T</t>
  </si>
  <si>
    <t>iQ500 Eğimli Davlumbaz, 60cm, 510m3, Siyah Cam</t>
  </si>
  <si>
    <t>https://www.siemens-home.bsh-group.com/tr/tr/product/pisirme-grubu/davlumbazlar-ve-aspiratorler/duvar-tipi-davlumbazlar/egimli-duvar-tipi-davlumbazlar/LC67KPJ60T</t>
  </si>
  <si>
    <t>iQ500 Eğimli Davlumbaz, 60cm, 510m3, Antrasit Gri Cam</t>
  </si>
  <si>
    <t>https://www.siemens-home.bsh-group.com/tr/tr/product/pisirme-grubu/davlumbazlar-ve-aspiratorler/duvar-tipi-davlumbazlar/egimli-duvar-tipi-davlumbazlar/LC67KPJ70T</t>
  </si>
  <si>
    <t>LC68KAK20T</t>
  </si>
  <si>
    <t>iQ500 Eğimli Davlumbaz, 60cm, 578m3, Inox/Beyaz Cam</t>
  </si>
  <si>
    <t>https://www.siemens-home.bsh-group.com/tr/tr/product/ankastre/ankastre-davlumbazlar/LC68KAK20T</t>
  </si>
  <si>
    <t>iQ500 Eğimli Davlumbaz, 60cm, 578m3, Siyah Cam</t>
  </si>
  <si>
    <t>https://www.siemens-home.bsh-group.com/tr/tr/product/ankastre/ankastre-davlumbazlar/LC68KAK60T</t>
  </si>
  <si>
    <t>iQ700 Eğimli Davlumbaz, 60cm, 616m3, Siyah Cam</t>
  </si>
  <si>
    <t>https://www.siemens-home.bsh-group.com/tr/tr/product/LC68KPK60T</t>
  </si>
  <si>
    <t>LC77BHM50</t>
  </si>
  <si>
    <t>iQ300 Düz Davlumbaz, 75cm, 454m3, Siyah/Inox</t>
  </si>
  <si>
    <t>https://www.siemens-home.bsh-group.com/tr/tr/product/ankastre/ankastre-davlumbazlar/LC77BHM50</t>
  </si>
  <si>
    <t>iQ700 Eğimli Davlumbaz, 90cm, 441m3, Siyah Cam</t>
  </si>
  <si>
    <t>https://www.siemens-home.bsh-group.com/tr/tr/product/pisirme-grubu/davlumbazlar-ve-aspiratorler/duvar-tipi-davlumbazlar/egimli-duvar-tipi-davlumbazlar/LC91KLT60</t>
  </si>
  <si>
    <t>iQ700 studioLine Eğimli Davlumbaz, 90cm, 441m3, Siyah Cam</t>
  </si>
  <si>
    <t>https://www.siemens-home.bsh-group.com/tr/tr/product/pisirme-grubu/davlumbazlar-ve-aspiratorler/duvar-tipi-davlumbazlar/egimli-duvar-tipi-davlumbazlar/LC91KLT65</t>
  </si>
  <si>
    <t>iQ100 Düz Davlumbaz, 90cm, 616m3, Inox</t>
  </si>
  <si>
    <t>https://www.siemens-home.bsh-group.com/tr/tr/product/ankastre/ankastre-davlumbazlar/LC95BBC50T</t>
  </si>
  <si>
    <t>iQ300 Düz Davlumbaz, 90cm, 649m3, Antrasit Gri Cam</t>
  </si>
  <si>
    <t>https://www.siemens-home.bsh-group.com/tr/tr/product/pisirme-grubu/davlumbazlar-ve-aspiratorler/duvar-tipi-davlumbazlar/duz-duvar-tipi-davlumbaz/LC95FCJ00T</t>
  </si>
  <si>
    <t>iQ300 Düz Davlumbaz, 90cm, 649m3, Beyaz Cam</t>
  </si>
  <si>
    <t>https://www.siemens-home.bsh-group.com/tr/tr/product/ankastre/ankastre-davlumbazlar/LC95FCJ20T</t>
  </si>
  <si>
    <t>https://www.siemens-home.bsh-group.com/tr/tr/product/ankastre/ankastre-davlumbazlar/LC95FCJ60T</t>
  </si>
  <si>
    <t>iQ300 Düz Davlumbaz, 90cm, 649m3, Titanyum Gri Cam</t>
  </si>
  <si>
    <t>https://www.siemens-home.bsh-group.com/tr/tr/product/ankastre/ankastre-davlumbazlar/LC95FCJ70T</t>
  </si>
  <si>
    <t>iQ300 Eğimli Davlumbaz, 90cm, 629m3, Beyaz Cam</t>
  </si>
  <si>
    <t>https://www.siemens-home.bsh-group.com/tr/tr/product/ankastre/ankastre-davlumbazlar/LC95KA270T</t>
  </si>
  <si>
    <t>iQ300 Eğimli Davlumbaz, 90cm, 629m3, Siyah Cam</t>
  </si>
  <si>
    <t>https://www.siemens-home.bsh-group.com/tr/tr/product/ankastre/ankastre-davlumbazlar/LC95KA670T</t>
  </si>
  <si>
    <t>iQ300 Düz Davlumbaz, 90cm, 468m3, Inox</t>
  </si>
  <si>
    <t>https://www.siemens-home.bsh-group.com/tr/tr/product/ankastre/ankastre-davlumbazlar/LC97BBM50T</t>
  </si>
  <si>
    <t>iQ500 Düz Davlumbaz, 90cm, 394m3, Siyah Cam</t>
  </si>
  <si>
    <t>https://www.siemens-home.bsh-group.com/tr/tr/product/LC97FQP60</t>
  </si>
  <si>
    <t>LC97FVP60</t>
  </si>
  <si>
    <t>iQ700 Düz Davlumbaz, 90cm, 394m3, Siyah Cam</t>
  </si>
  <si>
    <t>https://www.siemens-home.bsh-group.com/tr/tr/product/LC97FVP60</t>
  </si>
  <si>
    <t>https://www.siemens-home.bsh-group.com/tr/tr/product/ankastre/ankastre-davlumbazlar/LC97FVW60</t>
  </si>
  <si>
    <t>iQ500 Eğimli Davlumbaz, 90cm, 510m3, Beyaz Cam</t>
  </si>
  <si>
    <t>https://www.siemens-home.bsh-group.com/tr/tr/product/pisirme-grubu/davlumbazlar-ve-aspiratorler/duvar-tipi-davlumbazlar/egimli-duvar-tipi-davlumbazlar/LC97KPJ20T</t>
  </si>
  <si>
    <t>iQ500 Eğimli Davlumbaz, 90cm, 510m3, Siyah Cam</t>
  </si>
  <si>
    <t>https://www.siemens-home.bsh-group.com/tr/tr/product/pisirme-grubu/davlumbazlar-ve-aspiratorler/duvar-tipi-davlumbazlar/egimli-duvar-tipi-davlumbazlar/LC97KPJ60T</t>
  </si>
  <si>
    <t>iQ500 Eğimli Davlumbaz, 90cm, 510m3, Antrasit Gri Cam</t>
  </si>
  <si>
    <t>https://www.siemens-home.bsh-group.com/tr/tr/product/pisirme-grubu/davlumbazlar-ve-aspiratorler/duvar-tipi-davlumbazlar/egimli-duvar-tipi-davlumbazlar/LC97KPJ70T</t>
  </si>
  <si>
    <t>iQ500 Düz Davlumbaz, 90cm, 430m3, Inox</t>
  </si>
  <si>
    <t>https://www.siemens-home.bsh-group.com/tr/tr/product/LC98GA542</t>
  </si>
  <si>
    <t>iQ500 Eğimli Davlumbaz, 90cm, 370m3, Cam Dekorlu Inox</t>
  </si>
  <si>
    <t>https://www.siemens-home.bsh-group.com/tr/tr/product/LC98KC542</t>
  </si>
  <si>
    <t>iQ500 Eğimli Davlumbaz, 90cm, 468m3, Siyah Cam</t>
  </si>
  <si>
    <t>https://www.siemens-home.bsh-group.com/tr/tr/product/ankastre/ankastre-davlumbazlar/LC98KLR61S</t>
  </si>
  <si>
    <t>iQ700 studioLine Tezgaha Entegre Davlumbaz, 80cm, Siyah/Cam</t>
  </si>
  <si>
    <t>https://www.siemens-home.bsh-group.com/tr/tr/product/pisirme-grubu/davlumbazlar-ve-aspiratorler/tezgah-havalandirma-cozumleri/downdraftair-sistemi/LD88WMM65</t>
  </si>
  <si>
    <t>iQ300 Ada Tipi Davlumbaz, 90cm, 438m3, Inox</t>
  </si>
  <si>
    <t>https://www.siemens-home.bsh-group.com/tr/tr/product/pisirme-grubu/davlumbazlar-ve-aspiratorler/ada-ve-tavan-tipi-davlumbazlar/ada-tipi-bacali-davlumbazlar/LF97BBM50</t>
  </si>
  <si>
    <t>iQ500 studioLine Ada Tipi Davlumbaz, 90cm, Inox</t>
  </si>
  <si>
    <t>https://www.siemens-home.bsh-group.com/tr/tr/product/pisirme-grubu/davlumbazlar-ve-aspiratorler/ada-ve-tavan-tipi-davlumbazlar/ada-tipi-bacali-davlumbazlar/LF98BIR55</t>
  </si>
  <si>
    <t>iQ100 Teleskopik Aspiratör, 60cm, 310m3, Gümüş</t>
  </si>
  <si>
    <t>https://www.siemens-home.bsh-group.com/tr/tr/product/ankastre/ankastre-davlumbazlar/LI63TCA11T</t>
  </si>
  <si>
    <t>iQ100 Teleskopik Aspiratör, 60cm, 310m3, Beyaz</t>
  </si>
  <si>
    <t>https://www.siemens-home.bsh-group.com/tr/tr/product/ankastre/ankastre-davlumbazlar/LI63TCA21T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</si>
  <si>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</si>
  <si>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</si>
  <si>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</si>
  <si>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</si>
  <si>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</si>
  <si>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</si>
  <si>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iQ700 studioLine Tavan Tipi Davlumbaz, 105cm, Siyah</t>
  </si>
  <si>
    <t>https://www.siemens-home.bsh-group.com/tr/tr/product/ankastre/ankastre-davlumbazlar/LR18HLT65</t>
  </si>
  <si>
    <t>Siemens El Blenderı ergonomicEdition, 600w, Beyaz/Mavi</t>
  </si>
  <si>
    <t>https://www.siemens-home.bsh-group.com/tr/tr/product/MQ66120</t>
  </si>
  <si>
    <t>Siemens El Blenderı, 600w, Beyaz/Mavi</t>
  </si>
  <si>
    <t>https://www.siemens-home.bsh-group.com/tr/tr/product/MQ66155</t>
  </si>
  <si>
    <t>Siemens El Blenderı FQ.1, 750w, Siyah/Gri</t>
  </si>
  <si>
    <t>https://www.siemens-home.bsh-group.com/tr/tr/product/MQ67110</t>
  </si>
  <si>
    <t>MQ67185</t>
  </si>
  <si>
    <t>El Blender Seti, 750w, Siyah</t>
  </si>
  <si>
    <t>https://www.siemens-home.bsh-group.com/tr/tr/product/MQ67185</t>
  </si>
  <si>
    <t>Siemens El Mikseri, 450w, Beyaz/Antrasit</t>
  </si>
  <si>
    <t>https://www.siemens-home.bsh-group.com/tr/tr/product/MQ955PE</t>
  </si>
  <si>
    <t>Siemens El Mikseri, 450w, Beyaz/Mavi</t>
  </si>
  <si>
    <t>https://www.siemens-home.bsh-group.com/tr/tr/product/MQ96400</t>
  </si>
  <si>
    <t>El Mikser Seti, 500w, Siyah</t>
  </si>
  <si>
    <t>https://www.siemens-home.bsh-group.com/tr/tr/product/MQ96580</t>
  </si>
  <si>
    <t>MR008B1</t>
  </si>
  <si>
    <t>Siemens Doğrayıcı, 400w, Siyah/Gri</t>
  </si>
  <si>
    <t>https://www.siemens-home.bsh-group.com/tr/tr/product/MR008B1</t>
  </si>
  <si>
    <t>PHLTVLED/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</si>
  <si>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</si>
  <si>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</si>
  <si>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</si>
  <si>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</si>
  <si>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</si>
  <si>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</si>
  <si>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PHLTVLED/030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</si>
  <si>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</si>
  <si>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</si>
  <si>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</si>
  <si>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https://www.epey.com/televizyon/philips-65pus8548.html</t>
  </si>
  <si>
    <t>PHLTVLED/032</t>
  </si>
  <si>
    <t>Philips 55" 4K Ambilight LED TV (Android) (55PUS8848/62)</t>
  </si>
  <si>
    <t>https://www.epey.com/televizyon/philips-55pus8848.html</t>
  </si>
  <si>
    <t>SHAZA Akım Korumalı Akıllı Priz (Beyaz)</t>
  </si>
  <si>
    <t>https://shaza.com.tr/shaza-akim-korumali-akilli-priz</t>
  </si>
  <si>
    <t>Shaza</t>
  </si>
  <si>
    <t>SHAZA Akım Korumalı Üçlü Priz (Beyaz)</t>
  </si>
  <si>
    <t>https://shaza.com.tr/shaza-akim-korumali-uclu-priz</t>
  </si>
  <si>
    <t>SE23IW60MT</t>
  </si>
  <si>
    <t>iQ300 Solo Bulaşık Makinesi, Üstten Sepetli, Beyaz</t>
  </si>
  <si>
    <t>https://www.siemens-home.bsh-group.com/tr/tr/product/SE23IW60MT</t>
  </si>
  <si>
    <t>Bulaşık Makinesi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</si>
  <si>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</si>
  <si>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</si>
  <si>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</si>
  <si>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</si>
  <si>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</si>
  <si>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</si>
  <si>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iQ100 Solo Bulaşık Makinesi, Inox</t>
  </si>
  <si>
    <t>https://www.siemens-home.bsh-group.com/tr/tr/product/bulasik-makineleri/solo-bulasik-makineleri/tam-ebatli-bulasik-makineleri-60cm/SN216I00DT</t>
  </si>
  <si>
    <t>iQ100 Solo Bulaşık Makinesi, Beyaz</t>
  </si>
  <si>
    <t>https://www.siemens-home.bsh-group.com/tr/tr/product/bulasik-makineleri/solo-bulasik-makineleri/tam-ebatli-bulasik-makineleri-60cm/SN216W00DT</t>
  </si>
  <si>
    <t>SN234I01DT</t>
  </si>
  <si>
    <t>iQ300 Solo Bulaşık Makinesi, Inox</t>
  </si>
  <si>
    <t>https://www.siemens-home.bsh-group.com/tr/tr/product/prsiemensdw/SN234I01DT</t>
  </si>
  <si>
    <t>iQ500 Solo Bulaşık Makinesi, autoOpen dry, Inox</t>
  </si>
  <si>
    <t>https://www.siemens-home.bsh-group.com/tr/tr/product/bulasik-makineleri/solo-bulasik-makineleri/tam-ebatli-bulasik-makineleri-60cm/SN23EI62KT</t>
  </si>
  <si>
    <t>SN23EW62KT</t>
  </si>
  <si>
    <t>iQ500 Solo Bulaşık Makinesi, autoOpen dry, Beyaz</t>
  </si>
  <si>
    <t>https://www.siemens-home.bsh-group.com/tr/tr/product/bulasik-makineleri/solo-bulasik-makineleri/tam-ebatli-bulasik-makineleri-60cm/SN23EW62KT</t>
  </si>
  <si>
    <t>iQ300 Solo Bulaşık Makinesi, autoOpen dry, Beyaz</t>
  </si>
  <si>
    <t>https://www.siemens-home.bsh-group.com/tr/tr/product/bulasik-makineleri/solo-bulasik-makineleri/tam-ebatli-bulasik-makineleri-60cm/SN23EW63KT</t>
  </si>
  <si>
    <t>iQ500 Solo Bulaşık Makinesi, Üstten Sepetli, Siyah Cam</t>
  </si>
  <si>
    <t>https://www.siemens-home.bsh-group.com/tr/tr/product/bulasik-makineleri/solo-bulasik-makineleri/tam-ebatli-bulasik-makineleri-60cm/SN23HB62MT</t>
  </si>
  <si>
    <t>SN23HW60MT</t>
  </si>
  <si>
    <t>iQ500 Solo Bulaşık Makinesi, Üstten Sepetli, Beyaz Cam</t>
  </si>
  <si>
    <t>https://www.siemens-home.bsh-group.com/tr/tr/product/prsiemensdw/SN23HW60MT</t>
  </si>
  <si>
    <t>https://www.siemens-home.bsh-group.com/tr/tr/product/bulasik-makineleri/solo-bulasik-makineleri/tam-ebatli-bulasik-makineleri-60cm/SN23HW62MT</t>
  </si>
  <si>
    <t>iQ500 Solo Bulaşık Makinesi, Üstten Sepetli, Antrasit Cam</t>
  </si>
  <si>
    <t>https://www.siemens-home.bsh-group.com/tr/tr/product/bulasik-makineleri/solo-bulasik-makineleri/tam-ebatli-bulasik-makineleri-60cm/SN23HY62MT</t>
  </si>
  <si>
    <t>iQ300 Solo Bulaşık Makinesi, Üstten Sepetli, darkSteel</t>
  </si>
  <si>
    <t>https://www.siemens-home.bsh-group.com/tr/tr/product/bulasik-makineleri/solo-bulasik-makineleri/tam-ebatli-bulasik-makineleri-60cm/SN23IC62MT</t>
  </si>
  <si>
    <t>https://www.siemens-home.bsh-group.com/tr/tr/product/bulasik-makineleri/siemens-finish-isbirligi-bulasik-makineleri/SN23II51KT</t>
  </si>
  <si>
    <t>SN23II60KT</t>
  </si>
  <si>
    <t>https://www.siemens-home.bsh-group.com/tr/tr/product/SN23II60KT</t>
  </si>
  <si>
    <t>https://www.siemens-home.bsh-group.com/tr/tr/product/bulasik-makineleri/solo-bulasik-makineleri/tam-ebatli-bulasik-makineleri-60cm/SN23II62KT</t>
  </si>
  <si>
    <t>iQ300 Solo Bulaşık Makinesi, Üstten Sepetli, Inox</t>
  </si>
  <si>
    <t>https://www.siemens-home.bsh-group.com/tr/tr/product/bulasik-makineleri/solo-bulasik-makineleri/tam-ebatli-bulasik-makineleri-60cm/SN23II62MT</t>
  </si>
  <si>
    <t>SN23IW60MT</t>
  </si>
  <si>
    <t>iQ300 Solo Bulaşık Makinesi, Beyaz</t>
  </si>
  <si>
    <t>https://www.siemens-home.bsh-group.com/tr/tr/product/prsiemensdw/SN23IW60MT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</si>
  <si>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</si>
  <si>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</si>
  <si>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</si>
  <si>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iQ500 Solo Bulaşık Makinesi, autoOpen dry, Üstten Sepetli, Inox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</si>
  <si>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</si>
  <si>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https://www.siemens-home.bsh-group.com/tr/tr/product/bulasik-makineleri/solo-bulasik-makineleri/tam-ebatli-bulasik-makineleri-60cm/SN25EI70MT</t>
  </si>
  <si>
    <t>SN25EI80AT</t>
  </si>
  <si>
    <t>https://www.siemens-home.bsh-group.com/tr/tr/product/prsiemensdw/SN25EI80AT</t>
  </si>
  <si>
    <t>https://www.siemens-home.bsh-group.com/tr/tr/product/bulasik-makineleri/solo-bulasik-makineleri/tam-ebatli-bulasik-makineleri-60cm/SN25EI82AT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</si>
  <si>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</si>
  <si>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</si>
  <si>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https://www.siemens-home.bsh-group.com/tr/tr/product/bulasik-makineleri/solo-bulasik-makineleri/tam-ebatli-bulasik-makineleri-60cm/SN25EW63KT</t>
  </si>
  <si>
    <t>iQ500 Solo Bulaşık Makinesi, autoOpen dry, Üstten Sepetli, Beyaz</t>
  </si>
  <si>
    <t>https://www.siemens-home.bsh-group.com/tr/tr/product/bulasik-makineleri/solo-bulasik-makineleri/tam-ebatli-bulasik-makineleri-60cm/SN25EW70MT</t>
  </si>
  <si>
    <t>SN25HI80MT</t>
  </si>
  <si>
    <t>iQ500 Solo Bulaşık Makinesi, Üstten Sepetli, Inox</t>
  </si>
  <si>
    <t>https://www.siemens-home.bsh-group.com/tr/tr/product/prsiemensdw/SN25HI80MT</t>
  </si>
  <si>
    <t>iQ500 Solo Bulaşık Makinesi, Üstten Sepetli, Beyaz</t>
  </si>
  <si>
    <t>https://www.siemens-home.bsh-group.com/tr/tr/product/prsiemensdw/SN25HW80MT</t>
  </si>
  <si>
    <t>iQ700 Solo Bulaşık Makinesi, Zeolith dry, glassZone, Inox</t>
  </si>
  <si>
    <t>https://www.siemens-home.bsh-group.com/tr/tr/product/bulasik-makineleri/solo-bulasik-makineleri/tam-ebatli-bulasik-makineleri-60cm/SN27YI82DT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</si>
  <si>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</si>
  <si>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</si>
  <si>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Ankastre Bulaşık Makinesi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</si>
  <si>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</si>
  <si>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</si>
  <si>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SN515B00DT</t>
  </si>
  <si>
    <t>iQ100 Yarı Ankastre Bulaşık Makinesi, Siyah</t>
  </si>
  <si>
    <t>https://www.siemens-home.bsh-group.com/tr/tr/product/SN515B00DT</t>
  </si>
  <si>
    <t>SN515B01DT</t>
  </si>
  <si>
    <t>https://www.siemens-home.bsh-group.com/tr/tr/product/ankastre/ankastre-bulasik-makineleri/SN515B01DT</t>
  </si>
  <si>
    <t>SN515S01DT</t>
  </si>
  <si>
    <t>iQ100 Yarı Ankastre Bulaşık Makinesi, Inox</t>
  </si>
  <si>
    <t>https://www.siemens-home.bsh-group.com/tr/tr/product/ankastre/ankastre-bulasik-makineleri/SN515S01DT</t>
  </si>
  <si>
    <t>iQ100 Yarı Ankastre Bulaşık Makinesi, Beyaz</t>
  </si>
  <si>
    <t>https://www.siemens-home.bsh-group.com/tr/tr/product/SN515W00DT</t>
  </si>
  <si>
    <t>https://www.siemens-home.bsh-group.com/tr/tr/product/ankastre/ankastre-bulasik-makineleri/SN515W01DT</t>
  </si>
  <si>
    <t>iQ300 Yarı Ankastre Bulaşık Makinesi, Siyah/Inox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</si>
  <si>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</si>
  <si>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https://www.siemens-home.bsh-group.com/tr/tr/product/bulasik-makineleri/ankastre-bulasik-makineleri/yari-ankastre-bulasik-makineleri/semi-integrated-dishwashers-60-cm-width/SN53IS50KT</t>
  </si>
  <si>
    <t>SN53IS60MT</t>
  </si>
  <si>
    <t>iQ500 Yarı Ankastre Bulaşık Makinesi, Üstten Sepetli, Inox</t>
  </si>
  <si>
    <t>https://www.siemens-home.bsh-group.com/tr/tr/product/SN53IS60MT</t>
  </si>
  <si>
    <t>https://www.siemens-home.bsh-group.com/tr/tr/product/bulasik-makineleri/ankastre-bulasik-makineleri/yari-ankastre-bulasik-makineleri/semi-integrated-dishwashers-60-cm-width/SN53IS62MT</t>
  </si>
  <si>
    <t>iQ300 Yarı Ankastre Bulaşık Makinesi, Beyaz/Inox</t>
  </si>
  <si>
    <t>https://www.siemens-home.bsh-group.com/tr/tr/product/bulasik-makineleri/ankastre-bulasik-makineleri/yari-ankastre-bulasik-makineleri/semi-integrated-dishwashers-60-cm-width/SN53IW50KT</t>
  </si>
  <si>
    <t>SN55ES80KT</t>
  </si>
  <si>
    <t>iQ500 Yarı Ankastre Bulaşık Makinesi, autoOpen dry, Siyah/Inox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</si>
  <si>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</si>
  <si>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</si>
  <si>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iQ700 Yarı Ankastre Bulaşık Makinesi, Zeolith dry, Siyah/Inox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</si>
  <si>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</si>
  <si>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</si>
  <si>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SN615X01DT</t>
  </si>
  <si>
    <t>iQ100 Tam Ankastre Bulaşık Makinesi</t>
  </si>
  <si>
    <t>https://www.siemens-home.bsh-group.com/tr/tr/product/ankastre/ankastre-bulasik-makineleri/SN615X01DT</t>
  </si>
  <si>
    <t>https://www.siemens-home.bsh-group.com/tr/tr/product/bulasik-makineleri/ankastre-bulasik-makineleri/tam-ankastre-bulasik-makineleri/fully-integrated-60-cm-width/SN616X00DT</t>
  </si>
  <si>
    <t>SN61IX01KT</t>
  </si>
  <si>
    <t>https://www.siemens-home.bsh-group.com/tr/tr/product/ankastre/ankastre-bulasik-makineleri/SN61IX01KT</t>
  </si>
  <si>
    <t>SN63HX60MT</t>
  </si>
  <si>
    <t>iQ300 Tam Ankastre Bulaşık Makinesi, Üstten Sepetli</t>
  </si>
  <si>
    <t>https://www.siemens-home.bsh-group.com/tr/tr/product/SN63HX60MT</t>
  </si>
  <si>
    <t>iQ500 Tam Ankastre Bulaşık Makinesi, Üstten Sepetli</t>
  </si>
  <si>
    <t>https://www.siemens-home.bsh-group.com/tr/tr/product/bulasik-makineleri/ankastre-bulasik-makineleri/tam-ankastre-bulasik-makineleri/fully-integrated-60-cm-width/SN63HX62MT</t>
  </si>
  <si>
    <t>SN63IX62MT</t>
  </si>
  <si>
    <t>https://www.siemens-home.bsh-group.com/tr/tr/product/ankastre/ankastre-bulasik-makineleri/SN63IX62MT</t>
  </si>
  <si>
    <t>https://www.siemens-home.bsh-group.com/tr/tr/product/bulasik-makineleri/ankastre-bulasik-makineleri/tam-ankastre-bulasik-makineleri/fully-integrated-60-cm-width/SN65EX62MT</t>
  </si>
  <si>
    <t>SN75EX11CE</t>
  </si>
  <si>
    <t>iQ500 Tam Ankastre Bulaşık Makinesi, autoOpen dry, glassZone, Üstten Sepetli</t>
  </si>
  <si>
    <t>https://www.siemens-home.bsh-group.com/tr/tr/product/bulasik-makineleri/ankastre-bulasik-makineleri/tam-ankastre-bulasik-makineleri/fully-integrated-60-cm-width/SN75EX11CE</t>
  </si>
  <si>
    <t>https://www.siemens-home.bsh-group.com/tr/tr/productservice/SN75EX23CE-66</t>
  </si>
  <si>
    <t>SN85E800BE</t>
  </si>
  <si>
    <t>iQ500 studioLine Tam Ankastre Bulaşık Makinesi, autoOpen dry, glassZone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</si>
  <si>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</si>
  <si>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</si>
  <si>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https://www.siemens-home.bsh-group.com/tr/tr/product/bulasik-makineleri/ankastre-bulasik-makineleri/tam-ankastre-bulasik-makineleri/fully-integrated-60-cm-width/SN85E803BE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</si>
  <si>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</si>
  <si>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</si>
  <si>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</si>
  <si>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iQ700 studioLine Tam Ankastre Bulaşık Makinesi, Zeolith dry, glassZone</t>
  </si>
  <si>
    <t>https://www.siemens-home.bsh-group.com/tr/tr/product/bulasik-makineleri/ankastre-bulasik-makineleri/tam-ankastre-bulasik-makineleri/fully-integrated-60-cm-width/SN97T801BE</t>
  </si>
  <si>
    <t>iQ500 Tam Ankastre Bulaşık Makinesi, autoOpen dry, glassZone, XXL 86,5 - 92,5cm</t>
  </si>
  <si>
    <t>https://www.siemens-home.bsh-group.com/tr/tr/product/bulasik-makineleri/ankastre-bulasik-makineleri/tam-ankastre-bulasik-makineleri/fully-integrated-60-cm-width/SX95EX12CE</t>
  </si>
  <si>
    <t>https://www.siemens-home.bsh-group.com/tr/tr/product/SX95EX22CE</t>
  </si>
  <si>
    <t>Siemens Bulaşık Makinesi 3. Tepsi</t>
  </si>
  <si>
    <t>https://www.siemens-home.bsh-group.com/tr/tr/productservice/SZ36RB04(00)</t>
  </si>
  <si>
    <t>Siemens Çay Makinesi</t>
  </si>
  <si>
    <t>https://www.siemens-home.bsh-group.com/tr/tr/product/TA22005</t>
  </si>
  <si>
    <t>Siemens Filtre Kahve Makinesi</t>
  </si>
  <si>
    <t>https://www.siemens-home.bsh-group.com/tr/tr/product/TC86505</t>
  </si>
  <si>
    <t>EQ6 plus s100 Tam Otomatik Kahve Makinesi, Metalik Elmas Titanyum</t>
  </si>
  <si>
    <t>https://www.siemens-home.bsh-group.com/tr/tr/product/kahve-makineleri/tam-otomatik-kahve-makineleri/eq6-plus-tam-otomatik-kahve-makineleri/TE651209RW</t>
  </si>
  <si>
    <t>EQ6 plus s100 Tam Otomatik Kahve Makinesi, Metalik Safir Siyahı</t>
  </si>
  <si>
    <t>https://www.siemens-home.bsh-group.com/tr/tr/product/kucuk-ev-aletleri/TE651319RW</t>
  </si>
  <si>
    <t>EQ6 plus s300 Tam Otomatik Kahve Makinesi, Gümüş</t>
  </si>
  <si>
    <t>https://www.siemens-home.bsh-group.com/tr/tr/product/TE653311RW</t>
  </si>
  <si>
    <t>EQ6 plus s500 Tam Otomatik Kahve Makinesi, Sabah Sisi Grisi</t>
  </si>
  <si>
    <t>https://www.siemens-home.bsh-group.com/tr/tr/product/kampanyalar/online-ozel-kahve-makineleri/TE655203RW</t>
  </si>
  <si>
    <t>EQ6 plus s700 Tam Otomatik Kahve Makinesi, DarkInox/Siyah</t>
  </si>
  <si>
    <t>https://www.siemens-home.bsh-group.com/tr/tr/product/kahve-makineleri/tam-otomatik-kahve-makineleri/eq6-plus-tam-otomatik-kahve-makineleri/TE657319RW</t>
  </si>
  <si>
    <t>EQ300 Tam Otomatik Kahve Makinesi, Siyah</t>
  </si>
  <si>
    <t>https://www.siemens-home.bsh-group.com/tr/tr/product/kucuk-ev-aletleri/TI351209RW</t>
  </si>
  <si>
    <t>EQ300 Tam Otomatik Kahve Makinesi, Şampanya/Siyah</t>
  </si>
  <si>
    <t>https://www.siemens-home.bsh-group.com/tr/tr/product/TI353204RW</t>
  </si>
  <si>
    <t>EQ9 s300 Tam Otomatik Kahve Makinesi, Siyah</t>
  </si>
  <si>
    <t>https://www.siemens-home.bsh-group.com/tr/tr/product/TI923309RW</t>
  </si>
  <si>
    <t>EQ9 plus connect s500 Tam Otomatik Kahve Makinesi, Siyah</t>
  </si>
  <si>
    <t>https://www.siemens-home.bsh-group.com/tr/tr/product/TI9553X9RW</t>
  </si>
  <si>
    <t>EQ500 classic Tam Otomatik Kahve Makinesi, Piyano Siyahı</t>
  </si>
  <si>
    <t>https://www.siemens-home.bsh-group.com/tr/tr/product/kucuk-ev-aletleri/TP501R09</t>
  </si>
  <si>
    <t>https://www.siemens-home.bsh-group.com/tr/tr/product/kucuk-ev-aletleri/TP503R09</t>
  </si>
  <si>
    <t>EQ500 classic Tam Otomatik Kahve Makinesi, Metalik Inox/Gümüş</t>
  </si>
  <si>
    <t>https://www.siemens-home.bsh-group.com/tr/tr/product/kucuk-ev-aletleri/TP505R01</t>
  </si>
  <si>
    <t>EQ500 classic Tam Otomatik Kahve Makinesi, Sabah Sisi Grisi</t>
  </si>
  <si>
    <t>https://www.siemens-home.bsh-group.com/tr/tr/product/TP507R04</t>
  </si>
  <si>
    <t>EQ500 classic connect Tam Otomatik Kahve Makinesi, Inox/Siyah</t>
  </si>
  <si>
    <t>https://www.siemens-home.bsh-group.com/tr/tr/product/kahve-makineleri/tam-otomatik-kahve-makineleri/eq500-tam-otomatik-kahve-makineleri/TP516RX3</t>
  </si>
  <si>
    <t>EQ500 classic Tam Otomatik Kahve Makinesi, Inox/Siyah</t>
  </si>
  <si>
    <t>https://www.siemens-home.bsh-group.com/tr/tr/product/kahve-makineleri/tam-otomatik-kahve-makineleri/eq500-tam-otomatik-kahve-makineleri/TP517R03</t>
  </si>
  <si>
    <t>EQ700 classic Tam Otomatik Kahve Makinesi, Piyano Siyahı</t>
  </si>
  <si>
    <t>https://www.siemens-home.bsh-group.com/tr/tr/product/kucuk-ev-aletleri/TP703R09</t>
  </si>
  <si>
    <t>TP703R19</t>
  </si>
  <si>
    <t>https://www.siemens-home.bsh-group.com/tr/tr/product/kucuk-ev-aletleri/TP703R19</t>
  </si>
  <si>
    <t>https://www.siemens-home.bsh-group.com/tr/tr/product/kahve-makineleri/tam-otomatik-kahve-makineleri/eq700/TP713R19</t>
  </si>
  <si>
    <t>EQ500 integral Tam Otomatik Kahve Makinesi, Metalik Safir Siyahı</t>
  </si>
  <si>
    <t>https://www.siemens-home.bsh-group.com/tr/tr/product/kucuk-ev-aletleri/TQ505R09</t>
  </si>
  <si>
    <t>EQ500 integral Tam Otomatik Kahve Makinesi, Inox</t>
  </si>
  <si>
    <t>https://www.siemens-home.bsh-group.com/tr/tr/product/TQ507R02</t>
  </si>
  <si>
    <t>EQ700 integral Tam Otomatik Kahve Makinesi, Metalik Inox/Gümüş</t>
  </si>
  <si>
    <t>https://www.siemens-home.bsh-group.com/tr/tr/product/kucuk-ev-aletleri/TQ703R07</t>
  </si>
  <si>
    <t>EQ700 Tam Otomatik Kahve Makinesi, Paslanmaz Çelik</t>
  </si>
  <si>
    <t>https://www.siemens-home.bsh-group.com/tr/tr/product/kahve-makineleri/tam-otomatik-kahve-makineleri/eq700/TQ713R03</t>
  </si>
  <si>
    <t>EQ900 Tam Otomatik Kahve Makinesi, Paslanmaz Çelik</t>
  </si>
  <si>
    <t>https://www.siemens-home.bsh-group.com/tr/tr/product/kahve-makineleri/tam-otomatik-kahve-makineleri/eq900/TQ905R03</t>
  </si>
  <si>
    <t>EQ900 plus Tam Otomatik Kahve Makinesi, Inox</t>
  </si>
  <si>
    <t>https://www.siemens-home.bsh-group.com/tr/tr/product/kahve-makineleri/tam-otomatik-kahve-makineleri/eq900/TQ907RZ3</t>
  </si>
  <si>
    <t>TT86103</t>
  </si>
  <si>
    <t>Siemens Ekmek Kızartma Makinesi, 860w, Siyah/Inox</t>
  </si>
  <si>
    <t>https://www.siemens-home.bsh-group.com/tr/tr/product/TT86103</t>
  </si>
  <si>
    <t>TW3A0103</t>
  </si>
  <si>
    <t>Siemens Kettle series300 Su Isıtıcı, 1.7L, Siyah</t>
  </si>
  <si>
    <t>https://www.siemens-home.bsh-group.com/tr/tr/product/TW3A0103</t>
  </si>
  <si>
    <t>Temizleme Tableti</t>
  </si>
  <si>
    <t>https://www.siemens-home.bsh-group.com/tr/tr/product/kahve-makineleri/aksesuarlar/TZ80001A</t>
  </si>
  <si>
    <t>Kireç Temizleme Tableti</t>
  </si>
  <si>
    <t>https://www.siemens-home.bsh-group.com/tr/tr/product/kahve-makineleri/aksesuarlar/TZ80002A</t>
  </si>
  <si>
    <t>VCH6XTRM</t>
  </si>
  <si>
    <t>Siemens Dikey Şarjlı Süpürge, Siyah</t>
  </si>
  <si>
    <t>https://www.siemens-home.bsh-group.com/tr/tr/product/VCH6XTRM</t>
  </si>
  <si>
    <t>Süpürge</t>
  </si>
  <si>
    <t>Toz torbalı Süpürge synchropower, 600w, Mavi</t>
  </si>
  <si>
    <t>https://www.siemens-home.bsh-group.com/tr/tr/product/elektrikli-supurgeler/toz-torbali-torbasiz-elektrikli-supurgeler/VS06B1110</t>
  </si>
  <si>
    <t>iQ300 Toz Torbalı Süpürge, 600w, Kırmızı</t>
  </si>
  <si>
    <t>https://www.siemens-home.bsh-group.com/tr/tr/product/elektrikli-supurgeler/toz-torbali-torbasiz-elektrikli-supurgeler/VSC3A210</t>
  </si>
  <si>
    <t>iQ300 Toz Torbalı Süpürge, 600w, Mavi</t>
  </si>
  <si>
    <t>https://www.siemens-home.bsh-group.com/tr/tr/product/elektrikli-supurgeler/toz-torbali-torbasiz-elektrikli-supurgeler/VSC3A330</t>
  </si>
  <si>
    <t>iQ300 Toz Torbalı Süpürge, 600w, Açık Mavi</t>
  </si>
  <si>
    <t>https://www.siemens-home.bsh-group.com/tr/tr/product/VSC3A330A</t>
  </si>
  <si>
    <t>iQ700 Toz Torbalı Süpürge, 650w, Beyaz</t>
  </si>
  <si>
    <t>https://www.siemens-home.bsh-group.com/tr/tr/product/elektrikli-supurgeler/toz-torbali-torbasiz-elektrikli-supurgeler/VSC7SIL1</t>
  </si>
  <si>
    <t>iQ700 Toz Torbalı Süpürge, 650w, Kırmızı</t>
  </si>
  <si>
    <t>https://www.siemens-home.bsh-group.com/tr/tr/product/kucuk-ev-aletleri/VSC7X300</t>
  </si>
  <si>
    <t>iQ500 Dik Şarjlı Elektrik Süpürgesi</t>
  </si>
  <si>
    <t>https://www.siemens-home.bsh-group.com/tr/tr/product/elektrikli-supurgeler/sarjli-supurgeler/VSM120B</t>
  </si>
  <si>
    <t>iQ500 Dik Şarjlı 2'li Süpürme&amp;Silme Elektrik Süpürgesi</t>
  </si>
  <si>
    <t>https://www.siemens-home.bsh-group.com/tr/tr/product/elektrikli-supurgeler/sarjli-supurgeler/VSM120HYG</t>
  </si>
  <si>
    <t>iQ500 Dik Şarjlı Elektrik Süpürgesi, Çift Bataryalı</t>
  </si>
  <si>
    <t>https://www.siemens-home.bsh-group.com/tr/tr/product/elektrikli-supurgeler/sarjli-supurgeler/VSM120XXL</t>
  </si>
  <si>
    <t>iQ300 Plus Limited Edition Toz Torbalı Elektrik Süpürgesi, 750w, Kırmızı</t>
  </si>
  <si>
    <t>https://www.siemens-home.bsh-group.com/tr/tr/product/elektrikli-supurgeler/toz-torbali-torbasiz-elektrikli-supurgeler/VSP3AAAA</t>
  </si>
  <si>
    <t>iQ300 Toz Torbasız Süpürge, 550w, Kırmızı</t>
  </si>
  <si>
    <t>https://www.siemens-home.bsh-group.com/tr/tr/product/elektrikli-supurgeler/toz-torbali-torbasiz-elektrikli-supurgeler/VSX21A300</t>
  </si>
  <si>
    <t>iQ300 Toz Torbasız Süpürge, 750w, Mavi</t>
  </si>
  <si>
    <t>https://www.siemens-home.bsh-group.com/tr/tr/product/elektrikli-supurgeler/toz-torbali-torbasiz-elektrikli-supurgeler/VSX21A320</t>
  </si>
  <si>
    <t>iQ500 Toz Torbasız Süpürge, 550w, Kırmızı</t>
  </si>
  <si>
    <t>https://www.siemens-home.bsh-group.com/tr/tr/product/elektrikli-supurgeler/toz-torbali-torbasiz-elektrikli-supurgeler/VSX41A300</t>
  </si>
  <si>
    <t>iQ500 Toz Torbasız Süpürge, 550w, Mavi</t>
  </si>
  <si>
    <t>https://www.siemens-home.bsh-group.com/tr/tr/product/supurgeler/VSX41A322</t>
  </si>
  <si>
    <t>iQ500 Toz Torbasız Elektrik Süpürgesi, 750w, Siyah</t>
  </si>
  <si>
    <t>https://www.siemens-home.bsh-group.com/tr/tr/product/elektrikli-supurgeler/toz-torbali-torbasiz-elektrikli-supurgeler/VSX41XTRM</t>
  </si>
  <si>
    <t>Siemens Toz Torbasız Süpürge, 600w, Kırmızı</t>
  </si>
  <si>
    <t>https://www.siemens-home.bsh-group.com/tr/tr/product/VSX4A212</t>
  </si>
  <si>
    <t>iQ700 Toz Torbasız Elektrik Süpürgesi, 850w, Siyah</t>
  </si>
  <si>
    <t>https://www.siemens-home.bsh-group.com/tr/tr/product/elektrikli-supurgeler/toz-torbali-torbasiz-elektrikli-supurgeler/VSX7XTRM</t>
  </si>
  <si>
    <t>VSZ2V210</t>
  </si>
  <si>
    <t>Siemens Toz torbalı Süpürge Z2.0 Mavi</t>
  </si>
  <si>
    <t>https://www.siemens-home.bsh-group.com/tr/tr/product/VSZ2V210</t>
  </si>
  <si>
    <t>Siemens Elektrikli Süpürgeler için Toz Torbası (P Tip) 4'lü Paket</t>
  </si>
  <si>
    <t>https://www.siemens-home.bsh-group.com/tr/tr/product/VZ41AFP</t>
  </si>
  <si>
    <t>Elektrik Süpürgesi Toz Torbası 4'lü</t>
  </si>
  <si>
    <t>https://www.siemens-home.bsh-group.com/tr/tr/product/VZ41FGALL</t>
  </si>
  <si>
    <t>WA12LPH0TR</t>
  </si>
  <si>
    <t>iQ500 Çamaşır Makinesi, 10kg/1200devir, i-dos, Beyaz</t>
  </si>
  <si>
    <t>https://www.siemens-home.bsh-group.com/tr/tr/product/prsiemenswm/WA12LPH0TR</t>
  </si>
  <si>
    <t>Çamaşır Makinesi</t>
  </si>
  <si>
    <t>Soğuk Su Sebili, Siyah/Gri, Sensörlü</t>
  </si>
  <si>
    <t>https://www.siemens-home.bsh-group.com/tr/tr/product/su-sebilleri/WB13CPB0N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</si>
  <si>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</si>
  <si>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</si>
  <si>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</si>
  <si>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WG42A1X2TR</t>
  </si>
  <si>
    <t>iQ300 Çamaşır Makinesi, 9kg/1200devir, Beyaz</t>
  </si>
  <si>
    <t>https://www.siemens-home.bsh-group.com/tr/tr/product/yikama-ve-utuleme-grubu/camasir-makineleri/solo-camasir-makineleri/WG42A1X2TR</t>
  </si>
  <si>
    <t>WG42A1XSTR</t>
  </si>
  <si>
    <t>iQ300 Çamaşır Makinesi, 9kg/1200devir, Gümüş</t>
  </si>
  <si>
    <t>https://www.siemens-home.bsh-group.com/tr/tr/product/evlilik-kampanyasi-camasir-makineleri/WG42A1XSTR</t>
  </si>
  <si>
    <t>https://www.siemens-home.bsh-group.com/tr/tr/product/ldaset2wm/WG42A1ZXTR</t>
  </si>
  <si>
    <t>https://www.siemens-home.bsh-group.com/tr/tr/product/yikama-ve-utuleme-grubu/camasir-makineleri/solo-camasir-makineleri/WG42A2X3TR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</si>
  <si>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</si>
  <si>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</si>
  <si>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</si>
  <si>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</si>
  <si>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iQ500 Çamaşır Makinesi, 9kg/1200devir, Beyaz</t>
  </si>
  <si>
    <t>https://www.siemens-home.bsh-group.com/tr/tr/product/yikama-ve-utuleme-grubu/camasir-makineleri/solo-camasir-makineleri/WG42K2Z0TR</t>
  </si>
  <si>
    <t>iQ500 Çamaşır Makinesi, 9kg/1200devir, Gümüş</t>
  </si>
  <si>
    <t>https://www.siemens-home.bsh-group.com/tr/tr/product/yikama-ve-utuleme-grubu/camasir-makineleri/solo-camasir-makineleri/WG42K2ZXTR</t>
  </si>
  <si>
    <t>WG44A2F0TR</t>
  </si>
  <si>
    <t>iQ500 Çamaşır Makinesi, 9kg/1400devir, Beyaz</t>
  </si>
  <si>
    <t>https://www.siemens-home.bsh-group.com/tr/tr/product/ldaset2wm/WG44A2F0TR</t>
  </si>
  <si>
    <t>WG44A2X0TR</t>
  </si>
  <si>
    <t>iQ300 Çamaşır Makinesi, 9kg/1400devir, Beyaz</t>
  </si>
  <si>
    <t>https://www.siemens-home.bsh-group.com/tr/tr/product/prsiemenswm/WG44A2X0TR</t>
  </si>
  <si>
    <t>WG44A2XSTR</t>
  </si>
  <si>
    <t>iQ300 Çamaşır Makinesi, 9kg/1400devir, Gümüş</t>
  </si>
  <si>
    <t>https://www.siemens-home.bsh-group.com/tr/tr/product/prsiemenswm/WG44A2XSTR</t>
  </si>
  <si>
    <t>WG44A2Z0TR</t>
  </si>
  <si>
    <t>https://www.siemens-home.bsh-group.com/tr/tr/product/prsiemenswm/WG44A2Z0TR</t>
  </si>
  <si>
    <t>https://www.siemens-home.bsh-group.com/tr/tr/product/yikama-ve-utuleme-grubu/camasir-makineleri/solo-camasir-makineleri/WG44A2Z1TR</t>
  </si>
  <si>
    <t>WG44A2ZRTR</t>
  </si>
  <si>
    <t>iQ300 Çamaşır Makinesi, 9kg/1400devir, Antrasit/Dark</t>
  </si>
  <si>
    <t>https://www.siemens-home.bsh-group.com/tr/tr/product/yikama-ve-utuleme-grubu/camasir-makineleri/solo-camasir-makineleri/WG44A2ZRTR</t>
  </si>
  <si>
    <t>WG44A2ZXTR</t>
  </si>
  <si>
    <t>https://www.siemens-home.bsh-group.com/tr/tr/product/prsiemenswm/WG44A2ZXTR</t>
  </si>
  <si>
    <t>WG44B200TR</t>
  </si>
  <si>
    <t>iQ700 Çamaşır Makinesi, 9kg/1400devir, Beyaz</t>
  </si>
  <si>
    <t>https://www.siemens-home.bsh-group.com/tr/tr/product/prsiemenswm/WG44B200TR</t>
  </si>
  <si>
    <t>iQ700 Çamaşır Makinesi, 9kg/1400devir, i-dos, Beyaz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</si>
  <si>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</si>
  <si>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</si>
  <si>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iQ300 Çamaşır Makinesi, 10kg/1200devir, Beyaz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</si>
  <si>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</si>
  <si>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https://www.siemens-home.bsh-group.com/tr/tr/product/yikama-ve-utuleme-grubu/camasir-makineleri/solo-camasir-makineleri/WG52A203TR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</si>
  <si>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</si>
  <si>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</si>
  <si>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WG52A2XVTR</t>
  </si>
  <si>
    <t>iQ300 Çamaşır Makinesi, 10kg/1200devir, Gümüş</t>
  </si>
  <si>
    <t>https://www.siemens-home.bsh-group.com/tr/tr/product/evlilik-kampanyasi-camasir-makineleri/WG52A2XVTR</t>
  </si>
  <si>
    <t>iQ500 Çamaşır Makinesi, 10kg/1200devir, Beyaz</t>
  </si>
  <si>
    <t>https://www.siemens-home.bsh-group.com/tr/tr/product/yikama-ve-utuleme-grubu/camasir-makineleri/iq300-camasir-makineleri/WG52A2Z0TR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</si>
  <si>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</si>
  <si>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</si>
  <si>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https://www.siemens-home.bsh-group.com/tr/tr/product/yikama-ve-utuleme-grubu/camasir-makineleri/solo-camasir-makineleri/WG52K2Z1TR</t>
  </si>
  <si>
    <t>iQ500 Çamaşır Makinesi, 10kg/1200devir, Gümüş</t>
  </si>
  <si>
    <t>https://www.siemens-home.bsh-group.com/tr/tr/product/yikama-ve-utuleme-grubu/camasir-makineleri/solo-camasir-makineleri/WG52K2ZSTR</t>
  </si>
  <si>
    <t>https://www.siemens-home.bsh-group.com/tr/tr/product/yikama-ve-utuleme-grubu/camasir-makineleri/solo-camasir-makineleri/WG52K2ZXTR</t>
  </si>
  <si>
    <t>WG54A200TR</t>
  </si>
  <si>
    <t>iQ300 Çamaşır Makinesi, 10kg/1400devir, Beyaz</t>
  </si>
  <si>
    <t>https://www.siemens-home.bsh-group.com/tr/tr/product/prsiemenswm/WG54A200TR</t>
  </si>
  <si>
    <t>https://www.siemens-home.bsh-group.com/tr/tr/product/yikama-ve-utuleme-grubu/camasir-makineleri/solo-camasir-makineleri/WG54A2Z0TR</t>
  </si>
  <si>
    <t>WG54B2A0TR</t>
  </si>
  <si>
    <t>iQ700 Çamaşır Makinesi, 10kg/1400devir, i-dos, Beyaz</t>
  </si>
  <si>
    <t>https://www.siemens-home.bsh-group.com/tr/tr/product/yikama-ve-utuleme-grubu/camasir-makineleri/iq700-camasir-makineleri/WG54B2A0TR</t>
  </si>
  <si>
    <t>https://www.siemens-home.bsh-group.com/tr/tr/product/yikama-ve-utuleme-grubu/camasir-makineleri/solo-camasir-makineleri/WG54B2A1TR</t>
  </si>
  <si>
    <t>WG54B2ASTR</t>
  </si>
  <si>
    <t>iQ700 Çamaşır Makinesi, 10kg/1400devir, i-dos, Gümüş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</si>
  <si>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</si>
  <si>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https://www.siemens-home.bsh-group.com/tr/tr/product/yikama-ve-utuleme-grubu/camasir-makineleri/iq700-camasir-makineleri/WG54B2AXTR</t>
  </si>
  <si>
    <t>iQ500 Çamaşır Makinesi, 10kg/1400devir, i-dos, Beyaz</t>
  </si>
  <si>
    <t>https://www.siemens-home.bsh-group.com/tr/tr/product/yikama-ve-utuleme-grubu/camasir-makineleri/solo-camasir-makineleri/WG54K2Y0TR</t>
  </si>
  <si>
    <t>iQ500 Çamaşır Makinesi, 11kg/1400devir, i-dos, Beyaz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</si>
  <si>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</si>
  <si>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https://www.siemens-home.bsh-group.com/tr/tr/product/yikama-ve-utuleme-grubu/camasir-makineleri/solo-camasir-makineleri/WG64K2Y0TR</t>
  </si>
  <si>
    <t>iQ500 Çamaşır Makinesi, 11kg/1400devir, Beyaz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</si>
  <si>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</si>
  <si>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</si>
  <si>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</si>
  <si>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</si>
  <si>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</si>
  <si>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</si>
  <si>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WM12N200TR</t>
  </si>
  <si>
    <t>https://www.siemens-home.bsh-group.com/tr/tr/product/yikama-ve-utuleme-grubu/camasir-makineleri/solo-camasir-makineleri/WM12N200TR</t>
  </si>
  <si>
    <t>iQ500 Çamaşır Makinesi, 9kg/1400devir, i-dos, Beyaz</t>
  </si>
  <si>
    <t>https://www.siemens-home.bsh-group.com/tr/tr/product/ldaset2wm/WM14UP91TR</t>
  </si>
  <si>
    <t>WM14VKH0TR</t>
  </si>
  <si>
    <t>https://www.siemens-home.bsh-group.com/tr/tr/product/evlilik-kampanyasi-camasir-makineleri/WM14VKH0TR</t>
  </si>
  <si>
    <t>https://www.siemens-home.bsh-group.com/tr/tr/product/prsiemenswm/WM14XE50TR</t>
  </si>
  <si>
    <t>WN54A2X1TR</t>
  </si>
  <si>
    <t>iQ300 Kurutmalı Çamaşır Makinesi, 10kg/6kg/1400devir, i-dos, Beyaz</t>
  </si>
  <si>
    <t>https://www.siemens-home.bsh-group.com/tr/tr/product/WN54A2X1TR</t>
  </si>
  <si>
    <t>iQ700 Kurutmalı Çamaşır Makinesi, 10.5kg/6kg/1400devir, i-dos, Beyaz</t>
  </si>
  <si>
    <t>https://www.siemens-home.bsh-group.com/tr/tr/product/yikama-ve-utuleme-grubu/kurutmali-camasir-makineleri/wash-dryers/WN54C2A0TR</t>
  </si>
  <si>
    <t>WQ41G200TR</t>
  </si>
  <si>
    <t>iQ300 Isı Pompalı Kurutma Makinesi, 9kg, Beyaz</t>
  </si>
  <si>
    <t>https://www.siemens-home.bsh-group.com/tr/tr/product/prsiemensdryer/WQ41G200TR</t>
  </si>
  <si>
    <t>Kurutma Makinesi</t>
  </si>
  <si>
    <t>iQ300 Isı Pompalı Kurutma Makinesi, 9kg, Gümüş</t>
  </si>
  <si>
    <t>https://www.siemens-home.bsh-group.com/tr/tr/product/yikama-ve-utuleme-grubu/kurutma-makineleri/isi-pompali-kurutma-makineleri/WQ41G20TTR</t>
  </si>
  <si>
    <t>WQ41G2C0TR</t>
  </si>
  <si>
    <t>iQ500 Isı Pompalı Kurutma Makinesi, 9kg, Beyaz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</si>
  <si>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</si>
  <si>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https://www.siemens-home.bsh-group.com/tr/tr/product/yikama-ve-utuleme-grubu/kurutma-makineleri/isi-pompali-kurutma-makineleri/WQ42A201TR</t>
  </si>
  <si>
    <t>WQ42G20RTR</t>
  </si>
  <si>
    <t>iQ500 Isı Pompalı Kurutma Makinesi, 9kg, Antrasit/Dark</t>
  </si>
  <si>
    <t>https://www.siemens-home.bsh-group.com/tr/tr/product/ldaset2wm/WQ42G20RTR</t>
  </si>
  <si>
    <t>https://www.siemens-home.bsh-group.com/tr/tr/product/yikama-ve-utuleme-grubu/kurutma-makineleri/isi-pompali-kurutma-makineleri/WQ42J200TR</t>
  </si>
  <si>
    <t>iQ500 Isı Pompalı Kurutma Makinesi, 9kg, Gümüş</t>
  </si>
  <si>
    <t>https://www.siemens-home.bsh-group.com/tr/tr/product/yikama-ve-utuleme-grubu/kurutma-makineleri/isi-pompali-kurutma-makineleri/WQ42J20XTR</t>
  </si>
  <si>
    <t>https://www.siemens-home.bsh-group.com/tr/tr/product/yikama-ve-utuleme-grubu/kurutma-makineleri/isi-pompali-kurutma-makineleri/WQ43J2C0TR</t>
  </si>
  <si>
    <t>iQ500 Isı Pompalı Kurutma Makinesi, 9kg, SelfClean, Beyaz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</si>
  <si>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</si>
  <si>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</si>
  <si>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</si>
  <si>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</si>
  <si>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iQ700 Isı Pompalı Kurutma Makinesi, 9kg, Beyaz</t>
  </si>
  <si>
    <t>https://www.siemens-home.bsh-group.com/tr/tr/product/yikama-ve-utuleme-grubu/kurutma-makineleri/isi-pompali-kurutma-makineleri/WQ45B2A0TR</t>
  </si>
  <si>
    <t>iQ700 Isı Pompalı Kurutma Makinesi, 9kg, Gümüş</t>
  </si>
  <si>
    <t>https://www.siemens-home.bsh-group.com/tr/tr/product/yikama-ve-utuleme-grubu/kurutma-makineleri/isi-pompali-kurutma-makineleri/WQ45B2AXTR</t>
  </si>
  <si>
    <t>WQ51G200TR</t>
  </si>
  <si>
    <t>iQ300 Isı Pompalı Kurutma Makinesi, 10kg, Beyaz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</si>
  <si>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</si>
  <si>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https://www.siemens-home.bsh-group.com/tr/tr/product/yikama-ve-utuleme-grubu/kurutma-makineleri/isi-pompali-kurutma-makineleri/WQ52G201TR</t>
  </si>
  <si>
    <t>iQ500 Isı Pompalı Kurutma Makinesi, 10kg, Antrasit/Dark</t>
  </si>
  <si>
    <t>https://www.siemens-home.bsh-group.com/tr/tr/product/yikama-ve-utuleme-grubu/kurutma-makineleri/isi-pompali-kurutma-makineleri/WQ52J20RTR</t>
  </si>
  <si>
    <t>iQ500 Isı Pompalı Kurutma Makinesi, 10kg, Beyaz</t>
  </si>
  <si>
    <t>https://www.siemens-home.bsh-group.com/tr/tr/product/yikama-ve-utuleme-grubu/kurutma-makineleri/isi-pompali-kurutma-makineleri/WQ52K200TR</t>
  </si>
  <si>
    <t>WT00H200TR</t>
  </si>
  <si>
    <t>iQ300 Isı Pompalı Kurutma Makinesi, 8kg, Beyaz</t>
  </si>
  <si>
    <t>https://www.siemens-home.bsh-group.com/tr/tr/product/ldaset2wm/WT00H200TR</t>
  </si>
  <si>
    <t>https://www.siemens-home.bsh-group.com/tr/tr/product/yikama-ve-utuleme-grubu/kurutma-makineleri/isi-pompali-kurutma-makineleri/WT00H201TR</t>
  </si>
  <si>
    <t>WT45W41STR</t>
  </si>
  <si>
    <t>iQ700 Isı Pompalı Kurutma Makinesi, 8kg, Gümüş</t>
  </si>
  <si>
    <t>https://www.siemens-home.bsh-group.com/tr/tr/product/prsiemensdryer/WT45W41STR</t>
  </si>
  <si>
    <t>WT45W420TR</t>
  </si>
  <si>
    <t>https://www.siemens-home.bsh-group.com/tr/tr/product/prsiemensdryer/WT45W420TR</t>
  </si>
  <si>
    <t>WT47XK80TR</t>
  </si>
  <si>
    <t>https://www.siemens-home.bsh-group.com/tr/tr/product/prsiemensdryer/WT47XK80TR</t>
  </si>
  <si>
    <t>WT47XK8XTR</t>
  </si>
  <si>
    <t>https://www.siemens-home.bsh-group.com/tr/tr/product/prsiemensdryer/WT47XK8XTR</t>
  </si>
  <si>
    <t>iQ700 Çamaşır Makinesi, 11kg/1400devir, intelligentDosingPlus, Gümüş</t>
  </si>
  <si>
    <t>https://www.siemens-home.bsh-group.com/tr/tr/product/WG64B2AXTR</t>
  </si>
  <si>
    <t>iQ700 Çamaşır Makinesi, 11kg/1400devir, intelligentDosing, Beyaz</t>
  </si>
  <si>
    <t>https://www.siemens-home.bsh-group.com/tr/tr/product/WG64B2A0TR</t>
  </si>
  <si>
    <t>https://www.siemens-home.bsh-group.com/tr/tr/product/buzdolaplari-ve-derin-dondurucular/solo-buzdolaplari-ve-derin-dondurucular/alttan-donduruculu-solo-buzdolaplari/KG56NCID0N</t>
  </si>
  <si>
    <t>iQ300 Alttan Donduruculu Kulpsuz Buzdolabı, 70cm, Black Inox (Wi-Fi)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</si>
  <si>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</si>
  <si>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</si>
  <si>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</si>
  <si>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</si>
  <si>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</si>
  <si>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</si>
  <si>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</si>
  <si>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</si>
  <si>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</si>
  <si>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</si>
  <si>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</si>
  <si>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</si>
  <si>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</si>
  <si>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</si>
  <si>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</si>
  <si>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</si>
  <si>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</si>
  <si>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</si>
  <si>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</si>
  <si>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EQ500 iAroma Tam Otomatik Kahve Makinesi, Piano Black</t>
  </si>
  <si>
    <t>KD55NNWE1N</t>
  </si>
  <si>
    <t>iQ300 Üstten Donduruculu Kulpsuz Buzdolabı, 70cm, Beyaz (TF70 Kahvaltılık Çekmeceli)</t>
  </si>
  <si>
    <t>https://www.siemens-home.bsh-group.com/tr/tr/product/buzdolaplari-ve-derin-dondurucular/solo-buzdolaplari-ve-derin-dondurucular/ustten-donduruculu-solo-buzdolaplari/KD55NNWE1N</t>
  </si>
  <si>
    <t>KD55NNLE1N</t>
  </si>
  <si>
    <t>iQ300 Üstten Donduruculu Kulpsuz Buzdolabı, 70cm, Inox Görünümlü (TF70 Kahvaltılık Çekmeceli)</t>
  </si>
  <si>
    <t>https://www.siemens-home.bsh-group.com/tr/tr/product/buzdolaplari-ve-derin-dondurucular/solo-buzdolaplari-ve-derin-dondurucular/ustten-donduruculu-solo-buzdolaplari/KD55NNLE1N</t>
  </si>
  <si>
    <t>EP6A9HB20</t>
  </si>
  <si>
    <t>https://www.siemens-home.bsh-group.com/tr/tr/product/kampanyalar/ankastre-set-indirim/ocaklar/EP6A9HB20</t>
  </si>
  <si>
    <t>LC66GCD50T</t>
  </si>
  <si>
    <t>iQ300 Düz Davlumbaz, 60cm, 620m3, Cam Dekor Inox</t>
  </si>
  <si>
    <t>https://www.siemens-home.bsh-group.com/tr/tr/product/LC66GCD50T</t>
  </si>
  <si>
    <t>WT7WH460TR</t>
  </si>
  <si>
    <t>https://www.siemens-home.bsh-group.com/tr/tr/product/camasir-ve-kurutma-makineleri/WT7WH460TR</t>
  </si>
  <si>
    <t>KG56NUWF0N</t>
  </si>
  <si>
    <t>https://www.siemens-home.bsh-group.com/tr/tr/product/prsiemensfridge/KG56NUWF0N</t>
  </si>
  <si>
    <t>HF12G240</t>
  </si>
  <si>
    <t>iQ500 Ankastre Mikrodalga, Izgaralı, Beyaz</t>
  </si>
  <si>
    <t>https://www.siemens-home.bsh-group.com/tr/tr/product/HF12G240</t>
  </si>
  <si>
    <t>EO7C2HO12O</t>
  </si>
  <si>
    <t>https://www.siemens-home.bsh-group.com/tr/tr/product/pisirme-grubu/ocaklar/gazli-ocaklar/EO7C2HO12O</t>
  </si>
  <si>
    <t>KG56NVIF0N</t>
  </si>
  <si>
    <t>https://www.siemens-home.bsh-group.com/tr/tr/product/prsiemensfridge15/KG56NVIF0N</t>
  </si>
  <si>
    <t>EO0C6PO12O</t>
  </si>
  <si>
    <t>https://www.siemens-home.bsh-group.com/tr/tr/product/EO0C6PO12O</t>
  </si>
  <si>
    <t>EN6B2PO10O</t>
  </si>
  <si>
    <t>https://www.siemens-home.bsh-group.com/tr/tr/product/EN6B2PO10O</t>
  </si>
  <si>
    <t>SN23EW63MT</t>
  </si>
  <si>
    <t>iQ300 Solo Bulaşık Makinesi, autoOpen dry, Üstten Sepetli, Beyaz</t>
  </si>
  <si>
    <t>https://www.siemens-home.bsh-group.com/tr/tr/product/bulasik-makineleri/solo-bulasik-makineleri/tam-ebatli-bulasik-makineleri-60cm/SN23EW63MT</t>
  </si>
  <si>
    <t>SN23EI63MT</t>
  </si>
  <si>
    <t>iQ300 Solo Bulaşık Makinesi, autoOpen dry, Üstten Sepetli, Inox</t>
  </si>
  <si>
    <t>https://www.siemens-home.bsh-group.com/tr/tr/product/bulasik-makineleri/solo-bulasik-makineleri/tam-ebatli-bulasik-makineleri-60cm/SN23EI63MT</t>
  </si>
  <si>
    <t>SN23EI64MT</t>
  </si>
  <si>
    <t>https://www.siemens-home.bsh-group.com/tr/tr/product/bulasik-makineleri/solo-bulasik-makineleri/tam-ebatli-bulasik-makineleri-60cm/SN23EI64MT</t>
  </si>
  <si>
    <t>SN23II63KT</t>
  </si>
  <si>
    <t>https://www.siemens-home.bsh-group.com/tr/tr/product/bulasik-makineleri/solo-bulasik-makineleri/tam-ebatli-bulasik-makineleri-60cm/SN23II63KT</t>
  </si>
  <si>
    <t>SN23IW63KT</t>
  </si>
  <si>
    <t>https://www.siemens-home.bsh-group.com/tr/tr/product/bulasik-makineleri/solo-bulasik-makineleri/tam-ebatli-bulasik-makineleri-60cm/SN23IW63KT</t>
  </si>
  <si>
    <t>Philips 50" 4K Ambilight LED TV (Titan OS) (50PUS83499/62)</t>
  </si>
  <si>
    <t>https://www.epey.com/televizyon/philips-50pus8349.html</t>
  </si>
  <si>
    <t>Philips 65" 4K Ambilight LED TV (Titan OS) (50PUS8349/62)</t>
  </si>
  <si>
    <t>https://www.epey.com/televizyon/philips-65pus8349.html</t>
  </si>
  <si>
    <t/>
  </si>
  <si>
    <t>devamı yok</t>
  </si>
  <si>
    <t>BEDELSİZ</t>
  </si>
  <si>
    <t>Toplam Bundle İndirim Tutarını Aşağıya Yaz</t>
  </si>
  <si>
    <t>Toplam Satış Fiyatı</t>
  </si>
  <si>
    <t>BİP İndirimi</t>
  </si>
  <si>
    <t>PhaseOut İndirimi</t>
  </si>
  <si>
    <t>Toplam Bundle İndirimi</t>
  </si>
  <si>
    <t>Satılabilir Minimum Fiyat</t>
  </si>
  <si>
    <t>ADET</t>
  </si>
  <si>
    <t>21 EKİM HOROZ</t>
  </si>
  <si>
    <t>21 EKİM studioLine HOROZ</t>
  </si>
  <si>
    <t>21 EKİM BEKLEYEN</t>
  </si>
  <si>
    <t>Tedarik Sorunlu, Açığa Satma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</si>
</sst>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₺&quot;* #,##0.00_-;\-&quot;₺&quot;* #,##0.00_-;_-&quot;₺&quot;* &quot;-&quot;??_-;_-@_-"/>
    <numFmt numFmtId="164" formatCode="&quot;₺&quot;#,##0"/>
    <numFmt numFmtId="165" formatCode="0;\-0;;@"/>
    <numFmt numFmtId="166" formatCode="_-&quot;₺&quot;* #,##0_-;\-&quot;₺&quot;* #,##0_-;_-&quot;₺&quot;* &quot;-&quot;??_-;_-@_-"/>
    <numFmt numFmtId="167" formatCode="&quot;₺&quot;#,##0.00"/>
  </numFmts>
  <fonts count="63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0"/>
      <color theme="1"/>
      <name val="Arial"/>
      <family val="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</font>
    <font>
      <b/>
      <sz val="28"/>
      <color theme="1"/>
      <name val="Siemens Progress"/>
    </font>
    <font>
      <b/>
      <sz val="28"/>
      <name val="Siemens Progress"/>
      <charset val="162"/>
    </font>
    <font>
      <b/>
      <sz val="28"/>
      <name val="Siemens Progress"/>
    </font>
    <font>
      <sz val="28"/>
      <name val="Siemens Progress"/>
    </font>
    <font>
      <b/>
      <sz val="28"/>
      <color rgb="FFFF0000"/>
      <name val="Siemens Progress"/>
      <charset val="162"/>
    </font>
    <font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theme="1"/>
      <name val="Siemens Progress"/>
      <charset val="162"/>
    </font>
    <font>
      <b/>
      <u/>
      <sz val="28"/>
      <color theme="1"/>
      <name val="Siemens Progress"/>
      <charset val="162"/>
    </font>
    <font>
      <sz val="28"/>
      <color theme="6" tint="0.39997558519241921"/>
      <name val="Siemens Progress"/>
      <charset val="162"/>
    </font>
    <font>
      <b/>
      <sz val="28"/>
      <color theme="6" tint="0.39997558519241921"/>
      <name val="Siemens Progress"/>
      <charset val="162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58" fillId="0" borderId="0"/>
  </cellStyleXfs>
  <cellXfs count="209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 wrapText="1"/>
    </xf>
    <xf numFmtId="164" fontId="12" fillId="0" borderId="1" xfId="2" applyNumberFormat="1" applyFont="1" applyFill="1" applyBorder="1" applyAlignment="1">
      <alignment horizontal="center" vertical="center" wrapText="1"/>
    </xf>
    <xf numFmtId="164" fontId="7" fillId="4" borderId="1" xfId="2" applyNumberFormat="1" applyFont="1" applyFill="1" applyBorder="1" applyAlignment="1">
      <alignment horizontal="center" vertical="center" wrapText="1"/>
    </xf>
    <xf numFmtId="164" fontId="8" fillId="5" borderId="0" xfId="2" applyNumberFormat="1" applyFont="1" applyFill="1" applyAlignment="1">
      <alignment horizontal="center" vertical="center" wrapText="1"/>
    </xf>
    <xf numFmtId="164" fontId="8" fillId="0" borderId="2" xfId="2" applyNumberFormat="1" applyFont="1" applyFill="1" applyBorder="1" applyAlignment="1">
      <alignment horizontal="center" vertical="center" wrapText="1"/>
    </xf>
    <xf numFmtId="164" fontId="14" fillId="6" borderId="0" xfId="2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5" fillId="0" borderId="0" xfId="3"/>
    <xf numFmtId="0" fontId="16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9" fillId="0" borderId="0" xfId="1" applyNumberFormat="1" applyFont="1" applyFill="1" applyAlignment="1">
      <alignment horizontal="right" vertical="center"/>
    </xf>
    <xf numFmtId="164" fontId="14" fillId="0" borderId="0" xfId="1" applyNumberFormat="1" applyFont="1" applyFill="1" applyAlignment="1">
      <alignment horizontal="right" vertical="center" wrapText="1"/>
    </xf>
    <xf numFmtId="164" fontId="20" fillId="0" borderId="0" xfId="1" applyNumberFormat="1" applyFont="1" applyFill="1" applyAlignment="1">
      <alignment horizontal="right" vertical="center" wrapText="1"/>
    </xf>
    <xf numFmtId="164" fontId="14" fillId="7" borderId="0" xfId="1" applyNumberFormat="1" applyFont="1" applyFill="1" applyAlignment="1">
      <alignment horizontal="right" vertical="center"/>
    </xf>
    <xf numFmtId="164" fontId="1" fillId="0" borderId="0" xfId="1" applyNumberFormat="1" applyFont="1" applyAlignment="1">
      <alignment horizontal="right"/>
    </xf>
    <xf numFmtId="0" fontId="1" fillId="0" borderId="0" xfId="0" applyFont="1"/>
    <xf numFmtId="0" fontId="5" fillId="8" borderId="0" xfId="0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right" vertical="center" wrapText="1"/>
    </xf>
    <xf numFmtId="164" fontId="14" fillId="0" borderId="0" xfId="1" applyNumberFormat="1" applyFont="1" applyFill="1" applyAlignment="1">
      <alignment horizontal="right" vertical="center"/>
    </xf>
    <xf numFmtId="164" fontId="14" fillId="4" borderId="0" xfId="1" applyNumberFormat="1" applyFont="1" applyFill="1" applyAlignment="1">
      <alignment horizontal="right" vertical="center"/>
    </xf>
    <xf numFmtId="164" fontId="14" fillId="0" borderId="0" xfId="1" applyNumberFormat="1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6" fontId="1" fillId="0" borderId="0" xfId="0" applyNumberFormat="1" applyFont="1"/>
    <xf numFmtId="164" fontId="4" fillId="0" borderId="0" xfId="1" applyNumberFormat="1" applyFont="1" applyAlignment="1">
      <alignment horizontal="right"/>
    </xf>
    <xf numFmtId="0" fontId="21" fillId="0" borderId="0" xfId="0" applyFont="1"/>
    <xf numFmtId="0" fontId="2" fillId="8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164" fontId="14" fillId="4" borderId="0" xfId="1" applyNumberFormat="1" applyFont="1" applyFill="1" applyAlignment="1">
      <alignment horizontal="right" vertical="center" wrapText="1"/>
    </xf>
    <xf numFmtId="164" fontId="14" fillId="10" borderId="0" xfId="1" applyNumberFormat="1" applyFont="1" applyFill="1" applyAlignment="1">
      <alignment horizontal="right" vertical="center" wrapText="1"/>
    </xf>
    <xf numFmtId="166" fontId="1" fillId="0" borderId="0" xfId="1" applyNumberFormat="1" applyFont="1"/>
    <xf numFmtId="0" fontId="0" fillId="0" borderId="0" xfId="0" applyAlignment="1">
      <alignment horizontal="left" vertical="center"/>
    </xf>
    <xf numFmtId="164" fontId="8" fillId="0" borderId="0" xfId="1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11" borderId="0" xfId="0" applyFont="1" applyFill="1" applyAlignment="1">
      <alignment horizontal="left" vertical="center"/>
    </xf>
    <xf numFmtId="0" fontId="3" fillId="0" borderId="0" xfId="0" applyFont="1"/>
    <xf numFmtId="0" fontId="1" fillId="5" borderId="0" xfId="0" applyFont="1" applyFill="1" applyAlignment="1">
      <alignment horizontal="left" vertical="center"/>
    </xf>
    <xf numFmtId="164" fontId="1" fillId="0" borderId="0" xfId="1" applyNumberFormat="1" applyFont="1" applyFill="1" applyAlignment="1">
      <alignment horizontal="right"/>
    </xf>
    <xf numFmtId="0" fontId="24" fillId="0" borderId="0" xfId="0" applyFont="1"/>
    <xf numFmtId="0" fontId="25" fillId="11" borderId="0" xfId="0" applyFont="1" applyFill="1" applyAlignment="1">
      <alignment horizontal="left" vertical="center"/>
    </xf>
    <xf numFmtId="0" fontId="25" fillId="12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 wrapText="1"/>
    </xf>
    <xf numFmtId="0" fontId="1" fillId="0" borderId="0" xfId="4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164" fontId="14" fillId="7" borderId="0" xfId="1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/>
    </xf>
    <xf numFmtId="164" fontId="14" fillId="10" borderId="0" xfId="1" applyNumberFormat="1" applyFont="1" applyFill="1" applyAlignment="1">
      <alignment horizontal="right" vertical="center"/>
    </xf>
    <xf numFmtId="0" fontId="0" fillId="15" borderId="0" xfId="0" applyFill="1" applyAlignment="1">
      <alignment horizontal="left" vertical="center"/>
    </xf>
    <xf numFmtId="164" fontId="14" fillId="5" borderId="0" xfId="1" applyNumberFormat="1" applyFont="1" applyFill="1" applyAlignment="1">
      <alignment horizontal="right" vertical="center" wrapText="1"/>
    </xf>
    <xf numFmtId="0" fontId="4" fillId="11" borderId="0" xfId="0" applyFont="1" applyFill="1" applyAlignment="1">
      <alignment horizontal="left" vertical="center"/>
    </xf>
    <xf numFmtId="0" fontId="28" fillId="16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right" vertical="center"/>
    </xf>
    <xf numFmtId="0" fontId="4" fillId="10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18" borderId="0" xfId="0" applyFont="1" applyFill="1" applyAlignment="1">
      <alignment horizontal="left" vertical="center"/>
    </xf>
    <xf numFmtId="0" fontId="32" fillId="0" borderId="0" xfId="5" applyFont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27" fillId="4" borderId="0" xfId="0" applyFont="1" applyFill="1" applyAlignment="1">
      <alignment horizontal="left" vertical="center"/>
    </xf>
    <xf numFmtId="164" fontId="33" fillId="0" borderId="0" xfId="0" applyNumberFormat="1" applyFont="1" applyAlignment="1">
      <alignment horizontal="right" vertical="center"/>
    </xf>
    <xf numFmtId="164" fontId="14" fillId="10" borderId="0" xfId="1" applyNumberFormat="1" applyFont="1" applyFill="1" applyAlignment="1">
      <alignment horizontal="right"/>
    </xf>
    <xf numFmtId="164" fontId="12" fillId="0" borderId="0" xfId="1" applyNumberFormat="1" applyFont="1" applyFill="1" applyBorder="1" applyAlignment="1">
      <alignment horizontal="right" vertical="center" wrapText="1"/>
    </xf>
    <xf numFmtId="164" fontId="14" fillId="4" borderId="1" xfId="1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164" fontId="14" fillId="0" borderId="1" xfId="1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64" fontId="14" fillId="0" borderId="0" xfId="1" applyNumberFormat="1" applyFont="1" applyAlignment="1">
      <alignment horizontal="right"/>
    </xf>
    <xf numFmtId="0" fontId="3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/>
    <xf numFmtId="165" fontId="14" fillId="0" borderId="0" xfId="0" applyNumberFormat="1" applyFont="1"/>
    <xf numFmtId="165" fontId="1" fillId="0" borderId="0" xfId="0" applyNumberFormat="1" applyFont="1"/>
    <xf numFmtId="165" fontId="20" fillId="0" borderId="0" xfId="0" applyNumberFormat="1" applyFont="1"/>
    <xf numFmtId="0" fontId="17" fillId="0" borderId="0" xfId="0" applyFont="1"/>
    <xf numFmtId="0" fontId="18" fillId="0" borderId="0" xfId="0" applyFont="1"/>
    <xf numFmtId="0" fontId="26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/>
    <xf numFmtId="0" fontId="20" fillId="0" borderId="0" xfId="0" applyFont="1"/>
    <xf numFmtId="0" fontId="39" fillId="0" borderId="0" xfId="6" applyFont="1" applyAlignment="1">
      <alignment horizontal="center" vertical="center"/>
    </xf>
    <xf numFmtId="0" fontId="1" fillId="0" borderId="0" xfId="6" applyFont="1"/>
    <xf numFmtId="0" fontId="39" fillId="0" borderId="0" xfId="6" applyFont="1" applyAlignment="1">
      <alignment horizontal="center" vertical="center" wrapText="1"/>
    </xf>
    <xf numFmtId="0" fontId="57" fillId="20" borderId="12" xfId="7" applyFont="1" applyFill="1" applyBorder="1" applyAlignment="1">
      <alignment horizontal="center" vertical="center"/>
    </xf>
    <xf numFmtId="49" fontId="57" fillId="20" borderId="12" xfId="7" applyNumberFormat="1" applyFont="1" applyFill="1" applyBorder="1" applyAlignment="1">
      <alignment horizontal="center" vertical="center"/>
    </xf>
    <xf numFmtId="0" fontId="1" fillId="0" borderId="0" xfId="8"/>
    <xf numFmtId="0" fontId="15" fillId="0" borderId="0" xfId="9"/>
    <xf numFmtId="49" fontId="15" fillId="0" borderId="0" xfId="9" applyNumberFormat="1"/>
    <xf numFmtId="49" fontId="1" fillId="0" borderId="0" xfId="8" applyNumberFormat="1"/>
    <xf numFmtId="0" fontId="1" fillId="0" borderId="0" xfId="7"/>
    <xf numFmtId="49" fontId="1" fillId="0" borderId="0" xfId="7" applyNumberFormat="1"/>
    <xf numFmtId="49" fontId="0" fillId="0" borderId="0" xfId="0" applyNumberFormat="1"/>
    <xf numFmtId="0" fontId="1" fillId="0" borderId="0" xfId="7" applyAlignment="1">
      <alignment vertical="center"/>
    </xf>
    <xf numFmtId="0" fontId="15" fillId="0" borderId="0" xfId="9" applyAlignment="1">
      <alignment vertical="center"/>
    </xf>
    <xf numFmtId="49" fontId="58" fillId="0" borderId="0" xfId="10" applyNumberFormat="1"/>
    <xf numFmtId="0" fontId="1" fillId="0" borderId="0" xfId="8" applyAlignment="1">
      <alignment vertical="center"/>
    </xf>
    <xf numFmtId="0" fontId="1" fillId="0" borderId="0" xfId="7" applyAlignment="1">
      <alignment horizontal="left"/>
    </xf>
    <xf numFmtId="0" fontId="1" fillId="0" borderId="0" xfId="8" applyAlignment="1">
      <alignment horizontal="left"/>
    </xf>
    <xf numFmtId="0" fontId="15" fillId="0" borderId="0" xfId="3" applyAlignment="1">
      <alignment vertical="center"/>
    </xf>
    <xf numFmtId="49" fontId="15" fillId="0" borderId="0" xfId="3" applyNumberFormat="1"/>
    <xf numFmtId="1" fontId="1" fillId="0" borderId="0" xfId="7" applyNumberFormat="1" applyAlignment="1">
      <alignment horizontal="left" vertical="center"/>
    </xf>
    <xf numFmtId="0" fontId="1" fillId="0" borderId="0" xfId="7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64" fontId="32" fillId="3" borderId="1" xfId="1" applyNumberFormat="1" applyFont="1" applyFill="1" applyBorder="1" applyAlignment="1" applyProtection="1">
      <alignment horizontal="center" vertical="center" wrapText="1"/>
    </xf>
    <xf numFmtId="164" fontId="59" fillId="0" borderId="1" xfId="1" applyNumberFormat="1" applyFont="1" applyFill="1" applyBorder="1" applyAlignment="1" applyProtection="1">
      <alignment horizontal="center" vertical="center" wrapText="1"/>
    </xf>
    <xf numFmtId="164" fontId="14" fillId="0" borderId="1" xfId="1" applyNumberFormat="1" applyFont="1" applyFill="1" applyBorder="1" applyAlignment="1" applyProtection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4" fillId="23" borderId="0" xfId="0" applyNumberFormat="1" applyFont="1" applyFill="1" applyAlignment="1">
      <alignment horizontal="right" vertical="center"/>
    </xf>
    <xf numFmtId="164" fontId="4" fillId="25" borderId="0" xfId="0" applyNumberFormat="1" applyFont="1" applyFill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1" fontId="19" fillId="0" borderId="1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" fontId="0" fillId="0" borderId="0" xfId="0" applyNumberFormat="1"/>
    <xf numFmtId="164" fontId="60" fillId="6" borderId="1" xfId="1" applyNumberFormat="1" applyFont="1" applyFill="1" applyBorder="1" applyAlignment="1">
      <alignment horizontal="center" vertical="center" wrapText="1"/>
    </xf>
    <xf numFmtId="164" fontId="60" fillId="6" borderId="2" xfId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4" fillId="24" borderId="0" xfId="0" applyFont="1" applyFill="1" applyAlignment="1">
      <alignment horizontal="right" vertical="center"/>
    </xf>
    <xf numFmtId="164" fontId="62" fillId="21" borderId="1" xfId="0" applyNumberFormat="1" applyFont="1" applyFill="1" applyBorder="1" applyAlignment="1">
      <alignment horizontal="center" vertical="center"/>
    </xf>
    <xf numFmtId="0" fontId="4" fillId="22" borderId="0" xfId="0" applyFont="1" applyFill="1" applyAlignment="1">
      <alignment horizontal="right" vertical="center"/>
    </xf>
    <xf numFmtId="0" fontId="52" fillId="0" borderId="4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40" fillId="19" borderId="3" xfId="6" applyFont="1" applyFill="1" applyBorder="1" applyAlignment="1">
      <alignment horizontal="center" vertical="center" wrapText="1"/>
    </xf>
    <xf numFmtId="0" fontId="40" fillId="19" borderId="6" xfId="6" applyFont="1" applyFill="1" applyBorder="1" applyAlignment="1">
      <alignment horizontal="center" vertical="center" wrapText="1"/>
    </xf>
    <xf numFmtId="0" fontId="40" fillId="19" borderId="11" xfId="6" applyFont="1" applyFill="1" applyBorder="1" applyAlignment="1">
      <alignment horizontal="center" vertical="center" wrapText="1"/>
    </xf>
    <xf numFmtId="0" fontId="53" fillId="0" borderId="4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6" fillId="3" borderId="4" xfId="6" applyFont="1" applyFill="1" applyBorder="1" applyAlignment="1">
      <alignment horizontal="center" vertical="center" wrapText="1"/>
    </xf>
    <xf numFmtId="0" fontId="46" fillId="3" borderId="5" xfId="6" applyFont="1" applyFill="1" applyBorder="1" applyAlignment="1">
      <alignment horizontal="center" vertical="center" wrapText="1"/>
    </xf>
    <xf numFmtId="0" fontId="46" fillId="3" borderId="7" xfId="6" applyFont="1" applyFill="1" applyBorder="1" applyAlignment="1">
      <alignment horizontal="center" vertical="center" wrapText="1"/>
    </xf>
    <xf numFmtId="0" fontId="46" fillId="3" borderId="8" xfId="6" applyFont="1" applyFill="1" applyBorder="1" applyAlignment="1">
      <alignment horizontal="center" vertical="center" wrapText="1"/>
    </xf>
    <xf numFmtId="0" fontId="46" fillId="3" borderId="9" xfId="6" applyFont="1" applyFill="1" applyBorder="1" applyAlignment="1">
      <alignment horizontal="center" vertical="center" wrapText="1"/>
    </xf>
    <xf numFmtId="0" fontId="46" fillId="3" borderId="10" xfId="6" applyFont="1" applyFill="1" applyBorder="1" applyAlignment="1">
      <alignment horizontal="center" vertical="center" wrapText="1"/>
    </xf>
    <xf numFmtId="0" fontId="41" fillId="0" borderId="4" xfId="6" applyFont="1" applyBorder="1" applyAlignment="1">
      <alignment horizontal="center" vertical="center" wrapText="1"/>
    </xf>
    <xf numFmtId="0" fontId="41" fillId="0" borderId="5" xfId="6" applyFont="1" applyBorder="1" applyAlignment="1">
      <alignment horizontal="center" vertical="center" wrapText="1"/>
    </xf>
    <xf numFmtId="0" fontId="41" fillId="0" borderId="7" xfId="6" applyFont="1" applyBorder="1" applyAlignment="1">
      <alignment horizontal="center" vertical="center" wrapText="1"/>
    </xf>
    <xf numFmtId="0" fontId="41" fillId="0" borderId="8" xfId="6" applyFont="1" applyBorder="1" applyAlignment="1">
      <alignment horizontal="center" vertical="center" wrapText="1"/>
    </xf>
    <xf numFmtId="0" fontId="41" fillId="0" borderId="9" xfId="6" applyFont="1" applyBorder="1" applyAlignment="1">
      <alignment horizontal="center" vertical="center" wrapText="1"/>
    </xf>
    <xf numFmtId="0" fontId="41" fillId="0" borderId="10" xfId="6" applyFont="1" applyBorder="1" applyAlignment="1">
      <alignment horizontal="center" vertical="center" wrapText="1"/>
    </xf>
    <xf numFmtId="0" fontId="46" fillId="4" borderId="4" xfId="6" applyFont="1" applyFill="1" applyBorder="1" applyAlignment="1">
      <alignment horizontal="center" vertical="center" wrapText="1"/>
    </xf>
    <xf numFmtId="0" fontId="46" fillId="4" borderId="5" xfId="6" applyFont="1" applyFill="1" applyBorder="1" applyAlignment="1">
      <alignment horizontal="center" vertical="center" wrapText="1"/>
    </xf>
    <xf numFmtId="0" fontId="46" fillId="4" borderId="9" xfId="6" applyFont="1" applyFill="1" applyBorder="1" applyAlignment="1">
      <alignment horizontal="center" vertical="center" wrapText="1"/>
    </xf>
    <xf numFmtId="0" fontId="46" fillId="4" borderId="10" xfId="6" applyFont="1" applyFill="1" applyBorder="1" applyAlignment="1">
      <alignment horizontal="center" vertical="center" wrapText="1"/>
    </xf>
    <xf numFmtId="0" fontId="47" fillId="0" borderId="4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  <xf numFmtId="0" fontId="48" fillId="3" borderId="4" xfId="6" applyFont="1" applyFill="1" applyBorder="1" applyAlignment="1">
      <alignment horizontal="center" vertical="center" wrapText="1"/>
    </xf>
    <xf numFmtId="0" fontId="48" fillId="3" borderId="5" xfId="6" applyFont="1" applyFill="1" applyBorder="1" applyAlignment="1">
      <alignment horizontal="center" vertical="center" wrapText="1"/>
    </xf>
    <xf numFmtId="0" fontId="48" fillId="3" borderId="7" xfId="6" applyFont="1" applyFill="1" applyBorder="1" applyAlignment="1">
      <alignment horizontal="center" vertical="center" wrapText="1"/>
    </xf>
    <xf numFmtId="0" fontId="48" fillId="3" borderId="8" xfId="6" applyFont="1" applyFill="1" applyBorder="1" applyAlignment="1">
      <alignment horizontal="center" vertical="center" wrapText="1"/>
    </xf>
    <xf numFmtId="0" fontId="48" fillId="3" borderId="9" xfId="6" applyFont="1" applyFill="1" applyBorder="1" applyAlignment="1">
      <alignment horizontal="center" vertical="center" wrapText="1"/>
    </xf>
    <xf numFmtId="0" fontId="48" fillId="3" borderId="10" xfId="6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167" fontId="19" fillId="0" borderId="0" xfId="1" applyNumberFormat="1" applyFont="1" applyFill="1" applyAlignment="1">
      <alignment horizontal="right" vertical="center"/>
    </xf>
  </cellXfs>
  <cellStyles count="11">
    <cellStyle name="Köprü" xfId="3" builtinId="8"/>
    <cellStyle name="Köprü 2" xfId="9" xr:uid="{C25652DF-580D-44BF-ADC7-025D0DB315CE}"/>
    <cellStyle name="Normal" xfId="0" builtinId="0"/>
    <cellStyle name="Normal 2" xfId="7" xr:uid="{BE666D73-6980-4196-B85D-CA77F030F88E}"/>
    <cellStyle name="Normal 3" xfId="8" xr:uid="{AA5B425D-C7BE-4924-9CE1-18F3C9774331}"/>
    <cellStyle name="Normal 46" xfId="5" xr:uid="{DCB9261F-CE4B-4491-9DE2-798AD2A701B3}"/>
    <cellStyle name="Normal 5" xfId="6" xr:uid="{5DFAB65A-BF90-4271-BEE0-1AEE20102630}"/>
    <cellStyle name="Normal 72" xfId="4" xr:uid="{43AB12E3-781D-49F7-BA4E-45BCC09FE7C3}"/>
    <cellStyle name="Normal 8" xfId="10" xr:uid="{DC7E8727-8F14-4C51-A8A4-428994DFF90C}"/>
    <cellStyle name="ParaBirimi" xfId="1" builtinId="4"/>
    <cellStyle name="ParaBirimi 2" xfId="2" xr:uid="{DDE88B13-414B-4B32-8C18-3F94C9DD8FFB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671" Type="http://schemas.openxmlformats.org/officeDocument/2006/relationships/hyperlink" Target="https://www.siemens-home.bsh-group.com/tr/tr/product/camasir-ve-kurutma-makineleri/WT7WH460TR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682" Type="http://schemas.openxmlformats.org/officeDocument/2006/relationships/hyperlink" Target="https://www.siemens-home.bsh-group.com/tr/tr/product/bulasik-makineleri/solo-bulasik-makineleri/tam-ebatli-bulasik-makineleri-60cm/SN23II63KT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675" Type="http://schemas.openxmlformats.org/officeDocument/2006/relationships/hyperlink" Target="https://www.siemens-home.bsh-group.com/tr/tr/product/prsiemensfridge15/KG56NVIF0N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686" Type="http://schemas.openxmlformats.org/officeDocument/2006/relationships/hyperlink" Target="https://www.epey.com/televizyon/philips-50pus8349.html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79" Type="http://schemas.openxmlformats.org/officeDocument/2006/relationships/hyperlink" Target="https://www.siemens-home.bsh-group.com/tr/tr/product/ldaset2wm/WQ42G20RTR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145" Type="http://schemas.openxmlformats.org/officeDocument/2006/relationships/hyperlink" Target="https://www.siemens-home.bsh-group.com/tr/tr/product/ankastre/ankastre-ocaklar/EP6A8HB20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hyperlink" Target="https://www.siemens-home.bsh-group.com/tr/tr/product/buzdolaplari-ve-derin-dondurucular/solo-buzdolaplari-ve-derin-dondurucular/ustten-donduruculu-solo-buzdolaplari/KD55NNLE1N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679" Type="http://schemas.openxmlformats.org/officeDocument/2006/relationships/hyperlink" Target="https://www.siemens-home.bsh-group.com/tr/tr/product/bulasik-makineleri/solo-bulasik-makineleri/tam-ebatli-bulasik-makineleri-60cm/SN23EW63MT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670" Type="http://schemas.openxmlformats.org/officeDocument/2006/relationships/hyperlink" Target="https://www.siemens-home.bsh-group.com/tr/tr/product/LC66GCD50T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681" Type="http://schemas.openxmlformats.org/officeDocument/2006/relationships/hyperlink" Target="https://www.siemens-home.bsh-group.com/tr/tr/product/bulasik-makineleri/solo-bulasik-makineleri/tam-ebatli-bulasik-makineleri-60cm/SN23EI64MT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672" Type="http://schemas.openxmlformats.org/officeDocument/2006/relationships/hyperlink" Target="https://www.siemens-home.bsh-group.com/tr/tr/product/prsiemensfridge/KG56NUWF0N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683" Type="http://schemas.openxmlformats.org/officeDocument/2006/relationships/hyperlink" Target="https://www.siemens-home.bsh-group.com/tr/tr/product/bulasik-makineleri/solo-bulasik-makineleri/tam-ebatli-bulasik-makineleri-60cm/SN23IW63KT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674" Type="http://schemas.openxmlformats.org/officeDocument/2006/relationships/hyperlink" Target="https://www.siemens-home.bsh-group.com/tr/tr/product/pisirme-grubu/ocaklar/gazli-ocaklar/EO7C2HO12O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685" Type="http://schemas.openxmlformats.org/officeDocument/2006/relationships/hyperlink" Target="https://www.epey.com/televizyon/philips-65pus8349.html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676" Type="http://schemas.openxmlformats.org/officeDocument/2006/relationships/hyperlink" Target="https://www.siemens-home.bsh-group.com/tr/tr/product/EO0C6PO12O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687" Type="http://schemas.openxmlformats.org/officeDocument/2006/relationships/hyperlink" Target="https://www.epey.com/televizyon/philips-65pus8349.html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78" Type="http://schemas.openxmlformats.org/officeDocument/2006/relationships/hyperlink" Target="https://www.siemens-home.bsh-group.com/tr/tr/product/buzdolaplari-ve-derin-dondurucular/solo-buzdolaplari-ve-derin-dondurucular/ustten-donduruculu-solo-buzdolaplari/KD55NNWE1N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669" Type="http://schemas.openxmlformats.org/officeDocument/2006/relationships/hyperlink" Target="https://www.siemens-home.bsh-group.com/tr/tr/product/kampanyalar/ankastre-set-indirim/ocaklar/EP6A9HB20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680" Type="http://schemas.openxmlformats.org/officeDocument/2006/relationships/hyperlink" Target="https://www.siemens-home.bsh-group.com/tr/tr/product/bulasik-makineleri/solo-bulasik-makineleri/tam-ebatli-bulasik-makineleri-60cm/SN23EI63MT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673" Type="http://schemas.openxmlformats.org/officeDocument/2006/relationships/hyperlink" Target="https://www.siemens-home.bsh-group.com/tr/tr/product/HF12G240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684" Type="http://schemas.openxmlformats.org/officeDocument/2006/relationships/hyperlink" Target="https://www.epey.com/televizyon/philips-50pus8349.html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677" Type="http://schemas.openxmlformats.org/officeDocument/2006/relationships/hyperlink" Target="https://www.siemens-home.bsh-group.com/tr/tr/product/EN6B2PO10O" TargetMode="External"/><Relationship Id="rId232" Type="http://schemas.openxmlformats.org/officeDocument/2006/relationships/hyperlink" Target="https://www.siemens-home.bsh-group.com/tr/tr/product/arsiv/HB655GNW1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537" Type="http://schemas.openxmlformats.org/officeDocument/2006/relationships/hyperlink" Target="https://www.siemens-home.bsh-group.com/tr/tr/product/prsiemenswm/WG44A2Z0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450" Type="http://schemas.openxmlformats.org/officeDocument/2006/relationships/hyperlink" Target="https://www.siemens-home.bsh-group.com/tr/tr/product/SN55ES80KT" TargetMode="External"/><Relationship Id="rId688" Type="http://schemas.openxmlformats.org/officeDocument/2006/relationships/printerSettings" Target="../printerSettings/printerSettings3.bin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B64F-B095-4A79-BA7E-EBC5C1E5CD55}">
  <dimension ref="A1:Y1176"/>
  <sheetViews>
    <sheetView tabSelected="1" zoomScale="90" zoomScaleNormal="90" workbookViewId="0">
      <pane ySplit="1" topLeftCell="A2" activePane="bottomLeft" state="frozen"/>
      <selection activeCell="B656" sqref="B656"/>
      <selection pane="bottomLeft" activeCell="A2" sqref="A2"/>
    </sheetView>
  </sheetViews>
  <sheetFormatPr defaultColWidth="17.85546875" defaultRowHeight="17.25"/>
  <cols>
    <col min="1" max="1" width="15.42578125" style="51" customWidth="1"/>
    <col min="2" max="2" width="54" style="109" customWidth="1"/>
    <col min="3" max="3" width="6.85546875" style="110" customWidth="1"/>
    <col min="4" max="4" width="8.85546875" style="111" bestFit="1" customWidth="1"/>
    <col min="5" max="5" width="5.140625" style="121" bestFit="1" customWidth="1"/>
    <col min="6" max="6" width="6.140625" style="121" bestFit="1" customWidth="1"/>
    <col min="7" max="7" width="6.42578125" style="121" customWidth="1"/>
    <col min="8" max="8" width="4" style="121" customWidth="1"/>
    <col min="9" max="9" width="6.5703125" style="30" bestFit="1" customWidth="1"/>
    <col min="10" max="10" width="4.7109375" style="30" bestFit="1" customWidth="1"/>
    <col min="11" max="11" width="5.7109375" style="122" bestFit="1" customWidth="1"/>
    <col min="12" max="12" width="6.42578125" style="122" bestFit="1" customWidth="1"/>
    <col min="13" max="13" width="7.140625" style="30" bestFit="1" customWidth="1"/>
    <col min="14" max="14" width="7.42578125" style="115" customWidth="1"/>
    <col min="15" max="15" width="6.85546875" style="116" bestFit="1" customWidth="1"/>
    <col min="16" max="16" width="7.85546875" style="117" customWidth="1"/>
    <col min="17" max="17" width="11.42578125" style="25" customWidth="1"/>
    <col min="18" max="18" width="9.7109375" style="35" customWidth="1"/>
    <col min="19" max="19" width="11.140625" style="118" customWidth="1"/>
    <col min="20" max="20" width="10.5703125" style="118" customWidth="1"/>
    <col min="21" max="21" width="10.5703125" style="119" customWidth="1"/>
    <col min="22" max="22" width="9.85546875" style="120" bestFit="1" customWidth="1"/>
    <col min="23" max="23" width="11" style="120" customWidth="1"/>
    <col min="24" max="24" width="18" style="29" bestFit="1" customWidth="1"/>
    <col min="25" max="25" width="26.85546875" style="30" bestFit="1" customWidth="1"/>
  </cols>
  <sheetData>
    <row r="1" spans="1:25" s="16" customFormat="1" ht="61.5" customHeight="1">
      <c r="A1" s="1" t="s">
        <v>0</v>
      </c>
      <c r="B1" s="1" t="s">
        <v>1</v>
      </c>
      <c r="C1" s="2" t="s">
        <v>1893</v>
      </c>
      <c r="D1" s="3" t="s">
        <v>1894</v>
      </c>
      <c r="E1" s="4" t="s">
        <v>2</v>
      </c>
      <c r="F1" s="2" t="s">
        <v>3</v>
      </c>
      <c r="G1" s="5" t="s">
        <v>4</v>
      </c>
      <c r="H1" s="5" t="s">
        <v>5</v>
      </c>
      <c r="I1" s="6" t="s">
        <v>6</v>
      </c>
      <c r="J1" s="6" t="s">
        <v>7</v>
      </c>
      <c r="K1" s="7" t="s">
        <v>8</v>
      </c>
      <c r="L1" s="7" t="s">
        <v>9</v>
      </c>
      <c r="M1" s="6" t="s">
        <v>10</v>
      </c>
      <c r="N1" s="2" t="s">
        <v>11</v>
      </c>
      <c r="O1" s="8" t="s">
        <v>1895</v>
      </c>
      <c r="P1" s="9" t="s">
        <v>12</v>
      </c>
      <c r="Q1" s="10" t="s">
        <v>13</v>
      </c>
      <c r="R1" s="11" t="s">
        <v>14</v>
      </c>
      <c r="S1" s="11" t="s">
        <v>15</v>
      </c>
      <c r="T1" s="11" t="s">
        <v>16</v>
      </c>
      <c r="U1" s="12" t="s">
        <v>17</v>
      </c>
      <c r="V1" s="13" t="s">
        <v>18</v>
      </c>
      <c r="W1" s="14" t="s">
        <v>19</v>
      </c>
      <c r="X1" s="15" t="s">
        <v>20</v>
      </c>
      <c r="Y1" s="16" t="s">
        <v>21</v>
      </c>
    </row>
    <row r="2" spans="1:25">
      <c r="A2" s="17" t="s">
        <v>22</v>
      </c>
      <c r="B2" s="18" t="str">
        <f>IFERROR(HYPERLINK(VLOOKUP(A2,ÜRÜNLER!A:C,3,FALSE),VLOOKUP(A2,ÜRÜNLER!A:B,2,FALSE)),"")</f>
        <v>iQ300 Gardırop Tipi Buzdolabı, 90.8cm, Inox</v>
      </c>
      <c r="C2" s="19" t="s">
        <v>1883</v>
      </c>
      <c r="D2" s="19" t="s">
        <v>1883</v>
      </c>
      <c r="E2" s="20">
        <v>0</v>
      </c>
      <c r="F2" s="20">
        <v>0</v>
      </c>
      <c r="G2" s="20">
        <v>0</v>
      </c>
      <c r="H2" s="20">
        <v>0</v>
      </c>
      <c r="I2" s="21">
        <v>0</v>
      </c>
      <c r="J2" s="21">
        <v>1</v>
      </c>
      <c r="K2" s="20">
        <v>0</v>
      </c>
      <c r="L2" s="20">
        <v>1</v>
      </c>
      <c r="M2" s="21">
        <v>0</v>
      </c>
      <c r="N2" s="22">
        <f>SUM(C2:M2)</f>
        <v>2</v>
      </c>
      <c r="O2" s="23" t="s">
        <v>1883</v>
      </c>
      <c r="P2" s="24" t="s">
        <v>1883</v>
      </c>
      <c r="Q2" s="25" t="s">
        <v>1884</v>
      </c>
      <c r="R2" s="26">
        <v>80000</v>
      </c>
      <c r="S2" s="27">
        <f>R2*1.04</f>
        <v>83200</v>
      </c>
      <c r="T2" s="27">
        <f>R2*1.08</f>
        <v>86400</v>
      </c>
      <c r="U2" s="25" t="s">
        <v>1883</v>
      </c>
      <c r="V2" s="26" t="s">
        <v>1883</v>
      </c>
      <c r="W2" s="28">
        <v>1000</v>
      </c>
    </row>
    <row r="3" spans="1:25">
      <c r="A3" s="31" t="s">
        <v>23</v>
      </c>
      <c r="B3" s="18" t="str">
        <f>IFERROR(HYPERLINK(VLOOKUP(A3,ÜRÜNLER!A:C,3,FALSE),VLOOKUP(A3,ÜRÜNLER!A:B,2,FALSE)),"")</f>
        <v>iQ700 Gardırop Tipi Buzdolabı, Cam Kapı, Alkol Çekmeceli, 90.5cm, Siyah</v>
      </c>
      <c r="C3" s="19">
        <v>15</v>
      </c>
      <c r="D3" s="19" t="s">
        <v>1883</v>
      </c>
      <c r="E3" s="20">
        <v>0</v>
      </c>
      <c r="F3" s="20">
        <v>1</v>
      </c>
      <c r="G3" s="20">
        <v>0</v>
      </c>
      <c r="H3" s="20">
        <v>0</v>
      </c>
      <c r="I3" s="21">
        <v>1</v>
      </c>
      <c r="J3" s="21">
        <v>1</v>
      </c>
      <c r="K3" s="20">
        <v>0</v>
      </c>
      <c r="L3" s="20">
        <v>0</v>
      </c>
      <c r="M3" s="21">
        <v>1</v>
      </c>
      <c r="N3" s="22">
        <f t="shared" ref="N3:N68" si="0">SUM(C3:M3)</f>
        <v>19</v>
      </c>
      <c r="O3" s="23"/>
      <c r="P3" s="24" t="s">
        <v>1883</v>
      </c>
      <c r="Q3" s="25">
        <v>215784.16717519649</v>
      </c>
      <c r="R3" s="32">
        <v>204994.95881643667</v>
      </c>
      <c r="S3" s="27">
        <f t="shared" ref="S3:S68" si="1">R3*1.04</f>
        <v>213194.75716909414</v>
      </c>
      <c r="T3" s="27">
        <f t="shared" ref="T3:T17" si="2">R3*1.08</f>
        <v>221394.55552175161</v>
      </c>
      <c r="U3" s="25" t="s">
        <v>1883</v>
      </c>
      <c r="V3" s="26" t="s">
        <v>1883</v>
      </c>
      <c r="W3" s="33"/>
    </row>
    <row r="4" spans="1:25">
      <c r="A4" s="31" t="s">
        <v>24</v>
      </c>
      <c r="B4" s="18" t="str">
        <f>IFERROR(HYPERLINK(VLOOKUP(A4,ÜRÜNLER!A:C,3,FALSE),VLOOKUP(A4,ÜRÜNLER!A:B,2,FALSE)),"")</f>
        <v>iQ300 Gardırop Tipi Buzdolabı, 90.5cm, BlackSteel</v>
      </c>
      <c r="C4" s="19" t="s">
        <v>1883</v>
      </c>
      <c r="D4" s="19" t="s">
        <v>1883</v>
      </c>
      <c r="E4" s="20">
        <v>0</v>
      </c>
      <c r="F4" s="20">
        <v>0</v>
      </c>
      <c r="G4" s="20">
        <v>0</v>
      </c>
      <c r="H4" s="20">
        <v>0</v>
      </c>
      <c r="I4" s="21">
        <v>1</v>
      </c>
      <c r="J4" s="21">
        <v>0</v>
      </c>
      <c r="K4" s="20">
        <v>1</v>
      </c>
      <c r="L4" s="20">
        <v>2</v>
      </c>
      <c r="M4" s="21">
        <v>1</v>
      </c>
      <c r="N4" s="22">
        <f t="shared" si="0"/>
        <v>5</v>
      </c>
      <c r="O4" s="23">
        <v>16</v>
      </c>
      <c r="P4" s="24" t="s">
        <v>1883</v>
      </c>
      <c r="Q4" s="25">
        <v>134806.50673133694</v>
      </c>
      <c r="R4" s="33">
        <v>134806.50673133694</v>
      </c>
      <c r="S4" s="27">
        <f t="shared" si="1"/>
        <v>140198.76700059042</v>
      </c>
      <c r="T4" s="27">
        <f t="shared" si="2"/>
        <v>145591.02726984391</v>
      </c>
      <c r="U4" s="25">
        <v>37017.154879485082</v>
      </c>
      <c r="V4" s="26" t="s">
        <v>1883</v>
      </c>
      <c r="W4" s="33"/>
    </row>
    <row r="5" spans="1:25">
      <c r="A5" s="17" t="s">
        <v>25</v>
      </c>
      <c r="B5" s="18" t="str">
        <f>IFERROR(HYPERLINK(VLOOKUP(A5,ÜRÜNLER!A:C,3,FALSE),VLOOKUP(A5,ÜRÜNLER!A:B,2,FALSE)),"")</f>
        <v>iQ300 Gardırop Tipi Buzdolabı, 90.5cm, Inox</v>
      </c>
      <c r="C5" s="19">
        <v>13</v>
      </c>
      <c r="D5" s="19" t="s">
        <v>1883</v>
      </c>
      <c r="E5" s="20">
        <v>0</v>
      </c>
      <c r="F5" s="20">
        <v>0</v>
      </c>
      <c r="G5" s="20">
        <v>0</v>
      </c>
      <c r="H5" s="20">
        <v>0</v>
      </c>
      <c r="I5" s="21">
        <v>1</v>
      </c>
      <c r="J5" s="21">
        <v>0</v>
      </c>
      <c r="K5" s="20">
        <v>0</v>
      </c>
      <c r="L5" s="20">
        <v>2</v>
      </c>
      <c r="M5" s="21">
        <v>0</v>
      </c>
      <c r="N5" s="22">
        <f t="shared" si="0"/>
        <v>16</v>
      </c>
      <c r="O5" s="23">
        <v>1</v>
      </c>
      <c r="P5" s="24" t="s">
        <v>1883</v>
      </c>
      <c r="Q5" s="25">
        <v>118087.26901460295</v>
      </c>
      <c r="R5" s="32">
        <v>112182.9055638728</v>
      </c>
      <c r="S5" s="27">
        <f t="shared" si="1"/>
        <v>116670.22178642772</v>
      </c>
      <c r="T5" s="27">
        <f t="shared" si="2"/>
        <v>121157.53800898264</v>
      </c>
      <c r="U5" s="25">
        <v>22366.338782044801</v>
      </c>
      <c r="V5" s="26" t="s">
        <v>1883</v>
      </c>
      <c r="W5" s="28">
        <v>250</v>
      </c>
    </row>
    <row r="6" spans="1:25">
      <c r="A6" s="17" t="s">
        <v>26</v>
      </c>
      <c r="B6" s="18" t="str">
        <f>IFERROR(HYPERLINK(VLOOKUP(A6,ÜRÜNLER!A:C,3,FALSE),VLOOKUP(A6,ÜRÜNLER!A:B,2,FALSE)),"")</f>
        <v>iQ100 Üstten Donduruculu Kulpsuz Buzdolabı, 70cm, Beyaz</v>
      </c>
      <c r="C6" s="19" t="s">
        <v>1883</v>
      </c>
      <c r="D6" s="19" t="s">
        <v>1883</v>
      </c>
      <c r="E6" s="20">
        <v>0</v>
      </c>
      <c r="F6" s="20">
        <v>0</v>
      </c>
      <c r="G6" s="20">
        <v>0</v>
      </c>
      <c r="H6" s="20">
        <v>0</v>
      </c>
      <c r="I6" s="21">
        <v>0</v>
      </c>
      <c r="J6" s="21">
        <v>0</v>
      </c>
      <c r="K6" s="20">
        <v>0</v>
      </c>
      <c r="L6" s="20">
        <v>0</v>
      </c>
      <c r="M6" s="21">
        <v>0</v>
      </c>
      <c r="N6" s="22">
        <f t="shared" si="0"/>
        <v>0</v>
      </c>
      <c r="O6" s="23" t="s">
        <v>1883</v>
      </c>
      <c r="P6" s="24" t="s">
        <v>27</v>
      </c>
      <c r="Q6" s="25">
        <v>35217.431778693797</v>
      </c>
      <c r="R6" s="26">
        <v>35569.606096480733</v>
      </c>
      <c r="S6" s="27">
        <f t="shared" si="1"/>
        <v>36992.39034033996</v>
      </c>
      <c r="T6" s="27">
        <f t="shared" si="2"/>
        <v>38415.174584199194</v>
      </c>
      <c r="U6" s="25" t="s">
        <v>1883</v>
      </c>
      <c r="V6" s="26" t="s">
        <v>1883</v>
      </c>
      <c r="W6" s="33"/>
    </row>
    <row r="7" spans="1:25">
      <c r="A7" s="17" t="s">
        <v>28</v>
      </c>
      <c r="B7" s="18" t="str">
        <f>IFERROR(HYPERLINK(VLOOKUP(A7,ÜRÜNLER!A:C,3,FALSE),VLOOKUP(A7,ÜRÜNLER!A:B,2,FALSE)),"")</f>
        <v>iQ300 Üstten Donduruculu Kulpsuz Buzdolabı, 70cm, Beyaz</v>
      </c>
      <c r="C7" s="19" t="s">
        <v>1883</v>
      </c>
      <c r="D7" s="19" t="s">
        <v>1883</v>
      </c>
      <c r="E7" s="20">
        <v>0</v>
      </c>
      <c r="F7" s="20">
        <v>1</v>
      </c>
      <c r="G7" s="20">
        <v>0</v>
      </c>
      <c r="H7" s="20">
        <v>0</v>
      </c>
      <c r="I7" s="21">
        <v>0</v>
      </c>
      <c r="J7" s="21">
        <v>0</v>
      </c>
      <c r="K7" s="20">
        <v>0</v>
      </c>
      <c r="L7" s="20">
        <v>0</v>
      </c>
      <c r="M7" s="21">
        <v>0</v>
      </c>
      <c r="N7" s="22">
        <f t="shared" si="0"/>
        <v>1</v>
      </c>
      <c r="O7" s="23" t="s">
        <v>1883</v>
      </c>
      <c r="P7" s="24" t="s">
        <v>1883</v>
      </c>
      <c r="Q7" s="25" t="s">
        <v>1884</v>
      </c>
      <c r="R7" s="26">
        <v>36986.14173954296</v>
      </c>
      <c r="S7" s="27">
        <f t="shared" si="1"/>
        <v>38465.587409124681</v>
      </c>
      <c r="T7" s="27">
        <f t="shared" si="2"/>
        <v>39945.033078706401</v>
      </c>
      <c r="U7" s="25" t="s">
        <v>1883</v>
      </c>
      <c r="V7" s="26" t="s">
        <v>1883</v>
      </c>
      <c r="W7" s="33"/>
    </row>
    <row r="8" spans="1:25">
      <c r="A8" s="17" t="s">
        <v>1841</v>
      </c>
      <c r="B8" s="18" t="str">
        <f>IFERROR(HYPERLINK(VLOOKUP(A8,ÜRÜNLER!A:C,3,FALSE),VLOOKUP(A8,ÜRÜNLER!A:B,2,FALSE)),"")</f>
        <v>iQ300 Üstten Donduruculu Kulpsuz Buzdolabı, 70cm, Beyaz (TF70 Kahvaltılık Çekmeceli)</v>
      </c>
      <c r="C8" s="19">
        <v>10</v>
      </c>
      <c r="D8" s="19" t="s">
        <v>1883</v>
      </c>
      <c r="E8" s="20">
        <v>0</v>
      </c>
      <c r="F8" s="20">
        <v>0</v>
      </c>
      <c r="G8" s="20">
        <v>0</v>
      </c>
      <c r="H8" s="20">
        <v>0</v>
      </c>
      <c r="I8" s="21">
        <v>0</v>
      </c>
      <c r="J8" s="21">
        <v>0</v>
      </c>
      <c r="K8" s="20">
        <v>0</v>
      </c>
      <c r="L8" s="20">
        <v>0</v>
      </c>
      <c r="M8" s="21">
        <v>0</v>
      </c>
      <c r="N8" s="22">
        <f t="shared" si="0"/>
        <v>10</v>
      </c>
      <c r="O8" s="23" t="s">
        <v>1883</v>
      </c>
      <c r="P8" s="24" t="s">
        <v>27</v>
      </c>
      <c r="Q8" s="25">
        <v>39558.139534883725</v>
      </c>
      <c r="R8" s="26">
        <v>39558</v>
      </c>
      <c r="S8" s="27">
        <f t="shared" si="1"/>
        <v>41140.32</v>
      </c>
      <c r="T8" s="27">
        <f t="shared" si="2"/>
        <v>42722.64</v>
      </c>
      <c r="U8" s="25" t="s">
        <v>1883</v>
      </c>
      <c r="V8" s="26" t="s">
        <v>1883</v>
      </c>
      <c r="W8" s="33"/>
    </row>
    <row r="9" spans="1:25">
      <c r="A9" s="17" t="s">
        <v>29</v>
      </c>
      <c r="B9" s="18" t="str">
        <f>IFERROR(HYPERLINK(VLOOKUP(A9,ÜRÜNLER!A:C,3,FALSE),VLOOKUP(A9,ÜRÜNLER!A:B,2,FALSE)),"")</f>
        <v>iQ300 Üstten Donduruculu Kulpsuz Buzdolabı, 70cm, Inox Görünümlü</v>
      </c>
      <c r="C9" s="19">
        <v>2</v>
      </c>
      <c r="D9" s="19" t="s">
        <v>1883</v>
      </c>
      <c r="E9" s="20">
        <v>0</v>
      </c>
      <c r="F9" s="20">
        <v>0</v>
      </c>
      <c r="G9" s="20">
        <v>0</v>
      </c>
      <c r="H9" s="20">
        <v>0</v>
      </c>
      <c r="I9" s="21">
        <v>0</v>
      </c>
      <c r="J9" s="21">
        <v>0</v>
      </c>
      <c r="K9" s="20">
        <v>0</v>
      </c>
      <c r="L9" s="20">
        <v>0</v>
      </c>
      <c r="M9" s="21">
        <v>0</v>
      </c>
      <c r="N9" s="22">
        <f t="shared" si="0"/>
        <v>2</v>
      </c>
      <c r="O9" s="23" t="s">
        <v>1883</v>
      </c>
      <c r="P9" s="24" t="s">
        <v>1883</v>
      </c>
      <c r="Q9" s="25" t="s">
        <v>1884</v>
      </c>
      <c r="R9" s="34">
        <v>43670</v>
      </c>
      <c r="S9" s="27">
        <f t="shared" si="1"/>
        <v>45416.800000000003</v>
      </c>
      <c r="T9" s="27">
        <f t="shared" si="2"/>
        <v>47163.600000000006</v>
      </c>
      <c r="U9" s="25">
        <v>2879.6532942814961</v>
      </c>
      <c r="V9" s="26" t="s">
        <v>1883</v>
      </c>
      <c r="W9" s="33"/>
    </row>
    <row r="10" spans="1:25">
      <c r="A10" s="207" t="s">
        <v>1844</v>
      </c>
      <c r="B10" s="18" t="str">
        <f>IFERROR(HYPERLINK(VLOOKUP(A10,ÜRÜNLER!A:C,3,FALSE),VLOOKUP(A10,ÜRÜNLER!A:B,2,FALSE)),"")</f>
        <v>iQ300 Üstten Donduruculu Kulpsuz Buzdolabı, 70cm, Inox Görünümlü (TF70 Kahvaltılık Çekmeceli)</v>
      </c>
      <c r="C10" s="19">
        <v>5</v>
      </c>
      <c r="D10" s="19" t="s">
        <v>1883</v>
      </c>
      <c r="E10" s="20">
        <v>0</v>
      </c>
      <c r="F10" s="20">
        <v>0</v>
      </c>
      <c r="G10" s="20">
        <v>0</v>
      </c>
      <c r="H10" s="20">
        <v>0</v>
      </c>
      <c r="I10" s="21">
        <v>0</v>
      </c>
      <c r="J10" s="21">
        <v>0</v>
      </c>
      <c r="K10" s="20">
        <v>0</v>
      </c>
      <c r="L10" s="20">
        <v>0</v>
      </c>
      <c r="M10" s="21">
        <v>0</v>
      </c>
      <c r="N10" s="22">
        <f t="shared" si="0"/>
        <v>5</v>
      </c>
      <c r="O10" s="23" t="s">
        <v>1883</v>
      </c>
      <c r="P10" s="24" t="s">
        <v>27</v>
      </c>
      <c r="Q10" s="25">
        <v>42427.100445603057</v>
      </c>
      <c r="R10" s="34">
        <v>42427</v>
      </c>
      <c r="S10" s="27">
        <f t="shared" si="1"/>
        <v>44124.08</v>
      </c>
      <c r="T10" s="27">
        <f t="shared" si="2"/>
        <v>45821.16</v>
      </c>
      <c r="U10" s="25" t="s">
        <v>1883</v>
      </c>
      <c r="V10" s="26" t="s">
        <v>1883</v>
      </c>
      <c r="W10" s="33"/>
    </row>
    <row r="11" spans="1:25">
      <c r="A11" s="17" t="s">
        <v>30</v>
      </c>
      <c r="B11" s="18" t="str">
        <f>IFERROR(HYPERLINK(VLOOKUP(A11,ÜRÜNLER!A:C,3,FALSE),VLOOKUP(A11,ÜRÜNLER!A:B,2,FALSE)),"")</f>
        <v>iQ300 Üstten Donduruculu Kulpsuz Buzdolabı, 70cm, Beyaz</v>
      </c>
      <c r="C11" s="19" t="s">
        <v>1883</v>
      </c>
      <c r="D11" s="19" t="s">
        <v>1883</v>
      </c>
      <c r="E11" s="20">
        <v>0</v>
      </c>
      <c r="F11" s="20">
        <v>0</v>
      </c>
      <c r="G11" s="20">
        <v>0</v>
      </c>
      <c r="H11" s="20">
        <v>0</v>
      </c>
      <c r="I11" s="21">
        <v>0</v>
      </c>
      <c r="J11" s="21">
        <v>0</v>
      </c>
      <c r="K11" s="20">
        <v>0</v>
      </c>
      <c r="L11" s="20">
        <v>1</v>
      </c>
      <c r="M11" s="21">
        <v>0</v>
      </c>
      <c r="N11" s="22">
        <f t="shared" si="0"/>
        <v>1</v>
      </c>
      <c r="O11" s="23" t="s">
        <v>1883</v>
      </c>
      <c r="P11" s="24" t="s">
        <v>1883</v>
      </c>
      <c r="Q11" s="25" t="s">
        <v>1884</v>
      </c>
      <c r="R11" s="35">
        <v>40000</v>
      </c>
      <c r="S11" s="27">
        <f t="shared" si="1"/>
        <v>41600</v>
      </c>
      <c r="T11" s="27">
        <f t="shared" si="2"/>
        <v>43200</v>
      </c>
      <c r="U11" s="25" t="s">
        <v>1883</v>
      </c>
      <c r="V11" s="26" t="s">
        <v>1883</v>
      </c>
      <c r="W11" s="28">
        <v>500</v>
      </c>
      <c r="Y11" s="36"/>
    </row>
    <row r="12" spans="1:25">
      <c r="A12" s="37" t="s">
        <v>31</v>
      </c>
      <c r="B12" s="18" t="str">
        <f>IFERROR(HYPERLINK(VLOOKUP(A12,ÜRÜNLER!A:C,3,FALSE),VLOOKUP(A12,ÜRÜNLER!A:B,2,FALSE)),"")</f>
        <v>iQ500 Üstten Donduruculu Kulplu Buzdolabı, 75cm, Inox</v>
      </c>
      <c r="C12" s="19">
        <v>11</v>
      </c>
      <c r="D12" s="19" t="s">
        <v>1883</v>
      </c>
      <c r="E12" s="20">
        <v>0</v>
      </c>
      <c r="F12" s="20">
        <v>0</v>
      </c>
      <c r="G12" s="20">
        <v>0</v>
      </c>
      <c r="H12" s="20">
        <v>0</v>
      </c>
      <c r="I12" s="21">
        <v>0</v>
      </c>
      <c r="J12" s="21">
        <v>0</v>
      </c>
      <c r="K12" s="20">
        <v>0</v>
      </c>
      <c r="L12" s="20">
        <v>0</v>
      </c>
      <c r="M12" s="21">
        <v>0</v>
      </c>
      <c r="N12" s="22">
        <f t="shared" si="0"/>
        <v>11</v>
      </c>
      <c r="O12" s="23" t="s">
        <v>1883</v>
      </c>
      <c r="P12" s="24" t="s">
        <v>1883</v>
      </c>
      <c r="Q12" s="25">
        <v>84535.624718473977</v>
      </c>
      <c r="R12" s="32">
        <v>80308.843482550277</v>
      </c>
      <c r="S12" s="27">
        <f t="shared" si="1"/>
        <v>83521.197221852286</v>
      </c>
      <c r="T12" s="27">
        <f t="shared" si="2"/>
        <v>86733.550961154309</v>
      </c>
      <c r="U12" s="25">
        <v>12012.368904520483</v>
      </c>
      <c r="V12" s="26" t="s">
        <v>1883</v>
      </c>
      <c r="W12" s="33"/>
    </row>
    <row r="13" spans="1:25">
      <c r="A13" s="37" t="s">
        <v>32</v>
      </c>
      <c r="B13" s="18" t="str">
        <f>IFERROR(HYPERLINK(VLOOKUP(A13,ÜRÜNLER!A:C,3,FALSE),VLOOKUP(A13,ÜRÜNLER!A:B,2,FALSE)),"")</f>
        <v>iQ500 Üstten Donduruculu Kulplu Buzdolabı, 75cm, Beyaz</v>
      </c>
      <c r="C13" s="19">
        <v>14</v>
      </c>
      <c r="D13" s="19" t="s">
        <v>1883</v>
      </c>
      <c r="E13" s="20">
        <v>0</v>
      </c>
      <c r="F13" s="20">
        <v>0</v>
      </c>
      <c r="G13" s="20">
        <v>0</v>
      </c>
      <c r="H13" s="20">
        <v>0</v>
      </c>
      <c r="I13" s="21">
        <v>0</v>
      </c>
      <c r="J13" s="21">
        <v>0</v>
      </c>
      <c r="K13" s="20">
        <v>0</v>
      </c>
      <c r="L13" s="20">
        <v>0</v>
      </c>
      <c r="M13" s="21">
        <v>0</v>
      </c>
      <c r="N13" s="22">
        <f t="shared" si="0"/>
        <v>14</v>
      </c>
      <c r="O13" s="23"/>
      <c r="P13" s="24" t="s">
        <v>1883</v>
      </c>
      <c r="Q13" s="25">
        <v>62949.551468023252</v>
      </c>
      <c r="R13" s="32">
        <v>59802.073894622088</v>
      </c>
      <c r="S13" s="27">
        <f t="shared" si="1"/>
        <v>62194.156850406973</v>
      </c>
      <c r="T13" s="27">
        <f t="shared" si="2"/>
        <v>64586.239806191857</v>
      </c>
      <c r="U13" s="25" t="s">
        <v>1883</v>
      </c>
      <c r="V13" s="26" t="s">
        <v>1883</v>
      </c>
      <c r="W13" s="33"/>
    </row>
    <row r="14" spans="1:25">
      <c r="A14" s="38" t="s">
        <v>33</v>
      </c>
      <c r="B14" s="18" t="str">
        <f>IFERROR(HYPERLINK(VLOOKUP(A14,ÜRÜNLER!A:C,3,FALSE),VLOOKUP(A14,ÜRÜNLER!A:B,2,FALSE)),"")</f>
        <v>iQ500 Üstten Donduruculu Kulpsuz Buzdolabı, 75cm, Inox</v>
      </c>
      <c r="C14" s="19">
        <v>11</v>
      </c>
      <c r="D14" s="19" t="s">
        <v>1883</v>
      </c>
      <c r="E14" s="20">
        <v>0</v>
      </c>
      <c r="F14" s="20">
        <v>0</v>
      </c>
      <c r="G14" s="20">
        <v>0</v>
      </c>
      <c r="H14" s="20">
        <v>0</v>
      </c>
      <c r="I14" s="21">
        <v>0</v>
      </c>
      <c r="J14" s="21">
        <v>0</v>
      </c>
      <c r="K14" s="20">
        <v>0</v>
      </c>
      <c r="L14" s="20">
        <v>0</v>
      </c>
      <c r="M14" s="21">
        <v>0</v>
      </c>
      <c r="N14" s="22">
        <f t="shared" si="0"/>
        <v>11</v>
      </c>
      <c r="O14" s="23" t="s">
        <v>1883</v>
      </c>
      <c r="P14" s="24" t="s">
        <v>1883</v>
      </c>
      <c r="Q14" s="25">
        <v>70136.480962004265</v>
      </c>
      <c r="R14" s="32">
        <v>66629.656913904051</v>
      </c>
      <c r="S14" s="27">
        <f t="shared" si="1"/>
        <v>69294.843190460218</v>
      </c>
      <c r="T14" s="27">
        <f t="shared" si="2"/>
        <v>71960.029467016386</v>
      </c>
      <c r="U14" s="25">
        <v>5101.5972410740287</v>
      </c>
      <c r="V14" s="26" t="s">
        <v>1883</v>
      </c>
      <c r="W14" s="26"/>
    </row>
    <row r="15" spans="1:25">
      <c r="A15" s="38" t="s">
        <v>34</v>
      </c>
      <c r="B15" s="18" t="str">
        <f>IFERROR(HYPERLINK(VLOOKUP(A15,ÜRÜNLER!A:C,3,FALSE),VLOOKUP(A15,ÜRÜNLER!A:B,2,FALSE)),"")</f>
        <v>iQ300 Üstten Donduruculu, Kulpsuz Buzdolabı, 75cm, Beyaz</v>
      </c>
      <c r="C15" s="19">
        <v>30</v>
      </c>
      <c r="D15" s="19" t="s">
        <v>1883</v>
      </c>
      <c r="E15" s="20">
        <v>0</v>
      </c>
      <c r="F15" s="20">
        <v>0</v>
      </c>
      <c r="G15" s="20">
        <v>0</v>
      </c>
      <c r="H15" s="20">
        <v>0</v>
      </c>
      <c r="I15" s="21">
        <v>1</v>
      </c>
      <c r="J15" s="21">
        <v>1</v>
      </c>
      <c r="K15" s="20">
        <v>0</v>
      </c>
      <c r="L15" s="20">
        <v>0</v>
      </c>
      <c r="M15" s="21">
        <v>1</v>
      </c>
      <c r="N15" s="22">
        <f t="shared" si="0"/>
        <v>33</v>
      </c>
      <c r="O15" s="23">
        <v>9</v>
      </c>
      <c r="P15" s="24" t="s">
        <v>1883</v>
      </c>
      <c r="Q15" s="25">
        <v>64328.533377100357</v>
      </c>
      <c r="R15" s="32">
        <v>61112.106708245337</v>
      </c>
      <c r="S15" s="27">
        <f t="shared" si="1"/>
        <v>63556.590976575149</v>
      </c>
      <c r="T15" s="27">
        <f t="shared" si="2"/>
        <v>66001.075244904961</v>
      </c>
      <c r="U15" s="25">
        <v>11177.370586402678</v>
      </c>
      <c r="V15" s="26" t="s">
        <v>1883</v>
      </c>
      <c r="W15" s="26"/>
    </row>
    <row r="16" spans="1:25">
      <c r="A16" s="38" t="s">
        <v>35</v>
      </c>
      <c r="B16" s="18" t="str">
        <f>IFERROR(HYPERLINK(VLOOKUP(A16,ÜRÜNLER!A:C,3,FALSE),VLOOKUP(A16,ÜRÜNLER!A:B,2,FALSE)),"")</f>
        <v>iQ300 Üstten Donduruculu Kulpsuz Buzdolabı, 75cm, Beyaz</v>
      </c>
      <c r="C16" s="19" t="s">
        <v>1883</v>
      </c>
      <c r="D16" s="19" t="s">
        <v>1883</v>
      </c>
      <c r="E16" s="20">
        <v>0</v>
      </c>
      <c r="F16" s="20">
        <v>0</v>
      </c>
      <c r="G16" s="20">
        <v>0</v>
      </c>
      <c r="H16" s="20">
        <v>0</v>
      </c>
      <c r="I16" s="21">
        <v>0</v>
      </c>
      <c r="J16" s="21">
        <v>0</v>
      </c>
      <c r="K16" s="20">
        <v>0</v>
      </c>
      <c r="L16" s="20">
        <v>1</v>
      </c>
      <c r="M16" s="21">
        <v>0</v>
      </c>
      <c r="N16" s="22">
        <f t="shared" si="0"/>
        <v>1</v>
      </c>
      <c r="O16" s="23" t="s">
        <v>1883</v>
      </c>
      <c r="P16" s="24" t="s">
        <v>1883</v>
      </c>
      <c r="Q16" s="25" t="s">
        <v>1884</v>
      </c>
      <c r="R16" s="33">
        <v>55000</v>
      </c>
      <c r="S16" s="27">
        <f t="shared" si="1"/>
        <v>57200</v>
      </c>
      <c r="T16" s="27">
        <f t="shared" si="2"/>
        <v>59400.000000000007</v>
      </c>
      <c r="U16" s="25" t="s">
        <v>1883</v>
      </c>
      <c r="V16" s="26" t="s">
        <v>1883</v>
      </c>
      <c r="W16" s="28">
        <v>500</v>
      </c>
    </row>
    <row r="17" spans="1:25">
      <c r="A17" s="38" t="s">
        <v>36</v>
      </c>
      <c r="B17" s="18" t="str">
        <f>IFERROR(HYPERLINK(VLOOKUP(A17,ÜRÜNLER!A:C,3,FALSE),VLOOKUP(A17,ÜRÜNLER!A:B,2,FALSE)),"")</f>
        <v>iQ300 Üstten Donduruculu Kulpsuz Buzdolabı, 75cm, Beyaz</v>
      </c>
      <c r="C17" s="19">
        <v>20</v>
      </c>
      <c r="D17" s="19" t="s">
        <v>1883</v>
      </c>
      <c r="E17" s="20">
        <v>0</v>
      </c>
      <c r="F17" s="20">
        <v>0</v>
      </c>
      <c r="G17" s="20">
        <v>0</v>
      </c>
      <c r="H17" s="20">
        <v>0</v>
      </c>
      <c r="I17" s="21">
        <v>0</v>
      </c>
      <c r="J17" s="21">
        <v>0</v>
      </c>
      <c r="K17" s="20">
        <v>0</v>
      </c>
      <c r="L17" s="20">
        <v>0</v>
      </c>
      <c r="M17" s="21">
        <v>0</v>
      </c>
      <c r="N17" s="22">
        <f t="shared" si="0"/>
        <v>20</v>
      </c>
      <c r="O17" s="23" t="s">
        <v>1883</v>
      </c>
      <c r="P17" s="24" t="s">
        <v>1883</v>
      </c>
      <c r="Q17" s="25">
        <v>56792.905181497161</v>
      </c>
      <c r="R17" s="33">
        <v>56793</v>
      </c>
      <c r="S17" s="27">
        <f t="shared" si="1"/>
        <v>59064.72</v>
      </c>
      <c r="T17" s="27">
        <f t="shared" si="2"/>
        <v>61336.44</v>
      </c>
      <c r="U17" s="25">
        <v>5920.8121582413442</v>
      </c>
      <c r="V17" s="26" t="s">
        <v>1883</v>
      </c>
      <c r="W17" s="26"/>
    </row>
    <row r="18" spans="1:25">
      <c r="A18" s="17" t="s">
        <v>37</v>
      </c>
      <c r="B18" s="18" t="str">
        <f>IFERROR(HYPERLINK(VLOOKUP(A18,ÜRÜNLER!A:C,3,FALSE),VLOOKUP(A18,ÜRÜNLER!A:B,2,FALSE)),"")</f>
        <v>iQ500 Üstten Donduruculu Kulplu Buzdolabı, 86cm, Inox</v>
      </c>
      <c r="C18" s="19">
        <v>8</v>
      </c>
      <c r="D18" s="19" t="s">
        <v>1883</v>
      </c>
      <c r="E18" s="20">
        <v>1</v>
      </c>
      <c r="F18" s="20">
        <v>0</v>
      </c>
      <c r="G18" s="20">
        <v>0</v>
      </c>
      <c r="H18" s="20">
        <v>0</v>
      </c>
      <c r="I18" s="21">
        <v>1</v>
      </c>
      <c r="J18" s="21">
        <v>1</v>
      </c>
      <c r="K18" s="20">
        <v>1</v>
      </c>
      <c r="L18" s="20">
        <v>0</v>
      </c>
      <c r="M18" s="21">
        <v>0</v>
      </c>
      <c r="N18" s="22">
        <f t="shared" si="0"/>
        <v>12</v>
      </c>
      <c r="O18" s="23" t="s">
        <v>1883</v>
      </c>
      <c r="P18" s="24" t="s">
        <v>1883</v>
      </c>
      <c r="Q18" s="25">
        <v>98053.757359079536</v>
      </c>
      <c r="R18" s="32">
        <v>93151.069491125556</v>
      </c>
      <c r="S18" s="27">
        <f>R18*1.04</f>
        <v>96877.11227077058</v>
      </c>
      <c r="T18" s="27">
        <f>R18*1.08</f>
        <v>100603.1550504156</v>
      </c>
      <c r="U18" s="25">
        <v>19751.431777684178</v>
      </c>
      <c r="V18" s="26" t="s">
        <v>1883</v>
      </c>
      <c r="W18" s="33"/>
    </row>
    <row r="19" spans="1:25">
      <c r="A19" s="17" t="s">
        <v>38</v>
      </c>
      <c r="B19" s="18" t="str">
        <f>IFERROR(HYPERLINK(VLOOKUP(A19,ÜRÜNLER!A:C,3,FALSE),VLOOKUP(A19,ÜRÜNLER!A:B,2,FALSE)),"")</f>
        <v>iQ500 Üstten Donduruculu Kulplu Buzdolabı, 86cm, Beyaz</v>
      </c>
      <c r="C19" s="19">
        <v>21</v>
      </c>
      <c r="D19" s="19" t="s">
        <v>1883</v>
      </c>
      <c r="E19" s="20">
        <v>0</v>
      </c>
      <c r="F19" s="20">
        <v>0</v>
      </c>
      <c r="G19" s="20">
        <v>0</v>
      </c>
      <c r="H19" s="20">
        <v>0</v>
      </c>
      <c r="I19" s="21">
        <v>0</v>
      </c>
      <c r="J19" s="21">
        <v>0</v>
      </c>
      <c r="K19" s="20">
        <v>0</v>
      </c>
      <c r="L19" s="20">
        <v>0</v>
      </c>
      <c r="M19" s="21">
        <v>0</v>
      </c>
      <c r="N19" s="22">
        <f t="shared" si="0"/>
        <v>21</v>
      </c>
      <c r="O19" s="23"/>
      <c r="P19" s="24" t="s">
        <v>1883</v>
      </c>
      <c r="Q19" s="25">
        <v>85320.530544562032</v>
      </c>
      <c r="R19" s="32">
        <v>81054.504017333937</v>
      </c>
      <c r="S19" s="27">
        <f t="shared" si="1"/>
        <v>84296.684178027295</v>
      </c>
      <c r="T19" s="27">
        <f t="shared" ref="T19:T31" si="3">R19*1.08</f>
        <v>87538.864338720654</v>
      </c>
      <c r="U19" s="25">
        <v>12797.274730608538</v>
      </c>
      <c r="V19" s="26" t="s">
        <v>1883</v>
      </c>
      <c r="W19" s="33"/>
    </row>
    <row r="20" spans="1:25" s="36" customFormat="1">
      <c r="A20" s="17" t="s">
        <v>39</v>
      </c>
      <c r="B20" s="18" t="str">
        <f>IFERROR(HYPERLINK(VLOOKUP(A20,ÜRÜNLER!A:C,3,FALSE),VLOOKUP(A20,ÜRÜNLER!A:B,2,FALSE)),"")</f>
        <v>iQ500 Üstten Donduruculu Kulplu Buzdolabı, 86cm, Inox</v>
      </c>
      <c r="C20" s="19" t="s">
        <v>1883</v>
      </c>
      <c r="D20" s="19" t="s">
        <v>1883</v>
      </c>
      <c r="E20" s="20">
        <v>0</v>
      </c>
      <c r="F20" s="20">
        <v>0</v>
      </c>
      <c r="G20" s="20">
        <v>0</v>
      </c>
      <c r="H20" s="20">
        <v>0</v>
      </c>
      <c r="I20" s="21">
        <v>0</v>
      </c>
      <c r="J20" s="21">
        <v>0</v>
      </c>
      <c r="K20" s="20">
        <v>0</v>
      </c>
      <c r="L20" s="20">
        <v>1</v>
      </c>
      <c r="M20" s="21">
        <v>0</v>
      </c>
      <c r="N20" s="22">
        <f t="shared" si="0"/>
        <v>1</v>
      </c>
      <c r="O20" s="23" t="s">
        <v>1883</v>
      </c>
      <c r="P20" s="24" t="s">
        <v>1883</v>
      </c>
      <c r="Q20" s="25" t="s">
        <v>1884</v>
      </c>
      <c r="R20" s="35">
        <v>55000</v>
      </c>
      <c r="S20" s="27">
        <f t="shared" si="1"/>
        <v>57200</v>
      </c>
      <c r="T20" s="27">
        <f t="shared" si="3"/>
        <v>59400.000000000007</v>
      </c>
      <c r="U20" s="25" t="s">
        <v>1883</v>
      </c>
      <c r="V20" s="26" t="s">
        <v>1883</v>
      </c>
      <c r="W20" s="28">
        <v>500</v>
      </c>
      <c r="X20" s="29"/>
      <c r="Y20" s="30"/>
    </row>
    <row r="21" spans="1:25">
      <c r="A21" s="38" t="s">
        <v>40</v>
      </c>
      <c r="B21" s="18" t="str">
        <f>IFERROR(HYPERLINK(VLOOKUP(A21,ÜRÜNLER!A:C,3,FALSE),VLOOKUP(A21,ÜRÜNLER!A:B,2,FALSE)),"")</f>
        <v>iQ100 Alttan Donduruculu Kulpsuz Buzdolabı, 60cm, Inox</v>
      </c>
      <c r="C21" s="19" t="s">
        <v>1883</v>
      </c>
      <c r="D21" s="19" t="s">
        <v>1883</v>
      </c>
      <c r="E21" s="20">
        <v>0</v>
      </c>
      <c r="F21" s="20">
        <v>0</v>
      </c>
      <c r="G21" s="20">
        <v>0</v>
      </c>
      <c r="H21" s="20">
        <v>0</v>
      </c>
      <c r="I21" s="21">
        <v>0</v>
      </c>
      <c r="J21" s="21">
        <v>0</v>
      </c>
      <c r="K21" s="20">
        <v>0</v>
      </c>
      <c r="L21" s="20">
        <v>0</v>
      </c>
      <c r="M21" s="21">
        <v>0</v>
      </c>
      <c r="N21" s="22">
        <f t="shared" si="0"/>
        <v>0</v>
      </c>
      <c r="O21" s="23" t="s">
        <v>1883</v>
      </c>
      <c r="P21" s="24" t="s">
        <v>1883</v>
      </c>
      <c r="Q21" s="25" t="s">
        <v>1884</v>
      </c>
      <c r="R21" s="35">
        <v>40000</v>
      </c>
      <c r="S21" s="27">
        <f t="shared" si="1"/>
        <v>41600</v>
      </c>
      <c r="T21" s="27">
        <f t="shared" si="3"/>
        <v>43200</v>
      </c>
      <c r="U21" s="25" t="s">
        <v>1883</v>
      </c>
      <c r="V21" s="26" t="s">
        <v>1883</v>
      </c>
      <c r="W21" s="28">
        <v>500</v>
      </c>
    </row>
    <row r="22" spans="1:25">
      <c r="A22" s="17" t="s">
        <v>41</v>
      </c>
      <c r="B22" s="18" t="str">
        <f>IFERROR(HYPERLINK(VLOOKUP(A22,ÜRÜNLER!A:C,3,FALSE),VLOOKUP(A22,ÜRÜNLER!A:B,2,FALSE)),"")</f>
        <v>iQ300 Alttan Donduruculu Kulpsuz Buzdolabı, 70cm, Inox</v>
      </c>
      <c r="C22" s="19">
        <v>41</v>
      </c>
      <c r="D22" s="19" t="s">
        <v>1883</v>
      </c>
      <c r="E22" s="20">
        <v>4</v>
      </c>
      <c r="F22" s="20">
        <v>0</v>
      </c>
      <c r="G22" s="20">
        <v>0</v>
      </c>
      <c r="H22" s="20">
        <v>0</v>
      </c>
      <c r="I22" s="21">
        <v>1</v>
      </c>
      <c r="J22" s="21">
        <v>1</v>
      </c>
      <c r="K22" s="20">
        <v>0</v>
      </c>
      <c r="L22" s="20">
        <v>1</v>
      </c>
      <c r="M22" s="21">
        <v>1</v>
      </c>
      <c r="N22" s="22">
        <f t="shared" si="0"/>
        <v>49</v>
      </c>
      <c r="O22" s="23" t="s">
        <v>1883</v>
      </c>
      <c r="P22" s="24" t="s">
        <v>1883</v>
      </c>
      <c r="Q22" s="25">
        <v>65373.710842426284</v>
      </c>
      <c r="R22" s="32">
        <v>62105.025300304973</v>
      </c>
      <c r="S22" s="27">
        <f t="shared" si="1"/>
        <v>64589.226312317172</v>
      </c>
      <c r="T22" s="27">
        <f t="shared" si="3"/>
        <v>67073.427324329372</v>
      </c>
      <c r="U22" s="25">
        <v>15803.943400565811</v>
      </c>
      <c r="V22" s="26" t="s">
        <v>1883</v>
      </c>
      <c r="W22" s="33"/>
      <c r="Y22" s="39"/>
    </row>
    <row r="23" spans="1:25">
      <c r="A23" s="17" t="s">
        <v>42</v>
      </c>
      <c r="B23" s="18" t="str">
        <f>IFERROR(HYPERLINK(VLOOKUP(A23,ÜRÜNLER!A:C,3,FALSE),VLOOKUP(A23,ÜRÜNLER!A:B,2,FALSE)),"")</f>
        <v>iQ300 Alttan Donduruculu Kulpsuz Buzdolabı, 70cm, Beyaz</v>
      </c>
      <c r="C23" s="19">
        <v>70</v>
      </c>
      <c r="D23" s="19" t="s">
        <v>1883</v>
      </c>
      <c r="E23" s="20">
        <v>0</v>
      </c>
      <c r="F23" s="20">
        <v>0</v>
      </c>
      <c r="G23" s="20">
        <v>0</v>
      </c>
      <c r="H23" s="20">
        <v>0</v>
      </c>
      <c r="I23" s="21">
        <v>1</v>
      </c>
      <c r="J23" s="21">
        <v>0</v>
      </c>
      <c r="K23" s="20">
        <v>1</v>
      </c>
      <c r="L23" s="20">
        <v>2</v>
      </c>
      <c r="M23" s="21">
        <v>0</v>
      </c>
      <c r="N23" s="22">
        <f t="shared" si="0"/>
        <v>74</v>
      </c>
      <c r="O23" s="23" t="s">
        <v>1883</v>
      </c>
      <c r="P23" s="24" t="s">
        <v>1883</v>
      </c>
      <c r="Q23" s="25">
        <v>60461.404943148395</v>
      </c>
      <c r="R23" s="32">
        <v>57438.334695990976</v>
      </c>
      <c r="S23" s="27">
        <f t="shared" si="1"/>
        <v>59735.868083830617</v>
      </c>
      <c r="T23" s="27">
        <f t="shared" si="3"/>
        <v>62033.401471670259</v>
      </c>
      <c r="U23" s="25">
        <v>12845.125873380952</v>
      </c>
      <c r="V23" s="26" t="s">
        <v>1883</v>
      </c>
      <c r="W23" s="33"/>
      <c r="Y23" s="39"/>
    </row>
    <row r="24" spans="1:25">
      <c r="A24" s="17" t="s">
        <v>43</v>
      </c>
      <c r="B24" s="18" t="str">
        <f>IFERROR(HYPERLINK(VLOOKUP(A24,ÜRÜNLER!A:C,3,FALSE),VLOOKUP(A24,ÜRÜNLER!A:B,2,FALSE)),"")</f>
        <v>iQ300 Alttan Donduruculu Kulpsuz Buzdolabı, 70cm, Inox</v>
      </c>
      <c r="C24" s="19" t="s">
        <v>1883</v>
      </c>
      <c r="D24" s="19" t="s">
        <v>1883</v>
      </c>
      <c r="E24" s="20">
        <v>1</v>
      </c>
      <c r="F24" s="20">
        <v>0</v>
      </c>
      <c r="G24" s="20">
        <v>0</v>
      </c>
      <c r="H24" s="20">
        <v>0</v>
      </c>
      <c r="I24" s="21">
        <v>0</v>
      </c>
      <c r="J24" s="21">
        <v>0</v>
      </c>
      <c r="K24" s="20">
        <v>0</v>
      </c>
      <c r="L24" s="20">
        <v>1</v>
      </c>
      <c r="M24" s="21">
        <v>0</v>
      </c>
      <c r="N24" s="22">
        <f t="shared" si="0"/>
        <v>2</v>
      </c>
      <c r="O24" s="23" t="s">
        <v>1883</v>
      </c>
      <c r="P24" s="24" t="s">
        <v>1883</v>
      </c>
      <c r="Q24" s="25" t="s">
        <v>1884</v>
      </c>
      <c r="R24" s="26">
        <v>55000</v>
      </c>
      <c r="S24" s="27">
        <f t="shared" si="1"/>
        <v>57200</v>
      </c>
      <c r="T24" s="27">
        <f t="shared" si="3"/>
        <v>59400.000000000007</v>
      </c>
      <c r="U24" s="25">
        <v>6001.9872159182569</v>
      </c>
      <c r="V24" s="26" t="s">
        <v>1883</v>
      </c>
      <c r="W24" s="26"/>
    </row>
    <row r="25" spans="1:25">
      <c r="A25" s="17" t="s">
        <v>44</v>
      </c>
      <c r="B25" s="18" t="str">
        <f>IFERROR(HYPERLINK(VLOOKUP(A25,ÜRÜNLER!A:C,3,FALSE),VLOOKUP(A25,ÜRÜNLER!A:B,2,FALSE)),"")</f>
        <v>iQ300 Alttan Donduruculu Kulpsuz Buzdolabı, 70cm, Beyaz</v>
      </c>
      <c r="C25" s="19" t="s">
        <v>1883</v>
      </c>
      <c r="D25" s="19" t="s">
        <v>1883</v>
      </c>
      <c r="E25" s="20">
        <v>1</v>
      </c>
      <c r="F25" s="20">
        <v>0</v>
      </c>
      <c r="G25" s="20">
        <v>0</v>
      </c>
      <c r="H25" s="20">
        <v>0</v>
      </c>
      <c r="I25" s="21">
        <v>0</v>
      </c>
      <c r="J25" s="21">
        <v>0</v>
      </c>
      <c r="K25" s="20">
        <v>0</v>
      </c>
      <c r="L25" s="20">
        <v>1</v>
      </c>
      <c r="M25" s="21">
        <v>0</v>
      </c>
      <c r="N25" s="22">
        <f t="shared" si="0"/>
        <v>2</v>
      </c>
      <c r="O25" s="23" t="s">
        <v>1883</v>
      </c>
      <c r="P25" s="24" t="s">
        <v>1883</v>
      </c>
      <c r="Q25" s="25" t="s">
        <v>1884</v>
      </c>
      <c r="R25" s="26">
        <v>44500</v>
      </c>
      <c r="S25" s="27">
        <f t="shared" si="1"/>
        <v>46280</v>
      </c>
      <c r="T25" s="27">
        <f t="shared" si="3"/>
        <v>48060</v>
      </c>
      <c r="U25" s="25">
        <v>2497.0134408368249</v>
      </c>
      <c r="V25" s="26" t="s">
        <v>1883</v>
      </c>
      <c r="W25" s="28">
        <v>500</v>
      </c>
    </row>
    <row r="26" spans="1:25" s="41" customFormat="1">
      <c r="A26" s="37" t="s">
        <v>45</v>
      </c>
      <c r="B26" s="18" t="str">
        <f>IFERROR(HYPERLINK(VLOOKUP(A26,ÜRÜNLER!A:C,3,FALSE),VLOOKUP(A26,ÜRÜNLER!A:B,2,FALSE)),"")</f>
        <v>iQ300 Alttan Donduruculu Kulpsuz Buzdolabı, 70cm, Inox (Wi-Fi)</v>
      </c>
      <c r="C26" s="19">
        <v>2</v>
      </c>
      <c r="D26" s="19" t="s">
        <v>1883</v>
      </c>
      <c r="E26" s="20">
        <v>0</v>
      </c>
      <c r="F26" s="20">
        <v>0</v>
      </c>
      <c r="G26" s="20">
        <v>0</v>
      </c>
      <c r="H26" s="20">
        <v>0</v>
      </c>
      <c r="I26" s="21">
        <v>0</v>
      </c>
      <c r="J26" s="21">
        <v>0</v>
      </c>
      <c r="K26" s="20">
        <v>0</v>
      </c>
      <c r="L26" s="20">
        <v>0</v>
      </c>
      <c r="M26" s="21">
        <v>0</v>
      </c>
      <c r="N26" s="22">
        <f t="shared" si="0"/>
        <v>2</v>
      </c>
      <c r="O26" s="23" t="s">
        <v>1883</v>
      </c>
      <c r="P26" s="24" t="s">
        <v>1883</v>
      </c>
      <c r="Q26" s="25">
        <v>60254.001126083655</v>
      </c>
      <c r="R26" s="32">
        <v>57241.301069779474</v>
      </c>
      <c r="S26" s="27">
        <f t="shared" si="1"/>
        <v>59530.953112570656</v>
      </c>
      <c r="T26" s="27">
        <f t="shared" si="3"/>
        <v>61820.605155361838</v>
      </c>
      <c r="U26" s="25">
        <v>3277.2569400371435</v>
      </c>
      <c r="V26" s="26" t="s">
        <v>1883</v>
      </c>
      <c r="W26" s="33"/>
      <c r="X26" s="40"/>
      <c r="Y26" s="36"/>
    </row>
    <row r="27" spans="1:25" s="41" customFormat="1">
      <c r="A27" s="37" t="s">
        <v>46</v>
      </c>
      <c r="B27" s="18" t="str">
        <f>IFERROR(HYPERLINK(VLOOKUP(A27,ÜRÜNLER!A:C,3,FALSE),VLOOKUP(A27,ÜRÜNLER!A:B,2,FALSE)),"")</f>
        <v>iQ300 Alttan Donduruculu Kulpsuz Buzdolabı, 70cm, Beyaz (Wi-Fi)</v>
      </c>
      <c r="C27" s="19">
        <v>1</v>
      </c>
      <c r="D27" s="19" t="s">
        <v>1883</v>
      </c>
      <c r="E27" s="20">
        <v>0</v>
      </c>
      <c r="F27" s="20">
        <v>0</v>
      </c>
      <c r="G27" s="20">
        <v>0</v>
      </c>
      <c r="H27" s="20">
        <v>0</v>
      </c>
      <c r="I27" s="21">
        <v>0</v>
      </c>
      <c r="J27" s="21">
        <v>0</v>
      </c>
      <c r="K27" s="20">
        <v>0</v>
      </c>
      <c r="L27" s="20">
        <v>0</v>
      </c>
      <c r="M27" s="21">
        <v>0</v>
      </c>
      <c r="N27" s="22">
        <f t="shared" si="0"/>
        <v>1</v>
      </c>
      <c r="O27" s="23" t="s">
        <v>1883</v>
      </c>
      <c r="P27" s="24" t="s">
        <v>1883</v>
      </c>
      <c r="Q27" s="25">
        <v>55360.410160065025</v>
      </c>
      <c r="R27" s="32">
        <v>52592.389652061771</v>
      </c>
      <c r="S27" s="27">
        <f t="shared" si="1"/>
        <v>54696.085238144246</v>
      </c>
      <c r="T27" s="27">
        <f t="shared" si="3"/>
        <v>56799.780824226713</v>
      </c>
      <c r="U27" s="25" t="s">
        <v>1883</v>
      </c>
      <c r="V27" s="26" t="s">
        <v>1883</v>
      </c>
      <c r="W27" s="33"/>
      <c r="X27" s="40"/>
      <c r="Y27" s="36"/>
    </row>
    <row r="28" spans="1:25" s="41" customFormat="1">
      <c r="A28" s="42" t="s">
        <v>47</v>
      </c>
      <c r="B28" s="18" t="str">
        <f>IFERROR(HYPERLINK(VLOOKUP(A28,ÜRÜNLER!A:C,3,FALSE),VLOOKUP(A28,ÜRÜNLER!A:B,2,FALSE)),"")</f>
        <v>iQ300 Alttan Donduruculu Kulpsuz Buzdolabı, 70cm, Black Inox (Wi-Fi)</v>
      </c>
      <c r="C28" s="19" t="s">
        <v>1883</v>
      </c>
      <c r="D28" s="19" t="s">
        <v>1883</v>
      </c>
      <c r="E28" s="20">
        <v>0</v>
      </c>
      <c r="F28" s="20">
        <v>0</v>
      </c>
      <c r="G28" s="20">
        <v>0</v>
      </c>
      <c r="H28" s="20">
        <v>0</v>
      </c>
      <c r="I28" s="21">
        <v>0</v>
      </c>
      <c r="J28" s="21">
        <v>0</v>
      </c>
      <c r="K28" s="20">
        <v>0</v>
      </c>
      <c r="L28" s="20">
        <v>0</v>
      </c>
      <c r="M28" s="21">
        <v>0</v>
      </c>
      <c r="N28" s="22">
        <f t="shared" si="0"/>
        <v>0</v>
      </c>
      <c r="O28" s="23" t="s">
        <v>1883</v>
      </c>
      <c r="P28" s="24" t="s">
        <v>1883</v>
      </c>
      <c r="Q28" s="25">
        <v>63899.365449394172</v>
      </c>
      <c r="R28" s="32">
        <v>60704.397176924467</v>
      </c>
      <c r="S28" s="27">
        <f t="shared" si="1"/>
        <v>63132.573064001444</v>
      </c>
      <c r="T28" s="27">
        <f t="shared" si="3"/>
        <v>65560.748951078422</v>
      </c>
      <c r="U28" s="25">
        <v>3992.3887052081263</v>
      </c>
      <c r="V28" s="26" t="s">
        <v>1883</v>
      </c>
      <c r="W28" s="33"/>
      <c r="X28" s="40"/>
      <c r="Y28" s="36"/>
    </row>
    <row r="29" spans="1:25" s="41" customFormat="1">
      <c r="A29" s="42" t="s">
        <v>48</v>
      </c>
      <c r="B29" s="18" t="str">
        <f>IFERROR(HYPERLINK(VLOOKUP(A29,ÜRÜNLER!A:C,3,FALSE),VLOOKUP(A29,ÜRÜNLER!A:B,2,FALSE)),"")</f>
        <v>iQ500 Alttan Donduruculu Kulpsuz Buzdolabı, 70cm, Parlak Siyah</v>
      </c>
      <c r="C29" s="19">
        <v>4</v>
      </c>
      <c r="D29" s="19" t="s">
        <v>1883</v>
      </c>
      <c r="E29" s="20">
        <v>0</v>
      </c>
      <c r="F29" s="20">
        <v>0</v>
      </c>
      <c r="G29" s="20">
        <v>0</v>
      </c>
      <c r="H29" s="20">
        <v>0</v>
      </c>
      <c r="I29" s="21">
        <v>2</v>
      </c>
      <c r="J29" s="21">
        <v>1</v>
      </c>
      <c r="K29" s="20">
        <v>1</v>
      </c>
      <c r="L29" s="20">
        <v>0</v>
      </c>
      <c r="M29" s="21">
        <v>2</v>
      </c>
      <c r="N29" s="22">
        <f t="shared" si="0"/>
        <v>10</v>
      </c>
      <c r="O29" s="23" t="s">
        <v>1883</v>
      </c>
      <c r="P29" s="24" t="s">
        <v>1883</v>
      </c>
      <c r="Q29" s="25">
        <v>65451.170341567115</v>
      </c>
      <c r="R29" s="32">
        <v>62178.611824488762</v>
      </c>
      <c r="S29" s="27">
        <f t="shared" si="1"/>
        <v>64665.756297468317</v>
      </c>
      <c r="T29" s="27">
        <f t="shared" si="3"/>
        <v>67152.900770447872</v>
      </c>
      <c r="U29" s="25" t="s">
        <v>1883</v>
      </c>
      <c r="V29" s="26" t="s">
        <v>1883</v>
      </c>
      <c r="W29" s="33"/>
      <c r="X29" s="40"/>
      <c r="Y29" s="36"/>
    </row>
    <row r="30" spans="1:25" s="41" customFormat="1">
      <c r="A30" s="37" t="s">
        <v>49</v>
      </c>
      <c r="B30" s="18" t="str">
        <f>IFERROR(HYPERLINK(VLOOKUP(A30,ÜRÜNLER!A:C,3,FALSE),VLOOKUP(A30,ÜRÜNLER!A:B,2,FALSE)),"")</f>
        <v>iQ100 Alttan Donduruculu Kulpsuz Buzdolabı, 70cm, Beyaz (Wi-Fi)</v>
      </c>
      <c r="C30" s="19">
        <v>41</v>
      </c>
      <c r="D30" s="19" t="s">
        <v>1883</v>
      </c>
      <c r="E30" s="20">
        <v>0</v>
      </c>
      <c r="F30" s="20">
        <v>0</v>
      </c>
      <c r="G30" s="20">
        <v>0</v>
      </c>
      <c r="H30" s="20">
        <v>0</v>
      </c>
      <c r="I30" s="21">
        <v>1</v>
      </c>
      <c r="J30" s="21">
        <v>0</v>
      </c>
      <c r="K30" s="20">
        <v>0</v>
      </c>
      <c r="L30" s="20">
        <v>0</v>
      </c>
      <c r="M30" s="21">
        <v>0</v>
      </c>
      <c r="N30" s="22">
        <f t="shared" si="0"/>
        <v>42</v>
      </c>
      <c r="O30" s="23" t="s">
        <v>1883</v>
      </c>
      <c r="P30" s="24" t="s">
        <v>27</v>
      </c>
      <c r="Q30" s="25">
        <v>46178.678796249987</v>
      </c>
      <c r="R30" s="32">
        <v>43869.744856437486</v>
      </c>
      <c r="S30" s="27">
        <f t="shared" si="1"/>
        <v>45624.534650694986</v>
      </c>
      <c r="T30" s="27">
        <f t="shared" si="3"/>
        <v>47379.324444952486</v>
      </c>
      <c r="U30" s="25" t="s">
        <v>1883</v>
      </c>
      <c r="V30" s="26" t="s">
        <v>1883</v>
      </c>
      <c r="W30" s="33"/>
      <c r="X30" s="40"/>
      <c r="Y30" s="36"/>
    </row>
    <row r="31" spans="1:25" s="41" customFormat="1">
      <c r="A31" s="37" t="s">
        <v>50</v>
      </c>
      <c r="B31" s="18" t="str">
        <f>IFERROR(HYPERLINK(VLOOKUP(A31,ÜRÜNLER!A:C,3,FALSE),VLOOKUP(A31,ÜRÜNLER!A:B,2,FALSE)),"")</f>
        <v>iQ500 Alttan Donduruculu Kulpsuz Buzdolabı, 70cm, Seramik Desen</v>
      </c>
      <c r="C31" s="19" t="s">
        <v>1883</v>
      </c>
      <c r="D31" s="19" t="s">
        <v>1883</v>
      </c>
      <c r="E31" s="20">
        <v>0</v>
      </c>
      <c r="F31" s="20">
        <v>0</v>
      </c>
      <c r="G31" s="20">
        <v>0</v>
      </c>
      <c r="H31" s="20">
        <v>0</v>
      </c>
      <c r="I31" s="21">
        <v>0</v>
      </c>
      <c r="J31" s="21">
        <v>1</v>
      </c>
      <c r="K31" s="20">
        <v>0</v>
      </c>
      <c r="L31" s="20">
        <v>0</v>
      </c>
      <c r="M31" s="21">
        <v>0</v>
      </c>
      <c r="N31" s="22">
        <f t="shared" si="0"/>
        <v>1</v>
      </c>
      <c r="O31" s="23" t="s">
        <v>1883</v>
      </c>
      <c r="P31" s="24" t="s">
        <v>1883</v>
      </c>
      <c r="Q31" s="25" t="s">
        <v>1884</v>
      </c>
      <c r="R31" s="26">
        <v>48000</v>
      </c>
      <c r="S31" s="27">
        <f t="shared" si="1"/>
        <v>49920</v>
      </c>
      <c r="T31" s="27">
        <f t="shared" si="3"/>
        <v>51840</v>
      </c>
      <c r="U31" s="25" t="s">
        <v>1883</v>
      </c>
      <c r="V31" s="26" t="s">
        <v>1883</v>
      </c>
      <c r="W31" s="28">
        <v>500</v>
      </c>
      <c r="X31" s="40"/>
      <c r="Y31" s="36"/>
    </row>
    <row r="32" spans="1:25" s="41" customFormat="1">
      <c r="A32" s="37" t="s">
        <v>51</v>
      </c>
      <c r="B32" s="18" t="str">
        <f>IFERROR(HYPERLINK(VLOOKUP(A32,ÜRÜNLER!A:C,3,FALSE),VLOOKUP(A32,ÜRÜNLER!A:B,2,FALSE)),"")</f>
        <v>iQ500 Alttan Donduruculu Kulpsuz Buzdolabı, 70cm, Mat Siyah</v>
      </c>
      <c r="C32" s="19" t="s">
        <v>1883</v>
      </c>
      <c r="D32" s="19" t="s">
        <v>1883</v>
      </c>
      <c r="E32" s="20">
        <v>0</v>
      </c>
      <c r="F32" s="20">
        <v>0</v>
      </c>
      <c r="G32" s="20">
        <v>1</v>
      </c>
      <c r="H32" s="20">
        <v>0</v>
      </c>
      <c r="I32" s="21">
        <v>0</v>
      </c>
      <c r="J32" s="21">
        <v>0</v>
      </c>
      <c r="K32" s="20">
        <v>0</v>
      </c>
      <c r="L32" s="20">
        <v>0</v>
      </c>
      <c r="M32" s="21">
        <v>0</v>
      </c>
      <c r="N32" s="22">
        <f t="shared" si="0"/>
        <v>1</v>
      </c>
      <c r="O32" s="23" t="s">
        <v>1883</v>
      </c>
      <c r="P32" s="24" t="s">
        <v>1883</v>
      </c>
      <c r="Q32" s="25" t="s">
        <v>1884</v>
      </c>
      <c r="R32" s="26">
        <v>48000</v>
      </c>
      <c r="S32" s="27">
        <f>R32*1.04</f>
        <v>49920</v>
      </c>
      <c r="T32" s="27">
        <f>R32*1.08</f>
        <v>51840</v>
      </c>
      <c r="U32" s="25" t="s">
        <v>1883</v>
      </c>
      <c r="V32" s="26" t="s">
        <v>1883</v>
      </c>
      <c r="W32" s="28">
        <v>500</v>
      </c>
      <c r="X32" s="40"/>
      <c r="Y32" s="36"/>
    </row>
    <row r="33" spans="1:25" s="41" customFormat="1">
      <c r="A33" s="37" t="s">
        <v>52</v>
      </c>
      <c r="B33" s="18" t="str">
        <f>IFERROR(HYPERLINK(VLOOKUP(A33,ÜRÜNLER!A:C,3,FALSE),VLOOKUP(A33,ÜRÜNLER!A:B,2,FALSE)),"")</f>
        <v>iQ500 Alttan Donduruculu Kulpsuz Buzdolabı, 70cm, Seramik Desen</v>
      </c>
      <c r="C33" s="19" t="s">
        <v>1883</v>
      </c>
      <c r="D33" s="19" t="s">
        <v>1883</v>
      </c>
      <c r="E33" s="20">
        <v>0</v>
      </c>
      <c r="F33" s="20">
        <v>0</v>
      </c>
      <c r="G33" s="20">
        <v>0</v>
      </c>
      <c r="H33" s="20">
        <v>0</v>
      </c>
      <c r="I33" s="21">
        <v>0</v>
      </c>
      <c r="J33" s="21">
        <v>0</v>
      </c>
      <c r="K33" s="20">
        <v>0</v>
      </c>
      <c r="L33" s="20">
        <v>1</v>
      </c>
      <c r="M33" s="21">
        <v>0</v>
      </c>
      <c r="N33" s="22">
        <f t="shared" si="0"/>
        <v>1</v>
      </c>
      <c r="O33" s="23" t="s">
        <v>1883</v>
      </c>
      <c r="P33" s="24" t="s">
        <v>1883</v>
      </c>
      <c r="Q33" s="25" t="s">
        <v>1884</v>
      </c>
      <c r="R33" s="26">
        <v>48000</v>
      </c>
      <c r="S33" s="27">
        <f t="shared" si="1"/>
        <v>49920</v>
      </c>
      <c r="T33" s="27">
        <f t="shared" ref="T33:T45" si="4">R33*1.08</f>
        <v>51840</v>
      </c>
      <c r="U33" s="25" t="s">
        <v>1883</v>
      </c>
      <c r="V33" s="26" t="s">
        <v>1883</v>
      </c>
      <c r="W33" s="28">
        <v>500</v>
      </c>
      <c r="X33" s="40"/>
      <c r="Y33" s="36"/>
    </row>
    <row r="34" spans="1:25" s="41" customFormat="1">
      <c r="A34" s="37" t="s">
        <v>53</v>
      </c>
      <c r="B34" s="18" t="str">
        <f>IFERROR(HYPERLINK(VLOOKUP(A34,ÜRÜNLER!A:C,3,FALSE),VLOOKUP(A34,ÜRÜNLER!A:B,2,FALSE)),"")</f>
        <v>iQ300 Alttan Donduruculu Kulpsuz Buzdolabı, 70cm, Inox (Wi-Fi)</v>
      </c>
      <c r="C34" s="19">
        <v>41</v>
      </c>
      <c r="D34" s="19" t="s">
        <v>1883</v>
      </c>
      <c r="E34" s="20">
        <v>0</v>
      </c>
      <c r="F34" s="20">
        <v>0</v>
      </c>
      <c r="G34" s="20">
        <v>0</v>
      </c>
      <c r="H34" s="20">
        <v>0</v>
      </c>
      <c r="I34" s="21">
        <v>1</v>
      </c>
      <c r="J34" s="21">
        <v>0</v>
      </c>
      <c r="K34" s="20">
        <v>0</v>
      </c>
      <c r="L34" s="20">
        <v>0</v>
      </c>
      <c r="M34" s="21">
        <v>0</v>
      </c>
      <c r="N34" s="22">
        <f t="shared" si="0"/>
        <v>42</v>
      </c>
      <c r="O34" s="23"/>
      <c r="P34" s="24" t="s">
        <v>1883</v>
      </c>
      <c r="Q34" s="25">
        <v>52906.162790697657</v>
      </c>
      <c r="R34" s="32">
        <v>50260.854651162772</v>
      </c>
      <c r="S34" s="27">
        <f t="shared" si="1"/>
        <v>52271.288837209286</v>
      </c>
      <c r="T34" s="27">
        <f t="shared" si="4"/>
        <v>54281.723023255799</v>
      </c>
      <c r="U34" s="25" t="s">
        <v>1883</v>
      </c>
      <c r="V34" s="26" t="s">
        <v>1883</v>
      </c>
      <c r="W34" s="33"/>
      <c r="X34" s="40"/>
      <c r="Y34" s="36"/>
    </row>
    <row r="35" spans="1:25" s="41" customFormat="1">
      <c r="A35" s="37" t="s">
        <v>54</v>
      </c>
      <c r="B35" s="18" t="str">
        <f>IFERROR(HYPERLINK(VLOOKUP(A35,ÜRÜNLER!A:C,3,FALSE),VLOOKUP(A35,ÜRÜNLER!A:B,2,FALSE)),"")</f>
        <v>iQ300 Alttan Donduruculu Kulpsuz Buzdolabı, 70cm, Beyaz (Wi-Fi)</v>
      </c>
      <c r="C35" s="19">
        <v>31</v>
      </c>
      <c r="D35" s="19" t="s">
        <v>1883</v>
      </c>
      <c r="E35" s="20">
        <v>0</v>
      </c>
      <c r="F35" s="20">
        <v>0</v>
      </c>
      <c r="G35" s="20">
        <v>0</v>
      </c>
      <c r="H35" s="20">
        <v>0</v>
      </c>
      <c r="I35" s="21">
        <v>0</v>
      </c>
      <c r="J35" s="21">
        <v>0</v>
      </c>
      <c r="K35" s="20">
        <v>0</v>
      </c>
      <c r="L35" s="20">
        <v>0</v>
      </c>
      <c r="M35" s="21">
        <v>0</v>
      </c>
      <c r="N35" s="22">
        <f t="shared" si="0"/>
        <v>31</v>
      </c>
      <c r="O35" s="23">
        <v>20</v>
      </c>
      <c r="P35" s="24" t="s">
        <v>1883</v>
      </c>
      <c r="Q35" s="25">
        <v>50483.320161322677</v>
      </c>
      <c r="R35" s="32">
        <v>47959.154153256546</v>
      </c>
      <c r="S35" s="27">
        <f t="shared" si="1"/>
        <v>49877.520319386807</v>
      </c>
      <c r="T35" s="27">
        <f t="shared" si="4"/>
        <v>51795.886485517076</v>
      </c>
      <c r="U35" s="25" t="s">
        <v>1883</v>
      </c>
      <c r="V35" s="26" t="s">
        <v>1883</v>
      </c>
      <c r="W35" s="33"/>
      <c r="X35" s="40"/>
      <c r="Y35" s="36"/>
    </row>
    <row r="36" spans="1:25">
      <c r="A36" s="17" t="s">
        <v>55</v>
      </c>
      <c r="B36" s="18" t="str">
        <f>IFERROR(HYPERLINK(VLOOKUP(A36,ÜRÜNLER!A:C,3,FALSE),VLOOKUP(A36,ÜRÜNLER!A:B,2,FALSE)),"")</f>
        <v>iQ700 Alttan Donduruculu Kulplu Buzdolabı, 75cm, Inox</v>
      </c>
      <c r="C36" s="19">
        <v>13</v>
      </c>
      <c r="D36" s="19" t="s">
        <v>1883</v>
      </c>
      <c r="E36" s="20">
        <v>0</v>
      </c>
      <c r="F36" s="20">
        <v>0</v>
      </c>
      <c r="G36" s="20">
        <v>0</v>
      </c>
      <c r="H36" s="20">
        <v>0</v>
      </c>
      <c r="I36" s="21">
        <v>0</v>
      </c>
      <c r="J36" s="21">
        <v>0</v>
      </c>
      <c r="K36" s="20">
        <v>0</v>
      </c>
      <c r="L36" s="20">
        <v>0</v>
      </c>
      <c r="M36" s="21">
        <v>0</v>
      </c>
      <c r="N36" s="22">
        <f t="shared" si="0"/>
        <v>13</v>
      </c>
      <c r="O36" s="23" t="s">
        <v>1883</v>
      </c>
      <c r="P36" s="24" t="s">
        <v>1883</v>
      </c>
      <c r="Q36" s="25">
        <v>84646.164438751875</v>
      </c>
      <c r="R36" s="32">
        <v>80413.856216814282</v>
      </c>
      <c r="S36" s="27">
        <f t="shared" si="1"/>
        <v>83630.410465486857</v>
      </c>
      <c r="T36" s="27">
        <f t="shared" si="4"/>
        <v>86846.964714159432</v>
      </c>
      <c r="U36" s="25">
        <v>6343.838857356518</v>
      </c>
      <c r="V36" s="26" t="s">
        <v>1883</v>
      </c>
      <c r="W36" s="33"/>
    </row>
    <row r="37" spans="1:25">
      <c r="A37" s="17" t="s">
        <v>56</v>
      </c>
      <c r="B37" s="18" t="str">
        <f>IFERROR(HYPERLINK(VLOOKUP(A37,ÜRÜNLER!A:C,3,FALSE),VLOOKUP(A37,ÜRÜNLER!A:B,2,FALSE)),"")</f>
        <v>iQ500 Alttan Donduruculu Kulplu Buzdolabı, 75cm, Inox</v>
      </c>
      <c r="C37" s="19">
        <v>2</v>
      </c>
      <c r="D37" s="19" t="s">
        <v>1883</v>
      </c>
      <c r="E37" s="20">
        <v>0</v>
      </c>
      <c r="F37" s="20">
        <v>1</v>
      </c>
      <c r="G37" s="20">
        <v>0</v>
      </c>
      <c r="H37" s="20">
        <v>0</v>
      </c>
      <c r="I37" s="21">
        <v>1</v>
      </c>
      <c r="J37" s="21">
        <v>1</v>
      </c>
      <c r="K37" s="20">
        <v>1</v>
      </c>
      <c r="L37" s="20">
        <v>3</v>
      </c>
      <c r="M37" s="21">
        <v>1</v>
      </c>
      <c r="N37" s="22">
        <f t="shared" si="0"/>
        <v>10</v>
      </c>
      <c r="O37" s="23"/>
      <c r="P37" s="24" t="s">
        <v>1883</v>
      </c>
      <c r="Q37" s="25">
        <v>89337.569444670866</v>
      </c>
      <c r="R37" s="32">
        <v>84870.690972437325</v>
      </c>
      <c r="S37" s="27">
        <f t="shared" si="1"/>
        <v>88265.518611334817</v>
      </c>
      <c r="T37" s="27">
        <f t="shared" si="4"/>
        <v>91660.346250232324</v>
      </c>
      <c r="U37" s="25">
        <v>19093.383398159232</v>
      </c>
      <c r="V37" s="26" t="s">
        <v>1883</v>
      </c>
      <c r="W37" s="33"/>
    </row>
    <row r="38" spans="1:25" s="44" customFormat="1">
      <c r="A38" s="17" t="s">
        <v>57</v>
      </c>
      <c r="B38" s="18" t="str">
        <f>IFERROR(HYPERLINK(VLOOKUP(A38,ÜRÜNLER!A:C,3,FALSE),VLOOKUP(A38,ÜRÜNLER!A:B,2,FALSE)),"")</f>
        <v>iQ500 Alttan Donduruculu Kulplu Buzdolabı, 75cm, Beyaz</v>
      </c>
      <c r="C38" s="19">
        <v>33</v>
      </c>
      <c r="D38" s="19" t="s">
        <v>1883</v>
      </c>
      <c r="E38" s="20">
        <v>0</v>
      </c>
      <c r="F38" s="20">
        <v>0</v>
      </c>
      <c r="G38" s="20">
        <v>0</v>
      </c>
      <c r="H38" s="20">
        <v>0</v>
      </c>
      <c r="I38" s="21">
        <v>1</v>
      </c>
      <c r="J38" s="21">
        <v>0</v>
      </c>
      <c r="K38" s="20">
        <v>0</v>
      </c>
      <c r="L38" s="20">
        <v>1</v>
      </c>
      <c r="M38" s="21">
        <v>0</v>
      </c>
      <c r="N38" s="22">
        <f t="shared" si="0"/>
        <v>35</v>
      </c>
      <c r="O38" s="23" t="s">
        <v>1883</v>
      </c>
      <c r="P38" s="24" t="s">
        <v>1883</v>
      </c>
      <c r="Q38" s="25">
        <v>80897.295942227123</v>
      </c>
      <c r="R38" s="32">
        <v>76852.43114511577</v>
      </c>
      <c r="S38" s="27">
        <f t="shared" si="1"/>
        <v>79926.528390920401</v>
      </c>
      <c r="T38" s="27">
        <f t="shared" si="4"/>
        <v>83000.625636725032</v>
      </c>
      <c r="U38" s="25">
        <v>12199.621523622469</v>
      </c>
      <c r="V38" s="26" t="s">
        <v>1883</v>
      </c>
      <c r="W38" s="33"/>
      <c r="X38" s="29"/>
      <c r="Y38" s="43"/>
    </row>
    <row r="39" spans="1:25">
      <c r="A39" s="31" t="s">
        <v>58</v>
      </c>
      <c r="B39" s="18" t="str">
        <f>IFERROR(HYPERLINK(VLOOKUP(A39,ÜRÜNLER!A:C,3,FALSE),VLOOKUP(A39,ÜRÜNLER!A:B,2,FALSE)),"")</f>
        <v>iQ500 Alttan Donduruculu Kulpsuz Buzdolabı, 75cm, darkSteel</v>
      </c>
      <c r="C39" s="19">
        <v>108</v>
      </c>
      <c r="D39" s="19" t="s">
        <v>1883</v>
      </c>
      <c r="E39" s="20">
        <v>0</v>
      </c>
      <c r="F39" s="20">
        <v>0</v>
      </c>
      <c r="G39" s="20">
        <v>0</v>
      </c>
      <c r="H39" s="20">
        <v>0</v>
      </c>
      <c r="I39" s="21">
        <v>1</v>
      </c>
      <c r="J39" s="21">
        <v>1</v>
      </c>
      <c r="K39" s="20">
        <v>1</v>
      </c>
      <c r="L39" s="20">
        <v>0</v>
      </c>
      <c r="M39" s="21">
        <v>1</v>
      </c>
      <c r="N39" s="22">
        <f t="shared" si="0"/>
        <v>112</v>
      </c>
      <c r="O39" s="23" t="s">
        <v>1883</v>
      </c>
      <c r="P39" s="24" t="s">
        <v>1883</v>
      </c>
      <c r="Q39" s="25">
        <v>99433.899972588129</v>
      </c>
      <c r="R39" s="32">
        <v>94462.204973958724</v>
      </c>
      <c r="S39" s="27">
        <f t="shared" si="1"/>
        <v>98240.693172917076</v>
      </c>
      <c r="T39" s="27">
        <f t="shared" si="4"/>
        <v>102019.18137187543</v>
      </c>
      <c r="U39" s="25">
        <v>23492.03950747184</v>
      </c>
      <c r="V39" s="26" t="s">
        <v>1883</v>
      </c>
      <c r="W39" s="33"/>
    </row>
    <row r="40" spans="1:25">
      <c r="A40" s="17" t="s">
        <v>59</v>
      </c>
      <c r="B40" s="18" t="str">
        <f>IFERROR(HYPERLINK(VLOOKUP(A40,ÜRÜNLER!A:C,3,FALSE),VLOOKUP(A40,ÜRÜNLER!A:B,2,FALSE)),"")</f>
        <v>iQ300 Alttan Donduruculu Kulpsuz Buzdolabı, 75cm, Inox</v>
      </c>
      <c r="C40" s="19">
        <v>29</v>
      </c>
      <c r="D40" s="19" t="s">
        <v>1883</v>
      </c>
      <c r="E40" s="20">
        <v>0</v>
      </c>
      <c r="F40" s="20">
        <v>0</v>
      </c>
      <c r="G40" s="20">
        <v>2</v>
      </c>
      <c r="H40" s="20">
        <v>0</v>
      </c>
      <c r="I40" s="21">
        <v>1</v>
      </c>
      <c r="J40" s="21">
        <v>0</v>
      </c>
      <c r="K40" s="20">
        <v>0</v>
      </c>
      <c r="L40" s="20">
        <v>2</v>
      </c>
      <c r="M40" s="21">
        <v>0</v>
      </c>
      <c r="N40" s="22">
        <f t="shared" si="0"/>
        <v>34</v>
      </c>
      <c r="O40" s="23" t="s">
        <v>1883</v>
      </c>
      <c r="P40" s="24" t="s">
        <v>1883</v>
      </c>
      <c r="Q40" s="25">
        <v>80743.425892217376</v>
      </c>
      <c r="R40" s="32">
        <v>76706.254597606501</v>
      </c>
      <c r="S40" s="27">
        <f t="shared" si="1"/>
        <v>79774.504781510768</v>
      </c>
      <c r="T40" s="27">
        <f t="shared" si="4"/>
        <v>82842.754965415021</v>
      </c>
      <c r="U40" s="25">
        <v>13103.891008496432</v>
      </c>
      <c r="V40" s="26" t="s">
        <v>1883</v>
      </c>
      <c r="W40" s="33"/>
    </row>
    <row r="41" spans="1:25">
      <c r="A41" s="17" t="s">
        <v>60</v>
      </c>
      <c r="B41" s="18" t="str">
        <f>IFERROR(HYPERLINK(VLOOKUP(A41,ÜRÜNLER!A:C,3,FALSE),VLOOKUP(A41,ÜRÜNLER!A:B,2,FALSE)),"")</f>
        <v>iQ300 Alttan Donduruculu Kulpsuz Buzdolabı, 75cm, Beyaz</v>
      </c>
      <c r="C41" s="19">
        <v>11</v>
      </c>
      <c r="D41" s="19" t="s">
        <v>1883</v>
      </c>
      <c r="E41" s="20">
        <v>0</v>
      </c>
      <c r="F41" s="20">
        <v>0</v>
      </c>
      <c r="G41" s="20">
        <v>0</v>
      </c>
      <c r="H41" s="20">
        <v>0</v>
      </c>
      <c r="I41" s="21">
        <v>1</v>
      </c>
      <c r="J41" s="21">
        <v>1</v>
      </c>
      <c r="K41" s="20">
        <v>0</v>
      </c>
      <c r="L41" s="20">
        <v>0</v>
      </c>
      <c r="M41" s="21">
        <v>1</v>
      </c>
      <c r="N41" s="22">
        <f t="shared" si="0"/>
        <v>14</v>
      </c>
      <c r="O41" s="23" t="s">
        <v>1883</v>
      </c>
      <c r="P41" s="24" t="s">
        <v>1883</v>
      </c>
      <c r="Q41" s="25">
        <v>72507.334385134804</v>
      </c>
      <c r="R41" s="32">
        <v>68881.967665878066</v>
      </c>
      <c r="S41" s="27">
        <f t="shared" si="1"/>
        <v>71637.246372513197</v>
      </c>
      <c r="T41" s="27">
        <f t="shared" si="4"/>
        <v>74392.525079148312</v>
      </c>
      <c r="U41" s="25">
        <v>15693.380896762712</v>
      </c>
      <c r="V41" s="26" t="s">
        <v>1883</v>
      </c>
      <c r="W41" s="33"/>
    </row>
    <row r="42" spans="1:25">
      <c r="A42" s="17" t="s">
        <v>61</v>
      </c>
      <c r="B42" s="18" t="str">
        <f>IFERROR(HYPERLINK(VLOOKUP(A42,ÜRÜNLER!A:C,3,FALSE),VLOOKUP(A42,ÜRÜNLER!A:B,2,FALSE)),"")</f>
        <v>iQ700 Alttan Donduruculu Kulplu Buzdolabı, 75cm, Inox</v>
      </c>
      <c r="C42" s="19">
        <v>36</v>
      </c>
      <c r="D42" s="19" t="s">
        <v>1883</v>
      </c>
      <c r="E42" s="20">
        <v>2</v>
      </c>
      <c r="F42" s="20">
        <v>0</v>
      </c>
      <c r="G42" s="20">
        <v>1</v>
      </c>
      <c r="H42" s="20">
        <v>0</v>
      </c>
      <c r="I42" s="21">
        <v>1</v>
      </c>
      <c r="J42" s="21">
        <v>1</v>
      </c>
      <c r="K42" s="20">
        <v>0</v>
      </c>
      <c r="L42" s="20">
        <v>0</v>
      </c>
      <c r="M42" s="21">
        <v>1</v>
      </c>
      <c r="N42" s="22">
        <f t="shared" si="0"/>
        <v>42</v>
      </c>
      <c r="O42" s="23" t="s">
        <v>1883</v>
      </c>
      <c r="P42" s="24" t="s">
        <v>1883</v>
      </c>
      <c r="Q42" s="25">
        <v>93563.754304094517</v>
      </c>
      <c r="R42" s="32">
        <v>88885.566588889793</v>
      </c>
      <c r="S42" s="27">
        <f t="shared" si="1"/>
        <v>92440.98925244539</v>
      </c>
      <c r="T42" s="27">
        <f t="shared" si="4"/>
        <v>95996.411916000987</v>
      </c>
      <c r="U42" s="25">
        <v>10784.684536652654</v>
      </c>
      <c r="V42" s="26" t="s">
        <v>1883</v>
      </c>
      <c r="W42" s="33"/>
    </row>
    <row r="43" spans="1:25">
      <c r="A43" s="17" t="s">
        <v>62</v>
      </c>
      <c r="B43" s="18" t="str">
        <f>IFERROR(HYPERLINK(VLOOKUP(A43,ÜRÜNLER!A:C,3,FALSE),VLOOKUP(A43,ÜRÜNLER!A:B,2,FALSE)),"")</f>
        <v>iQ700 Alttan Donduruculu Kulplu Buzdolabı, 75cm, Beyaz</v>
      </c>
      <c r="C43" s="19">
        <v>16</v>
      </c>
      <c r="D43" s="19" t="s">
        <v>1883</v>
      </c>
      <c r="E43" s="20">
        <v>1</v>
      </c>
      <c r="F43" s="20">
        <v>0</v>
      </c>
      <c r="G43" s="20">
        <v>0</v>
      </c>
      <c r="H43" s="20">
        <v>0</v>
      </c>
      <c r="I43" s="21">
        <v>1</v>
      </c>
      <c r="J43" s="21">
        <v>0</v>
      </c>
      <c r="K43" s="20">
        <v>1</v>
      </c>
      <c r="L43" s="20">
        <v>3</v>
      </c>
      <c r="M43" s="21">
        <v>0</v>
      </c>
      <c r="N43" s="22">
        <f t="shared" si="0"/>
        <v>22</v>
      </c>
      <c r="O43" s="23"/>
      <c r="P43" s="24" t="s">
        <v>1883</v>
      </c>
      <c r="Q43" s="25">
        <v>85858.484053583932</v>
      </c>
      <c r="R43" s="32">
        <v>81565.559850904741</v>
      </c>
      <c r="S43" s="27">
        <f t="shared" si="1"/>
        <v>84828.182244940937</v>
      </c>
      <c r="T43" s="27">
        <f t="shared" si="4"/>
        <v>88090.804638977133</v>
      </c>
      <c r="U43" s="25">
        <v>8858.4840535839321</v>
      </c>
      <c r="V43" s="26" t="s">
        <v>1883</v>
      </c>
      <c r="W43" s="33"/>
    </row>
    <row r="44" spans="1:25" s="44" customFormat="1">
      <c r="A44" s="37" t="s">
        <v>63</v>
      </c>
      <c r="B44" s="18" t="str">
        <f>IFERROR(HYPERLINK(VLOOKUP(A44,ÜRÜNLER!A:C,3,FALSE),VLOOKUP(A44,ÜRÜNLER!A:B,2,FALSE)),"")</f>
        <v>iQ500 Alttan Donduruculu Kulplu Buzdolabı, 86cm, Inox</v>
      </c>
      <c r="C44" s="19">
        <v>57</v>
      </c>
      <c r="D44" s="19" t="s">
        <v>1883</v>
      </c>
      <c r="E44" s="20">
        <v>1</v>
      </c>
      <c r="F44" s="20">
        <v>0</v>
      </c>
      <c r="G44" s="20">
        <v>0</v>
      </c>
      <c r="H44" s="20">
        <v>0</v>
      </c>
      <c r="I44" s="21">
        <v>1</v>
      </c>
      <c r="J44" s="21">
        <v>1</v>
      </c>
      <c r="K44" s="20">
        <v>1</v>
      </c>
      <c r="L44" s="20">
        <v>1</v>
      </c>
      <c r="M44" s="21">
        <v>1</v>
      </c>
      <c r="N44" s="22">
        <f t="shared" si="0"/>
        <v>63</v>
      </c>
      <c r="O44" s="23" t="s">
        <v>1883</v>
      </c>
      <c r="P44" s="24" t="s">
        <v>1883</v>
      </c>
      <c r="Q44" s="25">
        <v>104311.67380670749</v>
      </c>
      <c r="R44" s="32">
        <v>99096.090116372114</v>
      </c>
      <c r="S44" s="27">
        <f t="shared" si="1"/>
        <v>103059.933721027</v>
      </c>
      <c r="T44" s="27">
        <f t="shared" si="4"/>
        <v>107023.77732568189</v>
      </c>
      <c r="U44" s="25">
        <v>29834.929620660972</v>
      </c>
      <c r="V44" s="26" t="s">
        <v>1883</v>
      </c>
      <c r="W44" s="33"/>
      <c r="X44" s="29"/>
      <c r="Y44" s="43"/>
    </row>
    <row r="45" spans="1:25" s="44" customFormat="1">
      <c r="A45" s="37" t="s">
        <v>64</v>
      </c>
      <c r="B45" s="18" t="str">
        <f>IFERROR(HYPERLINK(VLOOKUP(A45,ÜRÜNLER!A:C,3,FALSE),VLOOKUP(A45,ÜRÜNLER!A:B,2,FALSE)),"")</f>
        <v>iQ500 Alttan Donduruculu Kulplu Buzdolabı, 86cm, Beyaz</v>
      </c>
      <c r="C45" s="19">
        <v>9</v>
      </c>
      <c r="D45" s="19" t="s">
        <v>1883</v>
      </c>
      <c r="E45" s="20">
        <v>0</v>
      </c>
      <c r="F45" s="20">
        <v>0</v>
      </c>
      <c r="G45" s="20">
        <v>1</v>
      </c>
      <c r="H45" s="20">
        <v>0</v>
      </c>
      <c r="I45" s="21">
        <v>1</v>
      </c>
      <c r="J45" s="21">
        <v>0</v>
      </c>
      <c r="K45" s="20">
        <v>1</v>
      </c>
      <c r="L45" s="20">
        <v>0</v>
      </c>
      <c r="M45" s="21">
        <v>0</v>
      </c>
      <c r="N45" s="22">
        <f t="shared" si="0"/>
        <v>12</v>
      </c>
      <c r="O45" s="23"/>
      <c r="P45" s="24" t="s">
        <v>1883</v>
      </c>
      <c r="Q45" s="25">
        <v>89598.547283956679</v>
      </c>
      <c r="R45" s="32">
        <v>85118.619919758843</v>
      </c>
      <c r="S45" s="27">
        <f t="shared" si="1"/>
        <v>88523.3647165492</v>
      </c>
      <c r="T45" s="27">
        <f t="shared" si="4"/>
        <v>91928.109513339557</v>
      </c>
      <c r="U45" s="25">
        <v>19354.361237445046</v>
      </c>
      <c r="V45" s="26" t="s">
        <v>1883</v>
      </c>
      <c r="W45" s="33"/>
      <c r="X45" s="29"/>
      <c r="Y45" s="43"/>
    </row>
    <row r="46" spans="1:25" s="44" customFormat="1">
      <c r="A46" s="37" t="s">
        <v>65</v>
      </c>
      <c r="B46" s="18" t="str">
        <f>IFERROR(HYPERLINK(VLOOKUP(A46,ÜRÜNLER!A:C,3,FALSE),VLOOKUP(A46,ÜRÜNLER!A:B,2,FALSE)),"")</f>
        <v>iQ500 Alttan Donduruculu Kulpsuz Buzdolabı, 86cm, Beyaz</v>
      </c>
      <c r="C46" s="19">
        <v>34</v>
      </c>
      <c r="D46" s="19" t="s">
        <v>1883</v>
      </c>
      <c r="E46" s="20">
        <v>0</v>
      </c>
      <c r="F46" s="20">
        <v>0</v>
      </c>
      <c r="G46" s="20">
        <v>1</v>
      </c>
      <c r="H46" s="20">
        <v>0</v>
      </c>
      <c r="I46" s="21">
        <v>0</v>
      </c>
      <c r="J46" s="21">
        <v>1</v>
      </c>
      <c r="K46" s="20">
        <v>0</v>
      </c>
      <c r="L46" s="20">
        <v>0</v>
      </c>
      <c r="M46" s="21">
        <v>0</v>
      </c>
      <c r="N46" s="22">
        <f t="shared" si="0"/>
        <v>36</v>
      </c>
      <c r="O46" s="23" t="s">
        <v>1883</v>
      </c>
      <c r="P46" s="24" t="s">
        <v>1883</v>
      </c>
      <c r="Q46" s="25">
        <v>79438.432781814583</v>
      </c>
      <c r="R46" s="32">
        <v>75466.511142723859</v>
      </c>
      <c r="S46" s="27">
        <f>R46*1.04</f>
        <v>78485.171588432815</v>
      </c>
      <c r="T46" s="27">
        <f>R46*1.08</f>
        <v>81503.832034141771</v>
      </c>
      <c r="U46" s="25">
        <v>12124.479293442491</v>
      </c>
      <c r="V46" s="26" t="s">
        <v>1883</v>
      </c>
      <c r="W46" s="33"/>
      <c r="X46" s="29"/>
      <c r="Y46" s="43"/>
    </row>
    <row r="47" spans="1:25" s="44" customFormat="1">
      <c r="A47" s="37" t="s">
        <v>66</v>
      </c>
      <c r="B47" s="18" t="str">
        <f>IFERROR(HYPERLINK(VLOOKUP(A47,ÜRÜNLER!A:C,3,FALSE),VLOOKUP(A47,ÜRÜNLER!A:B,2,FALSE)),"")</f>
        <v>iQ700 Alttan Donduruculu Kulplu Buzdolabı, 86cm, Inox</v>
      </c>
      <c r="C47" s="19">
        <v>1</v>
      </c>
      <c r="D47" s="19" t="s">
        <v>1883</v>
      </c>
      <c r="E47" s="20">
        <v>0</v>
      </c>
      <c r="F47" s="20">
        <v>0</v>
      </c>
      <c r="G47" s="20">
        <v>0</v>
      </c>
      <c r="H47" s="20">
        <v>0</v>
      </c>
      <c r="I47" s="21">
        <v>0</v>
      </c>
      <c r="J47" s="21">
        <v>0</v>
      </c>
      <c r="K47" s="20">
        <v>0</v>
      </c>
      <c r="L47" s="20">
        <v>0</v>
      </c>
      <c r="M47" s="21">
        <v>0</v>
      </c>
      <c r="N47" s="22">
        <f t="shared" si="0"/>
        <v>1</v>
      </c>
      <c r="O47" s="23" t="s">
        <v>1883</v>
      </c>
      <c r="P47" s="24" t="s">
        <v>1883</v>
      </c>
      <c r="Q47" s="25" t="s">
        <v>1884</v>
      </c>
      <c r="R47" s="26">
        <v>80000</v>
      </c>
      <c r="S47" s="27">
        <f t="shared" si="1"/>
        <v>83200</v>
      </c>
      <c r="T47" s="27">
        <f t="shared" ref="T47:T50" si="5">R47*1.08</f>
        <v>86400</v>
      </c>
      <c r="U47" s="25" t="s">
        <v>1883</v>
      </c>
      <c r="V47" s="26" t="s">
        <v>1883</v>
      </c>
      <c r="W47" s="33"/>
      <c r="X47" s="29"/>
      <c r="Y47" s="43"/>
    </row>
    <row r="48" spans="1:25" s="44" customFormat="1">
      <c r="A48" s="42" t="s">
        <v>67</v>
      </c>
      <c r="B48" s="18" t="str">
        <f>IFERROR(HYPERLINK(VLOOKUP(A48,ÜRÜNLER!A:C,3,FALSE),VLOOKUP(A48,ÜRÜNLER!A:B,2,FALSE)),"")</f>
        <v>iQ700 Alttan Donduruculu Kulpsuz Buzdolabı, 86cm, darkSteel</v>
      </c>
      <c r="C48" s="19" t="s">
        <v>1883</v>
      </c>
      <c r="D48" s="19" t="s">
        <v>1883</v>
      </c>
      <c r="E48" s="20">
        <v>0</v>
      </c>
      <c r="F48" s="20">
        <v>0</v>
      </c>
      <c r="G48" s="20">
        <v>0</v>
      </c>
      <c r="H48" s="20">
        <v>0</v>
      </c>
      <c r="I48" s="21">
        <v>1</v>
      </c>
      <c r="J48" s="21">
        <v>0</v>
      </c>
      <c r="K48" s="20">
        <v>0</v>
      </c>
      <c r="L48" s="20">
        <v>0</v>
      </c>
      <c r="M48" s="21">
        <v>1</v>
      </c>
      <c r="N48" s="22">
        <f t="shared" si="0"/>
        <v>2</v>
      </c>
      <c r="O48" s="23" t="s">
        <v>1883</v>
      </c>
      <c r="P48" s="24" t="s">
        <v>1883</v>
      </c>
      <c r="Q48" s="25">
        <v>119402.30490978497</v>
      </c>
      <c r="R48" s="32">
        <v>113432.18966429573</v>
      </c>
      <c r="S48" s="27">
        <f t="shared" si="1"/>
        <v>117969.47725086757</v>
      </c>
      <c r="T48" s="27">
        <f t="shared" si="5"/>
        <v>122506.76483743939</v>
      </c>
      <c r="U48" s="25">
        <v>27669.746770250087</v>
      </c>
      <c r="V48" s="26" t="s">
        <v>1883</v>
      </c>
      <c r="W48" s="33"/>
      <c r="X48" s="29"/>
      <c r="Y48" s="43"/>
    </row>
    <row r="49" spans="1:25" s="44" customFormat="1">
      <c r="A49" s="37" t="s">
        <v>68</v>
      </c>
      <c r="B49" s="18" t="str">
        <f>IFERROR(HYPERLINK(VLOOKUP(A49,ÜRÜNLER!A:C,3,FALSE),VLOOKUP(A49,ÜRÜNLER!A:B,2,FALSE)),"")</f>
        <v>iQ700 Alttan Donduruculu Kulplu Buzdolabı, 86cm, Inox</v>
      </c>
      <c r="C49" s="19">
        <v>113</v>
      </c>
      <c r="D49" s="19" t="s">
        <v>1883</v>
      </c>
      <c r="E49" s="20">
        <v>0</v>
      </c>
      <c r="F49" s="20">
        <v>1</v>
      </c>
      <c r="G49" s="20">
        <v>1</v>
      </c>
      <c r="H49" s="20">
        <v>0</v>
      </c>
      <c r="I49" s="21">
        <v>1</v>
      </c>
      <c r="J49" s="21">
        <v>0</v>
      </c>
      <c r="K49" s="20">
        <v>1</v>
      </c>
      <c r="L49" s="20">
        <v>1</v>
      </c>
      <c r="M49" s="21">
        <v>1</v>
      </c>
      <c r="N49" s="22">
        <f t="shared" si="0"/>
        <v>119</v>
      </c>
      <c r="O49" s="23" t="s">
        <v>1883</v>
      </c>
      <c r="P49" s="24" t="s">
        <v>1883</v>
      </c>
      <c r="Q49" s="25">
        <v>113812.0276797781</v>
      </c>
      <c r="R49" s="32">
        <v>108121.42629578919</v>
      </c>
      <c r="S49" s="27">
        <f t="shared" si="1"/>
        <v>112446.28334762076</v>
      </c>
      <c r="T49" s="27">
        <f t="shared" si="5"/>
        <v>116771.14039945233</v>
      </c>
      <c r="U49" s="25">
        <v>28102.725354196711</v>
      </c>
      <c r="V49" s="26" t="s">
        <v>1883</v>
      </c>
      <c r="W49" s="33"/>
      <c r="X49" s="29"/>
      <c r="Y49" s="43"/>
    </row>
    <row r="50" spans="1:25">
      <c r="A50" s="37" t="s">
        <v>69</v>
      </c>
      <c r="B50" s="18" t="str">
        <f>IFERROR(HYPERLINK(VLOOKUP(A50,ÜRÜNLER!A:C,3,FALSE),VLOOKUP(A50,ÜRÜNLER!A:B,2,FALSE)),"")</f>
        <v>iQ700 Alttan Donduruculu Kulplu Buzdolabı, 86cm, Beyaz</v>
      </c>
      <c r="C50" s="19">
        <v>44</v>
      </c>
      <c r="D50" s="19" t="s">
        <v>1883</v>
      </c>
      <c r="E50" s="20">
        <v>0</v>
      </c>
      <c r="F50" s="20">
        <v>0</v>
      </c>
      <c r="G50" s="20">
        <v>1</v>
      </c>
      <c r="H50" s="20">
        <v>0</v>
      </c>
      <c r="I50" s="21">
        <v>1</v>
      </c>
      <c r="J50" s="21">
        <v>1</v>
      </c>
      <c r="K50" s="20">
        <v>0</v>
      </c>
      <c r="L50" s="20">
        <v>0</v>
      </c>
      <c r="M50" s="21">
        <v>0</v>
      </c>
      <c r="N50" s="22">
        <f t="shared" si="0"/>
        <v>47</v>
      </c>
      <c r="O50" s="23" t="s">
        <v>1883</v>
      </c>
      <c r="P50" s="24" t="s">
        <v>1883</v>
      </c>
      <c r="Q50" s="25">
        <v>102827.95689172141</v>
      </c>
      <c r="R50" s="32">
        <v>97686.559047135335</v>
      </c>
      <c r="S50" s="27">
        <f t="shared" si="1"/>
        <v>101594.02140902076</v>
      </c>
      <c r="T50" s="27">
        <f t="shared" si="5"/>
        <v>105501.48377090617</v>
      </c>
      <c r="U50" s="25">
        <v>24688.422008000463</v>
      </c>
      <c r="V50" s="26" t="s">
        <v>1883</v>
      </c>
      <c r="W50" s="33"/>
    </row>
    <row r="51" spans="1:25" ht="37.5" customHeight="1">
      <c r="A51" s="45" t="s">
        <v>70</v>
      </c>
      <c r="B51" s="18"/>
      <c r="C51" s="19"/>
      <c r="D51" s="19"/>
      <c r="E51" s="20"/>
      <c r="F51" s="20"/>
      <c r="G51" s="20"/>
      <c r="H51" s="20"/>
      <c r="I51" s="21"/>
      <c r="J51" s="21"/>
      <c r="K51" s="20"/>
      <c r="L51" s="20"/>
      <c r="M51" s="21"/>
      <c r="N51" s="22"/>
      <c r="O51" s="23"/>
      <c r="P51" s="24" t="s">
        <v>1883</v>
      </c>
      <c r="R51" s="33"/>
      <c r="S51" s="27"/>
      <c r="T51" s="27"/>
      <c r="U51" s="25"/>
      <c r="V51" s="26"/>
      <c r="W51" s="33"/>
    </row>
    <row r="52" spans="1:25">
      <c r="A52" s="17" t="s">
        <v>71</v>
      </c>
      <c r="B52" s="18" t="str">
        <f>IFERROR(HYPERLINK(VLOOKUP(A52,ÜRÜNLER!A:C,3,FALSE),VLOOKUP(A52,ÜRÜNLER!A:B,2,FALSE)),"")</f>
        <v>iQ300 Derin Dondurucu, 146x60cm, Statik, Beyaz</v>
      </c>
      <c r="C52" s="19">
        <v>90</v>
      </c>
      <c r="D52" s="19" t="s">
        <v>1883</v>
      </c>
      <c r="E52" s="20">
        <v>0</v>
      </c>
      <c r="F52" s="20">
        <v>0</v>
      </c>
      <c r="G52" s="20">
        <v>1</v>
      </c>
      <c r="H52" s="20">
        <v>0</v>
      </c>
      <c r="I52" s="21">
        <v>0</v>
      </c>
      <c r="J52" s="21">
        <v>0</v>
      </c>
      <c r="K52" s="20">
        <v>0</v>
      </c>
      <c r="L52" s="20">
        <v>0</v>
      </c>
      <c r="M52" s="21">
        <v>0</v>
      </c>
      <c r="N52" s="22">
        <f t="shared" si="0"/>
        <v>91</v>
      </c>
      <c r="O52" s="23" t="s">
        <v>1883</v>
      </c>
      <c r="P52" s="24" t="s">
        <v>27</v>
      </c>
      <c r="Q52" s="25">
        <v>24592.564804472833</v>
      </c>
      <c r="R52" s="32">
        <v>23000</v>
      </c>
      <c r="S52" s="27">
        <f t="shared" si="1"/>
        <v>23920</v>
      </c>
      <c r="T52" s="27">
        <f t="shared" ref="T52:T61" si="6">R52*1.08</f>
        <v>24840</v>
      </c>
      <c r="U52" s="25" t="s">
        <v>1883</v>
      </c>
      <c r="V52" s="26" t="s">
        <v>1883</v>
      </c>
      <c r="W52" s="33"/>
    </row>
    <row r="53" spans="1:25">
      <c r="A53" s="17" t="s">
        <v>72</v>
      </c>
      <c r="B53" s="18" t="str">
        <f>IFERROR(HYPERLINK(VLOOKUP(A53,ÜRÜNLER!A:C,3,FALSE),VLOOKUP(A53,ÜRÜNLER!A:B,2,FALSE)),"")</f>
        <v>iQ300 Derin Dondurucu, 146x60cm, Statik, Beyaz</v>
      </c>
      <c r="C53" s="19" t="s">
        <v>1883</v>
      </c>
      <c r="D53" s="19" t="s">
        <v>1883</v>
      </c>
      <c r="E53" s="20">
        <v>1</v>
      </c>
      <c r="F53" s="20">
        <v>0</v>
      </c>
      <c r="G53" s="20">
        <v>0</v>
      </c>
      <c r="H53" s="20">
        <v>0</v>
      </c>
      <c r="I53" s="21">
        <v>0</v>
      </c>
      <c r="J53" s="21">
        <v>0</v>
      </c>
      <c r="K53" s="20">
        <v>0</v>
      </c>
      <c r="L53" s="20">
        <v>0</v>
      </c>
      <c r="M53" s="21">
        <v>0</v>
      </c>
      <c r="N53" s="22">
        <f t="shared" si="0"/>
        <v>1</v>
      </c>
      <c r="O53" s="23" t="s">
        <v>1883</v>
      </c>
      <c r="P53" s="24" t="s">
        <v>27</v>
      </c>
      <c r="Q53" s="25" t="s">
        <v>1884</v>
      </c>
      <c r="R53" s="26">
        <v>20000</v>
      </c>
      <c r="S53" s="27">
        <f t="shared" si="1"/>
        <v>20800</v>
      </c>
      <c r="T53" s="27">
        <f t="shared" si="6"/>
        <v>21600</v>
      </c>
      <c r="U53" s="25" t="s">
        <v>1883</v>
      </c>
      <c r="V53" s="26" t="s">
        <v>1883</v>
      </c>
      <c r="W53" s="28">
        <v>500</v>
      </c>
    </row>
    <row r="54" spans="1:25">
      <c r="A54" s="46" t="s">
        <v>73</v>
      </c>
      <c r="B54" s="18" t="str">
        <f>IFERROR(HYPERLINK(VLOOKUP(A54,ÜRÜNLER!A:C,3,FALSE),VLOOKUP(A54,ÜRÜNLER!A:B,2,FALSE)),"")</f>
        <v>iQ300 Derin Dondurucu, 161x60cm, No-Frost, Beyaz</v>
      </c>
      <c r="C54" s="19">
        <v>8</v>
      </c>
      <c r="D54" s="19" t="s">
        <v>1883</v>
      </c>
      <c r="E54" s="20">
        <v>0</v>
      </c>
      <c r="F54" s="20">
        <v>1</v>
      </c>
      <c r="G54" s="20">
        <v>0</v>
      </c>
      <c r="H54" s="20">
        <v>0</v>
      </c>
      <c r="I54" s="21">
        <v>0</v>
      </c>
      <c r="J54" s="21">
        <v>0</v>
      </c>
      <c r="K54" s="20">
        <v>0</v>
      </c>
      <c r="L54" s="20">
        <v>0</v>
      </c>
      <c r="M54" s="21">
        <v>0</v>
      </c>
      <c r="N54" s="22">
        <f t="shared" si="0"/>
        <v>9</v>
      </c>
      <c r="O54" s="23" t="s">
        <v>1883</v>
      </c>
      <c r="P54" s="24" t="s">
        <v>27</v>
      </c>
      <c r="Q54" s="25">
        <v>37824.325084093944</v>
      </c>
      <c r="R54" s="33">
        <v>41606.757592503331</v>
      </c>
      <c r="S54" s="27">
        <f t="shared" si="1"/>
        <v>43271.027896203464</v>
      </c>
      <c r="T54" s="27">
        <f t="shared" si="6"/>
        <v>44935.298199903598</v>
      </c>
      <c r="U54" s="25">
        <v>1794.9133193880625</v>
      </c>
      <c r="V54" s="26" t="s">
        <v>1883</v>
      </c>
      <c r="W54" s="33"/>
      <c r="Y54" s="39"/>
    </row>
    <row r="55" spans="1:25">
      <c r="A55" s="46" t="s">
        <v>74</v>
      </c>
      <c r="B55" s="18" t="str">
        <f>IFERROR(HYPERLINK(VLOOKUP(A55,ÜRÜNLER!A:C,3,FALSE),VLOOKUP(A55,ÜRÜNLER!A:B,2,FALSE)),"")</f>
        <v>iQ300 Derin Dondurucu, 161x60cm, Statik, Beyaz</v>
      </c>
      <c r="C55" s="19">
        <v>101</v>
      </c>
      <c r="D55" s="19" t="s">
        <v>1883</v>
      </c>
      <c r="E55" s="20">
        <v>0</v>
      </c>
      <c r="F55" s="20">
        <v>1</v>
      </c>
      <c r="G55" s="20">
        <v>1</v>
      </c>
      <c r="H55" s="20">
        <v>0</v>
      </c>
      <c r="I55" s="21">
        <v>1</v>
      </c>
      <c r="J55" s="21">
        <v>0</v>
      </c>
      <c r="K55" s="20">
        <v>1</v>
      </c>
      <c r="L55" s="20">
        <v>0</v>
      </c>
      <c r="M55" s="21">
        <v>0</v>
      </c>
      <c r="N55" s="22">
        <f t="shared" si="0"/>
        <v>105</v>
      </c>
      <c r="O55" s="23" t="s">
        <v>1883</v>
      </c>
      <c r="P55" s="24" t="s">
        <v>27</v>
      </c>
      <c r="Q55" s="25">
        <v>25437.803391758662</v>
      </c>
      <c r="R55" s="33">
        <v>27981.583730934533</v>
      </c>
      <c r="S55" s="27">
        <f t="shared" si="1"/>
        <v>29100.847080171916</v>
      </c>
      <c r="T55" s="27">
        <f t="shared" si="6"/>
        <v>30220.110429409298</v>
      </c>
      <c r="U55" s="25" t="s">
        <v>1883</v>
      </c>
      <c r="V55" s="26" t="s">
        <v>1883</v>
      </c>
      <c r="W55" s="33"/>
      <c r="Y55" s="39"/>
    </row>
    <row r="56" spans="1:25">
      <c r="A56" s="46" t="s">
        <v>75</v>
      </c>
      <c r="B56" s="18" t="str">
        <f>IFERROR(HYPERLINK(VLOOKUP(A56,ÜRÜNLER!A:C,3,FALSE),VLOOKUP(A56,ÜRÜNLER!A:B,2,FALSE)),"")</f>
        <v>iQ300 Derin Dondurucu, 176x60cm, Statik, Inox</v>
      </c>
      <c r="C56" s="19">
        <v>88</v>
      </c>
      <c r="D56" s="19" t="s">
        <v>1883</v>
      </c>
      <c r="E56" s="20">
        <v>2</v>
      </c>
      <c r="F56" s="20">
        <v>3</v>
      </c>
      <c r="G56" s="20">
        <v>2</v>
      </c>
      <c r="H56" s="20">
        <v>0</v>
      </c>
      <c r="I56" s="21">
        <v>1</v>
      </c>
      <c r="J56" s="21">
        <v>0</v>
      </c>
      <c r="K56" s="20">
        <v>0</v>
      </c>
      <c r="L56" s="20">
        <v>1</v>
      </c>
      <c r="M56" s="21">
        <v>1</v>
      </c>
      <c r="N56" s="22">
        <f t="shared" si="0"/>
        <v>98</v>
      </c>
      <c r="O56" s="23" t="s">
        <v>1883</v>
      </c>
      <c r="P56" s="24" t="s">
        <v>27</v>
      </c>
      <c r="Q56" s="25">
        <v>31580.842639611692</v>
      </c>
      <c r="R56" s="33">
        <v>34738.926903572858</v>
      </c>
      <c r="S56" s="27">
        <f t="shared" si="1"/>
        <v>36128.483979715777</v>
      </c>
      <c r="T56" s="27">
        <f t="shared" si="6"/>
        <v>37518.041055858688</v>
      </c>
      <c r="U56" s="25" t="s">
        <v>1883</v>
      </c>
      <c r="V56" s="26" t="s">
        <v>1883</v>
      </c>
      <c r="W56" s="33"/>
      <c r="Y56" s="39"/>
    </row>
    <row r="57" spans="1:25">
      <c r="A57" s="46" t="s">
        <v>76</v>
      </c>
      <c r="B57" s="18" t="str">
        <f>IFERROR(HYPERLINK(VLOOKUP(A57,ÜRÜNLER!A:C,3,FALSE),VLOOKUP(A57,ÜRÜNLER!A:B,2,FALSE)),"")</f>
        <v>iQ300 Derin Dondurucu, 176x60cm, Statik, Beyaz</v>
      </c>
      <c r="C57" s="19">
        <v>107</v>
      </c>
      <c r="D57" s="19" t="s">
        <v>1883</v>
      </c>
      <c r="E57" s="20">
        <v>5</v>
      </c>
      <c r="F57" s="20">
        <v>1</v>
      </c>
      <c r="G57" s="20">
        <v>0</v>
      </c>
      <c r="H57" s="20">
        <v>0</v>
      </c>
      <c r="I57" s="21">
        <v>1</v>
      </c>
      <c r="J57" s="21">
        <v>1</v>
      </c>
      <c r="K57" s="20">
        <v>0</v>
      </c>
      <c r="L57" s="20">
        <v>0</v>
      </c>
      <c r="M57" s="21">
        <v>0</v>
      </c>
      <c r="N57" s="22">
        <f t="shared" si="0"/>
        <v>115</v>
      </c>
      <c r="O57" s="23" t="s">
        <v>1883</v>
      </c>
      <c r="P57" s="24" t="s">
        <v>27</v>
      </c>
      <c r="Q57" s="25">
        <v>28432.702244249125</v>
      </c>
      <c r="R57" s="33">
        <v>31275.972468674037</v>
      </c>
      <c r="S57" s="27">
        <f t="shared" si="1"/>
        <v>32527.011367421001</v>
      </c>
      <c r="T57" s="27">
        <f t="shared" si="6"/>
        <v>33778.050266167964</v>
      </c>
      <c r="U57" s="25" t="s">
        <v>1883</v>
      </c>
      <c r="V57" s="26" t="s">
        <v>1883</v>
      </c>
      <c r="W57" s="33"/>
      <c r="Y57" s="39"/>
    </row>
    <row r="58" spans="1:25">
      <c r="A58" s="47" t="s">
        <v>77</v>
      </c>
      <c r="B58" s="18" t="str">
        <f>IFERROR(HYPERLINK(VLOOKUP(A58,ÜRÜNLER!A:C,3,FALSE),VLOOKUP(A58,ÜRÜNLER!A:B,2,FALSE)),"")</f>
        <v>iQ300 Derin Dondurucu, 186x60cm, No-Frost Inox</v>
      </c>
      <c r="C58" s="19" t="s">
        <v>1883</v>
      </c>
      <c r="D58" s="19" t="s">
        <v>1883</v>
      </c>
      <c r="E58" s="20">
        <v>0</v>
      </c>
      <c r="F58" s="20">
        <v>0</v>
      </c>
      <c r="G58" s="20">
        <v>1</v>
      </c>
      <c r="H58" s="20">
        <v>0</v>
      </c>
      <c r="I58" s="21">
        <v>0</v>
      </c>
      <c r="J58" s="21">
        <v>0</v>
      </c>
      <c r="K58" s="20">
        <v>0</v>
      </c>
      <c r="L58" s="20">
        <v>0</v>
      </c>
      <c r="M58" s="21">
        <v>0</v>
      </c>
      <c r="N58" s="22">
        <f t="shared" si="0"/>
        <v>1</v>
      </c>
      <c r="O58" s="23" t="s">
        <v>1883</v>
      </c>
      <c r="P58" s="24" t="s">
        <v>27</v>
      </c>
      <c r="Q58" s="25" t="s">
        <v>1884</v>
      </c>
      <c r="R58" s="26">
        <v>36000</v>
      </c>
      <c r="S58" s="27">
        <f t="shared" si="1"/>
        <v>37440</v>
      </c>
      <c r="T58" s="27">
        <f t="shared" si="6"/>
        <v>38880</v>
      </c>
      <c r="U58" s="25" t="s">
        <v>1883</v>
      </c>
      <c r="V58" s="26" t="s">
        <v>1883</v>
      </c>
      <c r="W58" s="28">
        <v>500</v>
      </c>
    </row>
    <row r="59" spans="1:25">
      <c r="A59" s="38" t="s">
        <v>78</v>
      </c>
      <c r="B59" s="18" t="str">
        <f>IFERROR(HYPERLINK(VLOOKUP(A59,ÜRÜNLER!A:C,3,FALSE),VLOOKUP(A59,ÜRÜNLER!A:B,2,FALSE)),"")</f>
        <v>iQ300 Derin Dondurucu, 186x60cm, No-Frost, Inox</v>
      </c>
      <c r="C59" s="19" t="s">
        <v>1883</v>
      </c>
      <c r="D59" s="19" t="s">
        <v>1883</v>
      </c>
      <c r="E59" s="20">
        <v>0</v>
      </c>
      <c r="F59" s="20">
        <v>0</v>
      </c>
      <c r="G59" s="20">
        <v>0</v>
      </c>
      <c r="H59" s="20">
        <v>0</v>
      </c>
      <c r="I59" s="21">
        <v>0</v>
      </c>
      <c r="J59" s="21">
        <v>0</v>
      </c>
      <c r="K59" s="20">
        <v>0</v>
      </c>
      <c r="L59" s="20">
        <v>0</v>
      </c>
      <c r="M59" s="21">
        <v>0</v>
      </c>
      <c r="N59" s="22">
        <f t="shared" si="0"/>
        <v>0</v>
      </c>
      <c r="O59" s="23" t="s">
        <v>1883</v>
      </c>
      <c r="P59" s="24" t="s">
        <v>27</v>
      </c>
      <c r="Q59" s="25">
        <v>34578.68292151163</v>
      </c>
      <c r="R59" s="33">
        <v>38036.551213662795</v>
      </c>
      <c r="S59" s="27">
        <f t="shared" si="1"/>
        <v>39558.013262209308</v>
      </c>
      <c r="T59" s="27">
        <f t="shared" si="6"/>
        <v>41079.475310755821</v>
      </c>
      <c r="U59" s="25">
        <v>1658.6009542985194</v>
      </c>
      <c r="V59" s="26" t="s">
        <v>1883</v>
      </c>
      <c r="W59" s="33"/>
      <c r="Y59" s="39"/>
    </row>
    <row r="60" spans="1:25">
      <c r="A60" s="38" t="s">
        <v>79</v>
      </c>
      <c r="B60" s="18" t="str">
        <f>IFERROR(HYPERLINK(VLOOKUP(A60,ÜRÜNLER!A:C,3,FALSE),VLOOKUP(A60,ÜRÜNLER!A:B,2,FALSE)),"")</f>
        <v>iQ300 Derin Dondurucu, 186x60cm, No-Frost, Beyaz</v>
      </c>
      <c r="C60" s="19" t="s">
        <v>1883</v>
      </c>
      <c r="D60" s="19" t="s">
        <v>1883</v>
      </c>
      <c r="E60" s="20">
        <v>0</v>
      </c>
      <c r="F60" s="20">
        <v>0</v>
      </c>
      <c r="G60" s="20">
        <v>0</v>
      </c>
      <c r="H60" s="20">
        <v>0</v>
      </c>
      <c r="I60" s="21">
        <v>0</v>
      </c>
      <c r="J60" s="21">
        <v>0</v>
      </c>
      <c r="K60" s="20">
        <v>0</v>
      </c>
      <c r="L60" s="20">
        <v>1</v>
      </c>
      <c r="M60" s="21">
        <v>0</v>
      </c>
      <c r="N60" s="22">
        <f t="shared" si="0"/>
        <v>1</v>
      </c>
      <c r="O60" s="23" t="s">
        <v>1883</v>
      </c>
      <c r="P60" s="24" t="s">
        <v>27</v>
      </c>
      <c r="Q60" s="25" t="s">
        <v>1884</v>
      </c>
      <c r="R60" s="26">
        <v>30000</v>
      </c>
      <c r="S60" s="27">
        <f t="shared" si="1"/>
        <v>31200</v>
      </c>
      <c r="T60" s="27">
        <f t="shared" si="6"/>
        <v>32400.000000000004</v>
      </c>
      <c r="U60" s="25" t="s">
        <v>1883</v>
      </c>
      <c r="V60" s="26" t="s">
        <v>1883</v>
      </c>
      <c r="W60" s="28">
        <v>500</v>
      </c>
    </row>
    <row r="61" spans="1:25">
      <c r="A61" s="47" t="s">
        <v>80</v>
      </c>
      <c r="B61" s="18" t="str">
        <f>IFERROR(HYPERLINK(VLOOKUP(A61,ÜRÜNLER!A:C,3,FALSE),VLOOKUP(A61,ÜRÜNLER!A:B,2,FALSE)),"")</f>
        <v>iQ300 Derin Dondurucu, 176x70cm, No-Frost, Beyaz</v>
      </c>
      <c r="C61" s="19">
        <v>57</v>
      </c>
      <c r="D61" s="19" t="s">
        <v>1883</v>
      </c>
      <c r="E61" s="20">
        <v>3</v>
      </c>
      <c r="F61" s="20">
        <v>0</v>
      </c>
      <c r="G61" s="20">
        <v>0</v>
      </c>
      <c r="H61" s="20">
        <v>0</v>
      </c>
      <c r="I61" s="21">
        <v>0</v>
      </c>
      <c r="J61" s="21">
        <v>0</v>
      </c>
      <c r="K61" s="20">
        <v>0</v>
      </c>
      <c r="L61" s="20">
        <v>0</v>
      </c>
      <c r="M61" s="21">
        <v>0</v>
      </c>
      <c r="N61" s="22">
        <f t="shared" si="0"/>
        <v>60</v>
      </c>
      <c r="O61" s="23" t="s">
        <v>1883</v>
      </c>
      <c r="P61" s="24" t="s">
        <v>27</v>
      </c>
      <c r="Q61" s="25">
        <v>41328.219470344258</v>
      </c>
      <c r="R61" s="33">
        <v>45461.041417378685</v>
      </c>
      <c r="S61" s="27">
        <f t="shared" si="1"/>
        <v>47279.483074073833</v>
      </c>
      <c r="T61" s="27">
        <f t="shared" si="6"/>
        <v>49097.92473076898</v>
      </c>
      <c r="U61" s="25">
        <v>1989.9841762266078</v>
      </c>
      <c r="V61" s="26" t="s">
        <v>1883</v>
      </c>
      <c r="W61" s="33"/>
      <c r="Y61" s="39"/>
    </row>
    <row r="62" spans="1:25" ht="36" customHeight="1">
      <c r="A62" s="45" t="s">
        <v>81</v>
      </c>
      <c r="B62" s="18"/>
      <c r="C62" s="19"/>
      <c r="D62" s="19"/>
      <c r="E62" s="20"/>
      <c r="F62" s="20"/>
      <c r="G62" s="20"/>
      <c r="H62" s="20"/>
      <c r="I62" s="21"/>
      <c r="J62" s="21"/>
      <c r="K62" s="20"/>
      <c r="L62" s="20"/>
      <c r="M62" s="21"/>
      <c r="N62" s="22"/>
      <c r="O62" s="23"/>
      <c r="P62" s="24" t="s">
        <v>1883</v>
      </c>
      <c r="R62" s="33"/>
      <c r="S62" s="27"/>
      <c r="T62" s="27"/>
      <c r="U62" s="25"/>
      <c r="V62" s="26"/>
      <c r="W62" s="33"/>
    </row>
    <row r="63" spans="1:25">
      <c r="A63" s="17" t="s">
        <v>82</v>
      </c>
      <c r="B63" s="18" t="str">
        <f>IFERROR(HYPERLINK(VLOOKUP(A63,ÜRÜNLER!A:C,3,FALSE),VLOOKUP(A63,ÜRÜNLER!A:B,2,FALSE)),"")</f>
        <v>iQ700 studioLine Ankastre Şarap Soğutucu, 212.5x60.3cm</v>
      </c>
      <c r="C63" s="19" t="s">
        <v>1883</v>
      </c>
      <c r="D63" s="19">
        <v>4</v>
      </c>
      <c r="E63" s="20">
        <v>0</v>
      </c>
      <c r="F63" s="20">
        <v>0</v>
      </c>
      <c r="G63" s="20">
        <v>0</v>
      </c>
      <c r="H63" s="20">
        <v>1</v>
      </c>
      <c r="I63" s="21">
        <v>0</v>
      </c>
      <c r="J63" s="21">
        <v>0</v>
      </c>
      <c r="K63" s="20">
        <v>0</v>
      </c>
      <c r="L63" s="20">
        <v>0</v>
      </c>
      <c r="M63" s="21">
        <v>0</v>
      </c>
      <c r="N63" s="22">
        <f t="shared" si="0"/>
        <v>5</v>
      </c>
      <c r="O63" s="23" t="s">
        <v>1883</v>
      </c>
      <c r="P63" s="24" t="s">
        <v>1883</v>
      </c>
      <c r="Q63" s="25" t="s">
        <v>1884</v>
      </c>
      <c r="R63" s="48">
        <v>279033.75853787118</v>
      </c>
      <c r="S63" s="27">
        <f t="shared" si="1"/>
        <v>290195.10887938604</v>
      </c>
      <c r="T63" s="27">
        <f t="shared" ref="T63:T76" si="7">R63*1.08</f>
        <v>301356.4592209009</v>
      </c>
      <c r="U63" s="25" t="s">
        <v>1883</v>
      </c>
      <c r="V63" s="26" t="s">
        <v>1883</v>
      </c>
      <c r="W63" s="33">
        <v>250</v>
      </c>
    </row>
    <row r="64" spans="1:25">
      <c r="A64" s="17" t="s">
        <v>83</v>
      </c>
      <c r="B64" s="18" t="str">
        <f>IFERROR(HYPERLINK(VLOOKUP(A64,ÜRÜNLER!A:C,3,FALSE),VLOOKUP(A64,ÜRÜNLER!A:B,2,FALSE)),"")</f>
        <v>iQ700 studioLine Alttan Donduruculu Ankastre Buzdolabı, 212.5x75.6cm, Düz Menteşe</v>
      </c>
      <c r="C64" s="19" t="s">
        <v>1883</v>
      </c>
      <c r="D64" s="19">
        <v>2</v>
      </c>
      <c r="E64" s="20">
        <v>0</v>
      </c>
      <c r="F64" s="20">
        <v>0</v>
      </c>
      <c r="G64" s="20">
        <v>0</v>
      </c>
      <c r="H64" s="20">
        <v>1</v>
      </c>
      <c r="I64" s="21">
        <v>0</v>
      </c>
      <c r="J64" s="21">
        <v>0</v>
      </c>
      <c r="K64" s="20">
        <v>0</v>
      </c>
      <c r="L64" s="20">
        <v>0</v>
      </c>
      <c r="M64" s="21">
        <v>0</v>
      </c>
      <c r="N64" s="22">
        <f t="shared" si="0"/>
        <v>3</v>
      </c>
      <c r="O64" s="23" t="s">
        <v>1883</v>
      </c>
      <c r="P64" s="24" t="s">
        <v>1883</v>
      </c>
      <c r="Q64" s="25" t="s">
        <v>1884</v>
      </c>
      <c r="R64" s="49">
        <v>375000</v>
      </c>
      <c r="S64" s="27">
        <f t="shared" si="1"/>
        <v>390000</v>
      </c>
      <c r="T64" s="27">
        <f t="shared" si="7"/>
        <v>405000</v>
      </c>
      <c r="U64" s="25" t="s">
        <v>1883</v>
      </c>
      <c r="V64" s="26" t="s">
        <v>1883</v>
      </c>
      <c r="W64" s="28">
        <v>1000</v>
      </c>
      <c r="Y64" s="50" t="s">
        <v>84</v>
      </c>
    </row>
    <row r="65" spans="1:25">
      <c r="A65" s="51" t="s">
        <v>85</v>
      </c>
      <c r="B65" s="18" t="str">
        <f>IFERROR(HYPERLINK(VLOOKUP(A65,ÜRÜNLER!A:C,3,FALSE),VLOOKUP(A65,ÜRÜNLER!A:B,2,FALSE)),"")</f>
        <v>iQ700 studioLine Ankastre Buzdolabı, 212.5x75.6cm, Düz Menteşe</v>
      </c>
      <c r="C65" s="19" t="s">
        <v>1883</v>
      </c>
      <c r="D65" s="19">
        <v>5</v>
      </c>
      <c r="E65" s="20">
        <v>0</v>
      </c>
      <c r="F65" s="20">
        <v>0</v>
      </c>
      <c r="G65" s="20">
        <v>1</v>
      </c>
      <c r="H65" s="20">
        <v>0</v>
      </c>
      <c r="I65" s="21">
        <v>0</v>
      </c>
      <c r="J65" s="21">
        <v>1</v>
      </c>
      <c r="K65" s="20">
        <v>0</v>
      </c>
      <c r="L65" s="20">
        <v>0</v>
      </c>
      <c r="M65" s="21">
        <v>0</v>
      </c>
      <c r="N65" s="22">
        <f t="shared" si="0"/>
        <v>7</v>
      </c>
      <c r="O65" s="23" t="s">
        <v>1883</v>
      </c>
      <c r="P65" s="24" t="s">
        <v>1883</v>
      </c>
      <c r="Q65" s="25" t="s">
        <v>1884</v>
      </c>
      <c r="R65" s="49">
        <v>400000</v>
      </c>
      <c r="S65" s="27">
        <f t="shared" si="1"/>
        <v>416000</v>
      </c>
      <c r="T65" s="27">
        <f t="shared" si="7"/>
        <v>432000</v>
      </c>
      <c r="U65" s="25" t="s">
        <v>1883</v>
      </c>
      <c r="V65" s="26" t="s">
        <v>1883</v>
      </c>
      <c r="W65" s="28">
        <v>1000</v>
      </c>
    </row>
    <row r="66" spans="1:25">
      <c r="A66" s="17" t="s">
        <v>86</v>
      </c>
      <c r="B66" s="18" t="str">
        <f>IFERROR(HYPERLINK(VLOOKUP(A66,ÜRÜNLER!A:C,3,FALSE),VLOOKUP(A66,ÜRÜNLER!A:B,2,FALSE)),"")</f>
        <v>iQ700 Alttan Donduruculu Ankastre Buzdolabı, 212.5x90.8cm, Düz Menteşe</v>
      </c>
      <c r="C66" s="19" t="s">
        <v>1883</v>
      </c>
      <c r="D66" s="19" t="s">
        <v>1883</v>
      </c>
      <c r="E66" s="20">
        <v>1</v>
      </c>
      <c r="F66" s="20">
        <v>0</v>
      </c>
      <c r="G66" s="20">
        <v>0</v>
      </c>
      <c r="H66" s="20">
        <v>1</v>
      </c>
      <c r="I66" s="21">
        <v>0</v>
      </c>
      <c r="J66" s="21">
        <v>0</v>
      </c>
      <c r="K66" s="20">
        <v>0</v>
      </c>
      <c r="L66" s="20">
        <v>1</v>
      </c>
      <c r="M66" s="21">
        <v>0</v>
      </c>
      <c r="N66" s="22">
        <f t="shared" si="0"/>
        <v>3</v>
      </c>
      <c r="O66" s="23" t="s">
        <v>1883</v>
      </c>
      <c r="P66" s="24" t="s">
        <v>1883</v>
      </c>
      <c r="Q66" s="25" t="s">
        <v>1884</v>
      </c>
      <c r="R66" s="49">
        <v>325000</v>
      </c>
      <c r="S66" s="27">
        <f t="shared" si="1"/>
        <v>338000</v>
      </c>
      <c r="T66" s="27">
        <f t="shared" si="7"/>
        <v>351000</v>
      </c>
      <c r="U66" s="25" t="s">
        <v>1883</v>
      </c>
      <c r="V66" s="26" t="s">
        <v>1883</v>
      </c>
      <c r="W66" s="28">
        <v>1000</v>
      </c>
    </row>
    <row r="67" spans="1:25">
      <c r="A67" s="51" t="s">
        <v>87</v>
      </c>
      <c r="B67" s="18" t="str">
        <f>IFERROR(HYPERLINK(VLOOKUP(A67,ÜRÜNLER!A:C,3,FALSE),VLOOKUP(A67,ÜRÜNLER!A:B,2,FALSE)),"")</f>
        <v>iQ700 Ankastre Derin Dondurucu, 212.5x60.3cm, Düz Menteşe</v>
      </c>
      <c r="C67" s="19" t="s">
        <v>1883</v>
      </c>
      <c r="D67" s="19" t="s">
        <v>1883</v>
      </c>
      <c r="E67" s="20">
        <v>0</v>
      </c>
      <c r="F67" s="20">
        <v>1</v>
      </c>
      <c r="G67" s="20">
        <v>0</v>
      </c>
      <c r="H67" s="20">
        <v>0</v>
      </c>
      <c r="I67" s="21">
        <v>0</v>
      </c>
      <c r="J67" s="21">
        <v>1</v>
      </c>
      <c r="K67" s="20">
        <v>0</v>
      </c>
      <c r="L67" s="20">
        <v>1</v>
      </c>
      <c r="M67" s="21">
        <v>0</v>
      </c>
      <c r="N67" s="22">
        <f t="shared" si="0"/>
        <v>3</v>
      </c>
      <c r="O67" s="23" t="s">
        <v>1883</v>
      </c>
      <c r="P67" s="24" t="s">
        <v>1883</v>
      </c>
      <c r="Q67" s="25" t="s">
        <v>1884</v>
      </c>
      <c r="R67" s="49">
        <v>300000</v>
      </c>
      <c r="S67" s="27">
        <f t="shared" si="1"/>
        <v>312000</v>
      </c>
      <c r="T67" s="27">
        <f t="shared" si="7"/>
        <v>324000</v>
      </c>
      <c r="U67" s="25" t="s">
        <v>1883</v>
      </c>
      <c r="V67" s="26" t="s">
        <v>1883</v>
      </c>
      <c r="W67" s="28">
        <v>1000</v>
      </c>
    </row>
    <row r="68" spans="1:25">
      <c r="A68" s="51" t="s">
        <v>88</v>
      </c>
      <c r="B68" s="18" t="str">
        <f>IFERROR(HYPERLINK(VLOOKUP(A68,ÜRÜNLER!A:C,3,FALSE),VLOOKUP(A68,ÜRÜNLER!A:B,2,FALSE)),"")</f>
        <v>iQ700 Ankastre Derin Dondurucu, 212.5x60.3cm, Düz Menteşe</v>
      </c>
      <c r="C68" s="19">
        <v>1</v>
      </c>
      <c r="D68" s="19" t="s">
        <v>1883</v>
      </c>
      <c r="E68" s="20">
        <v>0</v>
      </c>
      <c r="F68" s="20">
        <v>0</v>
      </c>
      <c r="G68" s="20">
        <v>0</v>
      </c>
      <c r="H68" s="20">
        <v>0</v>
      </c>
      <c r="I68" s="21">
        <v>0</v>
      </c>
      <c r="J68" s="21">
        <v>0</v>
      </c>
      <c r="K68" s="20">
        <v>0</v>
      </c>
      <c r="L68" s="20">
        <v>0</v>
      </c>
      <c r="M68" s="21">
        <v>0</v>
      </c>
      <c r="N68" s="22">
        <f t="shared" si="0"/>
        <v>1</v>
      </c>
      <c r="O68" s="23" t="s">
        <v>1883</v>
      </c>
      <c r="P68" s="24" t="s">
        <v>1883</v>
      </c>
      <c r="Q68" s="25" t="s">
        <v>1884</v>
      </c>
      <c r="R68" s="33">
        <v>323156.50178004295</v>
      </c>
      <c r="S68" s="27">
        <f t="shared" si="1"/>
        <v>336082.76185124466</v>
      </c>
      <c r="T68" s="27">
        <f t="shared" si="7"/>
        <v>349009.02192244638</v>
      </c>
      <c r="U68" s="25" t="s">
        <v>1883</v>
      </c>
      <c r="V68" s="26" t="s">
        <v>1883</v>
      </c>
      <c r="W68" s="33"/>
    </row>
    <row r="69" spans="1:25">
      <c r="A69" s="51" t="s">
        <v>89</v>
      </c>
      <c r="B69" s="18" t="str">
        <f>IFERROR(HYPERLINK(VLOOKUP(A69,ÜRÜNLER!A:C,3,FALSE),VLOOKUP(A69,ÜRÜNLER!A:B,2,FALSE)),"")</f>
        <v>iQ500 Tezgah Altı Ankastre Buzdolabı, 82x59.8cm, softClosing Düz Menteşe</v>
      </c>
      <c r="C69" s="19" t="s">
        <v>1883</v>
      </c>
      <c r="D69" s="19" t="s">
        <v>1883</v>
      </c>
      <c r="E69" s="20">
        <v>0</v>
      </c>
      <c r="F69" s="20">
        <v>0</v>
      </c>
      <c r="G69" s="20">
        <v>0</v>
      </c>
      <c r="H69" s="20">
        <v>0</v>
      </c>
      <c r="I69" s="21">
        <v>0</v>
      </c>
      <c r="J69" s="21">
        <v>0</v>
      </c>
      <c r="K69" s="20">
        <v>0</v>
      </c>
      <c r="L69" s="20">
        <v>0</v>
      </c>
      <c r="M69" s="21">
        <v>0</v>
      </c>
      <c r="N69" s="22">
        <f t="shared" ref="N69:N133" si="8">SUM(C69:M69)</f>
        <v>0</v>
      </c>
      <c r="O69" s="23"/>
      <c r="P69" s="24" t="s">
        <v>1883</v>
      </c>
      <c r="Q69" s="25">
        <v>69903.349893729057</v>
      </c>
      <c r="R69" s="33">
        <v>66893.157793042163</v>
      </c>
      <c r="S69" s="27">
        <f t="shared" ref="S69:S133" si="9">R69*1.04</f>
        <v>69568.884104763856</v>
      </c>
      <c r="T69" s="27">
        <f t="shared" si="7"/>
        <v>72244.610416485535</v>
      </c>
      <c r="U69" s="25" t="s">
        <v>1883</v>
      </c>
      <c r="V69" s="26" t="s">
        <v>1883</v>
      </c>
      <c r="W69" s="33"/>
    </row>
    <row r="70" spans="1:25">
      <c r="A70" s="51" t="s">
        <v>90</v>
      </c>
      <c r="B70" s="18" t="str">
        <f>IFERROR(HYPERLINK(VLOOKUP(A70,ÜRÜNLER!A:C,3,FALSE),VLOOKUP(A70,ÜRÜNLER!A:B,2,FALSE)),"")</f>
        <v>iQ500 Ankastre Şarap Soğutucu, 81.8x59.8cm</v>
      </c>
      <c r="C70" s="19" t="s">
        <v>1883</v>
      </c>
      <c r="D70" s="19" t="s">
        <v>1883</v>
      </c>
      <c r="E70" s="20">
        <v>0</v>
      </c>
      <c r="F70" s="20">
        <v>0</v>
      </c>
      <c r="G70" s="20">
        <v>0</v>
      </c>
      <c r="H70" s="20">
        <v>0</v>
      </c>
      <c r="I70" s="21">
        <v>0</v>
      </c>
      <c r="J70" s="21">
        <v>1</v>
      </c>
      <c r="K70" s="20">
        <v>0</v>
      </c>
      <c r="L70" s="20">
        <v>0</v>
      </c>
      <c r="M70" s="21">
        <v>1</v>
      </c>
      <c r="N70" s="22">
        <f t="shared" si="8"/>
        <v>2</v>
      </c>
      <c r="O70" s="23">
        <v>3</v>
      </c>
      <c r="P70" s="24" t="s">
        <v>1883</v>
      </c>
      <c r="Q70" s="25">
        <v>107384.56032754118</v>
      </c>
      <c r="R70" s="33">
        <v>102760.3448110442</v>
      </c>
      <c r="S70" s="27">
        <f t="shared" si="9"/>
        <v>106870.75860348597</v>
      </c>
      <c r="T70" s="27">
        <f t="shared" si="7"/>
        <v>110981.17239592774</v>
      </c>
      <c r="U70" s="25" t="s">
        <v>1883</v>
      </c>
      <c r="V70" s="26" t="s">
        <v>1883</v>
      </c>
      <c r="W70" s="33"/>
    </row>
    <row r="71" spans="1:25">
      <c r="A71" s="46" t="s">
        <v>91</v>
      </c>
      <c r="B71" s="18" t="str">
        <f>IFERROR(HYPERLINK(VLOOKUP(A71,ÜRÜNLER!A:C,3,FALSE),VLOOKUP(A71,ÜRÜNLER!A:B,2,FALSE)),"")</f>
        <v>iQ500 Derin Donduruculu Ankastre Buzdolabı, 177.2x55.8cm, softClosing Düz Menteşe</v>
      </c>
      <c r="C71" s="19">
        <v>8</v>
      </c>
      <c r="D71" s="19" t="s">
        <v>1883</v>
      </c>
      <c r="E71" s="20">
        <v>0</v>
      </c>
      <c r="F71" s="20">
        <v>1</v>
      </c>
      <c r="G71" s="20">
        <v>0</v>
      </c>
      <c r="H71" s="20">
        <v>0</v>
      </c>
      <c r="I71" s="21">
        <v>0</v>
      </c>
      <c r="J71" s="21">
        <v>0</v>
      </c>
      <c r="K71" s="20">
        <v>0</v>
      </c>
      <c r="L71" s="20">
        <v>0</v>
      </c>
      <c r="M71" s="21">
        <v>0</v>
      </c>
      <c r="N71" s="22">
        <f t="shared" si="8"/>
        <v>9</v>
      </c>
      <c r="O71" s="23" t="s">
        <v>1883</v>
      </c>
      <c r="P71" s="24" t="s">
        <v>1883</v>
      </c>
      <c r="Q71" s="25">
        <v>100312.20831803433</v>
      </c>
      <c r="R71" s="32">
        <v>95296.59790213262</v>
      </c>
      <c r="S71" s="27">
        <f t="shared" si="9"/>
        <v>99108.461818217926</v>
      </c>
      <c r="T71" s="27">
        <f t="shared" si="7"/>
        <v>102920.32573430323</v>
      </c>
      <c r="U71" s="25" t="s">
        <v>1883</v>
      </c>
      <c r="V71" s="26" t="s">
        <v>1883</v>
      </c>
      <c r="W71" s="33"/>
    </row>
    <row r="72" spans="1:25">
      <c r="A72" s="51" t="s">
        <v>92</v>
      </c>
      <c r="B72" s="18" t="str">
        <f>IFERROR(HYPERLINK(VLOOKUP(A72,ÜRÜNLER!A:C,3,FALSE),VLOOKUP(A72,ÜRÜNLER!A:B,2,FALSE)),"")</f>
        <v>iQ500 Alttan Donduruculu Ankastre Buzdolabı, 177.2x55.8cm, softClosing Düz Menteşe</v>
      </c>
      <c r="C72" s="19" t="s">
        <v>1883</v>
      </c>
      <c r="D72" s="19" t="s">
        <v>1883</v>
      </c>
      <c r="E72" s="20">
        <v>0</v>
      </c>
      <c r="F72" s="20">
        <v>0</v>
      </c>
      <c r="G72" s="20">
        <v>1</v>
      </c>
      <c r="H72" s="20">
        <v>0</v>
      </c>
      <c r="I72" s="21">
        <v>0</v>
      </c>
      <c r="J72" s="21">
        <v>0</v>
      </c>
      <c r="K72" s="20">
        <v>0</v>
      </c>
      <c r="L72" s="20">
        <v>0</v>
      </c>
      <c r="M72" s="21">
        <v>0</v>
      </c>
      <c r="N72" s="22">
        <f t="shared" si="8"/>
        <v>1</v>
      </c>
      <c r="O72" s="23" t="s">
        <v>1883</v>
      </c>
      <c r="P72" s="24" t="s">
        <v>1883</v>
      </c>
      <c r="Q72" s="25" t="s">
        <v>1884</v>
      </c>
      <c r="R72" s="26">
        <v>75000</v>
      </c>
      <c r="S72" s="27">
        <f t="shared" si="9"/>
        <v>78000</v>
      </c>
      <c r="T72" s="27">
        <f t="shared" si="7"/>
        <v>81000</v>
      </c>
      <c r="U72" s="25" t="s">
        <v>1883</v>
      </c>
      <c r="V72" s="26" t="s">
        <v>1883</v>
      </c>
      <c r="W72" s="34">
        <v>1000</v>
      </c>
    </row>
    <row r="73" spans="1:25">
      <c r="A73" s="17" t="s">
        <v>93</v>
      </c>
      <c r="B73" s="18" t="str">
        <f>IFERROR(HYPERLINK(VLOOKUP(A73,ÜRÜNLER!A:C,3,FALSE),VLOOKUP(A73,ÜRÜNLER!A:B,2,FALSE)),"")</f>
        <v>iQ500 Alttan Donduruculu Ankastre Buzdolabı, 177.2x55.8cm, Düz Menteşe</v>
      </c>
      <c r="C73" s="19" t="s">
        <v>1883</v>
      </c>
      <c r="D73" s="19" t="s">
        <v>1883</v>
      </c>
      <c r="E73" s="20">
        <v>2</v>
      </c>
      <c r="F73" s="20">
        <v>0</v>
      </c>
      <c r="G73" s="20">
        <v>0</v>
      </c>
      <c r="H73" s="20">
        <v>0</v>
      </c>
      <c r="I73" s="21">
        <v>0</v>
      </c>
      <c r="J73" s="21">
        <v>1</v>
      </c>
      <c r="K73" s="20">
        <v>0</v>
      </c>
      <c r="L73" s="20">
        <v>1</v>
      </c>
      <c r="M73" s="21">
        <v>0</v>
      </c>
      <c r="N73" s="22">
        <f t="shared" si="8"/>
        <v>4</v>
      </c>
      <c r="O73" s="23">
        <v>5</v>
      </c>
      <c r="P73" s="24" t="s">
        <v>1883</v>
      </c>
      <c r="Q73" s="25">
        <v>101735.10495069233</v>
      </c>
      <c r="R73" s="33">
        <v>97354.167416930461</v>
      </c>
      <c r="S73" s="27">
        <f t="shared" si="9"/>
        <v>101248.33411360768</v>
      </c>
      <c r="T73" s="27">
        <f t="shared" si="7"/>
        <v>105142.50081028491</v>
      </c>
      <c r="U73" s="25" t="s">
        <v>1883</v>
      </c>
      <c r="V73" s="26" t="s">
        <v>1883</v>
      </c>
      <c r="W73" s="33"/>
    </row>
    <row r="74" spans="1:25">
      <c r="A74" s="17" t="s">
        <v>94</v>
      </c>
      <c r="B74" s="18" t="str">
        <f>IFERROR(HYPERLINK(VLOOKUP(A74,ÜRÜNLER!A:C,3,FALSE),VLOOKUP(A74,ÜRÜNLER!A:B,2,FALSE)),"")</f>
        <v>iQ500 Alttan Donduruculu Ankastre Buzdolabı, 193.5x70.8cm, softClosing Düz Menteşe</v>
      </c>
      <c r="C74" s="19" t="s">
        <v>1883</v>
      </c>
      <c r="D74" s="19" t="s">
        <v>1883</v>
      </c>
      <c r="E74" s="20">
        <v>0</v>
      </c>
      <c r="F74" s="20">
        <v>0</v>
      </c>
      <c r="G74" s="20">
        <v>0</v>
      </c>
      <c r="H74" s="20">
        <v>0</v>
      </c>
      <c r="I74" s="21">
        <v>0</v>
      </c>
      <c r="J74" s="21">
        <v>0</v>
      </c>
      <c r="K74" s="20">
        <v>0</v>
      </c>
      <c r="L74" s="20">
        <v>0</v>
      </c>
      <c r="M74" s="21">
        <v>0</v>
      </c>
      <c r="N74" s="22">
        <f t="shared" si="8"/>
        <v>0</v>
      </c>
      <c r="O74" s="23">
        <v>4</v>
      </c>
      <c r="P74" s="24" t="s">
        <v>1883</v>
      </c>
      <c r="Q74" s="25">
        <v>125395.81308964087</v>
      </c>
      <c r="R74" s="33">
        <v>119995.99338721613</v>
      </c>
      <c r="S74" s="27">
        <f t="shared" si="9"/>
        <v>124795.83312270479</v>
      </c>
      <c r="T74" s="27">
        <f t="shared" si="7"/>
        <v>129595.67285819343</v>
      </c>
      <c r="U74" s="25" t="s">
        <v>1883</v>
      </c>
      <c r="V74" s="26" t="s">
        <v>1883</v>
      </c>
      <c r="W74" s="33"/>
    </row>
    <row r="75" spans="1:25">
      <c r="A75" s="51" t="s">
        <v>95</v>
      </c>
      <c r="B75" s="18" t="str">
        <f>IFERROR(HYPERLINK(VLOOKUP(A75,ÜRÜNLER!A:C,3,FALSE),VLOOKUP(A75,ÜRÜNLER!A:B,2,FALSE)),"")</f>
        <v>iQ500 Alttan Donduruculu Ankastre Buzdolabı, 193.5x70.8cm, softClosing Düz Menteşe</v>
      </c>
      <c r="C75" s="19">
        <v>1</v>
      </c>
      <c r="D75" s="19" t="s">
        <v>1883</v>
      </c>
      <c r="E75" s="20">
        <v>0</v>
      </c>
      <c r="F75" s="20">
        <v>0</v>
      </c>
      <c r="G75" s="20">
        <v>0</v>
      </c>
      <c r="H75" s="20">
        <v>0</v>
      </c>
      <c r="I75" s="21">
        <v>0</v>
      </c>
      <c r="J75" s="21">
        <v>0</v>
      </c>
      <c r="K75" s="20">
        <v>0</v>
      </c>
      <c r="L75" s="20">
        <v>0</v>
      </c>
      <c r="M75" s="21">
        <v>0</v>
      </c>
      <c r="N75" s="22">
        <f t="shared" si="8"/>
        <v>1</v>
      </c>
      <c r="O75" s="23"/>
      <c r="P75" s="24" t="s">
        <v>1883</v>
      </c>
      <c r="Q75" s="25">
        <v>125395.81308964087</v>
      </c>
      <c r="R75" s="33">
        <v>119995.99338721613</v>
      </c>
      <c r="S75" s="27">
        <f t="shared" si="9"/>
        <v>124795.83312270479</v>
      </c>
      <c r="T75" s="27">
        <f t="shared" si="7"/>
        <v>129595.67285819343</v>
      </c>
      <c r="U75" s="25" t="s">
        <v>1883</v>
      </c>
      <c r="V75" s="26" t="s">
        <v>1883</v>
      </c>
      <c r="W75" s="33"/>
    </row>
    <row r="76" spans="1:25">
      <c r="A76" s="51" t="s">
        <v>96</v>
      </c>
      <c r="B76" s="18" t="str">
        <f>IFERROR(HYPERLINK(VLOOKUP(A76,ÜRÜNLER!A:C,3,FALSE),VLOOKUP(A76,ÜRÜNLER!A:B,2,FALSE)),"")</f>
        <v>iQ500 studioLine Alttan Donduruculu Ankastre Buzdolabı, 193.5x70.8cm, Düz Menteşe</v>
      </c>
      <c r="C76" s="19" t="s">
        <v>1883</v>
      </c>
      <c r="D76" s="19">
        <v>12</v>
      </c>
      <c r="E76" s="20">
        <v>0</v>
      </c>
      <c r="F76" s="20">
        <v>0</v>
      </c>
      <c r="G76" s="20">
        <v>0</v>
      </c>
      <c r="H76" s="20">
        <v>0</v>
      </c>
      <c r="I76" s="21">
        <v>0</v>
      </c>
      <c r="J76" s="21">
        <v>0</v>
      </c>
      <c r="K76" s="20">
        <v>0</v>
      </c>
      <c r="L76" s="20">
        <v>0</v>
      </c>
      <c r="M76" s="21">
        <v>0</v>
      </c>
      <c r="N76" s="22">
        <f t="shared" si="8"/>
        <v>12</v>
      </c>
      <c r="O76" s="23" t="s">
        <v>1883</v>
      </c>
      <c r="P76" s="24" t="s">
        <v>1883</v>
      </c>
      <c r="Q76" s="25">
        <v>151937.5120382171</v>
      </c>
      <c r="R76" s="34">
        <v>126493.43107487932</v>
      </c>
      <c r="S76" s="27">
        <f t="shared" si="9"/>
        <v>131553.16831787449</v>
      </c>
      <c r="T76" s="27">
        <f t="shared" si="7"/>
        <v>136612.90556086967</v>
      </c>
      <c r="U76" s="25" t="s">
        <v>1883</v>
      </c>
      <c r="V76" s="26" t="s">
        <v>1883</v>
      </c>
      <c r="W76" s="28">
        <v>500</v>
      </c>
    </row>
    <row r="77" spans="1:25" s="54" customFormat="1" ht="35.25" customHeight="1">
      <c r="A77" s="45" t="s">
        <v>97</v>
      </c>
      <c r="B77" s="18"/>
      <c r="C77" s="19"/>
      <c r="D77" s="19"/>
      <c r="E77" s="20"/>
      <c r="F77" s="20"/>
      <c r="G77" s="20"/>
      <c r="H77" s="20"/>
      <c r="I77" s="21"/>
      <c r="J77" s="21"/>
      <c r="K77" s="20"/>
      <c r="L77" s="20"/>
      <c r="M77" s="21"/>
      <c r="N77" s="22"/>
      <c r="O77" s="23"/>
      <c r="P77" s="24" t="s">
        <v>1883</v>
      </c>
      <c r="Q77" s="25"/>
      <c r="R77" s="52"/>
      <c r="S77" s="52"/>
      <c r="T77" s="27"/>
      <c r="U77" s="25"/>
      <c r="V77" s="26"/>
      <c r="W77" s="33"/>
      <c r="X77" s="29"/>
      <c r="Y77" s="53"/>
    </row>
    <row r="78" spans="1:25">
      <c r="A78" s="37" t="s">
        <v>98</v>
      </c>
      <c r="B78" s="18" t="str">
        <f>IFERROR(HYPERLINK(VLOOKUP(A78,ÜRÜNLER!A:C,3,FALSE),VLOOKUP(A78,ÜRÜNLER!A:B,2,FALSE)),"")</f>
        <v>iQ300 Çamaşır Makinesi, 9kg/1200devir, Gümüş</v>
      </c>
      <c r="C78" s="19" t="s">
        <v>1883</v>
      </c>
      <c r="D78" s="19" t="s">
        <v>1883</v>
      </c>
      <c r="E78" s="20">
        <v>0</v>
      </c>
      <c r="F78" s="20">
        <v>0</v>
      </c>
      <c r="G78" s="20">
        <v>0</v>
      </c>
      <c r="H78" s="20">
        <v>0</v>
      </c>
      <c r="I78" s="21">
        <v>1</v>
      </c>
      <c r="J78" s="21">
        <v>0</v>
      </c>
      <c r="K78" s="20">
        <v>0</v>
      </c>
      <c r="L78" s="20">
        <v>0</v>
      </c>
      <c r="M78" s="21">
        <v>0</v>
      </c>
      <c r="N78" s="22">
        <f t="shared" si="8"/>
        <v>1</v>
      </c>
      <c r="O78" s="23" t="s">
        <v>1883</v>
      </c>
      <c r="P78" s="24" t="s">
        <v>1883</v>
      </c>
      <c r="Q78" s="25" t="s">
        <v>1884</v>
      </c>
      <c r="R78" s="33">
        <v>35000</v>
      </c>
      <c r="S78" s="27">
        <f t="shared" si="9"/>
        <v>36400</v>
      </c>
      <c r="T78" s="27">
        <f t="shared" ref="T78:T108" si="10">R78*1.08</f>
        <v>37800</v>
      </c>
      <c r="U78" s="25" t="s">
        <v>1883</v>
      </c>
      <c r="V78" s="26" t="s">
        <v>1883</v>
      </c>
      <c r="W78" s="28">
        <v>500</v>
      </c>
    </row>
    <row r="79" spans="1:25">
      <c r="A79" s="37" t="s">
        <v>99</v>
      </c>
      <c r="B79" s="18" t="str">
        <f>IFERROR(HYPERLINK(VLOOKUP(A79,ÜRÜNLER!A:C,3,FALSE),VLOOKUP(A79,ÜRÜNLER!A:B,2,FALSE)),"")</f>
        <v>iQ300 Çamaşır Makinesi, 9kg/1200devir, Beyaz</v>
      </c>
      <c r="C79" s="19">
        <v>47</v>
      </c>
      <c r="D79" s="19" t="s">
        <v>1883</v>
      </c>
      <c r="E79" s="20">
        <v>0</v>
      </c>
      <c r="F79" s="20">
        <v>0</v>
      </c>
      <c r="G79" s="20">
        <v>1</v>
      </c>
      <c r="H79" s="20">
        <v>0</v>
      </c>
      <c r="I79" s="21">
        <v>2</v>
      </c>
      <c r="J79" s="21">
        <v>2</v>
      </c>
      <c r="K79" s="20">
        <v>1</v>
      </c>
      <c r="L79" s="20">
        <v>1</v>
      </c>
      <c r="M79" s="21">
        <v>1</v>
      </c>
      <c r="N79" s="22">
        <f t="shared" si="8"/>
        <v>55</v>
      </c>
      <c r="O79" s="23" t="s">
        <v>1883</v>
      </c>
      <c r="P79" s="24" t="s">
        <v>1883</v>
      </c>
      <c r="Q79" s="25">
        <v>35478.870163799198</v>
      </c>
      <c r="R79" s="33">
        <v>33951.071927080571</v>
      </c>
      <c r="S79" s="27">
        <f t="shared" si="9"/>
        <v>35309.114804163793</v>
      </c>
      <c r="T79" s="27">
        <f t="shared" si="10"/>
        <v>36667.157681247016</v>
      </c>
      <c r="U79" s="25">
        <v>1455.6143498457095</v>
      </c>
      <c r="V79" s="26" t="s">
        <v>1883</v>
      </c>
      <c r="W79" s="33"/>
    </row>
    <row r="80" spans="1:25">
      <c r="A80" s="37" t="s">
        <v>100</v>
      </c>
      <c r="B80" s="18" t="str">
        <f>IFERROR(HYPERLINK(VLOOKUP(A80,ÜRÜNLER!A:C,3,FALSE),VLOOKUP(A80,ÜRÜNLER!A:B,2,FALSE)),"")</f>
        <v>iQ500 Çamaşır Makinesi, 9kg/1200devir, Beyaz</v>
      </c>
      <c r="C80" s="19">
        <v>32</v>
      </c>
      <c r="D80" s="19" t="s">
        <v>1883</v>
      </c>
      <c r="E80" s="20">
        <v>0</v>
      </c>
      <c r="F80" s="20">
        <v>0</v>
      </c>
      <c r="G80" s="20">
        <v>0</v>
      </c>
      <c r="H80" s="20">
        <v>0</v>
      </c>
      <c r="I80" s="21">
        <v>1</v>
      </c>
      <c r="J80" s="21">
        <v>0</v>
      </c>
      <c r="K80" s="20">
        <v>0</v>
      </c>
      <c r="L80" s="20">
        <v>1</v>
      </c>
      <c r="M80" s="21">
        <v>0</v>
      </c>
      <c r="N80" s="22">
        <f t="shared" si="8"/>
        <v>34</v>
      </c>
      <c r="O80" s="23" t="s">
        <v>1883</v>
      </c>
      <c r="P80" s="24" t="s">
        <v>1883</v>
      </c>
      <c r="Q80" s="25">
        <v>45590.828425347914</v>
      </c>
      <c r="R80" s="32">
        <v>43311.287004080521</v>
      </c>
      <c r="S80" s="27">
        <f t="shared" si="9"/>
        <v>45043.738484243746</v>
      </c>
      <c r="T80" s="27">
        <f t="shared" si="10"/>
        <v>46776.189964406964</v>
      </c>
      <c r="U80" s="25" t="s">
        <v>1883</v>
      </c>
      <c r="V80" s="26" t="s">
        <v>1883</v>
      </c>
      <c r="W80" s="33"/>
    </row>
    <row r="81" spans="1:25">
      <c r="A81" s="55" t="s">
        <v>101</v>
      </c>
      <c r="B81" s="18" t="str">
        <f>IFERROR(HYPERLINK(VLOOKUP(A81,ÜRÜNLER!A:C,3,FALSE),VLOOKUP(A81,ÜRÜNLER!A:B,2,FALSE)),"")</f>
        <v>iQ500 Çamaşır Makinesi, 9kg/1200devir, Gümüş</v>
      </c>
      <c r="C81" s="19">
        <v>51</v>
      </c>
      <c r="D81" s="19" t="s">
        <v>1883</v>
      </c>
      <c r="E81" s="20">
        <v>0</v>
      </c>
      <c r="F81" s="20">
        <v>0</v>
      </c>
      <c r="G81" s="20">
        <v>0</v>
      </c>
      <c r="H81" s="20">
        <v>0</v>
      </c>
      <c r="I81" s="21">
        <v>1</v>
      </c>
      <c r="J81" s="21">
        <v>1</v>
      </c>
      <c r="K81" s="20">
        <v>1</v>
      </c>
      <c r="L81" s="20">
        <v>0</v>
      </c>
      <c r="M81" s="21">
        <v>1</v>
      </c>
      <c r="N81" s="22">
        <f t="shared" si="8"/>
        <v>55</v>
      </c>
      <c r="O81" s="23" t="s">
        <v>1883</v>
      </c>
      <c r="P81" s="24" t="s">
        <v>1883</v>
      </c>
      <c r="Q81" s="25">
        <v>47541.989011553684</v>
      </c>
      <c r="R81" s="32">
        <v>45164.889560976</v>
      </c>
      <c r="S81" s="27">
        <f t="shared" si="9"/>
        <v>46971.485143415041</v>
      </c>
      <c r="T81" s="27">
        <f t="shared" si="10"/>
        <v>48778.080725854081</v>
      </c>
      <c r="U81" s="25" t="s">
        <v>1883</v>
      </c>
      <c r="V81" s="26" t="s">
        <v>1883</v>
      </c>
      <c r="W81" s="33"/>
    </row>
    <row r="82" spans="1:25">
      <c r="A82" s="37" t="s">
        <v>102</v>
      </c>
      <c r="B82" s="18" t="str">
        <f>IFERROR(HYPERLINK(VLOOKUP(A82,ÜRÜNLER!A:C,3,FALSE),VLOOKUP(A82,ÜRÜNLER!A:B,2,FALSE)),"")</f>
        <v>iQ300 Çamaşır Makinesi, 9kg/1400devir, Beyaz</v>
      </c>
      <c r="C82" s="19" t="s">
        <v>1883</v>
      </c>
      <c r="D82" s="19" t="s">
        <v>1883</v>
      </c>
      <c r="E82" s="20">
        <v>0</v>
      </c>
      <c r="F82" s="20">
        <v>0</v>
      </c>
      <c r="G82" s="20">
        <v>0</v>
      </c>
      <c r="H82" s="20">
        <v>0</v>
      </c>
      <c r="I82" s="21">
        <v>1</v>
      </c>
      <c r="J82" s="21">
        <v>0</v>
      </c>
      <c r="K82" s="20">
        <v>0</v>
      </c>
      <c r="L82" s="20">
        <v>0</v>
      </c>
      <c r="M82" s="21">
        <v>0</v>
      </c>
      <c r="N82" s="22">
        <f t="shared" si="8"/>
        <v>1</v>
      </c>
      <c r="O82" s="23" t="s">
        <v>1883</v>
      </c>
      <c r="P82" s="24" t="s">
        <v>1883</v>
      </c>
      <c r="Q82" s="25" t="s">
        <v>1884</v>
      </c>
      <c r="R82" s="35">
        <v>32000</v>
      </c>
      <c r="S82" s="27">
        <f t="shared" si="9"/>
        <v>33280</v>
      </c>
      <c r="T82" s="27">
        <f t="shared" si="10"/>
        <v>34560</v>
      </c>
      <c r="U82" s="25" t="s">
        <v>1883</v>
      </c>
      <c r="V82" s="26" t="s">
        <v>1883</v>
      </c>
      <c r="W82" s="28">
        <v>500</v>
      </c>
    </row>
    <row r="83" spans="1:25">
      <c r="A83" s="37" t="s">
        <v>103</v>
      </c>
      <c r="B83" s="18" t="str">
        <f>IFERROR(HYPERLINK(VLOOKUP(A83,ÜRÜNLER!A:C,3,FALSE),VLOOKUP(A83,ÜRÜNLER!A:B,2,FALSE)),"")</f>
        <v>iQ700 Çamaşır Makinesi, 9kg/1400devir, i-dos, Beyaz</v>
      </c>
      <c r="C83" s="19" t="s">
        <v>1883</v>
      </c>
      <c r="D83" s="19" t="s">
        <v>1883</v>
      </c>
      <c r="E83" s="20">
        <v>0</v>
      </c>
      <c r="F83" s="20">
        <v>0</v>
      </c>
      <c r="G83" s="20">
        <v>0</v>
      </c>
      <c r="H83" s="20">
        <v>0</v>
      </c>
      <c r="I83" s="21">
        <v>0</v>
      </c>
      <c r="J83" s="21">
        <v>1</v>
      </c>
      <c r="K83" s="20">
        <v>0</v>
      </c>
      <c r="L83" s="20">
        <v>1</v>
      </c>
      <c r="M83" s="21">
        <v>1</v>
      </c>
      <c r="N83" s="22">
        <f t="shared" si="8"/>
        <v>3</v>
      </c>
      <c r="O83" s="23">
        <v>5</v>
      </c>
      <c r="P83" s="24" t="s">
        <v>1883</v>
      </c>
      <c r="Q83" s="25">
        <v>53167.085575032099</v>
      </c>
      <c r="R83" s="33">
        <v>50878</v>
      </c>
      <c r="S83" s="27">
        <f t="shared" si="9"/>
        <v>52913.120000000003</v>
      </c>
      <c r="T83" s="27">
        <f t="shared" si="10"/>
        <v>54948.240000000005</v>
      </c>
      <c r="U83" s="25" t="s">
        <v>1883</v>
      </c>
      <c r="V83" s="26" t="s">
        <v>1883</v>
      </c>
      <c r="W83" s="33"/>
    </row>
    <row r="84" spans="1:25">
      <c r="A84" s="37" t="s">
        <v>104</v>
      </c>
      <c r="B84" s="18" t="str">
        <f>IFERROR(HYPERLINK(VLOOKUP(A84,ÜRÜNLER!A:C,3,FALSE),VLOOKUP(A84,ÜRÜNLER!A:B,2,FALSE)),"")</f>
        <v>iQ500 Çamaşır Makinesi, 9kg/1400devir, Beyaz</v>
      </c>
      <c r="C84" s="19">
        <v>13</v>
      </c>
      <c r="D84" s="19" t="s">
        <v>1883</v>
      </c>
      <c r="E84" s="20">
        <v>0</v>
      </c>
      <c r="F84" s="20">
        <v>1</v>
      </c>
      <c r="G84" s="20">
        <v>0</v>
      </c>
      <c r="H84" s="20">
        <v>0</v>
      </c>
      <c r="I84" s="21">
        <v>1</v>
      </c>
      <c r="J84" s="21">
        <v>1</v>
      </c>
      <c r="K84" s="20">
        <v>0</v>
      </c>
      <c r="L84" s="20">
        <v>0</v>
      </c>
      <c r="M84" s="21">
        <v>0</v>
      </c>
      <c r="N84" s="22">
        <f t="shared" si="8"/>
        <v>16</v>
      </c>
      <c r="O84" s="23" t="s">
        <v>1883</v>
      </c>
      <c r="P84" s="24" t="s">
        <v>1883</v>
      </c>
      <c r="Q84" s="25">
        <v>45245.966877999883</v>
      </c>
      <c r="R84" s="32">
        <v>42983.668534099888</v>
      </c>
      <c r="S84" s="27">
        <f t="shared" si="9"/>
        <v>44703.015275463884</v>
      </c>
      <c r="T84" s="27">
        <f t="shared" si="10"/>
        <v>46422.362016827879</v>
      </c>
      <c r="U84" s="25" t="s">
        <v>1883</v>
      </c>
      <c r="V84" s="26" t="s">
        <v>1883</v>
      </c>
      <c r="W84" s="33"/>
    </row>
    <row r="85" spans="1:25">
      <c r="A85" s="17" t="s">
        <v>105</v>
      </c>
      <c r="B85" s="18" t="str">
        <f>IFERROR(HYPERLINK(VLOOKUP(A85,ÜRÜNLER!A:C,3,FALSE),VLOOKUP(A85,ÜRÜNLER!A:B,2,FALSE)),"")</f>
        <v>iQ300 Çamaşır Makinesi, 10kg/1200devir, Beyaz</v>
      </c>
      <c r="C85" s="19" t="s">
        <v>1883</v>
      </c>
      <c r="D85" s="19" t="s">
        <v>1883</v>
      </c>
      <c r="E85" s="20">
        <v>0</v>
      </c>
      <c r="F85" s="20">
        <v>0</v>
      </c>
      <c r="G85" s="20">
        <v>0</v>
      </c>
      <c r="H85" s="20">
        <v>0</v>
      </c>
      <c r="I85" s="21">
        <v>1</v>
      </c>
      <c r="J85" s="21">
        <v>1</v>
      </c>
      <c r="K85" s="20">
        <v>0</v>
      </c>
      <c r="L85" s="20">
        <v>1</v>
      </c>
      <c r="M85" s="21">
        <v>0</v>
      </c>
      <c r="N85" s="22">
        <f t="shared" si="8"/>
        <v>3</v>
      </c>
      <c r="O85" s="23" t="s">
        <v>1883</v>
      </c>
      <c r="P85" s="24" t="s">
        <v>1883</v>
      </c>
      <c r="Q85" s="25" t="s">
        <v>1884</v>
      </c>
      <c r="R85" s="26">
        <v>34557</v>
      </c>
      <c r="S85" s="27">
        <f t="shared" si="9"/>
        <v>35939.279999999999</v>
      </c>
      <c r="T85" s="27">
        <f t="shared" si="10"/>
        <v>37321.560000000005</v>
      </c>
      <c r="U85" s="25">
        <v>598.48948481139814</v>
      </c>
      <c r="V85" s="26" t="s">
        <v>1883</v>
      </c>
      <c r="W85" s="28">
        <v>500</v>
      </c>
      <c r="Y85" s="56"/>
    </row>
    <row r="86" spans="1:25">
      <c r="A86" s="57" t="s">
        <v>106</v>
      </c>
      <c r="B86" s="18" t="str">
        <f>IFERROR(HYPERLINK(VLOOKUP(A86,ÜRÜNLER!A:C,3,FALSE),VLOOKUP(A86,ÜRÜNLER!A:B,2,FALSE)),"")</f>
        <v>iQ300 Çamaşır Makinesi, 10kg/1200devir, Beyaz</v>
      </c>
      <c r="C86" s="19">
        <v>80</v>
      </c>
      <c r="D86" s="19" t="s">
        <v>1883</v>
      </c>
      <c r="E86" s="20">
        <v>0</v>
      </c>
      <c r="F86" s="20">
        <v>0</v>
      </c>
      <c r="G86" s="20">
        <v>0</v>
      </c>
      <c r="H86" s="20">
        <v>0</v>
      </c>
      <c r="I86" s="21">
        <v>1</v>
      </c>
      <c r="J86" s="21">
        <v>1</v>
      </c>
      <c r="K86" s="20">
        <v>1</v>
      </c>
      <c r="L86" s="20">
        <v>0</v>
      </c>
      <c r="M86" s="21">
        <v>0</v>
      </c>
      <c r="N86" s="22">
        <f t="shared" si="8"/>
        <v>83</v>
      </c>
      <c r="O86" s="23" t="s">
        <v>1883</v>
      </c>
      <c r="P86" s="24" t="s">
        <v>1883</v>
      </c>
      <c r="Q86" s="25">
        <v>41077.18023255813</v>
      </c>
      <c r="R86" s="32">
        <v>39023.321220930222</v>
      </c>
      <c r="S86" s="27">
        <f t="shared" si="9"/>
        <v>40584.254069767434</v>
      </c>
      <c r="T86" s="27">
        <f t="shared" si="10"/>
        <v>42145.186918604646</v>
      </c>
      <c r="U86" s="25">
        <v>4123.6918604651073</v>
      </c>
      <c r="V86" s="26" t="s">
        <v>1883</v>
      </c>
      <c r="W86" s="33"/>
      <c r="X86" s="58"/>
      <c r="Y86" s="56"/>
    </row>
    <row r="87" spans="1:25" s="59" customFormat="1">
      <c r="A87" s="46" t="s">
        <v>107</v>
      </c>
      <c r="B87" s="18" t="str">
        <f>IFERROR(HYPERLINK(VLOOKUP(A87,ÜRÜNLER!A:C,3,FALSE),VLOOKUP(A87,ÜRÜNLER!A:B,2,FALSE)),"")</f>
        <v>iQ500 Çamaşır Makinesi, 10kg/1200devir, i-dos, Beyaz</v>
      </c>
      <c r="C87" s="19" t="s">
        <v>1883</v>
      </c>
      <c r="D87" s="19" t="s">
        <v>1883</v>
      </c>
      <c r="E87" s="20">
        <v>0</v>
      </c>
      <c r="F87" s="20">
        <v>0</v>
      </c>
      <c r="G87" s="20">
        <v>0</v>
      </c>
      <c r="H87" s="20">
        <v>0</v>
      </c>
      <c r="I87" s="21">
        <v>0</v>
      </c>
      <c r="J87" s="21">
        <v>0</v>
      </c>
      <c r="K87" s="20">
        <v>0</v>
      </c>
      <c r="L87" s="20">
        <v>1</v>
      </c>
      <c r="M87" s="21">
        <v>0</v>
      </c>
      <c r="N87" s="22">
        <f t="shared" si="8"/>
        <v>1</v>
      </c>
      <c r="O87" s="23" t="s">
        <v>1883</v>
      </c>
      <c r="P87" s="24" t="s">
        <v>1883</v>
      </c>
      <c r="Q87" s="25" t="s">
        <v>1884</v>
      </c>
      <c r="R87" s="26">
        <v>40000</v>
      </c>
      <c r="S87" s="27">
        <f t="shared" si="9"/>
        <v>41600</v>
      </c>
      <c r="T87" s="27">
        <f t="shared" si="10"/>
        <v>43200</v>
      </c>
      <c r="U87" s="25" t="s">
        <v>1883</v>
      </c>
      <c r="V87" s="26" t="s">
        <v>1883</v>
      </c>
      <c r="W87" s="28">
        <v>500</v>
      </c>
      <c r="X87" s="29"/>
      <c r="Y87" s="30"/>
    </row>
    <row r="88" spans="1:25" s="59" customFormat="1">
      <c r="A88" s="46" t="s">
        <v>108</v>
      </c>
      <c r="B88" s="18" t="str">
        <f>IFERROR(HYPERLINK(VLOOKUP(A88,ÜRÜNLER!A:C,3,FALSE),VLOOKUP(A88,ÜRÜNLER!A:B,2,FALSE)),"")</f>
        <v>iQ500 Çamaşır Makinesi, 10kg/1200devir, i-dos, Beyaz</v>
      </c>
      <c r="C88" s="19" t="s">
        <v>1883</v>
      </c>
      <c r="D88" s="19" t="s">
        <v>1883</v>
      </c>
      <c r="E88" s="20">
        <v>1</v>
      </c>
      <c r="F88" s="20">
        <v>0</v>
      </c>
      <c r="G88" s="20">
        <v>0</v>
      </c>
      <c r="H88" s="20">
        <v>0</v>
      </c>
      <c r="I88" s="21">
        <v>1</v>
      </c>
      <c r="J88" s="21">
        <v>0</v>
      </c>
      <c r="K88" s="20">
        <v>1</v>
      </c>
      <c r="L88" s="20">
        <v>1</v>
      </c>
      <c r="M88" s="21">
        <v>1</v>
      </c>
      <c r="N88" s="22">
        <f t="shared" si="8"/>
        <v>5</v>
      </c>
      <c r="O88" s="23" t="s">
        <v>1883</v>
      </c>
      <c r="P88" s="24" t="s">
        <v>1883</v>
      </c>
      <c r="Q88" s="25" t="s">
        <v>1884</v>
      </c>
      <c r="R88" s="35">
        <v>40000</v>
      </c>
      <c r="S88" s="27">
        <f t="shared" si="9"/>
        <v>41600</v>
      </c>
      <c r="T88" s="27">
        <f t="shared" si="10"/>
        <v>43200</v>
      </c>
      <c r="U88" s="25" t="s">
        <v>1883</v>
      </c>
      <c r="V88" s="26" t="s">
        <v>1883</v>
      </c>
      <c r="W88" s="28">
        <v>500</v>
      </c>
      <c r="X88" s="29"/>
      <c r="Y88" s="30"/>
    </row>
    <row r="89" spans="1:25" s="59" customFormat="1">
      <c r="A89" s="17" t="s">
        <v>109</v>
      </c>
      <c r="B89" s="18" t="str">
        <f>IFERROR(HYPERLINK(VLOOKUP(A89,ÜRÜNLER!A:C,3,FALSE),VLOOKUP(A89,ÜRÜNLER!A:B,2,FALSE)),"")</f>
        <v>iQ500 Çamaşır Makinesi, 10kg/1200devir, Beyaz</v>
      </c>
      <c r="C89" s="19" t="s">
        <v>1883</v>
      </c>
      <c r="D89" s="19" t="s">
        <v>1883</v>
      </c>
      <c r="E89" s="20">
        <v>0</v>
      </c>
      <c r="F89" s="20">
        <v>0</v>
      </c>
      <c r="G89" s="20">
        <v>0</v>
      </c>
      <c r="H89" s="20">
        <v>0</v>
      </c>
      <c r="I89" s="21">
        <v>0</v>
      </c>
      <c r="J89" s="21">
        <v>0</v>
      </c>
      <c r="K89" s="20">
        <v>0</v>
      </c>
      <c r="L89" s="20">
        <v>1</v>
      </c>
      <c r="M89" s="21">
        <v>0</v>
      </c>
      <c r="N89" s="22">
        <f t="shared" si="8"/>
        <v>1</v>
      </c>
      <c r="O89" s="23" t="s">
        <v>1883</v>
      </c>
      <c r="P89" s="24" t="s">
        <v>1883</v>
      </c>
      <c r="Q89" s="25" t="s">
        <v>1884</v>
      </c>
      <c r="R89" s="35">
        <v>40000</v>
      </c>
      <c r="S89" s="27">
        <f t="shared" si="9"/>
        <v>41600</v>
      </c>
      <c r="T89" s="27">
        <f t="shared" si="10"/>
        <v>43200</v>
      </c>
      <c r="U89" s="25" t="s">
        <v>1883</v>
      </c>
      <c r="V89" s="26">
        <v>3490.4399999999996</v>
      </c>
      <c r="W89" s="28">
        <v>500</v>
      </c>
      <c r="X89" s="29"/>
      <c r="Y89" s="30"/>
    </row>
    <row r="90" spans="1:25">
      <c r="A90" s="60" t="s">
        <v>110</v>
      </c>
      <c r="B90" s="18" t="str">
        <f>IFERROR(HYPERLINK(VLOOKUP(A90,ÜRÜNLER!A:C,3,FALSE),VLOOKUP(A90,ÜRÜNLER!A:B,2,FALSE)),"")</f>
        <v>iQ300 Çamaşır Makinesi, 10kg/1200devir, Gümüş</v>
      </c>
      <c r="C90" s="19" t="s">
        <v>1883</v>
      </c>
      <c r="D90" s="19" t="s">
        <v>1883</v>
      </c>
      <c r="E90" s="20">
        <v>1</v>
      </c>
      <c r="F90" s="20">
        <v>0</v>
      </c>
      <c r="G90" s="20">
        <v>0</v>
      </c>
      <c r="H90" s="20">
        <v>0</v>
      </c>
      <c r="I90" s="21">
        <v>0</v>
      </c>
      <c r="J90" s="21">
        <v>0</v>
      </c>
      <c r="K90" s="20">
        <v>0</v>
      </c>
      <c r="L90" s="20">
        <v>0</v>
      </c>
      <c r="M90" s="21">
        <v>0</v>
      </c>
      <c r="N90" s="22">
        <f t="shared" si="8"/>
        <v>1</v>
      </c>
      <c r="O90" s="23" t="s">
        <v>1883</v>
      </c>
      <c r="P90" s="24" t="s">
        <v>1883</v>
      </c>
      <c r="Q90" s="25" t="s">
        <v>1884</v>
      </c>
      <c r="R90" s="35">
        <v>40000</v>
      </c>
      <c r="S90" s="27">
        <f t="shared" si="9"/>
        <v>41600</v>
      </c>
      <c r="T90" s="27">
        <f t="shared" si="10"/>
        <v>43200</v>
      </c>
      <c r="U90" s="25" t="s">
        <v>1883</v>
      </c>
      <c r="V90" s="26" t="s">
        <v>1883</v>
      </c>
      <c r="W90" s="28">
        <v>500</v>
      </c>
    </row>
    <row r="91" spans="1:25">
      <c r="A91" s="61" t="s">
        <v>111</v>
      </c>
      <c r="B91" s="18" t="str">
        <f>IFERROR(HYPERLINK(VLOOKUP(A91,ÜRÜNLER!A:C,3,FALSE),VLOOKUP(A91,ÜRÜNLER!A:B,2,FALSE)),"")</f>
        <v>iQ500 Çamaşır Makinesi, 10kg/1200devir, Beyaz</v>
      </c>
      <c r="C91" s="19" t="s">
        <v>1883</v>
      </c>
      <c r="D91" s="19" t="s">
        <v>1883</v>
      </c>
      <c r="E91" s="20">
        <v>0</v>
      </c>
      <c r="F91" s="20">
        <v>0</v>
      </c>
      <c r="G91" s="20">
        <v>0</v>
      </c>
      <c r="H91" s="20">
        <v>0</v>
      </c>
      <c r="I91" s="21">
        <v>1</v>
      </c>
      <c r="J91" s="21">
        <v>1</v>
      </c>
      <c r="K91" s="20">
        <v>0</v>
      </c>
      <c r="L91" s="20">
        <v>0</v>
      </c>
      <c r="M91" s="21">
        <v>0</v>
      </c>
      <c r="N91" s="22">
        <f t="shared" si="8"/>
        <v>2</v>
      </c>
      <c r="O91" s="23" t="s">
        <v>1883</v>
      </c>
      <c r="P91" s="24" t="s">
        <v>1883</v>
      </c>
      <c r="Q91" s="25" t="s">
        <v>1884</v>
      </c>
      <c r="R91" s="26">
        <v>38000</v>
      </c>
      <c r="S91" s="27">
        <f t="shared" si="9"/>
        <v>39520</v>
      </c>
      <c r="T91" s="27">
        <f t="shared" si="10"/>
        <v>41040</v>
      </c>
      <c r="U91" s="25" t="s">
        <v>1883</v>
      </c>
      <c r="V91" s="26" t="s">
        <v>1883</v>
      </c>
      <c r="W91" s="28">
        <v>500</v>
      </c>
    </row>
    <row r="92" spans="1:25">
      <c r="A92" s="51" t="s">
        <v>112</v>
      </c>
      <c r="B92" s="18" t="str">
        <f>IFERROR(HYPERLINK(VLOOKUP(A92,ÜRÜNLER!A:C,3,FALSE),VLOOKUP(A92,ÜRÜNLER!A:B,2,FALSE)),"")</f>
        <v>iQ500 Çamaşır Makinesi, 10kg/1200devir, Beyaz</v>
      </c>
      <c r="C92" s="19">
        <v>11</v>
      </c>
      <c r="D92" s="19" t="s">
        <v>1883</v>
      </c>
      <c r="E92" s="20">
        <v>0</v>
      </c>
      <c r="F92" s="20">
        <v>1</v>
      </c>
      <c r="G92" s="20">
        <v>0</v>
      </c>
      <c r="H92" s="20">
        <v>0</v>
      </c>
      <c r="I92" s="21">
        <v>1</v>
      </c>
      <c r="J92" s="21">
        <v>1</v>
      </c>
      <c r="K92" s="20">
        <v>1</v>
      </c>
      <c r="L92" s="20">
        <v>0</v>
      </c>
      <c r="M92" s="21">
        <v>0</v>
      </c>
      <c r="N92" s="22">
        <f t="shared" si="8"/>
        <v>15</v>
      </c>
      <c r="O92" s="23" t="s">
        <v>1883</v>
      </c>
      <c r="P92" s="24" t="s">
        <v>1883</v>
      </c>
      <c r="Q92" s="25">
        <v>49269.643902688302</v>
      </c>
      <c r="R92" s="32">
        <v>46806.161707553889</v>
      </c>
      <c r="S92" s="27">
        <f t="shared" si="9"/>
        <v>48678.40817585605</v>
      </c>
      <c r="T92" s="27">
        <f t="shared" si="10"/>
        <v>50550.654644158203</v>
      </c>
      <c r="U92" s="25" t="s">
        <v>1883</v>
      </c>
      <c r="V92" s="26" t="s">
        <v>1883</v>
      </c>
      <c r="W92" s="33"/>
    </row>
    <row r="93" spans="1:25">
      <c r="A93" s="60" t="s">
        <v>113</v>
      </c>
      <c r="B93" s="18" t="str">
        <f>IFERROR(HYPERLINK(VLOOKUP(A93,ÜRÜNLER!A:C,3,FALSE),VLOOKUP(A93,ÜRÜNLER!A:B,2,FALSE)),"")</f>
        <v>iQ500 Çamaşır Makinesi, 10kg/1200devir, Gümüş</v>
      </c>
      <c r="C93" s="19">
        <v>3</v>
      </c>
      <c r="D93" s="19" t="s">
        <v>1883</v>
      </c>
      <c r="E93" s="20">
        <v>0</v>
      </c>
      <c r="F93" s="20">
        <v>0</v>
      </c>
      <c r="G93" s="20">
        <v>0</v>
      </c>
      <c r="H93" s="20">
        <v>0</v>
      </c>
      <c r="I93" s="21">
        <v>1</v>
      </c>
      <c r="J93" s="21">
        <v>0</v>
      </c>
      <c r="K93" s="20">
        <v>0</v>
      </c>
      <c r="L93" s="20">
        <v>0</v>
      </c>
      <c r="M93" s="21">
        <v>0</v>
      </c>
      <c r="N93" s="22">
        <f t="shared" si="8"/>
        <v>4</v>
      </c>
      <c r="O93" s="23">
        <v>10</v>
      </c>
      <c r="P93" s="24" t="s">
        <v>1883</v>
      </c>
      <c r="Q93" s="25">
        <v>51282.033111009812</v>
      </c>
      <c r="R93" s="32">
        <v>48717.931455459322</v>
      </c>
      <c r="S93" s="27">
        <f t="shared" si="9"/>
        <v>50666.6487136777</v>
      </c>
      <c r="T93" s="27">
        <f t="shared" si="10"/>
        <v>52615.36597189607</v>
      </c>
      <c r="U93" s="25" t="s">
        <v>1883</v>
      </c>
      <c r="V93" s="26" t="s">
        <v>1883</v>
      </c>
      <c r="W93" s="33"/>
      <c r="Y93" s="56"/>
    </row>
    <row r="94" spans="1:25">
      <c r="A94" s="60" t="s">
        <v>114</v>
      </c>
      <c r="B94" s="18" t="str">
        <f>IFERROR(HYPERLINK(VLOOKUP(A94,ÜRÜNLER!A:C,3,FALSE),VLOOKUP(A94,ÜRÜNLER!A:B,2,FALSE)),"")</f>
        <v>iQ500 Çamaşır Makinesi, 10kg/1200devir, Gümüş</v>
      </c>
      <c r="C94" s="19" t="s">
        <v>1883</v>
      </c>
      <c r="D94" s="19" t="s">
        <v>1883</v>
      </c>
      <c r="E94" s="20">
        <v>0</v>
      </c>
      <c r="F94" s="20">
        <v>0</v>
      </c>
      <c r="G94" s="20">
        <v>0</v>
      </c>
      <c r="H94" s="20">
        <v>0</v>
      </c>
      <c r="I94" s="21">
        <v>0</v>
      </c>
      <c r="J94" s="21">
        <v>1</v>
      </c>
      <c r="K94" s="20">
        <v>0</v>
      </c>
      <c r="L94" s="20">
        <v>0</v>
      </c>
      <c r="M94" s="21">
        <v>0</v>
      </c>
      <c r="N94" s="22">
        <f t="shared" si="8"/>
        <v>1</v>
      </c>
      <c r="O94" s="23" t="s">
        <v>1883</v>
      </c>
      <c r="P94" s="24" t="s">
        <v>1883</v>
      </c>
      <c r="Q94" s="25" t="s">
        <v>1884</v>
      </c>
      <c r="R94" s="26">
        <v>40000</v>
      </c>
      <c r="S94" s="27">
        <f t="shared" si="9"/>
        <v>41600</v>
      </c>
      <c r="T94" s="27">
        <f t="shared" si="10"/>
        <v>43200</v>
      </c>
      <c r="U94" s="25" t="s">
        <v>1883</v>
      </c>
      <c r="V94" s="26" t="s">
        <v>1883</v>
      </c>
      <c r="W94" s="28">
        <v>500</v>
      </c>
    </row>
    <row r="95" spans="1:25">
      <c r="A95" s="37" t="s">
        <v>115</v>
      </c>
      <c r="B95" s="18" t="str">
        <f>IFERROR(HYPERLINK(VLOOKUP(A95,ÜRÜNLER!A:C,3,FALSE),VLOOKUP(A95,ÜRÜNLER!A:B,2,FALSE)),"")</f>
        <v>iQ300 Çamaşır Makinesi, 10kg/1400devir, Beyaz</v>
      </c>
      <c r="C95" s="19" t="s">
        <v>1883</v>
      </c>
      <c r="D95" s="19" t="s">
        <v>1883</v>
      </c>
      <c r="E95" s="20">
        <v>0</v>
      </c>
      <c r="F95" s="20">
        <v>0</v>
      </c>
      <c r="G95" s="20">
        <v>0</v>
      </c>
      <c r="H95" s="20">
        <v>0</v>
      </c>
      <c r="I95" s="21">
        <v>0</v>
      </c>
      <c r="J95" s="21">
        <v>0</v>
      </c>
      <c r="K95" s="20">
        <v>0</v>
      </c>
      <c r="L95" s="20">
        <v>1</v>
      </c>
      <c r="M95" s="21">
        <v>0</v>
      </c>
      <c r="N95" s="22">
        <f t="shared" si="8"/>
        <v>1</v>
      </c>
      <c r="O95" s="23" t="s">
        <v>1883</v>
      </c>
      <c r="P95" s="24" t="s">
        <v>1883</v>
      </c>
      <c r="Q95" s="25" t="s">
        <v>1884</v>
      </c>
      <c r="R95" s="35">
        <v>42000</v>
      </c>
      <c r="S95" s="27">
        <f t="shared" si="9"/>
        <v>43680</v>
      </c>
      <c r="T95" s="27">
        <f t="shared" si="10"/>
        <v>45360</v>
      </c>
      <c r="U95" s="25" t="s">
        <v>1883</v>
      </c>
      <c r="V95" s="26" t="s">
        <v>1883</v>
      </c>
      <c r="W95" s="28">
        <v>500</v>
      </c>
    </row>
    <row r="96" spans="1:25">
      <c r="A96" s="37" t="s">
        <v>116</v>
      </c>
      <c r="B96" s="18" t="str">
        <f>IFERROR(HYPERLINK(VLOOKUP(A96,ÜRÜNLER!A:C,3,FALSE),VLOOKUP(A96,ÜRÜNLER!A:B,2,FALSE)),"")</f>
        <v>iQ700 Çamaşır Makinesi, 10kg/1400devir, intelligentDosing, Beyaz</v>
      </c>
      <c r="C96" s="19" t="s">
        <v>1883</v>
      </c>
      <c r="D96" s="19" t="s">
        <v>1883</v>
      </c>
      <c r="E96" s="20">
        <v>0</v>
      </c>
      <c r="F96" s="20">
        <v>0</v>
      </c>
      <c r="G96" s="20">
        <v>0</v>
      </c>
      <c r="H96" s="20">
        <v>0</v>
      </c>
      <c r="I96" s="21">
        <v>0</v>
      </c>
      <c r="J96" s="21">
        <v>0</v>
      </c>
      <c r="K96" s="20">
        <v>0</v>
      </c>
      <c r="L96" s="20">
        <v>0</v>
      </c>
      <c r="M96" s="21">
        <v>0</v>
      </c>
      <c r="N96" s="22">
        <f t="shared" si="8"/>
        <v>0</v>
      </c>
      <c r="O96" s="23" t="s">
        <v>1883</v>
      </c>
      <c r="P96" s="24" t="s">
        <v>1883</v>
      </c>
      <c r="Q96" s="25">
        <v>54926.755909278625</v>
      </c>
      <c r="R96" s="35">
        <v>52561.488908400599</v>
      </c>
      <c r="S96" s="27">
        <f t="shared" si="9"/>
        <v>54663.948464736626</v>
      </c>
      <c r="T96" s="27">
        <f t="shared" si="10"/>
        <v>56766.408021072653</v>
      </c>
      <c r="U96" s="25" t="s">
        <v>1883</v>
      </c>
      <c r="V96" s="26" t="s">
        <v>1883</v>
      </c>
      <c r="W96" s="26"/>
    </row>
    <row r="97" spans="1:25">
      <c r="A97" s="37" t="s">
        <v>117</v>
      </c>
      <c r="B97" s="18" t="str">
        <f>IFERROR(HYPERLINK(VLOOKUP(A97,ÜRÜNLER!A:C,3,FALSE),VLOOKUP(A97,ÜRÜNLER!A:B,2,FALSE)),"")</f>
        <v>iQ700 Çamaşır Makinesi, 10kg/1400devir, i-dos, Beyaz</v>
      </c>
      <c r="C97" s="19" t="s">
        <v>1883</v>
      </c>
      <c r="D97" s="19" t="s">
        <v>1883</v>
      </c>
      <c r="E97" s="20">
        <v>0</v>
      </c>
      <c r="F97" s="20">
        <v>0</v>
      </c>
      <c r="G97" s="20">
        <v>0</v>
      </c>
      <c r="H97" s="20">
        <v>0</v>
      </c>
      <c r="I97" s="21">
        <v>0</v>
      </c>
      <c r="J97" s="21">
        <v>0</v>
      </c>
      <c r="K97" s="20">
        <v>0</v>
      </c>
      <c r="L97" s="20">
        <v>1</v>
      </c>
      <c r="M97" s="21">
        <v>0</v>
      </c>
      <c r="N97" s="22">
        <f t="shared" si="8"/>
        <v>1</v>
      </c>
      <c r="O97" s="23" t="s">
        <v>1883</v>
      </c>
      <c r="P97" s="24" t="s">
        <v>1883</v>
      </c>
      <c r="Q97" s="25" t="s">
        <v>1884</v>
      </c>
      <c r="R97" s="35">
        <v>52000</v>
      </c>
      <c r="S97" s="27">
        <f t="shared" si="9"/>
        <v>54080</v>
      </c>
      <c r="T97" s="27">
        <f t="shared" si="10"/>
        <v>56160.000000000007</v>
      </c>
      <c r="U97" s="25" t="s">
        <v>1883</v>
      </c>
      <c r="V97" s="26" t="s">
        <v>1883</v>
      </c>
      <c r="W97" s="28">
        <v>500</v>
      </c>
    </row>
    <row r="98" spans="1:25">
      <c r="A98" s="37" t="s">
        <v>118</v>
      </c>
      <c r="B98" s="18" t="str">
        <f>IFERROR(HYPERLINK(VLOOKUP(A98,ÜRÜNLER!A:C,3,FALSE),VLOOKUP(A98,ÜRÜNLER!A:B,2,FALSE)),"")</f>
        <v>iQ700 Çamaşır Makinesi, 10kg/1400devir, i-dos, Gümüş</v>
      </c>
      <c r="C98" s="19" t="s">
        <v>1883</v>
      </c>
      <c r="D98" s="19" t="s">
        <v>1883</v>
      </c>
      <c r="E98" s="20">
        <v>0</v>
      </c>
      <c r="F98" s="20">
        <v>0</v>
      </c>
      <c r="G98" s="20">
        <v>0</v>
      </c>
      <c r="H98" s="20">
        <v>0</v>
      </c>
      <c r="I98" s="21">
        <v>0</v>
      </c>
      <c r="J98" s="21">
        <v>1</v>
      </c>
      <c r="K98" s="20">
        <v>0</v>
      </c>
      <c r="L98" s="20">
        <v>0</v>
      </c>
      <c r="M98" s="21">
        <v>0</v>
      </c>
      <c r="N98" s="22">
        <f t="shared" si="8"/>
        <v>1</v>
      </c>
      <c r="O98" s="23" t="s">
        <v>1883</v>
      </c>
      <c r="P98" s="24" t="s">
        <v>1883</v>
      </c>
      <c r="Q98" s="25" t="s">
        <v>1884</v>
      </c>
      <c r="R98" s="35">
        <v>55000</v>
      </c>
      <c r="S98" s="27">
        <f t="shared" si="9"/>
        <v>57200</v>
      </c>
      <c r="T98" s="27">
        <f t="shared" si="10"/>
        <v>59400.000000000007</v>
      </c>
      <c r="U98" s="25" t="s">
        <v>1883</v>
      </c>
      <c r="V98" s="26" t="s">
        <v>1883</v>
      </c>
      <c r="W98" s="28">
        <v>500</v>
      </c>
    </row>
    <row r="99" spans="1:25">
      <c r="A99" s="37" t="s">
        <v>119</v>
      </c>
      <c r="B99" s="18" t="str">
        <f>IFERROR(HYPERLINK(VLOOKUP(A99,ÜRÜNLER!A:C,3,FALSE),VLOOKUP(A99,ÜRÜNLER!A:B,2,FALSE)),"")</f>
        <v>iQ500 Çamaşır Makinesi, 10kg/1400devir, i-dos, Beyaz</v>
      </c>
      <c r="C99" s="19">
        <v>17</v>
      </c>
      <c r="D99" s="19" t="s">
        <v>1883</v>
      </c>
      <c r="E99" s="20">
        <v>0</v>
      </c>
      <c r="F99" s="20">
        <v>0</v>
      </c>
      <c r="G99" s="20">
        <v>0</v>
      </c>
      <c r="H99" s="20">
        <v>0</v>
      </c>
      <c r="I99" s="21">
        <v>2</v>
      </c>
      <c r="J99" s="21">
        <v>0</v>
      </c>
      <c r="K99" s="20">
        <v>0</v>
      </c>
      <c r="L99" s="20">
        <v>0</v>
      </c>
      <c r="M99" s="21">
        <v>1</v>
      </c>
      <c r="N99" s="22">
        <f t="shared" si="8"/>
        <v>20</v>
      </c>
      <c r="O99" s="23" t="s">
        <v>1883</v>
      </c>
      <c r="P99" s="24" t="s">
        <v>1883</v>
      </c>
      <c r="Q99" s="25">
        <v>49417.857259489538</v>
      </c>
      <c r="R99" s="32">
        <v>46946.964396515061</v>
      </c>
      <c r="S99" s="27">
        <f t="shared" si="9"/>
        <v>48824.842972375664</v>
      </c>
      <c r="T99" s="27">
        <f t="shared" si="10"/>
        <v>50702.721548236266</v>
      </c>
      <c r="U99" s="25" t="s">
        <v>1883</v>
      </c>
      <c r="V99" s="26" t="s">
        <v>1883</v>
      </c>
      <c r="W99" s="33"/>
      <c r="Y99" s="39"/>
    </row>
    <row r="100" spans="1:25">
      <c r="A100" s="46" t="s">
        <v>120</v>
      </c>
      <c r="B100" s="18" t="str">
        <f>IFERROR(HYPERLINK(VLOOKUP(A100,ÜRÜNLER!A:C,3,FALSE),VLOOKUP(A100,ÜRÜNLER!A:B,2,FALSE)),"")</f>
        <v>iQ700 Çamaşır Makinesi, 11kg/1400devir, intelligentDosing, Beyaz</v>
      </c>
      <c r="C100" s="19" t="s">
        <v>1883</v>
      </c>
      <c r="D100" s="19" t="s">
        <v>1883</v>
      </c>
      <c r="E100" s="20">
        <v>0</v>
      </c>
      <c r="F100" s="20">
        <v>0</v>
      </c>
      <c r="G100" s="20">
        <v>0</v>
      </c>
      <c r="H100" s="20">
        <v>0</v>
      </c>
      <c r="I100" s="21">
        <v>0</v>
      </c>
      <c r="J100" s="21">
        <v>0</v>
      </c>
      <c r="K100" s="20">
        <v>0</v>
      </c>
      <c r="L100" s="20">
        <v>0</v>
      </c>
      <c r="M100" s="21">
        <v>0</v>
      </c>
      <c r="N100" s="22">
        <f t="shared" si="8"/>
        <v>0</v>
      </c>
      <c r="O100" s="23">
        <v>2</v>
      </c>
      <c r="P100" s="24" t="s">
        <v>1883</v>
      </c>
      <c r="Q100" s="25">
        <v>63701.587899504404</v>
      </c>
      <c r="R100" s="26">
        <v>60958.457320099915</v>
      </c>
      <c r="S100" s="27">
        <f t="shared" si="9"/>
        <v>63396.795612903916</v>
      </c>
      <c r="T100" s="27">
        <f t="shared" si="10"/>
        <v>65835.133905707917</v>
      </c>
      <c r="U100" s="25" t="s">
        <v>1883</v>
      </c>
      <c r="V100" s="26" t="s">
        <v>1883</v>
      </c>
      <c r="W100" s="33"/>
    </row>
    <row r="101" spans="1:25">
      <c r="A101" s="46" t="s">
        <v>121</v>
      </c>
      <c r="B101" s="18" t="str">
        <f>IFERROR(HYPERLINK(VLOOKUP(A101,ÜRÜNLER!A:C,3,FALSE),VLOOKUP(A101,ÜRÜNLER!A:B,2,FALSE)),"")</f>
        <v>iQ700 Çamaşır Makinesi, 11kg/1400devir, intelligentDosingPlus, Gümüş</v>
      </c>
      <c r="C101" s="19" t="s">
        <v>1883</v>
      </c>
      <c r="D101" s="19" t="s">
        <v>1883</v>
      </c>
      <c r="E101" s="20">
        <v>0</v>
      </c>
      <c r="F101" s="20">
        <v>0</v>
      </c>
      <c r="G101" s="20">
        <v>0</v>
      </c>
      <c r="H101" s="20">
        <v>0</v>
      </c>
      <c r="I101" s="21">
        <v>0</v>
      </c>
      <c r="J101" s="21">
        <v>0</v>
      </c>
      <c r="K101" s="20">
        <v>0</v>
      </c>
      <c r="L101" s="20">
        <v>0</v>
      </c>
      <c r="M101" s="21">
        <v>1</v>
      </c>
      <c r="N101" s="22">
        <f t="shared" si="8"/>
        <v>1</v>
      </c>
      <c r="O101" s="23">
        <v>2</v>
      </c>
      <c r="P101" s="24" t="s">
        <v>1883</v>
      </c>
      <c r="Q101" s="25">
        <v>65605.401046530824</v>
      </c>
      <c r="R101" s="26">
        <v>62780.288082804618</v>
      </c>
      <c r="S101" s="27">
        <f t="shared" si="9"/>
        <v>65291.499606116806</v>
      </c>
      <c r="T101" s="27">
        <f t="shared" si="10"/>
        <v>67802.711129428993</v>
      </c>
      <c r="U101" s="25" t="s">
        <v>1883</v>
      </c>
      <c r="V101" s="26" t="s">
        <v>1883</v>
      </c>
      <c r="W101" s="33"/>
    </row>
    <row r="102" spans="1:25">
      <c r="A102" s="46" t="s">
        <v>122</v>
      </c>
      <c r="B102" s="18" t="str">
        <f>IFERROR(HYPERLINK(VLOOKUP(A102,ÜRÜNLER!A:C,3,FALSE),VLOOKUP(A102,ÜRÜNLER!A:B,2,FALSE)),"")</f>
        <v>iQ500 Çamaşır Makinesi, 11kg/1400devir, i-dos, Beyaz</v>
      </c>
      <c r="C102" s="19" t="s">
        <v>1883</v>
      </c>
      <c r="D102" s="19" t="s">
        <v>1883</v>
      </c>
      <c r="E102" s="20">
        <v>0</v>
      </c>
      <c r="F102" s="20">
        <v>0</v>
      </c>
      <c r="G102" s="20">
        <v>0</v>
      </c>
      <c r="H102" s="20">
        <v>0</v>
      </c>
      <c r="I102" s="21">
        <v>0</v>
      </c>
      <c r="J102" s="21">
        <v>0</v>
      </c>
      <c r="K102" s="20">
        <v>0</v>
      </c>
      <c r="L102" s="20">
        <v>0</v>
      </c>
      <c r="M102" s="21">
        <v>0</v>
      </c>
      <c r="N102" s="22">
        <f t="shared" si="8"/>
        <v>0</v>
      </c>
      <c r="O102" s="23" t="s">
        <v>1883</v>
      </c>
      <c r="P102" s="24" t="s">
        <v>1883</v>
      </c>
      <c r="Q102" s="25" t="s">
        <v>1884</v>
      </c>
      <c r="R102" s="26">
        <v>40000</v>
      </c>
      <c r="S102" s="27">
        <f t="shared" si="9"/>
        <v>41600</v>
      </c>
      <c r="T102" s="27">
        <f t="shared" si="10"/>
        <v>43200</v>
      </c>
      <c r="U102" s="25" t="s">
        <v>1883</v>
      </c>
      <c r="V102" s="26" t="s">
        <v>1883</v>
      </c>
      <c r="W102" s="28">
        <v>500</v>
      </c>
    </row>
    <row r="103" spans="1:25">
      <c r="A103" s="17" t="s">
        <v>123</v>
      </c>
      <c r="B103" s="18" t="str">
        <f>IFERROR(HYPERLINK(VLOOKUP(A103,ÜRÜNLER!A:C,3,FALSE),VLOOKUP(A103,ÜRÜNLER!A:B,2,FALSE)),"")</f>
        <v>iQ500 Çamaşır Makinesi, 11kg/1400devir, i-dos, Beyaz</v>
      </c>
      <c r="C103" s="19">
        <v>2</v>
      </c>
      <c r="D103" s="19" t="s">
        <v>1883</v>
      </c>
      <c r="E103" s="20">
        <v>0</v>
      </c>
      <c r="F103" s="20">
        <v>0</v>
      </c>
      <c r="G103" s="20">
        <v>0</v>
      </c>
      <c r="H103" s="20">
        <v>0</v>
      </c>
      <c r="I103" s="21">
        <v>0</v>
      </c>
      <c r="J103" s="21">
        <v>0</v>
      </c>
      <c r="K103" s="20">
        <v>0</v>
      </c>
      <c r="L103" s="20">
        <v>0</v>
      </c>
      <c r="M103" s="21">
        <v>0</v>
      </c>
      <c r="N103" s="22">
        <f t="shared" si="8"/>
        <v>2</v>
      </c>
      <c r="O103" s="23" t="s">
        <v>1883</v>
      </c>
      <c r="P103" s="24" t="s">
        <v>1883</v>
      </c>
      <c r="Q103" s="25">
        <v>52633.66805769311</v>
      </c>
      <c r="R103" s="32">
        <v>50001.984654808453</v>
      </c>
      <c r="S103" s="27">
        <f t="shared" si="9"/>
        <v>52002.064041000791</v>
      </c>
      <c r="T103" s="27">
        <f t="shared" si="10"/>
        <v>54002.143427193136</v>
      </c>
      <c r="U103" s="25" t="s">
        <v>1883</v>
      </c>
      <c r="V103" s="26" t="s">
        <v>1883</v>
      </c>
      <c r="W103" s="33"/>
    </row>
    <row r="104" spans="1:25">
      <c r="A104" s="62" t="s">
        <v>124</v>
      </c>
      <c r="B104" s="18" t="str">
        <f>IFERROR(HYPERLINK(VLOOKUP(A104,ÜRÜNLER!A:C,3,FALSE),VLOOKUP(A104,ÜRÜNLER!A:B,2,FALSE)),"")</f>
        <v>iQ500 Çamaşır Makinesi, 11kg/1400devir, Beyaz</v>
      </c>
      <c r="C104" s="19">
        <v>40</v>
      </c>
      <c r="D104" s="19" t="s">
        <v>1883</v>
      </c>
      <c r="E104" s="20">
        <v>0</v>
      </c>
      <c r="F104" s="20">
        <v>0</v>
      </c>
      <c r="G104" s="20">
        <v>0</v>
      </c>
      <c r="H104" s="20">
        <v>0</v>
      </c>
      <c r="I104" s="21">
        <v>2</v>
      </c>
      <c r="J104" s="21">
        <v>1</v>
      </c>
      <c r="K104" s="20">
        <v>1</v>
      </c>
      <c r="L104" s="20">
        <v>1</v>
      </c>
      <c r="M104" s="21">
        <v>1</v>
      </c>
      <c r="N104" s="22">
        <f t="shared" si="8"/>
        <v>46</v>
      </c>
      <c r="O104" s="23" t="s">
        <v>1883</v>
      </c>
      <c r="P104" s="24" t="s">
        <v>1883</v>
      </c>
      <c r="Q104" s="25">
        <v>51196.964332515417</v>
      </c>
      <c r="R104" s="32">
        <v>48637.116115889643</v>
      </c>
      <c r="S104" s="27">
        <f t="shared" si="9"/>
        <v>50582.600760525231</v>
      </c>
      <c r="T104" s="27">
        <f t="shared" si="10"/>
        <v>52528.085405160818</v>
      </c>
      <c r="U104" s="25" t="s">
        <v>1883</v>
      </c>
      <c r="V104" s="26" t="s">
        <v>1883</v>
      </c>
      <c r="W104" s="33"/>
    </row>
    <row r="105" spans="1:25">
      <c r="A105" s="42" t="s">
        <v>125</v>
      </c>
      <c r="B105" s="18" t="str">
        <f>IFERROR(HYPERLINK(VLOOKUP(A105,ÜRÜNLER!A:C,3,FALSE),VLOOKUP(A105,ÜRÜNLER!A:B,2,FALSE)),"")</f>
        <v>iQ500 Çamaşır Makinesi, 11kg/1400devir, Antrasit/Dark</v>
      </c>
      <c r="C105" s="19">
        <v>50</v>
      </c>
      <c r="D105" s="19" t="s">
        <v>1883</v>
      </c>
      <c r="E105" s="20">
        <v>0</v>
      </c>
      <c r="F105" s="20">
        <v>0</v>
      </c>
      <c r="G105" s="20">
        <v>0</v>
      </c>
      <c r="H105" s="20">
        <v>0</v>
      </c>
      <c r="I105" s="21">
        <v>1</v>
      </c>
      <c r="J105" s="21">
        <v>1</v>
      </c>
      <c r="K105" s="20">
        <v>1</v>
      </c>
      <c r="L105" s="20">
        <v>0</v>
      </c>
      <c r="M105" s="21">
        <v>1</v>
      </c>
      <c r="N105" s="22">
        <f t="shared" si="8"/>
        <v>54</v>
      </c>
      <c r="O105" s="23" t="s">
        <v>1883</v>
      </c>
      <c r="P105" s="24" t="s">
        <v>1883</v>
      </c>
      <c r="Q105" s="25">
        <v>54745.411206179102</v>
      </c>
      <c r="R105" s="32">
        <v>52008.140645870146</v>
      </c>
      <c r="S105" s="27">
        <f t="shared" si="9"/>
        <v>54088.46627170495</v>
      </c>
      <c r="T105" s="27">
        <f t="shared" si="10"/>
        <v>56168.791897539762</v>
      </c>
      <c r="U105" s="25" t="s">
        <v>1883</v>
      </c>
      <c r="V105" s="26" t="s">
        <v>1883</v>
      </c>
      <c r="W105" s="33"/>
    </row>
    <row r="106" spans="1:25">
      <c r="A106" s="46" t="s">
        <v>126</v>
      </c>
      <c r="B106" s="18" t="str">
        <f>IFERROR(HYPERLINK(VLOOKUP(A106,ÜRÜNLER!A:C,3,FALSE),VLOOKUP(A106,ÜRÜNLER!A:B,2,FALSE)),"")</f>
        <v>iQ500 Çamaşır Makinesi, 9kg/1400devir, i-dos, Beyaz</v>
      </c>
      <c r="C106" s="19" t="s">
        <v>1883</v>
      </c>
      <c r="D106" s="19" t="s">
        <v>1883</v>
      </c>
      <c r="E106" s="20">
        <v>0</v>
      </c>
      <c r="F106" s="20">
        <v>0</v>
      </c>
      <c r="G106" s="20">
        <v>0</v>
      </c>
      <c r="H106" s="20">
        <v>0</v>
      </c>
      <c r="I106" s="21">
        <v>1</v>
      </c>
      <c r="J106" s="21">
        <v>0</v>
      </c>
      <c r="K106" s="20">
        <v>0</v>
      </c>
      <c r="L106" s="20">
        <v>1</v>
      </c>
      <c r="M106" s="21">
        <v>0</v>
      </c>
      <c r="N106" s="22">
        <f t="shared" si="8"/>
        <v>2</v>
      </c>
      <c r="O106" s="23" t="s">
        <v>1883</v>
      </c>
      <c r="P106" s="24" t="s">
        <v>1883</v>
      </c>
      <c r="Q106" s="25" t="s">
        <v>1884</v>
      </c>
      <c r="R106" s="26">
        <v>40000</v>
      </c>
      <c r="S106" s="27">
        <f t="shared" si="9"/>
        <v>41600</v>
      </c>
      <c r="T106" s="27">
        <f t="shared" si="10"/>
        <v>43200</v>
      </c>
      <c r="U106" s="25" t="s">
        <v>1883</v>
      </c>
      <c r="V106" s="26" t="s">
        <v>1883</v>
      </c>
      <c r="W106" s="28">
        <v>500</v>
      </c>
    </row>
    <row r="107" spans="1:25">
      <c r="A107" s="46" t="s">
        <v>127</v>
      </c>
      <c r="B107" s="18" t="str">
        <f>IFERROR(HYPERLINK(VLOOKUP(A107,ÜRÜNLER!A:C,3,FALSE),VLOOKUP(A107,ÜRÜNLER!A:B,2,FALSE)),"")</f>
        <v>iQ700 Çamaşır Makinesi, 10kg/1400devir, i-dos, Beyaz</v>
      </c>
      <c r="C107" s="19" t="s">
        <v>1883</v>
      </c>
      <c r="D107" s="19" t="s">
        <v>1883</v>
      </c>
      <c r="E107" s="20">
        <v>0</v>
      </c>
      <c r="F107" s="20">
        <v>0</v>
      </c>
      <c r="G107" s="20">
        <v>0</v>
      </c>
      <c r="H107" s="20">
        <v>0</v>
      </c>
      <c r="I107" s="21">
        <v>1</v>
      </c>
      <c r="J107" s="21">
        <v>0</v>
      </c>
      <c r="K107" s="20">
        <v>0</v>
      </c>
      <c r="L107" s="20">
        <v>0</v>
      </c>
      <c r="M107" s="21">
        <v>0</v>
      </c>
      <c r="N107" s="22">
        <f t="shared" si="8"/>
        <v>1</v>
      </c>
      <c r="O107" s="23" t="s">
        <v>1883</v>
      </c>
      <c r="P107" s="24" t="s">
        <v>1883</v>
      </c>
      <c r="Q107" s="25" t="s">
        <v>1884</v>
      </c>
      <c r="R107" s="26">
        <v>40000</v>
      </c>
      <c r="S107" s="27">
        <f t="shared" si="9"/>
        <v>41600</v>
      </c>
      <c r="T107" s="27">
        <f t="shared" si="10"/>
        <v>43200</v>
      </c>
      <c r="U107" s="25" t="s">
        <v>1883</v>
      </c>
      <c r="V107" s="26" t="s">
        <v>1883</v>
      </c>
      <c r="W107" s="28">
        <v>500</v>
      </c>
    </row>
    <row r="108" spans="1:25">
      <c r="A108" s="46" t="s">
        <v>128</v>
      </c>
      <c r="B108" s="18" t="str">
        <f>IFERROR(HYPERLINK(VLOOKUP(A108,ÜRÜNLER!A:C,3,FALSE),VLOOKUP(A108,ÜRÜNLER!A:B,2,FALSE)),"")</f>
        <v>iQ700 Kurutmalı Çamaşır Makinesi, 10.5kg/6kg/1400devir, i-dos, Beyaz</v>
      </c>
      <c r="C108" s="19" t="s">
        <v>1883</v>
      </c>
      <c r="D108" s="19" t="s">
        <v>1883</v>
      </c>
      <c r="E108" s="20">
        <v>0</v>
      </c>
      <c r="F108" s="20">
        <v>0</v>
      </c>
      <c r="G108" s="20">
        <v>0</v>
      </c>
      <c r="H108" s="20">
        <v>0</v>
      </c>
      <c r="I108" s="21">
        <v>0</v>
      </c>
      <c r="J108" s="21">
        <v>0</v>
      </c>
      <c r="K108" s="20">
        <v>0</v>
      </c>
      <c r="L108" s="20">
        <v>0</v>
      </c>
      <c r="M108" s="21">
        <v>0</v>
      </c>
      <c r="N108" s="22">
        <f t="shared" si="8"/>
        <v>0</v>
      </c>
      <c r="O108" s="23" t="s">
        <v>1883</v>
      </c>
      <c r="P108" s="24" t="s">
        <v>1883</v>
      </c>
      <c r="Q108" s="25">
        <v>86864.040970704868</v>
      </c>
      <c r="R108" s="33">
        <v>83123.484182492699</v>
      </c>
      <c r="S108" s="27">
        <f t="shared" si="9"/>
        <v>86448.423549792409</v>
      </c>
      <c r="T108" s="27">
        <f t="shared" si="10"/>
        <v>89773.362917092119</v>
      </c>
      <c r="U108" s="25" t="s">
        <v>1883</v>
      </c>
      <c r="V108" s="26" t="s">
        <v>1883</v>
      </c>
      <c r="W108" s="28">
        <v>500</v>
      </c>
      <c r="Y108" s="39"/>
    </row>
    <row r="109" spans="1:25" ht="30">
      <c r="A109" s="63" t="s">
        <v>129</v>
      </c>
      <c r="B109" s="18"/>
      <c r="C109" s="19"/>
      <c r="D109" s="19"/>
      <c r="E109" s="20"/>
      <c r="F109" s="20"/>
      <c r="G109" s="20"/>
      <c r="H109" s="20"/>
      <c r="I109" s="21"/>
      <c r="J109" s="21"/>
      <c r="K109" s="20"/>
      <c r="L109" s="20"/>
      <c r="M109" s="21"/>
      <c r="N109" s="22"/>
      <c r="O109" s="23"/>
      <c r="P109" s="24" t="s">
        <v>1883</v>
      </c>
      <c r="R109" s="33"/>
      <c r="S109" s="27"/>
      <c r="T109" s="27"/>
      <c r="U109" s="25"/>
      <c r="V109" s="26"/>
      <c r="W109" s="33"/>
    </row>
    <row r="110" spans="1:25">
      <c r="A110" s="64" t="s">
        <v>130</v>
      </c>
      <c r="B110" s="18" t="str">
        <f>IFERROR(HYPERLINK(VLOOKUP(A110,ÜRÜNLER!A:C,3,FALSE),VLOOKUP(A110,ÜRÜNLER!A:B,2,FALSE)),"")</f>
        <v>iQ300 Isı Pompalı Kurutma Makinesi, 9kg, Gümüş</v>
      </c>
      <c r="C110" s="19" t="s">
        <v>1883</v>
      </c>
      <c r="D110" s="19" t="s">
        <v>1883</v>
      </c>
      <c r="E110" s="20">
        <v>0</v>
      </c>
      <c r="F110" s="20">
        <v>0</v>
      </c>
      <c r="G110" s="20">
        <v>0</v>
      </c>
      <c r="H110" s="20">
        <v>0</v>
      </c>
      <c r="I110" s="21">
        <v>2</v>
      </c>
      <c r="J110" s="21">
        <v>0</v>
      </c>
      <c r="K110" s="20">
        <v>0</v>
      </c>
      <c r="L110" s="20">
        <v>0</v>
      </c>
      <c r="M110" s="21">
        <v>0</v>
      </c>
      <c r="N110" s="22">
        <f t="shared" si="8"/>
        <v>2</v>
      </c>
      <c r="O110" s="23" t="s">
        <v>1883</v>
      </c>
      <c r="P110" s="24" t="s">
        <v>1883</v>
      </c>
      <c r="Q110" s="25" t="s">
        <v>1884</v>
      </c>
      <c r="R110" s="33">
        <v>40000</v>
      </c>
      <c r="S110" s="27">
        <f t="shared" si="9"/>
        <v>41600</v>
      </c>
      <c r="T110" s="27">
        <f t="shared" ref="T110:T121" si="11">R110*1.08</f>
        <v>43200</v>
      </c>
      <c r="U110" s="25" t="s">
        <v>1883</v>
      </c>
      <c r="V110" s="26" t="s">
        <v>1883</v>
      </c>
      <c r="W110" s="33">
        <v>500</v>
      </c>
    </row>
    <row r="111" spans="1:25">
      <c r="A111" s="17" t="s">
        <v>131</v>
      </c>
      <c r="B111" s="18" t="str">
        <f>IFERROR(HYPERLINK(VLOOKUP(A111,ÜRÜNLER!A:C,3,FALSE),VLOOKUP(A111,ÜRÜNLER!A:B,2,FALSE)),"")</f>
        <v>iQ300 Isı Pompalı Kurutma Makinesi, 9kg, Beyaz</v>
      </c>
      <c r="C111" s="19">
        <v>236</v>
      </c>
      <c r="D111" s="19" t="s">
        <v>1883</v>
      </c>
      <c r="E111" s="20">
        <v>0</v>
      </c>
      <c r="F111" s="20">
        <v>1</v>
      </c>
      <c r="G111" s="20">
        <v>0</v>
      </c>
      <c r="H111" s="20">
        <v>0</v>
      </c>
      <c r="I111" s="21">
        <v>1</v>
      </c>
      <c r="J111" s="21">
        <v>1</v>
      </c>
      <c r="K111" s="20">
        <v>0</v>
      </c>
      <c r="L111" s="20">
        <v>1</v>
      </c>
      <c r="M111" s="21">
        <v>1</v>
      </c>
      <c r="N111" s="22">
        <f t="shared" si="8"/>
        <v>241</v>
      </c>
      <c r="O111" s="23"/>
      <c r="P111" s="24" t="s">
        <v>1883</v>
      </c>
      <c r="Q111" s="25">
        <v>42300.746894101358</v>
      </c>
      <c r="R111" s="33">
        <v>36799.08</v>
      </c>
      <c r="S111" s="27">
        <f t="shared" si="9"/>
        <v>38271.0432</v>
      </c>
      <c r="T111" s="27">
        <f t="shared" si="11"/>
        <v>39743.006400000006</v>
      </c>
      <c r="U111" s="25">
        <v>2986.7934057292664</v>
      </c>
      <c r="V111" s="26" t="s">
        <v>1883</v>
      </c>
      <c r="W111" s="33">
        <v>500</v>
      </c>
    </row>
    <row r="112" spans="1:25">
      <c r="A112" s="64" t="s">
        <v>132</v>
      </c>
      <c r="B112" s="18" t="str">
        <f>IFERROR(HYPERLINK(VLOOKUP(A112,ÜRÜNLER!A:C,3,FALSE),VLOOKUP(A112,ÜRÜNLER!A:B,2,FALSE)),"")</f>
        <v>iQ500 Isı Pompalı Kurutma Makinesi, 9kg, Beyaz</v>
      </c>
      <c r="C112" s="19">
        <v>49</v>
      </c>
      <c r="D112" s="19" t="s">
        <v>1883</v>
      </c>
      <c r="E112" s="20">
        <v>0</v>
      </c>
      <c r="F112" s="20">
        <v>0</v>
      </c>
      <c r="G112" s="20">
        <v>0</v>
      </c>
      <c r="H112" s="20">
        <v>0</v>
      </c>
      <c r="I112" s="21">
        <v>1</v>
      </c>
      <c r="J112" s="21">
        <v>1</v>
      </c>
      <c r="K112" s="20">
        <v>0</v>
      </c>
      <c r="L112" s="20">
        <v>0</v>
      </c>
      <c r="M112" s="21">
        <v>0</v>
      </c>
      <c r="N112" s="22">
        <f t="shared" si="8"/>
        <v>51</v>
      </c>
      <c r="O112" s="23"/>
      <c r="P112" s="24" t="s">
        <v>1883</v>
      </c>
      <c r="Q112" s="25">
        <v>46583.270348837221</v>
      </c>
      <c r="R112" s="33">
        <v>40479.08</v>
      </c>
      <c r="S112" s="27">
        <f t="shared" si="9"/>
        <v>42098.243200000004</v>
      </c>
      <c r="T112" s="27">
        <f t="shared" si="11"/>
        <v>43717.406400000007</v>
      </c>
      <c r="U112" s="25" t="s">
        <v>1883</v>
      </c>
      <c r="V112" s="26" t="s">
        <v>1883</v>
      </c>
      <c r="W112" s="33">
        <v>500</v>
      </c>
    </row>
    <row r="113" spans="1:25">
      <c r="A113" s="65" t="s">
        <v>133</v>
      </c>
      <c r="B113" s="18" t="str">
        <f>IFERROR(HYPERLINK(VLOOKUP(A113,ÜRÜNLER!A:C,3,FALSE),VLOOKUP(A113,ÜRÜNLER!A:B,2,FALSE)),"")</f>
        <v>iQ500 Isı Pompalı Kurutma Makinesi, 9kg, Gümüş</v>
      </c>
      <c r="C113" s="19">
        <v>195</v>
      </c>
      <c r="D113" s="19" t="s">
        <v>1883</v>
      </c>
      <c r="E113" s="20">
        <v>0</v>
      </c>
      <c r="F113" s="20">
        <v>0</v>
      </c>
      <c r="G113" s="20">
        <v>0</v>
      </c>
      <c r="H113" s="20">
        <v>0</v>
      </c>
      <c r="I113" s="21">
        <v>1</v>
      </c>
      <c r="J113" s="21">
        <v>1</v>
      </c>
      <c r="K113" s="20">
        <v>1</v>
      </c>
      <c r="L113" s="20">
        <v>0</v>
      </c>
      <c r="M113" s="21">
        <v>0</v>
      </c>
      <c r="N113" s="22">
        <f t="shared" si="8"/>
        <v>198</v>
      </c>
      <c r="O113" s="23" t="s">
        <v>1883</v>
      </c>
      <c r="P113" s="24" t="s">
        <v>1883</v>
      </c>
      <c r="Q113" s="25">
        <v>48079.423610465128</v>
      </c>
      <c r="R113" s="33">
        <v>40479.08</v>
      </c>
      <c r="S113" s="27">
        <f t="shared" si="9"/>
        <v>42098.243200000004</v>
      </c>
      <c r="T113" s="27">
        <f t="shared" si="11"/>
        <v>43717.406400000007</v>
      </c>
      <c r="U113" s="25" t="s">
        <v>1883</v>
      </c>
      <c r="V113" s="26" t="s">
        <v>1883</v>
      </c>
      <c r="W113" s="33">
        <v>500</v>
      </c>
    </row>
    <row r="114" spans="1:25">
      <c r="A114" s="17" t="s">
        <v>134</v>
      </c>
      <c r="B114" s="18" t="str">
        <f>IFERROR(HYPERLINK(VLOOKUP(A114,ÜRÜNLER!A:C,3,FALSE),VLOOKUP(A114,ÜRÜNLER!A:B,2,FALSE)),"")</f>
        <v>iQ500 Isı Pompalı Kurutma Makinesi, 9kg, Beyaz</v>
      </c>
      <c r="C114" s="19">
        <v>138</v>
      </c>
      <c r="D114" s="19" t="s">
        <v>1883</v>
      </c>
      <c r="E114" s="20">
        <v>0</v>
      </c>
      <c r="F114" s="20">
        <v>0</v>
      </c>
      <c r="G114" s="20">
        <v>0</v>
      </c>
      <c r="H114" s="20">
        <v>0</v>
      </c>
      <c r="I114" s="21">
        <v>1</v>
      </c>
      <c r="J114" s="21">
        <v>0</v>
      </c>
      <c r="K114" s="20">
        <v>1</v>
      </c>
      <c r="L114" s="20">
        <v>0</v>
      </c>
      <c r="M114" s="21">
        <v>1</v>
      </c>
      <c r="N114" s="22">
        <f t="shared" si="8"/>
        <v>141</v>
      </c>
      <c r="O114" s="23" t="s">
        <v>1883</v>
      </c>
      <c r="P114" s="24" t="s">
        <v>1883</v>
      </c>
      <c r="Q114" s="25">
        <v>49554.811046511626</v>
      </c>
      <c r="R114" s="33">
        <v>43239.08</v>
      </c>
      <c r="S114" s="27">
        <f t="shared" si="9"/>
        <v>44968.643200000006</v>
      </c>
      <c r="T114" s="27">
        <f t="shared" si="11"/>
        <v>46698.206400000003</v>
      </c>
      <c r="U114" s="25" t="s">
        <v>1883</v>
      </c>
      <c r="V114" s="26" t="s">
        <v>1883</v>
      </c>
      <c r="W114" s="33">
        <v>500</v>
      </c>
    </row>
    <row r="115" spans="1:25">
      <c r="A115" s="66" t="s">
        <v>135</v>
      </c>
      <c r="B115" s="18" t="str">
        <f>IFERROR(HYPERLINK(VLOOKUP(A115,ÜRÜNLER!A:C,3,FALSE),VLOOKUP(A115,ÜRÜNLER!A:B,2,FALSE)),"")</f>
        <v>iQ500 Isı Pompalı Kurutma Makinesi, 9kg, SelfClean, Beyaz</v>
      </c>
      <c r="C115" s="19">
        <v>14</v>
      </c>
      <c r="D115" s="19" t="s">
        <v>1883</v>
      </c>
      <c r="E115" s="20">
        <v>0</v>
      </c>
      <c r="F115" s="20">
        <v>0</v>
      </c>
      <c r="G115" s="20">
        <v>0</v>
      </c>
      <c r="H115" s="20">
        <v>0</v>
      </c>
      <c r="I115" s="21">
        <v>1</v>
      </c>
      <c r="J115" s="21">
        <v>1</v>
      </c>
      <c r="K115" s="20">
        <v>0</v>
      </c>
      <c r="L115" s="20">
        <v>1</v>
      </c>
      <c r="M115" s="21">
        <v>1</v>
      </c>
      <c r="N115" s="22">
        <f t="shared" si="8"/>
        <v>18</v>
      </c>
      <c r="O115" s="23" t="s">
        <v>1883</v>
      </c>
      <c r="P115" s="24" t="s">
        <v>1883</v>
      </c>
      <c r="Q115" s="25" t="s">
        <v>1884</v>
      </c>
      <c r="R115" s="33">
        <v>44000</v>
      </c>
      <c r="S115" s="27">
        <f t="shared" si="9"/>
        <v>45760</v>
      </c>
      <c r="T115" s="27">
        <f t="shared" si="11"/>
        <v>47520</v>
      </c>
      <c r="U115" s="25" t="s">
        <v>1883</v>
      </c>
      <c r="V115" s="26" t="s">
        <v>1883</v>
      </c>
      <c r="W115" s="33">
        <v>500</v>
      </c>
    </row>
    <row r="116" spans="1:25">
      <c r="A116" s="17" t="s">
        <v>136</v>
      </c>
      <c r="B116" s="18" t="str">
        <f>IFERROR(HYPERLINK(VLOOKUP(A116,ÜRÜNLER!A:C,3,FALSE),VLOOKUP(A116,ÜRÜNLER!A:B,2,FALSE)),"")</f>
        <v>iQ700 Isı Pompalı Kurutma Makinesi, 9kg, Beyaz</v>
      </c>
      <c r="C116" s="19">
        <v>161</v>
      </c>
      <c r="D116" s="19" t="s">
        <v>1883</v>
      </c>
      <c r="E116" s="20">
        <v>0</v>
      </c>
      <c r="F116" s="20">
        <v>0</v>
      </c>
      <c r="G116" s="20">
        <v>0</v>
      </c>
      <c r="H116" s="20">
        <v>0</v>
      </c>
      <c r="I116" s="21">
        <v>2</v>
      </c>
      <c r="J116" s="21">
        <v>0</v>
      </c>
      <c r="K116" s="20">
        <v>0</v>
      </c>
      <c r="L116" s="20">
        <v>1</v>
      </c>
      <c r="M116" s="21">
        <v>0</v>
      </c>
      <c r="N116" s="22">
        <f t="shared" si="8"/>
        <v>164</v>
      </c>
      <c r="O116" s="23" t="s">
        <v>1883</v>
      </c>
      <c r="P116" s="24" t="s">
        <v>1883</v>
      </c>
      <c r="Q116" s="25">
        <v>65965.931379718546</v>
      </c>
      <c r="R116" s="33">
        <v>57039.08</v>
      </c>
      <c r="S116" s="27">
        <f t="shared" si="9"/>
        <v>59320.643200000006</v>
      </c>
      <c r="T116" s="27">
        <f t="shared" si="11"/>
        <v>61602.206400000003</v>
      </c>
      <c r="U116" s="25" t="s">
        <v>1883</v>
      </c>
      <c r="V116" s="26" t="s">
        <v>1883</v>
      </c>
      <c r="W116" s="33">
        <v>500</v>
      </c>
    </row>
    <row r="117" spans="1:25">
      <c r="A117" s="65" t="s">
        <v>137</v>
      </c>
      <c r="B117" s="18" t="str">
        <f>IFERROR(HYPERLINK(VLOOKUP(A117,ÜRÜNLER!A:C,3,FALSE),VLOOKUP(A117,ÜRÜNLER!A:B,2,FALSE)),"")</f>
        <v>iQ700 Isı Pompalı Kurutma Makinesi, 9kg, Gümüş</v>
      </c>
      <c r="C117" s="19">
        <v>104</v>
      </c>
      <c r="D117" s="19" t="s">
        <v>1883</v>
      </c>
      <c r="E117" s="20">
        <v>0</v>
      </c>
      <c r="F117" s="20">
        <v>0</v>
      </c>
      <c r="G117" s="20">
        <v>1</v>
      </c>
      <c r="H117" s="20">
        <v>0</v>
      </c>
      <c r="I117" s="21">
        <v>1</v>
      </c>
      <c r="J117" s="21">
        <v>1</v>
      </c>
      <c r="K117" s="20">
        <v>1</v>
      </c>
      <c r="L117" s="20">
        <v>0</v>
      </c>
      <c r="M117" s="21">
        <v>1</v>
      </c>
      <c r="N117" s="22">
        <f t="shared" si="8"/>
        <v>109</v>
      </c>
      <c r="O117" s="23"/>
      <c r="P117" s="24" t="s">
        <v>1883</v>
      </c>
      <c r="Q117" s="25">
        <v>67061.636680601994</v>
      </c>
      <c r="R117" s="33">
        <v>57959.08</v>
      </c>
      <c r="S117" s="27">
        <f t="shared" si="9"/>
        <v>60277.443200000002</v>
      </c>
      <c r="T117" s="27">
        <f t="shared" si="11"/>
        <v>62595.806400000009</v>
      </c>
      <c r="U117" s="25" t="s">
        <v>1883</v>
      </c>
      <c r="V117" s="26" t="s">
        <v>1883</v>
      </c>
      <c r="W117" s="33">
        <v>500</v>
      </c>
    </row>
    <row r="118" spans="1:25">
      <c r="A118" s="37" t="s">
        <v>138</v>
      </c>
      <c r="B118" s="18" t="str">
        <f>IFERROR(HYPERLINK(VLOOKUP(A118,ÜRÜNLER!A:C,3,FALSE),VLOOKUP(A118,ÜRÜNLER!A:B,2,FALSE)),"")</f>
        <v>iQ300 Isı Pompalı Kurutma Makinesi, 10kg, Beyaz</v>
      </c>
      <c r="C118" s="19">
        <v>325</v>
      </c>
      <c r="D118" s="19" t="s">
        <v>1883</v>
      </c>
      <c r="E118" s="20">
        <v>0</v>
      </c>
      <c r="F118" s="20">
        <v>0</v>
      </c>
      <c r="G118" s="20">
        <v>0</v>
      </c>
      <c r="H118" s="20">
        <v>0</v>
      </c>
      <c r="I118" s="21">
        <v>1</v>
      </c>
      <c r="J118" s="21">
        <v>0</v>
      </c>
      <c r="K118" s="20">
        <v>0</v>
      </c>
      <c r="L118" s="20">
        <v>0</v>
      </c>
      <c r="M118" s="21">
        <v>1</v>
      </c>
      <c r="N118" s="22">
        <f t="shared" si="8"/>
        <v>327</v>
      </c>
      <c r="O118" s="23" t="s">
        <v>1883</v>
      </c>
      <c r="P118" s="24" t="s">
        <v>1883</v>
      </c>
      <c r="Q118" s="25">
        <v>46583.270348837221</v>
      </c>
      <c r="R118" s="33">
        <v>40019.08</v>
      </c>
      <c r="S118" s="27">
        <f t="shared" si="9"/>
        <v>41619.843200000003</v>
      </c>
      <c r="T118" s="27">
        <f t="shared" si="11"/>
        <v>43220.606400000004</v>
      </c>
      <c r="U118" s="25">
        <v>3932.1075581395417</v>
      </c>
      <c r="V118" s="26" t="s">
        <v>1883</v>
      </c>
      <c r="W118" s="33">
        <v>500</v>
      </c>
    </row>
    <row r="119" spans="1:25">
      <c r="A119" s="42" t="s">
        <v>139</v>
      </c>
      <c r="B119" s="18" t="str">
        <f>IFERROR(HYPERLINK(VLOOKUP(A119,ÜRÜNLER!A:C,3,FALSE),VLOOKUP(A119,ÜRÜNLER!A:B,2,FALSE)),"")</f>
        <v>iQ500 Isı Pompalı Kurutma Makinesi, 10kg, Antrasit/Dark</v>
      </c>
      <c r="C119" s="19">
        <v>109</v>
      </c>
      <c r="D119" s="19" t="s">
        <v>1883</v>
      </c>
      <c r="E119" s="20">
        <v>0</v>
      </c>
      <c r="F119" s="20">
        <v>0</v>
      </c>
      <c r="G119" s="20">
        <v>0</v>
      </c>
      <c r="H119" s="20">
        <v>0</v>
      </c>
      <c r="I119" s="21">
        <v>1</v>
      </c>
      <c r="J119" s="21">
        <v>1</v>
      </c>
      <c r="K119" s="20">
        <v>1</v>
      </c>
      <c r="L119" s="20">
        <v>0</v>
      </c>
      <c r="M119" s="21">
        <v>1</v>
      </c>
      <c r="N119" s="22">
        <f t="shared" si="8"/>
        <v>113</v>
      </c>
      <c r="O119" s="23" t="s">
        <v>1883</v>
      </c>
      <c r="P119" s="24" t="s">
        <v>1883</v>
      </c>
      <c r="Q119" s="25">
        <v>51577.888392441862</v>
      </c>
      <c r="R119" s="33">
        <v>42319.08</v>
      </c>
      <c r="S119" s="27">
        <f t="shared" si="9"/>
        <v>44011.843200000003</v>
      </c>
      <c r="T119" s="27">
        <f t="shared" si="11"/>
        <v>45704.606400000004</v>
      </c>
      <c r="U119" s="25" t="s">
        <v>1883</v>
      </c>
      <c r="V119" s="26" t="s">
        <v>1883</v>
      </c>
      <c r="W119" s="33">
        <v>500</v>
      </c>
    </row>
    <row r="120" spans="1:25">
      <c r="A120" s="37" t="s">
        <v>140</v>
      </c>
      <c r="B120" s="18" t="str">
        <f>IFERROR(HYPERLINK(VLOOKUP(A120,ÜRÜNLER!A:C,3,FALSE),VLOOKUP(A120,ÜRÜNLER!A:B,2,FALSE)),"")</f>
        <v>iQ500 Isı Pompalı Kurutma Makinesi, 10kg, Beyaz</v>
      </c>
      <c r="C120" s="19">
        <v>43</v>
      </c>
      <c r="D120" s="19" t="s">
        <v>1883</v>
      </c>
      <c r="E120" s="20">
        <v>0</v>
      </c>
      <c r="F120" s="20">
        <v>0</v>
      </c>
      <c r="G120" s="20">
        <v>0</v>
      </c>
      <c r="H120" s="20">
        <v>0</v>
      </c>
      <c r="I120" s="21">
        <v>0</v>
      </c>
      <c r="J120" s="21">
        <v>1</v>
      </c>
      <c r="K120" s="20">
        <v>1</v>
      </c>
      <c r="L120" s="20">
        <v>0</v>
      </c>
      <c r="M120" s="21">
        <v>0</v>
      </c>
      <c r="N120" s="22">
        <f t="shared" si="8"/>
        <v>45</v>
      </c>
      <c r="O120" s="23"/>
      <c r="P120" s="24" t="s">
        <v>1883</v>
      </c>
      <c r="Q120" s="25">
        <v>51103.177682615482</v>
      </c>
      <c r="R120" s="33">
        <v>42319.08</v>
      </c>
      <c r="S120" s="27">
        <f t="shared" si="9"/>
        <v>44011.843200000003</v>
      </c>
      <c r="T120" s="27">
        <f t="shared" si="11"/>
        <v>45704.606400000004</v>
      </c>
      <c r="U120" s="25" t="s">
        <v>1883</v>
      </c>
      <c r="V120" s="26" t="s">
        <v>1883</v>
      </c>
      <c r="W120" s="33">
        <v>500</v>
      </c>
    </row>
    <row r="121" spans="1:25">
      <c r="A121" s="17" t="s">
        <v>141</v>
      </c>
      <c r="B121" s="18" t="str">
        <f>IFERROR(HYPERLINK(VLOOKUP(A121,ÜRÜNLER!A:C,3,FALSE),VLOOKUP(A121,ÜRÜNLER!A:B,2,FALSE)),"")</f>
        <v>iQ300 Isı Pompalı Kurutma Makinesi, 8kg, Beyaz</v>
      </c>
      <c r="C121" s="19" t="s">
        <v>1883</v>
      </c>
      <c r="D121" s="19" t="s">
        <v>1883</v>
      </c>
      <c r="E121" s="20">
        <v>0</v>
      </c>
      <c r="F121" s="20">
        <v>0</v>
      </c>
      <c r="G121" s="20">
        <v>1</v>
      </c>
      <c r="H121" s="20">
        <v>0</v>
      </c>
      <c r="I121" s="21">
        <v>0</v>
      </c>
      <c r="J121" s="21">
        <v>1</v>
      </c>
      <c r="K121" s="20">
        <v>0</v>
      </c>
      <c r="L121" s="20">
        <v>0</v>
      </c>
      <c r="M121" s="21">
        <v>1</v>
      </c>
      <c r="N121" s="22">
        <f t="shared" si="8"/>
        <v>3</v>
      </c>
      <c r="O121" s="23" t="s">
        <v>1883</v>
      </c>
      <c r="P121" s="24" t="s">
        <v>1883</v>
      </c>
      <c r="Q121" s="25" t="s">
        <v>1884</v>
      </c>
      <c r="R121" s="33">
        <v>35000</v>
      </c>
      <c r="S121" s="27">
        <f t="shared" si="9"/>
        <v>36400</v>
      </c>
      <c r="T121" s="27">
        <f t="shared" si="11"/>
        <v>37800</v>
      </c>
      <c r="U121" s="25" t="s">
        <v>1883</v>
      </c>
      <c r="V121" s="26" t="s">
        <v>1883</v>
      </c>
      <c r="W121" s="33">
        <v>500</v>
      </c>
    </row>
    <row r="122" spans="1:25" s="54" customFormat="1" ht="34.5" customHeight="1">
      <c r="A122" s="67" t="s">
        <v>142</v>
      </c>
      <c r="B122" s="18"/>
      <c r="C122" s="19"/>
      <c r="D122" s="19"/>
      <c r="E122" s="20"/>
      <c r="F122" s="20"/>
      <c r="G122" s="20"/>
      <c r="H122" s="20"/>
      <c r="I122" s="21"/>
      <c r="J122" s="21"/>
      <c r="K122" s="20"/>
      <c r="L122" s="20"/>
      <c r="M122" s="21"/>
      <c r="N122" s="22"/>
      <c r="O122" s="23"/>
      <c r="P122" s="24" t="s">
        <v>1883</v>
      </c>
      <c r="Q122" s="25"/>
      <c r="R122" s="33"/>
      <c r="S122" s="27"/>
      <c r="T122" s="27"/>
      <c r="U122" s="25"/>
      <c r="V122" s="26"/>
      <c r="W122" s="33"/>
      <c r="X122" s="29"/>
      <c r="Y122" s="53"/>
    </row>
    <row r="123" spans="1:25">
      <c r="A123" s="17" t="s">
        <v>143</v>
      </c>
      <c r="B123" s="18" t="str">
        <f>IFERROR(HYPERLINK(VLOOKUP(A123,ÜRÜNLER!A:C,3,FALSE),VLOOKUP(A123,ÜRÜNLER!A:B,2,FALSE)),"")</f>
        <v>iQ500 Solo Bulaşık Makinesi, autoOpen dry, glassZone, Inox</v>
      </c>
      <c r="C123" s="19" t="s">
        <v>1883</v>
      </c>
      <c r="D123" s="19" t="s">
        <v>1883</v>
      </c>
      <c r="E123" s="20">
        <v>0</v>
      </c>
      <c r="F123" s="20">
        <v>0</v>
      </c>
      <c r="G123" s="20">
        <v>0</v>
      </c>
      <c r="H123" s="20">
        <v>0</v>
      </c>
      <c r="I123" s="21">
        <v>0</v>
      </c>
      <c r="J123" s="21">
        <v>0</v>
      </c>
      <c r="K123" s="20">
        <v>1</v>
      </c>
      <c r="L123" s="20">
        <v>0</v>
      </c>
      <c r="M123" s="21">
        <v>0</v>
      </c>
      <c r="N123" s="22">
        <f t="shared" si="8"/>
        <v>1</v>
      </c>
      <c r="O123" s="23">
        <v>16</v>
      </c>
      <c r="P123" s="24" t="s">
        <v>1883</v>
      </c>
      <c r="Q123" s="25">
        <v>43532.22378781603</v>
      </c>
      <c r="R123" s="32">
        <v>41355.612598425228</v>
      </c>
      <c r="S123" s="27">
        <f t="shared" si="9"/>
        <v>43009.837102362239</v>
      </c>
      <c r="T123" s="27">
        <f t="shared" ref="T123:T149" si="12">R123*1.08</f>
        <v>44664.061606299249</v>
      </c>
      <c r="U123" s="25" t="s">
        <v>1883</v>
      </c>
      <c r="V123" s="26" t="s">
        <v>1883</v>
      </c>
      <c r="W123" s="33"/>
    </row>
    <row r="124" spans="1:25">
      <c r="A124" s="31" t="s">
        <v>144</v>
      </c>
      <c r="B124" s="18" t="str">
        <f>IFERROR(HYPERLINK(VLOOKUP(A124,ÜRÜNLER!A:C,3,FALSE),VLOOKUP(A124,ÜRÜNLER!A:B,2,FALSE)),"")</f>
        <v>iQ500 Solo Bulaşık Makinesi, autoOpen dry, glassZone, darkSteel</v>
      </c>
      <c r="C124" s="19">
        <v>79</v>
      </c>
      <c r="D124" s="19" t="s">
        <v>1883</v>
      </c>
      <c r="E124" s="20">
        <v>0</v>
      </c>
      <c r="F124" s="20">
        <v>0</v>
      </c>
      <c r="G124" s="20">
        <v>0</v>
      </c>
      <c r="H124" s="20">
        <v>0</v>
      </c>
      <c r="I124" s="21">
        <v>1</v>
      </c>
      <c r="J124" s="21">
        <v>1</v>
      </c>
      <c r="K124" s="20">
        <v>1</v>
      </c>
      <c r="L124" s="20">
        <v>0</v>
      </c>
      <c r="M124" s="21">
        <v>1</v>
      </c>
      <c r="N124" s="22">
        <f t="shared" si="8"/>
        <v>83</v>
      </c>
      <c r="O124" s="23" t="s">
        <v>1883</v>
      </c>
      <c r="P124" s="24" t="s">
        <v>1883</v>
      </c>
      <c r="Q124" s="25">
        <v>45341.674235357968</v>
      </c>
      <c r="R124" s="32">
        <v>43074.590523590072</v>
      </c>
      <c r="S124" s="27">
        <f t="shared" si="9"/>
        <v>44797.574144533675</v>
      </c>
      <c r="T124" s="27">
        <f t="shared" si="12"/>
        <v>46520.557765477279</v>
      </c>
      <c r="U124" s="25" t="s">
        <v>1883</v>
      </c>
      <c r="V124" s="26" t="s">
        <v>1883</v>
      </c>
      <c r="W124" s="33"/>
    </row>
    <row r="125" spans="1:25">
      <c r="A125" s="17" t="s">
        <v>145</v>
      </c>
      <c r="B125" s="18" t="str">
        <f>IFERROR(HYPERLINK(VLOOKUP(A125,ÜRÜNLER!A:C,3,FALSE),VLOOKUP(A125,ÜRÜNLER!A:B,2,FALSE)),"")</f>
        <v>iQ500 Solo Bulaşık Makinesi, autoOpen dry, glassZone, Beyaz</v>
      </c>
      <c r="C125" s="19">
        <v>24</v>
      </c>
      <c r="D125" s="19" t="s">
        <v>1883</v>
      </c>
      <c r="E125" s="20">
        <v>0</v>
      </c>
      <c r="F125" s="20">
        <v>0</v>
      </c>
      <c r="G125" s="20">
        <v>0</v>
      </c>
      <c r="H125" s="20">
        <v>0</v>
      </c>
      <c r="I125" s="21">
        <v>1</v>
      </c>
      <c r="J125" s="21">
        <v>0</v>
      </c>
      <c r="K125" s="20">
        <v>0</v>
      </c>
      <c r="L125" s="20">
        <v>0</v>
      </c>
      <c r="M125" s="21">
        <v>0</v>
      </c>
      <c r="N125" s="22">
        <f t="shared" si="8"/>
        <v>25</v>
      </c>
      <c r="O125" s="23" t="s">
        <v>1883</v>
      </c>
      <c r="P125" s="24" t="s">
        <v>1883</v>
      </c>
      <c r="Q125" s="25">
        <v>40394.351253928682</v>
      </c>
      <c r="R125" s="32">
        <v>38374.633691232251</v>
      </c>
      <c r="S125" s="27">
        <f t="shared" si="9"/>
        <v>39909.619038881545</v>
      </c>
      <c r="T125" s="27">
        <f t="shared" si="12"/>
        <v>41444.604386530831</v>
      </c>
      <c r="U125" s="25" t="s">
        <v>1883</v>
      </c>
      <c r="V125" s="26" t="s">
        <v>1883</v>
      </c>
      <c r="W125" s="33"/>
    </row>
    <row r="126" spans="1:25">
      <c r="A126" s="17" t="s">
        <v>146</v>
      </c>
      <c r="B126" s="18" t="str">
        <f>IFERROR(HYPERLINK(VLOOKUP(A126,ÜRÜNLER!A:C,3,FALSE),VLOOKUP(A126,ÜRÜNLER!A:B,2,FALSE)),"")</f>
        <v>iQ100 Solo Bulaşık Makinesi, Inox</v>
      </c>
      <c r="C126" s="19">
        <v>42</v>
      </c>
      <c r="D126" s="19" t="s">
        <v>1883</v>
      </c>
      <c r="E126" s="20">
        <v>0</v>
      </c>
      <c r="F126" s="20">
        <v>0</v>
      </c>
      <c r="G126" s="20">
        <v>2</v>
      </c>
      <c r="H126" s="20">
        <v>0</v>
      </c>
      <c r="I126" s="21">
        <v>1</v>
      </c>
      <c r="J126" s="21">
        <v>1</v>
      </c>
      <c r="K126" s="20">
        <v>0</v>
      </c>
      <c r="L126" s="20">
        <v>1</v>
      </c>
      <c r="M126" s="21">
        <v>1</v>
      </c>
      <c r="N126" s="22">
        <f t="shared" si="8"/>
        <v>48</v>
      </c>
      <c r="O126" s="23" t="s">
        <v>1883</v>
      </c>
      <c r="P126" s="24" t="s">
        <v>27</v>
      </c>
      <c r="Q126" s="25">
        <v>28392.60538072262</v>
      </c>
      <c r="R126" s="33">
        <v>28500</v>
      </c>
      <c r="S126" s="27">
        <f t="shared" si="9"/>
        <v>29640</v>
      </c>
      <c r="T126" s="27">
        <f t="shared" si="12"/>
        <v>30780.000000000004</v>
      </c>
      <c r="U126" s="25" t="s">
        <v>1883</v>
      </c>
      <c r="V126" s="26" t="s">
        <v>1883</v>
      </c>
      <c r="W126" s="33"/>
    </row>
    <row r="127" spans="1:25">
      <c r="A127" s="17" t="s">
        <v>147</v>
      </c>
      <c r="B127" s="18" t="str">
        <f>IFERROR(HYPERLINK(VLOOKUP(A127,ÜRÜNLER!A:C,3,FALSE),VLOOKUP(A127,ÜRÜNLER!A:B,2,FALSE)),"")</f>
        <v>iQ100 Solo Bulaşık Makinesi, Beyaz</v>
      </c>
      <c r="C127" s="19">
        <v>10</v>
      </c>
      <c r="D127" s="19" t="s">
        <v>1883</v>
      </c>
      <c r="E127" s="20">
        <v>0</v>
      </c>
      <c r="F127" s="20">
        <v>0</v>
      </c>
      <c r="G127" s="20">
        <v>0</v>
      </c>
      <c r="H127" s="20">
        <v>0</v>
      </c>
      <c r="I127" s="21">
        <v>1</v>
      </c>
      <c r="J127" s="21">
        <v>1</v>
      </c>
      <c r="K127" s="20">
        <v>1</v>
      </c>
      <c r="L127" s="20">
        <v>2</v>
      </c>
      <c r="M127" s="21">
        <v>0</v>
      </c>
      <c r="N127" s="22">
        <f t="shared" si="8"/>
        <v>15</v>
      </c>
      <c r="O127" s="23">
        <v>10</v>
      </c>
      <c r="P127" s="24" t="s">
        <v>27</v>
      </c>
      <c r="Q127" s="25">
        <v>27155.374846273568</v>
      </c>
      <c r="R127" s="33">
        <v>28500</v>
      </c>
      <c r="S127" s="27">
        <f t="shared" si="9"/>
        <v>29640</v>
      </c>
      <c r="T127" s="27">
        <f t="shared" si="12"/>
        <v>30780.000000000004</v>
      </c>
      <c r="U127" s="25">
        <v>132.11903232007535</v>
      </c>
      <c r="V127" s="26" t="s">
        <v>1883</v>
      </c>
      <c r="W127" s="33"/>
    </row>
    <row r="128" spans="1:25">
      <c r="A128" s="17" t="s">
        <v>148</v>
      </c>
      <c r="B128" s="18" t="str">
        <f>IFERROR(HYPERLINK(VLOOKUP(A128,ÜRÜNLER!A:C,3,FALSE),VLOOKUP(A128,ÜRÜNLER!A:B,2,FALSE)),"")</f>
        <v>iQ300 Solo Bulaşık Makinesi, Inox</v>
      </c>
      <c r="C128" s="19" t="s">
        <v>1883</v>
      </c>
      <c r="D128" s="19" t="s">
        <v>1883</v>
      </c>
      <c r="E128" s="20">
        <v>0</v>
      </c>
      <c r="F128" s="20">
        <v>0</v>
      </c>
      <c r="G128" s="20">
        <v>0</v>
      </c>
      <c r="H128" s="20">
        <v>0</v>
      </c>
      <c r="I128" s="21">
        <v>0</v>
      </c>
      <c r="J128" s="21">
        <v>0</v>
      </c>
      <c r="K128" s="20">
        <v>0</v>
      </c>
      <c r="L128" s="20">
        <v>1</v>
      </c>
      <c r="M128" s="21">
        <v>0</v>
      </c>
      <c r="N128" s="22">
        <f t="shared" si="8"/>
        <v>1</v>
      </c>
      <c r="O128" s="23" t="s">
        <v>1883</v>
      </c>
      <c r="P128" s="24" t="s">
        <v>1883</v>
      </c>
      <c r="Q128" s="25" t="s">
        <v>1884</v>
      </c>
      <c r="R128" s="33">
        <v>30000</v>
      </c>
      <c r="S128" s="27">
        <f t="shared" si="9"/>
        <v>31200</v>
      </c>
      <c r="T128" s="27">
        <f t="shared" si="12"/>
        <v>32400.000000000004</v>
      </c>
      <c r="U128" s="25" t="s">
        <v>1883</v>
      </c>
      <c r="V128" s="26" t="s">
        <v>1883</v>
      </c>
      <c r="W128" s="28">
        <v>1000</v>
      </c>
    </row>
    <row r="129" spans="1:25">
      <c r="A129" s="17" t="s">
        <v>149</v>
      </c>
      <c r="B129" s="18" t="str">
        <f>IFERROR(HYPERLINK(VLOOKUP(A129,ÜRÜNLER!A:C,3,FALSE),VLOOKUP(A129,ÜRÜNLER!A:B,2,FALSE)),"")</f>
        <v>iQ500 Solo Bulaşık Makinesi, autoOpen dry, Inox</v>
      </c>
      <c r="C129" s="19" t="s">
        <v>1883</v>
      </c>
      <c r="D129" s="19" t="s">
        <v>1883</v>
      </c>
      <c r="E129" s="20">
        <v>0</v>
      </c>
      <c r="F129" s="20">
        <v>0</v>
      </c>
      <c r="G129" s="20">
        <v>0</v>
      </c>
      <c r="H129" s="20">
        <v>0</v>
      </c>
      <c r="I129" s="21">
        <v>1</v>
      </c>
      <c r="J129" s="21">
        <v>0</v>
      </c>
      <c r="K129" s="20">
        <v>0</v>
      </c>
      <c r="L129" s="20">
        <v>0</v>
      </c>
      <c r="M129" s="21">
        <v>0</v>
      </c>
      <c r="N129" s="22">
        <f t="shared" si="8"/>
        <v>1</v>
      </c>
      <c r="O129" s="23" t="s">
        <v>1883</v>
      </c>
      <c r="P129" s="24" t="s">
        <v>1883</v>
      </c>
      <c r="Q129" s="25" t="s">
        <v>1884</v>
      </c>
      <c r="R129" s="35">
        <v>33624</v>
      </c>
      <c r="S129" s="27">
        <f t="shared" si="9"/>
        <v>34968.959999999999</v>
      </c>
      <c r="T129" s="27">
        <f t="shared" si="12"/>
        <v>36313.920000000006</v>
      </c>
      <c r="U129" s="25" t="s">
        <v>1883</v>
      </c>
      <c r="V129" s="26">
        <v>7623.5399999999991</v>
      </c>
      <c r="W129" s="28">
        <v>500</v>
      </c>
    </row>
    <row r="130" spans="1:25">
      <c r="A130" s="17" t="s">
        <v>1873</v>
      </c>
      <c r="B130" s="18" t="str">
        <f>IFERROR(HYPERLINK(VLOOKUP(A130,ÜRÜNLER!A:C,3,FALSE),VLOOKUP(A130,ÜRÜNLER!A:B,2,FALSE)),"")</f>
        <v>iQ300 Solo Bulaşık Makinesi, autoOpen dry, Üstten Sepetli, Inox</v>
      </c>
      <c r="C130" s="19">
        <v>5</v>
      </c>
      <c r="D130" s="19" t="s">
        <v>1883</v>
      </c>
      <c r="E130" s="20">
        <v>0</v>
      </c>
      <c r="F130" s="20">
        <v>0</v>
      </c>
      <c r="G130" s="20">
        <v>0</v>
      </c>
      <c r="H130" s="20">
        <v>0</v>
      </c>
      <c r="I130" s="21">
        <v>0</v>
      </c>
      <c r="J130" s="21">
        <v>0</v>
      </c>
      <c r="K130" s="20">
        <v>0</v>
      </c>
      <c r="L130" s="20">
        <v>0</v>
      </c>
      <c r="M130" s="21">
        <v>0</v>
      </c>
      <c r="N130" s="22">
        <f t="shared" si="8"/>
        <v>5</v>
      </c>
      <c r="O130" s="23" t="s">
        <v>1883</v>
      </c>
      <c r="P130" s="24" t="s">
        <v>1883</v>
      </c>
      <c r="Q130" s="208">
        <v>30834.108</v>
      </c>
      <c r="S130" s="27">
        <f t="shared" si="9"/>
        <v>0</v>
      </c>
      <c r="T130" s="27">
        <f t="shared" si="12"/>
        <v>0</v>
      </c>
      <c r="U130" s="25" t="s">
        <v>1883</v>
      </c>
      <c r="V130" s="26" t="s">
        <v>1883</v>
      </c>
      <c r="W130" s="28"/>
    </row>
    <row r="131" spans="1:25">
      <c r="A131" s="17" t="s">
        <v>150</v>
      </c>
      <c r="B131" s="18" t="str">
        <f>IFERROR(HYPERLINK(VLOOKUP(A131,ÜRÜNLER!A:C,3,FALSE),VLOOKUP(A131,ÜRÜNLER!A:B,2,FALSE)),"")</f>
        <v>iQ300 Solo Bulaşık Makinesi, autoOpen dry, Beyaz</v>
      </c>
      <c r="C131" s="19">
        <v>40</v>
      </c>
      <c r="D131" s="19" t="s">
        <v>1883</v>
      </c>
      <c r="E131" s="20">
        <v>0</v>
      </c>
      <c r="F131" s="20">
        <v>0</v>
      </c>
      <c r="G131" s="20">
        <v>0</v>
      </c>
      <c r="H131" s="20">
        <v>0</v>
      </c>
      <c r="I131" s="21">
        <v>0</v>
      </c>
      <c r="J131" s="21">
        <v>0</v>
      </c>
      <c r="K131" s="20">
        <v>1</v>
      </c>
      <c r="L131" s="20">
        <v>1</v>
      </c>
      <c r="M131" s="21">
        <v>0</v>
      </c>
      <c r="N131" s="22">
        <f t="shared" si="8"/>
        <v>42</v>
      </c>
      <c r="O131" s="23">
        <v>1</v>
      </c>
      <c r="P131" s="24" t="s">
        <v>1883</v>
      </c>
      <c r="Q131" s="25">
        <v>34609.794751972418</v>
      </c>
      <c r="R131" s="32">
        <v>32879.3050143738</v>
      </c>
      <c r="S131" s="27">
        <f t="shared" si="9"/>
        <v>34194.477214948754</v>
      </c>
      <c r="T131" s="27">
        <f t="shared" si="12"/>
        <v>35509.649415523709</v>
      </c>
      <c r="U131" s="25">
        <v>1726.0738217398541</v>
      </c>
      <c r="V131" s="26" t="s">
        <v>1883</v>
      </c>
      <c r="W131" s="33"/>
    </row>
    <row r="132" spans="1:25">
      <c r="A132" s="42" t="s">
        <v>151</v>
      </c>
      <c r="B132" s="18" t="str">
        <f>IFERROR(HYPERLINK(VLOOKUP(A132,ÜRÜNLER!A:C,3,FALSE),VLOOKUP(A132,ÜRÜNLER!A:B,2,FALSE)),"")</f>
        <v>iQ500 Solo Bulaşık Makinesi, Üstten Sepetli, Siyah Cam</v>
      </c>
      <c r="C132" s="19" t="s">
        <v>1883</v>
      </c>
      <c r="D132" s="19" t="s">
        <v>1883</v>
      </c>
      <c r="E132" s="20">
        <v>0</v>
      </c>
      <c r="F132" s="20">
        <v>0</v>
      </c>
      <c r="G132" s="20">
        <v>0</v>
      </c>
      <c r="H132" s="20">
        <v>0</v>
      </c>
      <c r="I132" s="21">
        <v>0</v>
      </c>
      <c r="J132" s="21">
        <v>0</v>
      </c>
      <c r="K132" s="20">
        <v>0</v>
      </c>
      <c r="L132" s="20">
        <v>1</v>
      </c>
      <c r="M132" s="21">
        <v>0</v>
      </c>
      <c r="N132" s="22">
        <f t="shared" si="8"/>
        <v>1</v>
      </c>
      <c r="O132" s="23" t="s">
        <v>1883</v>
      </c>
      <c r="P132" s="24" t="s">
        <v>1883</v>
      </c>
      <c r="Q132" s="25" t="s">
        <v>1884</v>
      </c>
      <c r="R132" s="33">
        <v>44765</v>
      </c>
      <c r="S132" s="27">
        <f t="shared" si="9"/>
        <v>46555.6</v>
      </c>
      <c r="T132" s="27">
        <f t="shared" si="12"/>
        <v>48346.200000000004</v>
      </c>
      <c r="U132" s="25" t="s">
        <v>1883</v>
      </c>
      <c r="V132" s="26" t="s">
        <v>1883</v>
      </c>
      <c r="W132" s="28">
        <v>1000</v>
      </c>
    </row>
    <row r="133" spans="1:25">
      <c r="A133" s="65" t="s">
        <v>152</v>
      </c>
      <c r="B133" s="18" t="str">
        <f>IFERROR(HYPERLINK(VLOOKUP(A133,ÜRÜNLER!A:C,3,FALSE),VLOOKUP(A133,ÜRÜNLER!A:B,2,FALSE)),"")</f>
        <v>iQ500 Solo Bulaşık Makinesi, Üstten Sepetli, Beyaz Cam</v>
      </c>
      <c r="C133" s="19" t="s">
        <v>1883</v>
      </c>
      <c r="D133" s="19" t="s">
        <v>1883</v>
      </c>
      <c r="E133" s="20">
        <v>0</v>
      </c>
      <c r="F133" s="20">
        <v>0</v>
      </c>
      <c r="G133" s="20">
        <v>0</v>
      </c>
      <c r="H133" s="20">
        <v>0</v>
      </c>
      <c r="I133" s="21">
        <v>0</v>
      </c>
      <c r="J133" s="21">
        <v>1</v>
      </c>
      <c r="K133" s="20">
        <v>0</v>
      </c>
      <c r="L133" s="20">
        <v>0</v>
      </c>
      <c r="M133" s="21">
        <v>0</v>
      </c>
      <c r="N133" s="22">
        <f t="shared" si="8"/>
        <v>1</v>
      </c>
      <c r="O133" s="23" t="s">
        <v>1883</v>
      </c>
      <c r="P133" s="24" t="s">
        <v>1883</v>
      </c>
      <c r="Q133" s="25" t="s">
        <v>1884</v>
      </c>
      <c r="R133" s="33">
        <v>43000</v>
      </c>
      <c r="S133" s="27">
        <f t="shared" si="9"/>
        <v>44720</v>
      </c>
      <c r="T133" s="27">
        <f t="shared" si="12"/>
        <v>46440</v>
      </c>
      <c r="U133" s="25" t="s">
        <v>1883</v>
      </c>
      <c r="V133" s="26" t="s">
        <v>1883</v>
      </c>
      <c r="W133" s="33"/>
    </row>
    <row r="134" spans="1:25">
      <c r="A134" s="68" t="s">
        <v>153</v>
      </c>
      <c r="B134" s="18" t="str">
        <f>IFERROR(HYPERLINK(VLOOKUP(A134,ÜRÜNLER!A:C,3,FALSE),VLOOKUP(A134,ÜRÜNLER!A:B,2,FALSE)),"")</f>
        <v>iQ500 Solo Bulaşık Makinesi, Üstten Sepetli, Antrasit Cam</v>
      </c>
      <c r="C134" s="19">
        <v>4</v>
      </c>
      <c r="D134" s="19" t="s">
        <v>1883</v>
      </c>
      <c r="E134" s="20">
        <v>0</v>
      </c>
      <c r="F134" s="20">
        <v>0</v>
      </c>
      <c r="G134" s="20">
        <v>0</v>
      </c>
      <c r="H134" s="20">
        <v>0</v>
      </c>
      <c r="I134" s="21">
        <v>1</v>
      </c>
      <c r="J134" s="21">
        <v>0</v>
      </c>
      <c r="K134" s="20">
        <v>0</v>
      </c>
      <c r="L134" s="20">
        <v>1</v>
      </c>
      <c r="M134" s="21">
        <v>0</v>
      </c>
      <c r="N134" s="22">
        <f t="shared" ref="N134:N198" si="13">SUM(C134:M134)</f>
        <v>6</v>
      </c>
      <c r="O134" s="23" t="s">
        <v>1883</v>
      </c>
      <c r="P134" s="24" t="s">
        <v>1883</v>
      </c>
      <c r="Q134" s="25" t="s">
        <v>1884</v>
      </c>
      <c r="R134" s="32">
        <v>43565.573117964086</v>
      </c>
      <c r="S134" s="27">
        <f t="shared" ref="S134:S198" si="14">R134*1.04</f>
        <v>45308.196042682648</v>
      </c>
      <c r="T134" s="27">
        <f t="shared" si="12"/>
        <v>47050.818967401217</v>
      </c>
      <c r="U134" s="25" t="s">
        <v>1883</v>
      </c>
      <c r="V134" s="26" t="s">
        <v>1883</v>
      </c>
      <c r="W134" s="33"/>
    </row>
    <row r="135" spans="1:25">
      <c r="A135" s="31" t="s">
        <v>154</v>
      </c>
      <c r="B135" s="18" t="str">
        <f>IFERROR(HYPERLINK(VLOOKUP(A135,ÜRÜNLER!A:C,3,FALSE),VLOOKUP(A135,ÜRÜNLER!A:B,2,FALSE)),"")</f>
        <v>iQ300 Solo Bulaşık Makinesi, Üstten Sepetli, darkSteel</v>
      </c>
      <c r="C135" s="19" t="s">
        <v>1883</v>
      </c>
      <c r="D135" s="19" t="s">
        <v>1883</v>
      </c>
      <c r="E135" s="20">
        <v>0</v>
      </c>
      <c r="F135" s="20">
        <v>0</v>
      </c>
      <c r="G135" s="20">
        <v>0</v>
      </c>
      <c r="H135" s="20">
        <v>0</v>
      </c>
      <c r="I135" s="21">
        <v>1</v>
      </c>
      <c r="J135" s="21">
        <v>1</v>
      </c>
      <c r="K135" s="20">
        <v>0</v>
      </c>
      <c r="L135" s="20">
        <v>1</v>
      </c>
      <c r="M135" s="21">
        <v>0</v>
      </c>
      <c r="N135" s="22">
        <f t="shared" si="13"/>
        <v>3</v>
      </c>
      <c r="O135" s="23" t="s">
        <v>1883</v>
      </c>
      <c r="P135" s="24" t="s">
        <v>1883</v>
      </c>
      <c r="Q135" s="25" t="s">
        <v>1884</v>
      </c>
      <c r="R135" s="33">
        <v>36000</v>
      </c>
      <c r="S135" s="27">
        <f t="shared" si="14"/>
        <v>37440</v>
      </c>
      <c r="T135" s="27">
        <f t="shared" si="12"/>
        <v>38880</v>
      </c>
      <c r="U135" s="25" t="s">
        <v>1883</v>
      </c>
      <c r="V135" s="26" t="s">
        <v>1883</v>
      </c>
      <c r="W135" s="28">
        <v>500</v>
      </c>
    </row>
    <row r="136" spans="1:25">
      <c r="A136" s="69" t="s">
        <v>155</v>
      </c>
      <c r="B136" s="18" t="str">
        <f>IFERROR(HYPERLINK(VLOOKUP(A136,ÜRÜNLER!A:C,3,FALSE),VLOOKUP(A136,ÜRÜNLER!A:B,2,FALSE)),"")</f>
        <v>iQ300 Solo Bulaşık Makinesi, Inox</v>
      </c>
      <c r="C136" s="19">
        <v>10</v>
      </c>
      <c r="D136" s="19" t="s">
        <v>1883</v>
      </c>
      <c r="E136" s="20">
        <v>0</v>
      </c>
      <c r="F136" s="20">
        <v>0</v>
      </c>
      <c r="G136" s="20">
        <v>0</v>
      </c>
      <c r="H136" s="20">
        <v>0</v>
      </c>
      <c r="I136" s="21">
        <v>1</v>
      </c>
      <c r="J136" s="21">
        <v>1</v>
      </c>
      <c r="K136" s="20">
        <v>1</v>
      </c>
      <c r="L136" s="20">
        <v>1</v>
      </c>
      <c r="M136" s="21">
        <v>0</v>
      </c>
      <c r="N136" s="22">
        <f t="shared" si="13"/>
        <v>14</v>
      </c>
      <c r="O136" s="23" t="s">
        <v>1883</v>
      </c>
      <c r="P136" s="24" t="s">
        <v>1883</v>
      </c>
      <c r="Q136" s="25">
        <v>36240.481354441705</v>
      </c>
      <c r="R136" s="32">
        <v>34428.457286719618</v>
      </c>
      <c r="S136" s="27">
        <f t="shared" si="14"/>
        <v>35805.595578188404</v>
      </c>
      <c r="T136" s="27">
        <f t="shared" si="12"/>
        <v>37182.73386965719</v>
      </c>
      <c r="U136" s="25">
        <v>2217.2255404882162</v>
      </c>
      <c r="V136" s="26" t="s">
        <v>1883</v>
      </c>
      <c r="W136" s="33"/>
    </row>
    <row r="137" spans="1:25">
      <c r="A137" s="69" t="s">
        <v>156</v>
      </c>
      <c r="B137" s="18" t="str">
        <f>IFERROR(HYPERLINK(VLOOKUP(A137,ÜRÜNLER!A:C,3,FALSE),VLOOKUP(A137,ÜRÜNLER!A:B,2,FALSE)),"")</f>
        <v>iQ300 Solo Bulaşık Makinesi, Beyaz</v>
      </c>
      <c r="C137" s="19">
        <v>75</v>
      </c>
      <c r="D137" s="19" t="s">
        <v>1883</v>
      </c>
      <c r="E137" s="20">
        <v>0</v>
      </c>
      <c r="F137" s="20">
        <v>0</v>
      </c>
      <c r="G137" s="20">
        <v>0</v>
      </c>
      <c r="H137" s="20">
        <v>0</v>
      </c>
      <c r="I137" s="21">
        <v>2</v>
      </c>
      <c r="J137" s="21">
        <v>1</v>
      </c>
      <c r="K137" s="20">
        <v>1</v>
      </c>
      <c r="L137" s="20">
        <v>1</v>
      </c>
      <c r="M137" s="21">
        <v>1</v>
      </c>
      <c r="N137" s="22">
        <f t="shared" si="13"/>
        <v>81</v>
      </c>
      <c r="O137" s="23" t="s">
        <v>1883</v>
      </c>
      <c r="P137" s="24" t="s">
        <v>1883</v>
      </c>
      <c r="Q137" s="25">
        <v>33948.361891003922</v>
      </c>
      <c r="R137" s="32">
        <v>32250.943796453725</v>
      </c>
      <c r="S137" s="27">
        <f t="shared" si="14"/>
        <v>33540.981548311873</v>
      </c>
      <c r="T137" s="27">
        <f t="shared" si="12"/>
        <v>34831.019300170025</v>
      </c>
      <c r="U137" s="25">
        <v>4564.6409607713613</v>
      </c>
      <c r="V137" s="26" t="s">
        <v>1883</v>
      </c>
      <c r="W137" s="33"/>
    </row>
    <row r="138" spans="1:25">
      <c r="A138" s="69" t="s">
        <v>1877</v>
      </c>
      <c r="B138" s="18" t="str">
        <f>IFERROR(HYPERLINK(VLOOKUP(A138,ÜRÜNLER!A:C,3,FALSE),VLOOKUP(A138,ÜRÜNLER!A:B,2,FALSE)),"")</f>
        <v>iQ300 Solo Bulaşık Makinesi, Beyaz</v>
      </c>
      <c r="C138" s="19">
        <v>5</v>
      </c>
      <c r="D138" s="19" t="s">
        <v>1883</v>
      </c>
      <c r="E138" s="20">
        <v>0</v>
      </c>
      <c r="F138" s="20">
        <v>0</v>
      </c>
      <c r="G138" s="20">
        <v>0</v>
      </c>
      <c r="H138" s="20">
        <v>0</v>
      </c>
      <c r="I138" s="21">
        <v>0</v>
      </c>
      <c r="J138" s="21">
        <v>0</v>
      </c>
      <c r="K138" s="20">
        <v>0</v>
      </c>
      <c r="L138" s="20">
        <v>0</v>
      </c>
      <c r="M138" s="21">
        <v>0</v>
      </c>
      <c r="N138" s="22">
        <f t="shared" si="13"/>
        <v>5</v>
      </c>
      <c r="O138" s="23"/>
      <c r="P138" s="24" t="s">
        <v>1883</v>
      </c>
      <c r="Q138" s="25">
        <v>33077.519999999997</v>
      </c>
      <c r="R138" s="32">
        <v>31424.1</v>
      </c>
      <c r="S138" s="27">
        <f t="shared" si="14"/>
        <v>32681.063999999998</v>
      </c>
      <c r="T138" s="27">
        <f t="shared" si="12"/>
        <v>33938.027999999998</v>
      </c>
      <c r="U138" s="25" t="s">
        <v>1883</v>
      </c>
      <c r="V138" s="26" t="s">
        <v>1883</v>
      </c>
      <c r="W138" s="33"/>
    </row>
    <row r="139" spans="1:25">
      <c r="A139" s="69" t="s">
        <v>157</v>
      </c>
      <c r="B139" s="18" t="str">
        <f>IFERROR(HYPERLINK(VLOOKUP(A139,ÜRÜNLER!A:C,3,FALSE),VLOOKUP(A139,ÜRÜNLER!A:B,2,FALSE)),"")</f>
        <v>iQ300 Solo Bulaşık Makinesi, Üstten Sepetli, Inox</v>
      </c>
      <c r="C139" s="19" t="s">
        <v>1883</v>
      </c>
      <c r="D139" s="19" t="s">
        <v>1883</v>
      </c>
      <c r="E139" s="20">
        <v>0</v>
      </c>
      <c r="F139" s="20">
        <v>0</v>
      </c>
      <c r="G139" s="20">
        <v>0</v>
      </c>
      <c r="H139" s="20">
        <v>0</v>
      </c>
      <c r="I139" s="21">
        <v>0</v>
      </c>
      <c r="J139" s="21">
        <v>1</v>
      </c>
      <c r="K139" s="20">
        <v>0</v>
      </c>
      <c r="L139" s="20">
        <v>1</v>
      </c>
      <c r="M139" s="21">
        <v>0</v>
      </c>
      <c r="N139" s="22">
        <f t="shared" si="13"/>
        <v>2</v>
      </c>
      <c r="O139" s="23" t="s">
        <v>1883</v>
      </c>
      <c r="P139" s="24" t="s">
        <v>1883</v>
      </c>
      <c r="Q139" s="25" t="s">
        <v>1884</v>
      </c>
      <c r="R139" s="27">
        <v>33000</v>
      </c>
      <c r="S139" s="27">
        <f t="shared" si="14"/>
        <v>34320</v>
      </c>
      <c r="T139" s="27">
        <f t="shared" si="12"/>
        <v>35640</v>
      </c>
      <c r="U139" s="25" t="s">
        <v>1883</v>
      </c>
      <c r="V139" s="26" t="s">
        <v>1883</v>
      </c>
      <c r="W139" s="33"/>
    </row>
    <row r="140" spans="1:25">
      <c r="A140" s="17" t="s">
        <v>158</v>
      </c>
      <c r="B140" s="18" t="str">
        <f>IFERROR(HYPERLINK(VLOOKUP(A140,ÜRÜNLER!A:C,3,FALSE),VLOOKUP(A140,ÜRÜNLER!A:B,2,FALSE)),"")</f>
        <v>iQ300 Solo Bulaşık Makinesi, Üstten Sepetli, Beyaz</v>
      </c>
      <c r="C140" s="19">
        <v>1</v>
      </c>
      <c r="D140" s="19" t="s">
        <v>1883</v>
      </c>
      <c r="E140" s="20">
        <v>0</v>
      </c>
      <c r="F140" s="20">
        <v>1</v>
      </c>
      <c r="G140" s="20">
        <v>0</v>
      </c>
      <c r="H140" s="20">
        <v>0</v>
      </c>
      <c r="I140" s="21">
        <v>1</v>
      </c>
      <c r="J140" s="21">
        <v>0</v>
      </c>
      <c r="K140" s="20">
        <v>1</v>
      </c>
      <c r="L140" s="20">
        <v>3</v>
      </c>
      <c r="M140" s="21">
        <v>0</v>
      </c>
      <c r="N140" s="22">
        <f t="shared" si="13"/>
        <v>7</v>
      </c>
      <c r="O140" s="23" t="s">
        <v>1883</v>
      </c>
      <c r="P140" s="24" t="s">
        <v>1883</v>
      </c>
      <c r="Q140" s="25" t="s">
        <v>1884</v>
      </c>
      <c r="R140" s="27">
        <v>31000</v>
      </c>
      <c r="S140" s="27">
        <f t="shared" si="14"/>
        <v>32240</v>
      </c>
      <c r="T140" s="27">
        <f t="shared" si="12"/>
        <v>33480</v>
      </c>
      <c r="U140" s="25" t="s">
        <v>1883</v>
      </c>
      <c r="V140" s="26" t="s">
        <v>1883</v>
      </c>
      <c r="W140" s="33"/>
    </row>
    <row r="141" spans="1:25">
      <c r="A141" s="17" t="s">
        <v>159</v>
      </c>
      <c r="B141" s="18" t="str">
        <f>IFERROR(HYPERLINK(VLOOKUP(A141,ÜRÜNLER!A:C,3,FALSE),VLOOKUP(A141,ÜRÜNLER!A:B,2,FALSE)),"")</f>
        <v>iQ500 Solo Bulaşık Makinesi, autoOpen dry, Inox</v>
      </c>
      <c r="C141" s="19">
        <v>8</v>
      </c>
      <c r="D141" s="19" t="s">
        <v>1883</v>
      </c>
      <c r="E141" s="20">
        <v>0</v>
      </c>
      <c r="F141" s="20">
        <v>4</v>
      </c>
      <c r="G141" s="20">
        <v>0</v>
      </c>
      <c r="H141" s="20">
        <v>0</v>
      </c>
      <c r="I141" s="21">
        <v>0</v>
      </c>
      <c r="J141" s="21">
        <v>1</v>
      </c>
      <c r="K141" s="20">
        <v>0</v>
      </c>
      <c r="L141" s="20">
        <v>0</v>
      </c>
      <c r="M141" s="21">
        <v>0</v>
      </c>
      <c r="N141" s="22">
        <f t="shared" si="13"/>
        <v>13</v>
      </c>
      <c r="O141" s="23" t="s">
        <v>1883</v>
      </c>
      <c r="P141" s="24" t="s">
        <v>1883</v>
      </c>
      <c r="Q141" s="25">
        <v>42747.439122601747</v>
      </c>
      <c r="R141" s="32">
        <v>40610.067166471657</v>
      </c>
      <c r="S141" s="27">
        <f t="shared" si="14"/>
        <v>42234.469853130526</v>
      </c>
      <c r="T141" s="27">
        <f t="shared" si="12"/>
        <v>43858.872539789394</v>
      </c>
      <c r="U141" s="25" t="s">
        <v>1883</v>
      </c>
      <c r="V141" s="26" t="s">
        <v>1883</v>
      </c>
      <c r="W141" s="33"/>
      <c r="Y141" s="39"/>
    </row>
    <row r="142" spans="1:25">
      <c r="A142" s="17" t="s">
        <v>160</v>
      </c>
      <c r="B142" s="18" t="str">
        <f>IFERROR(HYPERLINK(VLOOKUP(A142,ÜRÜNLER!A:C,3,FALSE),VLOOKUP(A142,ÜRÜNLER!A:B,2,FALSE)),"")</f>
        <v>iQ500 Solo Bulaşık Makinesi, autoOpen dry, Üstten Sepetli, Inox</v>
      </c>
      <c r="C142" s="19">
        <v>15</v>
      </c>
      <c r="D142" s="19" t="s">
        <v>1883</v>
      </c>
      <c r="E142" s="20">
        <v>0</v>
      </c>
      <c r="F142" s="20">
        <v>0</v>
      </c>
      <c r="G142" s="20">
        <v>0</v>
      </c>
      <c r="H142" s="20">
        <v>0</v>
      </c>
      <c r="I142" s="21">
        <v>1</v>
      </c>
      <c r="J142" s="21">
        <v>0</v>
      </c>
      <c r="K142" s="20">
        <v>0</v>
      </c>
      <c r="L142" s="20">
        <v>0</v>
      </c>
      <c r="M142" s="21">
        <v>0</v>
      </c>
      <c r="N142" s="22">
        <f t="shared" si="13"/>
        <v>16</v>
      </c>
      <c r="O142" s="23" t="s">
        <v>1883</v>
      </c>
      <c r="P142" s="24" t="s">
        <v>1883</v>
      </c>
      <c r="Q142" s="25">
        <v>44507.652723033782</v>
      </c>
      <c r="R142" s="32">
        <v>42282.27008688209</v>
      </c>
      <c r="S142" s="27">
        <f t="shared" si="14"/>
        <v>43973.560890357374</v>
      </c>
      <c r="T142" s="27">
        <f t="shared" si="12"/>
        <v>45664.851693832657</v>
      </c>
      <c r="U142" s="25" t="s">
        <v>1883</v>
      </c>
      <c r="V142" s="26" t="s">
        <v>1883</v>
      </c>
      <c r="W142" s="33"/>
      <c r="Y142" s="39"/>
    </row>
    <row r="143" spans="1:25">
      <c r="A143" s="69" t="s">
        <v>161</v>
      </c>
      <c r="B143" s="18" t="str">
        <f>IFERROR(HYPERLINK(VLOOKUP(A143,ÜRÜNLER!A:C,3,FALSE),VLOOKUP(A143,ÜRÜNLER!A:B,2,FALSE)),"")</f>
        <v>iQ500 Solo Bulaşık Makinesi, autoOpen dry, Üstten Sepetli, Inox</v>
      </c>
      <c r="C143" s="19">
        <v>3</v>
      </c>
      <c r="D143" s="19" t="s">
        <v>1883</v>
      </c>
      <c r="E143" s="20">
        <v>0</v>
      </c>
      <c r="F143" s="20">
        <v>1</v>
      </c>
      <c r="G143" s="20">
        <v>0</v>
      </c>
      <c r="H143" s="20">
        <v>0</v>
      </c>
      <c r="I143" s="21">
        <v>1</v>
      </c>
      <c r="J143" s="21">
        <v>0</v>
      </c>
      <c r="K143" s="20">
        <v>0</v>
      </c>
      <c r="L143" s="20">
        <v>1</v>
      </c>
      <c r="M143" s="21">
        <v>0</v>
      </c>
      <c r="N143" s="22">
        <f t="shared" si="13"/>
        <v>6</v>
      </c>
      <c r="O143" s="23">
        <v>16</v>
      </c>
      <c r="P143" s="24" t="s">
        <v>1883</v>
      </c>
      <c r="Q143" s="25">
        <v>50737.681875795031</v>
      </c>
      <c r="R143" s="32">
        <v>48200.797782005277</v>
      </c>
      <c r="S143" s="27">
        <f t="shared" si="14"/>
        <v>50128.829693285486</v>
      </c>
      <c r="T143" s="27">
        <f t="shared" si="12"/>
        <v>52056.861604565704</v>
      </c>
      <c r="U143" s="25" t="s">
        <v>1883</v>
      </c>
      <c r="V143" s="26" t="s">
        <v>1883</v>
      </c>
      <c r="W143" s="33"/>
    </row>
    <row r="144" spans="1:25">
      <c r="A144" s="69" t="s">
        <v>162</v>
      </c>
      <c r="B144" s="18" t="str">
        <f>IFERROR(HYPERLINK(VLOOKUP(A144,ÜRÜNLER!A:C,3,FALSE),VLOOKUP(A144,ÜRÜNLER!A:B,2,FALSE)),"")</f>
        <v>iQ500 Solo Bulaşık Makinesi, autoOpen dry, glassZone, Inox</v>
      </c>
      <c r="C144" s="19" t="s">
        <v>1883</v>
      </c>
      <c r="D144" s="19" t="s">
        <v>1883</v>
      </c>
      <c r="E144" s="20">
        <v>0</v>
      </c>
      <c r="F144" s="20">
        <v>0</v>
      </c>
      <c r="G144" s="20">
        <v>0</v>
      </c>
      <c r="H144" s="20">
        <v>0</v>
      </c>
      <c r="I144" s="21">
        <v>1</v>
      </c>
      <c r="J144" s="21">
        <v>0</v>
      </c>
      <c r="K144" s="20">
        <v>0</v>
      </c>
      <c r="L144" s="20">
        <v>0</v>
      </c>
      <c r="M144" s="21">
        <v>0</v>
      </c>
      <c r="N144" s="22">
        <f t="shared" si="13"/>
        <v>1</v>
      </c>
      <c r="O144" s="23" t="s">
        <v>1883</v>
      </c>
      <c r="P144" s="24" t="s">
        <v>1883</v>
      </c>
      <c r="Q144" s="25" t="s">
        <v>1884</v>
      </c>
      <c r="R144" s="33">
        <v>49000</v>
      </c>
      <c r="S144" s="27">
        <f t="shared" si="14"/>
        <v>50960</v>
      </c>
      <c r="T144" s="27">
        <f t="shared" si="12"/>
        <v>52920</v>
      </c>
      <c r="U144" s="25" t="s">
        <v>1883</v>
      </c>
      <c r="V144" s="26" t="s">
        <v>1883</v>
      </c>
      <c r="W144" s="28">
        <v>1000</v>
      </c>
    </row>
    <row r="145" spans="1:25">
      <c r="A145" s="37" t="s">
        <v>163</v>
      </c>
      <c r="B145" s="18" t="str">
        <f>IFERROR(HYPERLINK(VLOOKUP(A145,ÜRÜNLER!A:C,3,FALSE),VLOOKUP(A145,ÜRÜNLER!A:B,2,FALSE)),"")</f>
        <v>iQ500 Solo Bulaşık Makinesi, autoOpen dry, glassZone, Üstten Sepetli, Inox</v>
      </c>
      <c r="C145" s="19">
        <v>3</v>
      </c>
      <c r="D145" s="19" t="s">
        <v>1883</v>
      </c>
      <c r="E145" s="20">
        <v>0</v>
      </c>
      <c r="F145" s="20">
        <v>0</v>
      </c>
      <c r="G145" s="20">
        <v>0</v>
      </c>
      <c r="H145" s="20">
        <v>0</v>
      </c>
      <c r="I145" s="21">
        <v>0</v>
      </c>
      <c r="J145" s="21">
        <v>0</v>
      </c>
      <c r="K145" s="20">
        <v>0</v>
      </c>
      <c r="L145" s="20">
        <v>0</v>
      </c>
      <c r="M145" s="21">
        <v>1</v>
      </c>
      <c r="N145" s="22">
        <f t="shared" si="13"/>
        <v>4</v>
      </c>
      <c r="O145" s="23" t="s">
        <v>1883</v>
      </c>
      <c r="P145" s="24" t="s">
        <v>1883</v>
      </c>
      <c r="Q145" s="25">
        <v>60719.56459312301</v>
      </c>
      <c r="R145" s="32">
        <v>57683.586363466857</v>
      </c>
      <c r="S145" s="27">
        <f t="shared" si="14"/>
        <v>59990.929818005534</v>
      </c>
      <c r="T145" s="27">
        <f t="shared" si="12"/>
        <v>62298.273272544211</v>
      </c>
      <c r="U145" s="25" t="s">
        <v>1883</v>
      </c>
      <c r="V145" s="26" t="s">
        <v>1883</v>
      </c>
      <c r="W145" s="33"/>
    </row>
    <row r="146" spans="1:25">
      <c r="A146" s="17" t="s">
        <v>164</v>
      </c>
      <c r="B146" s="18" t="str">
        <f>IFERROR(HYPERLINK(VLOOKUP(A146,ÜRÜNLER!A:C,3,FALSE),VLOOKUP(A146,ÜRÜNLER!A:B,2,FALSE)),"")</f>
        <v>iQ500 Solo Bulaşık Makinesi, autoOpen dry, Beyaz</v>
      </c>
      <c r="C146" s="19">
        <v>4</v>
      </c>
      <c r="D146" s="19" t="s">
        <v>1883</v>
      </c>
      <c r="E146" s="20">
        <v>0</v>
      </c>
      <c r="F146" s="20">
        <v>0</v>
      </c>
      <c r="G146" s="20">
        <v>0</v>
      </c>
      <c r="H146" s="20">
        <v>0</v>
      </c>
      <c r="I146" s="21">
        <v>1</v>
      </c>
      <c r="J146" s="21">
        <v>0</v>
      </c>
      <c r="K146" s="20">
        <v>0</v>
      </c>
      <c r="L146" s="20">
        <v>0</v>
      </c>
      <c r="M146" s="21">
        <v>0</v>
      </c>
      <c r="N146" s="22">
        <f t="shared" si="13"/>
        <v>5</v>
      </c>
      <c r="O146" s="23" t="s">
        <v>1883</v>
      </c>
      <c r="P146" s="24" t="s">
        <v>1883</v>
      </c>
      <c r="Q146" s="25">
        <v>40203.197674418596</v>
      </c>
      <c r="R146" s="32">
        <v>38193.037790697665</v>
      </c>
      <c r="S146" s="27">
        <f t="shared" si="14"/>
        <v>39720.759302325576</v>
      </c>
      <c r="T146" s="27">
        <f t="shared" si="12"/>
        <v>41248.48081395348</v>
      </c>
      <c r="U146" s="25" t="s">
        <v>1883</v>
      </c>
      <c r="V146" s="26" t="s">
        <v>1883</v>
      </c>
      <c r="W146" s="33"/>
      <c r="Y146" s="39"/>
    </row>
    <row r="147" spans="1:25">
      <c r="A147" s="17" t="s">
        <v>165</v>
      </c>
      <c r="B147" s="18" t="str">
        <f>IFERROR(HYPERLINK(VLOOKUP(A147,ÜRÜNLER!A:C,3,FALSE),VLOOKUP(A147,ÜRÜNLER!A:B,2,FALSE)),"")</f>
        <v>iQ500 Solo Bulaşık Makinesi, autoOpen dry, Üstten Sepetli, Beyaz</v>
      </c>
      <c r="C147" s="19" t="s">
        <v>1883</v>
      </c>
      <c r="D147" s="19" t="s">
        <v>1883</v>
      </c>
      <c r="E147" s="20">
        <v>0</v>
      </c>
      <c r="F147" s="20">
        <v>0</v>
      </c>
      <c r="G147" s="20">
        <v>0</v>
      </c>
      <c r="H147" s="20">
        <v>0</v>
      </c>
      <c r="I147" s="21">
        <v>0</v>
      </c>
      <c r="J147" s="21">
        <v>0</v>
      </c>
      <c r="K147" s="20">
        <v>0</v>
      </c>
      <c r="L147" s="20">
        <v>0</v>
      </c>
      <c r="M147" s="21">
        <v>0</v>
      </c>
      <c r="N147" s="22">
        <f t="shared" si="13"/>
        <v>0</v>
      </c>
      <c r="O147" s="23" t="s">
        <v>1883</v>
      </c>
      <c r="P147" s="24" t="s">
        <v>1883</v>
      </c>
      <c r="Q147" s="25" t="s">
        <v>1884</v>
      </c>
      <c r="R147" s="33">
        <v>43000</v>
      </c>
      <c r="S147" s="27">
        <f t="shared" si="14"/>
        <v>44720</v>
      </c>
      <c r="T147" s="27">
        <f t="shared" si="12"/>
        <v>46440</v>
      </c>
      <c r="U147" s="25" t="s">
        <v>1883</v>
      </c>
      <c r="V147" s="26" t="s">
        <v>1883</v>
      </c>
      <c r="W147" s="70">
        <v>1000</v>
      </c>
    </row>
    <row r="148" spans="1:25">
      <c r="A148" s="17" t="s">
        <v>166</v>
      </c>
      <c r="B148" s="18" t="str">
        <f>IFERROR(HYPERLINK(VLOOKUP(A148,ÜRÜNLER!A:C,3,FALSE),VLOOKUP(A148,ÜRÜNLER!A:B,2,FALSE)),"")</f>
        <v>iQ500 Solo Bulaşık Makinesi, Üstten Sepetli, Beyaz</v>
      </c>
      <c r="C148" s="19" t="s">
        <v>1883</v>
      </c>
      <c r="D148" s="19" t="s">
        <v>1883</v>
      </c>
      <c r="E148" s="20">
        <v>0</v>
      </c>
      <c r="F148" s="20">
        <v>0</v>
      </c>
      <c r="G148" s="20">
        <v>0</v>
      </c>
      <c r="H148" s="20">
        <v>0</v>
      </c>
      <c r="I148" s="21">
        <v>0</v>
      </c>
      <c r="J148" s="21">
        <v>1</v>
      </c>
      <c r="K148" s="20">
        <v>0</v>
      </c>
      <c r="L148" s="20">
        <v>0</v>
      </c>
      <c r="M148" s="21">
        <v>0</v>
      </c>
      <c r="N148" s="22">
        <f t="shared" si="13"/>
        <v>1</v>
      </c>
      <c r="O148" s="23" t="s">
        <v>1883</v>
      </c>
      <c r="P148" s="24" t="s">
        <v>1883</v>
      </c>
      <c r="Q148" s="25" t="s">
        <v>1884</v>
      </c>
      <c r="R148" s="26">
        <v>44000</v>
      </c>
      <c r="S148" s="27">
        <f t="shared" si="14"/>
        <v>45760</v>
      </c>
      <c r="T148" s="27">
        <f t="shared" si="12"/>
        <v>47520</v>
      </c>
      <c r="U148" s="25" t="s">
        <v>1883</v>
      </c>
      <c r="V148" s="26" t="s">
        <v>1883</v>
      </c>
      <c r="W148" s="70">
        <v>1000</v>
      </c>
    </row>
    <row r="149" spans="1:25">
      <c r="A149" s="69" t="s">
        <v>167</v>
      </c>
      <c r="B149" s="18" t="str">
        <f>IFERROR(HYPERLINK(VLOOKUP(A149,ÜRÜNLER!A:C,3,FALSE),VLOOKUP(A149,ÜRÜNLER!A:B,2,FALSE)),"")</f>
        <v>iQ700 Solo Bulaşık Makinesi, Zeolith dry, glassZone, Inox</v>
      </c>
      <c r="C149" s="19">
        <v>16</v>
      </c>
      <c r="D149" s="19" t="s">
        <v>1883</v>
      </c>
      <c r="E149" s="20">
        <v>0</v>
      </c>
      <c r="F149" s="20">
        <v>0</v>
      </c>
      <c r="G149" s="20">
        <v>1</v>
      </c>
      <c r="H149" s="20">
        <v>0</v>
      </c>
      <c r="I149" s="21">
        <v>1</v>
      </c>
      <c r="J149" s="21">
        <v>1</v>
      </c>
      <c r="K149" s="20">
        <v>1</v>
      </c>
      <c r="L149" s="20">
        <v>1</v>
      </c>
      <c r="M149" s="21">
        <v>1</v>
      </c>
      <c r="N149" s="22">
        <f t="shared" si="13"/>
        <v>22</v>
      </c>
      <c r="O149" s="23" t="s">
        <v>1883</v>
      </c>
      <c r="P149" s="24" t="s">
        <v>1883</v>
      </c>
      <c r="Q149" s="25">
        <v>66131.510633498096</v>
      </c>
      <c r="R149" s="32">
        <v>62824.93510182319</v>
      </c>
      <c r="S149" s="27">
        <f t="shared" si="14"/>
        <v>65337.932505896119</v>
      </c>
      <c r="T149" s="27">
        <f t="shared" si="12"/>
        <v>67850.929909969054</v>
      </c>
      <c r="U149" s="25" t="s">
        <v>1883</v>
      </c>
      <c r="V149" s="26" t="s">
        <v>1883</v>
      </c>
      <c r="W149" s="26"/>
    </row>
    <row r="150" spans="1:25" s="72" customFormat="1" ht="30">
      <c r="A150" s="71" t="s">
        <v>168</v>
      </c>
      <c r="B150" s="18"/>
      <c r="C150" s="19"/>
      <c r="D150" s="19"/>
      <c r="E150" s="20"/>
      <c r="F150" s="20"/>
      <c r="G150" s="20"/>
      <c r="H150" s="20"/>
      <c r="I150" s="21"/>
      <c r="J150" s="21"/>
      <c r="K150" s="20"/>
      <c r="L150" s="20"/>
      <c r="M150" s="21"/>
      <c r="N150" s="22"/>
      <c r="O150" s="23"/>
      <c r="P150" s="24" t="s">
        <v>1883</v>
      </c>
      <c r="Q150" s="25"/>
      <c r="R150" s="33"/>
      <c r="S150" s="27"/>
      <c r="T150" s="27"/>
      <c r="U150" s="25"/>
      <c r="V150" s="26"/>
      <c r="W150" s="33"/>
      <c r="X150" s="29"/>
    </row>
    <row r="151" spans="1:25">
      <c r="A151" s="51" t="s">
        <v>169</v>
      </c>
      <c r="B151" s="18" t="str">
        <f>IFERROR(HYPERLINK(VLOOKUP(A151,ÜRÜNLER!A:C,3,FALSE),VLOOKUP(A151,ÜRÜNLER!A:B,2,FALSE)),"")</f>
        <v>iQ500 Tezgah Altı Ankastre Kapaklı Bulaşık Makinesi, autoOpen dry, timeLight, 3 Sepetli, Siyah Cam</v>
      </c>
      <c r="C151" s="19">
        <v>17</v>
      </c>
      <c r="D151" s="19" t="s">
        <v>1883</v>
      </c>
      <c r="E151" s="20">
        <v>0</v>
      </c>
      <c r="F151" s="20">
        <v>0</v>
      </c>
      <c r="G151" s="20">
        <v>0</v>
      </c>
      <c r="H151" s="20">
        <v>0</v>
      </c>
      <c r="I151" s="21">
        <v>1</v>
      </c>
      <c r="J151" s="21">
        <v>0</v>
      </c>
      <c r="K151" s="20">
        <v>1</v>
      </c>
      <c r="L151" s="20">
        <v>0</v>
      </c>
      <c r="M151" s="21">
        <v>0</v>
      </c>
      <c r="N151" s="22">
        <f t="shared" si="13"/>
        <v>19</v>
      </c>
      <c r="O151" s="23">
        <v>1</v>
      </c>
      <c r="P151" s="24" t="s">
        <v>1883</v>
      </c>
      <c r="Q151" s="25">
        <v>48386.060445880896</v>
      </c>
      <c r="R151" s="32">
        <v>45966.757423586852</v>
      </c>
      <c r="S151" s="27">
        <f t="shared" si="14"/>
        <v>47805.42772053033</v>
      </c>
      <c r="T151" s="27">
        <f t="shared" ref="T151:T171" si="15">R151*1.08</f>
        <v>49644.098017473807</v>
      </c>
      <c r="U151" s="25" t="s">
        <v>1883</v>
      </c>
      <c r="V151" s="26" t="s">
        <v>1883</v>
      </c>
      <c r="W151" s="33"/>
    </row>
    <row r="152" spans="1:25">
      <c r="A152" s="51" t="s">
        <v>170</v>
      </c>
      <c r="B152" s="18" t="str">
        <f>IFERROR(HYPERLINK(VLOOKUP(A152,ÜRÜNLER!A:C,3,FALSE),VLOOKUP(A152,ÜRÜNLER!A:B,2,FALSE)),"")</f>
        <v>iQ500 Tezgah Altı Ankastre Kapaklı Bulaşık Makinesi, autoOpen dry, timeLight, 3 Sepetli, Antrasit Cam</v>
      </c>
      <c r="C152" s="19">
        <v>11</v>
      </c>
      <c r="D152" s="19" t="s">
        <v>1883</v>
      </c>
      <c r="E152" s="20">
        <v>0</v>
      </c>
      <c r="F152" s="20">
        <v>0</v>
      </c>
      <c r="G152" s="20">
        <v>0</v>
      </c>
      <c r="H152" s="20">
        <v>0</v>
      </c>
      <c r="I152" s="21">
        <v>0</v>
      </c>
      <c r="J152" s="21">
        <v>0</v>
      </c>
      <c r="K152" s="20">
        <v>0</v>
      </c>
      <c r="L152" s="20">
        <v>0</v>
      </c>
      <c r="M152" s="21">
        <v>0</v>
      </c>
      <c r="N152" s="22">
        <f t="shared" si="13"/>
        <v>11</v>
      </c>
      <c r="O152" s="23" t="s">
        <v>1883</v>
      </c>
      <c r="P152" s="24" t="s">
        <v>1883</v>
      </c>
      <c r="Q152" s="25">
        <v>48386.060445880896</v>
      </c>
      <c r="R152" s="32">
        <v>45966.757423586852</v>
      </c>
      <c r="S152" s="27">
        <f t="shared" si="14"/>
        <v>47805.42772053033</v>
      </c>
      <c r="T152" s="27">
        <f t="shared" si="15"/>
        <v>49644.098017473807</v>
      </c>
      <c r="U152" s="25" t="s">
        <v>1883</v>
      </c>
      <c r="V152" s="26" t="s">
        <v>1883</v>
      </c>
      <c r="W152" s="33"/>
    </row>
    <row r="153" spans="1:25">
      <c r="A153" s="51" t="s">
        <v>171</v>
      </c>
      <c r="B153" s="18" t="str">
        <f>IFERROR(HYPERLINK(VLOOKUP(A153,ÜRÜNLER!A:C,3,FALSE),VLOOKUP(A153,ÜRÜNLER!A:B,2,FALSE)),"")</f>
        <v>iQ100 Yarı Ankastre Bulaşık Makinesi, Beyaz</v>
      </c>
      <c r="C153" s="19" t="s">
        <v>1883</v>
      </c>
      <c r="D153" s="19" t="s">
        <v>1883</v>
      </c>
      <c r="E153" s="20">
        <v>0</v>
      </c>
      <c r="F153" s="20">
        <v>0</v>
      </c>
      <c r="G153" s="20">
        <v>0</v>
      </c>
      <c r="H153" s="20">
        <v>0</v>
      </c>
      <c r="I153" s="21">
        <v>1</v>
      </c>
      <c r="J153" s="21">
        <v>0</v>
      </c>
      <c r="K153" s="20">
        <v>0</v>
      </c>
      <c r="L153" s="20">
        <v>0</v>
      </c>
      <c r="M153" s="21">
        <v>0</v>
      </c>
      <c r="N153" s="22">
        <f t="shared" si="13"/>
        <v>1</v>
      </c>
      <c r="O153" s="23" t="s">
        <v>1883</v>
      </c>
      <c r="P153" s="24" t="s">
        <v>1883</v>
      </c>
      <c r="Q153" s="25" t="s">
        <v>1884</v>
      </c>
      <c r="R153" s="26">
        <v>20000</v>
      </c>
      <c r="S153" s="27">
        <f t="shared" si="14"/>
        <v>20800</v>
      </c>
      <c r="T153" s="27">
        <f t="shared" si="15"/>
        <v>21600</v>
      </c>
      <c r="U153" s="25" t="s">
        <v>1883</v>
      </c>
      <c r="V153" s="26" t="s">
        <v>1883</v>
      </c>
      <c r="W153" s="28">
        <v>500</v>
      </c>
    </row>
    <row r="154" spans="1:25">
      <c r="A154" s="51" t="s">
        <v>172</v>
      </c>
      <c r="B154" s="18" t="str">
        <f>IFERROR(HYPERLINK(VLOOKUP(A154,ÜRÜNLER!A:C,3,FALSE),VLOOKUP(A154,ÜRÜNLER!A:B,2,FALSE)),"")</f>
        <v>iQ100 Yarı Ankastre Bulaşık Makinesi, Beyaz</v>
      </c>
      <c r="C154" s="19" t="s">
        <v>1883</v>
      </c>
      <c r="D154" s="19" t="s">
        <v>1883</v>
      </c>
      <c r="E154" s="20">
        <v>0</v>
      </c>
      <c r="F154" s="20">
        <v>0</v>
      </c>
      <c r="G154" s="20">
        <v>1</v>
      </c>
      <c r="H154" s="20">
        <v>0</v>
      </c>
      <c r="I154" s="21">
        <v>0</v>
      </c>
      <c r="J154" s="21">
        <v>0</v>
      </c>
      <c r="K154" s="20">
        <v>0</v>
      </c>
      <c r="L154" s="20">
        <v>1</v>
      </c>
      <c r="M154" s="21">
        <v>0</v>
      </c>
      <c r="N154" s="22">
        <f t="shared" si="13"/>
        <v>2</v>
      </c>
      <c r="O154" s="23" t="s">
        <v>1883</v>
      </c>
      <c r="P154" s="24" t="s">
        <v>1883</v>
      </c>
      <c r="Q154" s="25" t="s">
        <v>1884</v>
      </c>
      <c r="R154" s="26">
        <v>22140</v>
      </c>
      <c r="S154" s="27">
        <f t="shared" si="14"/>
        <v>23025.600000000002</v>
      </c>
      <c r="T154" s="27">
        <f t="shared" si="15"/>
        <v>23911.200000000001</v>
      </c>
      <c r="U154" s="25" t="s">
        <v>1883</v>
      </c>
      <c r="V154" s="26">
        <v>2139.9119999999998</v>
      </c>
      <c r="W154" s="28">
        <v>500</v>
      </c>
    </row>
    <row r="155" spans="1:25">
      <c r="A155" s="51" t="s">
        <v>173</v>
      </c>
      <c r="B155" s="18" t="str">
        <f>IFERROR(HYPERLINK(VLOOKUP(A155,ÜRÜNLER!A:C,3,FALSE),VLOOKUP(A155,ÜRÜNLER!A:B,2,FALSE)),"")</f>
        <v>iQ300 Yarı Ankastre Bulaşık Makinesi, Siyah/Inox</v>
      </c>
      <c r="C155" s="19">
        <v>13</v>
      </c>
      <c r="D155" s="19" t="s">
        <v>1883</v>
      </c>
      <c r="E155" s="20">
        <v>0</v>
      </c>
      <c r="F155" s="20">
        <v>0</v>
      </c>
      <c r="G155" s="20">
        <v>0</v>
      </c>
      <c r="H155" s="20">
        <v>0</v>
      </c>
      <c r="I155" s="21">
        <v>0</v>
      </c>
      <c r="J155" s="21">
        <v>0</v>
      </c>
      <c r="K155" s="20">
        <v>0</v>
      </c>
      <c r="L155" s="20">
        <v>0</v>
      </c>
      <c r="M155" s="21">
        <v>0</v>
      </c>
      <c r="N155" s="22">
        <f t="shared" si="13"/>
        <v>13</v>
      </c>
      <c r="O155" s="23"/>
      <c r="P155" s="24" t="s">
        <v>1883</v>
      </c>
      <c r="Q155" s="25">
        <v>40866.065346093754</v>
      </c>
      <c r="R155" s="33">
        <v>39106.282627840912</v>
      </c>
      <c r="S155" s="27">
        <f t="shared" si="14"/>
        <v>40670.533932954553</v>
      </c>
      <c r="T155" s="27">
        <f t="shared" si="15"/>
        <v>42234.785238068187</v>
      </c>
      <c r="U155" s="25" t="s">
        <v>1883</v>
      </c>
      <c r="V155" s="26" t="s">
        <v>1883</v>
      </c>
      <c r="W155" s="33"/>
    </row>
    <row r="156" spans="1:25">
      <c r="A156" s="51" t="s">
        <v>174</v>
      </c>
      <c r="B156" s="18" t="str">
        <f>IFERROR(HYPERLINK(VLOOKUP(A156,ÜRÜNLER!A:C,3,FALSE),VLOOKUP(A156,ÜRÜNLER!A:B,2,FALSE)),"")</f>
        <v>iQ300 Yarı Ankastre Bulaşık Makinesi, Siyah/Inox</v>
      </c>
      <c r="C156" s="19">
        <v>9</v>
      </c>
      <c r="D156" s="19" t="s">
        <v>1883</v>
      </c>
      <c r="E156" s="20">
        <v>0</v>
      </c>
      <c r="F156" s="20">
        <v>1</v>
      </c>
      <c r="G156" s="20">
        <v>0</v>
      </c>
      <c r="H156" s="20">
        <v>0</v>
      </c>
      <c r="I156" s="21">
        <v>0</v>
      </c>
      <c r="J156" s="21">
        <v>0</v>
      </c>
      <c r="K156" s="20">
        <v>1</v>
      </c>
      <c r="L156" s="20">
        <v>0</v>
      </c>
      <c r="M156" s="21">
        <v>1</v>
      </c>
      <c r="N156" s="22">
        <f t="shared" si="13"/>
        <v>12</v>
      </c>
      <c r="O156" s="23" t="s">
        <v>1883</v>
      </c>
      <c r="P156" s="24" t="s">
        <v>1883</v>
      </c>
      <c r="Q156" s="25">
        <v>38851.93945761324</v>
      </c>
      <c r="R156" s="32">
        <v>36909.34248473258</v>
      </c>
      <c r="S156" s="27">
        <f t="shared" si="14"/>
        <v>38385.716184121884</v>
      </c>
      <c r="T156" s="27">
        <f t="shared" si="15"/>
        <v>39862.089883511188</v>
      </c>
      <c r="U156" s="25" t="s">
        <v>1883</v>
      </c>
      <c r="V156" s="26" t="s">
        <v>1883</v>
      </c>
      <c r="W156" s="33"/>
    </row>
    <row r="157" spans="1:25">
      <c r="A157" s="37" t="s">
        <v>175</v>
      </c>
      <c r="B157" s="18" t="str">
        <f>IFERROR(HYPERLINK(VLOOKUP(A157,ÜRÜNLER!A:C,3,FALSE),VLOOKUP(A157,ÜRÜNLER!A:B,2,FALSE)),"")</f>
        <v>iQ500 Yarı Ankastre Bulaşık Makinesi, Üstten Sepetli, Inox</v>
      </c>
      <c r="C157" s="19">
        <v>4</v>
      </c>
      <c r="D157" s="19" t="s">
        <v>1883</v>
      </c>
      <c r="E157" s="20">
        <v>0</v>
      </c>
      <c r="F157" s="20">
        <v>1</v>
      </c>
      <c r="G157" s="20">
        <v>0</v>
      </c>
      <c r="H157" s="20">
        <v>0</v>
      </c>
      <c r="I157" s="21">
        <v>1</v>
      </c>
      <c r="J157" s="21">
        <v>1</v>
      </c>
      <c r="K157" s="20">
        <v>0</v>
      </c>
      <c r="L157" s="20">
        <v>1</v>
      </c>
      <c r="M157" s="21">
        <v>0</v>
      </c>
      <c r="N157" s="22">
        <f t="shared" si="13"/>
        <v>8</v>
      </c>
      <c r="O157" s="23" t="s">
        <v>1883</v>
      </c>
      <c r="P157" s="24" t="s">
        <v>1883</v>
      </c>
      <c r="Q157" s="25">
        <v>40873.488763542984</v>
      </c>
      <c r="R157" s="32">
        <v>38829.814325365835</v>
      </c>
      <c r="S157" s="27">
        <f t="shared" si="14"/>
        <v>40383.006898380467</v>
      </c>
      <c r="T157" s="27">
        <f t="shared" si="15"/>
        <v>41936.199471395106</v>
      </c>
      <c r="U157" s="25" t="s">
        <v>1883</v>
      </c>
      <c r="V157" s="26" t="s">
        <v>1883</v>
      </c>
      <c r="W157" s="33"/>
    </row>
    <row r="158" spans="1:25">
      <c r="A158" s="51" t="s">
        <v>176</v>
      </c>
      <c r="B158" s="18" t="str">
        <f>IFERROR(HYPERLINK(VLOOKUP(A158,ÜRÜNLER!A:C,3,FALSE),VLOOKUP(A158,ÜRÜNLER!A:B,2,FALSE)),"")</f>
        <v>iQ300 Yarı Ankastre Bulaşık Makinesi, Beyaz/Inox</v>
      </c>
      <c r="C158" s="19">
        <v>1</v>
      </c>
      <c r="D158" s="19" t="s">
        <v>1883</v>
      </c>
      <c r="E158" s="20">
        <v>0</v>
      </c>
      <c r="F158" s="20">
        <v>0</v>
      </c>
      <c r="G158" s="20">
        <v>0</v>
      </c>
      <c r="H158" s="20">
        <v>0</v>
      </c>
      <c r="I158" s="21">
        <v>1</v>
      </c>
      <c r="J158" s="21">
        <v>1</v>
      </c>
      <c r="K158" s="20">
        <v>0</v>
      </c>
      <c r="L158" s="20">
        <v>0</v>
      </c>
      <c r="M158" s="21">
        <v>0</v>
      </c>
      <c r="N158" s="22">
        <f t="shared" si="13"/>
        <v>3</v>
      </c>
      <c r="O158" s="23" t="s">
        <v>1883</v>
      </c>
      <c r="P158" s="24" t="s">
        <v>1883</v>
      </c>
      <c r="Q158" s="25" t="s">
        <v>1884</v>
      </c>
      <c r="R158" s="33">
        <v>27756.046587678491</v>
      </c>
      <c r="S158" s="27">
        <f t="shared" si="14"/>
        <v>28866.288451185632</v>
      </c>
      <c r="T158" s="27">
        <f t="shared" si="15"/>
        <v>29976.530314692773</v>
      </c>
      <c r="U158" s="25" t="s">
        <v>1883</v>
      </c>
      <c r="V158" s="26" t="s">
        <v>1883</v>
      </c>
      <c r="W158" s="33"/>
    </row>
    <row r="159" spans="1:25">
      <c r="A159" s="73" t="s">
        <v>177</v>
      </c>
      <c r="B159" s="18" t="str">
        <f>IFERROR(HYPERLINK(VLOOKUP(A159,ÜRÜNLER!A:C,3,FALSE),VLOOKUP(A159,ÜRÜNLER!A:B,2,FALSE)),"")</f>
        <v>iQ500 Yarı Ankastre Bulaşık Makinesi, autoOpen dry, Siyah/Inox</v>
      </c>
      <c r="C159" s="19">
        <v>11</v>
      </c>
      <c r="D159" s="19" t="s">
        <v>1883</v>
      </c>
      <c r="E159" s="20">
        <v>0</v>
      </c>
      <c r="F159" s="20">
        <v>0</v>
      </c>
      <c r="G159" s="20">
        <v>2</v>
      </c>
      <c r="H159" s="20">
        <v>0</v>
      </c>
      <c r="I159" s="21">
        <v>0</v>
      </c>
      <c r="J159" s="21">
        <v>0</v>
      </c>
      <c r="K159" s="20">
        <v>0</v>
      </c>
      <c r="L159" s="20">
        <v>1</v>
      </c>
      <c r="M159" s="21">
        <v>0</v>
      </c>
      <c r="N159" s="22">
        <f t="shared" si="13"/>
        <v>14</v>
      </c>
      <c r="O159" s="23" t="s">
        <v>1883</v>
      </c>
      <c r="P159" s="24" t="s">
        <v>1883</v>
      </c>
      <c r="Q159" s="25">
        <v>53446.62098950606</v>
      </c>
      <c r="R159" s="32">
        <v>50774.289940030758</v>
      </c>
      <c r="S159" s="27">
        <f t="shared" si="14"/>
        <v>52805.261537631988</v>
      </c>
      <c r="T159" s="27">
        <f t="shared" si="15"/>
        <v>54836.233135233218</v>
      </c>
      <c r="U159" s="25" t="s">
        <v>1883</v>
      </c>
      <c r="V159" s="26" t="s">
        <v>1883</v>
      </c>
      <c r="W159" s="33"/>
    </row>
    <row r="160" spans="1:25">
      <c r="A160" s="51" t="s">
        <v>178</v>
      </c>
      <c r="B160" s="18" t="str">
        <f>IFERROR(HYPERLINK(VLOOKUP(A160,ÜRÜNLER!A:C,3,FALSE),VLOOKUP(A160,ÜRÜNLER!A:B,2,FALSE)),"")</f>
        <v>iQ700 Yarı Ankastre Bulaşık Makinesi, Zeolith dry, Siyah/Inox</v>
      </c>
      <c r="C160" s="19" t="s">
        <v>1883</v>
      </c>
      <c r="D160" s="19" t="s">
        <v>1883</v>
      </c>
      <c r="E160" s="20">
        <v>0</v>
      </c>
      <c r="F160" s="20">
        <v>1</v>
      </c>
      <c r="G160" s="20">
        <v>0</v>
      </c>
      <c r="H160" s="20">
        <v>0</v>
      </c>
      <c r="I160" s="21">
        <v>0</v>
      </c>
      <c r="J160" s="21">
        <v>0</v>
      </c>
      <c r="K160" s="20">
        <v>0</v>
      </c>
      <c r="L160" s="20">
        <v>0</v>
      </c>
      <c r="M160" s="21">
        <v>0</v>
      </c>
      <c r="N160" s="22">
        <f t="shared" si="13"/>
        <v>1</v>
      </c>
      <c r="O160" s="23" t="s">
        <v>1883</v>
      </c>
      <c r="P160" s="24" t="s">
        <v>1883</v>
      </c>
      <c r="Q160" s="25" t="s">
        <v>1884</v>
      </c>
      <c r="R160" s="35">
        <v>50000</v>
      </c>
      <c r="S160" s="27">
        <f t="shared" si="14"/>
        <v>52000</v>
      </c>
      <c r="T160" s="27">
        <f t="shared" si="15"/>
        <v>54000</v>
      </c>
      <c r="U160" s="25" t="s">
        <v>1883</v>
      </c>
      <c r="V160" s="26" t="s">
        <v>1883</v>
      </c>
      <c r="W160" s="28">
        <v>500</v>
      </c>
    </row>
    <row r="161" spans="1:24">
      <c r="A161" s="73" t="s">
        <v>179</v>
      </c>
      <c r="B161" s="18" t="str">
        <f>IFERROR(HYPERLINK(VLOOKUP(A161,ÜRÜNLER!A:C,3,FALSE),VLOOKUP(A161,ÜRÜNLER!A:B,2,FALSE)),"")</f>
        <v>iQ700 Yarı Ankastre Bulaşık Makinesi, Zeolith dry, Siyah/Inox</v>
      </c>
      <c r="C161" s="19">
        <v>2</v>
      </c>
      <c r="D161" s="19" t="s">
        <v>1883</v>
      </c>
      <c r="E161" s="20">
        <v>0</v>
      </c>
      <c r="F161" s="20">
        <v>0</v>
      </c>
      <c r="G161" s="20">
        <v>0</v>
      </c>
      <c r="H161" s="20">
        <v>0</v>
      </c>
      <c r="I161" s="21">
        <v>0</v>
      </c>
      <c r="J161" s="21">
        <v>0</v>
      </c>
      <c r="K161" s="20">
        <v>0</v>
      </c>
      <c r="L161" s="20">
        <v>0</v>
      </c>
      <c r="M161" s="21">
        <v>0</v>
      </c>
      <c r="N161" s="22">
        <f t="shared" si="13"/>
        <v>2</v>
      </c>
      <c r="O161" s="23"/>
      <c r="P161" s="24" t="s">
        <v>1883</v>
      </c>
      <c r="Q161" s="25">
        <v>82910.132627936851</v>
      </c>
      <c r="R161" s="33">
        <v>79339.839835346269</v>
      </c>
      <c r="S161" s="27">
        <f t="shared" si="14"/>
        <v>82513.433428760123</v>
      </c>
      <c r="T161" s="27">
        <f t="shared" si="15"/>
        <v>85687.027022173977</v>
      </c>
      <c r="U161" s="25" t="s">
        <v>1883</v>
      </c>
      <c r="V161" s="26" t="s">
        <v>1883</v>
      </c>
      <c r="W161" s="33"/>
    </row>
    <row r="162" spans="1:24">
      <c r="A162" s="51" t="s">
        <v>180</v>
      </c>
      <c r="B162" s="18" t="str">
        <f>IFERROR(HYPERLINK(VLOOKUP(A162,ÜRÜNLER!A:C,3,FALSE),VLOOKUP(A162,ÜRÜNLER!A:B,2,FALSE)),"")</f>
        <v>iQ100 Tam Ankastre Bulaşık Makinesi</v>
      </c>
      <c r="C162" s="19">
        <v>11</v>
      </c>
      <c r="D162" s="19" t="s">
        <v>1883</v>
      </c>
      <c r="E162" s="20">
        <v>0</v>
      </c>
      <c r="F162" s="20">
        <v>1</v>
      </c>
      <c r="G162" s="20">
        <v>0</v>
      </c>
      <c r="H162" s="20">
        <v>0</v>
      </c>
      <c r="I162" s="21">
        <v>1</v>
      </c>
      <c r="J162" s="21">
        <v>1</v>
      </c>
      <c r="K162" s="20">
        <v>0</v>
      </c>
      <c r="L162" s="20">
        <v>0</v>
      </c>
      <c r="M162" s="21">
        <v>0</v>
      </c>
      <c r="N162" s="22">
        <f t="shared" si="13"/>
        <v>14</v>
      </c>
      <c r="O162" s="23"/>
      <c r="P162" s="24" t="s">
        <v>1883</v>
      </c>
      <c r="Q162" s="25">
        <v>40326.096419789028</v>
      </c>
      <c r="R162" s="33">
        <v>38589.565951951226</v>
      </c>
      <c r="S162" s="27">
        <f t="shared" si="14"/>
        <v>40133.148590029276</v>
      </c>
      <c r="T162" s="27">
        <f t="shared" si="15"/>
        <v>41676.731228107325</v>
      </c>
      <c r="U162" s="25" t="s">
        <v>1883</v>
      </c>
      <c r="V162" s="26" t="s">
        <v>1883</v>
      </c>
      <c r="W162" s="33"/>
    </row>
    <row r="163" spans="1:24">
      <c r="A163" s="42" t="s">
        <v>181</v>
      </c>
      <c r="B163" s="18" t="str">
        <f>IFERROR(HYPERLINK(VLOOKUP(A163,ÜRÜNLER!A:C,3,FALSE),VLOOKUP(A163,ÜRÜNLER!A:B,2,FALSE)),"")</f>
        <v>iQ500 Tam Ankastre Bulaşık Makinesi, Üstten Sepetli</v>
      </c>
      <c r="C163" s="19" t="s">
        <v>1883</v>
      </c>
      <c r="D163" s="19" t="s">
        <v>1883</v>
      </c>
      <c r="E163" s="20">
        <v>0</v>
      </c>
      <c r="F163" s="20">
        <v>0</v>
      </c>
      <c r="G163" s="20">
        <v>0</v>
      </c>
      <c r="H163" s="20">
        <v>0</v>
      </c>
      <c r="I163" s="21">
        <v>0</v>
      </c>
      <c r="J163" s="21">
        <v>0</v>
      </c>
      <c r="K163" s="20">
        <v>0</v>
      </c>
      <c r="L163" s="20">
        <v>0</v>
      </c>
      <c r="M163" s="21">
        <v>1</v>
      </c>
      <c r="N163" s="22">
        <f t="shared" si="13"/>
        <v>1</v>
      </c>
      <c r="O163" s="23" t="s">
        <v>1883</v>
      </c>
      <c r="P163" s="24" t="s">
        <v>1883</v>
      </c>
      <c r="Q163" s="25" t="s">
        <v>1884</v>
      </c>
      <c r="R163" s="26">
        <v>42000</v>
      </c>
      <c r="S163" s="27">
        <f t="shared" si="14"/>
        <v>43680</v>
      </c>
      <c r="T163" s="27">
        <f t="shared" si="15"/>
        <v>45360</v>
      </c>
      <c r="U163" s="25" t="s">
        <v>1883</v>
      </c>
      <c r="V163" s="26" t="s">
        <v>1883</v>
      </c>
      <c r="W163" s="28">
        <v>500</v>
      </c>
    </row>
    <row r="164" spans="1:24">
      <c r="A164" s="38" t="s">
        <v>182</v>
      </c>
      <c r="B164" s="18" t="str">
        <f>IFERROR(HYPERLINK(VLOOKUP(A164,ÜRÜNLER!A:C,3,FALSE),VLOOKUP(A164,ÜRÜNLER!A:B,2,FALSE)),"")</f>
        <v>iQ500 Tam Ankastre Bulaşık Makinesi, Üstten Sepetli</v>
      </c>
      <c r="C164" s="19" t="s">
        <v>1883</v>
      </c>
      <c r="D164" s="19" t="s">
        <v>1883</v>
      </c>
      <c r="E164" s="20">
        <v>0</v>
      </c>
      <c r="F164" s="20">
        <v>0</v>
      </c>
      <c r="G164" s="20">
        <v>0</v>
      </c>
      <c r="H164" s="20">
        <v>0</v>
      </c>
      <c r="I164" s="21">
        <v>0</v>
      </c>
      <c r="J164" s="21">
        <v>0</v>
      </c>
      <c r="K164" s="20">
        <v>0</v>
      </c>
      <c r="L164" s="20">
        <v>0</v>
      </c>
      <c r="M164" s="21">
        <v>0</v>
      </c>
      <c r="N164" s="22">
        <f t="shared" si="13"/>
        <v>0</v>
      </c>
      <c r="O164" s="23" t="s">
        <v>1883</v>
      </c>
      <c r="P164" s="24" t="s">
        <v>1883</v>
      </c>
      <c r="Q164" s="25">
        <v>58197.704147916673</v>
      </c>
      <c r="R164" s="33">
        <v>55691.582916666674</v>
      </c>
      <c r="S164" s="27">
        <f t="shared" si="14"/>
        <v>57919.246233333346</v>
      </c>
      <c r="T164" s="27">
        <f t="shared" si="15"/>
        <v>60146.909550000011</v>
      </c>
      <c r="U164" s="25" t="s">
        <v>1883</v>
      </c>
      <c r="V164" s="26" t="s">
        <v>1883</v>
      </c>
      <c r="W164" s="33"/>
    </row>
    <row r="165" spans="1:24">
      <c r="A165" s="69" t="s">
        <v>183</v>
      </c>
      <c r="B165" s="18" t="str">
        <f>IFERROR(HYPERLINK(VLOOKUP(A165,ÜRÜNLER!A:C,3,FALSE),VLOOKUP(A165,ÜRÜNLER!A:B,2,FALSE)),"")</f>
        <v>iQ500 Tam Ankastre Bulaşık Makinesi, autoOpen dry, glassZone, Üstten Sepetli</v>
      </c>
      <c r="C165" s="19">
        <v>10</v>
      </c>
      <c r="D165" s="19" t="s">
        <v>1883</v>
      </c>
      <c r="E165" s="20">
        <v>0</v>
      </c>
      <c r="F165" s="20">
        <v>0</v>
      </c>
      <c r="G165" s="20">
        <v>0</v>
      </c>
      <c r="H165" s="20">
        <v>0</v>
      </c>
      <c r="I165" s="21">
        <v>0</v>
      </c>
      <c r="J165" s="21">
        <v>1</v>
      </c>
      <c r="K165" s="20">
        <v>0</v>
      </c>
      <c r="L165" s="20">
        <v>0</v>
      </c>
      <c r="M165" s="21">
        <v>0</v>
      </c>
      <c r="N165" s="22">
        <f t="shared" si="13"/>
        <v>11</v>
      </c>
      <c r="O165" s="23"/>
      <c r="P165" s="24" t="s">
        <v>1883</v>
      </c>
      <c r="Q165" s="25">
        <v>66494.110352941774</v>
      </c>
      <c r="R165" s="33">
        <v>63630.727610470603</v>
      </c>
      <c r="S165" s="27">
        <f t="shared" si="14"/>
        <v>66175.956714889428</v>
      </c>
      <c r="T165" s="27">
        <f t="shared" si="15"/>
        <v>68721.185819308259</v>
      </c>
      <c r="U165" s="25" t="s">
        <v>1883</v>
      </c>
      <c r="V165" s="26" t="s">
        <v>1883</v>
      </c>
      <c r="W165" s="33"/>
    </row>
    <row r="166" spans="1:24">
      <c r="A166" s="37" t="s">
        <v>184</v>
      </c>
      <c r="B166" s="18" t="str">
        <f>IFERROR(HYPERLINK(VLOOKUP(A166,ÜRÜNLER!A:C,3,FALSE),VLOOKUP(A166,ÜRÜNLER!A:B,2,FALSE)),"")</f>
        <v>iQ500 studioLine Tam Ankastre Bulaşık Makinesi, autoOpen dry, glassZone</v>
      </c>
      <c r="C166" s="19" t="s">
        <v>1883</v>
      </c>
      <c r="D166" s="19">
        <v>2</v>
      </c>
      <c r="E166" s="20">
        <v>0</v>
      </c>
      <c r="F166" s="20">
        <v>0</v>
      </c>
      <c r="G166" s="20">
        <v>0</v>
      </c>
      <c r="H166" s="20">
        <v>1</v>
      </c>
      <c r="I166" s="21">
        <v>0</v>
      </c>
      <c r="J166" s="21">
        <v>0</v>
      </c>
      <c r="K166" s="20">
        <v>0</v>
      </c>
      <c r="L166" s="20">
        <v>0</v>
      </c>
      <c r="M166" s="21">
        <v>0</v>
      </c>
      <c r="N166" s="22">
        <f t="shared" si="13"/>
        <v>3</v>
      </c>
      <c r="O166" s="23" t="s">
        <v>1883</v>
      </c>
      <c r="P166" s="24" t="s">
        <v>1883</v>
      </c>
      <c r="Q166" s="25" t="s">
        <v>1884</v>
      </c>
      <c r="R166" s="49">
        <v>80000</v>
      </c>
      <c r="S166" s="27">
        <f t="shared" si="14"/>
        <v>83200</v>
      </c>
      <c r="T166" s="27">
        <f t="shared" si="15"/>
        <v>86400</v>
      </c>
      <c r="U166" s="25" t="s">
        <v>1883</v>
      </c>
      <c r="V166" s="26" t="s">
        <v>1883</v>
      </c>
      <c r="W166" s="28">
        <v>500</v>
      </c>
    </row>
    <row r="167" spans="1:24">
      <c r="A167" s="37" t="s">
        <v>185</v>
      </c>
      <c r="B167" s="18" t="str">
        <f>IFERROR(HYPERLINK(VLOOKUP(A167,ÜRÜNLER!A:C,3,FALSE),VLOOKUP(A167,ÜRÜNLER!A:B,2,FALSE)),"")</f>
        <v>iQ500 studioLine Tam Ankastre Bulaşık Makinesi, autoOpen dry, glassZone</v>
      </c>
      <c r="C167" s="19" t="s">
        <v>1883</v>
      </c>
      <c r="D167" s="19">
        <v>11</v>
      </c>
      <c r="E167" s="20">
        <v>0</v>
      </c>
      <c r="F167" s="20">
        <v>0</v>
      </c>
      <c r="G167" s="20">
        <v>0</v>
      </c>
      <c r="H167" s="20">
        <v>0</v>
      </c>
      <c r="I167" s="21">
        <v>0</v>
      </c>
      <c r="J167" s="21">
        <v>0</v>
      </c>
      <c r="K167" s="20">
        <v>0</v>
      </c>
      <c r="L167" s="20">
        <v>0</v>
      </c>
      <c r="M167" s="21">
        <v>0</v>
      </c>
      <c r="N167" s="22">
        <f t="shared" si="13"/>
        <v>11</v>
      </c>
      <c r="O167" s="23" t="s">
        <v>1883</v>
      </c>
      <c r="P167" s="24" t="s">
        <v>1883</v>
      </c>
      <c r="Q167" s="25">
        <v>108475.86711123305</v>
      </c>
      <c r="R167" s="74">
        <v>93424.191770439953</v>
      </c>
      <c r="S167" s="27">
        <f t="shared" si="14"/>
        <v>97161.15944125755</v>
      </c>
      <c r="T167" s="27">
        <f t="shared" si="15"/>
        <v>100898.12711207516</v>
      </c>
      <c r="U167" s="25" t="s">
        <v>1883</v>
      </c>
      <c r="V167" s="26" t="s">
        <v>1883</v>
      </c>
      <c r="W167" s="28">
        <v>500</v>
      </c>
    </row>
    <row r="168" spans="1:24">
      <c r="A168" s="37" t="s">
        <v>186</v>
      </c>
      <c r="B168" s="18" t="str">
        <f>IFERROR(HYPERLINK(VLOOKUP(A168,ÜRÜNLER!A:C,3,FALSE),VLOOKUP(A168,ÜRÜNLER!A:B,2,FALSE)),"")</f>
        <v>iQ700 studioLine Tam Ankastre Bulaşık Makinesi, Zeolith dry, glassZone</v>
      </c>
      <c r="C168" s="19" t="s">
        <v>1883</v>
      </c>
      <c r="D168" s="19">
        <v>2</v>
      </c>
      <c r="E168" s="20">
        <v>0</v>
      </c>
      <c r="F168" s="20">
        <v>0</v>
      </c>
      <c r="G168" s="20">
        <v>0</v>
      </c>
      <c r="H168" s="20">
        <v>0</v>
      </c>
      <c r="I168" s="21">
        <v>0</v>
      </c>
      <c r="J168" s="21">
        <v>0</v>
      </c>
      <c r="K168" s="20">
        <v>0</v>
      </c>
      <c r="L168" s="20">
        <v>0</v>
      </c>
      <c r="M168" s="21">
        <v>0</v>
      </c>
      <c r="N168" s="22">
        <f t="shared" si="13"/>
        <v>2</v>
      </c>
      <c r="O168" s="23" t="s">
        <v>1883</v>
      </c>
      <c r="P168" s="24" t="s">
        <v>1883</v>
      </c>
      <c r="Q168" s="25">
        <v>126852.80414971727</v>
      </c>
      <c r="R168" s="74">
        <v>109251.21888492398</v>
      </c>
      <c r="S168" s="27">
        <f t="shared" si="14"/>
        <v>113621.26764032093</v>
      </c>
      <c r="T168" s="27">
        <f t="shared" si="15"/>
        <v>117991.31639571791</v>
      </c>
      <c r="U168" s="25" t="s">
        <v>1883</v>
      </c>
      <c r="V168" s="26" t="s">
        <v>1883</v>
      </c>
      <c r="W168" s="28">
        <v>500</v>
      </c>
    </row>
    <row r="169" spans="1:24">
      <c r="A169" s="37" t="s">
        <v>187</v>
      </c>
      <c r="B169" s="18" t="str">
        <f>IFERROR(HYPERLINK(VLOOKUP(A169,ÜRÜNLER!A:C,3,FALSE),VLOOKUP(A169,ÜRÜNLER!A:B,2,FALSE)),"")</f>
        <v>iQ500 Tam Ankastre Bulaşık Makinesi, autoOpen dry, glassZone, XXL 86,5 - 92,5cm</v>
      </c>
      <c r="C169" s="19" t="s">
        <v>1883</v>
      </c>
      <c r="D169" s="19" t="s">
        <v>1883</v>
      </c>
      <c r="E169" s="20">
        <v>0</v>
      </c>
      <c r="F169" s="20">
        <v>0</v>
      </c>
      <c r="G169" s="20">
        <v>0</v>
      </c>
      <c r="H169" s="20">
        <v>0</v>
      </c>
      <c r="I169" s="21">
        <v>0</v>
      </c>
      <c r="J169" s="21">
        <v>0</v>
      </c>
      <c r="K169" s="20">
        <v>0</v>
      </c>
      <c r="L169" s="20">
        <v>1</v>
      </c>
      <c r="M169" s="21">
        <v>0</v>
      </c>
      <c r="N169" s="22">
        <f t="shared" si="13"/>
        <v>1</v>
      </c>
      <c r="O169" s="23" t="s">
        <v>1883</v>
      </c>
      <c r="P169" s="24" t="s">
        <v>1883</v>
      </c>
      <c r="Q169" s="25" t="s">
        <v>1884</v>
      </c>
      <c r="R169" s="33">
        <v>50000</v>
      </c>
      <c r="S169" s="27">
        <f t="shared" si="14"/>
        <v>52000</v>
      </c>
      <c r="T169" s="27">
        <f t="shared" si="15"/>
        <v>54000</v>
      </c>
      <c r="U169" s="25" t="s">
        <v>1883</v>
      </c>
      <c r="V169" s="26" t="s">
        <v>1883</v>
      </c>
      <c r="W169" s="28">
        <v>500</v>
      </c>
    </row>
    <row r="170" spans="1:24">
      <c r="A170" s="37" t="s">
        <v>188</v>
      </c>
      <c r="B170" s="18" t="str">
        <f>IFERROR(HYPERLINK(VLOOKUP(A170,ÜRÜNLER!A:C,3,FALSE),VLOOKUP(A170,ÜRÜNLER!A:B,2,FALSE)),"")</f>
        <v>iQ500 Tam Ankastre Bulaşık Makinesi, autoOpen dry, glassZone, XXL 86,5 - 92,5cm</v>
      </c>
      <c r="C170" s="19">
        <v>2</v>
      </c>
      <c r="D170" s="19" t="s">
        <v>1883</v>
      </c>
      <c r="E170" s="20">
        <v>0</v>
      </c>
      <c r="F170" s="20">
        <v>0</v>
      </c>
      <c r="G170" s="20">
        <v>0</v>
      </c>
      <c r="H170" s="20">
        <v>0</v>
      </c>
      <c r="I170" s="21">
        <v>0</v>
      </c>
      <c r="J170" s="21">
        <v>0</v>
      </c>
      <c r="K170" s="20">
        <v>0</v>
      </c>
      <c r="L170" s="20">
        <v>0</v>
      </c>
      <c r="M170" s="21">
        <v>0</v>
      </c>
      <c r="N170" s="22">
        <f t="shared" si="13"/>
        <v>2</v>
      </c>
      <c r="O170" s="23">
        <v>1</v>
      </c>
      <c r="P170" s="24" t="s">
        <v>1883</v>
      </c>
      <c r="Q170" s="25">
        <v>68077.554796971192</v>
      </c>
      <c r="R170" s="33">
        <v>65145.985451647073</v>
      </c>
      <c r="S170" s="27">
        <f t="shared" si="14"/>
        <v>67751.82486971296</v>
      </c>
      <c r="T170" s="27">
        <f t="shared" si="15"/>
        <v>70357.66428777884</v>
      </c>
      <c r="U170" s="25" t="s">
        <v>1883</v>
      </c>
      <c r="V170" s="26" t="s">
        <v>1883</v>
      </c>
      <c r="W170" s="26"/>
    </row>
    <row r="171" spans="1:24">
      <c r="A171" s="37" t="s">
        <v>189</v>
      </c>
      <c r="B171" s="18" t="str">
        <f>IFERROR(HYPERLINK(VLOOKUP(A171,ÜRÜNLER!A:C,3,FALSE),VLOOKUP(A171,ÜRÜNLER!A:B,2,FALSE)),"")</f>
        <v>Siemens Bulaşık Makinesi 3. Tepsi</v>
      </c>
      <c r="C171" s="19" t="s">
        <v>1883</v>
      </c>
      <c r="D171" s="19">
        <v>23</v>
      </c>
      <c r="E171" s="20">
        <v>0</v>
      </c>
      <c r="F171" s="20">
        <v>0</v>
      </c>
      <c r="G171" s="20">
        <v>0</v>
      </c>
      <c r="H171" s="20">
        <v>0</v>
      </c>
      <c r="I171" s="21">
        <v>0</v>
      </c>
      <c r="J171" s="21">
        <v>0</v>
      </c>
      <c r="K171" s="20">
        <v>0</v>
      </c>
      <c r="L171" s="20">
        <v>0</v>
      </c>
      <c r="M171" s="21">
        <v>0</v>
      </c>
      <c r="N171" s="22">
        <f t="shared" si="13"/>
        <v>23</v>
      </c>
      <c r="O171" s="23" t="s">
        <v>1883</v>
      </c>
      <c r="P171" s="24" t="s">
        <v>1883</v>
      </c>
      <c r="Q171" s="25" t="s">
        <v>1884</v>
      </c>
      <c r="R171" s="74">
        <v>1250</v>
      </c>
      <c r="S171" s="27">
        <f t="shared" si="14"/>
        <v>1300</v>
      </c>
      <c r="T171" s="27">
        <f t="shared" si="15"/>
        <v>1350</v>
      </c>
      <c r="U171" s="25" t="s">
        <v>1883</v>
      </c>
      <c r="V171" s="26" t="s">
        <v>1883</v>
      </c>
      <c r="W171" s="33"/>
    </row>
    <row r="172" spans="1:24" s="72" customFormat="1" ht="30">
      <c r="A172" s="71" t="s">
        <v>190</v>
      </c>
      <c r="B172" s="18"/>
      <c r="C172" s="19"/>
      <c r="D172" s="19"/>
      <c r="E172" s="20"/>
      <c r="F172" s="20"/>
      <c r="G172" s="20"/>
      <c r="H172" s="20"/>
      <c r="I172" s="21"/>
      <c r="J172" s="21"/>
      <c r="K172" s="20"/>
      <c r="L172" s="20"/>
      <c r="M172" s="21"/>
      <c r="N172" s="22"/>
      <c r="O172" s="23"/>
      <c r="P172" s="24" t="s">
        <v>1883</v>
      </c>
      <c r="Q172" s="25"/>
      <c r="R172" s="33"/>
      <c r="S172" s="27"/>
      <c r="T172" s="27"/>
      <c r="U172" s="25"/>
      <c r="V172" s="26"/>
      <c r="W172" s="33"/>
      <c r="X172" s="29"/>
    </row>
    <row r="173" spans="1:24">
      <c r="A173" s="75" t="s">
        <v>191</v>
      </c>
      <c r="B173" s="18" t="str">
        <f>IFERROR(HYPERLINK(VLOOKUP(A173,ÜRÜNLER!A:C,3,FALSE),VLOOKUP(A173,ÜRÜNLER!A:B,2,FALSE)),"")</f>
        <v>iQ700 Buhar Destekli Kompakt Ankastre Fırın, Siyah/Inox</v>
      </c>
      <c r="C173" s="19" t="s">
        <v>1883</v>
      </c>
      <c r="D173" s="19" t="s">
        <v>1883</v>
      </c>
      <c r="E173" s="20">
        <v>0</v>
      </c>
      <c r="F173" s="20">
        <v>1</v>
      </c>
      <c r="G173" s="20">
        <v>0</v>
      </c>
      <c r="H173" s="20">
        <v>0</v>
      </c>
      <c r="I173" s="21">
        <v>0</v>
      </c>
      <c r="J173" s="21">
        <v>0</v>
      </c>
      <c r="K173" s="20">
        <v>0</v>
      </c>
      <c r="L173" s="20">
        <v>0</v>
      </c>
      <c r="M173" s="21">
        <v>0</v>
      </c>
      <c r="N173" s="22">
        <f t="shared" si="13"/>
        <v>1</v>
      </c>
      <c r="O173" s="23" t="s">
        <v>1883</v>
      </c>
      <c r="P173" s="24" t="s">
        <v>1883</v>
      </c>
      <c r="Q173" s="25" t="s">
        <v>1884</v>
      </c>
      <c r="R173" s="26">
        <v>70000</v>
      </c>
      <c r="S173" s="27">
        <f t="shared" si="14"/>
        <v>72800</v>
      </c>
      <c r="T173" s="27">
        <f t="shared" ref="T173:T211" si="16">R173*1.08</f>
        <v>75600</v>
      </c>
      <c r="U173" s="25" t="s">
        <v>1883</v>
      </c>
      <c r="V173" s="26" t="s">
        <v>1883</v>
      </c>
      <c r="W173" s="28">
        <v>1000</v>
      </c>
    </row>
    <row r="174" spans="1:24">
      <c r="A174" s="75" t="s">
        <v>192</v>
      </c>
      <c r="B174" s="18" t="str">
        <f>IFERROR(HYPERLINK(VLOOKUP(A174,ÜRÜNLER!A:C,3,FALSE),VLOOKUP(A174,ÜRÜNLER!A:B,2,FALSE)),"")</f>
        <v>iQ700 Buhar Destekli Kompakt Ankastre Fırın, Siyah</v>
      </c>
      <c r="C174" s="19">
        <v>3</v>
      </c>
      <c r="D174" s="19" t="s">
        <v>1883</v>
      </c>
      <c r="E174" s="20">
        <v>0</v>
      </c>
      <c r="F174" s="20">
        <v>0</v>
      </c>
      <c r="G174" s="20">
        <v>0</v>
      </c>
      <c r="H174" s="20">
        <v>0</v>
      </c>
      <c r="I174" s="21">
        <v>0</v>
      </c>
      <c r="J174" s="21">
        <v>0</v>
      </c>
      <c r="K174" s="20">
        <v>0</v>
      </c>
      <c r="L174" s="20">
        <v>0</v>
      </c>
      <c r="M174" s="21">
        <v>0</v>
      </c>
      <c r="N174" s="22">
        <f t="shared" si="13"/>
        <v>3</v>
      </c>
      <c r="O174" s="23" t="s">
        <v>1883</v>
      </c>
      <c r="P174" s="24" t="s">
        <v>1883</v>
      </c>
      <c r="Q174" s="25">
        <v>90948.684988916168</v>
      </c>
      <c r="R174" s="32">
        <v>86401.250739470357</v>
      </c>
      <c r="S174" s="27">
        <f t="shared" si="14"/>
        <v>89857.30076904918</v>
      </c>
      <c r="T174" s="27">
        <f t="shared" si="16"/>
        <v>93313.350798627987</v>
      </c>
      <c r="U174" s="25" t="s">
        <v>1883</v>
      </c>
      <c r="V174" s="26" t="s">
        <v>1883</v>
      </c>
      <c r="W174" s="33">
        <v>250</v>
      </c>
    </row>
    <row r="175" spans="1:24">
      <c r="A175" s="51" t="s">
        <v>193</v>
      </c>
      <c r="B175" s="18" t="str">
        <f>IFERROR(HYPERLINK(VLOOKUP(A175,ÜRÜNLER!A:C,3,FALSE),VLOOKUP(A175,ÜRÜNLER!A:B,2,FALSE)),"")</f>
        <v>iQ700 studioLine Mikrodalga Fonksiyonlu Kompakt Ankastre Fırın, Komple Kendini Temizler, Siyah</v>
      </c>
      <c r="C175" s="19" t="s">
        <v>1883</v>
      </c>
      <c r="D175" s="19">
        <v>2</v>
      </c>
      <c r="E175" s="20">
        <v>0</v>
      </c>
      <c r="F175" s="20">
        <v>0</v>
      </c>
      <c r="G175" s="20">
        <v>0</v>
      </c>
      <c r="H175" s="20">
        <v>0</v>
      </c>
      <c r="I175" s="21">
        <v>0</v>
      </c>
      <c r="J175" s="21">
        <v>0</v>
      </c>
      <c r="K175" s="20">
        <v>0</v>
      </c>
      <c r="L175" s="20">
        <v>0</v>
      </c>
      <c r="M175" s="21">
        <v>0</v>
      </c>
      <c r="N175" s="22">
        <f t="shared" si="13"/>
        <v>2</v>
      </c>
      <c r="O175" s="23" t="s">
        <v>1883</v>
      </c>
      <c r="P175" s="24" t="s">
        <v>1883</v>
      </c>
      <c r="Q175" s="25">
        <v>198782.04284845298</v>
      </c>
      <c r="R175" s="74">
        <v>171199.84551541405</v>
      </c>
      <c r="S175" s="27">
        <f t="shared" si="14"/>
        <v>178047.83933603062</v>
      </c>
      <c r="T175" s="27">
        <f t="shared" si="16"/>
        <v>184895.83315664719</v>
      </c>
      <c r="U175" s="25" t="s">
        <v>1883</v>
      </c>
      <c r="V175" s="26" t="s">
        <v>1883</v>
      </c>
      <c r="W175" s="33">
        <v>250</v>
      </c>
    </row>
    <row r="176" spans="1:24">
      <c r="A176" s="51" t="s">
        <v>194</v>
      </c>
      <c r="B176" s="18" t="str">
        <f>IFERROR(HYPERLINK(VLOOKUP(A176,ÜRÜNLER!A:C,3,FALSE),VLOOKUP(A176,ÜRÜNLER!A:B,2,FALSE)),"")</f>
        <v>iQ700 studioLine Mikrodalga Fonksiyonlu Kompakt Ankastre Fırın, Arkası Kendini Temizler, Siyah</v>
      </c>
      <c r="C176" s="19" t="s">
        <v>1883</v>
      </c>
      <c r="D176" s="19">
        <v>3</v>
      </c>
      <c r="E176" s="20">
        <v>0</v>
      </c>
      <c r="F176" s="20">
        <v>0</v>
      </c>
      <c r="G176" s="20">
        <v>0</v>
      </c>
      <c r="H176" s="20">
        <v>1</v>
      </c>
      <c r="I176" s="21">
        <v>0</v>
      </c>
      <c r="J176" s="21">
        <v>0</v>
      </c>
      <c r="K176" s="20">
        <v>0</v>
      </c>
      <c r="L176" s="20">
        <v>0</v>
      </c>
      <c r="M176" s="21">
        <v>0</v>
      </c>
      <c r="N176" s="22">
        <f t="shared" si="13"/>
        <v>4</v>
      </c>
      <c r="O176" s="23" t="s">
        <v>1883</v>
      </c>
      <c r="P176" s="24" t="s">
        <v>1883</v>
      </c>
      <c r="Q176" s="25" t="s">
        <v>1884</v>
      </c>
      <c r="R176" s="26">
        <v>120000</v>
      </c>
      <c r="S176" s="27">
        <f t="shared" si="14"/>
        <v>124800</v>
      </c>
      <c r="T176" s="27">
        <f t="shared" si="16"/>
        <v>129600.00000000001</v>
      </c>
      <c r="U176" s="25" t="s">
        <v>1883</v>
      </c>
      <c r="V176" s="26" t="s">
        <v>1883</v>
      </c>
      <c r="W176" s="33">
        <v>250</v>
      </c>
    </row>
    <row r="177" spans="1:23">
      <c r="A177" s="73" t="s">
        <v>195</v>
      </c>
      <c r="B177" s="18" t="str">
        <f>IFERROR(HYPERLINK(VLOOKUP(A177,ÜRÜNLER!A:C,3,FALSE),VLOOKUP(A177,ÜRÜNLER!A:B,2,FALSE)),"")</f>
        <v>iQ100 Ankastre Fırın, Siyah</v>
      </c>
      <c r="C177" s="19">
        <v>23</v>
      </c>
      <c r="D177" s="19" t="s">
        <v>1883</v>
      </c>
      <c r="E177" s="20">
        <v>0</v>
      </c>
      <c r="F177" s="20">
        <v>0</v>
      </c>
      <c r="G177" s="20">
        <v>0</v>
      </c>
      <c r="H177" s="20">
        <v>0</v>
      </c>
      <c r="I177" s="21">
        <v>0</v>
      </c>
      <c r="J177" s="21">
        <v>1</v>
      </c>
      <c r="K177" s="20">
        <v>0</v>
      </c>
      <c r="L177" s="20">
        <v>0</v>
      </c>
      <c r="M177" s="21">
        <v>0</v>
      </c>
      <c r="N177" s="22">
        <f t="shared" si="13"/>
        <v>24</v>
      </c>
      <c r="O177" s="23"/>
      <c r="P177" s="24" t="s">
        <v>1883</v>
      </c>
      <c r="Q177" s="25">
        <v>24822.570824200731</v>
      </c>
      <c r="R177" s="76">
        <v>22340.313741780657</v>
      </c>
      <c r="S177" s="27">
        <f t="shared" si="14"/>
        <v>23233.926291451884</v>
      </c>
      <c r="T177" s="27">
        <f t="shared" si="16"/>
        <v>24127.538841123111</v>
      </c>
      <c r="U177" s="25" t="s">
        <v>1883</v>
      </c>
      <c r="V177" s="26" t="s">
        <v>1883</v>
      </c>
      <c r="W177" s="33"/>
    </row>
    <row r="178" spans="1:23">
      <c r="A178" s="77" t="s">
        <v>196</v>
      </c>
      <c r="B178" s="18" t="str">
        <f>IFERROR(HYPERLINK(VLOOKUP(A178,ÜRÜNLER!A:C,3,FALSE),VLOOKUP(A178,ÜRÜNLER!A:B,2,FALSE)),"")</f>
        <v>iQ100 Ankastre Fırın, Antrasit</v>
      </c>
      <c r="C178" s="19">
        <v>50</v>
      </c>
      <c r="D178" s="19" t="s">
        <v>1883</v>
      </c>
      <c r="E178" s="20">
        <v>0</v>
      </c>
      <c r="F178" s="20">
        <v>0</v>
      </c>
      <c r="G178" s="20">
        <v>0</v>
      </c>
      <c r="H178" s="20">
        <v>0</v>
      </c>
      <c r="I178" s="21">
        <v>1</v>
      </c>
      <c r="J178" s="21">
        <v>0</v>
      </c>
      <c r="K178" s="20">
        <v>1</v>
      </c>
      <c r="L178" s="20">
        <v>0</v>
      </c>
      <c r="M178" s="21">
        <v>1</v>
      </c>
      <c r="N178" s="22">
        <f t="shared" si="13"/>
        <v>53</v>
      </c>
      <c r="O178" s="23" t="s">
        <v>1883</v>
      </c>
      <c r="P178" s="24" t="s">
        <v>1883</v>
      </c>
      <c r="Q178" s="25">
        <v>24822.570824200731</v>
      </c>
      <c r="R178" s="76">
        <v>22340.313741780657</v>
      </c>
      <c r="S178" s="27">
        <f t="shared" si="14"/>
        <v>23233.926291451884</v>
      </c>
      <c r="T178" s="27">
        <f t="shared" si="16"/>
        <v>24127.538841123111</v>
      </c>
      <c r="U178" s="25" t="s">
        <v>1883</v>
      </c>
      <c r="V178" s="26" t="s">
        <v>1883</v>
      </c>
      <c r="W178" s="33"/>
    </row>
    <row r="179" spans="1:23">
      <c r="A179" s="51" t="s">
        <v>197</v>
      </c>
      <c r="B179" s="18" t="str">
        <f>IFERROR(HYPERLINK(VLOOKUP(A179,ÜRÜNLER!A:C,3,FALSE),VLOOKUP(A179,ÜRÜNLER!A:B,2,FALSE)),"")</f>
        <v>iQ100 Ankastre Fırın, Beyaz</v>
      </c>
      <c r="C179" s="19">
        <v>22</v>
      </c>
      <c r="D179" s="19" t="s">
        <v>1883</v>
      </c>
      <c r="E179" s="20">
        <v>0</v>
      </c>
      <c r="F179" s="20">
        <v>0</v>
      </c>
      <c r="G179" s="20">
        <v>0</v>
      </c>
      <c r="H179" s="20">
        <v>0</v>
      </c>
      <c r="I179" s="21">
        <v>1</v>
      </c>
      <c r="J179" s="21">
        <v>1</v>
      </c>
      <c r="K179" s="20">
        <v>1</v>
      </c>
      <c r="L179" s="20">
        <v>0</v>
      </c>
      <c r="M179" s="21">
        <v>1</v>
      </c>
      <c r="N179" s="22">
        <f t="shared" si="13"/>
        <v>26</v>
      </c>
      <c r="O179" s="23" t="s">
        <v>1883</v>
      </c>
      <c r="P179" s="24" t="s">
        <v>1883</v>
      </c>
      <c r="Q179" s="25">
        <v>24822.570824200731</v>
      </c>
      <c r="R179" s="76">
        <v>22340.313741780657</v>
      </c>
      <c r="S179" s="27">
        <f t="shared" si="14"/>
        <v>23233.926291451884</v>
      </c>
      <c r="T179" s="27">
        <f t="shared" si="16"/>
        <v>24127.538841123111</v>
      </c>
      <c r="U179" s="25" t="s">
        <v>1883</v>
      </c>
      <c r="V179" s="26" t="s">
        <v>1883</v>
      </c>
      <c r="W179" s="33"/>
    </row>
    <row r="180" spans="1:23">
      <c r="A180" s="37" t="s">
        <v>198</v>
      </c>
      <c r="B180" s="18" t="str">
        <f>IFERROR(HYPERLINK(VLOOKUP(A180,ÜRÜNLER!A:C,3,FALSE),VLOOKUP(A180,ÜRÜNLER!A:B,2,FALSE)),"")</f>
        <v>iQ100 Ankastre Fırın, Siyah</v>
      </c>
      <c r="C180" s="19" t="s">
        <v>1883</v>
      </c>
      <c r="D180" s="19" t="s">
        <v>1883</v>
      </c>
      <c r="E180" s="20">
        <v>0</v>
      </c>
      <c r="F180" s="20">
        <v>1</v>
      </c>
      <c r="G180" s="20">
        <v>0</v>
      </c>
      <c r="H180" s="20">
        <v>0</v>
      </c>
      <c r="I180" s="21">
        <v>0</v>
      </c>
      <c r="J180" s="21">
        <v>0</v>
      </c>
      <c r="K180" s="20">
        <v>0</v>
      </c>
      <c r="L180" s="20">
        <v>1</v>
      </c>
      <c r="M180" s="21">
        <v>0</v>
      </c>
      <c r="N180" s="22">
        <f t="shared" si="13"/>
        <v>2</v>
      </c>
      <c r="O180" s="23" t="s">
        <v>1883</v>
      </c>
      <c r="P180" s="24" t="s">
        <v>1883</v>
      </c>
      <c r="Q180" s="25" t="s">
        <v>1884</v>
      </c>
      <c r="R180" s="26">
        <v>17797</v>
      </c>
      <c r="S180" s="27">
        <f t="shared" si="14"/>
        <v>18508.88</v>
      </c>
      <c r="T180" s="27">
        <f t="shared" si="16"/>
        <v>19220.760000000002</v>
      </c>
      <c r="U180" s="25" t="s">
        <v>1883</v>
      </c>
      <c r="V180" s="26">
        <v>2797.2959999999998</v>
      </c>
      <c r="W180" s="28">
        <v>500</v>
      </c>
    </row>
    <row r="181" spans="1:23">
      <c r="A181" s="77" t="s">
        <v>199</v>
      </c>
      <c r="B181" s="18" t="str">
        <f>IFERROR(HYPERLINK(VLOOKUP(A181,ÜRÜNLER!A:C,3,FALSE),VLOOKUP(A181,ÜRÜNLER!A:B,2,FALSE)),"")</f>
        <v>iQ300 Ankastre Fırın, 1 Teleskopik Ray, Arkası Kendini Temizler, Gri</v>
      </c>
      <c r="C181" s="19" t="s">
        <v>1883</v>
      </c>
      <c r="D181" s="19" t="s">
        <v>1883</v>
      </c>
      <c r="E181" s="20">
        <v>0</v>
      </c>
      <c r="F181" s="20">
        <v>0</v>
      </c>
      <c r="G181" s="20">
        <v>0</v>
      </c>
      <c r="H181" s="20">
        <v>0</v>
      </c>
      <c r="I181" s="21">
        <v>1</v>
      </c>
      <c r="J181" s="21">
        <v>0</v>
      </c>
      <c r="K181" s="20">
        <v>0</v>
      </c>
      <c r="L181" s="20">
        <v>0</v>
      </c>
      <c r="M181" s="21">
        <v>0</v>
      </c>
      <c r="N181" s="22">
        <f t="shared" si="13"/>
        <v>1</v>
      </c>
      <c r="O181" s="23" t="s">
        <v>1883</v>
      </c>
      <c r="P181" s="24" t="s">
        <v>1883</v>
      </c>
      <c r="Q181" s="25" t="s">
        <v>1884</v>
      </c>
      <c r="R181" s="26">
        <v>23000</v>
      </c>
      <c r="S181" s="27">
        <f t="shared" si="14"/>
        <v>23920</v>
      </c>
      <c r="T181" s="27">
        <f t="shared" si="16"/>
        <v>24840</v>
      </c>
      <c r="U181" s="25" t="s">
        <v>1883</v>
      </c>
      <c r="V181" s="26">
        <v>3040.14</v>
      </c>
      <c r="W181" s="28">
        <v>500</v>
      </c>
    </row>
    <row r="182" spans="1:23">
      <c r="A182" s="73" t="s">
        <v>200</v>
      </c>
      <c r="B182" s="18" t="str">
        <f>IFERROR(HYPERLINK(VLOOKUP(A182,ÜRÜNLER!A:C,3,FALSE),VLOOKUP(A182,ÜRÜNLER!A:B,2,FALSE)),"")</f>
        <v>iQ500 studioLine Ankastre Fırın, 1 Teleskopik Ray, Komple Kendini Temizler, Siyah</v>
      </c>
      <c r="C182" s="19" t="s">
        <v>1883</v>
      </c>
      <c r="D182" s="19">
        <v>2</v>
      </c>
      <c r="E182" s="20">
        <v>0</v>
      </c>
      <c r="F182" s="20">
        <v>0</v>
      </c>
      <c r="G182" s="20">
        <v>0</v>
      </c>
      <c r="H182" s="20">
        <v>1</v>
      </c>
      <c r="I182" s="21">
        <v>0</v>
      </c>
      <c r="J182" s="21">
        <v>0</v>
      </c>
      <c r="K182" s="20">
        <v>0</v>
      </c>
      <c r="L182" s="20">
        <v>0</v>
      </c>
      <c r="M182" s="21">
        <v>0</v>
      </c>
      <c r="N182" s="22">
        <f t="shared" si="13"/>
        <v>3</v>
      </c>
      <c r="O182" s="23" t="s">
        <v>1883</v>
      </c>
      <c r="P182" s="24" t="s">
        <v>1883</v>
      </c>
      <c r="Q182" s="25" t="s">
        <v>1884</v>
      </c>
      <c r="R182" s="49">
        <v>85000</v>
      </c>
      <c r="S182" s="27">
        <f t="shared" si="14"/>
        <v>88400</v>
      </c>
      <c r="T182" s="27">
        <f t="shared" si="16"/>
        <v>91800</v>
      </c>
      <c r="U182" s="25" t="s">
        <v>1883</v>
      </c>
      <c r="V182" s="26" t="s">
        <v>1883</v>
      </c>
      <c r="W182" s="28">
        <v>500</v>
      </c>
    </row>
    <row r="183" spans="1:23">
      <c r="A183" s="37" t="s">
        <v>201</v>
      </c>
      <c r="B183" s="18" t="str">
        <f>IFERROR(HYPERLINK(VLOOKUP(A183,ÜRÜNLER!A:C,3,FALSE),VLOOKUP(A183,ÜRÜNLER!A:B,2,FALSE)),"")</f>
        <v>iQ300 Ankastre Fırın, Titanyum Gri</v>
      </c>
      <c r="C183" s="19" t="s">
        <v>1883</v>
      </c>
      <c r="D183" s="19" t="s">
        <v>1883</v>
      </c>
      <c r="E183" s="20">
        <v>1</v>
      </c>
      <c r="F183" s="20">
        <v>0</v>
      </c>
      <c r="G183" s="20">
        <v>0</v>
      </c>
      <c r="H183" s="20">
        <v>0</v>
      </c>
      <c r="I183" s="21">
        <v>0</v>
      </c>
      <c r="J183" s="21">
        <v>0</v>
      </c>
      <c r="K183" s="20">
        <v>0</v>
      </c>
      <c r="L183" s="20">
        <v>0</v>
      </c>
      <c r="M183" s="21">
        <v>0</v>
      </c>
      <c r="N183" s="22">
        <f t="shared" si="13"/>
        <v>1</v>
      </c>
      <c r="O183" s="23" t="s">
        <v>1883</v>
      </c>
      <c r="P183" s="24" t="s">
        <v>1883</v>
      </c>
      <c r="Q183" s="25" t="s">
        <v>1884</v>
      </c>
      <c r="R183" s="26">
        <v>17423</v>
      </c>
      <c r="S183" s="27">
        <f t="shared" si="14"/>
        <v>18119.920000000002</v>
      </c>
      <c r="T183" s="27">
        <f t="shared" si="16"/>
        <v>18816.84</v>
      </c>
      <c r="U183" s="25" t="s">
        <v>1883</v>
      </c>
      <c r="V183" s="26">
        <v>1422.5519999999999</v>
      </c>
      <c r="W183" s="28">
        <v>500</v>
      </c>
    </row>
    <row r="184" spans="1:23">
      <c r="A184" s="73" t="s">
        <v>202</v>
      </c>
      <c r="B184" s="18" t="str">
        <f>IFERROR(HYPERLINK(VLOOKUP(A184,ÜRÜNLER!A:C,3,FALSE),VLOOKUP(A184,ÜRÜNLER!A:B,2,FALSE)),"")</f>
        <v>iQ300 Ankastre Fırın, 1 Teleskopik Ray, Arkası Kendini Temizler, Siyah/Inox</v>
      </c>
      <c r="C184" s="19" t="s">
        <v>1883</v>
      </c>
      <c r="D184" s="19" t="s">
        <v>1883</v>
      </c>
      <c r="E184" s="20">
        <v>1</v>
      </c>
      <c r="F184" s="20">
        <v>0</v>
      </c>
      <c r="G184" s="20">
        <v>0</v>
      </c>
      <c r="H184" s="20">
        <v>0</v>
      </c>
      <c r="I184" s="21">
        <v>0</v>
      </c>
      <c r="J184" s="21">
        <v>0</v>
      </c>
      <c r="K184" s="20">
        <v>0</v>
      </c>
      <c r="L184" s="20">
        <v>1</v>
      </c>
      <c r="M184" s="21">
        <v>1</v>
      </c>
      <c r="N184" s="22">
        <f t="shared" si="13"/>
        <v>3</v>
      </c>
      <c r="O184" s="23" t="s">
        <v>1883</v>
      </c>
      <c r="P184" s="24" t="s">
        <v>1883</v>
      </c>
      <c r="Q184" s="25" t="s">
        <v>1884</v>
      </c>
      <c r="R184" s="26">
        <v>18607</v>
      </c>
      <c r="S184" s="27">
        <f t="shared" si="14"/>
        <v>19351.280000000002</v>
      </c>
      <c r="T184" s="27">
        <f t="shared" si="16"/>
        <v>20095.560000000001</v>
      </c>
      <c r="U184" s="25" t="s">
        <v>1883</v>
      </c>
      <c r="V184" s="26">
        <v>1606.5839999999998</v>
      </c>
      <c r="W184" s="28">
        <v>500</v>
      </c>
    </row>
    <row r="185" spans="1:23">
      <c r="A185" s="73" t="s">
        <v>203</v>
      </c>
      <c r="B185" s="18" t="str">
        <f>IFERROR(HYPERLINK(VLOOKUP(A185,ÜRÜNLER!A:C,3,FALSE),VLOOKUP(A185,ÜRÜNLER!A:B,2,FALSE)),"")</f>
        <v>iQ500 Ankastre Fırın, 1 Teleskopik Ray, Komple Kendini Temizler, Siyah</v>
      </c>
      <c r="C185" s="19">
        <v>6</v>
      </c>
      <c r="D185" s="19" t="s">
        <v>1883</v>
      </c>
      <c r="E185" s="20">
        <v>0</v>
      </c>
      <c r="F185" s="20">
        <v>0</v>
      </c>
      <c r="G185" s="20">
        <v>0</v>
      </c>
      <c r="H185" s="20">
        <v>0</v>
      </c>
      <c r="I185" s="21">
        <v>2</v>
      </c>
      <c r="J185" s="21">
        <v>1</v>
      </c>
      <c r="K185" s="20">
        <v>0</v>
      </c>
      <c r="L185" s="20">
        <v>0</v>
      </c>
      <c r="M185" s="21">
        <v>0</v>
      </c>
      <c r="N185" s="22">
        <f t="shared" si="13"/>
        <v>9</v>
      </c>
      <c r="O185" s="23">
        <v>3</v>
      </c>
      <c r="P185" s="24" t="s">
        <v>1883</v>
      </c>
      <c r="Q185" s="25">
        <v>38127.783157013859</v>
      </c>
      <c r="R185" s="32">
        <v>36221.393999163163</v>
      </c>
      <c r="S185" s="27">
        <f t="shared" si="14"/>
        <v>37670.249759129692</v>
      </c>
      <c r="T185" s="27">
        <f t="shared" si="16"/>
        <v>39119.105519096222</v>
      </c>
      <c r="U185" s="25" t="s">
        <v>1883</v>
      </c>
      <c r="V185" s="26" t="s">
        <v>1883</v>
      </c>
      <c r="W185" s="33"/>
    </row>
    <row r="186" spans="1:23">
      <c r="A186" s="77" t="s">
        <v>204</v>
      </c>
      <c r="B186" s="18" t="str">
        <f>IFERROR(HYPERLINK(VLOOKUP(A186,ÜRÜNLER!A:C,3,FALSE),VLOOKUP(A186,ÜRÜNLER!A:B,2,FALSE)),"")</f>
        <v>iQ500 Ankastre Fırın, 2 Teleskopik Ray, Komple Kendini Temizler, Titanyum Gri</v>
      </c>
      <c r="C186" s="19" t="s">
        <v>1883</v>
      </c>
      <c r="D186" s="19" t="s">
        <v>1883</v>
      </c>
      <c r="E186" s="20">
        <v>2</v>
      </c>
      <c r="F186" s="20">
        <v>0</v>
      </c>
      <c r="G186" s="20">
        <v>0</v>
      </c>
      <c r="H186" s="20">
        <v>0</v>
      </c>
      <c r="I186" s="21">
        <v>0</v>
      </c>
      <c r="J186" s="21">
        <v>0</v>
      </c>
      <c r="K186" s="20">
        <v>0</v>
      </c>
      <c r="L186" s="20">
        <v>1</v>
      </c>
      <c r="M186" s="21">
        <v>0</v>
      </c>
      <c r="N186" s="22">
        <f t="shared" si="13"/>
        <v>3</v>
      </c>
      <c r="O186" s="23" t="s">
        <v>1883</v>
      </c>
      <c r="P186" s="24" t="s">
        <v>1883</v>
      </c>
      <c r="Q186" s="25" t="s">
        <v>1884</v>
      </c>
      <c r="R186" s="26">
        <v>20000</v>
      </c>
      <c r="S186" s="27">
        <f t="shared" si="14"/>
        <v>20800</v>
      </c>
      <c r="T186" s="27">
        <f t="shared" si="16"/>
        <v>21600</v>
      </c>
      <c r="U186" s="25" t="s">
        <v>1883</v>
      </c>
      <c r="V186" s="26" t="s">
        <v>1883</v>
      </c>
      <c r="W186" s="28">
        <v>500</v>
      </c>
    </row>
    <row r="187" spans="1:23">
      <c r="A187" s="73" t="s">
        <v>205</v>
      </c>
      <c r="B187" s="18" t="str">
        <f>IFERROR(HYPERLINK(VLOOKUP(A187,ÜRÜNLER!A:C,3,FALSE),VLOOKUP(A187,ÜRÜNLER!A:B,2,FALSE)),"")</f>
        <v>iQ100 Ankastre Fırın, Siyah</v>
      </c>
      <c r="C187" s="19">
        <v>3</v>
      </c>
      <c r="D187" s="19" t="s">
        <v>1883</v>
      </c>
      <c r="E187" s="20">
        <v>0</v>
      </c>
      <c r="F187" s="20">
        <v>0</v>
      </c>
      <c r="G187" s="20">
        <v>0</v>
      </c>
      <c r="H187" s="20">
        <v>0</v>
      </c>
      <c r="I187" s="21">
        <v>0</v>
      </c>
      <c r="J187" s="21">
        <v>0</v>
      </c>
      <c r="K187" s="20">
        <v>0</v>
      </c>
      <c r="L187" s="20">
        <v>0</v>
      </c>
      <c r="M187" s="21">
        <v>0</v>
      </c>
      <c r="N187" s="22">
        <f t="shared" si="13"/>
        <v>3</v>
      </c>
      <c r="O187" s="23" t="s">
        <v>1883</v>
      </c>
      <c r="P187" s="24" t="s">
        <v>27</v>
      </c>
      <c r="Q187" s="25">
        <v>15996.501882755467</v>
      </c>
      <c r="R187" s="32">
        <v>15196.676788617693</v>
      </c>
      <c r="S187" s="27">
        <f t="shared" si="14"/>
        <v>15804.543860162401</v>
      </c>
      <c r="T187" s="27">
        <f t="shared" si="16"/>
        <v>16412.410931707109</v>
      </c>
      <c r="U187" s="25" t="s">
        <v>1883</v>
      </c>
      <c r="V187" s="26" t="s">
        <v>1883</v>
      </c>
      <c r="W187" s="33"/>
    </row>
    <row r="188" spans="1:23">
      <c r="A188" s="73" t="s">
        <v>206</v>
      </c>
      <c r="B188" s="18" t="str">
        <f>IFERROR(HYPERLINK(VLOOKUP(A188,ÜRÜNLER!A:C,3,FALSE),VLOOKUP(A188,ÜRÜNLER!A:B,2,FALSE)),"")</f>
        <v>iQ500 Ankastre Fırın, 1 Teleskopik Ray, darkSteel</v>
      </c>
      <c r="C188" s="19" t="s">
        <v>1883</v>
      </c>
      <c r="D188" s="19" t="s">
        <v>1883</v>
      </c>
      <c r="E188" s="20">
        <v>0</v>
      </c>
      <c r="F188" s="20">
        <v>0</v>
      </c>
      <c r="G188" s="20">
        <v>0</v>
      </c>
      <c r="H188" s="20">
        <v>0</v>
      </c>
      <c r="I188" s="21">
        <v>1</v>
      </c>
      <c r="J188" s="21">
        <v>0</v>
      </c>
      <c r="K188" s="20">
        <v>1</v>
      </c>
      <c r="L188" s="20">
        <v>0</v>
      </c>
      <c r="M188" s="21">
        <v>0</v>
      </c>
      <c r="N188" s="22">
        <f t="shared" si="13"/>
        <v>2</v>
      </c>
      <c r="O188" s="23" t="s">
        <v>1883</v>
      </c>
      <c r="P188" s="24" t="s">
        <v>1883</v>
      </c>
      <c r="Q188" s="25" t="s">
        <v>1884</v>
      </c>
      <c r="R188" s="26">
        <v>21000</v>
      </c>
      <c r="S188" s="27">
        <f t="shared" si="14"/>
        <v>21840</v>
      </c>
      <c r="T188" s="27">
        <f t="shared" si="16"/>
        <v>22680</v>
      </c>
      <c r="U188" s="25" t="s">
        <v>1883</v>
      </c>
      <c r="V188" s="26" t="s">
        <v>1883</v>
      </c>
      <c r="W188" s="28">
        <v>500</v>
      </c>
    </row>
    <row r="189" spans="1:23">
      <c r="A189" s="37" t="s">
        <v>207</v>
      </c>
      <c r="B189" s="18" t="str">
        <f>IFERROR(HYPERLINK(VLOOKUP(A189,ÜRÜNLER!A:C,3,FALSE),VLOOKUP(A189,ÜRÜNLER!A:B,2,FALSE)),"")</f>
        <v>iQ700 Ankastre Fırın, Siyah</v>
      </c>
      <c r="C189" s="19" t="s">
        <v>1883</v>
      </c>
      <c r="D189" s="19" t="s">
        <v>1883</v>
      </c>
      <c r="E189" s="20">
        <v>0</v>
      </c>
      <c r="F189" s="20">
        <v>0</v>
      </c>
      <c r="G189" s="20">
        <v>0</v>
      </c>
      <c r="H189" s="20">
        <v>0</v>
      </c>
      <c r="I189" s="21">
        <v>0</v>
      </c>
      <c r="J189" s="21">
        <v>0</v>
      </c>
      <c r="K189" s="20">
        <v>1</v>
      </c>
      <c r="L189" s="20">
        <v>0</v>
      </c>
      <c r="M189" s="21">
        <v>0</v>
      </c>
      <c r="N189" s="22">
        <f t="shared" si="13"/>
        <v>1</v>
      </c>
      <c r="O189" s="23" t="s">
        <v>1883</v>
      </c>
      <c r="P189" s="24" t="s">
        <v>1883</v>
      </c>
      <c r="Q189" s="25" t="s">
        <v>1884</v>
      </c>
      <c r="R189" s="26">
        <v>45000</v>
      </c>
      <c r="S189" s="27">
        <f t="shared" si="14"/>
        <v>46800</v>
      </c>
      <c r="T189" s="27">
        <f t="shared" si="16"/>
        <v>48600</v>
      </c>
      <c r="U189" s="25" t="s">
        <v>1883</v>
      </c>
      <c r="V189" s="26" t="s">
        <v>1883</v>
      </c>
      <c r="W189" s="28">
        <v>500</v>
      </c>
    </row>
    <row r="190" spans="1:23">
      <c r="A190" s="51" t="s">
        <v>208</v>
      </c>
      <c r="B190" s="18" t="str">
        <f>IFERROR(HYPERLINK(VLOOKUP(A190,ÜRÜNLER!A:C,3,FALSE),VLOOKUP(A190,ÜRÜNLER!A:B,2,FALSE)),"")</f>
        <v>iQ700 Ankastre Fırın, Arkası Kendini Temizler, Siyah</v>
      </c>
      <c r="C190" s="19" t="s">
        <v>1883</v>
      </c>
      <c r="D190" s="19" t="s">
        <v>1883</v>
      </c>
      <c r="E190" s="20">
        <v>0</v>
      </c>
      <c r="F190" s="20">
        <v>0</v>
      </c>
      <c r="G190" s="20">
        <v>0</v>
      </c>
      <c r="H190" s="20">
        <v>0</v>
      </c>
      <c r="I190" s="21">
        <v>1</v>
      </c>
      <c r="J190" s="21">
        <v>1</v>
      </c>
      <c r="K190" s="20">
        <v>1</v>
      </c>
      <c r="L190" s="20">
        <v>1</v>
      </c>
      <c r="M190" s="21">
        <v>0</v>
      </c>
      <c r="N190" s="22">
        <f t="shared" si="13"/>
        <v>4</v>
      </c>
      <c r="O190" s="23">
        <v>2</v>
      </c>
      <c r="P190" s="24" t="s">
        <v>1883</v>
      </c>
      <c r="Q190" s="25">
        <v>62353.172629588888</v>
      </c>
      <c r="R190" s="32">
        <v>59235.51399810944</v>
      </c>
      <c r="S190" s="27">
        <f t="shared" si="14"/>
        <v>61604.934558033819</v>
      </c>
      <c r="T190" s="27">
        <f t="shared" si="16"/>
        <v>63974.355117958199</v>
      </c>
      <c r="U190" s="25" t="s">
        <v>1883</v>
      </c>
      <c r="V190" s="26" t="s">
        <v>1883</v>
      </c>
      <c r="W190" s="28">
        <v>500</v>
      </c>
    </row>
    <row r="191" spans="1:23">
      <c r="A191" s="51" t="s">
        <v>209</v>
      </c>
      <c r="B191" s="18" t="str">
        <f>IFERROR(HYPERLINK(VLOOKUP(A191,ÜRÜNLER!A:C,3,FALSE),VLOOKUP(A191,ÜRÜNLER!A:B,2,FALSE)),"")</f>
        <v>iQ700 Ankastre Fırın, Arkası Kendini Temizler, Beyaz</v>
      </c>
      <c r="C191" s="19">
        <v>3</v>
      </c>
      <c r="D191" s="19" t="s">
        <v>1883</v>
      </c>
      <c r="E191" s="20">
        <v>0</v>
      </c>
      <c r="F191" s="20">
        <v>0</v>
      </c>
      <c r="G191" s="20">
        <v>0</v>
      </c>
      <c r="H191" s="20">
        <v>0</v>
      </c>
      <c r="I191" s="21">
        <v>1</v>
      </c>
      <c r="J191" s="21">
        <v>0</v>
      </c>
      <c r="K191" s="20">
        <v>0</v>
      </c>
      <c r="L191" s="20">
        <v>0</v>
      </c>
      <c r="M191" s="21">
        <v>0</v>
      </c>
      <c r="N191" s="22">
        <f t="shared" si="13"/>
        <v>4</v>
      </c>
      <c r="O191" s="23" t="s">
        <v>1883</v>
      </c>
      <c r="P191" s="24" t="s">
        <v>1883</v>
      </c>
      <c r="Q191" s="25" t="s">
        <v>1884</v>
      </c>
      <c r="R191" s="26">
        <v>55000</v>
      </c>
      <c r="S191" s="27">
        <f t="shared" si="14"/>
        <v>57200</v>
      </c>
      <c r="T191" s="27">
        <f t="shared" si="16"/>
        <v>59400.000000000007</v>
      </c>
      <c r="U191" s="25" t="s">
        <v>1883</v>
      </c>
      <c r="V191" s="26" t="s">
        <v>1883</v>
      </c>
      <c r="W191" s="28">
        <v>500</v>
      </c>
    </row>
    <row r="192" spans="1:23">
      <c r="A192" s="73" t="s">
        <v>210</v>
      </c>
      <c r="B192" s="18" t="str">
        <f>IFERROR(HYPERLINK(VLOOKUP(A192,ÜRÜNLER!A:C,3,FALSE),VLOOKUP(A192,ÜRÜNLER!A:B,2,FALSE)),"")</f>
        <v>iQ700 Ankastre Fırın, Siyah</v>
      </c>
      <c r="C192" s="19">
        <v>1</v>
      </c>
      <c r="D192" s="19" t="s">
        <v>1883</v>
      </c>
      <c r="E192" s="20">
        <v>0</v>
      </c>
      <c r="F192" s="20">
        <v>3</v>
      </c>
      <c r="G192" s="20">
        <v>0</v>
      </c>
      <c r="H192" s="20">
        <v>0</v>
      </c>
      <c r="I192" s="21">
        <v>0</v>
      </c>
      <c r="J192" s="21">
        <v>1</v>
      </c>
      <c r="K192" s="20">
        <v>0</v>
      </c>
      <c r="L192" s="20">
        <v>0</v>
      </c>
      <c r="M192" s="21">
        <v>1</v>
      </c>
      <c r="N192" s="22">
        <f t="shared" si="13"/>
        <v>6</v>
      </c>
      <c r="O192" s="23">
        <v>5</v>
      </c>
      <c r="P192" s="24" t="s">
        <v>1883</v>
      </c>
      <c r="Q192" s="25">
        <v>79288.602232687073</v>
      </c>
      <c r="R192" s="32">
        <v>75324.172121052718</v>
      </c>
      <c r="S192" s="27">
        <f t="shared" si="14"/>
        <v>78337.139005894831</v>
      </c>
      <c r="T192" s="27">
        <f t="shared" si="16"/>
        <v>81350.105890736944</v>
      </c>
      <c r="U192" s="25" t="s">
        <v>1883</v>
      </c>
      <c r="V192" s="26" t="s">
        <v>1883</v>
      </c>
      <c r="W192" s="33"/>
    </row>
    <row r="193" spans="1:23">
      <c r="A193" s="73" t="s">
        <v>211</v>
      </c>
      <c r="B193" s="18" t="str">
        <f>IFERROR(HYPERLINK(VLOOKUP(A193,ÜRÜNLER!A:C,3,FALSE),VLOOKUP(A193,ÜRÜNLER!A:B,2,FALSE)),"")</f>
        <v>iQ700 Ankastre Fırın, Komple Kendini Temizler, Siyah</v>
      </c>
      <c r="C193" s="19">
        <v>8</v>
      </c>
      <c r="D193" s="19" t="s">
        <v>1883</v>
      </c>
      <c r="E193" s="20">
        <v>0</v>
      </c>
      <c r="F193" s="20">
        <v>0</v>
      </c>
      <c r="G193" s="20">
        <v>0</v>
      </c>
      <c r="H193" s="20">
        <v>0</v>
      </c>
      <c r="I193" s="21">
        <v>0</v>
      </c>
      <c r="J193" s="21">
        <v>0</v>
      </c>
      <c r="K193" s="20">
        <v>0</v>
      </c>
      <c r="L193" s="20">
        <v>0</v>
      </c>
      <c r="M193" s="21">
        <v>0</v>
      </c>
      <c r="N193" s="22">
        <f t="shared" si="13"/>
        <v>8</v>
      </c>
      <c r="O193" s="23">
        <v>3</v>
      </c>
      <c r="P193" s="24" t="s">
        <v>1883</v>
      </c>
      <c r="Q193" s="25">
        <v>92202.364673598349</v>
      </c>
      <c r="R193" s="32">
        <v>87592.246439918439</v>
      </c>
      <c r="S193" s="27">
        <f t="shared" si="14"/>
        <v>91095.936297515174</v>
      </c>
      <c r="T193" s="27">
        <f t="shared" si="16"/>
        <v>94599.626155111924</v>
      </c>
      <c r="U193" s="25" t="s">
        <v>1883</v>
      </c>
      <c r="V193" s="26" t="s">
        <v>1883</v>
      </c>
      <c r="W193" s="33"/>
    </row>
    <row r="194" spans="1:23">
      <c r="A194" s="73" t="s">
        <v>212</v>
      </c>
      <c r="B194" s="18" t="str">
        <f>IFERROR(HYPERLINK(VLOOKUP(A194,ÜRÜNLER!A:C,3,FALSE),VLOOKUP(A194,ÜRÜNLER!A:B,2,FALSE)),"")</f>
        <v>iQ700 studioLine Ankastre Fırın, 3 Teleskopik Ray, Komple Kendini Temizler, Siyah</v>
      </c>
      <c r="C194" s="19" t="s">
        <v>1883</v>
      </c>
      <c r="D194" s="19">
        <v>2</v>
      </c>
      <c r="E194" s="20">
        <v>0</v>
      </c>
      <c r="F194" s="20">
        <v>0</v>
      </c>
      <c r="G194" s="20">
        <v>0</v>
      </c>
      <c r="H194" s="20">
        <v>1</v>
      </c>
      <c r="I194" s="21">
        <v>0</v>
      </c>
      <c r="J194" s="21">
        <v>0</v>
      </c>
      <c r="K194" s="20">
        <v>0</v>
      </c>
      <c r="L194" s="20">
        <v>0</v>
      </c>
      <c r="M194" s="21">
        <v>0</v>
      </c>
      <c r="N194" s="22">
        <f t="shared" si="13"/>
        <v>3</v>
      </c>
      <c r="O194" s="23" t="s">
        <v>1883</v>
      </c>
      <c r="P194" s="24" t="s">
        <v>1883</v>
      </c>
      <c r="Q194" s="25" t="s">
        <v>1884</v>
      </c>
      <c r="R194" s="26">
        <v>100000</v>
      </c>
      <c r="S194" s="27">
        <f t="shared" si="14"/>
        <v>104000</v>
      </c>
      <c r="T194" s="27">
        <f t="shared" si="16"/>
        <v>108000</v>
      </c>
      <c r="U194" s="25" t="s">
        <v>1883</v>
      </c>
      <c r="V194" s="26" t="s">
        <v>1883</v>
      </c>
      <c r="W194" s="28">
        <v>500</v>
      </c>
    </row>
    <row r="195" spans="1:23">
      <c r="A195" s="73" t="s">
        <v>213</v>
      </c>
      <c r="B195" s="18" t="str">
        <f>IFERROR(HYPERLINK(VLOOKUP(A195,ÜRÜNLER!A:C,3,FALSE),VLOOKUP(A195,ÜRÜNLER!A:B,2,FALSE)),"")</f>
        <v>iQ700 studioLine Ankastre Fırın, 1 Teleskopik Ray, Komple Kendini Temizler, Siyah</v>
      </c>
      <c r="C195" s="19" t="s">
        <v>1883</v>
      </c>
      <c r="D195" s="19">
        <v>3</v>
      </c>
      <c r="E195" s="20">
        <v>0</v>
      </c>
      <c r="F195" s="20">
        <v>0</v>
      </c>
      <c r="G195" s="20">
        <v>0</v>
      </c>
      <c r="H195" s="20">
        <v>1</v>
      </c>
      <c r="I195" s="21">
        <v>0</v>
      </c>
      <c r="J195" s="21">
        <v>0</v>
      </c>
      <c r="K195" s="20">
        <v>0</v>
      </c>
      <c r="L195" s="20">
        <v>0</v>
      </c>
      <c r="M195" s="21">
        <v>0</v>
      </c>
      <c r="N195" s="22">
        <f t="shared" si="13"/>
        <v>4</v>
      </c>
      <c r="O195" s="23" t="s">
        <v>1883</v>
      </c>
      <c r="P195" s="24" t="s">
        <v>1883</v>
      </c>
      <c r="Q195" s="25">
        <v>147098.71170785514</v>
      </c>
      <c r="R195" s="74">
        <v>126687.88568140636</v>
      </c>
      <c r="S195" s="27">
        <f t="shared" si="14"/>
        <v>131755.40110866263</v>
      </c>
      <c r="T195" s="27">
        <f t="shared" si="16"/>
        <v>136822.91653591889</v>
      </c>
      <c r="U195" s="25" t="s">
        <v>1883</v>
      </c>
      <c r="V195" s="26" t="s">
        <v>1883</v>
      </c>
      <c r="W195" s="28">
        <v>500</v>
      </c>
    </row>
    <row r="196" spans="1:23">
      <c r="A196" s="75" t="s">
        <v>214</v>
      </c>
      <c r="B196" s="18" t="str">
        <f>IFERROR(HYPERLINK(VLOOKUP(A196,ÜRÜNLER!A:C,3,FALSE),VLOOKUP(A196,ÜRÜNLER!A:B,2,FALSE)),"")</f>
        <v>iQ300 Ankastre Fırın, 1 Teleskopik Ray, Arkası Kendini Temizler, Beyaz</v>
      </c>
      <c r="C196" s="19" t="s">
        <v>1883</v>
      </c>
      <c r="D196" s="19" t="s">
        <v>1883</v>
      </c>
      <c r="E196" s="20">
        <v>0</v>
      </c>
      <c r="F196" s="20">
        <v>0</v>
      </c>
      <c r="G196" s="20">
        <v>0</v>
      </c>
      <c r="H196" s="20">
        <v>0</v>
      </c>
      <c r="I196" s="21">
        <v>1</v>
      </c>
      <c r="J196" s="21">
        <v>0</v>
      </c>
      <c r="K196" s="20">
        <v>0</v>
      </c>
      <c r="L196" s="20">
        <v>0</v>
      </c>
      <c r="M196" s="21">
        <v>0</v>
      </c>
      <c r="N196" s="22">
        <f t="shared" si="13"/>
        <v>1</v>
      </c>
      <c r="O196" s="23" t="s">
        <v>1883</v>
      </c>
      <c r="P196" s="24" t="s">
        <v>1883</v>
      </c>
      <c r="Q196" s="25" t="s">
        <v>1884</v>
      </c>
      <c r="R196" s="26">
        <v>20000</v>
      </c>
      <c r="S196" s="27">
        <f t="shared" si="14"/>
        <v>20800</v>
      </c>
      <c r="T196" s="27">
        <f t="shared" si="16"/>
        <v>21600</v>
      </c>
      <c r="U196" s="25" t="s">
        <v>1883</v>
      </c>
      <c r="V196" s="26" t="s">
        <v>1883</v>
      </c>
      <c r="W196" s="28">
        <v>500</v>
      </c>
    </row>
    <row r="197" spans="1:23">
      <c r="A197" s="78" t="s">
        <v>215</v>
      </c>
      <c r="B197" s="18" t="str">
        <f>IFERROR(HYPERLINK(VLOOKUP(A197,ÜRÜNLER!A:C,3,FALSE),VLOOKUP(A197,ÜRÜNLER!A:B,2,FALSE)),"")</f>
        <v>iQ500 Ankastre Fırın, 2 Teleskopik Ray, Komple Kendini Temizler, Siyah</v>
      </c>
      <c r="C197" s="19">
        <v>44</v>
      </c>
      <c r="D197" s="19" t="s">
        <v>1883</v>
      </c>
      <c r="E197" s="20">
        <v>0</v>
      </c>
      <c r="F197" s="20">
        <v>1</v>
      </c>
      <c r="G197" s="20">
        <v>0</v>
      </c>
      <c r="H197" s="20">
        <v>0</v>
      </c>
      <c r="I197" s="21">
        <v>1</v>
      </c>
      <c r="J197" s="21">
        <v>0</v>
      </c>
      <c r="K197" s="20">
        <v>0</v>
      </c>
      <c r="L197" s="20">
        <v>2</v>
      </c>
      <c r="M197" s="21">
        <v>1</v>
      </c>
      <c r="N197" s="22">
        <f t="shared" si="13"/>
        <v>49</v>
      </c>
      <c r="O197" s="23" t="s">
        <v>1883</v>
      </c>
      <c r="P197" s="24" t="s">
        <v>1883</v>
      </c>
      <c r="Q197" s="25">
        <v>37217.365123313917</v>
      </c>
      <c r="R197" s="32">
        <v>35356.49686714822</v>
      </c>
      <c r="S197" s="27">
        <f t="shared" si="14"/>
        <v>36770.75674183415</v>
      </c>
      <c r="T197" s="27">
        <f t="shared" si="16"/>
        <v>38185.016616520079</v>
      </c>
      <c r="U197" s="25" t="s">
        <v>1883</v>
      </c>
      <c r="V197" s="26" t="s">
        <v>1883</v>
      </c>
      <c r="W197" s="33"/>
    </row>
    <row r="198" spans="1:23">
      <c r="A198" s="77" t="s">
        <v>216</v>
      </c>
      <c r="B198" s="18" t="str">
        <f>IFERROR(HYPERLINK(VLOOKUP(A198,ÜRÜNLER!A:C,3,FALSE),VLOOKUP(A198,ÜRÜNLER!A:B,2,FALSE)),"")</f>
        <v>iQ500 Ankastre Fırın, 2 Teleskopik Ray, Komple Kendini Temizler, Antrasit</v>
      </c>
      <c r="C198" s="19">
        <v>19</v>
      </c>
      <c r="D198" s="19" t="s">
        <v>1883</v>
      </c>
      <c r="E198" s="20">
        <v>0</v>
      </c>
      <c r="F198" s="20">
        <v>1</v>
      </c>
      <c r="G198" s="20">
        <v>1</v>
      </c>
      <c r="H198" s="20">
        <v>0</v>
      </c>
      <c r="I198" s="21">
        <v>0</v>
      </c>
      <c r="J198" s="21">
        <v>1</v>
      </c>
      <c r="K198" s="20">
        <v>0</v>
      </c>
      <c r="L198" s="20">
        <v>0</v>
      </c>
      <c r="M198" s="21">
        <v>0</v>
      </c>
      <c r="N198" s="22">
        <f t="shared" si="13"/>
        <v>22</v>
      </c>
      <c r="O198" s="23" t="s">
        <v>1883</v>
      </c>
      <c r="P198" s="24" t="s">
        <v>1883</v>
      </c>
      <c r="Q198" s="25">
        <v>37217.365123313917</v>
      </c>
      <c r="R198" s="32">
        <v>35356.49686714822</v>
      </c>
      <c r="S198" s="27">
        <f t="shared" si="14"/>
        <v>36770.75674183415</v>
      </c>
      <c r="T198" s="27">
        <f t="shared" si="16"/>
        <v>38185.016616520079</v>
      </c>
      <c r="U198" s="25" t="s">
        <v>1883</v>
      </c>
      <c r="V198" s="26" t="s">
        <v>1883</v>
      </c>
      <c r="W198" s="33"/>
    </row>
    <row r="199" spans="1:23">
      <c r="A199" s="51" t="s">
        <v>217</v>
      </c>
      <c r="B199" s="18" t="str">
        <f>IFERROR(HYPERLINK(VLOOKUP(A199,ÜRÜNLER!A:C,3,FALSE),VLOOKUP(A199,ÜRÜNLER!A:B,2,FALSE)),"")</f>
        <v>iQ500 Ankastre Fırın, 2 Teleskopik Ray, Komple Kendini Temizler, Beyaz</v>
      </c>
      <c r="C199" s="19">
        <v>55</v>
      </c>
      <c r="D199" s="19" t="s">
        <v>1883</v>
      </c>
      <c r="E199" s="20">
        <v>0</v>
      </c>
      <c r="F199" s="20">
        <v>2</v>
      </c>
      <c r="G199" s="20">
        <v>1</v>
      </c>
      <c r="H199" s="20">
        <v>0</v>
      </c>
      <c r="I199" s="21">
        <v>1</v>
      </c>
      <c r="J199" s="21">
        <v>1</v>
      </c>
      <c r="K199" s="20">
        <v>1</v>
      </c>
      <c r="L199" s="20">
        <v>0</v>
      </c>
      <c r="M199" s="21">
        <v>0</v>
      </c>
      <c r="N199" s="22">
        <f t="shared" ref="N199:N262" si="17">SUM(C199:M199)</f>
        <v>61</v>
      </c>
      <c r="O199" s="23"/>
      <c r="P199" s="24" t="s">
        <v>1883</v>
      </c>
      <c r="Q199" s="25">
        <v>37217.365123313917</v>
      </c>
      <c r="R199" s="32">
        <v>35356.49686714822</v>
      </c>
      <c r="S199" s="27">
        <f t="shared" ref="S199:S262" si="18">R199*1.04</f>
        <v>36770.75674183415</v>
      </c>
      <c r="T199" s="27">
        <f t="shared" si="16"/>
        <v>38185.016616520079</v>
      </c>
      <c r="U199" s="25" t="s">
        <v>1883</v>
      </c>
      <c r="V199" s="26" t="s">
        <v>1883</v>
      </c>
      <c r="W199" s="33"/>
    </row>
    <row r="200" spans="1:23">
      <c r="A200" s="51" t="s">
        <v>218</v>
      </c>
      <c r="B200" s="18" t="str">
        <f>IFERROR(HYPERLINK(VLOOKUP(A200,ÜRÜNLER!A:C,3,FALSE),VLOOKUP(A200,ÜRÜNLER!A:B,2,FALSE)),"")</f>
        <v>iQ700 studioLine Buhar ve Mikrodalga Fonksiyonlu Ankastre Fırın, Komple Kendini Temizler, Siyah</v>
      </c>
      <c r="C200" s="19" t="s">
        <v>1883</v>
      </c>
      <c r="D200" s="19">
        <v>1</v>
      </c>
      <c r="E200" s="20">
        <v>0</v>
      </c>
      <c r="F200" s="20">
        <v>0</v>
      </c>
      <c r="G200" s="20">
        <v>0</v>
      </c>
      <c r="H200" s="20">
        <v>0</v>
      </c>
      <c r="I200" s="21">
        <v>0</v>
      </c>
      <c r="J200" s="21">
        <v>0</v>
      </c>
      <c r="K200" s="20">
        <v>0</v>
      </c>
      <c r="L200" s="20">
        <v>0</v>
      </c>
      <c r="M200" s="21">
        <v>0</v>
      </c>
      <c r="N200" s="22">
        <f t="shared" si="17"/>
        <v>1</v>
      </c>
      <c r="O200" s="23" t="s">
        <v>1883</v>
      </c>
      <c r="P200" s="24" t="s">
        <v>1883</v>
      </c>
      <c r="Q200" s="25">
        <v>254908.73729978077</v>
      </c>
      <c r="R200" s="74">
        <v>219538.62542564856</v>
      </c>
      <c r="S200" s="27">
        <f t="shared" si="18"/>
        <v>228320.17044267451</v>
      </c>
      <c r="T200" s="27">
        <f t="shared" si="16"/>
        <v>237101.71545970044</v>
      </c>
      <c r="U200" s="25" t="s">
        <v>1883</v>
      </c>
      <c r="V200" s="26" t="s">
        <v>1883</v>
      </c>
      <c r="W200" s="28">
        <v>500</v>
      </c>
    </row>
    <row r="201" spans="1:23">
      <c r="A201" s="78" t="s">
        <v>219</v>
      </c>
      <c r="B201" s="18" t="str">
        <f>IFERROR(HYPERLINK(VLOOKUP(A201,ÜRÜNLER!A:C,3,FALSE),VLOOKUP(A201,ÜRÜNLER!A:B,2,FALSE)),"")</f>
        <v>iQ300 Buhar Destekli Ankastre Fırın, 1 Teleskopik Ray, Arkası Kendini Temizler, Siyah/Dark Inox</v>
      </c>
      <c r="C201" s="19">
        <v>1</v>
      </c>
      <c r="D201" s="19" t="s">
        <v>1883</v>
      </c>
      <c r="E201" s="20">
        <v>0</v>
      </c>
      <c r="F201" s="20">
        <v>0</v>
      </c>
      <c r="G201" s="20">
        <v>0</v>
      </c>
      <c r="H201" s="20">
        <v>0</v>
      </c>
      <c r="I201" s="21">
        <v>1</v>
      </c>
      <c r="J201" s="21">
        <v>0</v>
      </c>
      <c r="K201" s="20">
        <v>1</v>
      </c>
      <c r="L201" s="20">
        <v>1</v>
      </c>
      <c r="M201" s="21">
        <v>0</v>
      </c>
      <c r="N201" s="22">
        <f t="shared" si="17"/>
        <v>4</v>
      </c>
      <c r="O201" s="23">
        <v>2</v>
      </c>
      <c r="P201" s="24" t="s">
        <v>1883</v>
      </c>
      <c r="Q201" s="25">
        <v>42011.440642314621</v>
      </c>
      <c r="R201" s="33">
        <v>40202.335542884808</v>
      </c>
      <c r="S201" s="27">
        <f t="shared" si="18"/>
        <v>41810.4289646002</v>
      </c>
      <c r="T201" s="27">
        <f t="shared" si="16"/>
        <v>43418.522386315599</v>
      </c>
      <c r="U201" s="25" t="s">
        <v>1883</v>
      </c>
      <c r="V201" s="26" t="s">
        <v>1883</v>
      </c>
      <c r="W201" s="33"/>
    </row>
    <row r="202" spans="1:23">
      <c r="A202" s="73" t="s">
        <v>220</v>
      </c>
      <c r="B202" s="18" t="str">
        <f>IFERROR(HYPERLINK(VLOOKUP(A202,ÜRÜNLER!A:C,3,FALSE),VLOOKUP(A202,ÜRÜNLER!A:B,2,FALSE)),"")</f>
        <v>iQ500 Buhar Destekli Ankastre Fırın, Arkası Kendini Temizler, Siyah/Inox</v>
      </c>
      <c r="C202" s="19">
        <v>1</v>
      </c>
      <c r="D202" s="19" t="s">
        <v>1883</v>
      </c>
      <c r="E202" s="20">
        <v>0</v>
      </c>
      <c r="F202" s="20">
        <v>0</v>
      </c>
      <c r="G202" s="20">
        <v>0</v>
      </c>
      <c r="H202" s="20">
        <v>0</v>
      </c>
      <c r="I202" s="21">
        <v>1</v>
      </c>
      <c r="J202" s="21">
        <v>1</v>
      </c>
      <c r="K202" s="20">
        <v>1</v>
      </c>
      <c r="L202" s="20">
        <v>0</v>
      </c>
      <c r="M202" s="21">
        <v>1</v>
      </c>
      <c r="N202" s="22">
        <f t="shared" si="17"/>
        <v>5</v>
      </c>
      <c r="O202" s="23" t="s">
        <v>1883</v>
      </c>
      <c r="P202" s="24" t="s">
        <v>1883</v>
      </c>
      <c r="Q202" s="25" t="s">
        <v>1884</v>
      </c>
      <c r="R202" s="26">
        <v>26144</v>
      </c>
      <c r="S202" s="27">
        <f t="shared" si="18"/>
        <v>27189.760000000002</v>
      </c>
      <c r="T202" s="27">
        <f t="shared" si="16"/>
        <v>28235.52</v>
      </c>
      <c r="U202" s="25" t="s">
        <v>1883</v>
      </c>
      <c r="V202" s="26" t="s">
        <v>1883</v>
      </c>
      <c r="W202" s="33"/>
    </row>
    <row r="203" spans="1:23">
      <c r="A203" s="51" t="s">
        <v>221</v>
      </c>
      <c r="B203" s="18" t="str">
        <f>IFERROR(HYPERLINK(VLOOKUP(A203,ÜRÜNLER!A:C,3,FALSE),VLOOKUP(A203,ÜRÜNLER!A:B,2,FALSE)),"")</f>
        <v>iQ700 Ankastre Fırın, Siyah</v>
      </c>
      <c r="C203" s="19" t="s">
        <v>1883</v>
      </c>
      <c r="D203" s="19" t="s">
        <v>1883</v>
      </c>
      <c r="E203" s="20">
        <v>0</v>
      </c>
      <c r="F203" s="20">
        <v>0</v>
      </c>
      <c r="G203" s="20">
        <v>0</v>
      </c>
      <c r="H203" s="20">
        <v>0</v>
      </c>
      <c r="I203" s="21">
        <v>1</v>
      </c>
      <c r="J203" s="21">
        <v>1</v>
      </c>
      <c r="K203" s="20">
        <v>0</v>
      </c>
      <c r="L203" s="20">
        <v>1</v>
      </c>
      <c r="M203" s="21">
        <v>1</v>
      </c>
      <c r="N203" s="22">
        <f t="shared" si="17"/>
        <v>4</v>
      </c>
      <c r="O203" s="23">
        <v>11</v>
      </c>
      <c r="P203" s="24" t="s">
        <v>1883</v>
      </c>
      <c r="Q203" s="25">
        <v>94796.520022315555</v>
      </c>
      <c r="R203" s="32">
        <v>90056.694021199772</v>
      </c>
      <c r="S203" s="27">
        <f t="shared" si="18"/>
        <v>93658.961782047772</v>
      </c>
      <c r="T203" s="27">
        <f t="shared" si="16"/>
        <v>97261.229542895759</v>
      </c>
      <c r="U203" s="25" t="s">
        <v>1883</v>
      </c>
      <c r="V203" s="26" t="s">
        <v>1883</v>
      </c>
      <c r="W203" s="26"/>
    </row>
    <row r="204" spans="1:23">
      <c r="A204" s="75" t="s">
        <v>222</v>
      </c>
      <c r="B204" s="18" t="str">
        <f>IFERROR(HYPERLINK(VLOOKUP(A204,ÜRÜNLER!A:C,3,FALSE),VLOOKUP(A204,ÜRÜNLER!A:B,2,FALSE)),"")</f>
        <v>iQ700 Buhar Destekli Ankastre Fırın, Arkası Kendini Temizler, Siyah/Inox</v>
      </c>
      <c r="C204" s="19" t="s">
        <v>1883</v>
      </c>
      <c r="D204" s="19" t="s">
        <v>1883</v>
      </c>
      <c r="E204" s="20">
        <v>0</v>
      </c>
      <c r="F204" s="20">
        <v>0</v>
      </c>
      <c r="G204" s="20">
        <v>0</v>
      </c>
      <c r="H204" s="20">
        <v>0</v>
      </c>
      <c r="I204" s="21">
        <v>1</v>
      </c>
      <c r="J204" s="21">
        <v>0</v>
      </c>
      <c r="K204" s="20">
        <v>0</v>
      </c>
      <c r="L204" s="20">
        <v>0</v>
      </c>
      <c r="M204" s="21">
        <v>0</v>
      </c>
      <c r="N204" s="22">
        <f t="shared" si="17"/>
        <v>1</v>
      </c>
      <c r="O204" s="23" t="s">
        <v>1883</v>
      </c>
      <c r="P204" s="24" t="s">
        <v>1883</v>
      </c>
      <c r="Q204" s="25" t="s">
        <v>1884</v>
      </c>
      <c r="R204" s="26">
        <v>66000</v>
      </c>
      <c r="S204" s="27">
        <f t="shared" si="18"/>
        <v>68640</v>
      </c>
      <c r="T204" s="27">
        <f t="shared" si="16"/>
        <v>71280</v>
      </c>
      <c r="U204" s="25" t="s">
        <v>1883</v>
      </c>
      <c r="V204" s="26" t="s">
        <v>1883</v>
      </c>
      <c r="W204" s="33"/>
    </row>
    <row r="205" spans="1:23">
      <c r="A205" s="78" t="s">
        <v>223</v>
      </c>
      <c r="B205" s="18" t="str">
        <f>IFERROR(HYPERLINK(VLOOKUP(A205,ÜRÜNLER!A:C,3,FALSE),VLOOKUP(A205,ÜRÜNLER!A:B,2,FALSE)),"")</f>
        <v>iQ300 Buhar Destekli Ankastre Fırın, Siyah</v>
      </c>
      <c r="C205" s="19">
        <v>23</v>
      </c>
      <c r="D205" s="19" t="s">
        <v>1883</v>
      </c>
      <c r="E205" s="20">
        <v>0</v>
      </c>
      <c r="F205" s="20">
        <v>1</v>
      </c>
      <c r="G205" s="20">
        <v>0</v>
      </c>
      <c r="H205" s="20">
        <v>0</v>
      </c>
      <c r="I205" s="21">
        <v>1</v>
      </c>
      <c r="J205" s="21">
        <v>1</v>
      </c>
      <c r="K205" s="20">
        <v>0</v>
      </c>
      <c r="L205" s="20">
        <v>0</v>
      </c>
      <c r="M205" s="21">
        <v>0</v>
      </c>
      <c r="N205" s="22">
        <f t="shared" si="17"/>
        <v>26</v>
      </c>
      <c r="O205" s="23" t="s">
        <v>1883</v>
      </c>
      <c r="P205" s="24" t="s">
        <v>1883</v>
      </c>
      <c r="Q205" s="25">
        <v>27623.886093930971</v>
      </c>
      <c r="R205" s="32">
        <v>26242.691789234421</v>
      </c>
      <c r="S205" s="27">
        <f t="shared" si="18"/>
        <v>27292.399460803797</v>
      </c>
      <c r="T205" s="27">
        <f t="shared" si="16"/>
        <v>28342.107132373178</v>
      </c>
      <c r="U205" s="25" t="s">
        <v>1883</v>
      </c>
      <c r="V205" s="26" t="s">
        <v>1883</v>
      </c>
      <c r="W205" s="33"/>
    </row>
    <row r="206" spans="1:23">
      <c r="A206" s="77" t="s">
        <v>224</v>
      </c>
      <c r="B206" s="18" t="str">
        <f>IFERROR(HYPERLINK(VLOOKUP(A206,ÜRÜNLER!A:C,3,FALSE),VLOOKUP(A206,ÜRÜNLER!A:B,2,FALSE)),"")</f>
        <v>iQ300 Buhar Destekli Ankastre Fırın, Antrasit</v>
      </c>
      <c r="C206" s="19" t="s">
        <v>1883</v>
      </c>
      <c r="D206" s="19" t="s">
        <v>1883</v>
      </c>
      <c r="E206" s="20">
        <v>0</v>
      </c>
      <c r="F206" s="20">
        <v>0</v>
      </c>
      <c r="G206" s="20">
        <v>0</v>
      </c>
      <c r="H206" s="20">
        <v>0</v>
      </c>
      <c r="I206" s="21">
        <v>1</v>
      </c>
      <c r="J206" s="21">
        <v>1</v>
      </c>
      <c r="K206" s="20">
        <v>0</v>
      </c>
      <c r="L206" s="20">
        <v>0</v>
      </c>
      <c r="M206" s="21">
        <v>1</v>
      </c>
      <c r="N206" s="22">
        <f t="shared" si="17"/>
        <v>3</v>
      </c>
      <c r="O206" s="23">
        <v>11</v>
      </c>
      <c r="P206" s="24" t="s">
        <v>1883</v>
      </c>
      <c r="Q206" s="25">
        <v>27623.886093930971</v>
      </c>
      <c r="R206" s="32">
        <v>26242.691789234421</v>
      </c>
      <c r="S206" s="27">
        <f t="shared" si="18"/>
        <v>27292.399460803797</v>
      </c>
      <c r="T206" s="27">
        <f t="shared" si="16"/>
        <v>28342.107132373178</v>
      </c>
      <c r="U206" s="25" t="s">
        <v>1883</v>
      </c>
      <c r="V206" s="26" t="s">
        <v>1883</v>
      </c>
      <c r="W206" s="33"/>
    </row>
    <row r="207" spans="1:23">
      <c r="A207" s="51" t="s">
        <v>225</v>
      </c>
      <c r="B207" s="18" t="str">
        <f>IFERROR(HYPERLINK(VLOOKUP(A207,ÜRÜNLER!A:C,3,FALSE),VLOOKUP(A207,ÜRÜNLER!A:B,2,FALSE)),"")</f>
        <v>iQ300 Buhar Destekli Ankastre Fırın, Beyaz</v>
      </c>
      <c r="C207" s="19">
        <v>15</v>
      </c>
      <c r="D207" s="19" t="s">
        <v>1883</v>
      </c>
      <c r="E207" s="20">
        <v>0</v>
      </c>
      <c r="F207" s="20">
        <v>0</v>
      </c>
      <c r="G207" s="20">
        <v>0</v>
      </c>
      <c r="H207" s="20">
        <v>0</v>
      </c>
      <c r="I207" s="21">
        <v>0</v>
      </c>
      <c r="J207" s="21">
        <v>1</v>
      </c>
      <c r="K207" s="20">
        <v>1</v>
      </c>
      <c r="L207" s="20">
        <v>0</v>
      </c>
      <c r="M207" s="21">
        <v>0</v>
      </c>
      <c r="N207" s="22">
        <f t="shared" si="17"/>
        <v>17</v>
      </c>
      <c r="O207" s="23">
        <v>15</v>
      </c>
      <c r="P207" s="24" t="s">
        <v>1883</v>
      </c>
      <c r="Q207" s="25">
        <v>27623.886093930971</v>
      </c>
      <c r="R207" s="32">
        <v>26242.691789234421</v>
      </c>
      <c r="S207" s="27">
        <f t="shared" si="18"/>
        <v>27292.399460803797</v>
      </c>
      <c r="T207" s="27">
        <f t="shared" si="16"/>
        <v>28342.107132373178</v>
      </c>
      <c r="U207" s="25" t="s">
        <v>1883</v>
      </c>
      <c r="V207" s="26" t="s">
        <v>1883</v>
      </c>
      <c r="W207" s="33"/>
    </row>
    <row r="208" spans="1:23">
      <c r="A208" s="78" t="s">
        <v>226</v>
      </c>
      <c r="B208" s="18" t="str">
        <f>IFERROR(HYPERLINK(VLOOKUP(A208,ÜRÜNLER!A:C,3,FALSE),VLOOKUP(A208,ÜRÜNLER!A:B,2,FALSE)),"")</f>
        <v>iQ300 Ankastre Fırın, 1 Teleskopik Ray, Arkası Kendini Temizler, Siyah</v>
      </c>
      <c r="C208" s="19">
        <v>21</v>
      </c>
      <c r="D208" s="19" t="s">
        <v>1883</v>
      </c>
      <c r="E208" s="20">
        <v>0</v>
      </c>
      <c r="F208" s="20">
        <v>0</v>
      </c>
      <c r="G208" s="20">
        <v>0</v>
      </c>
      <c r="H208" s="20">
        <v>0</v>
      </c>
      <c r="I208" s="21">
        <v>1</v>
      </c>
      <c r="J208" s="21">
        <v>0</v>
      </c>
      <c r="K208" s="20">
        <v>0</v>
      </c>
      <c r="L208" s="20">
        <v>0</v>
      </c>
      <c r="M208" s="21">
        <v>1</v>
      </c>
      <c r="N208" s="22">
        <f t="shared" si="17"/>
        <v>23</v>
      </c>
      <c r="O208" s="23" t="s">
        <v>1883</v>
      </c>
      <c r="P208" s="24" t="s">
        <v>1883</v>
      </c>
      <c r="Q208" s="25">
        <v>31109.767052834293</v>
      </c>
      <c r="R208" s="32">
        <v>29554.278700192579</v>
      </c>
      <c r="S208" s="27">
        <f t="shared" si="18"/>
        <v>30736.449848200282</v>
      </c>
      <c r="T208" s="27">
        <f t="shared" si="16"/>
        <v>31918.620996207988</v>
      </c>
      <c r="U208" s="25" t="s">
        <v>1883</v>
      </c>
      <c r="V208" s="26" t="s">
        <v>1883</v>
      </c>
      <c r="W208" s="33"/>
    </row>
    <row r="209" spans="1:25">
      <c r="A209" s="78" t="s">
        <v>227</v>
      </c>
      <c r="B209" s="18" t="str">
        <f>IFERROR(HYPERLINK(VLOOKUP(A209,ÜRÜNLER!A:C,3,FALSE),VLOOKUP(A209,ÜRÜNLER!A:B,2,FALSE)),"")</f>
        <v>iQ300 Buhar Destekli Ankastre Fırın, 1 Teleskopik Ray, Arkası Kendini Temizler, darkSteel Line</v>
      </c>
      <c r="C209" s="19">
        <v>24</v>
      </c>
      <c r="D209" s="19" t="s">
        <v>1883</v>
      </c>
      <c r="E209" s="20">
        <v>0</v>
      </c>
      <c r="F209" s="20">
        <v>0</v>
      </c>
      <c r="G209" s="20">
        <v>0</v>
      </c>
      <c r="H209" s="20">
        <v>0</v>
      </c>
      <c r="I209" s="21">
        <v>1</v>
      </c>
      <c r="J209" s="21">
        <v>0</v>
      </c>
      <c r="K209" s="20">
        <v>0</v>
      </c>
      <c r="L209" s="20">
        <v>0</v>
      </c>
      <c r="M209" s="21">
        <v>0</v>
      </c>
      <c r="N209" s="22">
        <f t="shared" si="17"/>
        <v>25</v>
      </c>
      <c r="O209" s="23"/>
      <c r="P209" s="24" t="s">
        <v>1883</v>
      </c>
      <c r="Q209" s="25">
        <v>31109.767052834293</v>
      </c>
      <c r="R209" s="32">
        <v>29554.278700192579</v>
      </c>
      <c r="S209" s="27">
        <f t="shared" si="18"/>
        <v>30736.449848200282</v>
      </c>
      <c r="T209" s="27">
        <f t="shared" si="16"/>
        <v>31918.620996207988</v>
      </c>
      <c r="U209" s="25" t="s">
        <v>1883</v>
      </c>
      <c r="V209" s="26" t="s">
        <v>1883</v>
      </c>
      <c r="W209" s="33"/>
    </row>
    <row r="210" spans="1:25">
      <c r="A210" s="77" t="s">
        <v>228</v>
      </c>
      <c r="B210" s="18" t="str">
        <f>IFERROR(HYPERLINK(VLOOKUP(A210,ÜRÜNLER!A:C,3,FALSE),VLOOKUP(A210,ÜRÜNLER!A:B,2,FALSE)),"")</f>
        <v>iQ300 Ankastre Fırın, 1 Teleskopik Ray, Arkası Kendini Temizler, Antrasit</v>
      </c>
      <c r="C210" s="19">
        <v>21</v>
      </c>
      <c r="D210" s="19" t="s">
        <v>1883</v>
      </c>
      <c r="E210" s="20">
        <v>0</v>
      </c>
      <c r="F210" s="20">
        <v>0</v>
      </c>
      <c r="G210" s="20">
        <v>1</v>
      </c>
      <c r="H210" s="20">
        <v>0</v>
      </c>
      <c r="I210" s="21">
        <v>0</v>
      </c>
      <c r="J210" s="21">
        <v>1</v>
      </c>
      <c r="K210" s="20">
        <v>1</v>
      </c>
      <c r="L210" s="20">
        <v>0</v>
      </c>
      <c r="M210" s="21">
        <v>1</v>
      </c>
      <c r="N210" s="22">
        <f t="shared" si="17"/>
        <v>25</v>
      </c>
      <c r="O210" s="23"/>
      <c r="P210" s="24" t="s">
        <v>1883</v>
      </c>
      <c r="Q210" s="25">
        <v>30816.278684411329</v>
      </c>
      <c r="R210" s="32">
        <v>29275.464750190764</v>
      </c>
      <c r="S210" s="27">
        <f t="shared" si="18"/>
        <v>30446.483340198396</v>
      </c>
      <c r="T210" s="27">
        <f t="shared" si="16"/>
        <v>31617.501930206028</v>
      </c>
      <c r="U210" s="25" t="s">
        <v>1883</v>
      </c>
      <c r="V210" s="26" t="s">
        <v>1883</v>
      </c>
      <c r="W210" s="33"/>
    </row>
    <row r="211" spans="1:25">
      <c r="A211" s="51" t="s">
        <v>229</v>
      </c>
      <c r="B211" s="18" t="str">
        <f>IFERROR(HYPERLINK(VLOOKUP(A211,ÜRÜNLER!A:C,3,FALSE),VLOOKUP(A211,ÜRÜNLER!A:B,2,FALSE)),"")</f>
        <v>iQ300 Buhar Destekli Ankastre Fırın, 1 Teleskopik Ray, Arkası Kendini Temizler, Beyaz</v>
      </c>
      <c r="C211" s="19">
        <v>25</v>
      </c>
      <c r="D211" s="19" t="s">
        <v>1883</v>
      </c>
      <c r="E211" s="20">
        <v>0</v>
      </c>
      <c r="F211" s="20">
        <v>0</v>
      </c>
      <c r="G211" s="20">
        <v>0</v>
      </c>
      <c r="H211" s="20">
        <v>0</v>
      </c>
      <c r="I211" s="21">
        <v>0</v>
      </c>
      <c r="J211" s="21">
        <v>1</v>
      </c>
      <c r="K211" s="20">
        <v>0</v>
      </c>
      <c r="L211" s="20">
        <v>0</v>
      </c>
      <c r="M211" s="21">
        <v>0</v>
      </c>
      <c r="N211" s="22">
        <f t="shared" si="17"/>
        <v>26</v>
      </c>
      <c r="O211" s="23">
        <v>5</v>
      </c>
      <c r="P211" s="24" t="s">
        <v>1883</v>
      </c>
      <c r="Q211" s="25">
        <v>31109.767052834293</v>
      </c>
      <c r="R211" s="32">
        <v>29554.278700192579</v>
      </c>
      <c r="S211" s="27">
        <f t="shared" si="18"/>
        <v>30736.449848200282</v>
      </c>
      <c r="T211" s="27">
        <f t="shared" si="16"/>
        <v>31918.620996207988</v>
      </c>
      <c r="U211" s="25" t="s">
        <v>1883</v>
      </c>
      <c r="V211" s="26" t="s">
        <v>1883</v>
      </c>
      <c r="W211" s="33"/>
    </row>
    <row r="212" spans="1:25" s="72" customFormat="1" ht="40.5" customHeight="1">
      <c r="A212" s="79" t="s">
        <v>230</v>
      </c>
      <c r="B212" s="18"/>
      <c r="C212" s="19"/>
      <c r="D212" s="19"/>
      <c r="E212" s="20"/>
      <c r="F212" s="20"/>
      <c r="G212" s="20"/>
      <c r="H212" s="20"/>
      <c r="I212" s="21"/>
      <c r="J212" s="21"/>
      <c r="K212" s="20"/>
      <c r="L212" s="20"/>
      <c r="M212" s="21"/>
      <c r="N212" s="22"/>
      <c r="O212" s="23"/>
      <c r="P212" s="24" t="s">
        <v>1883</v>
      </c>
      <c r="Q212" s="25"/>
      <c r="R212" s="52"/>
      <c r="S212" s="27"/>
      <c r="T212" s="27"/>
      <c r="U212" s="25"/>
      <c r="V212" s="26"/>
      <c r="W212" s="26"/>
      <c r="X212" s="29"/>
    </row>
    <row r="213" spans="1:25">
      <c r="A213" s="42" t="s">
        <v>231</v>
      </c>
      <c r="B213" s="18" t="str">
        <f>IFERROR(HYPERLINK(VLOOKUP(A213,ÜRÜNLER!A:C,3,FALSE),VLOOKUP(A213,ÜRÜNLER!A:B,2,FALSE)),"")</f>
        <v>iQ500 Ankastre Mikrodalga, Izgaralı, Siyah</v>
      </c>
      <c r="C213" s="19">
        <v>12</v>
      </c>
      <c r="D213" s="19" t="s">
        <v>1883</v>
      </c>
      <c r="E213" s="20">
        <v>0</v>
      </c>
      <c r="F213" s="20">
        <v>1</v>
      </c>
      <c r="G213" s="20">
        <v>0</v>
      </c>
      <c r="H213" s="20">
        <v>0</v>
      </c>
      <c r="I213" s="21">
        <v>0</v>
      </c>
      <c r="J213" s="21">
        <v>0</v>
      </c>
      <c r="K213" s="20">
        <v>0</v>
      </c>
      <c r="L213" s="20">
        <v>0</v>
      </c>
      <c r="M213" s="21">
        <v>1</v>
      </c>
      <c r="N213" s="22">
        <f t="shared" si="17"/>
        <v>14</v>
      </c>
      <c r="O213" s="23"/>
      <c r="P213" s="24" t="s">
        <v>1883</v>
      </c>
      <c r="Q213" s="25">
        <v>22972.03951940751</v>
      </c>
      <c r="R213" s="32">
        <v>21823.437543437136</v>
      </c>
      <c r="S213" s="27">
        <f t="shared" si="18"/>
        <v>22696.375045174624</v>
      </c>
      <c r="T213" s="27">
        <f t="shared" ref="T213:T229" si="19">R213*1.08</f>
        <v>23569.312546912108</v>
      </c>
      <c r="U213" s="25" t="s">
        <v>1883</v>
      </c>
      <c r="V213" s="26" t="s">
        <v>1883</v>
      </c>
      <c r="W213" s="26"/>
      <c r="Y213" s="39"/>
    </row>
    <row r="214" spans="1:25">
      <c r="A214" s="38" t="s">
        <v>232</v>
      </c>
      <c r="B214" s="18" t="str">
        <f>IFERROR(HYPERLINK(VLOOKUP(A214,ÜRÜNLER!A:C,3,FALSE),VLOOKUP(A214,ÜRÜNLER!A:B,2,FALSE)),"")</f>
        <v>iQ500 Ankastre Mikrodalga, Izgara Fonksiyonlu, 20L, Siyah/darkSteel</v>
      </c>
      <c r="C214" s="19" t="s">
        <v>1883</v>
      </c>
      <c r="D214" s="19" t="s">
        <v>1883</v>
      </c>
      <c r="E214" s="20">
        <v>0</v>
      </c>
      <c r="F214" s="20">
        <v>1</v>
      </c>
      <c r="G214" s="20">
        <v>0</v>
      </c>
      <c r="H214" s="20">
        <v>0</v>
      </c>
      <c r="I214" s="21">
        <v>0</v>
      </c>
      <c r="J214" s="21">
        <v>0</v>
      </c>
      <c r="K214" s="20">
        <v>0</v>
      </c>
      <c r="L214" s="20">
        <v>1</v>
      </c>
      <c r="M214" s="21">
        <v>0</v>
      </c>
      <c r="N214" s="22">
        <f t="shared" si="17"/>
        <v>2</v>
      </c>
      <c r="O214" s="23">
        <v>15</v>
      </c>
      <c r="P214" s="24" t="s">
        <v>1883</v>
      </c>
      <c r="Q214" s="25">
        <v>22972.03951940751</v>
      </c>
      <c r="R214" s="32">
        <v>21823.437543437136</v>
      </c>
      <c r="S214" s="27">
        <f t="shared" si="18"/>
        <v>22696.375045174624</v>
      </c>
      <c r="T214" s="27">
        <f t="shared" si="19"/>
        <v>23569.312546912108</v>
      </c>
      <c r="U214" s="25" t="s">
        <v>1883</v>
      </c>
      <c r="V214" s="26" t="s">
        <v>1883</v>
      </c>
      <c r="W214" s="33"/>
    </row>
    <row r="215" spans="1:25">
      <c r="A215" s="77" t="s">
        <v>233</v>
      </c>
      <c r="B215" s="18" t="str">
        <f>IFERROR(HYPERLINK(VLOOKUP(A215,ÜRÜNLER!A:C,3,FALSE),VLOOKUP(A215,ÜRÜNLER!A:B,2,FALSE)),"")</f>
        <v>iQ500 Ankastre Mikrodalga, Izgaralı, Anstrasit</v>
      </c>
      <c r="C215" s="19">
        <v>12</v>
      </c>
      <c r="D215" s="19" t="s">
        <v>1883</v>
      </c>
      <c r="E215" s="20">
        <v>0</v>
      </c>
      <c r="F215" s="20">
        <v>0</v>
      </c>
      <c r="G215" s="20">
        <v>0</v>
      </c>
      <c r="H215" s="20">
        <v>0</v>
      </c>
      <c r="I215" s="21">
        <v>0</v>
      </c>
      <c r="J215" s="21">
        <v>0</v>
      </c>
      <c r="K215" s="20">
        <v>0</v>
      </c>
      <c r="L215" s="20">
        <v>0</v>
      </c>
      <c r="M215" s="21">
        <v>0</v>
      </c>
      <c r="N215" s="22">
        <f t="shared" si="17"/>
        <v>12</v>
      </c>
      <c r="O215" s="23">
        <v>13</v>
      </c>
      <c r="P215" s="24" t="s">
        <v>1883</v>
      </c>
      <c r="Q215" s="25">
        <v>22972.03951940751</v>
      </c>
      <c r="R215" s="32">
        <v>21823.437543437136</v>
      </c>
      <c r="S215" s="27">
        <f t="shared" si="18"/>
        <v>22696.375045174624</v>
      </c>
      <c r="T215" s="27">
        <f t="shared" si="19"/>
        <v>23569.312546912108</v>
      </c>
      <c r="U215" s="25" t="s">
        <v>1883</v>
      </c>
      <c r="V215" s="26" t="s">
        <v>1883</v>
      </c>
      <c r="W215" s="33"/>
    </row>
    <row r="216" spans="1:25">
      <c r="A216" s="37" t="s">
        <v>234</v>
      </c>
      <c r="B216" s="18" t="str">
        <f>IFERROR(HYPERLINK(VLOOKUP(A216,ÜRÜNLER!A:C,3,FALSE),VLOOKUP(A216,ÜRÜNLER!A:B,2,FALSE)),"")</f>
        <v>iQ500 Ankastre Mikrodalga, Izgara Fonksiyonlu, 20L, Beyaz</v>
      </c>
      <c r="C216" s="19">
        <v>1</v>
      </c>
      <c r="D216" s="19" t="s">
        <v>1883</v>
      </c>
      <c r="E216" s="20">
        <v>0</v>
      </c>
      <c r="F216" s="20">
        <v>0</v>
      </c>
      <c r="G216" s="20">
        <v>0</v>
      </c>
      <c r="H216" s="20">
        <v>0</v>
      </c>
      <c r="I216" s="21">
        <v>0</v>
      </c>
      <c r="J216" s="21">
        <v>0</v>
      </c>
      <c r="K216" s="20">
        <v>0</v>
      </c>
      <c r="L216" s="20">
        <v>0</v>
      </c>
      <c r="M216" s="21">
        <v>0</v>
      </c>
      <c r="N216" s="22">
        <f t="shared" si="17"/>
        <v>1</v>
      </c>
      <c r="O216" s="23">
        <v>5</v>
      </c>
      <c r="P216" s="24" t="s">
        <v>1883</v>
      </c>
      <c r="Q216" s="25">
        <v>22972.03951940751</v>
      </c>
      <c r="R216" s="32">
        <v>21823.437543437136</v>
      </c>
      <c r="S216" s="27">
        <f t="shared" si="18"/>
        <v>22696.375045174624</v>
      </c>
      <c r="T216" s="27">
        <f t="shared" si="19"/>
        <v>23569.312546912108</v>
      </c>
      <c r="U216" s="25" t="s">
        <v>1883</v>
      </c>
      <c r="V216" s="26" t="s">
        <v>1883</v>
      </c>
      <c r="W216" s="33"/>
    </row>
    <row r="217" spans="1:25">
      <c r="A217" s="42" t="s">
        <v>235</v>
      </c>
      <c r="B217" s="18" t="str">
        <f>IFERROR(HYPERLINK(VLOOKUP(A217,ÜRÜNLER!A:C,3,FALSE),VLOOKUP(A217,ÜRÜNLER!A:B,2,FALSE)),"")</f>
        <v>iQ500 Ankastre Mikrodalga, Izgaralı, Siyah</v>
      </c>
      <c r="C217" s="19">
        <v>22</v>
      </c>
      <c r="D217" s="19" t="s">
        <v>1883</v>
      </c>
      <c r="E217" s="20">
        <v>0</v>
      </c>
      <c r="F217" s="20">
        <v>0</v>
      </c>
      <c r="G217" s="20">
        <v>0</v>
      </c>
      <c r="H217" s="20">
        <v>0</v>
      </c>
      <c r="I217" s="21">
        <v>1</v>
      </c>
      <c r="J217" s="21">
        <v>0</v>
      </c>
      <c r="K217" s="20">
        <v>1</v>
      </c>
      <c r="L217" s="20">
        <v>0</v>
      </c>
      <c r="M217" s="21">
        <v>0</v>
      </c>
      <c r="N217" s="22">
        <f t="shared" si="17"/>
        <v>24</v>
      </c>
      <c r="O217" s="23"/>
      <c r="P217" s="24" t="s">
        <v>1883</v>
      </c>
      <c r="Q217" s="25">
        <v>26238.731588665971</v>
      </c>
      <c r="R217" s="32">
        <v>24926.795009232672</v>
      </c>
      <c r="S217" s="27">
        <f t="shared" si="18"/>
        <v>25923.866809601979</v>
      </c>
      <c r="T217" s="27">
        <f t="shared" si="19"/>
        <v>26920.938609971286</v>
      </c>
      <c r="U217" s="25" t="s">
        <v>1883</v>
      </c>
      <c r="V217" s="26" t="s">
        <v>1883</v>
      </c>
      <c r="W217" s="26"/>
    </row>
    <row r="218" spans="1:25">
      <c r="A218" s="37" t="s">
        <v>236</v>
      </c>
      <c r="B218" s="18" t="str">
        <f>IFERROR(HYPERLINK(VLOOKUP(A218,ÜRÜNLER!A:C,3,FALSE),VLOOKUP(A218,ÜRÜNLER!A:B,2,FALSE)),"")</f>
        <v>iQ700 Ankastre Mikrodalga, Izgara Fonksiyonlu, 21L, Siyah</v>
      </c>
      <c r="C218" s="19">
        <v>5</v>
      </c>
      <c r="D218" s="19" t="s">
        <v>1883</v>
      </c>
      <c r="E218" s="20">
        <v>0</v>
      </c>
      <c r="F218" s="20">
        <v>1</v>
      </c>
      <c r="G218" s="20">
        <v>2</v>
      </c>
      <c r="H218" s="20">
        <v>0</v>
      </c>
      <c r="I218" s="21">
        <v>0</v>
      </c>
      <c r="J218" s="21">
        <v>0</v>
      </c>
      <c r="K218" s="20">
        <v>0</v>
      </c>
      <c r="L218" s="20">
        <v>0</v>
      </c>
      <c r="M218" s="21">
        <v>0</v>
      </c>
      <c r="N218" s="22">
        <f t="shared" si="17"/>
        <v>8</v>
      </c>
      <c r="O218" s="23">
        <v>5</v>
      </c>
      <c r="P218" s="24" t="s">
        <v>1883</v>
      </c>
      <c r="Q218" s="25">
        <v>37317.411963415027</v>
      </c>
      <c r="R218" s="32">
        <v>35451.541365244273</v>
      </c>
      <c r="S218" s="27">
        <f t="shared" si="18"/>
        <v>36869.603019854047</v>
      </c>
      <c r="T218" s="27">
        <f t="shared" si="19"/>
        <v>38287.66467446382</v>
      </c>
      <c r="U218" s="25" t="s">
        <v>1883</v>
      </c>
      <c r="V218" s="26" t="s">
        <v>1883</v>
      </c>
      <c r="W218" s="26"/>
    </row>
    <row r="219" spans="1:25">
      <c r="A219" s="42" t="s">
        <v>237</v>
      </c>
      <c r="B219" s="18" t="str">
        <f>IFERROR(HYPERLINK(VLOOKUP(A219,ÜRÜNLER!A:C,3,FALSE),VLOOKUP(A219,ÜRÜNLER!A:B,2,FALSE)),"")</f>
        <v>iQ300 Ankastre Mikrodalga, 20L, Siyah</v>
      </c>
      <c r="C219" s="19">
        <v>13</v>
      </c>
      <c r="D219" s="19" t="s">
        <v>1883</v>
      </c>
      <c r="E219" s="20">
        <v>0</v>
      </c>
      <c r="F219" s="20">
        <v>0</v>
      </c>
      <c r="G219" s="20">
        <v>0</v>
      </c>
      <c r="H219" s="20">
        <v>0</v>
      </c>
      <c r="I219" s="21">
        <v>0</v>
      </c>
      <c r="J219" s="21">
        <v>0</v>
      </c>
      <c r="K219" s="20">
        <v>0</v>
      </c>
      <c r="L219" s="20">
        <v>0</v>
      </c>
      <c r="M219" s="21">
        <v>0</v>
      </c>
      <c r="N219" s="22">
        <f t="shared" si="17"/>
        <v>13</v>
      </c>
      <c r="O219" s="23"/>
      <c r="P219" s="24" t="s">
        <v>1883</v>
      </c>
      <c r="Q219" s="25">
        <v>19496.756823255568</v>
      </c>
      <c r="R219" s="32">
        <v>18521.91898209279</v>
      </c>
      <c r="S219" s="27">
        <f t="shared" si="18"/>
        <v>19262.795741376503</v>
      </c>
      <c r="T219" s="27">
        <f t="shared" si="19"/>
        <v>20003.672500660214</v>
      </c>
      <c r="U219" s="25" t="s">
        <v>1883</v>
      </c>
      <c r="V219" s="26" t="s">
        <v>1883</v>
      </c>
      <c r="W219" s="26"/>
    </row>
    <row r="220" spans="1:25">
      <c r="A220" s="37" t="s">
        <v>238</v>
      </c>
      <c r="B220" s="18" t="str">
        <f>IFERROR(HYPERLINK(VLOOKUP(A220,ÜRÜNLER!A:C,3,FALSE),VLOOKUP(A220,ÜRÜNLER!A:B,2,FALSE)),"")</f>
        <v>iQ300 Ankastre Mikrodalga, 20L, Siyah/Inox</v>
      </c>
      <c r="C220" s="19" t="s">
        <v>1883</v>
      </c>
      <c r="D220" s="19" t="s">
        <v>1883</v>
      </c>
      <c r="E220" s="20">
        <v>0</v>
      </c>
      <c r="F220" s="20">
        <v>0</v>
      </c>
      <c r="G220" s="20">
        <v>0</v>
      </c>
      <c r="H220" s="20">
        <v>0</v>
      </c>
      <c r="I220" s="21">
        <v>1</v>
      </c>
      <c r="J220" s="21">
        <v>1</v>
      </c>
      <c r="K220" s="20">
        <v>0</v>
      </c>
      <c r="L220" s="20">
        <v>0</v>
      </c>
      <c r="M220" s="21">
        <v>0</v>
      </c>
      <c r="N220" s="22">
        <f t="shared" si="17"/>
        <v>2</v>
      </c>
      <c r="O220" s="23" t="s">
        <v>1883</v>
      </c>
      <c r="P220" s="24" t="s">
        <v>1883</v>
      </c>
      <c r="Q220" s="25" t="s">
        <v>1884</v>
      </c>
      <c r="R220" s="26">
        <v>19500</v>
      </c>
      <c r="S220" s="27">
        <f t="shared" si="18"/>
        <v>20280</v>
      </c>
      <c r="T220" s="27">
        <f t="shared" si="19"/>
        <v>21060</v>
      </c>
      <c r="U220" s="25" t="s">
        <v>1883</v>
      </c>
      <c r="V220" s="26" t="s">
        <v>1883</v>
      </c>
      <c r="W220" s="70">
        <v>500</v>
      </c>
    </row>
    <row r="221" spans="1:25">
      <c r="A221" s="37" t="s">
        <v>239</v>
      </c>
      <c r="B221" s="18" t="str">
        <f>IFERROR(HYPERLINK(VLOOKUP(A221,ÜRÜNLER!A:C,3,FALSE),VLOOKUP(A221,ÜRÜNLER!A:B,2,FALSE)),"")</f>
        <v>iQ500 Ankastre Mikrodalga, 20L, Beyaz/Inox</v>
      </c>
      <c r="C221" s="19" t="s">
        <v>1883</v>
      </c>
      <c r="D221" s="19" t="s">
        <v>1883</v>
      </c>
      <c r="E221" s="20">
        <v>0</v>
      </c>
      <c r="F221" s="20">
        <v>0</v>
      </c>
      <c r="G221" s="20">
        <v>0</v>
      </c>
      <c r="H221" s="20">
        <v>0</v>
      </c>
      <c r="I221" s="21">
        <v>1</v>
      </c>
      <c r="J221" s="21">
        <v>1</v>
      </c>
      <c r="K221" s="20">
        <v>0</v>
      </c>
      <c r="L221" s="20">
        <v>2</v>
      </c>
      <c r="M221" s="21">
        <v>0</v>
      </c>
      <c r="N221" s="22">
        <f t="shared" si="17"/>
        <v>4</v>
      </c>
      <c r="O221" s="23" t="s">
        <v>1883</v>
      </c>
      <c r="P221" s="24" t="s">
        <v>1883</v>
      </c>
      <c r="Q221" s="25" t="s">
        <v>1884</v>
      </c>
      <c r="R221" s="26">
        <v>19500</v>
      </c>
      <c r="S221" s="27">
        <f t="shared" si="18"/>
        <v>20280</v>
      </c>
      <c r="T221" s="27">
        <f t="shared" si="19"/>
        <v>21060</v>
      </c>
      <c r="U221" s="25" t="s">
        <v>1883</v>
      </c>
      <c r="V221" s="26" t="s">
        <v>1883</v>
      </c>
      <c r="W221" s="70">
        <v>500</v>
      </c>
    </row>
    <row r="222" spans="1:25">
      <c r="A222" s="77" t="s">
        <v>240</v>
      </c>
      <c r="B222" s="18" t="str">
        <f>IFERROR(HYPERLINK(VLOOKUP(A222,ÜRÜNLER!A:C,3,FALSE),VLOOKUP(A222,ÜRÜNLER!A:B,2,FALSE)),"")</f>
        <v>iQ300 Ankastre Mikrodalga, 20L, Antrasit/Titanyum Gri</v>
      </c>
      <c r="C222" s="19">
        <v>11</v>
      </c>
      <c r="D222" s="19" t="s">
        <v>1883</v>
      </c>
      <c r="E222" s="20">
        <v>0</v>
      </c>
      <c r="F222" s="20">
        <v>0</v>
      </c>
      <c r="G222" s="20">
        <v>0</v>
      </c>
      <c r="H222" s="20">
        <v>0</v>
      </c>
      <c r="I222" s="21">
        <v>1</v>
      </c>
      <c r="J222" s="21">
        <v>1</v>
      </c>
      <c r="K222" s="20">
        <v>0</v>
      </c>
      <c r="L222" s="20">
        <v>0</v>
      </c>
      <c r="M222" s="21">
        <v>0</v>
      </c>
      <c r="N222" s="22">
        <f t="shared" si="17"/>
        <v>13</v>
      </c>
      <c r="O222" s="23" t="s">
        <v>1883</v>
      </c>
      <c r="P222" s="24" t="s">
        <v>1883</v>
      </c>
      <c r="Q222" s="25">
        <v>18286.041817652796</v>
      </c>
      <c r="R222" s="32">
        <v>17371.739726770156</v>
      </c>
      <c r="S222" s="27">
        <f t="shared" si="18"/>
        <v>18066.609315840964</v>
      </c>
      <c r="T222" s="27">
        <f t="shared" si="19"/>
        <v>18761.478904911772</v>
      </c>
      <c r="U222" s="25" t="s">
        <v>1883</v>
      </c>
      <c r="V222" s="26" t="s">
        <v>1883</v>
      </c>
      <c r="W222" s="26"/>
      <c r="Y222" s="39"/>
    </row>
    <row r="223" spans="1:25">
      <c r="A223" s="37" t="s">
        <v>241</v>
      </c>
      <c r="B223" s="18" t="str">
        <f>IFERROR(HYPERLINK(VLOOKUP(A223,ÜRÜNLER!A:C,3,FALSE),VLOOKUP(A223,ÜRÜNLER!A:B,2,FALSE)),"")</f>
        <v>iQ300 Ankastre Mikrodalga, Inox</v>
      </c>
      <c r="C223" s="19">
        <v>8</v>
      </c>
      <c r="D223" s="19" t="s">
        <v>1883</v>
      </c>
      <c r="E223" s="20">
        <v>0</v>
      </c>
      <c r="F223" s="20">
        <v>1</v>
      </c>
      <c r="G223" s="20">
        <v>0</v>
      </c>
      <c r="H223" s="20">
        <v>0</v>
      </c>
      <c r="I223" s="21">
        <v>1</v>
      </c>
      <c r="J223" s="21">
        <v>0</v>
      </c>
      <c r="K223" s="20">
        <v>1</v>
      </c>
      <c r="L223" s="20">
        <v>0</v>
      </c>
      <c r="M223" s="21">
        <v>1</v>
      </c>
      <c r="N223" s="22">
        <f t="shared" si="17"/>
        <v>12</v>
      </c>
      <c r="O223" s="23" t="s">
        <v>1883</v>
      </c>
      <c r="P223" s="24" t="s">
        <v>1883</v>
      </c>
      <c r="Q223" s="25">
        <v>18547.328533046202</v>
      </c>
      <c r="R223" s="32">
        <v>17619.96210639389</v>
      </c>
      <c r="S223" s="27">
        <f t="shared" si="18"/>
        <v>18324.760590649646</v>
      </c>
      <c r="T223" s="27">
        <f t="shared" si="19"/>
        <v>19029.559074905403</v>
      </c>
      <c r="U223" s="25" t="s">
        <v>1883</v>
      </c>
      <c r="V223" s="26" t="s">
        <v>1883</v>
      </c>
      <c r="W223" s="33"/>
      <c r="Y223" s="39"/>
    </row>
    <row r="224" spans="1:25">
      <c r="A224" s="37" t="s">
        <v>242</v>
      </c>
      <c r="B224" s="18" t="str">
        <f>IFERROR(HYPERLINK(VLOOKUP(A224,ÜRÜNLER!A:C,3,FALSE),VLOOKUP(A224,ÜRÜNLER!A:B,2,FALSE)),"")</f>
        <v>iQ300 Ankastre Mikrodalga, 20L, Beyaz</v>
      </c>
      <c r="C224" s="19">
        <v>8</v>
      </c>
      <c r="D224" s="19" t="s">
        <v>1883</v>
      </c>
      <c r="E224" s="20">
        <v>0</v>
      </c>
      <c r="F224" s="20">
        <v>1</v>
      </c>
      <c r="G224" s="20">
        <v>0</v>
      </c>
      <c r="H224" s="20">
        <v>0</v>
      </c>
      <c r="I224" s="21">
        <v>1</v>
      </c>
      <c r="J224" s="21">
        <v>0</v>
      </c>
      <c r="K224" s="20">
        <v>0</v>
      </c>
      <c r="L224" s="20">
        <v>0</v>
      </c>
      <c r="M224" s="21">
        <v>0</v>
      </c>
      <c r="N224" s="22">
        <f t="shared" si="17"/>
        <v>10</v>
      </c>
      <c r="O224" s="23" t="s">
        <v>1883</v>
      </c>
      <c r="P224" s="24" t="s">
        <v>1883</v>
      </c>
      <c r="Q224" s="25">
        <v>18547.328533046202</v>
      </c>
      <c r="R224" s="32">
        <v>17619.96210639389</v>
      </c>
      <c r="S224" s="27">
        <f t="shared" si="18"/>
        <v>18324.760590649646</v>
      </c>
      <c r="T224" s="27">
        <f t="shared" si="19"/>
        <v>19029.559074905403</v>
      </c>
      <c r="U224" s="25" t="s">
        <v>1883</v>
      </c>
      <c r="V224" s="26" t="s">
        <v>1883</v>
      </c>
      <c r="W224" s="33"/>
      <c r="Y224" s="39"/>
    </row>
    <row r="225" spans="1:25">
      <c r="A225" s="37" t="s">
        <v>243</v>
      </c>
      <c r="B225" s="18" t="str">
        <f>IFERROR(HYPERLINK(VLOOKUP(A225,ÜRÜNLER!A:C,3,FALSE),VLOOKUP(A225,ÜRÜNLER!A:B,2,FALSE)),"")</f>
        <v>iQ700 studioLine Ankastre Mikrodalga, 21L, Siyah</v>
      </c>
      <c r="C225" s="19" t="s">
        <v>1883</v>
      </c>
      <c r="D225" s="19">
        <v>2</v>
      </c>
      <c r="E225" s="20">
        <v>0</v>
      </c>
      <c r="F225" s="20">
        <v>0</v>
      </c>
      <c r="G225" s="20">
        <v>0</v>
      </c>
      <c r="H225" s="20">
        <v>1</v>
      </c>
      <c r="I225" s="21">
        <v>0</v>
      </c>
      <c r="J225" s="21">
        <v>0</v>
      </c>
      <c r="K225" s="20">
        <v>0</v>
      </c>
      <c r="L225" s="20">
        <v>0</v>
      </c>
      <c r="M225" s="21">
        <v>0</v>
      </c>
      <c r="N225" s="22">
        <f t="shared" si="17"/>
        <v>3</v>
      </c>
      <c r="O225" s="23" t="s">
        <v>1883</v>
      </c>
      <c r="P225" s="24" t="s">
        <v>1883</v>
      </c>
      <c r="Q225" s="25" t="s">
        <v>1884</v>
      </c>
      <c r="R225" s="49">
        <v>45000</v>
      </c>
      <c r="S225" s="27">
        <f t="shared" si="18"/>
        <v>46800</v>
      </c>
      <c r="T225" s="27">
        <f t="shared" si="19"/>
        <v>48600</v>
      </c>
      <c r="U225" s="25" t="s">
        <v>1883</v>
      </c>
      <c r="V225" s="26" t="s">
        <v>1883</v>
      </c>
      <c r="W225" s="28">
        <v>500</v>
      </c>
    </row>
    <row r="226" spans="1:25">
      <c r="A226" s="42" t="s">
        <v>244</v>
      </c>
      <c r="B226" s="18" t="str">
        <f>IFERROR(HYPERLINK(VLOOKUP(A226,ÜRÜNLER!A:C,3,FALSE),VLOOKUP(A226,ÜRÜNLER!A:B,2,FALSE)),"")</f>
        <v>iQ700 studioLine Ankastre Mikrodalga, 21L, Siyah</v>
      </c>
      <c r="C226" s="19" t="s">
        <v>1883</v>
      </c>
      <c r="D226" s="19">
        <v>3</v>
      </c>
      <c r="E226" s="20">
        <v>0</v>
      </c>
      <c r="F226" s="20">
        <v>0</v>
      </c>
      <c r="G226" s="20">
        <v>0</v>
      </c>
      <c r="H226" s="20">
        <v>0</v>
      </c>
      <c r="I226" s="21">
        <v>0</v>
      </c>
      <c r="J226" s="21">
        <v>0</v>
      </c>
      <c r="K226" s="20">
        <v>0</v>
      </c>
      <c r="L226" s="20">
        <v>0</v>
      </c>
      <c r="M226" s="21">
        <v>0</v>
      </c>
      <c r="N226" s="22">
        <f t="shared" si="17"/>
        <v>3</v>
      </c>
      <c r="O226" s="23" t="s">
        <v>1883</v>
      </c>
      <c r="P226" s="24" t="s">
        <v>1883</v>
      </c>
      <c r="Q226" s="25">
        <v>57554.48432741197</v>
      </c>
      <c r="R226" s="49">
        <v>49568.455401598825</v>
      </c>
      <c r="S226" s="27">
        <f t="shared" si="18"/>
        <v>51551.193617662779</v>
      </c>
      <c r="T226" s="27">
        <f t="shared" si="19"/>
        <v>53533.931833726732</v>
      </c>
      <c r="U226" s="25" t="s">
        <v>1883</v>
      </c>
      <c r="V226" s="26" t="s">
        <v>1883</v>
      </c>
      <c r="W226" s="28">
        <v>500</v>
      </c>
    </row>
    <row r="227" spans="1:25">
      <c r="A227" s="46" t="s">
        <v>245</v>
      </c>
      <c r="B227" s="18" t="str">
        <f>IFERROR(HYPERLINK(VLOOKUP(A227,ÜRÜNLER!A:C,3,FALSE),VLOOKUP(A227,ÜRÜNLER!A:B,2,FALSE)),"")</f>
        <v>iQ300 Solo Mikrodalga, 20L, Siyah</v>
      </c>
      <c r="C227" s="19">
        <v>4</v>
      </c>
      <c r="D227" s="19" t="s">
        <v>1883</v>
      </c>
      <c r="E227" s="20">
        <v>0</v>
      </c>
      <c r="F227" s="20">
        <v>2</v>
      </c>
      <c r="G227" s="20">
        <v>0</v>
      </c>
      <c r="H227" s="20">
        <v>0</v>
      </c>
      <c r="I227" s="21">
        <v>1</v>
      </c>
      <c r="J227" s="21">
        <v>1</v>
      </c>
      <c r="K227" s="20">
        <v>0</v>
      </c>
      <c r="L227" s="20">
        <v>1</v>
      </c>
      <c r="M227" s="21">
        <v>1</v>
      </c>
      <c r="N227" s="22">
        <f t="shared" si="17"/>
        <v>10</v>
      </c>
      <c r="O227" s="23" t="s">
        <v>1883</v>
      </c>
      <c r="P227" s="24" t="s">
        <v>1883</v>
      </c>
      <c r="Q227" s="25">
        <v>8245.9356583679855</v>
      </c>
      <c r="R227" s="32">
        <v>7833.6388754495865</v>
      </c>
      <c r="S227" s="27">
        <f t="shared" si="18"/>
        <v>8146.9844304675698</v>
      </c>
      <c r="T227" s="27">
        <f t="shared" si="19"/>
        <v>8460.3299854855541</v>
      </c>
      <c r="U227" s="25" t="s">
        <v>1883</v>
      </c>
      <c r="V227" s="26" t="s">
        <v>1883</v>
      </c>
      <c r="W227" s="26"/>
    </row>
    <row r="228" spans="1:25">
      <c r="A228" s="46" t="s">
        <v>246</v>
      </c>
      <c r="B228" s="18" t="str">
        <f>IFERROR(HYPERLINK(VLOOKUP(A228,ÜRÜNLER!A:C,3,FALSE),VLOOKUP(A228,ÜRÜNLER!A:B,2,FALSE)),"")</f>
        <v>iQ300 Solo Mikrodalga, 20L, Beyaz</v>
      </c>
      <c r="C228" s="19">
        <v>8</v>
      </c>
      <c r="D228" s="19" t="s">
        <v>1883</v>
      </c>
      <c r="E228" s="20">
        <v>0</v>
      </c>
      <c r="F228" s="20">
        <v>1</v>
      </c>
      <c r="G228" s="20">
        <v>0</v>
      </c>
      <c r="H228" s="20">
        <v>0</v>
      </c>
      <c r="I228" s="21">
        <v>1</v>
      </c>
      <c r="J228" s="21">
        <v>1</v>
      </c>
      <c r="K228" s="20">
        <v>1</v>
      </c>
      <c r="L228" s="20">
        <v>0</v>
      </c>
      <c r="M228" s="21">
        <v>1</v>
      </c>
      <c r="N228" s="22">
        <f t="shared" si="17"/>
        <v>13</v>
      </c>
      <c r="O228" s="23"/>
      <c r="P228" s="24" t="s">
        <v>1883</v>
      </c>
      <c r="Q228" s="25">
        <v>7650.3911352173373</v>
      </c>
      <c r="R228" s="32">
        <v>7267.8715784564702</v>
      </c>
      <c r="S228" s="27">
        <f t="shared" si="18"/>
        <v>7558.586441594729</v>
      </c>
      <c r="T228" s="27">
        <f t="shared" si="19"/>
        <v>7849.3013047329887</v>
      </c>
      <c r="U228" s="25" t="s">
        <v>1883</v>
      </c>
      <c r="V228" s="26" t="s">
        <v>1883</v>
      </c>
      <c r="W228" s="26"/>
    </row>
    <row r="229" spans="1:25">
      <c r="A229" s="46" t="s">
        <v>247</v>
      </c>
      <c r="B229" s="18" t="str">
        <f>IFERROR(HYPERLINK(VLOOKUP(A229,ÜRÜNLER!A:C,3,FALSE),VLOOKUP(A229,ÜRÜNLER!A:B,2,FALSE)),"")</f>
        <v>iQ300 Solo Mikrodalga, 20L, Siyah/Inox</v>
      </c>
      <c r="C229" s="19">
        <v>4</v>
      </c>
      <c r="D229" s="19" t="s">
        <v>1883</v>
      </c>
      <c r="E229" s="20">
        <v>0</v>
      </c>
      <c r="F229" s="20">
        <v>0</v>
      </c>
      <c r="G229" s="20">
        <v>0</v>
      </c>
      <c r="H229" s="20">
        <v>0</v>
      </c>
      <c r="I229" s="21">
        <v>1</v>
      </c>
      <c r="J229" s="21">
        <v>0</v>
      </c>
      <c r="K229" s="20">
        <v>0</v>
      </c>
      <c r="L229" s="20">
        <v>0</v>
      </c>
      <c r="M229" s="21">
        <v>1</v>
      </c>
      <c r="N229" s="22">
        <f t="shared" si="17"/>
        <v>6</v>
      </c>
      <c r="O229" s="23" t="s">
        <v>1883</v>
      </c>
      <c r="P229" s="24" t="s">
        <v>1883</v>
      </c>
      <c r="Q229" s="25">
        <v>9137.7886054963765</v>
      </c>
      <c r="R229" s="32">
        <v>8680.899175221557</v>
      </c>
      <c r="S229" s="27">
        <f t="shared" si="18"/>
        <v>9028.1351422304197</v>
      </c>
      <c r="T229" s="27">
        <f t="shared" si="19"/>
        <v>9375.3711092392823</v>
      </c>
      <c r="U229" s="25" t="s">
        <v>1883</v>
      </c>
      <c r="V229" s="26" t="s">
        <v>1883</v>
      </c>
      <c r="W229" s="26"/>
    </row>
    <row r="230" spans="1:25" ht="35.25" customHeight="1">
      <c r="A230" s="71" t="s">
        <v>248</v>
      </c>
      <c r="B230" s="18"/>
      <c r="C230" s="19"/>
      <c r="D230" s="19"/>
      <c r="E230" s="20"/>
      <c r="F230" s="20"/>
      <c r="G230" s="20"/>
      <c r="H230" s="20"/>
      <c r="I230" s="21"/>
      <c r="J230" s="21"/>
      <c r="K230" s="20"/>
      <c r="L230" s="20"/>
      <c r="M230" s="21"/>
      <c r="N230" s="22"/>
      <c r="O230" s="23"/>
      <c r="P230" s="24" t="s">
        <v>1883</v>
      </c>
      <c r="R230" s="52"/>
      <c r="S230" s="27"/>
      <c r="T230" s="27"/>
      <c r="U230" s="25"/>
      <c r="V230" s="26"/>
      <c r="W230" s="26"/>
    </row>
    <row r="231" spans="1:25">
      <c r="A231" s="51" t="s">
        <v>249</v>
      </c>
      <c r="B231" s="18" t="str">
        <f>IFERROR(HYPERLINK(VLOOKUP(A231,ÜRÜNLER!A:C,3,FALSE),VLOOKUP(A231,ÜRÜNLER!A:B,2,FALSE)),"")</f>
        <v>iQ100 Eğimli Davlumbaz, 59cm, 360m3, Beyaz Cam</v>
      </c>
      <c r="C231" s="19" t="s">
        <v>1883</v>
      </c>
      <c r="D231" s="19" t="s">
        <v>1883</v>
      </c>
      <c r="E231" s="20">
        <v>0</v>
      </c>
      <c r="F231" s="20">
        <v>1</v>
      </c>
      <c r="G231" s="20">
        <v>0</v>
      </c>
      <c r="H231" s="20">
        <v>0</v>
      </c>
      <c r="I231" s="21">
        <v>0</v>
      </c>
      <c r="J231" s="21">
        <v>0</v>
      </c>
      <c r="K231" s="20">
        <v>0</v>
      </c>
      <c r="L231" s="20">
        <v>0</v>
      </c>
      <c r="M231" s="21">
        <v>0</v>
      </c>
      <c r="N231" s="22">
        <f t="shared" si="17"/>
        <v>1</v>
      </c>
      <c r="O231" s="23" t="s">
        <v>1883</v>
      </c>
      <c r="P231" s="24" t="s">
        <v>27</v>
      </c>
      <c r="Q231" s="25">
        <v>10397.656385938039</v>
      </c>
      <c r="R231" s="26">
        <v>9949.9104171655872</v>
      </c>
      <c r="S231" s="27">
        <f t="shared" si="18"/>
        <v>10347.90683385221</v>
      </c>
      <c r="T231" s="27">
        <f t="shared" ref="T231:T280" si="20">R231*1.08</f>
        <v>10745.903250538835</v>
      </c>
      <c r="U231" s="25" t="s">
        <v>1883</v>
      </c>
      <c r="V231" s="26" t="s">
        <v>1883</v>
      </c>
      <c r="W231" s="26"/>
    </row>
    <row r="232" spans="1:25">
      <c r="A232" s="51" t="s">
        <v>250</v>
      </c>
      <c r="B232" s="18" t="str">
        <f>IFERROR(HYPERLINK(VLOOKUP(A232,ÜRÜNLER!A:C,3,FALSE),VLOOKUP(A232,ÜRÜNLER!A:B,2,FALSE)),"")</f>
        <v>iQ100 Eğimli Davlumbaz, 59cm, 360m3, Siyah Cam</v>
      </c>
      <c r="C232" s="19" t="s">
        <v>1883</v>
      </c>
      <c r="D232" s="19" t="s">
        <v>1883</v>
      </c>
      <c r="E232" s="20">
        <v>0</v>
      </c>
      <c r="F232" s="20">
        <v>0</v>
      </c>
      <c r="G232" s="20">
        <v>0</v>
      </c>
      <c r="H232" s="20">
        <v>0</v>
      </c>
      <c r="I232" s="21">
        <v>0</v>
      </c>
      <c r="J232" s="21">
        <v>0</v>
      </c>
      <c r="K232" s="20">
        <v>0</v>
      </c>
      <c r="L232" s="20">
        <v>0</v>
      </c>
      <c r="M232" s="21">
        <v>1</v>
      </c>
      <c r="N232" s="22">
        <f t="shared" si="17"/>
        <v>1</v>
      </c>
      <c r="O232" s="23" t="s">
        <v>1883</v>
      </c>
      <c r="P232" s="24" t="s">
        <v>27</v>
      </c>
      <c r="Q232" s="25">
        <v>10397.656385938039</v>
      </c>
      <c r="R232" s="26">
        <v>9949.9104171655872</v>
      </c>
      <c r="S232" s="27">
        <f t="shared" si="18"/>
        <v>10347.90683385221</v>
      </c>
      <c r="T232" s="27">
        <f t="shared" si="20"/>
        <v>10745.903250538835</v>
      </c>
      <c r="U232" s="25" t="s">
        <v>1883</v>
      </c>
      <c r="V232" s="26" t="s">
        <v>1883</v>
      </c>
      <c r="W232" s="26"/>
    </row>
    <row r="233" spans="1:25">
      <c r="A233" s="51" t="s">
        <v>251</v>
      </c>
      <c r="B233" s="18" t="str">
        <f>IFERROR(HYPERLINK(VLOOKUP(A233,ÜRÜNLER!A:C,3,FALSE),VLOOKUP(A233,ÜRÜNLER!A:B,2,FALSE)),"")</f>
        <v>iQ100 Eğimli Davlumbaz, 59cm, 360m3, Siyah Cam</v>
      </c>
      <c r="C233" s="19" t="s">
        <v>1883</v>
      </c>
      <c r="D233" s="19" t="s">
        <v>1883</v>
      </c>
      <c r="E233" s="20">
        <v>0</v>
      </c>
      <c r="F233" s="20">
        <v>0</v>
      </c>
      <c r="G233" s="20">
        <v>0</v>
      </c>
      <c r="H233" s="20">
        <v>0</v>
      </c>
      <c r="I233" s="21">
        <v>0</v>
      </c>
      <c r="J233" s="21">
        <v>0</v>
      </c>
      <c r="K233" s="20">
        <v>0</v>
      </c>
      <c r="L233" s="20">
        <v>1</v>
      </c>
      <c r="M233" s="21">
        <v>0</v>
      </c>
      <c r="N233" s="22">
        <f t="shared" si="17"/>
        <v>1</v>
      </c>
      <c r="O233" s="23" t="s">
        <v>1883</v>
      </c>
      <c r="P233" s="24" t="s">
        <v>27</v>
      </c>
      <c r="Q233" s="25">
        <v>10397.656385938039</v>
      </c>
      <c r="R233" s="26">
        <v>9949.9104171655872</v>
      </c>
      <c r="S233" s="27">
        <f t="shared" si="18"/>
        <v>10347.90683385221</v>
      </c>
      <c r="T233" s="27">
        <f t="shared" si="20"/>
        <v>10745.903250538835</v>
      </c>
      <c r="U233" s="25" t="s">
        <v>1883</v>
      </c>
      <c r="V233" s="26" t="s">
        <v>1883</v>
      </c>
      <c r="W233" s="26"/>
    </row>
    <row r="234" spans="1:25">
      <c r="A234" s="37" t="s">
        <v>252</v>
      </c>
      <c r="B234" s="18" t="str">
        <f>IFERROR(HYPERLINK(VLOOKUP(A234,ÜRÜNLER!A:C,3,FALSE),VLOOKUP(A234,ÜRÜNLER!A:B,2,FALSE)),"")</f>
        <v>iQ100 Eğimli Davlumbaz, 60cm, 400m3, Beyaz Cam</v>
      </c>
      <c r="C234" s="19">
        <v>10</v>
      </c>
      <c r="D234" s="19" t="s">
        <v>1883</v>
      </c>
      <c r="E234" s="20">
        <v>0</v>
      </c>
      <c r="F234" s="20">
        <v>0</v>
      </c>
      <c r="G234" s="20">
        <v>0</v>
      </c>
      <c r="H234" s="20">
        <v>0</v>
      </c>
      <c r="I234" s="21">
        <v>1</v>
      </c>
      <c r="J234" s="21">
        <v>0</v>
      </c>
      <c r="K234" s="20">
        <v>0</v>
      </c>
      <c r="L234" s="20">
        <v>0</v>
      </c>
      <c r="M234" s="21">
        <v>0</v>
      </c>
      <c r="N234" s="22">
        <f t="shared" si="17"/>
        <v>11</v>
      </c>
      <c r="O234" s="23">
        <v>10</v>
      </c>
      <c r="P234" s="24" t="s">
        <v>1883</v>
      </c>
      <c r="Q234" s="25">
        <v>16148.827944425086</v>
      </c>
      <c r="R234" s="33">
        <v>15453.423870263241</v>
      </c>
      <c r="S234" s="27">
        <f t="shared" si="18"/>
        <v>16071.560825073771</v>
      </c>
      <c r="T234" s="27">
        <f t="shared" si="20"/>
        <v>16689.6977798843</v>
      </c>
      <c r="U234" s="25" t="s">
        <v>1883</v>
      </c>
      <c r="V234" s="26" t="s">
        <v>1883</v>
      </c>
      <c r="W234" s="26"/>
    </row>
    <row r="235" spans="1:25">
      <c r="A235" s="37" t="s">
        <v>253</v>
      </c>
      <c r="B235" s="18" t="str">
        <f>IFERROR(HYPERLINK(VLOOKUP(A235,ÜRÜNLER!A:C,3,FALSE),VLOOKUP(A235,ÜRÜNLER!A:B,2,FALSE)),"")</f>
        <v>iQ100 Eğimli Davlumbaz, 60cm, 400m3, Siyah Cam</v>
      </c>
      <c r="C235" s="19">
        <v>15</v>
      </c>
      <c r="D235" s="19" t="s">
        <v>1883</v>
      </c>
      <c r="E235" s="20">
        <v>0</v>
      </c>
      <c r="F235" s="20">
        <v>0</v>
      </c>
      <c r="G235" s="20">
        <v>0</v>
      </c>
      <c r="H235" s="20">
        <v>0</v>
      </c>
      <c r="I235" s="21">
        <v>0</v>
      </c>
      <c r="J235" s="21">
        <v>1</v>
      </c>
      <c r="K235" s="20">
        <v>0</v>
      </c>
      <c r="L235" s="20">
        <v>0</v>
      </c>
      <c r="M235" s="21">
        <v>0</v>
      </c>
      <c r="N235" s="22">
        <f t="shared" si="17"/>
        <v>16</v>
      </c>
      <c r="O235" s="23">
        <v>5</v>
      </c>
      <c r="P235" s="24" t="s">
        <v>1883</v>
      </c>
      <c r="Q235" s="25">
        <v>16148.827944425086</v>
      </c>
      <c r="R235" s="33">
        <v>16956.269341646341</v>
      </c>
      <c r="S235" s="27">
        <f t="shared" si="18"/>
        <v>17634.520115312196</v>
      </c>
      <c r="T235" s="27">
        <f t="shared" si="20"/>
        <v>18312.770888978048</v>
      </c>
      <c r="U235" s="25" t="s">
        <v>1883</v>
      </c>
      <c r="V235" s="26" t="s">
        <v>1883</v>
      </c>
      <c r="W235" s="26"/>
      <c r="Y235" s="30" t="s">
        <v>1896</v>
      </c>
    </row>
    <row r="236" spans="1:25">
      <c r="A236" s="77" t="s">
        <v>254</v>
      </c>
      <c r="B236" s="18" t="str">
        <f>IFERROR(HYPERLINK(VLOOKUP(A236,ÜRÜNLER!A:C,3,FALSE),VLOOKUP(A236,ÜRÜNLER!A:B,2,FALSE)),"")</f>
        <v>iQ100 Eğimli Davlumbaz, 60cm, 400m3, Antrasit Gri Cam</v>
      </c>
      <c r="C236" s="19">
        <v>21</v>
      </c>
      <c r="D236" s="19" t="s">
        <v>1883</v>
      </c>
      <c r="E236" s="20">
        <v>0</v>
      </c>
      <c r="F236" s="20">
        <v>1</v>
      </c>
      <c r="G236" s="20">
        <v>0</v>
      </c>
      <c r="H236" s="20">
        <v>0</v>
      </c>
      <c r="I236" s="21">
        <v>1</v>
      </c>
      <c r="J236" s="21">
        <v>0</v>
      </c>
      <c r="K236" s="20">
        <v>1</v>
      </c>
      <c r="L236" s="20">
        <v>0</v>
      </c>
      <c r="M236" s="21">
        <v>1</v>
      </c>
      <c r="N236" s="22">
        <f t="shared" si="17"/>
        <v>25</v>
      </c>
      <c r="O236" s="23">
        <v>1</v>
      </c>
      <c r="P236" s="24" t="s">
        <v>1883</v>
      </c>
      <c r="Q236" s="25">
        <v>16148.827944425086</v>
      </c>
      <c r="R236" s="33">
        <v>16956.269341646341</v>
      </c>
      <c r="S236" s="27">
        <f t="shared" si="18"/>
        <v>17634.520115312196</v>
      </c>
      <c r="T236" s="27">
        <f t="shared" si="20"/>
        <v>18312.770888978048</v>
      </c>
      <c r="U236" s="25" t="s">
        <v>1883</v>
      </c>
      <c r="V236" s="26" t="s">
        <v>1883</v>
      </c>
      <c r="W236" s="26"/>
      <c r="Y236" s="30" t="s">
        <v>1896</v>
      </c>
    </row>
    <row r="237" spans="1:25">
      <c r="A237" s="51" t="s">
        <v>255</v>
      </c>
      <c r="B237" s="18" t="str">
        <f>IFERROR(HYPERLINK(VLOOKUP(A237,ÜRÜNLER!A:C,3,FALSE),VLOOKUP(A237,ÜRÜNLER!A:B,2,FALSE)),"")</f>
        <v>iQ100 Düz Davlumbaz, 60cm, 380m3, Beyaz</v>
      </c>
      <c r="C237" s="19" t="s">
        <v>1883</v>
      </c>
      <c r="D237" s="19" t="s">
        <v>1883</v>
      </c>
      <c r="E237" s="20">
        <v>0</v>
      </c>
      <c r="F237" s="20">
        <v>0</v>
      </c>
      <c r="G237" s="20">
        <v>0</v>
      </c>
      <c r="H237" s="20">
        <v>0</v>
      </c>
      <c r="I237" s="21">
        <v>1</v>
      </c>
      <c r="J237" s="21">
        <v>0</v>
      </c>
      <c r="K237" s="20">
        <v>0</v>
      </c>
      <c r="L237" s="20">
        <v>1</v>
      </c>
      <c r="M237" s="21">
        <v>0</v>
      </c>
      <c r="N237" s="22">
        <f t="shared" si="17"/>
        <v>2</v>
      </c>
      <c r="O237" s="23" t="s">
        <v>1883</v>
      </c>
      <c r="P237" s="24" t="s">
        <v>1883</v>
      </c>
      <c r="Q237" s="25" t="s">
        <v>1884</v>
      </c>
      <c r="R237" s="26">
        <v>8000</v>
      </c>
      <c r="S237" s="27">
        <f t="shared" si="18"/>
        <v>8320</v>
      </c>
      <c r="T237" s="27">
        <f t="shared" si="20"/>
        <v>8640</v>
      </c>
      <c r="U237" s="25" t="s">
        <v>1883</v>
      </c>
      <c r="V237" s="26" t="s">
        <v>1883</v>
      </c>
      <c r="W237" s="28">
        <v>500</v>
      </c>
    </row>
    <row r="238" spans="1:25">
      <c r="A238" s="51" t="s">
        <v>256</v>
      </c>
      <c r="B238" s="18" t="str">
        <f>IFERROR(HYPERLINK(VLOOKUP(A238,ÜRÜNLER!A:C,3,FALSE),VLOOKUP(A238,ÜRÜNLER!A:B,2,FALSE)),"")</f>
        <v>iQ100 Düz Davlumbaz, 60cm, 380m3, Inox</v>
      </c>
      <c r="C238" s="19">
        <v>2</v>
      </c>
      <c r="D238" s="19" t="s">
        <v>1883</v>
      </c>
      <c r="E238" s="20">
        <v>0</v>
      </c>
      <c r="F238" s="20">
        <v>0</v>
      </c>
      <c r="G238" s="20">
        <v>0</v>
      </c>
      <c r="H238" s="20">
        <v>0</v>
      </c>
      <c r="I238" s="21">
        <v>0</v>
      </c>
      <c r="J238" s="21">
        <v>0</v>
      </c>
      <c r="K238" s="20">
        <v>1</v>
      </c>
      <c r="L238" s="20">
        <v>0</v>
      </c>
      <c r="M238" s="21">
        <v>0</v>
      </c>
      <c r="N238" s="22">
        <f t="shared" si="17"/>
        <v>3</v>
      </c>
      <c r="O238" s="23" t="s">
        <v>1883</v>
      </c>
      <c r="P238" s="24" t="s">
        <v>1883</v>
      </c>
      <c r="Q238" s="25" t="s">
        <v>1884</v>
      </c>
      <c r="R238" s="26">
        <v>9000</v>
      </c>
      <c r="S238" s="27">
        <f t="shared" si="18"/>
        <v>9360</v>
      </c>
      <c r="T238" s="27">
        <f t="shared" si="20"/>
        <v>9720</v>
      </c>
      <c r="U238" s="25" t="s">
        <v>1883</v>
      </c>
      <c r="V238" s="26" t="s">
        <v>1883</v>
      </c>
      <c r="W238" s="33">
        <v>250</v>
      </c>
    </row>
    <row r="239" spans="1:25">
      <c r="A239" s="51" t="s">
        <v>257</v>
      </c>
      <c r="B239" s="18" t="str">
        <f>IFERROR(HYPERLINK(VLOOKUP(A239,ÜRÜNLER!A:C,3,FALSE),VLOOKUP(A239,ÜRÜNLER!A:B,2,FALSE)),"")</f>
        <v>iQ100 Düz Davlumbaz, 60cm, 380m3, Siyah</v>
      </c>
      <c r="C239" s="19">
        <v>2</v>
      </c>
      <c r="D239" s="19" t="s">
        <v>1883</v>
      </c>
      <c r="E239" s="20">
        <v>0</v>
      </c>
      <c r="F239" s="20">
        <v>1</v>
      </c>
      <c r="G239" s="20">
        <v>0</v>
      </c>
      <c r="H239" s="20">
        <v>0</v>
      </c>
      <c r="I239" s="21">
        <v>0</v>
      </c>
      <c r="J239" s="21">
        <v>0</v>
      </c>
      <c r="K239" s="20">
        <v>0</v>
      </c>
      <c r="L239" s="20">
        <v>2</v>
      </c>
      <c r="M239" s="21">
        <v>0</v>
      </c>
      <c r="N239" s="22">
        <f t="shared" si="17"/>
        <v>5</v>
      </c>
      <c r="O239" s="23" t="s">
        <v>1883</v>
      </c>
      <c r="P239" s="24" t="s">
        <v>1883</v>
      </c>
      <c r="Q239" s="25" t="s">
        <v>1884</v>
      </c>
      <c r="R239" s="26">
        <v>9000</v>
      </c>
      <c r="S239" s="27">
        <f t="shared" si="18"/>
        <v>9360</v>
      </c>
      <c r="T239" s="27">
        <f t="shared" si="20"/>
        <v>9720</v>
      </c>
      <c r="U239" s="25" t="s">
        <v>1883</v>
      </c>
      <c r="V239" s="26" t="s">
        <v>1883</v>
      </c>
      <c r="W239" s="33">
        <v>250</v>
      </c>
    </row>
    <row r="240" spans="1:25">
      <c r="A240" s="51" t="s">
        <v>258</v>
      </c>
      <c r="B240" s="18" t="str">
        <f>IFERROR(HYPERLINK(VLOOKUP(A240,ÜRÜNLER!A:C,3,FALSE),VLOOKUP(A240,ÜRÜNLER!A:B,2,FALSE)),"")</f>
        <v>iQ100 Düz Davlumbaz, 60cm, 612m3, Paslanmaz Çelik</v>
      </c>
      <c r="C240" s="19">
        <v>5</v>
      </c>
      <c r="D240" s="19" t="s">
        <v>1883</v>
      </c>
      <c r="E240" s="20">
        <v>0</v>
      </c>
      <c r="F240" s="20">
        <v>1</v>
      </c>
      <c r="G240" s="20">
        <v>0</v>
      </c>
      <c r="H240" s="20">
        <v>0</v>
      </c>
      <c r="I240" s="21">
        <v>1</v>
      </c>
      <c r="J240" s="21">
        <v>0</v>
      </c>
      <c r="K240" s="20">
        <v>0</v>
      </c>
      <c r="L240" s="20">
        <v>0</v>
      </c>
      <c r="M240" s="21">
        <v>0</v>
      </c>
      <c r="N240" s="22">
        <f t="shared" si="17"/>
        <v>7</v>
      </c>
      <c r="O240" s="23" t="s">
        <v>1883</v>
      </c>
      <c r="P240" s="24" t="s">
        <v>1883</v>
      </c>
      <c r="Q240" s="25">
        <v>19362.914256659336</v>
      </c>
      <c r="R240" s="33">
        <v>18529.104551827117</v>
      </c>
      <c r="S240" s="27">
        <f t="shared" si="18"/>
        <v>19270.2687339002</v>
      </c>
      <c r="T240" s="27">
        <f t="shared" si="20"/>
        <v>20011.432915973288</v>
      </c>
      <c r="U240" s="25" t="s">
        <v>1883</v>
      </c>
      <c r="V240" s="26" t="s">
        <v>1883</v>
      </c>
      <c r="W240" s="26"/>
    </row>
    <row r="241" spans="1:25">
      <c r="A241" s="77" t="s">
        <v>259</v>
      </c>
      <c r="B241" s="18" t="str">
        <f>IFERROR(HYPERLINK(VLOOKUP(A241,ÜRÜNLER!A:C,3,FALSE),VLOOKUP(A241,ÜRÜNLER!A:B,2,FALSE)),"")</f>
        <v>iQ300 Düz Davlumbaz, 60cm, 649m3, Antrasit Gri Cam</v>
      </c>
      <c r="C241" s="19">
        <v>4</v>
      </c>
      <c r="D241" s="19" t="s">
        <v>1883</v>
      </c>
      <c r="E241" s="20">
        <v>0</v>
      </c>
      <c r="F241" s="20">
        <v>0</v>
      </c>
      <c r="G241" s="20">
        <v>0</v>
      </c>
      <c r="H241" s="20">
        <v>0</v>
      </c>
      <c r="I241" s="21">
        <v>0</v>
      </c>
      <c r="J241" s="21">
        <v>0</v>
      </c>
      <c r="K241" s="20">
        <v>1</v>
      </c>
      <c r="L241" s="20">
        <v>1</v>
      </c>
      <c r="M241" s="21">
        <v>0</v>
      </c>
      <c r="N241" s="22">
        <f t="shared" si="17"/>
        <v>6</v>
      </c>
      <c r="O241" s="23" t="s">
        <v>1883</v>
      </c>
      <c r="P241" s="24" t="s">
        <v>1883</v>
      </c>
      <c r="Q241" s="25">
        <v>22820.460991570078</v>
      </c>
      <c r="R241" s="33">
        <v>21837.761714421129</v>
      </c>
      <c r="S241" s="27">
        <f t="shared" si="18"/>
        <v>22711.272182997975</v>
      </c>
      <c r="T241" s="27">
        <f t="shared" si="20"/>
        <v>23584.78265157482</v>
      </c>
      <c r="U241" s="25" t="s">
        <v>1883</v>
      </c>
      <c r="V241" s="26" t="s">
        <v>1883</v>
      </c>
      <c r="W241" s="26"/>
    </row>
    <row r="242" spans="1:25">
      <c r="A242" s="51" t="s">
        <v>260</v>
      </c>
      <c r="B242" s="18" t="str">
        <f>IFERROR(HYPERLINK(VLOOKUP(A242,ÜRÜNLER!A:C,3,FALSE),VLOOKUP(A242,ÜRÜNLER!A:B,2,FALSE)),"")</f>
        <v>iQ300 Düz Davlumbaz, 60cm, 649m3, Beyaz Cam</v>
      </c>
      <c r="C242" s="19">
        <v>10</v>
      </c>
      <c r="D242" s="19" t="s">
        <v>1883</v>
      </c>
      <c r="E242" s="20">
        <v>0</v>
      </c>
      <c r="F242" s="20">
        <v>1</v>
      </c>
      <c r="G242" s="20">
        <v>0</v>
      </c>
      <c r="H242" s="20">
        <v>0</v>
      </c>
      <c r="I242" s="21">
        <v>0</v>
      </c>
      <c r="J242" s="21">
        <v>1</v>
      </c>
      <c r="K242" s="20">
        <v>0</v>
      </c>
      <c r="L242" s="20">
        <v>1</v>
      </c>
      <c r="M242" s="21">
        <v>0</v>
      </c>
      <c r="N242" s="22">
        <f t="shared" si="17"/>
        <v>13</v>
      </c>
      <c r="O242" s="23" t="s">
        <v>1883</v>
      </c>
      <c r="P242" s="24" t="s">
        <v>1883</v>
      </c>
      <c r="Q242" s="25">
        <v>22820.460991570078</v>
      </c>
      <c r="R242" s="33">
        <v>21837.761714421129</v>
      </c>
      <c r="S242" s="27">
        <f t="shared" si="18"/>
        <v>22711.272182997975</v>
      </c>
      <c r="T242" s="27">
        <f t="shared" si="20"/>
        <v>23584.78265157482</v>
      </c>
      <c r="U242" s="25" t="s">
        <v>1883</v>
      </c>
      <c r="V242" s="26" t="s">
        <v>1883</v>
      </c>
      <c r="W242" s="26"/>
    </row>
    <row r="243" spans="1:25">
      <c r="A243" s="51" t="s">
        <v>261</v>
      </c>
      <c r="B243" s="18" t="str">
        <f>IFERROR(HYPERLINK(VLOOKUP(A243,ÜRÜNLER!A:C,3,FALSE),VLOOKUP(A243,ÜRÜNLER!A:B,2,FALSE)),"")</f>
        <v>iQ300 Düz Davlumbaz, 60cm, 649m3, Siyah Cam</v>
      </c>
      <c r="C243" s="19" t="s">
        <v>1883</v>
      </c>
      <c r="D243" s="19" t="s">
        <v>1883</v>
      </c>
      <c r="E243" s="20">
        <v>0</v>
      </c>
      <c r="F243" s="20">
        <v>0</v>
      </c>
      <c r="G243" s="20">
        <v>0</v>
      </c>
      <c r="H243" s="20">
        <v>0</v>
      </c>
      <c r="I243" s="21">
        <v>2</v>
      </c>
      <c r="J243" s="21">
        <v>0</v>
      </c>
      <c r="K243" s="20">
        <v>0</v>
      </c>
      <c r="L243" s="20">
        <v>1</v>
      </c>
      <c r="M243" s="21">
        <v>0</v>
      </c>
      <c r="N243" s="22">
        <f t="shared" si="17"/>
        <v>3</v>
      </c>
      <c r="O243" s="23" t="s">
        <v>1883</v>
      </c>
      <c r="P243" s="24" t="s">
        <v>1883</v>
      </c>
      <c r="Q243" s="25">
        <v>22820.460991570078</v>
      </c>
      <c r="R243" s="33">
        <v>21837.761714421129</v>
      </c>
      <c r="S243" s="27">
        <f t="shared" si="18"/>
        <v>22711.272182997975</v>
      </c>
      <c r="T243" s="27">
        <f t="shared" si="20"/>
        <v>23584.78265157482</v>
      </c>
      <c r="U243" s="25" t="s">
        <v>1883</v>
      </c>
      <c r="V243" s="26" t="s">
        <v>1883</v>
      </c>
      <c r="W243" s="26"/>
    </row>
    <row r="244" spans="1:25">
      <c r="A244" s="42" t="s">
        <v>262</v>
      </c>
      <c r="B244" s="18" t="str">
        <f>IFERROR(HYPERLINK(VLOOKUP(A244,ÜRÜNLER!A:C,3,FALSE),VLOOKUP(A244,ÜRÜNLER!A:B,2,FALSE)),"")</f>
        <v>iQ300 Eğimli Davlumbaz, 60cm, 593m3, Siyah Cam</v>
      </c>
      <c r="C244" s="19" t="s">
        <v>1883</v>
      </c>
      <c r="D244" s="19" t="s">
        <v>1883</v>
      </c>
      <c r="E244" s="20">
        <v>0</v>
      </c>
      <c r="F244" s="20">
        <v>0</v>
      </c>
      <c r="G244" s="20">
        <v>0</v>
      </c>
      <c r="H244" s="20">
        <v>0</v>
      </c>
      <c r="I244" s="21">
        <v>0</v>
      </c>
      <c r="J244" s="21">
        <v>0</v>
      </c>
      <c r="K244" s="20">
        <v>0</v>
      </c>
      <c r="L244" s="20">
        <v>0</v>
      </c>
      <c r="M244" s="21">
        <v>0</v>
      </c>
      <c r="N244" s="22">
        <f t="shared" si="17"/>
        <v>0</v>
      </c>
      <c r="O244" s="23" t="s">
        <v>1883</v>
      </c>
      <c r="P244" s="24" t="s">
        <v>1883</v>
      </c>
      <c r="Q244" s="25" t="s">
        <v>1884</v>
      </c>
      <c r="R244" s="26">
        <v>13000</v>
      </c>
      <c r="S244" s="27">
        <f t="shared" si="18"/>
        <v>13520</v>
      </c>
      <c r="T244" s="27">
        <f t="shared" si="20"/>
        <v>14040.000000000002</v>
      </c>
      <c r="U244" s="25" t="s">
        <v>1883</v>
      </c>
      <c r="V244" s="26" t="s">
        <v>1883</v>
      </c>
      <c r="W244" s="26">
        <v>250</v>
      </c>
    </row>
    <row r="245" spans="1:25">
      <c r="A245" s="37" t="s">
        <v>263</v>
      </c>
      <c r="B245" s="18" t="str">
        <f>IFERROR(HYPERLINK(VLOOKUP(A245,ÜRÜNLER!A:C,3,FALSE),VLOOKUP(A245,ÜRÜNLER!A:B,2,FALSE)),"")</f>
        <v>iQ300 Eğimli Davlumbaz, 60cm, 510m3, Beyaz Cam</v>
      </c>
      <c r="C245" s="19">
        <v>13</v>
      </c>
      <c r="D245" s="19" t="s">
        <v>1883</v>
      </c>
      <c r="E245" s="20">
        <v>0</v>
      </c>
      <c r="F245" s="20">
        <v>0</v>
      </c>
      <c r="G245" s="20">
        <v>0</v>
      </c>
      <c r="H245" s="20">
        <v>0</v>
      </c>
      <c r="I245" s="21">
        <v>1</v>
      </c>
      <c r="J245" s="21">
        <v>0</v>
      </c>
      <c r="K245" s="20">
        <v>0</v>
      </c>
      <c r="L245" s="20">
        <v>0</v>
      </c>
      <c r="M245" s="21">
        <v>1</v>
      </c>
      <c r="N245" s="22">
        <f t="shared" si="17"/>
        <v>15</v>
      </c>
      <c r="O245" s="23">
        <v>13</v>
      </c>
      <c r="P245" s="24" t="s">
        <v>1883</v>
      </c>
      <c r="Q245" s="25">
        <v>20407.166737063955</v>
      </c>
      <c r="R245" s="33">
        <v>19528.389222070771</v>
      </c>
      <c r="S245" s="27">
        <f t="shared" si="18"/>
        <v>20309.524790953601</v>
      </c>
      <c r="T245" s="27">
        <f t="shared" si="20"/>
        <v>21090.660359836435</v>
      </c>
      <c r="U245" s="25" t="s">
        <v>1883</v>
      </c>
      <c r="V245" s="26" t="s">
        <v>1883</v>
      </c>
      <c r="W245" s="26"/>
    </row>
    <row r="246" spans="1:25">
      <c r="A246" s="42" t="s">
        <v>264</v>
      </c>
      <c r="B246" s="18" t="str">
        <f>IFERROR(HYPERLINK(VLOOKUP(A246,ÜRÜNLER!A:C,3,FALSE),VLOOKUP(A246,ÜRÜNLER!A:B,2,FALSE)),"")</f>
        <v>iQ300 Eğimli Davlumbaz, 60cm, 510m3, Siyah Cam</v>
      </c>
      <c r="C246" s="19">
        <v>12</v>
      </c>
      <c r="D246" s="19" t="s">
        <v>1883</v>
      </c>
      <c r="E246" s="20">
        <v>0</v>
      </c>
      <c r="F246" s="20">
        <v>0</v>
      </c>
      <c r="G246" s="20">
        <v>0</v>
      </c>
      <c r="H246" s="20">
        <v>0</v>
      </c>
      <c r="I246" s="21">
        <v>0</v>
      </c>
      <c r="J246" s="21">
        <v>0</v>
      </c>
      <c r="K246" s="20">
        <v>1</v>
      </c>
      <c r="L246" s="20">
        <v>1</v>
      </c>
      <c r="M246" s="21">
        <v>0</v>
      </c>
      <c r="N246" s="22">
        <f t="shared" si="17"/>
        <v>14</v>
      </c>
      <c r="O246" s="23" t="s">
        <v>1883</v>
      </c>
      <c r="P246" s="24" t="s">
        <v>1883</v>
      </c>
      <c r="Q246" s="25">
        <v>20407.166737063955</v>
      </c>
      <c r="R246" s="33">
        <v>21427.525073917153</v>
      </c>
      <c r="S246" s="27">
        <f t="shared" si="18"/>
        <v>22284.626076873839</v>
      </c>
      <c r="T246" s="27">
        <f t="shared" si="20"/>
        <v>23141.727079830525</v>
      </c>
      <c r="U246" s="25" t="s">
        <v>1883</v>
      </c>
      <c r="V246" s="26" t="s">
        <v>1883</v>
      </c>
      <c r="W246" s="26"/>
      <c r="Y246" s="30" t="s">
        <v>1896</v>
      </c>
    </row>
    <row r="247" spans="1:25">
      <c r="A247" s="77" t="s">
        <v>265</v>
      </c>
      <c r="B247" s="18" t="str">
        <f>IFERROR(HYPERLINK(VLOOKUP(A247,ÜRÜNLER!A:C,3,FALSE),VLOOKUP(A247,ÜRÜNLER!A:B,2,FALSE)),"")</f>
        <v>iQ300 Eğimli Davlumbaz, 60cm, 510m3, Antrasit Gri Cam</v>
      </c>
      <c r="C247" s="19">
        <v>11</v>
      </c>
      <c r="D247" s="19" t="s">
        <v>1883</v>
      </c>
      <c r="E247" s="20">
        <v>0</v>
      </c>
      <c r="F247" s="20">
        <v>1</v>
      </c>
      <c r="G247" s="20">
        <v>0</v>
      </c>
      <c r="H247" s="20">
        <v>0</v>
      </c>
      <c r="I247" s="21">
        <v>1</v>
      </c>
      <c r="J247" s="21">
        <v>0</v>
      </c>
      <c r="K247" s="20">
        <v>0</v>
      </c>
      <c r="L247" s="20">
        <v>0</v>
      </c>
      <c r="M247" s="21">
        <v>0</v>
      </c>
      <c r="N247" s="22">
        <f t="shared" si="17"/>
        <v>13</v>
      </c>
      <c r="O247" s="23">
        <v>13</v>
      </c>
      <c r="P247" s="24" t="s">
        <v>1883</v>
      </c>
      <c r="Q247" s="25">
        <v>20407.166737063955</v>
      </c>
      <c r="R247" s="33">
        <v>19528.389222070771</v>
      </c>
      <c r="S247" s="27">
        <f t="shared" si="18"/>
        <v>20309.524790953601</v>
      </c>
      <c r="T247" s="27">
        <f t="shared" si="20"/>
        <v>21090.660359836435</v>
      </c>
      <c r="U247" s="25" t="s">
        <v>1883</v>
      </c>
      <c r="V247" s="26" t="s">
        <v>1883</v>
      </c>
      <c r="W247" s="26"/>
    </row>
    <row r="248" spans="1:25">
      <c r="A248" s="80" t="s">
        <v>266</v>
      </c>
      <c r="B248" s="18" t="str">
        <f>IFERROR(HYPERLINK(VLOOKUP(A248,ÜRÜNLER!A:C,3,FALSE),VLOOKUP(A248,ÜRÜNLER!A:B,2,FALSE)),"")</f>
        <v>iQ300 Düz Davlumbaz, 60cm, 582m3, Magnet Silver</v>
      </c>
      <c r="C248" s="19">
        <v>1</v>
      </c>
      <c r="D248" s="19" t="s">
        <v>1883</v>
      </c>
      <c r="E248" s="20">
        <v>0</v>
      </c>
      <c r="F248" s="20">
        <v>0</v>
      </c>
      <c r="G248" s="20">
        <v>0</v>
      </c>
      <c r="H248" s="20">
        <v>0</v>
      </c>
      <c r="I248" s="21">
        <v>0</v>
      </c>
      <c r="J248" s="21">
        <v>0</v>
      </c>
      <c r="K248" s="20">
        <v>0</v>
      </c>
      <c r="L248" s="20">
        <v>0</v>
      </c>
      <c r="M248" s="21">
        <v>0</v>
      </c>
      <c r="N248" s="22">
        <f t="shared" si="17"/>
        <v>1</v>
      </c>
      <c r="O248" s="23" t="s">
        <v>1883</v>
      </c>
      <c r="P248" s="24" t="s">
        <v>1883</v>
      </c>
      <c r="Q248" s="25" t="s">
        <v>1884</v>
      </c>
      <c r="R248" s="33">
        <v>18296.350661364198</v>
      </c>
      <c r="S248" s="27">
        <f t="shared" si="18"/>
        <v>19028.204687818768</v>
      </c>
      <c r="T248" s="27">
        <f t="shared" si="20"/>
        <v>19760.058714273335</v>
      </c>
      <c r="U248" s="25" t="s">
        <v>1883</v>
      </c>
      <c r="V248" s="26" t="s">
        <v>1883</v>
      </c>
      <c r="W248" s="33">
        <v>250</v>
      </c>
    </row>
    <row r="249" spans="1:25">
      <c r="A249" s="51" t="s">
        <v>267</v>
      </c>
      <c r="B249" s="18" t="str">
        <f>IFERROR(HYPERLINK(VLOOKUP(A249,ÜRÜNLER!A:C,3,FALSE),VLOOKUP(A249,ÜRÜNLER!A:B,2,FALSE)),"")</f>
        <v>iQ300 Düz Davlumbaz, 60cm, 582m3, Beyaz/Inox</v>
      </c>
      <c r="C249" s="19">
        <v>24</v>
      </c>
      <c r="D249" s="19" t="s">
        <v>1883</v>
      </c>
      <c r="E249" s="20">
        <v>0</v>
      </c>
      <c r="F249" s="20">
        <v>1</v>
      </c>
      <c r="G249" s="20">
        <v>1</v>
      </c>
      <c r="H249" s="20">
        <v>0</v>
      </c>
      <c r="I249" s="21">
        <v>0</v>
      </c>
      <c r="J249" s="21">
        <v>1</v>
      </c>
      <c r="K249" s="20">
        <v>0</v>
      </c>
      <c r="L249" s="20">
        <v>0</v>
      </c>
      <c r="M249" s="21">
        <v>0</v>
      </c>
      <c r="N249" s="22">
        <f t="shared" si="17"/>
        <v>27</v>
      </c>
      <c r="O249" s="23" t="s">
        <v>1883</v>
      </c>
      <c r="P249" s="24" t="s">
        <v>1883</v>
      </c>
      <c r="Q249" s="25">
        <v>21079.454301340957</v>
      </c>
      <c r="R249" s="32">
        <v>20025.481586273909</v>
      </c>
      <c r="S249" s="27">
        <f t="shared" si="18"/>
        <v>20826.500849724867</v>
      </c>
      <c r="T249" s="27">
        <f t="shared" si="20"/>
        <v>21627.520113175822</v>
      </c>
      <c r="U249" s="25" t="s">
        <v>1883</v>
      </c>
      <c r="V249" s="26" t="s">
        <v>1883</v>
      </c>
      <c r="W249" s="33">
        <v>250</v>
      </c>
      <c r="Y249" s="30" t="s">
        <v>1896</v>
      </c>
    </row>
    <row r="250" spans="1:25">
      <c r="A250" s="73" t="s">
        <v>268</v>
      </c>
      <c r="B250" s="18" t="str">
        <f>IFERROR(HYPERLINK(VLOOKUP(A250,ÜRÜNLER!A:C,3,FALSE),VLOOKUP(A250,ÜRÜNLER!A:B,2,FALSE)),"")</f>
        <v>iQ300 Düz Davlumbaz, 60cm, 582m3, Siyah/Inox</v>
      </c>
      <c r="C250" s="19">
        <v>35</v>
      </c>
      <c r="D250" s="19" t="s">
        <v>1883</v>
      </c>
      <c r="E250" s="20">
        <v>0</v>
      </c>
      <c r="F250" s="20">
        <v>0</v>
      </c>
      <c r="G250" s="20">
        <v>0</v>
      </c>
      <c r="H250" s="20">
        <v>0</v>
      </c>
      <c r="I250" s="21">
        <v>0</v>
      </c>
      <c r="J250" s="21">
        <v>1</v>
      </c>
      <c r="K250" s="20">
        <v>0</v>
      </c>
      <c r="L250" s="20">
        <v>3</v>
      </c>
      <c r="M250" s="21">
        <v>1</v>
      </c>
      <c r="N250" s="22">
        <f t="shared" si="17"/>
        <v>40</v>
      </c>
      <c r="O250" s="23" t="s">
        <v>1883</v>
      </c>
      <c r="P250" s="24" t="s">
        <v>1883</v>
      </c>
      <c r="Q250" s="25">
        <v>21079.454301340957</v>
      </c>
      <c r="R250" s="32">
        <v>20025.481586273909</v>
      </c>
      <c r="S250" s="27">
        <f t="shared" si="18"/>
        <v>20826.500849724867</v>
      </c>
      <c r="T250" s="27">
        <f t="shared" si="20"/>
        <v>21627.520113175822</v>
      </c>
      <c r="U250" s="25" t="s">
        <v>1883</v>
      </c>
      <c r="V250" s="26" t="s">
        <v>1883</v>
      </c>
      <c r="W250" s="26"/>
      <c r="Y250" s="30" t="s">
        <v>1896</v>
      </c>
    </row>
    <row r="251" spans="1:25">
      <c r="A251" s="51" t="s">
        <v>269</v>
      </c>
      <c r="B251" s="18" t="str">
        <f>IFERROR(HYPERLINK(VLOOKUP(A251,ÜRÜNLER!A:C,3,FALSE),VLOOKUP(A251,ÜRÜNLER!A:B,2,FALSE)),"")</f>
        <v>iQ500 Düz Davlumbaz, 60cm, 645m3, Beyaz Cam</v>
      </c>
      <c r="C251" s="19">
        <v>7</v>
      </c>
      <c r="D251" s="19" t="s">
        <v>1883</v>
      </c>
      <c r="E251" s="20">
        <v>0</v>
      </c>
      <c r="F251" s="20">
        <v>0</v>
      </c>
      <c r="G251" s="20">
        <v>0</v>
      </c>
      <c r="H251" s="20">
        <v>0</v>
      </c>
      <c r="I251" s="21">
        <v>1</v>
      </c>
      <c r="J251" s="21">
        <v>0</v>
      </c>
      <c r="K251" s="20">
        <v>0</v>
      </c>
      <c r="L251" s="20">
        <v>0</v>
      </c>
      <c r="M251" s="21">
        <v>0</v>
      </c>
      <c r="N251" s="22">
        <f t="shared" si="17"/>
        <v>8</v>
      </c>
      <c r="O251" s="23" t="s">
        <v>1883</v>
      </c>
      <c r="P251" s="24" t="s">
        <v>1883</v>
      </c>
      <c r="Q251" s="25" t="s">
        <v>1884</v>
      </c>
      <c r="R251" s="33">
        <v>16000</v>
      </c>
      <c r="S251" s="27">
        <f t="shared" si="18"/>
        <v>16640</v>
      </c>
      <c r="T251" s="27">
        <f t="shared" si="20"/>
        <v>17280</v>
      </c>
      <c r="U251" s="25" t="s">
        <v>1883</v>
      </c>
      <c r="V251" s="26" t="s">
        <v>1883</v>
      </c>
      <c r="W251" s="70">
        <v>500</v>
      </c>
    </row>
    <row r="252" spans="1:25">
      <c r="A252" s="73" t="s">
        <v>270</v>
      </c>
      <c r="B252" s="18" t="str">
        <f>IFERROR(HYPERLINK(VLOOKUP(A252,ÜRÜNLER!A:C,3,FALSE),VLOOKUP(A252,ÜRÜNLER!A:B,2,FALSE)),"")</f>
        <v>iQ500 Düz Davlumbaz, 60cm, 645m3, Siyah Cam</v>
      </c>
      <c r="C252" s="19" t="s">
        <v>1883</v>
      </c>
      <c r="D252" s="19" t="s">
        <v>1883</v>
      </c>
      <c r="E252" s="20">
        <v>0</v>
      </c>
      <c r="F252" s="20">
        <v>0</v>
      </c>
      <c r="G252" s="20">
        <v>0</v>
      </c>
      <c r="H252" s="20">
        <v>0</v>
      </c>
      <c r="I252" s="21">
        <v>0</v>
      </c>
      <c r="J252" s="21">
        <v>0</v>
      </c>
      <c r="K252" s="20">
        <v>0</v>
      </c>
      <c r="L252" s="20">
        <v>0</v>
      </c>
      <c r="M252" s="21">
        <v>0</v>
      </c>
      <c r="N252" s="22">
        <f t="shared" si="17"/>
        <v>0</v>
      </c>
      <c r="O252" s="23" t="s">
        <v>1883</v>
      </c>
      <c r="P252" s="24" t="s">
        <v>1883</v>
      </c>
      <c r="Q252" s="25" t="s">
        <v>1884</v>
      </c>
      <c r="R252" s="33">
        <v>17000</v>
      </c>
      <c r="S252" s="27">
        <f t="shared" si="18"/>
        <v>17680</v>
      </c>
      <c r="T252" s="27">
        <f t="shared" si="20"/>
        <v>18360</v>
      </c>
      <c r="U252" s="25" t="s">
        <v>1883</v>
      </c>
      <c r="V252" s="26" t="s">
        <v>1883</v>
      </c>
      <c r="W252" s="70">
        <v>500</v>
      </c>
    </row>
    <row r="253" spans="1:25">
      <c r="A253" s="81" t="s">
        <v>271</v>
      </c>
      <c r="B253" s="18" t="str">
        <f>IFERROR(HYPERLINK(VLOOKUP(A253,ÜRÜNLER!A:C,3,FALSE),VLOOKUP(A253,ÜRÜNLER!A:B,2,FALSE)),"")</f>
        <v>iQ500 Eğimli Davlumbaz, 60cm, 510m3, Beyaz Cam</v>
      </c>
      <c r="C253" s="19">
        <v>3</v>
      </c>
      <c r="D253" s="19" t="s">
        <v>1883</v>
      </c>
      <c r="E253" s="20">
        <v>0</v>
      </c>
      <c r="F253" s="20">
        <v>0</v>
      </c>
      <c r="G253" s="20">
        <v>0</v>
      </c>
      <c r="H253" s="20">
        <v>0</v>
      </c>
      <c r="I253" s="21">
        <v>0</v>
      </c>
      <c r="J253" s="21">
        <v>0</v>
      </c>
      <c r="K253" s="20">
        <v>1</v>
      </c>
      <c r="L253" s="20">
        <v>0</v>
      </c>
      <c r="M253" s="21">
        <v>0</v>
      </c>
      <c r="N253" s="22">
        <f t="shared" si="17"/>
        <v>4</v>
      </c>
      <c r="O253" s="23">
        <v>1</v>
      </c>
      <c r="P253" s="24" t="s">
        <v>1883</v>
      </c>
      <c r="Q253" s="25">
        <v>23225.183292422775</v>
      </c>
      <c r="R253" s="33">
        <v>24386.442457043915</v>
      </c>
      <c r="S253" s="27">
        <f t="shared" si="18"/>
        <v>25361.900155325671</v>
      </c>
      <c r="T253" s="27">
        <f t="shared" si="20"/>
        <v>26337.357853607431</v>
      </c>
      <c r="U253" s="25" t="s">
        <v>1883</v>
      </c>
      <c r="V253" s="26" t="s">
        <v>1883</v>
      </c>
      <c r="W253" s="26"/>
      <c r="Y253" s="30" t="s">
        <v>1896</v>
      </c>
    </row>
    <row r="254" spans="1:25">
      <c r="A254" s="73" t="s">
        <v>272</v>
      </c>
      <c r="B254" s="18" t="str">
        <f>IFERROR(HYPERLINK(VLOOKUP(A254,ÜRÜNLER!A:C,3,FALSE),VLOOKUP(A254,ÜRÜNLER!A:B,2,FALSE)),"")</f>
        <v>iQ500 Eğimli Davlumbaz, 60cm, 700m3, Siyah Cam</v>
      </c>
      <c r="C254" s="19">
        <v>7</v>
      </c>
      <c r="D254" s="19" t="s">
        <v>1883</v>
      </c>
      <c r="E254" s="20">
        <v>0</v>
      </c>
      <c r="F254" s="20">
        <v>0</v>
      </c>
      <c r="G254" s="20">
        <v>1</v>
      </c>
      <c r="H254" s="20">
        <v>0</v>
      </c>
      <c r="I254" s="21">
        <v>0</v>
      </c>
      <c r="J254" s="21">
        <v>0</v>
      </c>
      <c r="K254" s="20">
        <v>0</v>
      </c>
      <c r="L254" s="20">
        <v>1</v>
      </c>
      <c r="M254" s="21">
        <v>0</v>
      </c>
      <c r="N254" s="22">
        <f t="shared" si="17"/>
        <v>9</v>
      </c>
      <c r="O254" s="23" t="s">
        <v>1883</v>
      </c>
      <c r="P254" s="24" t="s">
        <v>1883</v>
      </c>
      <c r="Q254" s="25">
        <v>23225.183292422775</v>
      </c>
      <c r="R254" s="33">
        <v>22225.055782222753</v>
      </c>
      <c r="S254" s="27">
        <f t="shared" si="18"/>
        <v>23114.058013511665</v>
      </c>
      <c r="T254" s="27">
        <f t="shared" si="20"/>
        <v>24003.060244800574</v>
      </c>
      <c r="U254" s="25" t="s">
        <v>1883</v>
      </c>
      <c r="V254" s="26" t="s">
        <v>1883</v>
      </c>
      <c r="W254" s="26"/>
      <c r="Y254" s="30" t="s">
        <v>1896</v>
      </c>
    </row>
    <row r="255" spans="1:25">
      <c r="A255" s="73" t="s">
        <v>273</v>
      </c>
      <c r="B255" s="18" t="str">
        <f>IFERROR(HYPERLINK(VLOOKUP(A255,ÜRÜNLER!A:C,3,FALSE),VLOOKUP(A255,ÜRÜNLER!A:B,2,FALSE)),"")</f>
        <v>iQ500 Eğimli Davlumbaz, 60cm, 510m3, Siyah Cam</v>
      </c>
      <c r="C255" s="19">
        <v>17</v>
      </c>
      <c r="D255" s="19" t="s">
        <v>1883</v>
      </c>
      <c r="E255" s="20">
        <v>0</v>
      </c>
      <c r="F255" s="20">
        <v>0</v>
      </c>
      <c r="G255" s="20">
        <v>0</v>
      </c>
      <c r="H255" s="20">
        <v>0</v>
      </c>
      <c r="I255" s="21">
        <v>0</v>
      </c>
      <c r="J255" s="21">
        <v>0</v>
      </c>
      <c r="K255" s="20">
        <v>0</v>
      </c>
      <c r="L255" s="20">
        <v>0</v>
      </c>
      <c r="M255" s="21">
        <v>1</v>
      </c>
      <c r="N255" s="22">
        <f t="shared" si="17"/>
        <v>18</v>
      </c>
      <c r="O255" s="23" t="s">
        <v>1883</v>
      </c>
      <c r="P255" s="24" t="s">
        <v>1883</v>
      </c>
      <c r="Q255" s="25">
        <v>23225.183292422775</v>
      </c>
      <c r="R255" s="33">
        <v>22225.055782222753</v>
      </c>
      <c r="S255" s="27">
        <f t="shared" si="18"/>
        <v>23114.058013511665</v>
      </c>
      <c r="T255" s="27">
        <f t="shared" si="20"/>
        <v>24003.060244800574</v>
      </c>
      <c r="U255" s="25" t="s">
        <v>1883</v>
      </c>
      <c r="V255" s="26" t="s">
        <v>1883</v>
      </c>
      <c r="W255" s="26"/>
      <c r="Y255" s="30" t="s">
        <v>1896</v>
      </c>
    </row>
    <row r="256" spans="1:25">
      <c r="A256" s="77" t="s">
        <v>274</v>
      </c>
      <c r="B256" s="18" t="str">
        <f>IFERROR(HYPERLINK(VLOOKUP(A256,ÜRÜNLER!A:C,3,FALSE),VLOOKUP(A256,ÜRÜNLER!A:B,2,FALSE)),"")</f>
        <v>iQ500 Eğimli Davlumbaz, 60cm, 510m3, Antrasit Gri Cam</v>
      </c>
      <c r="C256" s="19">
        <v>17</v>
      </c>
      <c r="D256" s="19" t="s">
        <v>1883</v>
      </c>
      <c r="E256" s="20">
        <v>0</v>
      </c>
      <c r="F256" s="20">
        <v>0</v>
      </c>
      <c r="G256" s="20">
        <v>0</v>
      </c>
      <c r="H256" s="20">
        <v>0</v>
      </c>
      <c r="I256" s="21">
        <v>0</v>
      </c>
      <c r="J256" s="21">
        <v>1</v>
      </c>
      <c r="K256" s="20">
        <v>0</v>
      </c>
      <c r="L256" s="20">
        <v>0</v>
      </c>
      <c r="M256" s="21">
        <v>0</v>
      </c>
      <c r="N256" s="22">
        <f t="shared" si="17"/>
        <v>18</v>
      </c>
      <c r="O256" s="23"/>
      <c r="P256" s="24" t="s">
        <v>1883</v>
      </c>
      <c r="Q256" s="25">
        <v>23225.183292422775</v>
      </c>
      <c r="R256" s="33">
        <v>24386.442457043915</v>
      </c>
      <c r="S256" s="27">
        <f t="shared" si="18"/>
        <v>25361.900155325671</v>
      </c>
      <c r="T256" s="27">
        <f t="shared" si="20"/>
        <v>26337.357853607431</v>
      </c>
      <c r="U256" s="25" t="s">
        <v>1883</v>
      </c>
      <c r="V256" s="26" t="s">
        <v>1883</v>
      </c>
      <c r="W256" s="26"/>
      <c r="Y256" s="30" t="s">
        <v>1896</v>
      </c>
    </row>
    <row r="257" spans="1:25">
      <c r="A257" s="51" t="s">
        <v>275</v>
      </c>
      <c r="B257" s="18" t="str">
        <f>IFERROR(HYPERLINK(VLOOKUP(A257,ÜRÜNLER!A:C,3,FALSE),VLOOKUP(A257,ÜRÜNLER!A:B,2,FALSE)),"")</f>
        <v>iQ500 Eğimli Davlumbaz, 60cm, 578m3, Siyah Cam</v>
      </c>
      <c r="C257" s="19" t="s">
        <v>1883</v>
      </c>
      <c r="D257" s="19" t="s">
        <v>1883</v>
      </c>
      <c r="E257" s="20">
        <v>0</v>
      </c>
      <c r="F257" s="20">
        <v>0</v>
      </c>
      <c r="G257" s="20">
        <v>0</v>
      </c>
      <c r="H257" s="20">
        <v>0</v>
      </c>
      <c r="I257" s="21">
        <v>0</v>
      </c>
      <c r="J257" s="21">
        <v>0</v>
      </c>
      <c r="K257" s="20">
        <v>0</v>
      </c>
      <c r="L257" s="20">
        <v>1</v>
      </c>
      <c r="M257" s="21">
        <v>1</v>
      </c>
      <c r="N257" s="22">
        <f t="shared" si="17"/>
        <v>2</v>
      </c>
      <c r="O257" s="23" t="s">
        <v>1883</v>
      </c>
      <c r="P257" s="24" t="s">
        <v>1883</v>
      </c>
      <c r="Q257" s="25" t="s">
        <v>1884</v>
      </c>
      <c r="R257" s="33">
        <v>25000</v>
      </c>
      <c r="S257" s="27">
        <f t="shared" si="18"/>
        <v>26000</v>
      </c>
      <c r="T257" s="27">
        <f t="shared" si="20"/>
        <v>27000</v>
      </c>
      <c r="U257" s="25" t="s">
        <v>1883</v>
      </c>
      <c r="V257" s="26" t="s">
        <v>1883</v>
      </c>
      <c r="W257" s="70">
        <v>500</v>
      </c>
    </row>
    <row r="258" spans="1:25">
      <c r="A258" s="73" t="s">
        <v>276</v>
      </c>
      <c r="B258" s="18" t="str">
        <f>IFERROR(HYPERLINK(VLOOKUP(A258,ÜRÜNLER!A:C,3,FALSE),VLOOKUP(A258,ÜRÜNLER!A:B,2,FALSE)),"")</f>
        <v>iQ700 Eğimli Davlumbaz, 60cm, 616m3, Siyah Cam</v>
      </c>
      <c r="C258" s="19">
        <v>9</v>
      </c>
      <c r="D258" s="19" t="s">
        <v>1883</v>
      </c>
      <c r="E258" s="20">
        <v>0</v>
      </c>
      <c r="F258" s="20">
        <v>0</v>
      </c>
      <c r="G258" s="20">
        <v>0</v>
      </c>
      <c r="H258" s="20">
        <v>0</v>
      </c>
      <c r="I258" s="21">
        <v>1</v>
      </c>
      <c r="J258" s="21">
        <v>1</v>
      </c>
      <c r="K258" s="20">
        <v>1</v>
      </c>
      <c r="L258" s="20">
        <v>0</v>
      </c>
      <c r="M258" s="21">
        <v>0</v>
      </c>
      <c r="N258" s="22">
        <f t="shared" si="17"/>
        <v>12</v>
      </c>
      <c r="O258" s="23" t="s">
        <v>1883</v>
      </c>
      <c r="P258" s="24" t="s">
        <v>1883</v>
      </c>
      <c r="Q258" s="25">
        <v>38000.156426121088</v>
      </c>
      <c r="R258" s="33">
        <v>36363.786053704396</v>
      </c>
      <c r="S258" s="27">
        <f t="shared" si="18"/>
        <v>37818.337495852575</v>
      </c>
      <c r="T258" s="27">
        <f t="shared" si="20"/>
        <v>39272.888938000753</v>
      </c>
      <c r="U258" s="25" t="s">
        <v>1883</v>
      </c>
      <c r="V258" s="26" t="s">
        <v>1883</v>
      </c>
      <c r="W258" s="26"/>
      <c r="Y258" s="30" t="s">
        <v>1896</v>
      </c>
    </row>
    <row r="259" spans="1:25">
      <c r="A259" s="51" t="s">
        <v>277</v>
      </c>
      <c r="B259" s="18" t="str">
        <f>IFERROR(HYPERLINK(VLOOKUP(A259,ÜRÜNLER!A:C,3,FALSE),VLOOKUP(A259,ÜRÜNLER!A:B,2,FALSE)),"")</f>
        <v>iQ700 Eğimli Davlumbaz, 90cm, 441m3, Siyah Cam</v>
      </c>
      <c r="C259" s="19" t="s">
        <v>1883</v>
      </c>
      <c r="D259" s="19" t="s">
        <v>1883</v>
      </c>
      <c r="E259" s="20">
        <v>0</v>
      </c>
      <c r="F259" s="20">
        <v>0</v>
      </c>
      <c r="G259" s="20">
        <v>0</v>
      </c>
      <c r="H259" s="20">
        <v>0</v>
      </c>
      <c r="I259" s="21">
        <v>0</v>
      </c>
      <c r="J259" s="21">
        <v>0</v>
      </c>
      <c r="K259" s="20">
        <v>0</v>
      </c>
      <c r="L259" s="20">
        <v>0</v>
      </c>
      <c r="M259" s="21">
        <v>0</v>
      </c>
      <c r="N259" s="22">
        <f t="shared" si="17"/>
        <v>0</v>
      </c>
      <c r="O259" s="23" t="s">
        <v>1883</v>
      </c>
      <c r="P259" s="24" t="s">
        <v>1883</v>
      </c>
      <c r="Q259" s="25">
        <v>69516.043455916923</v>
      </c>
      <c r="R259" s="33">
        <v>63354.790117035249</v>
      </c>
      <c r="S259" s="27">
        <f t="shared" si="18"/>
        <v>65888.981721716656</v>
      </c>
      <c r="T259" s="27">
        <f t="shared" si="20"/>
        <v>68423.173326398071</v>
      </c>
      <c r="U259" s="25" t="s">
        <v>1883</v>
      </c>
      <c r="V259" s="26" t="s">
        <v>1883</v>
      </c>
      <c r="W259" s="26"/>
    </row>
    <row r="260" spans="1:25">
      <c r="A260" s="51" t="s">
        <v>278</v>
      </c>
      <c r="B260" s="18" t="str">
        <f>IFERROR(HYPERLINK(VLOOKUP(A260,ÜRÜNLER!A:C,3,FALSE),VLOOKUP(A260,ÜRÜNLER!A:B,2,FALSE)),"")</f>
        <v>iQ700 studioLine Eğimli Davlumbaz, 90cm, 441m3, Siyah Cam</v>
      </c>
      <c r="C260" s="19" t="s">
        <v>1883</v>
      </c>
      <c r="D260" s="19">
        <v>4</v>
      </c>
      <c r="E260" s="20">
        <v>0</v>
      </c>
      <c r="F260" s="20">
        <v>0</v>
      </c>
      <c r="G260" s="20">
        <v>0</v>
      </c>
      <c r="H260" s="20">
        <v>0</v>
      </c>
      <c r="I260" s="21">
        <v>0</v>
      </c>
      <c r="J260" s="21">
        <v>0</v>
      </c>
      <c r="K260" s="20">
        <v>0</v>
      </c>
      <c r="L260" s="20">
        <v>1</v>
      </c>
      <c r="M260" s="21">
        <v>0</v>
      </c>
      <c r="N260" s="22">
        <f t="shared" si="17"/>
        <v>5</v>
      </c>
      <c r="O260" s="23" t="s">
        <v>1883</v>
      </c>
      <c r="P260" s="24" t="s">
        <v>1883</v>
      </c>
      <c r="Q260" s="25">
        <v>104225.59039235969</v>
      </c>
      <c r="R260" s="74">
        <v>89763.666366625577</v>
      </c>
      <c r="S260" s="27">
        <f t="shared" si="18"/>
        <v>93354.213021290605</v>
      </c>
      <c r="T260" s="27">
        <f t="shared" si="20"/>
        <v>96944.759675955633</v>
      </c>
      <c r="U260" s="25" t="s">
        <v>1883</v>
      </c>
      <c r="V260" s="26" t="s">
        <v>1883</v>
      </c>
      <c r="W260" s="33">
        <v>250</v>
      </c>
    </row>
    <row r="261" spans="1:25">
      <c r="A261" s="51" t="s">
        <v>279</v>
      </c>
      <c r="B261" s="18" t="str">
        <f>IFERROR(HYPERLINK(VLOOKUP(A261,ÜRÜNLER!A:C,3,FALSE),VLOOKUP(A261,ÜRÜNLER!A:B,2,FALSE)),"")</f>
        <v>iQ100 Düz Davlumbaz, 90cm, 616m3, Inox</v>
      </c>
      <c r="C261" s="19" t="s">
        <v>1883</v>
      </c>
      <c r="D261" s="19" t="s">
        <v>1883</v>
      </c>
      <c r="E261" s="20">
        <v>0</v>
      </c>
      <c r="F261" s="20">
        <v>0</v>
      </c>
      <c r="G261" s="20">
        <v>0</v>
      </c>
      <c r="H261" s="20">
        <v>0</v>
      </c>
      <c r="I261" s="21">
        <v>0</v>
      </c>
      <c r="J261" s="21">
        <v>1</v>
      </c>
      <c r="K261" s="20">
        <v>0</v>
      </c>
      <c r="L261" s="20">
        <v>0</v>
      </c>
      <c r="M261" s="21">
        <v>0</v>
      </c>
      <c r="N261" s="22">
        <f t="shared" si="17"/>
        <v>1</v>
      </c>
      <c r="O261" s="23" t="s">
        <v>1883</v>
      </c>
      <c r="P261" s="24" t="s">
        <v>1883</v>
      </c>
      <c r="Q261" s="25">
        <v>28839.449538033114</v>
      </c>
      <c r="R261" s="32">
        <v>27397.47706113146</v>
      </c>
      <c r="S261" s="27">
        <f t="shared" si="18"/>
        <v>28493.376143576719</v>
      </c>
      <c r="T261" s="27">
        <f t="shared" si="20"/>
        <v>29589.275226021979</v>
      </c>
      <c r="U261" s="25" t="s">
        <v>1883</v>
      </c>
      <c r="V261" s="26" t="s">
        <v>1883</v>
      </c>
      <c r="W261" s="26"/>
    </row>
    <row r="262" spans="1:25">
      <c r="A262" s="82" t="s">
        <v>280</v>
      </c>
      <c r="B262" s="18" t="str">
        <f>IFERROR(HYPERLINK(VLOOKUP(A262,ÜRÜNLER!A:C,3,FALSE),VLOOKUP(A262,ÜRÜNLER!A:B,2,FALSE)),"")</f>
        <v>iQ300 Düz Davlumbaz, 90cm, 649m3, Antrasit Gri Cam</v>
      </c>
      <c r="C262" s="19">
        <v>2</v>
      </c>
      <c r="D262" s="19" t="s">
        <v>1883</v>
      </c>
      <c r="E262" s="20">
        <v>0</v>
      </c>
      <c r="F262" s="20">
        <v>0</v>
      </c>
      <c r="G262" s="20">
        <v>0</v>
      </c>
      <c r="H262" s="20">
        <v>0</v>
      </c>
      <c r="I262" s="21">
        <v>0</v>
      </c>
      <c r="J262" s="21">
        <v>0</v>
      </c>
      <c r="K262" s="20">
        <v>0</v>
      </c>
      <c r="L262" s="20">
        <v>0</v>
      </c>
      <c r="M262" s="21">
        <v>0</v>
      </c>
      <c r="N262" s="22">
        <f t="shared" si="17"/>
        <v>2</v>
      </c>
      <c r="O262" s="23" t="s">
        <v>1883</v>
      </c>
      <c r="P262" s="24" t="s">
        <v>1883</v>
      </c>
      <c r="Q262" s="25">
        <v>30122.980835083101</v>
      </c>
      <c r="R262" s="32">
        <v>28616.831793328947</v>
      </c>
      <c r="S262" s="27">
        <f t="shared" si="18"/>
        <v>29761.505065062105</v>
      </c>
      <c r="T262" s="27">
        <f t="shared" si="20"/>
        <v>30906.178336795267</v>
      </c>
      <c r="U262" s="25" t="s">
        <v>1883</v>
      </c>
      <c r="V262" s="26" t="s">
        <v>1883</v>
      </c>
      <c r="W262" s="26"/>
    </row>
    <row r="263" spans="1:25">
      <c r="A263" s="38" t="s">
        <v>281</v>
      </c>
      <c r="B263" s="18" t="str">
        <f>IFERROR(HYPERLINK(VLOOKUP(A263,ÜRÜNLER!A:C,3,FALSE),VLOOKUP(A263,ÜRÜNLER!A:B,2,FALSE)),"")</f>
        <v>iQ300 Düz Davlumbaz, 90cm, 649m3, Beyaz Cam</v>
      </c>
      <c r="C263" s="19">
        <v>18</v>
      </c>
      <c r="D263" s="19" t="s">
        <v>1883</v>
      </c>
      <c r="E263" s="20">
        <v>0</v>
      </c>
      <c r="F263" s="20">
        <v>0</v>
      </c>
      <c r="G263" s="20">
        <v>0</v>
      </c>
      <c r="H263" s="20">
        <v>0</v>
      </c>
      <c r="I263" s="21">
        <v>0</v>
      </c>
      <c r="J263" s="21">
        <v>0</v>
      </c>
      <c r="K263" s="20">
        <v>0</v>
      </c>
      <c r="L263" s="20">
        <v>0</v>
      </c>
      <c r="M263" s="21">
        <v>0</v>
      </c>
      <c r="N263" s="22">
        <f t="shared" ref="N263:N326" si="21">SUM(C263:M263)</f>
        <v>18</v>
      </c>
      <c r="O263" s="23" t="s">
        <v>1883</v>
      </c>
      <c r="P263" s="24" t="s">
        <v>1883</v>
      </c>
      <c r="Q263" s="25">
        <v>30122.980835083101</v>
      </c>
      <c r="R263" s="32">
        <v>28616.831793328947</v>
      </c>
      <c r="S263" s="27">
        <f t="shared" ref="S263:S326" si="22">R263*1.04</f>
        <v>29761.505065062105</v>
      </c>
      <c r="T263" s="27">
        <f t="shared" si="20"/>
        <v>30906.178336795267</v>
      </c>
      <c r="U263" s="25" t="s">
        <v>1883</v>
      </c>
      <c r="V263" s="26" t="s">
        <v>1883</v>
      </c>
      <c r="W263" s="26"/>
    </row>
    <row r="264" spans="1:25">
      <c r="A264" s="80" t="s">
        <v>282</v>
      </c>
      <c r="B264" s="18" t="str">
        <f>IFERROR(HYPERLINK(VLOOKUP(A264,ÜRÜNLER!A:C,3,FALSE),VLOOKUP(A264,ÜRÜNLER!A:B,2,FALSE)),"")</f>
        <v>iQ300 Düz Davlumbaz, 90cm, 649m3, Beyaz Cam</v>
      </c>
      <c r="C264" s="19" t="s">
        <v>1883</v>
      </c>
      <c r="D264" s="19" t="s">
        <v>1883</v>
      </c>
      <c r="E264" s="20">
        <v>0</v>
      </c>
      <c r="F264" s="20">
        <v>0</v>
      </c>
      <c r="G264" s="20">
        <v>0</v>
      </c>
      <c r="H264" s="20">
        <v>0</v>
      </c>
      <c r="I264" s="21">
        <v>0</v>
      </c>
      <c r="J264" s="21">
        <v>0</v>
      </c>
      <c r="K264" s="20">
        <v>0</v>
      </c>
      <c r="L264" s="20">
        <v>0</v>
      </c>
      <c r="M264" s="21">
        <v>0</v>
      </c>
      <c r="N264" s="22">
        <f t="shared" si="21"/>
        <v>0</v>
      </c>
      <c r="O264" s="23">
        <v>2</v>
      </c>
      <c r="P264" s="24" t="s">
        <v>1883</v>
      </c>
      <c r="Q264" s="25">
        <v>30122.980835083101</v>
      </c>
      <c r="R264" s="33">
        <v>28825.818980940763</v>
      </c>
      <c r="S264" s="27">
        <f t="shared" si="22"/>
        <v>29978.851740178394</v>
      </c>
      <c r="T264" s="27">
        <f t="shared" si="20"/>
        <v>31131.884499416024</v>
      </c>
      <c r="U264" s="25" t="s">
        <v>1883</v>
      </c>
      <c r="V264" s="26" t="s">
        <v>1883</v>
      </c>
      <c r="W264" s="33">
        <v>250</v>
      </c>
    </row>
    <row r="265" spans="1:25">
      <c r="A265" s="77" t="s">
        <v>283</v>
      </c>
      <c r="B265" s="18" t="str">
        <f>IFERROR(HYPERLINK(VLOOKUP(A265,ÜRÜNLER!A:C,3,FALSE),VLOOKUP(A265,ÜRÜNLER!A:B,2,FALSE)),"")</f>
        <v>iQ300 Düz Davlumbaz, 90cm, 649m3, Titanyum Gri Cam</v>
      </c>
      <c r="C265" s="19">
        <v>3</v>
      </c>
      <c r="D265" s="19" t="s">
        <v>1883</v>
      </c>
      <c r="E265" s="20">
        <v>0</v>
      </c>
      <c r="F265" s="20">
        <v>0</v>
      </c>
      <c r="G265" s="20">
        <v>0</v>
      </c>
      <c r="H265" s="20">
        <v>0</v>
      </c>
      <c r="I265" s="21">
        <v>1</v>
      </c>
      <c r="J265" s="21">
        <v>0</v>
      </c>
      <c r="K265" s="20">
        <v>0</v>
      </c>
      <c r="L265" s="20">
        <v>0</v>
      </c>
      <c r="M265" s="21">
        <v>0</v>
      </c>
      <c r="N265" s="22">
        <f t="shared" si="21"/>
        <v>4</v>
      </c>
      <c r="O265" s="23" t="s">
        <v>1883</v>
      </c>
      <c r="P265" s="24" t="s">
        <v>1883</v>
      </c>
      <c r="Q265" s="25" t="s">
        <v>1884</v>
      </c>
      <c r="R265" s="33">
        <v>20000</v>
      </c>
      <c r="S265" s="27">
        <f t="shared" si="22"/>
        <v>20800</v>
      </c>
      <c r="T265" s="27">
        <f t="shared" si="20"/>
        <v>21600</v>
      </c>
      <c r="U265" s="25" t="s">
        <v>1883</v>
      </c>
      <c r="V265" s="26" t="s">
        <v>1883</v>
      </c>
      <c r="W265" s="26"/>
    </row>
    <row r="266" spans="1:25">
      <c r="A266" s="51" t="s">
        <v>284</v>
      </c>
      <c r="B266" s="18" t="str">
        <f>IFERROR(HYPERLINK(VLOOKUP(A266,ÜRÜNLER!A:C,3,FALSE),VLOOKUP(A266,ÜRÜNLER!A:B,2,FALSE)),"")</f>
        <v>iQ300 Eğimli Davlumbaz, 90cm, 629m3, Beyaz Cam</v>
      </c>
      <c r="C266" s="19">
        <v>19</v>
      </c>
      <c r="D266" s="19" t="s">
        <v>1883</v>
      </c>
      <c r="E266" s="20">
        <v>0</v>
      </c>
      <c r="F266" s="20">
        <v>0</v>
      </c>
      <c r="G266" s="20">
        <v>0</v>
      </c>
      <c r="H266" s="20">
        <v>0</v>
      </c>
      <c r="I266" s="21">
        <v>1</v>
      </c>
      <c r="J266" s="21">
        <v>1</v>
      </c>
      <c r="K266" s="20">
        <v>1</v>
      </c>
      <c r="L266" s="20">
        <v>1</v>
      </c>
      <c r="M266" s="21">
        <v>0</v>
      </c>
      <c r="N266" s="22">
        <f t="shared" si="21"/>
        <v>23</v>
      </c>
      <c r="O266" s="23" t="s">
        <v>1883</v>
      </c>
      <c r="P266" s="24" t="s">
        <v>1883</v>
      </c>
      <c r="Q266" s="25" t="s">
        <v>1884</v>
      </c>
      <c r="R266" s="33">
        <v>20000</v>
      </c>
      <c r="S266" s="27">
        <f t="shared" si="22"/>
        <v>20800</v>
      </c>
      <c r="T266" s="27">
        <f t="shared" si="20"/>
        <v>21600</v>
      </c>
      <c r="U266" s="25" t="s">
        <v>1883</v>
      </c>
      <c r="V266" s="26" t="s">
        <v>1883</v>
      </c>
      <c r="W266" s="33">
        <v>250</v>
      </c>
    </row>
    <row r="267" spans="1:25">
      <c r="A267" s="80" t="s">
        <v>285</v>
      </c>
      <c r="B267" s="18" t="str">
        <f>IFERROR(HYPERLINK(VLOOKUP(A267,ÜRÜNLER!A:C,3,FALSE),VLOOKUP(A267,ÜRÜNLER!A:B,2,FALSE)),"")</f>
        <v>iQ300 Eğimli Davlumbaz, 90cm, 629m3, Siyah Cam</v>
      </c>
      <c r="C267" s="19" t="s">
        <v>1883</v>
      </c>
      <c r="D267" s="19" t="s">
        <v>1883</v>
      </c>
      <c r="E267" s="20">
        <v>0</v>
      </c>
      <c r="F267" s="20">
        <v>0</v>
      </c>
      <c r="G267" s="20">
        <v>0</v>
      </c>
      <c r="H267" s="20">
        <v>0</v>
      </c>
      <c r="I267" s="21">
        <v>0</v>
      </c>
      <c r="J267" s="21">
        <v>0</v>
      </c>
      <c r="K267" s="20">
        <v>1</v>
      </c>
      <c r="L267" s="20">
        <v>0</v>
      </c>
      <c r="M267" s="21">
        <v>0</v>
      </c>
      <c r="N267" s="22">
        <f t="shared" si="21"/>
        <v>1</v>
      </c>
      <c r="O267" s="23" t="s">
        <v>1883</v>
      </c>
      <c r="P267" s="24" t="s">
        <v>1883</v>
      </c>
      <c r="Q267" s="25" t="s">
        <v>1884</v>
      </c>
      <c r="R267" s="33">
        <v>25000</v>
      </c>
      <c r="S267" s="27">
        <f t="shared" si="22"/>
        <v>26000</v>
      </c>
      <c r="T267" s="27">
        <f t="shared" si="20"/>
        <v>27000</v>
      </c>
      <c r="U267" s="25" t="s">
        <v>1883</v>
      </c>
      <c r="V267" s="26" t="s">
        <v>1883</v>
      </c>
      <c r="W267" s="28">
        <v>500</v>
      </c>
    </row>
    <row r="268" spans="1:25">
      <c r="A268" s="51" t="s">
        <v>286</v>
      </c>
      <c r="B268" s="18" t="str">
        <f>IFERROR(HYPERLINK(VLOOKUP(A268,ÜRÜNLER!A:C,3,FALSE),VLOOKUP(A268,ÜRÜNLER!A:B,2,FALSE)),"")</f>
        <v>iQ300 Düz Davlumbaz, 90cm, 468m3, Inox</v>
      </c>
      <c r="C268" s="19">
        <v>4</v>
      </c>
      <c r="D268" s="19" t="s">
        <v>1883</v>
      </c>
      <c r="E268" s="20">
        <v>0</v>
      </c>
      <c r="F268" s="20">
        <v>0</v>
      </c>
      <c r="G268" s="20">
        <v>0</v>
      </c>
      <c r="H268" s="20">
        <v>0</v>
      </c>
      <c r="I268" s="21">
        <v>0</v>
      </c>
      <c r="J268" s="21">
        <v>0</v>
      </c>
      <c r="K268" s="20">
        <v>0</v>
      </c>
      <c r="L268" s="20">
        <v>0</v>
      </c>
      <c r="M268" s="21">
        <v>0</v>
      </c>
      <c r="N268" s="22">
        <f t="shared" si="21"/>
        <v>4</v>
      </c>
      <c r="O268" s="23" t="s">
        <v>1883</v>
      </c>
      <c r="P268" s="24" t="s">
        <v>1883</v>
      </c>
      <c r="Q268" s="25" t="s">
        <v>1884</v>
      </c>
      <c r="R268" s="33">
        <v>39195.714086911241</v>
      </c>
      <c r="S268" s="27">
        <f t="shared" si="22"/>
        <v>40763.542650387695</v>
      </c>
      <c r="T268" s="27">
        <f t="shared" si="20"/>
        <v>42331.371213864142</v>
      </c>
      <c r="U268" s="25" t="s">
        <v>1883</v>
      </c>
      <c r="V268" s="26" t="s">
        <v>1883</v>
      </c>
      <c r="W268" s="26"/>
    </row>
    <row r="269" spans="1:25">
      <c r="A269" s="51" t="s">
        <v>287</v>
      </c>
      <c r="B269" s="18" t="str">
        <f>IFERROR(HYPERLINK(VLOOKUP(A269,ÜRÜNLER!A:C,3,FALSE),VLOOKUP(A269,ÜRÜNLER!A:B,2,FALSE)),"")</f>
        <v>iQ500 Düz Davlumbaz, 90cm, 394m3, Siyah Cam</v>
      </c>
      <c r="C269" s="19">
        <v>1</v>
      </c>
      <c r="D269" s="19" t="s">
        <v>1883</v>
      </c>
      <c r="E269" s="20">
        <v>0</v>
      </c>
      <c r="F269" s="20">
        <v>0</v>
      </c>
      <c r="G269" s="20">
        <v>0</v>
      </c>
      <c r="H269" s="20">
        <v>0</v>
      </c>
      <c r="I269" s="21">
        <v>0</v>
      </c>
      <c r="J269" s="21">
        <v>0</v>
      </c>
      <c r="K269" s="20">
        <v>0</v>
      </c>
      <c r="L269" s="20">
        <v>0</v>
      </c>
      <c r="M269" s="21">
        <v>0</v>
      </c>
      <c r="N269" s="22">
        <f t="shared" si="21"/>
        <v>1</v>
      </c>
      <c r="O269" s="23" t="s">
        <v>1883</v>
      </c>
      <c r="P269" s="24" t="s">
        <v>1883</v>
      </c>
      <c r="Q269" s="25" t="s">
        <v>1884</v>
      </c>
      <c r="R269" s="33">
        <v>51000</v>
      </c>
      <c r="S269" s="27">
        <f t="shared" si="22"/>
        <v>53040</v>
      </c>
      <c r="T269" s="27">
        <f t="shared" si="20"/>
        <v>55080</v>
      </c>
      <c r="U269" s="25" t="s">
        <v>1883</v>
      </c>
      <c r="V269" s="26" t="s">
        <v>1883</v>
      </c>
      <c r="W269" s="33">
        <v>250</v>
      </c>
    </row>
    <row r="270" spans="1:25">
      <c r="A270" s="51" t="s">
        <v>288</v>
      </c>
      <c r="B270" s="18" t="str">
        <f>IFERROR(HYPERLINK(VLOOKUP(A270,ÜRÜNLER!A:C,3,FALSE),VLOOKUP(A270,ÜRÜNLER!A:B,2,FALSE)),"")</f>
        <v>iQ700 Düz Davlumbaz, 90cm, 394m3, Siyah Cam</v>
      </c>
      <c r="C270" s="19" t="s">
        <v>1883</v>
      </c>
      <c r="D270" s="19" t="s">
        <v>1883</v>
      </c>
      <c r="E270" s="20">
        <v>0</v>
      </c>
      <c r="F270" s="20">
        <v>0</v>
      </c>
      <c r="G270" s="20">
        <v>0</v>
      </c>
      <c r="H270" s="20">
        <v>0</v>
      </c>
      <c r="I270" s="21">
        <v>0</v>
      </c>
      <c r="J270" s="21">
        <v>1</v>
      </c>
      <c r="K270" s="20">
        <v>0</v>
      </c>
      <c r="L270" s="20">
        <v>0</v>
      </c>
      <c r="M270" s="21">
        <v>0</v>
      </c>
      <c r="N270" s="22">
        <f t="shared" si="21"/>
        <v>1</v>
      </c>
      <c r="O270" s="23" t="s">
        <v>1883</v>
      </c>
      <c r="P270" s="24" t="s">
        <v>1883</v>
      </c>
      <c r="Q270" s="25" t="s">
        <v>1884</v>
      </c>
      <c r="R270" s="33">
        <v>56000</v>
      </c>
      <c r="S270" s="27">
        <f t="shared" si="22"/>
        <v>58240</v>
      </c>
      <c r="T270" s="27">
        <f t="shared" si="20"/>
        <v>60480.000000000007</v>
      </c>
      <c r="U270" s="25" t="s">
        <v>1883</v>
      </c>
      <c r="V270" s="26" t="s">
        <v>1883</v>
      </c>
      <c r="W270" s="28">
        <v>1000</v>
      </c>
    </row>
    <row r="271" spans="1:25">
      <c r="A271" s="81" t="s">
        <v>289</v>
      </c>
      <c r="B271" s="18" t="str">
        <f>IFERROR(HYPERLINK(VLOOKUP(A271,ÜRÜNLER!A:C,3,FALSE),VLOOKUP(A271,ÜRÜNLER!A:B,2,FALSE)),"")</f>
        <v>iQ500 Eğimli Davlumbaz, 90cm, 510m3, Beyaz Cam</v>
      </c>
      <c r="C271" s="19">
        <v>3</v>
      </c>
      <c r="D271" s="19" t="s">
        <v>1883</v>
      </c>
      <c r="E271" s="20">
        <v>0</v>
      </c>
      <c r="F271" s="20">
        <v>0</v>
      </c>
      <c r="G271" s="20">
        <v>0</v>
      </c>
      <c r="H271" s="20">
        <v>0</v>
      </c>
      <c r="I271" s="21">
        <v>0</v>
      </c>
      <c r="J271" s="21">
        <v>0</v>
      </c>
      <c r="K271" s="20">
        <v>0</v>
      </c>
      <c r="L271" s="20">
        <v>0</v>
      </c>
      <c r="M271" s="21">
        <v>0</v>
      </c>
      <c r="N271" s="22">
        <f t="shared" si="21"/>
        <v>3</v>
      </c>
      <c r="O271" s="23" t="s">
        <v>1883</v>
      </c>
      <c r="P271" s="24" t="s">
        <v>1883</v>
      </c>
      <c r="Q271" s="25">
        <v>35017.978479669255</v>
      </c>
      <c r="R271" s="33">
        <v>36768.877403652717</v>
      </c>
      <c r="S271" s="27">
        <f t="shared" si="22"/>
        <v>38239.632499798827</v>
      </c>
      <c r="T271" s="27">
        <f t="shared" si="20"/>
        <v>39710.387595944936</v>
      </c>
      <c r="U271" s="25" t="s">
        <v>1883</v>
      </c>
      <c r="V271" s="26" t="s">
        <v>1883</v>
      </c>
      <c r="W271" s="26"/>
      <c r="Y271" s="30" t="s">
        <v>1896</v>
      </c>
    </row>
    <row r="272" spans="1:25">
      <c r="A272" s="73" t="s">
        <v>290</v>
      </c>
      <c r="B272" s="18" t="str">
        <f>IFERROR(HYPERLINK(VLOOKUP(A272,ÜRÜNLER!A:C,3,FALSE),VLOOKUP(A272,ÜRÜNLER!A:B,2,FALSE)),"")</f>
        <v>iQ500 Eğimli Davlumbaz, 90cm, 510m3, Siyah Cam</v>
      </c>
      <c r="C272" s="19" t="s">
        <v>1883</v>
      </c>
      <c r="D272" s="19" t="s">
        <v>1883</v>
      </c>
      <c r="E272" s="20">
        <v>0</v>
      </c>
      <c r="F272" s="20">
        <v>0</v>
      </c>
      <c r="G272" s="20">
        <v>0</v>
      </c>
      <c r="H272" s="20">
        <v>0</v>
      </c>
      <c r="I272" s="21">
        <v>0</v>
      </c>
      <c r="J272" s="21">
        <v>0</v>
      </c>
      <c r="K272" s="20">
        <v>0</v>
      </c>
      <c r="L272" s="20">
        <v>0</v>
      </c>
      <c r="M272" s="21">
        <v>0</v>
      </c>
      <c r="N272" s="22">
        <f t="shared" si="21"/>
        <v>0</v>
      </c>
      <c r="O272" s="23">
        <v>1</v>
      </c>
      <c r="P272" s="24" t="s">
        <v>1883</v>
      </c>
      <c r="Q272" s="25">
        <v>35017.978479669255</v>
      </c>
      <c r="R272" s="33">
        <v>33510.027253272019</v>
      </c>
      <c r="S272" s="27">
        <f t="shared" si="22"/>
        <v>34850.428343402898</v>
      </c>
      <c r="T272" s="27">
        <f t="shared" si="20"/>
        <v>36190.829433533785</v>
      </c>
      <c r="U272" s="25" t="s">
        <v>1883</v>
      </c>
      <c r="V272" s="26" t="s">
        <v>1883</v>
      </c>
      <c r="W272" s="26"/>
    </row>
    <row r="273" spans="1:25">
      <c r="A273" s="77" t="s">
        <v>291</v>
      </c>
      <c r="B273" s="18" t="str">
        <f>IFERROR(HYPERLINK(VLOOKUP(A273,ÜRÜNLER!A:C,3,FALSE),VLOOKUP(A273,ÜRÜNLER!A:B,2,FALSE)),"")</f>
        <v>iQ500 Eğimli Davlumbaz, 90cm, 510m3, Antrasit Gri Cam</v>
      </c>
      <c r="C273" s="19" t="s">
        <v>1883</v>
      </c>
      <c r="D273" s="19" t="s">
        <v>1883</v>
      </c>
      <c r="E273" s="20">
        <v>0</v>
      </c>
      <c r="F273" s="20">
        <v>0</v>
      </c>
      <c r="G273" s="20">
        <v>0</v>
      </c>
      <c r="H273" s="20">
        <v>0</v>
      </c>
      <c r="I273" s="21">
        <v>0</v>
      </c>
      <c r="J273" s="21">
        <v>0</v>
      </c>
      <c r="K273" s="20">
        <v>0</v>
      </c>
      <c r="L273" s="20">
        <v>0</v>
      </c>
      <c r="M273" s="21">
        <v>0</v>
      </c>
      <c r="N273" s="22">
        <f t="shared" si="21"/>
        <v>0</v>
      </c>
      <c r="O273" s="23">
        <v>2</v>
      </c>
      <c r="P273" s="24" t="s">
        <v>1883</v>
      </c>
      <c r="Q273" s="25">
        <v>35017.978479669255</v>
      </c>
      <c r="R273" s="33">
        <v>36768.877403652717</v>
      </c>
      <c r="S273" s="27">
        <f t="shared" si="22"/>
        <v>38239.632499798827</v>
      </c>
      <c r="T273" s="27">
        <f t="shared" si="20"/>
        <v>39710.387595944936</v>
      </c>
      <c r="U273" s="25" t="s">
        <v>1883</v>
      </c>
      <c r="V273" s="26" t="s">
        <v>1883</v>
      </c>
      <c r="W273" s="26"/>
      <c r="Y273" s="30" t="s">
        <v>1896</v>
      </c>
    </row>
    <row r="274" spans="1:25">
      <c r="A274" s="51" t="s">
        <v>292</v>
      </c>
      <c r="B274" s="18" t="str">
        <f>IFERROR(HYPERLINK(VLOOKUP(A274,ÜRÜNLER!A:C,3,FALSE),VLOOKUP(A274,ÜRÜNLER!A:B,2,FALSE)),"")</f>
        <v>iQ500 Düz Davlumbaz, 90cm, 430m3, Inox</v>
      </c>
      <c r="C274" s="19">
        <v>2</v>
      </c>
      <c r="D274" s="19" t="s">
        <v>1883</v>
      </c>
      <c r="E274" s="20">
        <v>0</v>
      </c>
      <c r="F274" s="20">
        <v>0</v>
      </c>
      <c r="G274" s="20">
        <v>0</v>
      </c>
      <c r="H274" s="20">
        <v>0</v>
      </c>
      <c r="I274" s="21">
        <v>0</v>
      </c>
      <c r="J274" s="21">
        <v>0</v>
      </c>
      <c r="K274" s="20">
        <v>0</v>
      </c>
      <c r="L274" s="20">
        <v>0</v>
      </c>
      <c r="M274" s="21">
        <v>0</v>
      </c>
      <c r="N274" s="22">
        <f t="shared" si="21"/>
        <v>2</v>
      </c>
      <c r="O274" s="23" t="s">
        <v>1883</v>
      </c>
      <c r="P274" s="24" t="s">
        <v>1883</v>
      </c>
      <c r="Q274" s="25" t="s">
        <v>1884</v>
      </c>
      <c r="R274" s="26">
        <v>26000</v>
      </c>
      <c r="S274" s="27">
        <f t="shared" si="22"/>
        <v>27040</v>
      </c>
      <c r="T274" s="27">
        <f t="shared" si="20"/>
        <v>28080.000000000004</v>
      </c>
      <c r="U274" s="25" t="s">
        <v>1883</v>
      </c>
      <c r="V274" s="26" t="s">
        <v>1883</v>
      </c>
      <c r="W274" s="33">
        <v>250</v>
      </c>
    </row>
    <row r="275" spans="1:25">
      <c r="A275" s="51" t="s">
        <v>293</v>
      </c>
      <c r="B275" s="18" t="str">
        <f>IFERROR(HYPERLINK(VLOOKUP(A275,ÜRÜNLER!A:C,3,FALSE),VLOOKUP(A275,ÜRÜNLER!A:B,2,FALSE)),"")</f>
        <v>iQ500 Eğimli Davlumbaz, 90cm, 370m3, Cam Dekorlu Inox</v>
      </c>
      <c r="C275" s="19">
        <v>7</v>
      </c>
      <c r="D275" s="19" t="s">
        <v>1883</v>
      </c>
      <c r="E275" s="20">
        <v>0</v>
      </c>
      <c r="F275" s="20">
        <v>0</v>
      </c>
      <c r="G275" s="20">
        <v>0</v>
      </c>
      <c r="H275" s="20">
        <v>0</v>
      </c>
      <c r="I275" s="21">
        <v>0</v>
      </c>
      <c r="J275" s="21">
        <v>0</v>
      </c>
      <c r="K275" s="20">
        <v>0</v>
      </c>
      <c r="L275" s="20">
        <v>0</v>
      </c>
      <c r="M275" s="21">
        <v>0</v>
      </c>
      <c r="N275" s="22">
        <f t="shared" si="21"/>
        <v>7</v>
      </c>
      <c r="O275" s="23" t="s">
        <v>1883</v>
      </c>
      <c r="P275" s="24" t="s">
        <v>1883</v>
      </c>
      <c r="Q275" s="25" t="s">
        <v>1884</v>
      </c>
      <c r="R275" s="26">
        <v>26000</v>
      </c>
      <c r="S275" s="27">
        <f t="shared" si="22"/>
        <v>27040</v>
      </c>
      <c r="T275" s="27">
        <f t="shared" si="20"/>
        <v>28080.000000000004</v>
      </c>
      <c r="U275" s="25" t="s">
        <v>1883</v>
      </c>
      <c r="V275" s="26" t="s">
        <v>1883</v>
      </c>
      <c r="W275" s="33">
        <v>250</v>
      </c>
    </row>
    <row r="276" spans="1:25">
      <c r="A276" s="51" t="s">
        <v>294</v>
      </c>
      <c r="B276" s="18" t="str">
        <f>IFERROR(HYPERLINK(VLOOKUP(A276,ÜRÜNLER!A:C,3,FALSE),VLOOKUP(A276,ÜRÜNLER!A:B,2,FALSE)),"")</f>
        <v>iQ500 Eğimli Davlumbaz, 90cm, 468m3, Siyah Cam</v>
      </c>
      <c r="C276" s="19" t="s">
        <v>1883</v>
      </c>
      <c r="D276" s="19" t="s">
        <v>1883</v>
      </c>
      <c r="E276" s="20">
        <v>0</v>
      </c>
      <c r="F276" s="20">
        <v>0</v>
      </c>
      <c r="G276" s="20">
        <v>0</v>
      </c>
      <c r="H276" s="20">
        <v>1</v>
      </c>
      <c r="I276" s="21">
        <v>0</v>
      </c>
      <c r="J276" s="21">
        <v>0</v>
      </c>
      <c r="K276" s="20">
        <v>0</v>
      </c>
      <c r="L276" s="20">
        <v>0</v>
      </c>
      <c r="M276" s="21">
        <v>0</v>
      </c>
      <c r="N276" s="22">
        <f t="shared" si="21"/>
        <v>1</v>
      </c>
      <c r="O276" s="23" t="s">
        <v>1883</v>
      </c>
      <c r="P276" s="24" t="s">
        <v>1883</v>
      </c>
      <c r="Q276" s="25" t="s">
        <v>1884</v>
      </c>
      <c r="R276" s="74">
        <v>70000</v>
      </c>
      <c r="S276" s="27">
        <f t="shared" si="22"/>
        <v>72800</v>
      </c>
      <c r="T276" s="27">
        <f t="shared" si="20"/>
        <v>75600</v>
      </c>
      <c r="U276" s="25" t="s">
        <v>1883</v>
      </c>
      <c r="V276" s="26" t="s">
        <v>1883</v>
      </c>
      <c r="W276" s="28">
        <v>1000</v>
      </c>
    </row>
    <row r="277" spans="1:25">
      <c r="A277" s="83" t="s">
        <v>295</v>
      </c>
      <c r="B277" s="18" t="str">
        <f>IFERROR(HYPERLINK(VLOOKUP(A277,ÜRÜNLER!A:C,3,FALSE),VLOOKUP(A277,ÜRÜNLER!A:B,2,FALSE)),"")</f>
        <v>iQ700 studioLine Tezgaha Entegre Davlumbaz, 80cm, Siyah/Cam</v>
      </c>
      <c r="C277" s="19" t="s">
        <v>1883</v>
      </c>
      <c r="D277" s="19">
        <v>3</v>
      </c>
      <c r="E277" s="20">
        <v>0</v>
      </c>
      <c r="F277" s="20">
        <v>0</v>
      </c>
      <c r="G277" s="20">
        <v>0</v>
      </c>
      <c r="H277" s="20">
        <v>1</v>
      </c>
      <c r="I277" s="21">
        <v>0</v>
      </c>
      <c r="J277" s="21">
        <v>0</v>
      </c>
      <c r="K277" s="20">
        <v>0</v>
      </c>
      <c r="L277" s="20">
        <v>0</v>
      </c>
      <c r="M277" s="21">
        <v>0</v>
      </c>
      <c r="N277" s="22">
        <f t="shared" si="21"/>
        <v>4</v>
      </c>
      <c r="O277" s="23" t="s">
        <v>1883</v>
      </c>
      <c r="P277" s="24" t="s">
        <v>1883</v>
      </c>
      <c r="Q277" s="25">
        <v>184711.31972102076</v>
      </c>
      <c r="R277" s="74">
        <v>159081.51937695569</v>
      </c>
      <c r="S277" s="27">
        <f t="shared" si="22"/>
        <v>165444.78015203393</v>
      </c>
      <c r="T277" s="27">
        <f t="shared" si="20"/>
        <v>171808.04092711216</v>
      </c>
      <c r="U277" s="25" t="s">
        <v>1883</v>
      </c>
      <c r="V277" s="26" t="s">
        <v>1883</v>
      </c>
      <c r="W277" s="33">
        <v>250</v>
      </c>
    </row>
    <row r="278" spans="1:25">
      <c r="A278" s="51" t="s">
        <v>296</v>
      </c>
      <c r="B278" s="18" t="str">
        <f>IFERROR(HYPERLINK(VLOOKUP(A278,ÜRÜNLER!A:C,3,FALSE),VLOOKUP(A278,ÜRÜNLER!A:B,2,FALSE)),"")</f>
        <v>iQ300 Ada Tipi Davlumbaz, 90cm, 438m3, Inox</v>
      </c>
      <c r="C278" s="19" t="s">
        <v>1883</v>
      </c>
      <c r="D278" s="19" t="s">
        <v>1883</v>
      </c>
      <c r="E278" s="20">
        <v>0</v>
      </c>
      <c r="F278" s="20">
        <v>0</v>
      </c>
      <c r="G278" s="20">
        <v>0</v>
      </c>
      <c r="H278" s="20">
        <v>0</v>
      </c>
      <c r="I278" s="21">
        <v>1</v>
      </c>
      <c r="J278" s="21">
        <v>0</v>
      </c>
      <c r="K278" s="20">
        <v>0</v>
      </c>
      <c r="L278" s="20">
        <v>2</v>
      </c>
      <c r="M278" s="21">
        <v>0</v>
      </c>
      <c r="N278" s="22">
        <f t="shared" si="21"/>
        <v>3</v>
      </c>
      <c r="O278" s="23" t="s">
        <v>1883</v>
      </c>
      <c r="P278" s="24" t="s">
        <v>1883</v>
      </c>
      <c r="Q278" s="25">
        <v>66373.590235676689</v>
      </c>
      <c r="R278" s="33">
        <v>63515.397354714543</v>
      </c>
      <c r="S278" s="27">
        <f t="shared" si="22"/>
        <v>66056.013248903124</v>
      </c>
      <c r="T278" s="27">
        <f t="shared" si="20"/>
        <v>68596.629143091704</v>
      </c>
      <c r="U278" s="25" t="s">
        <v>1883</v>
      </c>
      <c r="V278" s="26" t="s">
        <v>1883</v>
      </c>
      <c r="W278" s="26"/>
    </row>
    <row r="279" spans="1:25">
      <c r="A279" s="51" t="s">
        <v>297</v>
      </c>
      <c r="B279" s="18" t="str">
        <f>IFERROR(HYPERLINK(VLOOKUP(A279,ÜRÜNLER!A:C,3,FALSE),VLOOKUP(A279,ÜRÜNLER!A:B,2,FALSE)),"")</f>
        <v>iQ500 studioLine Ada Tipi Davlumbaz, 90cm, Inox</v>
      </c>
      <c r="C279" s="19" t="s">
        <v>1883</v>
      </c>
      <c r="D279" s="19">
        <v>2</v>
      </c>
      <c r="E279" s="20">
        <v>0</v>
      </c>
      <c r="F279" s="20">
        <v>0</v>
      </c>
      <c r="G279" s="20">
        <v>0</v>
      </c>
      <c r="H279" s="20">
        <v>1</v>
      </c>
      <c r="I279" s="21">
        <v>0</v>
      </c>
      <c r="J279" s="21">
        <v>0</v>
      </c>
      <c r="K279" s="20">
        <v>0</v>
      </c>
      <c r="L279" s="20">
        <v>0</v>
      </c>
      <c r="M279" s="21">
        <v>0</v>
      </c>
      <c r="N279" s="22">
        <f t="shared" si="21"/>
        <v>3</v>
      </c>
      <c r="O279" s="23" t="s">
        <v>1883</v>
      </c>
      <c r="P279" s="24" t="s">
        <v>1883</v>
      </c>
      <c r="Q279" s="25" t="s">
        <v>1884</v>
      </c>
      <c r="R279" s="74">
        <v>96068.104542592642</v>
      </c>
      <c r="S279" s="27">
        <f t="shared" si="22"/>
        <v>99910.828724296356</v>
      </c>
      <c r="T279" s="27">
        <f t="shared" si="20"/>
        <v>103753.55290600006</v>
      </c>
      <c r="U279" s="25" t="s">
        <v>1883</v>
      </c>
      <c r="V279" s="26" t="s">
        <v>1883</v>
      </c>
      <c r="W279" s="33">
        <v>250</v>
      </c>
    </row>
    <row r="280" spans="1:25">
      <c r="A280" s="51" t="s">
        <v>298</v>
      </c>
      <c r="B280" s="18" t="str">
        <f>IFERROR(HYPERLINK(VLOOKUP(A280,ÜRÜNLER!A:C,3,FALSE),VLOOKUP(A280,ÜRÜNLER!A:B,2,FALSE)),"")</f>
        <v>iQ700 studioLine Tavan Tipi Davlumbaz, 105cm, Siyah</v>
      </c>
      <c r="C280" s="19" t="s">
        <v>1883</v>
      </c>
      <c r="D280" s="19">
        <v>6</v>
      </c>
      <c r="E280" s="20">
        <v>0</v>
      </c>
      <c r="F280" s="20">
        <v>0</v>
      </c>
      <c r="G280" s="20">
        <v>0</v>
      </c>
      <c r="H280" s="20">
        <v>1</v>
      </c>
      <c r="I280" s="21">
        <v>0</v>
      </c>
      <c r="J280" s="21">
        <v>0</v>
      </c>
      <c r="K280" s="20">
        <v>0</v>
      </c>
      <c r="L280" s="20">
        <v>0</v>
      </c>
      <c r="M280" s="21">
        <v>0</v>
      </c>
      <c r="N280" s="22">
        <f t="shared" si="21"/>
        <v>7</v>
      </c>
      <c r="O280" s="23" t="s">
        <v>1883</v>
      </c>
      <c r="P280" s="24" t="s">
        <v>1883</v>
      </c>
      <c r="Q280" s="25">
        <v>326143.50701684493</v>
      </c>
      <c r="R280" s="74">
        <v>280889.14479919663</v>
      </c>
      <c r="S280" s="27">
        <f t="shared" si="22"/>
        <v>292124.71059116448</v>
      </c>
      <c r="T280" s="27">
        <f t="shared" si="20"/>
        <v>303360.27638313238</v>
      </c>
      <c r="U280" s="25" t="s">
        <v>1883</v>
      </c>
      <c r="V280" s="26" t="s">
        <v>1883</v>
      </c>
      <c r="W280" s="28">
        <v>1000</v>
      </c>
    </row>
    <row r="281" spans="1:25" ht="33.75" customHeight="1">
      <c r="A281" s="71" t="s">
        <v>299</v>
      </c>
      <c r="B281" s="18"/>
      <c r="C281" s="19"/>
      <c r="D281" s="19"/>
      <c r="E281" s="20"/>
      <c r="F281" s="20"/>
      <c r="G281" s="20"/>
      <c r="H281" s="20"/>
      <c r="I281" s="21"/>
      <c r="J281" s="21"/>
      <c r="K281" s="20"/>
      <c r="L281" s="20"/>
      <c r="M281" s="21"/>
      <c r="N281" s="22"/>
      <c r="O281" s="23"/>
      <c r="P281" s="24" t="s">
        <v>1883</v>
      </c>
      <c r="R281" s="26"/>
      <c r="S281" s="27"/>
      <c r="T281" s="27"/>
      <c r="U281" s="25"/>
      <c r="V281" s="26"/>
      <c r="W281" s="26"/>
    </row>
    <row r="282" spans="1:25">
      <c r="A282" s="37" t="s">
        <v>300</v>
      </c>
      <c r="B282" s="18" t="str">
        <f>IFERROR(HYPERLINK(VLOOKUP(A282,ÜRÜNLER!A:C,3,FALSE),VLOOKUP(A282,ÜRÜNLER!A:B,2,FALSE)),"")</f>
        <v>iQ100 Gömme Aspiratör, 53cm, 302m3, Gri</v>
      </c>
      <c r="C282" s="19">
        <v>7</v>
      </c>
      <c r="D282" s="19" t="s">
        <v>1883</v>
      </c>
      <c r="E282" s="20">
        <v>0</v>
      </c>
      <c r="F282" s="20">
        <v>2</v>
      </c>
      <c r="G282" s="20">
        <v>0</v>
      </c>
      <c r="H282" s="20">
        <v>0</v>
      </c>
      <c r="I282" s="21">
        <v>0</v>
      </c>
      <c r="J282" s="21">
        <v>0</v>
      </c>
      <c r="K282" s="20">
        <v>0</v>
      </c>
      <c r="L282" s="20">
        <v>0</v>
      </c>
      <c r="M282" s="21">
        <v>0</v>
      </c>
      <c r="N282" s="22">
        <f t="shared" si="21"/>
        <v>9</v>
      </c>
      <c r="O282" s="23" t="s">
        <v>1883</v>
      </c>
      <c r="P282" s="24" t="s">
        <v>1883</v>
      </c>
      <c r="Q282" s="25">
        <v>12836.042919320691</v>
      </c>
      <c r="R282" s="33">
        <v>12283.294659637026</v>
      </c>
      <c r="S282" s="27">
        <f t="shared" si="22"/>
        <v>12774.626446022507</v>
      </c>
      <c r="T282" s="27">
        <f t="shared" ref="T282:T292" si="23">R282*1.08</f>
        <v>13265.958232407989</v>
      </c>
      <c r="U282" s="25" t="s">
        <v>1883</v>
      </c>
      <c r="V282" s="26" t="s">
        <v>1883</v>
      </c>
      <c r="W282" s="26"/>
    </row>
    <row r="283" spans="1:25">
      <c r="A283" s="17" t="s">
        <v>301</v>
      </c>
      <c r="B283" s="18" t="str">
        <f>IFERROR(HYPERLINK(VLOOKUP(A283,ÜRÜNLER!A:C,3,FALSE),VLOOKUP(A283,ÜRÜNLER!A:B,2,FALSE)),"")</f>
        <v>iQ500 Gömme Aspiratör, 52cm, 570m3, Inox</v>
      </c>
      <c r="C283" s="19" t="s">
        <v>1883</v>
      </c>
      <c r="D283" s="19" t="s">
        <v>1883</v>
      </c>
      <c r="E283" s="20">
        <v>0</v>
      </c>
      <c r="F283" s="20">
        <v>0</v>
      </c>
      <c r="G283" s="20">
        <v>0</v>
      </c>
      <c r="H283" s="20">
        <v>0</v>
      </c>
      <c r="I283" s="21">
        <v>0</v>
      </c>
      <c r="J283" s="21">
        <v>0</v>
      </c>
      <c r="K283" s="20">
        <v>0</v>
      </c>
      <c r="L283" s="20">
        <v>0</v>
      </c>
      <c r="M283" s="21">
        <v>0</v>
      </c>
      <c r="N283" s="22">
        <f t="shared" si="21"/>
        <v>0</v>
      </c>
      <c r="O283" s="23">
        <v>2</v>
      </c>
      <c r="P283" s="24" t="s">
        <v>1883</v>
      </c>
      <c r="Q283" s="25">
        <v>32082.959599746169</v>
      </c>
      <c r="R283" s="33">
        <v>30701.396746168586</v>
      </c>
      <c r="S283" s="27">
        <f t="shared" si="22"/>
        <v>31929.452616015329</v>
      </c>
      <c r="T283" s="27">
        <f t="shared" si="23"/>
        <v>33157.508485862076</v>
      </c>
      <c r="U283" s="25" t="s">
        <v>1883</v>
      </c>
      <c r="V283" s="26" t="s">
        <v>1883</v>
      </c>
      <c r="W283" s="26"/>
    </row>
    <row r="284" spans="1:25">
      <c r="A284" s="37" t="s">
        <v>302</v>
      </c>
      <c r="B284" s="18" t="str">
        <f>IFERROR(HYPERLINK(VLOOKUP(A284,ÜRÜNLER!A:C,3,FALSE),VLOOKUP(A284,ÜRÜNLER!A:B,2,FALSE)),"")</f>
        <v>iQ100 Gömme Aspiratör, 73cm, 302m3, Gri</v>
      </c>
      <c r="C284" s="19">
        <v>4</v>
      </c>
      <c r="D284" s="19" t="s">
        <v>1883</v>
      </c>
      <c r="E284" s="20">
        <v>0</v>
      </c>
      <c r="F284" s="20">
        <v>0</v>
      </c>
      <c r="G284" s="20">
        <v>0</v>
      </c>
      <c r="H284" s="20">
        <v>0</v>
      </c>
      <c r="I284" s="21">
        <v>0</v>
      </c>
      <c r="J284" s="21">
        <v>0</v>
      </c>
      <c r="K284" s="20">
        <v>0</v>
      </c>
      <c r="L284" s="20">
        <v>0</v>
      </c>
      <c r="M284" s="21">
        <v>0</v>
      </c>
      <c r="N284" s="22">
        <f t="shared" si="21"/>
        <v>4</v>
      </c>
      <c r="O284" s="23" t="s">
        <v>1883</v>
      </c>
      <c r="P284" s="24" t="s">
        <v>1883</v>
      </c>
      <c r="Q284" s="25">
        <v>13997.744606236785</v>
      </c>
      <c r="R284" s="33">
        <v>13394.970915059126</v>
      </c>
      <c r="S284" s="27">
        <f t="shared" si="22"/>
        <v>13930.769751661492</v>
      </c>
      <c r="T284" s="27">
        <f t="shared" si="23"/>
        <v>14466.568588263857</v>
      </c>
      <c r="U284" s="25" t="s">
        <v>1883</v>
      </c>
      <c r="V284" s="26" t="s">
        <v>1883</v>
      </c>
      <c r="W284" s="26"/>
    </row>
    <row r="285" spans="1:25">
      <c r="A285" s="37" t="s">
        <v>303</v>
      </c>
      <c r="B285" s="18" t="str">
        <f>IFERROR(HYPERLINK(VLOOKUP(A285,ÜRÜNLER!A:C,3,FALSE),VLOOKUP(A285,ÜRÜNLER!A:B,2,FALSE)),"")</f>
        <v>iQ300 Gömme Aspiratör, 75cm, 379m3, Metalik Gümüş</v>
      </c>
      <c r="C285" s="19" t="s">
        <v>1883</v>
      </c>
      <c r="D285" s="19" t="s">
        <v>1883</v>
      </c>
      <c r="E285" s="20">
        <v>0</v>
      </c>
      <c r="F285" s="20">
        <v>0</v>
      </c>
      <c r="G285" s="20">
        <v>0</v>
      </c>
      <c r="H285" s="20">
        <v>0</v>
      </c>
      <c r="I285" s="21">
        <v>1</v>
      </c>
      <c r="J285" s="21">
        <v>0</v>
      </c>
      <c r="K285" s="20">
        <v>0</v>
      </c>
      <c r="L285" s="20">
        <v>0</v>
      </c>
      <c r="M285" s="21">
        <v>0</v>
      </c>
      <c r="N285" s="22">
        <f t="shared" si="21"/>
        <v>1</v>
      </c>
      <c r="O285" s="23" t="s">
        <v>1883</v>
      </c>
      <c r="P285" s="24" t="s">
        <v>1883</v>
      </c>
      <c r="Q285" s="25" t="s">
        <v>1884</v>
      </c>
      <c r="R285" s="26">
        <v>35000</v>
      </c>
      <c r="S285" s="27">
        <f t="shared" si="22"/>
        <v>36400</v>
      </c>
      <c r="T285" s="27">
        <f t="shared" si="23"/>
        <v>37800</v>
      </c>
      <c r="U285" s="25" t="s">
        <v>1883</v>
      </c>
      <c r="V285" s="26" t="s">
        <v>1883</v>
      </c>
      <c r="W285" s="70">
        <v>1000</v>
      </c>
    </row>
    <row r="286" spans="1:25">
      <c r="A286" s="37" t="s">
        <v>304</v>
      </c>
      <c r="B286" s="18" t="str">
        <f>IFERROR(HYPERLINK(VLOOKUP(A286,ÜRÜNLER!A:C,3,FALSE),VLOOKUP(A286,ÜRÜNLER!A:B,2,FALSE)),"")</f>
        <v>iQ500 Gömme Aspiratör, 86cm, 600m3, Inox</v>
      </c>
      <c r="C286" s="19">
        <v>3</v>
      </c>
      <c r="D286" s="19" t="s">
        <v>1883</v>
      </c>
      <c r="E286" s="20">
        <v>0</v>
      </c>
      <c r="F286" s="20">
        <v>1</v>
      </c>
      <c r="G286" s="20">
        <v>0</v>
      </c>
      <c r="H286" s="20">
        <v>0</v>
      </c>
      <c r="I286" s="21">
        <v>0</v>
      </c>
      <c r="J286" s="21">
        <v>0</v>
      </c>
      <c r="K286" s="20">
        <v>0</v>
      </c>
      <c r="L286" s="20">
        <v>0</v>
      </c>
      <c r="M286" s="21">
        <v>0</v>
      </c>
      <c r="N286" s="22">
        <f t="shared" si="21"/>
        <v>4</v>
      </c>
      <c r="O286" s="23">
        <v>2</v>
      </c>
      <c r="P286" s="24" t="s">
        <v>1883</v>
      </c>
      <c r="Q286" s="25">
        <v>43632.825055654801</v>
      </c>
      <c r="R286" s="33">
        <v>41753.899574789284</v>
      </c>
      <c r="S286" s="27">
        <f t="shared" si="22"/>
        <v>43424.055557780855</v>
      </c>
      <c r="T286" s="27">
        <f t="shared" si="23"/>
        <v>45094.211540772427</v>
      </c>
      <c r="U286" s="25" t="s">
        <v>1883</v>
      </c>
      <c r="V286" s="26" t="s">
        <v>1883</v>
      </c>
      <c r="W286" s="26"/>
    </row>
    <row r="287" spans="1:25">
      <c r="A287" s="42" t="s">
        <v>305</v>
      </c>
      <c r="B287" s="18" t="str">
        <f>IFERROR(HYPERLINK(VLOOKUP(A287,ÜRÜNLER!A:C,3,FALSE),VLOOKUP(A287,ÜRÜNLER!A:B,2,FALSE)),"")</f>
        <v>iQ700 Gömme Aspiratör, 86cm, 595m3, Siyah</v>
      </c>
      <c r="C287" s="19">
        <v>2</v>
      </c>
      <c r="D287" s="19" t="s">
        <v>1883</v>
      </c>
      <c r="E287" s="20">
        <v>0</v>
      </c>
      <c r="F287" s="20">
        <v>0</v>
      </c>
      <c r="G287" s="20">
        <v>0</v>
      </c>
      <c r="H287" s="20">
        <v>0</v>
      </c>
      <c r="I287" s="21">
        <v>0</v>
      </c>
      <c r="J287" s="21">
        <v>0</v>
      </c>
      <c r="K287" s="20">
        <v>0</v>
      </c>
      <c r="L287" s="20">
        <v>0</v>
      </c>
      <c r="M287" s="21">
        <v>0</v>
      </c>
      <c r="N287" s="22">
        <f t="shared" si="21"/>
        <v>2</v>
      </c>
      <c r="O287" s="23">
        <v>5</v>
      </c>
      <c r="P287" s="24" t="s">
        <v>1883</v>
      </c>
      <c r="Q287" s="25">
        <v>48865.046037108717</v>
      </c>
      <c r="R287" s="33">
        <v>46760.809604888731</v>
      </c>
      <c r="S287" s="27">
        <f t="shared" si="22"/>
        <v>48631.241989084279</v>
      </c>
      <c r="T287" s="27">
        <f t="shared" si="23"/>
        <v>50501.674373279835</v>
      </c>
      <c r="U287" s="25" t="s">
        <v>1883</v>
      </c>
      <c r="V287" s="26" t="s">
        <v>1883</v>
      </c>
      <c r="W287" s="26"/>
    </row>
    <row r="288" spans="1:25">
      <c r="A288" s="37" t="s">
        <v>306</v>
      </c>
      <c r="B288" s="18" t="str">
        <f>IFERROR(HYPERLINK(VLOOKUP(A288,ÜRÜNLER!A:C,3,FALSE),VLOOKUP(A288,ÜRÜNLER!A:B,2,FALSE)),"")</f>
        <v>iQ100 Teleskopik Aspiratör, 60cm, 310m3, Gümüş</v>
      </c>
      <c r="C288" s="19">
        <v>1</v>
      </c>
      <c r="D288" s="19" t="s">
        <v>1883</v>
      </c>
      <c r="E288" s="20">
        <v>0</v>
      </c>
      <c r="F288" s="20">
        <v>1</v>
      </c>
      <c r="G288" s="20">
        <v>1</v>
      </c>
      <c r="H288" s="20">
        <v>0</v>
      </c>
      <c r="I288" s="21">
        <v>0</v>
      </c>
      <c r="J288" s="21">
        <v>0</v>
      </c>
      <c r="K288" s="20">
        <v>0</v>
      </c>
      <c r="L288" s="20">
        <v>0</v>
      </c>
      <c r="M288" s="21">
        <v>0</v>
      </c>
      <c r="N288" s="22">
        <f t="shared" si="21"/>
        <v>3</v>
      </c>
      <c r="O288" s="23" t="s">
        <v>1883</v>
      </c>
      <c r="P288" s="24" t="s">
        <v>1883</v>
      </c>
      <c r="Q288" s="25">
        <v>8541.4853914892301</v>
      </c>
      <c r="R288" s="33">
        <v>8173.6702310901737</v>
      </c>
      <c r="S288" s="27">
        <f t="shared" si="22"/>
        <v>8500.6170403337801</v>
      </c>
      <c r="T288" s="27">
        <f t="shared" si="23"/>
        <v>8827.5638495773874</v>
      </c>
      <c r="U288" s="25" t="s">
        <v>1883</v>
      </c>
      <c r="V288" s="26" t="s">
        <v>1883</v>
      </c>
      <c r="W288" s="26"/>
    </row>
    <row r="289" spans="1:23">
      <c r="A289" s="37" t="s">
        <v>307</v>
      </c>
      <c r="B289" s="18" t="str">
        <f>IFERROR(HYPERLINK(VLOOKUP(A289,ÜRÜNLER!A:C,3,FALSE),VLOOKUP(A289,ÜRÜNLER!A:B,2,FALSE)),"")</f>
        <v>iQ100 Teleskopik Aspiratör, 60cm, 310m3, Beyaz</v>
      </c>
      <c r="C289" s="19">
        <v>1</v>
      </c>
      <c r="D289" s="19" t="s">
        <v>1883</v>
      </c>
      <c r="E289" s="20">
        <v>0</v>
      </c>
      <c r="F289" s="20">
        <v>1</v>
      </c>
      <c r="G289" s="20">
        <v>0</v>
      </c>
      <c r="H289" s="20">
        <v>0</v>
      </c>
      <c r="I289" s="21">
        <v>0</v>
      </c>
      <c r="J289" s="21">
        <v>0</v>
      </c>
      <c r="K289" s="20">
        <v>0</v>
      </c>
      <c r="L289" s="20">
        <v>0</v>
      </c>
      <c r="M289" s="21">
        <v>0</v>
      </c>
      <c r="N289" s="22">
        <f t="shared" si="21"/>
        <v>2</v>
      </c>
      <c r="O289" s="23" t="s">
        <v>1883</v>
      </c>
      <c r="P289" s="24" t="s">
        <v>1883</v>
      </c>
      <c r="Q289" s="25">
        <v>8543.8880061000709</v>
      </c>
      <c r="R289" s="33">
        <v>8175.9693838278199</v>
      </c>
      <c r="S289" s="27">
        <f t="shared" si="22"/>
        <v>8503.0081591809321</v>
      </c>
      <c r="T289" s="27">
        <f t="shared" si="23"/>
        <v>8830.0469345340462</v>
      </c>
      <c r="U289" s="25" t="s">
        <v>1883</v>
      </c>
      <c r="V289" s="26" t="s">
        <v>1883</v>
      </c>
      <c r="W289" s="26"/>
    </row>
    <row r="290" spans="1:23">
      <c r="A290" s="37" t="s">
        <v>308</v>
      </c>
      <c r="B290" s="18" t="str">
        <f>IFERROR(HYPERLINK(VLOOKUP(A290,ÜRÜNLER!A:C,3,FALSE),VLOOKUP(A290,ÜRÜNLER!A:B,2,FALSE)),"")</f>
        <v>iQ300 Tam Entegre Davlumbaz, 60cm, 582m3, Cam Dekor, Mat Siyah</v>
      </c>
      <c r="C290" s="19">
        <v>2</v>
      </c>
      <c r="D290" s="19" t="s">
        <v>1883</v>
      </c>
      <c r="E290" s="20">
        <v>0</v>
      </c>
      <c r="F290" s="20">
        <v>0</v>
      </c>
      <c r="G290" s="20">
        <v>0</v>
      </c>
      <c r="H290" s="20">
        <v>0</v>
      </c>
      <c r="I290" s="21">
        <v>0</v>
      </c>
      <c r="J290" s="21">
        <v>0</v>
      </c>
      <c r="K290" s="20">
        <v>0</v>
      </c>
      <c r="L290" s="20">
        <v>0</v>
      </c>
      <c r="M290" s="21">
        <v>0</v>
      </c>
      <c r="N290" s="22">
        <f t="shared" si="21"/>
        <v>2</v>
      </c>
      <c r="O290" s="23" t="s">
        <v>1883</v>
      </c>
      <c r="P290" s="24" t="s">
        <v>1883</v>
      </c>
      <c r="Q290" s="25">
        <v>24445.36362196046</v>
      </c>
      <c r="R290" s="33">
        <v>23392.692461206181</v>
      </c>
      <c r="S290" s="27">
        <f t="shared" si="22"/>
        <v>24328.400159654429</v>
      </c>
      <c r="T290" s="27">
        <f t="shared" si="23"/>
        <v>25264.107858102678</v>
      </c>
      <c r="U290" s="25" t="s">
        <v>1883</v>
      </c>
      <c r="V290" s="26" t="s">
        <v>1883</v>
      </c>
      <c r="W290" s="26"/>
    </row>
    <row r="291" spans="1:23">
      <c r="A291" s="37" t="s">
        <v>309</v>
      </c>
      <c r="B291" s="18" t="str">
        <f>IFERROR(HYPERLINK(VLOOKUP(A291,ÜRÜNLER!A:C,3,FALSE),VLOOKUP(A291,ÜRÜNLER!A:B,2,FALSE)),"")</f>
        <v>iQ500 Tam Entegre Davlumbaz, 60cm, 433m3, Cam Dekor, Mat Siyah</v>
      </c>
      <c r="C291" s="19">
        <v>1</v>
      </c>
      <c r="D291" s="19" t="s">
        <v>1883</v>
      </c>
      <c r="E291" s="20">
        <v>0</v>
      </c>
      <c r="F291" s="20">
        <v>0</v>
      </c>
      <c r="G291" s="20">
        <v>0</v>
      </c>
      <c r="H291" s="20">
        <v>0</v>
      </c>
      <c r="I291" s="21">
        <v>0</v>
      </c>
      <c r="J291" s="21">
        <v>0</v>
      </c>
      <c r="K291" s="20">
        <v>0</v>
      </c>
      <c r="L291" s="20">
        <v>0</v>
      </c>
      <c r="M291" s="21">
        <v>0</v>
      </c>
      <c r="N291" s="22">
        <f t="shared" si="21"/>
        <v>1</v>
      </c>
      <c r="O291" s="23">
        <v>4</v>
      </c>
      <c r="P291" s="24" t="s">
        <v>1883</v>
      </c>
      <c r="Q291" s="25">
        <v>36483.835310208007</v>
      </c>
      <c r="R291" s="33">
        <v>34912.761062400008</v>
      </c>
      <c r="S291" s="27">
        <f t="shared" si="22"/>
        <v>36309.271504896009</v>
      </c>
      <c r="T291" s="27">
        <f t="shared" si="23"/>
        <v>37705.78194739201</v>
      </c>
      <c r="U291" s="25" t="s">
        <v>1883</v>
      </c>
      <c r="V291" s="26" t="s">
        <v>1883</v>
      </c>
      <c r="W291" s="26"/>
    </row>
    <row r="292" spans="1:23">
      <c r="A292" s="37" t="s">
        <v>310</v>
      </c>
      <c r="B292" s="18" t="str">
        <f>IFERROR(HYPERLINK(VLOOKUP(A292,ÜRÜNLER!A:C,3,FALSE),VLOOKUP(A292,ÜRÜNLER!A:B,2,FALSE)),"")</f>
        <v>iQ300 Tam Entegre Davlumbaz, 80cm, 582m3, Cam Dekor, Mat Siyah</v>
      </c>
      <c r="C292" s="19">
        <v>1</v>
      </c>
      <c r="D292" s="19" t="s">
        <v>1883</v>
      </c>
      <c r="E292" s="20">
        <v>0</v>
      </c>
      <c r="F292" s="20">
        <v>0</v>
      </c>
      <c r="G292" s="20">
        <v>0</v>
      </c>
      <c r="H292" s="20">
        <v>0</v>
      </c>
      <c r="I292" s="21">
        <v>0</v>
      </c>
      <c r="J292" s="21">
        <v>0</v>
      </c>
      <c r="K292" s="20">
        <v>0</v>
      </c>
      <c r="L292" s="20">
        <v>0</v>
      </c>
      <c r="M292" s="21">
        <v>0</v>
      </c>
      <c r="N292" s="22">
        <f t="shared" si="21"/>
        <v>1</v>
      </c>
      <c r="O292" s="23">
        <v>4</v>
      </c>
      <c r="P292" s="24" t="s">
        <v>1883</v>
      </c>
      <c r="Q292" s="25">
        <v>32762.359434244197</v>
      </c>
      <c r="R292" s="33">
        <v>31351.540128463344</v>
      </c>
      <c r="S292" s="27">
        <f t="shared" si="22"/>
        <v>32605.601733601878</v>
      </c>
      <c r="T292" s="27">
        <f t="shared" si="23"/>
        <v>33859.663338740414</v>
      </c>
      <c r="U292" s="25" t="s">
        <v>1883</v>
      </c>
      <c r="V292" s="26" t="s">
        <v>1883</v>
      </c>
      <c r="W292" s="26"/>
    </row>
    <row r="293" spans="1:23" ht="39.75" customHeight="1">
      <c r="A293" s="71" t="s">
        <v>311</v>
      </c>
      <c r="B293" s="18"/>
      <c r="C293" s="19"/>
      <c r="D293" s="19"/>
      <c r="E293" s="20"/>
      <c r="F293" s="20"/>
      <c r="G293" s="20"/>
      <c r="H293" s="20"/>
      <c r="I293" s="21"/>
      <c r="J293" s="21"/>
      <c r="K293" s="20"/>
      <c r="L293" s="20"/>
      <c r="M293" s="21"/>
      <c r="N293" s="22"/>
      <c r="O293" s="23"/>
      <c r="P293" s="24" t="s">
        <v>1883</v>
      </c>
      <c r="R293" s="26"/>
      <c r="S293" s="27"/>
      <c r="T293" s="27"/>
      <c r="U293" s="25"/>
      <c r="V293" s="26"/>
      <c r="W293" s="26"/>
    </row>
    <row r="294" spans="1:23">
      <c r="A294" s="84" t="s">
        <v>312</v>
      </c>
      <c r="B294" s="18" t="str">
        <f>IFERROR(HYPERLINK(VLOOKUP(A294,ÜRÜNLER!A:C,3,FALSE),VLOOKUP(A294,ÜRÜNLER!A:B,2,FALSE)),"")</f>
        <v>iQ700 Gazlı Ocak, 60cm, Sert Cam, Siyah, Döküm</v>
      </c>
      <c r="C294" s="19">
        <v>2</v>
      </c>
      <c r="D294" s="19" t="s">
        <v>1883</v>
      </c>
      <c r="E294" s="20">
        <v>0</v>
      </c>
      <c r="F294" s="20">
        <v>0</v>
      </c>
      <c r="G294" s="20">
        <v>0</v>
      </c>
      <c r="H294" s="20">
        <v>0</v>
      </c>
      <c r="I294" s="21">
        <v>0</v>
      </c>
      <c r="J294" s="21">
        <v>0</v>
      </c>
      <c r="K294" s="20">
        <v>0</v>
      </c>
      <c r="L294" s="20">
        <v>0</v>
      </c>
      <c r="M294" s="21">
        <v>0</v>
      </c>
      <c r="N294" s="22">
        <f t="shared" si="21"/>
        <v>2</v>
      </c>
      <c r="O294" s="23" t="s">
        <v>1883</v>
      </c>
      <c r="P294" s="24" t="s">
        <v>1883</v>
      </c>
      <c r="Q294" s="25">
        <v>65219.199996011448</v>
      </c>
      <c r="R294" s="33">
        <v>62410.717699532492</v>
      </c>
      <c r="S294" s="27">
        <f t="shared" si="22"/>
        <v>64907.146407513792</v>
      </c>
      <c r="T294" s="27">
        <f t="shared" ref="T294:T357" si="24">R294*1.08</f>
        <v>67403.575115495099</v>
      </c>
      <c r="U294" s="25" t="s">
        <v>1883</v>
      </c>
      <c r="V294" s="26" t="s">
        <v>1883</v>
      </c>
      <c r="W294" s="26"/>
    </row>
    <row r="295" spans="1:23">
      <c r="A295" s="84" t="s">
        <v>313</v>
      </c>
      <c r="B295" s="18" t="str">
        <f>IFERROR(HYPERLINK(VLOOKUP(A295,ÜRÜNLER!A:C,3,FALSE),VLOOKUP(A295,ÜRÜNLER!A:B,2,FALSE)),"")</f>
        <v>iQ700 Gazlı Domino Ocak, 30cm, Tek Gözlü, Seramik, Siyah, Wok</v>
      </c>
      <c r="C295" s="19">
        <v>1</v>
      </c>
      <c r="D295" s="19" t="s">
        <v>1883</v>
      </c>
      <c r="E295" s="20">
        <v>0</v>
      </c>
      <c r="F295" s="20">
        <v>0</v>
      </c>
      <c r="G295" s="20">
        <v>0</v>
      </c>
      <c r="H295" s="20">
        <v>0</v>
      </c>
      <c r="I295" s="21">
        <v>0</v>
      </c>
      <c r="J295" s="21">
        <v>0</v>
      </c>
      <c r="K295" s="20">
        <v>0</v>
      </c>
      <c r="L295" s="20">
        <v>0</v>
      </c>
      <c r="M295" s="21">
        <v>0</v>
      </c>
      <c r="N295" s="22">
        <f t="shared" si="21"/>
        <v>1</v>
      </c>
      <c r="O295" s="23" t="s">
        <v>1883</v>
      </c>
      <c r="P295" s="24" t="s">
        <v>1883</v>
      </c>
      <c r="Q295" s="25">
        <v>45781.875981564386</v>
      </c>
      <c r="R295" s="33">
        <v>43810.407637860662</v>
      </c>
      <c r="S295" s="27">
        <f t="shared" si="22"/>
        <v>45562.823943375093</v>
      </c>
      <c r="T295" s="27">
        <f t="shared" si="24"/>
        <v>47315.240248889517</v>
      </c>
      <c r="U295" s="25" t="s">
        <v>1883</v>
      </c>
      <c r="V295" s="26" t="s">
        <v>1883</v>
      </c>
      <c r="W295" s="26"/>
    </row>
    <row r="296" spans="1:23">
      <c r="A296" s="84" t="s">
        <v>314</v>
      </c>
      <c r="B296" s="18" t="str">
        <f>IFERROR(HYPERLINK(VLOOKUP(A296,ÜRÜNLER!A:C,3,FALSE),VLOOKUP(A296,ÜRÜNLER!A:B,2,FALSE)),"")</f>
        <v>iQ700 Gazlı Domino Ocak, 30cm, 2 Gözlü, Seramik, Siyah</v>
      </c>
      <c r="C296" s="19" t="s">
        <v>1883</v>
      </c>
      <c r="D296" s="19" t="s">
        <v>1883</v>
      </c>
      <c r="E296" s="20">
        <v>0</v>
      </c>
      <c r="F296" s="20">
        <v>0</v>
      </c>
      <c r="G296" s="20">
        <v>0</v>
      </c>
      <c r="H296" s="20">
        <v>0</v>
      </c>
      <c r="I296" s="21">
        <v>0</v>
      </c>
      <c r="J296" s="21">
        <v>0</v>
      </c>
      <c r="K296" s="20">
        <v>0</v>
      </c>
      <c r="L296" s="20">
        <v>0</v>
      </c>
      <c r="M296" s="21">
        <v>0</v>
      </c>
      <c r="N296" s="22">
        <f t="shared" si="21"/>
        <v>0</v>
      </c>
      <c r="O296" s="23">
        <v>2</v>
      </c>
      <c r="P296" s="24" t="s">
        <v>1883</v>
      </c>
      <c r="Q296" s="25">
        <v>44196.020558411517</v>
      </c>
      <c r="R296" s="33">
        <v>42292.842639628252</v>
      </c>
      <c r="S296" s="27">
        <f t="shared" si="22"/>
        <v>43984.556345213387</v>
      </c>
      <c r="T296" s="27">
        <f t="shared" si="24"/>
        <v>45676.270050798514</v>
      </c>
      <c r="U296" s="25" t="s">
        <v>1883</v>
      </c>
      <c r="V296" s="26" t="s">
        <v>1883</v>
      </c>
      <c r="W296" s="26"/>
    </row>
    <row r="297" spans="1:23">
      <c r="A297" s="84" t="s">
        <v>315</v>
      </c>
      <c r="B297" s="18" t="str">
        <f>IFERROR(HYPERLINK(VLOOKUP(A297,ÜRÜNLER!A:C,3,FALSE),VLOOKUP(A297,ÜRÜNLER!A:B,2,FALSE)),"")</f>
        <v>iQ500 Gazlı Ocak, 90cm, 5 Gözlü, Inox, Döküm, Wok</v>
      </c>
      <c r="C297" s="19">
        <v>2</v>
      </c>
      <c r="D297" s="19" t="s">
        <v>1883</v>
      </c>
      <c r="E297" s="20">
        <v>0</v>
      </c>
      <c r="F297" s="20">
        <v>0</v>
      </c>
      <c r="G297" s="20">
        <v>0</v>
      </c>
      <c r="H297" s="20">
        <v>0</v>
      </c>
      <c r="I297" s="21">
        <v>0</v>
      </c>
      <c r="J297" s="21">
        <v>0</v>
      </c>
      <c r="K297" s="20">
        <v>0</v>
      </c>
      <c r="L297" s="20">
        <v>0</v>
      </c>
      <c r="M297" s="21">
        <v>0</v>
      </c>
      <c r="N297" s="22">
        <f t="shared" si="21"/>
        <v>2</v>
      </c>
      <c r="O297" s="23" t="s">
        <v>1883</v>
      </c>
      <c r="P297" s="24" t="s">
        <v>1883</v>
      </c>
      <c r="Q297" s="25">
        <v>62320.180570050805</v>
      </c>
      <c r="R297" s="33">
        <v>59636.536430670632</v>
      </c>
      <c r="S297" s="27">
        <f t="shared" si="22"/>
        <v>62021.997887897458</v>
      </c>
      <c r="T297" s="27">
        <f t="shared" si="24"/>
        <v>64407.459345124291</v>
      </c>
      <c r="U297" s="25" t="s">
        <v>1883</v>
      </c>
      <c r="V297" s="26" t="s">
        <v>1883</v>
      </c>
      <c r="W297" s="26"/>
    </row>
    <row r="298" spans="1:23">
      <c r="A298" s="84" t="s">
        <v>316</v>
      </c>
      <c r="B298" s="18" t="str">
        <f>IFERROR(HYPERLINK(VLOOKUP(A298,ÜRÜNLER!A:C,3,FALSE),VLOOKUP(A298,ÜRÜNLER!A:B,2,FALSE)),"")</f>
        <v>iQ500 Gazlı Ocak, 60cm, Sert Cam, Beyaz, Döküm</v>
      </c>
      <c r="C298" s="19" t="s">
        <v>1883</v>
      </c>
      <c r="D298" s="19" t="s">
        <v>1883</v>
      </c>
      <c r="E298" s="20">
        <v>0</v>
      </c>
      <c r="F298" s="20">
        <v>0</v>
      </c>
      <c r="G298" s="20">
        <v>0</v>
      </c>
      <c r="H298" s="20">
        <v>0</v>
      </c>
      <c r="I298" s="21">
        <v>0</v>
      </c>
      <c r="J298" s="21">
        <v>0</v>
      </c>
      <c r="K298" s="20">
        <v>0</v>
      </c>
      <c r="L298" s="20">
        <v>0</v>
      </c>
      <c r="M298" s="21">
        <v>0</v>
      </c>
      <c r="N298" s="22">
        <f t="shared" si="21"/>
        <v>0</v>
      </c>
      <c r="O298" s="23" t="s">
        <v>1883</v>
      </c>
      <c r="P298" s="24" t="s">
        <v>1883</v>
      </c>
      <c r="Q298" s="25">
        <v>42302.270980344096</v>
      </c>
      <c r="R298" s="33">
        <v>40480.642086453685</v>
      </c>
      <c r="S298" s="27">
        <f t="shared" si="22"/>
        <v>42099.867769911834</v>
      </c>
      <c r="T298" s="27">
        <f t="shared" si="24"/>
        <v>43719.093453369984</v>
      </c>
      <c r="U298" s="25" t="s">
        <v>1883</v>
      </c>
      <c r="V298" s="26" t="s">
        <v>1883</v>
      </c>
      <c r="W298" s="26"/>
    </row>
    <row r="299" spans="1:23">
      <c r="A299" s="84" t="s">
        <v>317</v>
      </c>
      <c r="B299" s="18" t="str">
        <f>IFERROR(HYPERLINK(VLOOKUP(A299,ÜRÜNLER!A:C,3,FALSE),VLOOKUP(A299,ÜRÜNLER!A:B,2,FALSE)),"")</f>
        <v>iQ300 Gazlı Ocak, 67cm, Sert Cam, Beyaz</v>
      </c>
      <c r="C299" s="19">
        <v>4</v>
      </c>
      <c r="D299" s="19" t="s">
        <v>1883</v>
      </c>
      <c r="E299" s="20">
        <v>0</v>
      </c>
      <c r="F299" s="20">
        <v>1</v>
      </c>
      <c r="G299" s="20">
        <v>0</v>
      </c>
      <c r="H299" s="20">
        <v>0</v>
      </c>
      <c r="I299" s="21">
        <v>0</v>
      </c>
      <c r="J299" s="21">
        <v>0</v>
      </c>
      <c r="K299" s="20">
        <v>0</v>
      </c>
      <c r="L299" s="20">
        <v>0</v>
      </c>
      <c r="M299" s="21">
        <v>0</v>
      </c>
      <c r="N299" s="22">
        <f t="shared" si="21"/>
        <v>5</v>
      </c>
      <c r="O299" s="23" t="s">
        <v>1883</v>
      </c>
      <c r="P299" s="24" t="s">
        <v>1883</v>
      </c>
      <c r="Q299" s="25">
        <v>17392.820074899988</v>
      </c>
      <c r="R299" s="33">
        <v>16643.846961626783</v>
      </c>
      <c r="S299" s="27">
        <f t="shared" si="22"/>
        <v>17309.600840091854</v>
      </c>
      <c r="T299" s="27">
        <f t="shared" si="24"/>
        <v>17975.354718556926</v>
      </c>
      <c r="U299" s="25" t="s">
        <v>1883</v>
      </c>
      <c r="V299" s="26" t="s">
        <v>1883</v>
      </c>
      <c r="W299" s="26"/>
    </row>
    <row r="300" spans="1:23">
      <c r="A300" s="85" t="s">
        <v>318</v>
      </c>
      <c r="B300" s="18" t="str">
        <f>IFERROR(HYPERLINK(VLOOKUP(A300,ÜRÜNLER!A:C,3,FALSE),VLOOKUP(A300,ÜRÜNLER!A:B,2,FALSE)),"")</f>
        <v>iQ100 Ankastre Gazlı Ocak, 60cm, Emaye, Beyaz</v>
      </c>
      <c r="C300" s="19" t="s">
        <v>1883</v>
      </c>
      <c r="D300" s="19" t="s">
        <v>1883</v>
      </c>
      <c r="E300" s="20">
        <v>0</v>
      </c>
      <c r="F300" s="20">
        <v>0</v>
      </c>
      <c r="G300" s="20">
        <v>0</v>
      </c>
      <c r="H300" s="20">
        <v>0</v>
      </c>
      <c r="I300" s="21">
        <v>0</v>
      </c>
      <c r="J300" s="21">
        <v>0</v>
      </c>
      <c r="K300" s="20">
        <v>1</v>
      </c>
      <c r="L300" s="20">
        <v>0</v>
      </c>
      <c r="M300" s="21">
        <v>0</v>
      </c>
      <c r="N300" s="22">
        <f t="shared" si="21"/>
        <v>1</v>
      </c>
      <c r="O300" s="23" t="s">
        <v>1883</v>
      </c>
      <c r="P300" s="24" t="s">
        <v>1883</v>
      </c>
      <c r="Q300" s="25" t="s">
        <v>1884</v>
      </c>
      <c r="R300" s="26">
        <v>7500</v>
      </c>
      <c r="S300" s="27">
        <f t="shared" si="22"/>
        <v>7800</v>
      </c>
      <c r="T300" s="27">
        <f t="shared" si="24"/>
        <v>8100.0000000000009</v>
      </c>
      <c r="U300" s="25" t="s">
        <v>1883</v>
      </c>
      <c r="V300" s="26" t="s">
        <v>1883</v>
      </c>
      <c r="W300" s="70">
        <v>500</v>
      </c>
    </row>
    <row r="301" spans="1:23">
      <c r="A301" s="85" t="s">
        <v>319</v>
      </c>
      <c r="B301" s="18" t="str">
        <f>IFERROR(HYPERLINK(VLOOKUP(A301,ÜRÜNLER!A:C,3,FALSE),VLOOKUP(A301,ÜRÜNLER!A:B,2,FALSE)),"")</f>
        <v>iQ300 Gazlı Ocak, 60cm, Sert Cam, Siyah</v>
      </c>
      <c r="C301" s="19" t="s">
        <v>1883</v>
      </c>
      <c r="D301" s="19" t="s">
        <v>1883</v>
      </c>
      <c r="E301" s="20">
        <v>0</v>
      </c>
      <c r="F301" s="20">
        <v>0</v>
      </c>
      <c r="G301" s="20">
        <v>0</v>
      </c>
      <c r="H301" s="20">
        <v>0</v>
      </c>
      <c r="I301" s="21">
        <v>0</v>
      </c>
      <c r="J301" s="21">
        <v>0</v>
      </c>
      <c r="K301" s="20">
        <v>1</v>
      </c>
      <c r="L301" s="20">
        <v>0</v>
      </c>
      <c r="M301" s="21">
        <v>0</v>
      </c>
      <c r="N301" s="22">
        <f t="shared" si="21"/>
        <v>1</v>
      </c>
      <c r="O301" s="23" t="s">
        <v>1883</v>
      </c>
      <c r="P301" s="24" t="s">
        <v>1883</v>
      </c>
      <c r="Q301" s="25" t="s">
        <v>1884</v>
      </c>
      <c r="R301" s="26">
        <v>16000</v>
      </c>
      <c r="S301" s="27">
        <f t="shared" si="22"/>
        <v>16640</v>
      </c>
      <c r="T301" s="27">
        <f t="shared" si="24"/>
        <v>17280</v>
      </c>
      <c r="U301" s="25" t="s">
        <v>1883</v>
      </c>
      <c r="V301" s="26" t="s">
        <v>1883</v>
      </c>
      <c r="W301" s="70">
        <v>500</v>
      </c>
    </row>
    <row r="302" spans="1:23">
      <c r="A302" s="85" t="s">
        <v>320</v>
      </c>
      <c r="B302" s="18" t="str">
        <f>IFERROR(HYPERLINK(VLOOKUP(A302,ÜRÜNLER!A:C,3,FALSE),VLOOKUP(A302,ÜRÜNLER!A:B,2,FALSE)),"")</f>
        <v>iQ100 Gazlı Ocak, 60cm, Sert Cam, Beyaz, Döküm</v>
      </c>
      <c r="C302" s="19">
        <v>4</v>
      </c>
      <c r="D302" s="19" t="s">
        <v>1883</v>
      </c>
      <c r="E302" s="20">
        <v>0</v>
      </c>
      <c r="F302" s="20">
        <v>0</v>
      </c>
      <c r="G302" s="20">
        <v>0</v>
      </c>
      <c r="H302" s="20">
        <v>0</v>
      </c>
      <c r="I302" s="21">
        <v>1</v>
      </c>
      <c r="J302" s="21">
        <v>0</v>
      </c>
      <c r="K302" s="20">
        <v>0</v>
      </c>
      <c r="L302" s="20">
        <v>0</v>
      </c>
      <c r="M302" s="21">
        <v>0</v>
      </c>
      <c r="N302" s="22">
        <f t="shared" si="21"/>
        <v>5</v>
      </c>
      <c r="O302" s="23" t="s">
        <v>1883</v>
      </c>
      <c r="P302" s="24" t="s">
        <v>1883</v>
      </c>
      <c r="Q302" s="25" t="s">
        <v>1884</v>
      </c>
      <c r="R302" s="26">
        <v>13000</v>
      </c>
      <c r="S302" s="27">
        <f t="shared" si="22"/>
        <v>13520</v>
      </c>
      <c r="T302" s="27">
        <f t="shared" si="24"/>
        <v>14040.000000000002</v>
      </c>
      <c r="U302" s="25" t="s">
        <v>1883</v>
      </c>
      <c r="V302" s="26" t="s">
        <v>1883</v>
      </c>
      <c r="W302" s="26"/>
    </row>
    <row r="303" spans="1:23">
      <c r="A303" s="85" t="s">
        <v>321</v>
      </c>
      <c r="B303" s="18" t="str">
        <f>IFERROR(HYPERLINK(VLOOKUP(A303,ÜRÜNLER!A:C,3,FALSE),VLOOKUP(A303,ÜRÜNLER!A:B,2,FALSE)),"")</f>
        <v>iQ100 Gazlı Ocak, 60cm, Sert Cam, Siyah, Wok</v>
      </c>
      <c r="C303" s="19" t="s">
        <v>1883</v>
      </c>
      <c r="D303" s="19" t="s">
        <v>1883</v>
      </c>
      <c r="E303" s="20">
        <v>0</v>
      </c>
      <c r="F303" s="20">
        <v>1</v>
      </c>
      <c r="G303" s="20">
        <v>0</v>
      </c>
      <c r="H303" s="20">
        <v>0</v>
      </c>
      <c r="I303" s="21">
        <v>0</v>
      </c>
      <c r="J303" s="21">
        <v>0</v>
      </c>
      <c r="K303" s="20">
        <v>0</v>
      </c>
      <c r="L303" s="20">
        <v>0</v>
      </c>
      <c r="M303" s="21">
        <v>0</v>
      </c>
      <c r="N303" s="22">
        <f t="shared" si="21"/>
        <v>1</v>
      </c>
      <c r="O303" s="23" t="s">
        <v>1883</v>
      </c>
      <c r="P303" s="24" t="s">
        <v>1883</v>
      </c>
      <c r="Q303" s="25" t="s">
        <v>1884</v>
      </c>
      <c r="R303" s="26">
        <v>12500</v>
      </c>
      <c r="S303" s="27">
        <f t="shared" si="22"/>
        <v>13000</v>
      </c>
      <c r="T303" s="27">
        <f t="shared" si="24"/>
        <v>13500</v>
      </c>
      <c r="U303" s="25" t="s">
        <v>1883</v>
      </c>
      <c r="V303" s="26" t="s">
        <v>1883</v>
      </c>
      <c r="W303" s="26"/>
    </row>
    <row r="304" spans="1:23">
      <c r="A304" s="86" t="s">
        <v>322</v>
      </c>
      <c r="B304" s="18" t="str">
        <f>IFERROR(HYPERLINK(VLOOKUP(A304,ÜRÜNLER!A:C,3,FALSE),VLOOKUP(A304,ÜRÜNLER!A:B,2,FALSE)),"")</f>
        <v>iQ100 Gazlı Ocak, 60cm, Emaye, Beyaz</v>
      </c>
      <c r="C304" s="19" t="s">
        <v>1883</v>
      </c>
      <c r="D304" s="19" t="s">
        <v>1883</v>
      </c>
      <c r="E304" s="20">
        <v>0</v>
      </c>
      <c r="F304" s="20">
        <v>1</v>
      </c>
      <c r="G304" s="20">
        <v>0</v>
      </c>
      <c r="H304" s="20">
        <v>0</v>
      </c>
      <c r="I304" s="21">
        <v>1</v>
      </c>
      <c r="J304" s="21">
        <v>0</v>
      </c>
      <c r="K304" s="20">
        <v>0</v>
      </c>
      <c r="L304" s="20">
        <v>1</v>
      </c>
      <c r="M304" s="21">
        <v>0</v>
      </c>
      <c r="N304" s="22">
        <f t="shared" si="21"/>
        <v>3</v>
      </c>
      <c r="O304" s="23" t="s">
        <v>1883</v>
      </c>
      <c r="P304" s="24" t="s">
        <v>1883</v>
      </c>
      <c r="Q304" s="25" t="s">
        <v>1884</v>
      </c>
      <c r="R304" s="26">
        <v>7500</v>
      </c>
      <c r="S304" s="27">
        <f t="shared" si="22"/>
        <v>7800</v>
      </c>
      <c r="T304" s="27">
        <f t="shared" si="24"/>
        <v>8100.0000000000009</v>
      </c>
      <c r="U304" s="25" t="s">
        <v>1883</v>
      </c>
      <c r="V304" s="26" t="s">
        <v>1883</v>
      </c>
      <c r="W304" s="33">
        <v>250</v>
      </c>
    </row>
    <row r="305" spans="1:23">
      <c r="A305" s="86" t="s">
        <v>323</v>
      </c>
      <c r="B305" s="18" t="str">
        <f>IFERROR(HYPERLINK(VLOOKUP(A305,ÜRÜNLER!A:C,3,FALSE),VLOOKUP(A305,ÜRÜNLER!A:B,2,FALSE)),"")</f>
        <v>iQ100 Gazlı/Elektrikli Ocak, 60cm, Inox</v>
      </c>
      <c r="C305" s="19">
        <v>3</v>
      </c>
      <c r="D305" s="19" t="s">
        <v>1883</v>
      </c>
      <c r="E305" s="20">
        <v>0</v>
      </c>
      <c r="F305" s="20">
        <v>0</v>
      </c>
      <c r="G305" s="20">
        <v>0</v>
      </c>
      <c r="H305" s="20">
        <v>0</v>
      </c>
      <c r="I305" s="21">
        <v>0</v>
      </c>
      <c r="J305" s="21">
        <v>0</v>
      </c>
      <c r="K305" s="20">
        <v>0</v>
      </c>
      <c r="L305" s="20">
        <v>0</v>
      </c>
      <c r="M305" s="21">
        <v>0</v>
      </c>
      <c r="N305" s="22">
        <f t="shared" si="21"/>
        <v>3</v>
      </c>
      <c r="O305" s="23" t="s">
        <v>1883</v>
      </c>
      <c r="P305" s="24" t="s">
        <v>1883</v>
      </c>
      <c r="Q305" s="25" t="s">
        <v>1884</v>
      </c>
      <c r="R305" s="26">
        <v>9000</v>
      </c>
      <c r="S305" s="27">
        <f t="shared" si="22"/>
        <v>9360</v>
      </c>
      <c r="T305" s="27">
        <f t="shared" si="24"/>
        <v>9720</v>
      </c>
      <c r="U305" s="25" t="s">
        <v>1883</v>
      </c>
      <c r="V305" s="26" t="s">
        <v>1883</v>
      </c>
      <c r="W305" s="33">
        <v>250</v>
      </c>
    </row>
    <row r="306" spans="1:23">
      <c r="A306" s="86" t="s">
        <v>324</v>
      </c>
      <c r="B306" s="18" t="str">
        <f>IFERROR(HYPERLINK(VLOOKUP(A306,ÜRÜNLER!A:C,3,FALSE),VLOOKUP(A306,ÜRÜNLER!A:B,2,FALSE)),"")</f>
        <v>iQ100 Gazlı Ocak, 60cm, Emaye, Siyah</v>
      </c>
      <c r="C306" s="19">
        <v>1</v>
      </c>
      <c r="D306" s="19" t="s">
        <v>1883</v>
      </c>
      <c r="E306" s="20">
        <v>0</v>
      </c>
      <c r="F306" s="20">
        <v>0</v>
      </c>
      <c r="G306" s="20">
        <v>0</v>
      </c>
      <c r="H306" s="20">
        <v>0</v>
      </c>
      <c r="I306" s="21">
        <v>0</v>
      </c>
      <c r="J306" s="21">
        <v>0</v>
      </c>
      <c r="K306" s="20">
        <v>0</v>
      </c>
      <c r="L306" s="20">
        <v>1</v>
      </c>
      <c r="M306" s="21">
        <v>0</v>
      </c>
      <c r="N306" s="22">
        <f t="shared" si="21"/>
        <v>2</v>
      </c>
      <c r="O306" s="23" t="s">
        <v>1883</v>
      </c>
      <c r="P306" s="24" t="s">
        <v>1883</v>
      </c>
      <c r="Q306" s="25" t="s">
        <v>1884</v>
      </c>
      <c r="R306" s="26">
        <v>7500</v>
      </c>
      <c r="S306" s="27">
        <f t="shared" si="22"/>
        <v>7800</v>
      </c>
      <c r="T306" s="27">
        <f t="shared" si="24"/>
        <v>8100.0000000000009</v>
      </c>
      <c r="U306" s="25" t="s">
        <v>1883</v>
      </c>
      <c r="V306" s="26" t="s">
        <v>1883</v>
      </c>
      <c r="W306" s="33">
        <v>250</v>
      </c>
    </row>
    <row r="307" spans="1:23">
      <c r="A307" s="87" t="s">
        <v>325</v>
      </c>
      <c r="B307" s="18" t="str">
        <f>IFERROR(HYPERLINK(VLOOKUP(A307,ÜRÜNLER!A:C,3,FALSE),VLOOKUP(A307,ÜRÜNLER!A:B,2,FALSE)),"")</f>
        <v>iQ500 Gazlı Ocak, 60cm, Inox, Döküm</v>
      </c>
      <c r="C307" s="19" t="s">
        <v>1883</v>
      </c>
      <c r="D307" s="19" t="s">
        <v>1883</v>
      </c>
      <c r="E307" s="20">
        <v>0</v>
      </c>
      <c r="F307" s="20">
        <v>0</v>
      </c>
      <c r="G307" s="20">
        <v>0</v>
      </c>
      <c r="H307" s="20">
        <v>0</v>
      </c>
      <c r="I307" s="21">
        <v>0</v>
      </c>
      <c r="J307" s="21">
        <v>0</v>
      </c>
      <c r="K307" s="20">
        <v>0</v>
      </c>
      <c r="L307" s="20">
        <v>1</v>
      </c>
      <c r="M307" s="21">
        <v>0</v>
      </c>
      <c r="N307" s="22">
        <f t="shared" si="21"/>
        <v>1</v>
      </c>
      <c r="O307" s="23" t="s">
        <v>1883</v>
      </c>
      <c r="P307" s="24" t="s">
        <v>1883</v>
      </c>
      <c r="Q307" s="25" t="s">
        <v>1884</v>
      </c>
      <c r="R307" s="26">
        <v>30000</v>
      </c>
      <c r="S307" s="27">
        <f t="shared" si="22"/>
        <v>31200</v>
      </c>
      <c r="T307" s="27">
        <f t="shared" si="24"/>
        <v>32400.000000000004</v>
      </c>
      <c r="U307" s="25" t="s">
        <v>1883</v>
      </c>
      <c r="V307" s="26" t="s">
        <v>1883</v>
      </c>
      <c r="W307" s="28">
        <v>1000</v>
      </c>
    </row>
    <row r="308" spans="1:23">
      <c r="A308" s="51" t="s">
        <v>326</v>
      </c>
      <c r="B308" s="18" t="str">
        <f>IFERROR(HYPERLINK(VLOOKUP(A308,ÜRÜNLER!A:C,3,FALSE),VLOOKUP(A308,ÜRÜNLER!A:B,2,FALSE)),"")</f>
        <v>iQ300 Gazlı Ocak, 60cm, Inox, Döküm</v>
      </c>
      <c r="C308" s="19" t="s">
        <v>1883</v>
      </c>
      <c r="D308" s="19" t="s">
        <v>1883</v>
      </c>
      <c r="E308" s="20">
        <v>0</v>
      </c>
      <c r="F308" s="20">
        <v>0</v>
      </c>
      <c r="G308" s="20">
        <v>0</v>
      </c>
      <c r="H308" s="20">
        <v>0</v>
      </c>
      <c r="I308" s="21">
        <v>1</v>
      </c>
      <c r="J308" s="21">
        <v>0</v>
      </c>
      <c r="K308" s="20">
        <v>0</v>
      </c>
      <c r="L308" s="20">
        <v>0</v>
      </c>
      <c r="M308" s="21">
        <v>0</v>
      </c>
      <c r="N308" s="22">
        <f t="shared" si="21"/>
        <v>1</v>
      </c>
      <c r="O308" s="23" t="s">
        <v>1883</v>
      </c>
      <c r="P308" s="24" t="s">
        <v>1883</v>
      </c>
      <c r="Q308" s="25" t="s">
        <v>1884</v>
      </c>
      <c r="R308" s="26">
        <v>20000</v>
      </c>
      <c r="S308" s="27">
        <f t="shared" si="22"/>
        <v>20800</v>
      </c>
      <c r="T308" s="27">
        <f t="shared" si="24"/>
        <v>21600</v>
      </c>
      <c r="U308" s="25" t="s">
        <v>1883</v>
      </c>
      <c r="V308" s="26" t="s">
        <v>1883</v>
      </c>
      <c r="W308" s="28">
        <v>1000</v>
      </c>
    </row>
    <row r="309" spans="1:23">
      <c r="A309" s="51" t="s">
        <v>327</v>
      </c>
      <c r="B309" s="18" t="str">
        <f>IFERROR(HYPERLINK(VLOOKUP(A309,ÜRÜNLER!A:C,3,FALSE),VLOOKUP(A309,ÜRÜNLER!A:B,2,FALSE)),"")</f>
        <v>iQ300 Gazlı Ocak, 60cm, Sert Cam, Beyaz, Döküm</v>
      </c>
      <c r="C309" s="19">
        <v>2</v>
      </c>
      <c r="D309" s="19" t="s">
        <v>1883</v>
      </c>
      <c r="E309" s="20">
        <v>0</v>
      </c>
      <c r="F309" s="20">
        <v>1</v>
      </c>
      <c r="G309" s="20">
        <v>0</v>
      </c>
      <c r="H309" s="20">
        <v>0</v>
      </c>
      <c r="I309" s="21">
        <v>0</v>
      </c>
      <c r="J309" s="21">
        <v>0</v>
      </c>
      <c r="K309" s="20">
        <v>0</v>
      </c>
      <c r="L309" s="20">
        <v>0</v>
      </c>
      <c r="M309" s="21">
        <v>0</v>
      </c>
      <c r="N309" s="22">
        <f t="shared" si="21"/>
        <v>3</v>
      </c>
      <c r="O309" s="23" t="s">
        <v>1883</v>
      </c>
      <c r="P309" s="24" t="s">
        <v>1883</v>
      </c>
      <c r="Q309" s="25">
        <v>23700.85601656395</v>
      </c>
      <c r="R309" s="33">
        <v>22680.244991927226</v>
      </c>
      <c r="S309" s="27">
        <f t="shared" si="22"/>
        <v>23587.454791604316</v>
      </c>
      <c r="T309" s="27">
        <f t="shared" si="24"/>
        <v>24494.664591281406</v>
      </c>
      <c r="U309" s="25" t="s">
        <v>1883</v>
      </c>
      <c r="V309" s="26" t="s">
        <v>1883</v>
      </c>
      <c r="W309" s="26"/>
    </row>
    <row r="310" spans="1:23">
      <c r="A310" s="73" t="s">
        <v>328</v>
      </c>
      <c r="B310" s="18" t="str">
        <f>IFERROR(HYPERLINK(VLOOKUP(A310,ÜRÜNLER!A:C,3,FALSE),VLOOKUP(A310,ÜRÜNLER!A:B,2,FALSE)),"")</f>
        <v>iQ100 Gazlı Ocak, 60cm, Sert Cam, Siyah, Wok</v>
      </c>
      <c r="C310" s="19" t="s">
        <v>1883</v>
      </c>
      <c r="D310" s="19" t="s">
        <v>1883</v>
      </c>
      <c r="E310" s="20">
        <v>0</v>
      </c>
      <c r="F310" s="20">
        <v>0</v>
      </c>
      <c r="G310" s="20">
        <v>0</v>
      </c>
      <c r="H310" s="20">
        <v>0</v>
      </c>
      <c r="I310" s="21">
        <v>0</v>
      </c>
      <c r="J310" s="21">
        <v>1</v>
      </c>
      <c r="K310" s="20">
        <v>0</v>
      </c>
      <c r="L310" s="20">
        <v>0</v>
      </c>
      <c r="M310" s="21">
        <v>0</v>
      </c>
      <c r="N310" s="22">
        <f t="shared" si="21"/>
        <v>1</v>
      </c>
      <c r="O310" s="23" t="s">
        <v>1883</v>
      </c>
      <c r="P310" s="24" t="s">
        <v>1883</v>
      </c>
      <c r="Q310" s="25" t="s">
        <v>1884</v>
      </c>
      <c r="R310" s="26">
        <v>20000</v>
      </c>
      <c r="S310" s="27">
        <f t="shared" si="22"/>
        <v>20800</v>
      </c>
      <c r="T310" s="27">
        <f t="shared" si="24"/>
        <v>21600</v>
      </c>
      <c r="U310" s="25" t="s">
        <v>1883</v>
      </c>
      <c r="V310" s="26" t="s">
        <v>1883</v>
      </c>
      <c r="W310" s="28">
        <v>500</v>
      </c>
    </row>
    <row r="311" spans="1:23">
      <c r="A311" s="77" t="s">
        <v>329</v>
      </c>
      <c r="B311" s="18" t="str">
        <f>IFERROR(HYPERLINK(VLOOKUP(A311,ÜRÜNLER!A:C,3,FALSE),VLOOKUP(A311,ÜRÜNLER!A:B,2,FALSE)),"")</f>
        <v>iQ100 Gazlı Ocak, 60cm, Sert Cam, Titanyum Gri</v>
      </c>
      <c r="C311" s="19">
        <v>2</v>
      </c>
      <c r="D311" s="19" t="s">
        <v>1883</v>
      </c>
      <c r="E311" s="20">
        <v>0</v>
      </c>
      <c r="F311" s="20">
        <v>0</v>
      </c>
      <c r="G311" s="20">
        <v>0</v>
      </c>
      <c r="H311" s="20">
        <v>0</v>
      </c>
      <c r="I311" s="21">
        <v>0</v>
      </c>
      <c r="J311" s="21">
        <v>1</v>
      </c>
      <c r="K311" s="20">
        <v>0</v>
      </c>
      <c r="L311" s="20">
        <v>0</v>
      </c>
      <c r="M311" s="21">
        <v>0</v>
      </c>
      <c r="N311" s="22">
        <f t="shared" si="21"/>
        <v>3</v>
      </c>
      <c r="O311" s="23" t="s">
        <v>1883</v>
      </c>
      <c r="P311" s="24" t="s">
        <v>1883</v>
      </c>
      <c r="Q311" s="25" t="s">
        <v>1884</v>
      </c>
      <c r="R311" s="26">
        <v>17000</v>
      </c>
      <c r="S311" s="27">
        <f t="shared" si="22"/>
        <v>17680</v>
      </c>
      <c r="T311" s="27">
        <f t="shared" si="24"/>
        <v>18360</v>
      </c>
      <c r="U311" s="25" t="s">
        <v>1883</v>
      </c>
      <c r="V311" s="26" t="s">
        <v>1883</v>
      </c>
      <c r="W311" s="28">
        <v>500</v>
      </c>
    </row>
    <row r="312" spans="1:23">
      <c r="A312" s="77" t="s">
        <v>330</v>
      </c>
      <c r="B312" s="18" t="str">
        <f>IFERROR(HYPERLINK(VLOOKUP(A312,ÜRÜNLER!A:C,3,FALSE),VLOOKUP(A312,ÜRÜNLER!A:B,2,FALSE)),"")</f>
        <v>iQ100 Gazlı Ocak, 60cm, Sert Cam, Antrasit Gri</v>
      </c>
      <c r="C312" s="19">
        <v>19</v>
      </c>
      <c r="D312" s="19" t="s">
        <v>1883</v>
      </c>
      <c r="E312" s="20">
        <v>0</v>
      </c>
      <c r="F312" s="20">
        <v>0</v>
      </c>
      <c r="G312" s="20">
        <v>0</v>
      </c>
      <c r="H312" s="20">
        <v>0</v>
      </c>
      <c r="I312" s="21">
        <v>1</v>
      </c>
      <c r="J312" s="21">
        <v>1</v>
      </c>
      <c r="K312" s="20">
        <v>1</v>
      </c>
      <c r="L312" s="20">
        <v>1</v>
      </c>
      <c r="M312" s="21">
        <v>0</v>
      </c>
      <c r="N312" s="22">
        <f t="shared" si="21"/>
        <v>23</v>
      </c>
      <c r="O312" s="23" t="s">
        <v>1883</v>
      </c>
      <c r="P312" s="24" t="s">
        <v>1883</v>
      </c>
      <c r="Q312" s="25" t="s">
        <v>1884</v>
      </c>
      <c r="R312" s="26">
        <v>15633.936</v>
      </c>
      <c r="S312" s="27">
        <f t="shared" si="22"/>
        <v>16259.293439999999</v>
      </c>
      <c r="T312" s="27">
        <f t="shared" si="24"/>
        <v>16884.650880000001</v>
      </c>
      <c r="U312" s="25" t="s">
        <v>1883</v>
      </c>
      <c r="V312" s="26" t="s">
        <v>1883</v>
      </c>
      <c r="W312" s="28">
        <v>500</v>
      </c>
    </row>
    <row r="313" spans="1:23">
      <c r="A313" s="88" t="s">
        <v>331</v>
      </c>
      <c r="B313" s="18" t="str">
        <f>IFERROR(HYPERLINK(VLOOKUP(A313,ÜRÜNLER!A:C,3,FALSE),VLOOKUP(A313,ÜRÜNLER!A:B,2,FALSE)),"")</f>
        <v>iQ300 Gazlı Ocak, 60cm, Sert Cam, Beyaz</v>
      </c>
      <c r="C313" s="19">
        <v>1</v>
      </c>
      <c r="D313" s="19" t="s">
        <v>1883</v>
      </c>
      <c r="E313" s="20">
        <v>0</v>
      </c>
      <c r="F313" s="20">
        <v>0</v>
      </c>
      <c r="G313" s="20">
        <v>0</v>
      </c>
      <c r="H313" s="20">
        <v>0</v>
      </c>
      <c r="I313" s="21">
        <v>0</v>
      </c>
      <c r="J313" s="21">
        <v>0</v>
      </c>
      <c r="K313" s="20">
        <v>0</v>
      </c>
      <c r="L313" s="20">
        <v>0</v>
      </c>
      <c r="M313" s="21">
        <v>1</v>
      </c>
      <c r="N313" s="22">
        <f t="shared" si="21"/>
        <v>2</v>
      </c>
      <c r="O313" s="23" t="s">
        <v>1883</v>
      </c>
      <c r="P313" s="24" t="s">
        <v>1883</v>
      </c>
      <c r="Q313" s="25" t="s">
        <v>1884</v>
      </c>
      <c r="R313" s="26">
        <v>14000</v>
      </c>
      <c r="S313" s="27">
        <f t="shared" si="22"/>
        <v>14560</v>
      </c>
      <c r="T313" s="27">
        <f t="shared" si="24"/>
        <v>15120.000000000002</v>
      </c>
      <c r="U313" s="25" t="s">
        <v>1883</v>
      </c>
      <c r="V313" s="26" t="s">
        <v>1883</v>
      </c>
      <c r="W313" s="28">
        <v>500</v>
      </c>
    </row>
    <row r="314" spans="1:23">
      <c r="A314" s="51" t="s">
        <v>332</v>
      </c>
      <c r="B314" s="18" t="str">
        <f>IFERROR(HYPERLINK(VLOOKUP(A314,ÜRÜNLER!A:C,3,FALSE),VLOOKUP(A314,ÜRÜNLER!A:B,2,FALSE)),"")</f>
        <v>iQ300 Gazlı Ocak, 60cm, Sert Cam, Beyaz</v>
      </c>
      <c r="C314" s="19">
        <v>4</v>
      </c>
      <c r="D314" s="19" t="s">
        <v>1883</v>
      </c>
      <c r="E314" s="20">
        <v>0</v>
      </c>
      <c r="F314" s="20">
        <v>0</v>
      </c>
      <c r="G314" s="20">
        <v>0</v>
      </c>
      <c r="H314" s="20">
        <v>0</v>
      </c>
      <c r="I314" s="21">
        <v>0</v>
      </c>
      <c r="J314" s="21">
        <v>0</v>
      </c>
      <c r="K314" s="20">
        <v>0</v>
      </c>
      <c r="L314" s="20">
        <v>0</v>
      </c>
      <c r="M314" s="21">
        <v>0</v>
      </c>
      <c r="N314" s="22">
        <f t="shared" si="21"/>
        <v>4</v>
      </c>
      <c r="O314" s="23">
        <v>5</v>
      </c>
      <c r="P314" s="24" t="s">
        <v>1883</v>
      </c>
      <c r="Q314" s="25">
        <v>14675.103456329603</v>
      </c>
      <c r="R314" s="33">
        <v>14043.161202229287</v>
      </c>
      <c r="S314" s="27">
        <f t="shared" si="22"/>
        <v>14604.887650318458</v>
      </c>
      <c r="T314" s="27">
        <f t="shared" si="24"/>
        <v>15166.61409840763</v>
      </c>
      <c r="U314" s="25" t="s">
        <v>1883</v>
      </c>
      <c r="V314" s="26" t="s">
        <v>1883</v>
      </c>
      <c r="W314" s="26"/>
    </row>
    <row r="315" spans="1:23">
      <c r="A315" s="73" t="s">
        <v>333</v>
      </c>
      <c r="B315" s="18" t="str">
        <f>IFERROR(HYPERLINK(VLOOKUP(A315,ÜRÜNLER!A:C,3,FALSE),VLOOKUP(A315,ÜRÜNLER!A:B,2,FALSE)),"")</f>
        <v>iQ300 Gazlı Ocak, 60cm, Sert Cam, Siyah</v>
      </c>
      <c r="C315" s="19">
        <v>5</v>
      </c>
      <c r="D315" s="19" t="s">
        <v>1883</v>
      </c>
      <c r="E315" s="20">
        <v>0</v>
      </c>
      <c r="F315" s="20">
        <v>0</v>
      </c>
      <c r="G315" s="20">
        <v>0</v>
      </c>
      <c r="H315" s="20">
        <v>0</v>
      </c>
      <c r="I315" s="21">
        <v>1</v>
      </c>
      <c r="J315" s="21">
        <v>0</v>
      </c>
      <c r="K315" s="20">
        <v>0</v>
      </c>
      <c r="L315" s="20">
        <v>0</v>
      </c>
      <c r="M315" s="21">
        <v>1</v>
      </c>
      <c r="N315" s="22">
        <f t="shared" si="21"/>
        <v>7</v>
      </c>
      <c r="O315" s="23">
        <v>5</v>
      </c>
      <c r="P315" s="24" t="s">
        <v>1883</v>
      </c>
      <c r="Q315" s="25">
        <v>14675.103456329603</v>
      </c>
      <c r="R315" s="33">
        <v>14043.161202229287</v>
      </c>
      <c r="S315" s="27">
        <f t="shared" si="22"/>
        <v>14604.887650318458</v>
      </c>
      <c r="T315" s="27">
        <f t="shared" si="24"/>
        <v>15166.61409840763</v>
      </c>
      <c r="U315" s="25" t="s">
        <v>1883</v>
      </c>
      <c r="V315" s="26" t="s">
        <v>1883</v>
      </c>
      <c r="W315" s="26"/>
    </row>
    <row r="316" spans="1:23">
      <c r="A316" s="77" t="s">
        <v>334</v>
      </c>
      <c r="B316" s="18" t="str">
        <f>IFERROR(HYPERLINK(VLOOKUP(A316,ÜRÜNLER!A:C,3,FALSE),VLOOKUP(A316,ÜRÜNLER!A:B,2,FALSE)),"")</f>
        <v>iQ100 Gazlı Ocak, 60cm, Sert Cam, Titanyum Gri</v>
      </c>
      <c r="C316" s="19" t="s">
        <v>1883</v>
      </c>
      <c r="D316" s="19" t="s">
        <v>1883</v>
      </c>
      <c r="E316" s="20">
        <v>0</v>
      </c>
      <c r="F316" s="20">
        <v>0</v>
      </c>
      <c r="G316" s="20">
        <v>0</v>
      </c>
      <c r="H316" s="20">
        <v>0</v>
      </c>
      <c r="I316" s="21">
        <v>0</v>
      </c>
      <c r="J316" s="21">
        <v>0</v>
      </c>
      <c r="K316" s="20">
        <v>0</v>
      </c>
      <c r="L316" s="20">
        <v>1</v>
      </c>
      <c r="M316" s="21">
        <v>0</v>
      </c>
      <c r="N316" s="22">
        <f t="shared" si="21"/>
        <v>1</v>
      </c>
      <c r="O316" s="23" t="s">
        <v>1883</v>
      </c>
      <c r="P316" s="24" t="s">
        <v>1883</v>
      </c>
      <c r="Q316" s="25" t="s">
        <v>1884</v>
      </c>
      <c r="R316" s="26">
        <v>13000</v>
      </c>
      <c r="S316" s="27">
        <f t="shared" si="22"/>
        <v>13520</v>
      </c>
      <c r="T316" s="27">
        <f t="shared" si="24"/>
        <v>14040.000000000002</v>
      </c>
      <c r="U316" s="25" t="s">
        <v>1883</v>
      </c>
      <c r="V316" s="26" t="s">
        <v>1883</v>
      </c>
      <c r="W316" s="70">
        <v>500</v>
      </c>
    </row>
    <row r="317" spans="1:23">
      <c r="A317" s="77" t="s">
        <v>335</v>
      </c>
      <c r="B317" s="18" t="str">
        <f>IFERROR(HYPERLINK(VLOOKUP(A317,ÜRÜNLER!A:C,3,FALSE),VLOOKUP(A317,ÜRÜNLER!A:B,2,FALSE)),"")</f>
        <v>iQ100 Gazlı Ocak, 60cm, Sert Cam, Titanyum Gri, Döküm</v>
      </c>
      <c r="C317" s="19">
        <v>4</v>
      </c>
      <c r="D317" s="19" t="s">
        <v>1883</v>
      </c>
      <c r="E317" s="20">
        <v>0</v>
      </c>
      <c r="F317" s="20">
        <v>0</v>
      </c>
      <c r="G317" s="20">
        <v>0</v>
      </c>
      <c r="H317" s="20">
        <v>0</v>
      </c>
      <c r="I317" s="21">
        <v>0</v>
      </c>
      <c r="J317" s="21">
        <v>0</v>
      </c>
      <c r="K317" s="20">
        <v>0</v>
      </c>
      <c r="L317" s="20">
        <v>0</v>
      </c>
      <c r="M317" s="21">
        <v>0</v>
      </c>
      <c r="N317" s="22">
        <f t="shared" si="21"/>
        <v>4</v>
      </c>
      <c r="O317" s="23" t="s">
        <v>1883</v>
      </c>
      <c r="P317" s="24" t="s">
        <v>1883</v>
      </c>
      <c r="Q317" s="25" t="s">
        <v>1884</v>
      </c>
      <c r="R317" s="26">
        <v>17000</v>
      </c>
      <c r="S317" s="27">
        <f t="shared" si="22"/>
        <v>17680</v>
      </c>
      <c r="T317" s="27">
        <f t="shared" si="24"/>
        <v>18360</v>
      </c>
      <c r="U317" s="25" t="s">
        <v>1883</v>
      </c>
      <c r="V317" s="26" t="s">
        <v>1883</v>
      </c>
      <c r="W317" s="26">
        <v>250</v>
      </c>
    </row>
    <row r="318" spans="1:23">
      <c r="A318" s="77" t="s">
        <v>336</v>
      </c>
      <c r="B318" s="18" t="str">
        <f>IFERROR(HYPERLINK(VLOOKUP(A318,ÜRÜNLER!A:C,3,FALSE),VLOOKUP(A318,ÜRÜNLER!A:B,2,FALSE)),"")</f>
        <v>iQ300 Gazlı Ocak, 60cm, Sert Cam, Antrasit</v>
      </c>
      <c r="C318" s="19">
        <v>2</v>
      </c>
      <c r="D318" s="19" t="s">
        <v>1883</v>
      </c>
      <c r="E318" s="20">
        <v>0</v>
      </c>
      <c r="F318" s="20">
        <v>0</v>
      </c>
      <c r="G318" s="20">
        <v>0</v>
      </c>
      <c r="H318" s="20">
        <v>0</v>
      </c>
      <c r="I318" s="21">
        <v>1</v>
      </c>
      <c r="J318" s="21">
        <v>1</v>
      </c>
      <c r="K318" s="20">
        <v>1</v>
      </c>
      <c r="L318" s="20">
        <v>0</v>
      </c>
      <c r="M318" s="21">
        <v>0</v>
      </c>
      <c r="N318" s="22">
        <f t="shared" si="21"/>
        <v>5</v>
      </c>
      <c r="O318" s="23" t="s">
        <v>1883</v>
      </c>
      <c r="P318" s="24" t="s">
        <v>1883</v>
      </c>
      <c r="Q318" s="25">
        <v>14675.103456329603</v>
      </c>
      <c r="R318" s="32">
        <v>13941.348283513124</v>
      </c>
      <c r="S318" s="27">
        <f t="shared" si="22"/>
        <v>14499.002214853648</v>
      </c>
      <c r="T318" s="27">
        <f t="shared" si="24"/>
        <v>15056.656146194175</v>
      </c>
      <c r="U318" s="25" t="s">
        <v>1883</v>
      </c>
      <c r="V318" s="26" t="s">
        <v>1883</v>
      </c>
      <c r="W318" s="26"/>
    </row>
    <row r="319" spans="1:23">
      <c r="A319" s="77" t="s">
        <v>337</v>
      </c>
      <c r="B319" s="18" t="str">
        <f>IFERROR(HYPERLINK(VLOOKUP(A319,ÜRÜNLER!A:C,3,FALSE),VLOOKUP(A319,ÜRÜNLER!A:B,2,FALSE)),"")</f>
        <v>iQ300 Gazlı Ocak, 60cm, Sert Cam, Antrasit Gri</v>
      </c>
      <c r="C319" s="19">
        <v>1</v>
      </c>
      <c r="D319" s="19" t="s">
        <v>1883</v>
      </c>
      <c r="E319" s="20">
        <v>0</v>
      </c>
      <c r="F319" s="20">
        <v>1</v>
      </c>
      <c r="G319" s="20">
        <v>0</v>
      </c>
      <c r="H319" s="20">
        <v>0</v>
      </c>
      <c r="I319" s="21">
        <v>1</v>
      </c>
      <c r="J319" s="21">
        <v>0</v>
      </c>
      <c r="K319" s="20">
        <v>0</v>
      </c>
      <c r="L319" s="20">
        <v>0</v>
      </c>
      <c r="M319" s="21">
        <v>1</v>
      </c>
      <c r="N319" s="22">
        <f t="shared" si="21"/>
        <v>4</v>
      </c>
      <c r="O319" s="23" t="s">
        <v>1883</v>
      </c>
      <c r="P319" s="24" t="s">
        <v>1883</v>
      </c>
      <c r="Q319" s="25" t="s">
        <v>1884</v>
      </c>
      <c r="R319" s="26">
        <v>10000</v>
      </c>
      <c r="S319" s="27">
        <f t="shared" si="22"/>
        <v>10400</v>
      </c>
      <c r="T319" s="27">
        <f t="shared" si="24"/>
        <v>10800</v>
      </c>
      <c r="U319" s="25" t="s">
        <v>1883</v>
      </c>
      <c r="V319" s="26" t="s">
        <v>1883</v>
      </c>
      <c r="W319" s="33">
        <v>250</v>
      </c>
    </row>
    <row r="320" spans="1:23">
      <c r="A320" s="37" t="s">
        <v>338</v>
      </c>
      <c r="B320" s="18" t="str">
        <f>IFERROR(HYPERLINK(VLOOKUP(A320,ÜRÜNLER!A:C,3,FALSE),VLOOKUP(A320,ÜRÜNLER!A:B,2,FALSE)),"")</f>
        <v>iQ300 Gazlı Ocak, 67cm, Sert Cam, Beyaz, Wok</v>
      </c>
      <c r="C320" s="19">
        <v>10</v>
      </c>
      <c r="D320" s="19" t="s">
        <v>1883</v>
      </c>
      <c r="E320" s="20">
        <v>0</v>
      </c>
      <c r="F320" s="20">
        <v>0</v>
      </c>
      <c r="G320" s="20">
        <v>0</v>
      </c>
      <c r="H320" s="20">
        <v>0</v>
      </c>
      <c r="I320" s="21">
        <v>1</v>
      </c>
      <c r="J320" s="21">
        <v>1</v>
      </c>
      <c r="K320" s="20">
        <v>0</v>
      </c>
      <c r="L320" s="20">
        <v>0</v>
      </c>
      <c r="M320" s="21">
        <v>0</v>
      </c>
      <c r="N320" s="22">
        <f t="shared" si="21"/>
        <v>12</v>
      </c>
      <c r="O320" s="23" t="s">
        <v>1883</v>
      </c>
      <c r="P320" s="24" t="s">
        <v>1883</v>
      </c>
      <c r="Q320" s="25">
        <v>21752.663400300611</v>
      </c>
      <c r="R320" s="32">
        <v>20665.030230285582</v>
      </c>
      <c r="S320" s="27">
        <f t="shared" si="22"/>
        <v>21491.631439497007</v>
      </c>
      <c r="T320" s="27">
        <f t="shared" si="24"/>
        <v>22318.232648708428</v>
      </c>
      <c r="U320" s="25" t="s">
        <v>1883</v>
      </c>
      <c r="V320" s="26" t="s">
        <v>1883</v>
      </c>
      <c r="W320" s="26"/>
    </row>
    <row r="321" spans="1:23">
      <c r="A321" s="37" t="s">
        <v>339</v>
      </c>
      <c r="B321" s="18" t="str">
        <f>IFERROR(HYPERLINK(VLOOKUP(A321,ÜRÜNLER!A:C,3,FALSE),VLOOKUP(A321,ÜRÜNLER!A:B,2,FALSE)),"")</f>
        <v>iQ300 Gazlı Ocak, 67cm, Sert Cam, Beyaz</v>
      </c>
      <c r="C321" s="19">
        <v>21</v>
      </c>
      <c r="D321" s="19" t="s">
        <v>1883</v>
      </c>
      <c r="E321" s="20">
        <v>0</v>
      </c>
      <c r="F321" s="20">
        <v>0</v>
      </c>
      <c r="G321" s="20">
        <v>0</v>
      </c>
      <c r="H321" s="20">
        <v>0</v>
      </c>
      <c r="I321" s="21">
        <v>0</v>
      </c>
      <c r="J321" s="21">
        <v>0</v>
      </c>
      <c r="K321" s="20">
        <v>0</v>
      </c>
      <c r="L321" s="20">
        <v>0</v>
      </c>
      <c r="M321" s="21">
        <v>0</v>
      </c>
      <c r="N321" s="22">
        <f t="shared" si="21"/>
        <v>21</v>
      </c>
      <c r="O321" s="23" t="s">
        <v>1883</v>
      </c>
      <c r="P321" s="24" t="s">
        <v>1883</v>
      </c>
      <c r="Q321" s="25">
        <v>17392.820074899988</v>
      </c>
      <c r="R321" s="32">
        <v>16523.179071154987</v>
      </c>
      <c r="S321" s="27">
        <f t="shared" si="22"/>
        <v>17184.106234001189</v>
      </c>
      <c r="T321" s="27">
        <f t="shared" si="24"/>
        <v>17845.033396847386</v>
      </c>
      <c r="U321" s="25" t="s">
        <v>1883</v>
      </c>
      <c r="V321" s="26" t="s">
        <v>1883</v>
      </c>
      <c r="W321" s="26"/>
    </row>
    <row r="322" spans="1:23">
      <c r="A322" s="37" t="s">
        <v>340</v>
      </c>
      <c r="B322" s="18" t="str">
        <f>IFERROR(HYPERLINK(VLOOKUP(A322,ÜRÜNLER!A:C,3,FALSE),VLOOKUP(A322,ÜRÜNLER!A:B,2,FALSE)),"")</f>
        <v>iQ100 Gazlı Ocak, 67cm, Sert Cam, Beyaz</v>
      </c>
      <c r="C322" s="19" t="s">
        <v>1883</v>
      </c>
      <c r="D322" s="19" t="s">
        <v>1883</v>
      </c>
      <c r="E322" s="20">
        <v>0</v>
      </c>
      <c r="F322" s="20">
        <v>0</v>
      </c>
      <c r="G322" s="20">
        <v>0</v>
      </c>
      <c r="H322" s="20">
        <v>0</v>
      </c>
      <c r="I322" s="21">
        <v>0</v>
      </c>
      <c r="J322" s="21">
        <v>0</v>
      </c>
      <c r="K322" s="20">
        <v>0</v>
      </c>
      <c r="L322" s="20">
        <v>1</v>
      </c>
      <c r="M322" s="21">
        <v>0</v>
      </c>
      <c r="N322" s="22">
        <f t="shared" si="21"/>
        <v>1</v>
      </c>
      <c r="O322" s="23" t="s">
        <v>1883</v>
      </c>
      <c r="P322" s="24" t="s">
        <v>1883</v>
      </c>
      <c r="Q322" s="25" t="s">
        <v>1884</v>
      </c>
      <c r="R322" s="26">
        <v>12000</v>
      </c>
      <c r="S322" s="27">
        <f t="shared" si="22"/>
        <v>12480</v>
      </c>
      <c r="T322" s="27">
        <f t="shared" si="24"/>
        <v>12960</v>
      </c>
      <c r="U322" s="25" t="s">
        <v>1883</v>
      </c>
      <c r="V322" s="26" t="s">
        <v>1883</v>
      </c>
      <c r="W322" s="70">
        <v>500</v>
      </c>
    </row>
    <row r="323" spans="1:23">
      <c r="A323" s="89" t="s">
        <v>341</v>
      </c>
      <c r="B323" s="18" t="str">
        <f>IFERROR(HYPERLINK(VLOOKUP(A323,ÜRÜNLER!A:C,3,FALSE),VLOOKUP(A323,ÜRÜNLER!A:B,2,FALSE)),"")</f>
        <v>iQ300 Gazlı Ocak, 67cm, Sert Cam, Beyaz</v>
      </c>
      <c r="C323" s="19" t="s">
        <v>1883</v>
      </c>
      <c r="D323" s="19" t="s">
        <v>1883</v>
      </c>
      <c r="E323" s="20">
        <v>0</v>
      </c>
      <c r="F323" s="20">
        <v>0</v>
      </c>
      <c r="G323" s="20">
        <v>0</v>
      </c>
      <c r="H323" s="20">
        <v>0</v>
      </c>
      <c r="I323" s="21">
        <v>0</v>
      </c>
      <c r="J323" s="21">
        <v>0</v>
      </c>
      <c r="K323" s="20">
        <v>0</v>
      </c>
      <c r="L323" s="20">
        <v>4</v>
      </c>
      <c r="M323" s="21">
        <v>0</v>
      </c>
      <c r="N323" s="22">
        <f t="shared" si="21"/>
        <v>4</v>
      </c>
      <c r="O323" s="23" t="s">
        <v>1883</v>
      </c>
      <c r="P323" s="24" t="s">
        <v>1883</v>
      </c>
      <c r="Q323" s="25" t="s">
        <v>1884</v>
      </c>
      <c r="R323" s="26">
        <v>12000</v>
      </c>
      <c r="S323" s="27">
        <f t="shared" si="22"/>
        <v>12480</v>
      </c>
      <c r="T323" s="27">
        <f t="shared" si="24"/>
        <v>12960</v>
      </c>
      <c r="U323" s="25" t="s">
        <v>1883</v>
      </c>
      <c r="V323" s="26" t="s">
        <v>1883</v>
      </c>
      <c r="W323" s="70">
        <v>500</v>
      </c>
    </row>
    <row r="324" spans="1:23">
      <c r="A324" s="37" t="s">
        <v>342</v>
      </c>
      <c r="B324" s="18" t="str">
        <f>IFERROR(HYPERLINK(VLOOKUP(A324,ÜRÜNLER!A:C,3,FALSE),VLOOKUP(A324,ÜRÜNLER!A:B,2,FALSE)),"")</f>
        <v>iQ300 Gazlı Ocak, 67cm, Sert Cam, Siyah, Wok</v>
      </c>
      <c r="C324" s="19" t="s">
        <v>1883</v>
      </c>
      <c r="D324" s="19" t="s">
        <v>1883</v>
      </c>
      <c r="E324" s="20">
        <v>0</v>
      </c>
      <c r="F324" s="20">
        <v>0</v>
      </c>
      <c r="G324" s="20">
        <v>0</v>
      </c>
      <c r="H324" s="20">
        <v>0</v>
      </c>
      <c r="I324" s="21">
        <v>0</v>
      </c>
      <c r="J324" s="21">
        <v>0</v>
      </c>
      <c r="K324" s="20">
        <v>0</v>
      </c>
      <c r="L324" s="20">
        <v>0</v>
      </c>
      <c r="M324" s="21">
        <v>0</v>
      </c>
      <c r="N324" s="22">
        <f t="shared" si="21"/>
        <v>0</v>
      </c>
      <c r="O324" s="23" t="s">
        <v>1883</v>
      </c>
      <c r="P324" s="24" t="s">
        <v>1883</v>
      </c>
      <c r="Q324" s="25" t="s">
        <v>1884</v>
      </c>
      <c r="R324" s="26">
        <v>15000</v>
      </c>
      <c r="S324" s="27">
        <f t="shared" si="22"/>
        <v>15600</v>
      </c>
      <c r="T324" s="27">
        <f t="shared" si="24"/>
        <v>16200.000000000002</v>
      </c>
      <c r="U324" s="25" t="s">
        <v>1883</v>
      </c>
      <c r="V324" s="26" t="s">
        <v>1883</v>
      </c>
      <c r="W324" s="70">
        <v>500</v>
      </c>
    </row>
    <row r="325" spans="1:23">
      <c r="A325" s="37" t="s">
        <v>343</v>
      </c>
      <c r="B325" s="18" t="str">
        <f>IFERROR(HYPERLINK(VLOOKUP(A325,ÜRÜNLER!A:C,3,FALSE),VLOOKUP(A325,ÜRÜNLER!A:B,2,FALSE)),"")</f>
        <v>iQ300 Gazlı Ocak, 67cm, Sert Cam, Siyah, Wok</v>
      </c>
      <c r="C325" s="19">
        <v>9</v>
      </c>
      <c r="D325" s="19" t="s">
        <v>1883</v>
      </c>
      <c r="E325" s="20">
        <v>0</v>
      </c>
      <c r="F325" s="20">
        <v>0</v>
      </c>
      <c r="G325" s="20">
        <v>0</v>
      </c>
      <c r="H325" s="20">
        <v>0</v>
      </c>
      <c r="I325" s="21">
        <v>0</v>
      </c>
      <c r="J325" s="21">
        <v>0</v>
      </c>
      <c r="K325" s="20">
        <v>0</v>
      </c>
      <c r="L325" s="20">
        <v>0</v>
      </c>
      <c r="M325" s="21">
        <v>0</v>
      </c>
      <c r="N325" s="22">
        <f t="shared" si="21"/>
        <v>9</v>
      </c>
      <c r="O325" s="23" t="s">
        <v>1883</v>
      </c>
      <c r="P325" s="24" t="s">
        <v>1883</v>
      </c>
      <c r="Q325" s="25">
        <v>21752.663400300611</v>
      </c>
      <c r="R325" s="32">
        <v>20665.030230285582</v>
      </c>
      <c r="S325" s="27">
        <f t="shared" si="22"/>
        <v>21491.631439497007</v>
      </c>
      <c r="T325" s="27">
        <f t="shared" si="24"/>
        <v>22318.232648708428</v>
      </c>
      <c r="U325" s="25" t="s">
        <v>1883</v>
      </c>
      <c r="V325" s="26" t="s">
        <v>1883</v>
      </c>
      <c r="W325" s="26"/>
    </row>
    <row r="326" spans="1:23">
      <c r="A326" s="37" t="s">
        <v>344</v>
      </c>
      <c r="B326" s="18" t="str">
        <f>IFERROR(HYPERLINK(VLOOKUP(A326,ÜRÜNLER!A:C,3,FALSE),VLOOKUP(A326,ÜRÜNLER!A:B,2,FALSE)),"")</f>
        <v>iQ300 Gazlı Ocak, 67cm, Sert Cam, Siyah</v>
      </c>
      <c r="C326" s="19" t="s">
        <v>1883</v>
      </c>
      <c r="D326" s="19" t="s">
        <v>1883</v>
      </c>
      <c r="E326" s="20">
        <v>0</v>
      </c>
      <c r="F326" s="20">
        <v>0</v>
      </c>
      <c r="G326" s="20">
        <v>0</v>
      </c>
      <c r="H326" s="20">
        <v>0</v>
      </c>
      <c r="I326" s="21">
        <v>0</v>
      </c>
      <c r="J326" s="21">
        <v>2</v>
      </c>
      <c r="K326" s="20">
        <v>0</v>
      </c>
      <c r="L326" s="20">
        <v>3</v>
      </c>
      <c r="M326" s="21">
        <v>0</v>
      </c>
      <c r="N326" s="22">
        <f t="shared" si="21"/>
        <v>5</v>
      </c>
      <c r="O326" s="23" t="s">
        <v>1883</v>
      </c>
      <c r="P326" s="24" t="s">
        <v>1883</v>
      </c>
      <c r="Q326" s="25" t="s">
        <v>1884</v>
      </c>
      <c r="R326" s="26">
        <v>13000</v>
      </c>
      <c r="S326" s="27">
        <f t="shared" si="22"/>
        <v>13520</v>
      </c>
      <c r="T326" s="27">
        <f t="shared" si="24"/>
        <v>14040.000000000002</v>
      </c>
      <c r="U326" s="25" t="s">
        <v>1883</v>
      </c>
      <c r="V326" s="26" t="s">
        <v>1883</v>
      </c>
      <c r="W326" s="70">
        <v>500</v>
      </c>
    </row>
    <row r="327" spans="1:23">
      <c r="A327" s="37" t="s">
        <v>345</v>
      </c>
      <c r="B327" s="18" t="str">
        <f>IFERROR(HYPERLINK(VLOOKUP(A327,ÜRÜNLER!A:C,3,FALSE),VLOOKUP(A327,ÜRÜNLER!A:B,2,FALSE)),"")</f>
        <v>iQ300 Gazlı Ocak, 67cm, Sert Cam, Siyah</v>
      </c>
      <c r="C327" s="19">
        <v>9</v>
      </c>
      <c r="D327" s="19" t="s">
        <v>1883</v>
      </c>
      <c r="E327" s="20">
        <v>0</v>
      </c>
      <c r="F327" s="20">
        <v>0</v>
      </c>
      <c r="G327" s="20">
        <v>0</v>
      </c>
      <c r="H327" s="20">
        <v>0</v>
      </c>
      <c r="I327" s="21">
        <v>1</v>
      </c>
      <c r="J327" s="21">
        <v>0</v>
      </c>
      <c r="K327" s="20">
        <v>0</v>
      </c>
      <c r="L327" s="20">
        <v>1</v>
      </c>
      <c r="M327" s="21">
        <v>1</v>
      </c>
      <c r="N327" s="22">
        <f t="shared" ref="N327:N390" si="25">SUM(C327:M327)</f>
        <v>12</v>
      </c>
      <c r="O327" s="23" t="s">
        <v>1883</v>
      </c>
      <c r="P327" s="24" t="s">
        <v>1883</v>
      </c>
      <c r="Q327" s="25">
        <v>17392.820074899988</v>
      </c>
      <c r="R327" s="32">
        <v>16523.179071154987</v>
      </c>
      <c r="S327" s="27">
        <f t="shared" ref="S327:S390" si="26">R327*1.04</f>
        <v>17184.106234001189</v>
      </c>
      <c r="T327" s="27">
        <f t="shared" si="24"/>
        <v>17845.033396847386</v>
      </c>
      <c r="U327" s="25" t="s">
        <v>1883</v>
      </c>
      <c r="V327" s="26" t="s">
        <v>1883</v>
      </c>
      <c r="W327" s="26"/>
    </row>
    <row r="328" spans="1:23">
      <c r="A328" s="77" t="s">
        <v>346</v>
      </c>
      <c r="B328" s="18" t="str">
        <f>IFERROR(HYPERLINK(VLOOKUP(A328,ÜRÜNLER!A:C,3,FALSE),VLOOKUP(A328,ÜRÜNLER!A:B,2,FALSE)),"")</f>
        <v>iQ300 Gazlı Ocak, 67cm, Sert Cam, Antrasit Gri, Wok</v>
      </c>
      <c r="C328" s="19">
        <v>17</v>
      </c>
      <c r="D328" s="19" t="s">
        <v>1883</v>
      </c>
      <c r="E328" s="20">
        <v>0</v>
      </c>
      <c r="F328" s="20">
        <v>0</v>
      </c>
      <c r="G328" s="20">
        <v>0</v>
      </c>
      <c r="H328" s="20">
        <v>0</v>
      </c>
      <c r="I328" s="21">
        <v>0</v>
      </c>
      <c r="J328" s="21">
        <v>0</v>
      </c>
      <c r="K328" s="20">
        <v>0</v>
      </c>
      <c r="L328" s="20">
        <v>0</v>
      </c>
      <c r="M328" s="21">
        <v>0</v>
      </c>
      <c r="N328" s="22">
        <f t="shared" si="25"/>
        <v>17</v>
      </c>
      <c r="O328" s="23" t="s">
        <v>1883</v>
      </c>
      <c r="P328" s="24" t="s">
        <v>1883</v>
      </c>
      <c r="Q328" s="25">
        <v>21752.663400300611</v>
      </c>
      <c r="R328" s="32">
        <v>20665.030230285582</v>
      </c>
      <c r="S328" s="27">
        <f t="shared" si="26"/>
        <v>21491.631439497007</v>
      </c>
      <c r="T328" s="27">
        <f t="shared" si="24"/>
        <v>22318.232648708428</v>
      </c>
      <c r="U328" s="25" t="s">
        <v>1883</v>
      </c>
      <c r="V328" s="26" t="s">
        <v>1883</v>
      </c>
      <c r="W328" s="26"/>
    </row>
    <row r="329" spans="1:23">
      <c r="A329" s="77" t="s">
        <v>347</v>
      </c>
      <c r="B329" s="18" t="str">
        <f>IFERROR(HYPERLINK(VLOOKUP(A329,ÜRÜNLER!A:C,3,FALSE),VLOOKUP(A329,ÜRÜNLER!A:B,2,FALSE)),"")</f>
        <v>iQ100 Gazlı Ocak, 67cm, Sert Cam, Titanyum Gri</v>
      </c>
      <c r="C329" s="19">
        <v>3</v>
      </c>
      <c r="D329" s="19" t="s">
        <v>1883</v>
      </c>
      <c r="E329" s="20">
        <v>0</v>
      </c>
      <c r="F329" s="20">
        <v>1</v>
      </c>
      <c r="G329" s="20">
        <v>0</v>
      </c>
      <c r="H329" s="20">
        <v>0</v>
      </c>
      <c r="I329" s="21">
        <v>0</v>
      </c>
      <c r="J329" s="21">
        <v>0</v>
      </c>
      <c r="K329" s="20">
        <v>0</v>
      </c>
      <c r="L329" s="20">
        <v>2</v>
      </c>
      <c r="M329" s="21">
        <v>1</v>
      </c>
      <c r="N329" s="22">
        <f t="shared" si="25"/>
        <v>7</v>
      </c>
      <c r="O329" s="23" t="s">
        <v>1883</v>
      </c>
      <c r="P329" s="24" t="s">
        <v>1883</v>
      </c>
      <c r="Q329" s="25" t="s">
        <v>1884</v>
      </c>
      <c r="R329" s="26">
        <v>14000</v>
      </c>
      <c r="S329" s="27">
        <f t="shared" si="26"/>
        <v>14560</v>
      </c>
      <c r="T329" s="27">
        <f t="shared" si="24"/>
        <v>15120.000000000002</v>
      </c>
      <c r="U329" s="25" t="s">
        <v>1883</v>
      </c>
      <c r="V329" s="26" t="s">
        <v>1883</v>
      </c>
      <c r="W329" s="33"/>
    </row>
    <row r="330" spans="1:23">
      <c r="A330" s="77" t="s">
        <v>348</v>
      </c>
      <c r="B330" s="18" t="str">
        <f>IFERROR(HYPERLINK(VLOOKUP(A330,ÜRÜNLER!A:C,3,FALSE),VLOOKUP(A330,ÜRÜNLER!A:B,2,FALSE)),"")</f>
        <v>iQ300 Gazlı Ocak, 67cm, Sert Cam, Antrasit Gri</v>
      </c>
      <c r="C330" s="19">
        <v>2</v>
      </c>
      <c r="D330" s="19" t="s">
        <v>1883</v>
      </c>
      <c r="E330" s="20">
        <v>0</v>
      </c>
      <c r="F330" s="20">
        <v>1</v>
      </c>
      <c r="G330" s="20">
        <v>0</v>
      </c>
      <c r="H330" s="20">
        <v>0</v>
      </c>
      <c r="I330" s="21">
        <v>1</v>
      </c>
      <c r="J330" s="21">
        <v>0</v>
      </c>
      <c r="K330" s="20">
        <v>0</v>
      </c>
      <c r="L330" s="20">
        <v>0</v>
      </c>
      <c r="M330" s="21">
        <v>0</v>
      </c>
      <c r="N330" s="22">
        <f t="shared" si="25"/>
        <v>4</v>
      </c>
      <c r="O330" s="23">
        <v>10</v>
      </c>
      <c r="P330" s="24" t="s">
        <v>1883</v>
      </c>
      <c r="Q330" s="25">
        <v>17392.820074899988</v>
      </c>
      <c r="R330" s="33">
        <v>16643.846961626783</v>
      </c>
      <c r="S330" s="27">
        <f t="shared" si="26"/>
        <v>17309.600840091854</v>
      </c>
      <c r="T330" s="27">
        <f t="shared" si="24"/>
        <v>17975.354718556926</v>
      </c>
      <c r="U330" s="25" t="s">
        <v>1883</v>
      </c>
      <c r="V330" s="26" t="s">
        <v>1883</v>
      </c>
      <c r="W330" s="26"/>
    </row>
    <row r="331" spans="1:23">
      <c r="A331" s="77" t="s">
        <v>349</v>
      </c>
      <c r="B331" s="18" t="str">
        <f>IFERROR(HYPERLINK(VLOOKUP(A331,ÜRÜNLER!A:C,3,FALSE),VLOOKUP(A331,ÜRÜNLER!A:B,2,FALSE)),"")</f>
        <v>iQ300 Gazlı Ocak, 67cm, Sert Cam, Dark Silver</v>
      </c>
      <c r="C331" s="19" t="s">
        <v>1883</v>
      </c>
      <c r="D331" s="19" t="s">
        <v>1883</v>
      </c>
      <c r="E331" s="20">
        <v>0</v>
      </c>
      <c r="F331" s="20">
        <v>0</v>
      </c>
      <c r="G331" s="20">
        <v>0</v>
      </c>
      <c r="H331" s="20">
        <v>0</v>
      </c>
      <c r="I331" s="21">
        <v>0</v>
      </c>
      <c r="J331" s="21">
        <v>0</v>
      </c>
      <c r="K331" s="20">
        <v>0</v>
      </c>
      <c r="L331" s="20">
        <v>1</v>
      </c>
      <c r="M331" s="21">
        <v>0</v>
      </c>
      <c r="N331" s="22">
        <f t="shared" si="25"/>
        <v>1</v>
      </c>
      <c r="O331" s="23" t="s">
        <v>1883</v>
      </c>
      <c r="P331" s="24" t="s">
        <v>1883</v>
      </c>
      <c r="Q331" s="25" t="s">
        <v>1884</v>
      </c>
      <c r="R331" s="26">
        <v>15000</v>
      </c>
      <c r="S331" s="27">
        <f t="shared" si="26"/>
        <v>15600</v>
      </c>
      <c r="T331" s="27">
        <f t="shared" si="24"/>
        <v>16200.000000000002</v>
      </c>
      <c r="U331" s="25" t="s">
        <v>1883</v>
      </c>
      <c r="V331" s="26" t="s">
        <v>1883</v>
      </c>
      <c r="W331" s="26"/>
    </row>
    <row r="332" spans="1:23">
      <c r="A332" s="42" t="s">
        <v>350</v>
      </c>
      <c r="B332" s="18" t="str">
        <f>IFERROR(HYPERLINK(VLOOKUP(A332,ÜRÜNLER!A:C,3,FALSE),VLOOKUP(A332,ÜRÜNLER!A:B,2,FALSE)),"")</f>
        <v>iQ500 Gazlı Ocak, 60cm, Sert Cam, Siyah, Döküm, Wok</v>
      </c>
      <c r="C332" s="19">
        <v>2</v>
      </c>
      <c r="D332" s="19" t="s">
        <v>1883</v>
      </c>
      <c r="E332" s="20">
        <v>0</v>
      </c>
      <c r="F332" s="20">
        <v>0</v>
      </c>
      <c r="G332" s="20">
        <v>0</v>
      </c>
      <c r="H332" s="20">
        <v>0</v>
      </c>
      <c r="I332" s="21">
        <v>0</v>
      </c>
      <c r="J332" s="21">
        <v>0</v>
      </c>
      <c r="K332" s="20">
        <v>0</v>
      </c>
      <c r="L332" s="20">
        <v>0</v>
      </c>
      <c r="M332" s="21">
        <v>1</v>
      </c>
      <c r="N332" s="22">
        <f t="shared" si="25"/>
        <v>3</v>
      </c>
      <c r="O332" s="23" t="s">
        <v>1883</v>
      </c>
      <c r="P332" s="24" t="s">
        <v>1883</v>
      </c>
      <c r="Q332" s="25">
        <v>44323.976610983649</v>
      </c>
      <c r="R332" s="32">
        <v>42107.777780434466</v>
      </c>
      <c r="S332" s="27">
        <f t="shared" si="26"/>
        <v>43792.088891651845</v>
      </c>
      <c r="T332" s="27">
        <f t="shared" si="24"/>
        <v>45476.400002869224</v>
      </c>
      <c r="U332" s="25" t="s">
        <v>1883</v>
      </c>
      <c r="V332" s="26" t="s">
        <v>1883</v>
      </c>
      <c r="W332" s="26"/>
    </row>
    <row r="333" spans="1:23">
      <c r="A333" s="42" t="s">
        <v>351</v>
      </c>
      <c r="B333" s="18" t="str">
        <f>IFERROR(HYPERLINK(VLOOKUP(A333,ÜRÜNLER!A:C,3,FALSE),VLOOKUP(A333,ÜRÜNLER!A:B,2,FALSE)),"")</f>
        <v>iQ500 Gazlı Ocak, 60cm, Sert Cam, Siyah, Döküm</v>
      </c>
      <c r="C333" s="19">
        <v>3</v>
      </c>
      <c r="D333" s="19" t="s">
        <v>1883</v>
      </c>
      <c r="E333" s="20">
        <v>0</v>
      </c>
      <c r="F333" s="20">
        <v>0</v>
      </c>
      <c r="G333" s="20">
        <v>0</v>
      </c>
      <c r="H333" s="20">
        <v>0</v>
      </c>
      <c r="I333" s="21">
        <v>1</v>
      </c>
      <c r="J333" s="21">
        <v>0</v>
      </c>
      <c r="K333" s="20">
        <v>0</v>
      </c>
      <c r="L333" s="20">
        <v>0</v>
      </c>
      <c r="M333" s="21">
        <v>1</v>
      </c>
      <c r="N333" s="22">
        <f t="shared" si="25"/>
        <v>5</v>
      </c>
      <c r="O333" s="23" t="s">
        <v>1883</v>
      </c>
      <c r="P333" s="24" t="s">
        <v>1883</v>
      </c>
      <c r="Q333" s="25">
        <v>42302.270980344096</v>
      </c>
      <c r="R333" s="32">
        <v>40187.157431326894</v>
      </c>
      <c r="S333" s="27">
        <f t="shared" si="26"/>
        <v>41794.643728579969</v>
      </c>
      <c r="T333" s="27">
        <f t="shared" si="24"/>
        <v>43402.130025833045</v>
      </c>
      <c r="U333" s="25" t="s">
        <v>1883</v>
      </c>
      <c r="V333" s="26" t="s">
        <v>1883</v>
      </c>
      <c r="W333" s="26"/>
    </row>
    <row r="334" spans="1:23">
      <c r="A334" s="51" t="s">
        <v>352</v>
      </c>
      <c r="B334" s="18" t="str">
        <f>IFERROR(HYPERLINK(VLOOKUP(A334,ÜRÜNLER!A:C,3,FALSE),VLOOKUP(A334,ÜRÜNLER!A:B,2,FALSE)),"")</f>
        <v>iQ500 Gazlı Ocak, 60cm, Sert Cam, Beyaz, Döküm</v>
      </c>
      <c r="C334" s="19">
        <v>2</v>
      </c>
      <c r="D334" s="19" t="s">
        <v>1883</v>
      </c>
      <c r="E334" s="20">
        <v>0</v>
      </c>
      <c r="F334" s="20">
        <v>0</v>
      </c>
      <c r="G334" s="20">
        <v>0</v>
      </c>
      <c r="H334" s="20">
        <v>0</v>
      </c>
      <c r="I334" s="21">
        <v>0</v>
      </c>
      <c r="J334" s="21">
        <v>1</v>
      </c>
      <c r="K334" s="20">
        <v>1</v>
      </c>
      <c r="L334" s="20">
        <v>2</v>
      </c>
      <c r="M334" s="21">
        <v>0</v>
      </c>
      <c r="N334" s="22">
        <f t="shared" si="25"/>
        <v>6</v>
      </c>
      <c r="O334" s="23" t="s">
        <v>1883</v>
      </c>
      <c r="P334" s="24" t="s">
        <v>1883</v>
      </c>
      <c r="Q334" s="25" t="s">
        <v>1884</v>
      </c>
      <c r="R334" s="26">
        <v>26000</v>
      </c>
      <c r="S334" s="27">
        <f t="shared" si="26"/>
        <v>27040</v>
      </c>
      <c r="T334" s="27">
        <f t="shared" si="24"/>
        <v>28080.000000000004</v>
      </c>
      <c r="U334" s="25" t="s">
        <v>1883</v>
      </c>
      <c r="V334" s="26" t="s">
        <v>1883</v>
      </c>
      <c r="W334" s="33">
        <v>250</v>
      </c>
    </row>
    <row r="335" spans="1:23">
      <c r="A335" s="51" t="s">
        <v>353</v>
      </c>
      <c r="B335" s="18" t="str">
        <f>IFERROR(HYPERLINK(VLOOKUP(A335,ÜRÜNLER!A:C,3,FALSE),VLOOKUP(A335,ÜRÜNLER!A:B,2,FALSE)),"")</f>
        <v>iQ500 Gazlı Ocak, 60cm, Sert Cam, Siyah, Döküm, Wok</v>
      </c>
      <c r="C335" s="19" t="s">
        <v>1883</v>
      </c>
      <c r="D335" s="19" t="s">
        <v>1883</v>
      </c>
      <c r="E335" s="20">
        <v>0</v>
      </c>
      <c r="F335" s="20">
        <v>2</v>
      </c>
      <c r="G335" s="20">
        <v>0</v>
      </c>
      <c r="H335" s="20">
        <v>0</v>
      </c>
      <c r="I335" s="21">
        <v>0</v>
      </c>
      <c r="J335" s="21">
        <v>0</v>
      </c>
      <c r="K335" s="20">
        <v>0</v>
      </c>
      <c r="L335" s="20">
        <v>2</v>
      </c>
      <c r="M335" s="21">
        <v>0</v>
      </c>
      <c r="N335" s="22">
        <f t="shared" si="25"/>
        <v>4</v>
      </c>
      <c r="O335" s="23" t="s">
        <v>1883</v>
      </c>
      <c r="P335" s="24" t="s">
        <v>1883</v>
      </c>
      <c r="Q335" s="25" t="s">
        <v>1884</v>
      </c>
      <c r="R335" s="26">
        <v>26000</v>
      </c>
      <c r="S335" s="27">
        <f t="shared" si="26"/>
        <v>27040</v>
      </c>
      <c r="T335" s="27">
        <f t="shared" si="24"/>
        <v>28080.000000000004</v>
      </c>
      <c r="U335" s="25" t="s">
        <v>1883</v>
      </c>
      <c r="V335" s="26" t="s">
        <v>1883</v>
      </c>
      <c r="W335" s="28">
        <v>1000</v>
      </c>
    </row>
    <row r="336" spans="1:23">
      <c r="A336" s="51" t="s">
        <v>354</v>
      </c>
      <c r="B336" s="18" t="str">
        <f>IFERROR(HYPERLINK(VLOOKUP(A336,ÜRÜNLER!A:C,3,FALSE),VLOOKUP(A336,ÜRÜNLER!A:B,2,FALSE)),"")</f>
        <v>iQ500 Gazlı Ocak, 60cm, Sert Cam, Siyah, Döküm</v>
      </c>
      <c r="C336" s="19" t="s">
        <v>1883</v>
      </c>
      <c r="D336" s="19" t="s">
        <v>1883</v>
      </c>
      <c r="E336" s="20">
        <v>0</v>
      </c>
      <c r="F336" s="20">
        <v>1</v>
      </c>
      <c r="G336" s="20">
        <v>0</v>
      </c>
      <c r="H336" s="20">
        <v>0</v>
      </c>
      <c r="I336" s="21">
        <v>0</v>
      </c>
      <c r="J336" s="21">
        <v>0</v>
      </c>
      <c r="K336" s="20">
        <v>0</v>
      </c>
      <c r="L336" s="20">
        <v>1</v>
      </c>
      <c r="M336" s="21">
        <v>0</v>
      </c>
      <c r="N336" s="22">
        <f t="shared" si="25"/>
        <v>2</v>
      </c>
      <c r="O336" s="23" t="s">
        <v>1883</v>
      </c>
      <c r="P336" s="24" t="s">
        <v>1883</v>
      </c>
      <c r="Q336" s="25" t="s">
        <v>1884</v>
      </c>
      <c r="R336" s="26">
        <v>26000</v>
      </c>
      <c r="S336" s="27">
        <f t="shared" si="26"/>
        <v>27040</v>
      </c>
      <c r="T336" s="27">
        <f t="shared" si="24"/>
        <v>28080.000000000004</v>
      </c>
      <c r="U336" s="25" t="s">
        <v>1883</v>
      </c>
      <c r="V336" s="26" t="s">
        <v>1883</v>
      </c>
      <c r="W336" s="33">
        <v>250</v>
      </c>
    </row>
    <row r="337" spans="1:23">
      <c r="A337" s="77" t="s">
        <v>355</v>
      </c>
      <c r="B337" s="18" t="str">
        <f>IFERROR(HYPERLINK(VLOOKUP(A337,ÜRÜNLER!A:C,3,FALSE),VLOOKUP(A337,ÜRÜNLER!A:B,2,FALSE)),"")</f>
        <v>iQ500 Gazlı Ocak, 60cm, Sert Cam, Titanyum Gri, Döküm, Wok</v>
      </c>
      <c r="C337" s="19" t="s">
        <v>1883</v>
      </c>
      <c r="D337" s="19" t="s">
        <v>1883</v>
      </c>
      <c r="E337" s="20">
        <v>0</v>
      </c>
      <c r="F337" s="20">
        <v>0</v>
      </c>
      <c r="G337" s="20">
        <v>0</v>
      </c>
      <c r="H337" s="20">
        <v>0</v>
      </c>
      <c r="I337" s="21">
        <v>1</v>
      </c>
      <c r="J337" s="21">
        <v>0</v>
      </c>
      <c r="K337" s="20">
        <v>0</v>
      </c>
      <c r="L337" s="20">
        <v>1</v>
      </c>
      <c r="M337" s="21">
        <v>0</v>
      </c>
      <c r="N337" s="22">
        <f t="shared" si="25"/>
        <v>2</v>
      </c>
      <c r="O337" s="23" t="s">
        <v>1883</v>
      </c>
      <c r="P337" s="24" t="s">
        <v>1883</v>
      </c>
      <c r="Q337" s="25" t="s">
        <v>1884</v>
      </c>
      <c r="R337" s="26">
        <v>28000</v>
      </c>
      <c r="S337" s="27">
        <f t="shared" si="26"/>
        <v>29120</v>
      </c>
      <c r="T337" s="27">
        <f t="shared" si="24"/>
        <v>30240.000000000004</v>
      </c>
      <c r="U337" s="25" t="s">
        <v>1883</v>
      </c>
      <c r="V337" s="26" t="s">
        <v>1883</v>
      </c>
      <c r="W337" s="28">
        <v>1000</v>
      </c>
    </row>
    <row r="338" spans="1:23">
      <c r="A338" s="51" t="s">
        <v>356</v>
      </c>
      <c r="B338" s="18" t="str">
        <f>IFERROR(HYPERLINK(VLOOKUP(A338,ÜRÜNLER!A:C,3,FALSE),VLOOKUP(A338,ÜRÜNLER!A:B,2,FALSE)),"")</f>
        <v>iQ300 Gazlı Ocak, 60cm, Sert Cam, Siyah, Döküm</v>
      </c>
      <c r="C338" s="19">
        <v>3</v>
      </c>
      <c r="D338" s="19" t="s">
        <v>1883</v>
      </c>
      <c r="E338" s="20">
        <v>0</v>
      </c>
      <c r="F338" s="20">
        <v>0</v>
      </c>
      <c r="G338" s="20">
        <v>0</v>
      </c>
      <c r="H338" s="20">
        <v>0</v>
      </c>
      <c r="I338" s="21">
        <v>0</v>
      </c>
      <c r="J338" s="21">
        <v>0</v>
      </c>
      <c r="K338" s="20">
        <v>0</v>
      </c>
      <c r="L338" s="20">
        <v>0</v>
      </c>
      <c r="M338" s="21">
        <v>0</v>
      </c>
      <c r="N338" s="22">
        <f t="shared" si="25"/>
        <v>3</v>
      </c>
      <c r="O338" s="23" t="s">
        <v>1883</v>
      </c>
      <c r="P338" s="24" t="s">
        <v>1883</v>
      </c>
      <c r="Q338" s="25">
        <v>23700.85601656395</v>
      </c>
      <c r="R338" s="33">
        <v>22680.244991927226</v>
      </c>
      <c r="S338" s="27">
        <f t="shared" si="26"/>
        <v>23587.454791604316</v>
      </c>
      <c r="T338" s="27">
        <f t="shared" si="24"/>
        <v>24494.664591281406</v>
      </c>
      <c r="U338" s="25" t="s">
        <v>1883</v>
      </c>
      <c r="V338" s="26" t="s">
        <v>1883</v>
      </c>
      <c r="W338" s="26"/>
    </row>
    <row r="339" spans="1:23">
      <c r="A339" s="51" t="s">
        <v>357</v>
      </c>
      <c r="B339" s="18" t="str">
        <f>IFERROR(HYPERLINK(VLOOKUP(A339,ÜRÜNLER!A:C,3,FALSE),VLOOKUP(A339,ÜRÜNLER!A:B,2,FALSE)),"")</f>
        <v>iQ300 Gazlı Ocak, 75cm, 4 Gözlü, Sert Cam, Beyaz</v>
      </c>
      <c r="C339" s="19" t="s">
        <v>1883</v>
      </c>
      <c r="D339" s="19" t="s">
        <v>1883</v>
      </c>
      <c r="E339" s="20">
        <v>0</v>
      </c>
      <c r="F339" s="20">
        <v>0</v>
      </c>
      <c r="G339" s="20">
        <v>0</v>
      </c>
      <c r="H339" s="20">
        <v>0</v>
      </c>
      <c r="I339" s="21">
        <v>1</v>
      </c>
      <c r="J339" s="21">
        <v>0</v>
      </c>
      <c r="K339" s="20">
        <v>0</v>
      </c>
      <c r="L339" s="20">
        <v>0</v>
      </c>
      <c r="M339" s="21">
        <v>0</v>
      </c>
      <c r="N339" s="22">
        <f t="shared" si="25"/>
        <v>1</v>
      </c>
      <c r="O339" s="23" t="s">
        <v>1883</v>
      </c>
      <c r="P339" s="24" t="s">
        <v>1883</v>
      </c>
      <c r="Q339" s="25" t="s">
        <v>1884</v>
      </c>
      <c r="R339" s="26">
        <v>15000</v>
      </c>
      <c r="S339" s="27">
        <f t="shared" si="26"/>
        <v>15600</v>
      </c>
      <c r="T339" s="27">
        <f t="shared" si="24"/>
        <v>16200.000000000002</v>
      </c>
      <c r="U339" s="25" t="s">
        <v>1883</v>
      </c>
      <c r="V339" s="26" t="s">
        <v>1883</v>
      </c>
      <c r="W339" s="70">
        <v>500</v>
      </c>
    </row>
    <row r="340" spans="1:23">
      <c r="A340" s="51" t="s">
        <v>358</v>
      </c>
      <c r="B340" s="18" t="str">
        <f>IFERROR(HYPERLINK(VLOOKUP(A340,ÜRÜNLER!A:C,3,FALSE),VLOOKUP(A340,ÜRÜNLER!A:B,2,FALSE)),"")</f>
        <v>iQ300 Gazlı Ocak, 75cm, 5 Gözlü, Sert Cam, Beyaz, Wok</v>
      </c>
      <c r="C340" s="19" t="s">
        <v>1883</v>
      </c>
      <c r="D340" s="19" t="s">
        <v>1883</v>
      </c>
      <c r="E340" s="20">
        <v>0</v>
      </c>
      <c r="F340" s="20">
        <v>0</v>
      </c>
      <c r="G340" s="20">
        <v>0</v>
      </c>
      <c r="H340" s="20">
        <v>0</v>
      </c>
      <c r="I340" s="21">
        <v>0</v>
      </c>
      <c r="J340" s="21">
        <v>1</v>
      </c>
      <c r="K340" s="20">
        <v>0</v>
      </c>
      <c r="L340" s="20">
        <v>0</v>
      </c>
      <c r="M340" s="21">
        <v>0</v>
      </c>
      <c r="N340" s="22">
        <f t="shared" si="25"/>
        <v>1</v>
      </c>
      <c r="O340" s="23" t="s">
        <v>1883</v>
      </c>
      <c r="P340" s="24" t="s">
        <v>1883</v>
      </c>
      <c r="Q340" s="25" t="s">
        <v>1884</v>
      </c>
      <c r="R340" s="26">
        <v>25000</v>
      </c>
      <c r="S340" s="27">
        <f t="shared" si="26"/>
        <v>26000</v>
      </c>
      <c r="T340" s="27">
        <f t="shared" si="24"/>
        <v>27000</v>
      </c>
      <c r="U340" s="25" t="s">
        <v>1883</v>
      </c>
      <c r="V340" s="26" t="s">
        <v>1883</v>
      </c>
      <c r="W340" s="70">
        <v>500</v>
      </c>
    </row>
    <row r="341" spans="1:23">
      <c r="A341" s="37" t="s">
        <v>359</v>
      </c>
      <c r="B341" s="18" t="str">
        <f>IFERROR(HYPERLINK(VLOOKUP(A341,ÜRÜNLER!A:C,3,FALSE),VLOOKUP(A341,ÜRÜNLER!A:B,2,FALSE)),"")</f>
        <v>iQ300 Gazlı Ocak, 75cm, 5 Gözlü, Sert Cam, Beyaz, Wok</v>
      </c>
      <c r="C341" s="19">
        <v>8</v>
      </c>
      <c r="D341" s="19" t="s">
        <v>1883</v>
      </c>
      <c r="E341" s="20">
        <v>0</v>
      </c>
      <c r="F341" s="20">
        <v>0</v>
      </c>
      <c r="G341" s="20">
        <v>0</v>
      </c>
      <c r="H341" s="20">
        <v>0</v>
      </c>
      <c r="I341" s="21">
        <v>0</v>
      </c>
      <c r="J341" s="21">
        <v>0</v>
      </c>
      <c r="K341" s="20">
        <v>1</v>
      </c>
      <c r="L341" s="20">
        <v>0</v>
      </c>
      <c r="M341" s="21">
        <v>1</v>
      </c>
      <c r="N341" s="22">
        <f t="shared" si="25"/>
        <v>10</v>
      </c>
      <c r="O341" s="23" t="s">
        <v>1883</v>
      </c>
      <c r="P341" s="24" t="s">
        <v>1883</v>
      </c>
      <c r="Q341" s="25">
        <v>28886.796732696181</v>
      </c>
      <c r="R341" s="32">
        <v>27442.456896061372</v>
      </c>
      <c r="S341" s="27">
        <f t="shared" si="26"/>
        <v>28540.155171903829</v>
      </c>
      <c r="T341" s="27">
        <f t="shared" si="24"/>
        <v>29637.853447746285</v>
      </c>
      <c r="U341" s="25" t="s">
        <v>1883</v>
      </c>
      <c r="V341" s="26" t="s">
        <v>1883</v>
      </c>
      <c r="W341" s="26"/>
    </row>
    <row r="342" spans="1:23">
      <c r="A342" s="51" t="s">
        <v>360</v>
      </c>
      <c r="B342" s="18" t="str">
        <f>IFERROR(HYPERLINK(VLOOKUP(A342,ÜRÜNLER!A:C,3,FALSE),VLOOKUP(A342,ÜRÜNLER!A:B,2,FALSE)),"")</f>
        <v>iQ300 Gazlı Ocak, 75cm, 5 Gözlü, Sert Cam, Siyah, Wok</v>
      </c>
      <c r="C342" s="19" t="s">
        <v>1883</v>
      </c>
      <c r="D342" s="19" t="s">
        <v>1883</v>
      </c>
      <c r="E342" s="20">
        <v>0</v>
      </c>
      <c r="F342" s="20">
        <v>0</v>
      </c>
      <c r="G342" s="20">
        <v>0</v>
      </c>
      <c r="H342" s="20">
        <v>0</v>
      </c>
      <c r="I342" s="21">
        <v>0</v>
      </c>
      <c r="J342" s="21">
        <v>0</v>
      </c>
      <c r="K342" s="20">
        <v>0</v>
      </c>
      <c r="L342" s="20">
        <v>1</v>
      </c>
      <c r="M342" s="21">
        <v>0</v>
      </c>
      <c r="N342" s="22">
        <f t="shared" si="25"/>
        <v>1</v>
      </c>
      <c r="O342" s="23" t="s">
        <v>1883</v>
      </c>
      <c r="P342" s="24" t="s">
        <v>1883</v>
      </c>
      <c r="Q342" s="25" t="s">
        <v>1884</v>
      </c>
      <c r="R342" s="26">
        <v>25000</v>
      </c>
      <c r="S342" s="27">
        <f t="shared" si="26"/>
        <v>26000</v>
      </c>
      <c r="T342" s="27">
        <f t="shared" si="24"/>
        <v>27000</v>
      </c>
      <c r="U342" s="25" t="s">
        <v>1883</v>
      </c>
      <c r="V342" s="26" t="s">
        <v>1883</v>
      </c>
      <c r="W342" s="70">
        <v>500</v>
      </c>
    </row>
    <row r="343" spans="1:23">
      <c r="A343" s="42" t="s">
        <v>361</v>
      </c>
      <c r="B343" s="18" t="str">
        <f>IFERROR(HYPERLINK(VLOOKUP(A343,ÜRÜNLER!A:C,3,FALSE),VLOOKUP(A343,ÜRÜNLER!A:B,2,FALSE)),"")</f>
        <v>iQ300 Gazlı Ocak, 75cm, 5 Gözlü, Sert Cam, Siyah, Wok</v>
      </c>
      <c r="C343" s="19">
        <v>6</v>
      </c>
      <c r="D343" s="19" t="s">
        <v>1883</v>
      </c>
      <c r="E343" s="20">
        <v>0</v>
      </c>
      <c r="F343" s="20">
        <v>0</v>
      </c>
      <c r="G343" s="20">
        <v>0</v>
      </c>
      <c r="H343" s="20">
        <v>0</v>
      </c>
      <c r="I343" s="21">
        <v>0</v>
      </c>
      <c r="J343" s="21">
        <v>0</v>
      </c>
      <c r="K343" s="20">
        <v>0</v>
      </c>
      <c r="L343" s="20">
        <v>0</v>
      </c>
      <c r="M343" s="21">
        <v>0</v>
      </c>
      <c r="N343" s="22">
        <f t="shared" si="25"/>
        <v>6</v>
      </c>
      <c r="O343" s="23" t="s">
        <v>1883</v>
      </c>
      <c r="P343" s="24" t="s">
        <v>1883</v>
      </c>
      <c r="Q343" s="25">
        <v>28886.796732696181</v>
      </c>
      <c r="R343" s="32">
        <v>27442.456896061372</v>
      </c>
      <c r="S343" s="27">
        <f t="shared" si="26"/>
        <v>28540.155171903829</v>
      </c>
      <c r="T343" s="27">
        <f t="shared" si="24"/>
        <v>29637.853447746285</v>
      </c>
      <c r="U343" s="25" t="s">
        <v>1883</v>
      </c>
      <c r="V343" s="26" t="s">
        <v>1883</v>
      </c>
      <c r="W343" s="26"/>
    </row>
    <row r="344" spans="1:23">
      <c r="A344" s="77" t="s">
        <v>362</v>
      </c>
      <c r="B344" s="18" t="str">
        <f>IFERROR(HYPERLINK(VLOOKUP(A344,ÜRÜNLER!A:C,3,FALSE),VLOOKUP(A344,ÜRÜNLER!A:B,2,FALSE)),"")</f>
        <v>iQ300 Gazlı Ocak, 75cm, 5 Gözlü, Sert Cam, Titanyum Gri, Wok</v>
      </c>
      <c r="C344" s="19" t="s">
        <v>1883</v>
      </c>
      <c r="D344" s="19" t="s">
        <v>1883</v>
      </c>
      <c r="E344" s="20">
        <v>0</v>
      </c>
      <c r="F344" s="20">
        <v>1</v>
      </c>
      <c r="G344" s="20">
        <v>0</v>
      </c>
      <c r="H344" s="20">
        <v>0</v>
      </c>
      <c r="I344" s="21">
        <v>2</v>
      </c>
      <c r="J344" s="21">
        <v>0</v>
      </c>
      <c r="K344" s="20">
        <v>0</v>
      </c>
      <c r="L344" s="20">
        <v>1</v>
      </c>
      <c r="M344" s="21">
        <v>0</v>
      </c>
      <c r="N344" s="22">
        <f t="shared" si="25"/>
        <v>4</v>
      </c>
      <c r="O344" s="23" t="s">
        <v>1883</v>
      </c>
      <c r="P344" s="24" t="s">
        <v>1883</v>
      </c>
      <c r="Q344" s="25" t="s">
        <v>1884</v>
      </c>
      <c r="R344" s="26">
        <v>20000</v>
      </c>
      <c r="S344" s="27">
        <f t="shared" si="26"/>
        <v>20800</v>
      </c>
      <c r="T344" s="27">
        <f t="shared" si="24"/>
        <v>21600</v>
      </c>
      <c r="U344" s="25" t="s">
        <v>1883</v>
      </c>
      <c r="V344" s="26" t="s">
        <v>1883</v>
      </c>
      <c r="W344" s="33">
        <v>250</v>
      </c>
    </row>
    <row r="345" spans="1:23">
      <c r="A345" s="77" t="s">
        <v>363</v>
      </c>
      <c r="B345" s="18" t="str">
        <f>IFERROR(HYPERLINK(VLOOKUP(A345,ÜRÜNLER!A:C,3,FALSE),VLOOKUP(A345,ÜRÜNLER!A:B,2,FALSE)),"")</f>
        <v>iQ300 Gazlı Ocak, 75cm, Sert Cam, Antrasit, Wok</v>
      </c>
      <c r="C345" s="19">
        <v>4</v>
      </c>
      <c r="D345" s="19" t="s">
        <v>1883</v>
      </c>
      <c r="E345" s="20">
        <v>0</v>
      </c>
      <c r="F345" s="20">
        <v>0</v>
      </c>
      <c r="G345" s="20">
        <v>0</v>
      </c>
      <c r="H345" s="20">
        <v>0</v>
      </c>
      <c r="I345" s="21">
        <v>0</v>
      </c>
      <c r="J345" s="21">
        <v>0</v>
      </c>
      <c r="K345" s="20">
        <v>0</v>
      </c>
      <c r="L345" s="20">
        <v>0</v>
      </c>
      <c r="M345" s="21">
        <v>0</v>
      </c>
      <c r="N345" s="22">
        <f t="shared" si="25"/>
        <v>4</v>
      </c>
      <c r="O345" s="23" t="s">
        <v>1883</v>
      </c>
      <c r="P345" s="24" t="s">
        <v>1883</v>
      </c>
      <c r="Q345" s="25">
        <v>28886.796732696181</v>
      </c>
      <c r="R345" s="32">
        <v>27442.456896061372</v>
      </c>
      <c r="S345" s="27">
        <f t="shared" si="26"/>
        <v>28540.155171903829</v>
      </c>
      <c r="T345" s="27">
        <f t="shared" si="24"/>
        <v>29637.853447746285</v>
      </c>
      <c r="U345" s="25" t="s">
        <v>1883</v>
      </c>
      <c r="V345" s="26" t="s">
        <v>1883</v>
      </c>
      <c r="W345" s="26"/>
    </row>
    <row r="346" spans="1:23">
      <c r="A346" s="51" t="s">
        <v>364</v>
      </c>
      <c r="B346" s="18" t="str">
        <f>IFERROR(HYPERLINK(VLOOKUP(A346,ÜRÜNLER!A:C,3,FALSE),VLOOKUP(A346,ÜRÜNLER!A:B,2,FALSE)),"")</f>
        <v>iQ500 Gazlı Ocak, 75cm, 5 Gözlü, Sert Cam, Beyaz, Wok</v>
      </c>
      <c r="C346" s="19">
        <v>7</v>
      </c>
      <c r="D346" s="19" t="s">
        <v>1883</v>
      </c>
      <c r="E346" s="20">
        <v>0</v>
      </c>
      <c r="F346" s="20">
        <v>0</v>
      </c>
      <c r="G346" s="20">
        <v>0</v>
      </c>
      <c r="H346" s="20">
        <v>0</v>
      </c>
      <c r="I346" s="21">
        <v>0</v>
      </c>
      <c r="J346" s="21">
        <v>0</v>
      </c>
      <c r="K346" s="20">
        <v>0</v>
      </c>
      <c r="L346" s="20">
        <v>0</v>
      </c>
      <c r="M346" s="21">
        <v>0</v>
      </c>
      <c r="N346" s="22">
        <f t="shared" si="25"/>
        <v>7</v>
      </c>
      <c r="O346" s="23" t="s">
        <v>1883</v>
      </c>
      <c r="P346" s="24" t="s">
        <v>1883</v>
      </c>
      <c r="Q346" s="25">
        <v>57081.195052424366</v>
      </c>
      <c r="R346" s="32">
        <v>54227.135299803151</v>
      </c>
      <c r="S346" s="27">
        <f t="shared" si="26"/>
        <v>56396.220711795278</v>
      </c>
      <c r="T346" s="27">
        <f t="shared" si="24"/>
        <v>58565.306123787406</v>
      </c>
      <c r="U346" s="25" t="s">
        <v>1883</v>
      </c>
      <c r="V346" s="26" t="s">
        <v>1883</v>
      </c>
      <c r="W346" s="33">
        <v>250</v>
      </c>
    </row>
    <row r="347" spans="1:23">
      <c r="A347" s="51" t="s">
        <v>365</v>
      </c>
      <c r="B347" s="18" t="str">
        <f>IFERROR(HYPERLINK(VLOOKUP(A347,ÜRÜNLER!A:C,3,FALSE),VLOOKUP(A347,ÜRÜNLER!A:B,2,FALSE)),"")</f>
        <v>iQ500 Gazlı Ocak, 75cm, 5 Gözlü, Sert Cam, Beyaz, Döküm, Wok</v>
      </c>
      <c r="C347" s="19" t="s">
        <v>1883</v>
      </c>
      <c r="D347" s="19" t="s">
        <v>1883</v>
      </c>
      <c r="E347" s="20">
        <v>0</v>
      </c>
      <c r="F347" s="20">
        <v>1</v>
      </c>
      <c r="G347" s="20">
        <v>0</v>
      </c>
      <c r="H347" s="20">
        <v>0</v>
      </c>
      <c r="I347" s="21">
        <v>2</v>
      </c>
      <c r="J347" s="21">
        <v>1</v>
      </c>
      <c r="K347" s="20">
        <v>0</v>
      </c>
      <c r="L347" s="20">
        <v>2</v>
      </c>
      <c r="M347" s="21">
        <v>1</v>
      </c>
      <c r="N347" s="22">
        <f t="shared" si="25"/>
        <v>7</v>
      </c>
      <c r="O347" s="23" t="s">
        <v>1883</v>
      </c>
      <c r="P347" s="24" t="s">
        <v>1883</v>
      </c>
      <c r="Q347" s="25" t="s">
        <v>1884</v>
      </c>
      <c r="R347" s="26">
        <v>42000</v>
      </c>
      <c r="S347" s="27">
        <f t="shared" si="26"/>
        <v>43680</v>
      </c>
      <c r="T347" s="27">
        <f t="shared" si="24"/>
        <v>45360</v>
      </c>
      <c r="U347" s="25" t="s">
        <v>1883</v>
      </c>
      <c r="V347" s="26" t="s">
        <v>1883</v>
      </c>
      <c r="W347" s="28">
        <v>1000</v>
      </c>
    </row>
    <row r="348" spans="1:23">
      <c r="A348" s="51" t="s">
        <v>366</v>
      </c>
      <c r="B348" s="18" t="str">
        <f>IFERROR(HYPERLINK(VLOOKUP(A348,ÜRÜNLER!A:C,3,FALSE),VLOOKUP(A348,ÜRÜNLER!A:B,2,FALSE)),"")</f>
        <v>iQ500 Gazlı Ocak, 75cm, 5 Gözlü, Sert Cam, Siyah, Wok</v>
      </c>
      <c r="C348" s="19" t="s">
        <v>1883</v>
      </c>
      <c r="D348" s="19" t="s">
        <v>1883</v>
      </c>
      <c r="E348" s="20">
        <v>0</v>
      </c>
      <c r="F348" s="20">
        <v>0</v>
      </c>
      <c r="G348" s="20">
        <v>0</v>
      </c>
      <c r="H348" s="20">
        <v>0</v>
      </c>
      <c r="I348" s="21">
        <v>1</v>
      </c>
      <c r="J348" s="21">
        <v>1</v>
      </c>
      <c r="K348" s="20">
        <v>0</v>
      </c>
      <c r="L348" s="20">
        <v>2</v>
      </c>
      <c r="M348" s="21">
        <v>0</v>
      </c>
      <c r="N348" s="22">
        <f t="shared" si="25"/>
        <v>4</v>
      </c>
      <c r="O348" s="23" t="s">
        <v>1883</v>
      </c>
      <c r="P348" s="24" t="s">
        <v>1883</v>
      </c>
      <c r="Q348" s="25" t="s">
        <v>1884</v>
      </c>
      <c r="R348" s="26">
        <v>42000</v>
      </c>
      <c r="S348" s="27">
        <f t="shared" si="26"/>
        <v>43680</v>
      </c>
      <c r="T348" s="27">
        <f t="shared" si="24"/>
        <v>45360</v>
      </c>
      <c r="U348" s="25" t="s">
        <v>1883</v>
      </c>
      <c r="V348" s="26" t="s">
        <v>1883</v>
      </c>
      <c r="W348" s="28">
        <v>1000</v>
      </c>
    </row>
    <row r="349" spans="1:23">
      <c r="A349" s="37" t="s">
        <v>367</v>
      </c>
      <c r="B349" s="18" t="str">
        <f>IFERROR(HYPERLINK(VLOOKUP(A349,ÜRÜNLER!A:C,3,FALSE),VLOOKUP(A349,ÜRÜNLER!A:B,2,FALSE)),"")</f>
        <v>iQ500 Gazlı Ocak, 75cm, 5 Gözlü, Sert Cam, Siyah, Döküm, Wok</v>
      </c>
      <c r="C349" s="19" t="s">
        <v>1883</v>
      </c>
      <c r="D349" s="19" t="s">
        <v>1883</v>
      </c>
      <c r="E349" s="20">
        <v>0</v>
      </c>
      <c r="F349" s="20">
        <v>0</v>
      </c>
      <c r="G349" s="20">
        <v>0</v>
      </c>
      <c r="H349" s="20">
        <v>0</v>
      </c>
      <c r="I349" s="21">
        <v>1</v>
      </c>
      <c r="J349" s="21">
        <v>0</v>
      </c>
      <c r="K349" s="20">
        <v>0</v>
      </c>
      <c r="L349" s="20">
        <v>0</v>
      </c>
      <c r="M349" s="21">
        <v>0</v>
      </c>
      <c r="N349" s="22">
        <f t="shared" si="25"/>
        <v>1</v>
      </c>
      <c r="O349" s="23" t="s">
        <v>1883</v>
      </c>
      <c r="P349" s="24" t="s">
        <v>1883</v>
      </c>
      <c r="Q349" s="25" t="s">
        <v>1884</v>
      </c>
      <c r="R349" s="26">
        <v>42000</v>
      </c>
      <c r="S349" s="27">
        <f t="shared" si="26"/>
        <v>43680</v>
      </c>
      <c r="T349" s="27">
        <f t="shared" si="24"/>
        <v>45360</v>
      </c>
      <c r="U349" s="25" t="s">
        <v>1883</v>
      </c>
      <c r="V349" s="26" t="s">
        <v>1883</v>
      </c>
      <c r="W349" s="28">
        <v>1000</v>
      </c>
    </row>
    <row r="350" spans="1:23">
      <c r="A350" s="37" t="s">
        <v>368</v>
      </c>
      <c r="B350" s="18" t="str">
        <f>IFERROR(HYPERLINK(VLOOKUP(A350,ÜRÜNLER!A:C,3,FALSE),VLOOKUP(A350,ÜRÜNLER!A:B,2,FALSE)),"")</f>
        <v>iQ500 Gazlı Ocak, 75cm, 5 Gözlü, Inox, Döküm, Wok</v>
      </c>
      <c r="C350" s="19">
        <v>1</v>
      </c>
      <c r="D350" s="19" t="s">
        <v>1883</v>
      </c>
      <c r="E350" s="20">
        <v>0</v>
      </c>
      <c r="F350" s="20">
        <v>0</v>
      </c>
      <c r="G350" s="20">
        <v>0</v>
      </c>
      <c r="H350" s="20">
        <v>0</v>
      </c>
      <c r="I350" s="21">
        <v>0</v>
      </c>
      <c r="J350" s="21">
        <v>0</v>
      </c>
      <c r="K350" s="20">
        <v>0</v>
      </c>
      <c r="L350" s="20">
        <v>0</v>
      </c>
      <c r="M350" s="21">
        <v>0</v>
      </c>
      <c r="N350" s="22">
        <f t="shared" si="25"/>
        <v>1</v>
      </c>
      <c r="O350" s="23" t="s">
        <v>1883</v>
      </c>
      <c r="P350" s="24" t="s">
        <v>1883</v>
      </c>
      <c r="Q350" s="25">
        <v>51886.301180903363</v>
      </c>
      <c r="R350" s="33">
        <v>49651.962852539102</v>
      </c>
      <c r="S350" s="27">
        <f t="shared" si="26"/>
        <v>51638.041366640668</v>
      </c>
      <c r="T350" s="27">
        <f t="shared" si="24"/>
        <v>53624.119880742233</v>
      </c>
      <c r="U350" s="25" t="s">
        <v>1883</v>
      </c>
      <c r="V350" s="26" t="s">
        <v>1883</v>
      </c>
      <c r="W350" s="26"/>
    </row>
    <row r="351" spans="1:23">
      <c r="A351" s="51" t="s">
        <v>369</v>
      </c>
      <c r="B351" s="18" t="str">
        <f>IFERROR(HYPERLINK(VLOOKUP(A351,ÜRÜNLER!A:C,3,FALSE),VLOOKUP(A351,ÜRÜNLER!A:B,2,FALSE)),"")</f>
        <v>iQ500 Gazlı Ocak, 75cm, 5 Gözlü, Inox, Döküm, Wok</v>
      </c>
      <c r="C351" s="19" t="s">
        <v>1883</v>
      </c>
      <c r="D351" s="19" t="s">
        <v>1883</v>
      </c>
      <c r="E351" s="20">
        <v>0</v>
      </c>
      <c r="F351" s="20">
        <v>0</v>
      </c>
      <c r="G351" s="20">
        <v>0</v>
      </c>
      <c r="H351" s="20">
        <v>0</v>
      </c>
      <c r="I351" s="21">
        <v>1</v>
      </c>
      <c r="J351" s="21">
        <v>0</v>
      </c>
      <c r="K351" s="20">
        <v>0</v>
      </c>
      <c r="L351" s="20">
        <v>0</v>
      </c>
      <c r="M351" s="21">
        <v>0</v>
      </c>
      <c r="N351" s="22">
        <f t="shared" si="25"/>
        <v>1</v>
      </c>
      <c r="O351" s="23" t="s">
        <v>1883</v>
      </c>
      <c r="P351" s="24" t="s">
        <v>1883</v>
      </c>
      <c r="Q351" s="25" t="s">
        <v>1884</v>
      </c>
      <c r="R351" s="26">
        <v>40000</v>
      </c>
      <c r="S351" s="27">
        <f t="shared" si="26"/>
        <v>41600</v>
      </c>
      <c r="T351" s="27">
        <f t="shared" si="24"/>
        <v>43200</v>
      </c>
      <c r="U351" s="25" t="s">
        <v>1883</v>
      </c>
      <c r="V351" s="26" t="s">
        <v>1883</v>
      </c>
      <c r="W351" s="28">
        <v>1000</v>
      </c>
    </row>
    <row r="352" spans="1:23">
      <c r="A352" s="90" t="s">
        <v>370</v>
      </c>
      <c r="B352" s="18" t="str">
        <f>IFERROR(HYPERLINK(VLOOKUP(A352,ÜRÜNLER!A:C,3,FALSE),VLOOKUP(A352,ÜRÜNLER!A:B,2,FALSE)),"")</f>
        <v>iQ500 Gazlı Ocak, 90cm, 5 Gözlü, Sert Cam, Siyah, Döküm, Wok</v>
      </c>
      <c r="C352" s="19" t="s">
        <v>1883</v>
      </c>
      <c r="D352" s="19" t="s">
        <v>1883</v>
      </c>
      <c r="E352" s="20">
        <v>0</v>
      </c>
      <c r="F352" s="20">
        <v>0</v>
      </c>
      <c r="G352" s="20">
        <v>0</v>
      </c>
      <c r="H352" s="20">
        <v>0</v>
      </c>
      <c r="I352" s="21">
        <v>0</v>
      </c>
      <c r="J352" s="21">
        <v>0</v>
      </c>
      <c r="K352" s="20">
        <v>0</v>
      </c>
      <c r="L352" s="20">
        <v>1</v>
      </c>
      <c r="M352" s="21">
        <v>0</v>
      </c>
      <c r="N352" s="22">
        <f t="shared" si="25"/>
        <v>1</v>
      </c>
      <c r="O352" s="23" t="s">
        <v>1883</v>
      </c>
      <c r="P352" s="24" t="s">
        <v>1883</v>
      </c>
      <c r="Q352" s="25" t="s">
        <v>1884</v>
      </c>
      <c r="R352" s="26">
        <v>45000</v>
      </c>
      <c r="S352" s="27">
        <f t="shared" si="26"/>
        <v>46800</v>
      </c>
      <c r="T352" s="27">
        <f t="shared" si="24"/>
        <v>48600</v>
      </c>
      <c r="U352" s="25" t="s">
        <v>1883</v>
      </c>
      <c r="V352" s="26" t="s">
        <v>1883</v>
      </c>
      <c r="W352" s="28">
        <v>1000</v>
      </c>
    </row>
    <row r="353" spans="1:23">
      <c r="A353" s="67" t="s">
        <v>371</v>
      </c>
      <c r="B353" s="18" t="str">
        <f>IFERROR(HYPERLINK(VLOOKUP(A353,ÜRÜNLER!A:C,3,FALSE),VLOOKUP(A353,ÜRÜNLER!A:B,2,FALSE)),"")</f>
        <v>iQ500 Gazlı Ocak, 90cm, 5 Gözlü, Sert Cam, Siyah, Döküm, Wok</v>
      </c>
      <c r="C353" s="19" t="s">
        <v>1883</v>
      </c>
      <c r="D353" s="19" t="s">
        <v>1883</v>
      </c>
      <c r="E353" s="20">
        <v>0</v>
      </c>
      <c r="F353" s="20">
        <v>2</v>
      </c>
      <c r="G353" s="20">
        <v>0</v>
      </c>
      <c r="H353" s="20">
        <v>0</v>
      </c>
      <c r="I353" s="21">
        <v>0</v>
      </c>
      <c r="J353" s="21">
        <v>1</v>
      </c>
      <c r="K353" s="20">
        <v>0</v>
      </c>
      <c r="L353" s="20">
        <v>0</v>
      </c>
      <c r="M353" s="21">
        <v>0</v>
      </c>
      <c r="N353" s="22">
        <f t="shared" si="25"/>
        <v>3</v>
      </c>
      <c r="O353" s="23" t="s">
        <v>1883</v>
      </c>
      <c r="P353" s="24" t="s">
        <v>1883</v>
      </c>
      <c r="Q353" s="25">
        <v>71207.543256386838</v>
      </c>
      <c r="R353" s="33">
        <v>68141.189719030473</v>
      </c>
      <c r="S353" s="27">
        <f t="shared" si="26"/>
        <v>70866.837307791691</v>
      </c>
      <c r="T353" s="27">
        <f t="shared" si="24"/>
        <v>73592.484896552909</v>
      </c>
      <c r="U353" s="25" t="s">
        <v>1883</v>
      </c>
      <c r="V353" s="26" t="s">
        <v>1883</v>
      </c>
      <c r="W353" s="33">
        <v>250</v>
      </c>
    </row>
    <row r="354" spans="1:23">
      <c r="A354" s="37" t="s">
        <v>372</v>
      </c>
      <c r="B354" s="18" t="str">
        <f>IFERROR(HYPERLINK(VLOOKUP(A354,ÜRÜNLER!A:C,3,FALSE),VLOOKUP(A354,ÜRÜNLER!A:B,2,FALSE)),"")</f>
        <v>iQ500 Gazlı Ocak, 67cm, Sert Cam, Siyah, Wok, Döküm</v>
      </c>
      <c r="C354" s="19" t="s">
        <v>1883</v>
      </c>
      <c r="D354" s="19" t="s">
        <v>1883</v>
      </c>
      <c r="E354" s="20">
        <v>0</v>
      </c>
      <c r="F354" s="20">
        <v>0</v>
      </c>
      <c r="G354" s="20">
        <v>0</v>
      </c>
      <c r="H354" s="20">
        <v>0</v>
      </c>
      <c r="I354" s="21">
        <v>0</v>
      </c>
      <c r="J354" s="21">
        <v>0</v>
      </c>
      <c r="K354" s="20">
        <v>1</v>
      </c>
      <c r="L354" s="20">
        <v>0</v>
      </c>
      <c r="M354" s="21">
        <v>0</v>
      </c>
      <c r="N354" s="22">
        <f t="shared" si="25"/>
        <v>1</v>
      </c>
      <c r="O354" s="23" t="s">
        <v>1883</v>
      </c>
      <c r="P354" s="24" t="s">
        <v>1883</v>
      </c>
      <c r="Q354" s="25">
        <v>57081.195052424366</v>
      </c>
      <c r="R354" s="33">
        <v>54623.153160214708</v>
      </c>
      <c r="S354" s="27">
        <f t="shared" si="26"/>
        <v>56808.079286623295</v>
      </c>
      <c r="T354" s="27">
        <f t="shared" si="24"/>
        <v>58993.005413031889</v>
      </c>
      <c r="U354" s="25" t="s">
        <v>1883</v>
      </c>
      <c r="V354" s="26" t="s">
        <v>1883</v>
      </c>
      <c r="W354" s="26"/>
    </row>
    <row r="355" spans="1:23">
      <c r="A355" s="90" t="s">
        <v>373</v>
      </c>
      <c r="B355" s="18" t="str">
        <f>IFERROR(HYPERLINK(VLOOKUP(A355,ÜRÜNLER!A:C,3,FALSE),VLOOKUP(A355,ÜRÜNLER!A:B,2,FALSE)),"")</f>
        <v>iQ700 studioLine Gazlı Ocak, 90cm, 5 Gözlü, Sert Cam, Siyah, Döküm, Wok</v>
      </c>
      <c r="C355" s="19" t="s">
        <v>1883</v>
      </c>
      <c r="D355" s="19" t="s">
        <v>1883</v>
      </c>
      <c r="E355" s="20">
        <v>0</v>
      </c>
      <c r="F355" s="20">
        <v>0</v>
      </c>
      <c r="G355" s="20">
        <v>0</v>
      </c>
      <c r="H355" s="20">
        <v>0</v>
      </c>
      <c r="I355" s="21">
        <v>0</v>
      </c>
      <c r="J355" s="21">
        <v>0</v>
      </c>
      <c r="K355" s="20">
        <v>0</v>
      </c>
      <c r="L355" s="20">
        <v>0</v>
      </c>
      <c r="M355" s="21">
        <v>0</v>
      </c>
      <c r="N355" s="22">
        <f t="shared" si="25"/>
        <v>0</v>
      </c>
      <c r="O355" s="23" t="s">
        <v>1883</v>
      </c>
      <c r="P355" s="24" t="s">
        <v>1883</v>
      </c>
      <c r="Q355" s="25">
        <v>100923.04846243623</v>
      </c>
      <c r="R355" s="91">
        <v>95876.896039314423</v>
      </c>
      <c r="S355" s="27">
        <f t="shared" si="26"/>
        <v>99711.971880887009</v>
      </c>
      <c r="T355" s="27">
        <f t="shared" si="24"/>
        <v>103547.04772245958</v>
      </c>
      <c r="U355" s="25" t="s">
        <v>1883</v>
      </c>
      <c r="V355" s="26" t="s">
        <v>1883</v>
      </c>
      <c r="W355" s="26"/>
    </row>
    <row r="356" spans="1:23">
      <c r="A356" s="90" t="s">
        <v>374</v>
      </c>
      <c r="B356" s="18" t="str">
        <f>IFERROR(HYPERLINK(VLOOKUP(A356,ÜRÜNLER!A:C,3,FALSE),VLOOKUP(A356,ÜRÜNLER!A:B,2,FALSE)),"")</f>
        <v>iQ700 Gazlı Ocak, 60cm, Seramik, Siyah, Döküm</v>
      </c>
      <c r="C356" s="19" t="s">
        <v>1883</v>
      </c>
      <c r="D356" s="19" t="s">
        <v>1883</v>
      </c>
      <c r="E356" s="20">
        <v>0</v>
      </c>
      <c r="F356" s="20">
        <v>0</v>
      </c>
      <c r="G356" s="20">
        <v>0</v>
      </c>
      <c r="H356" s="20">
        <v>0</v>
      </c>
      <c r="I356" s="21">
        <v>1</v>
      </c>
      <c r="J356" s="21">
        <v>0</v>
      </c>
      <c r="K356" s="20">
        <v>0</v>
      </c>
      <c r="L356" s="20">
        <v>3</v>
      </c>
      <c r="M356" s="21">
        <v>0</v>
      </c>
      <c r="N356" s="22">
        <f t="shared" si="25"/>
        <v>4</v>
      </c>
      <c r="O356" s="23" t="s">
        <v>1883</v>
      </c>
      <c r="P356" s="24" t="s">
        <v>1883</v>
      </c>
      <c r="Q356" s="25" t="s">
        <v>1884</v>
      </c>
      <c r="R356" s="26">
        <v>40000</v>
      </c>
      <c r="S356" s="27">
        <f t="shared" si="26"/>
        <v>41600</v>
      </c>
      <c r="T356" s="27">
        <f t="shared" si="24"/>
        <v>43200</v>
      </c>
      <c r="U356" s="25" t="s">
        <v>1883</v>
      </c>
      <c r="V356" s="26" t="s">
        <v>1883</v>
      </c>
      <c r="W356" s="28">
        <v>1000</v>
      </c>
    </row>
    <row r="357" spans="1:23">
      <c r="A357" s="37" t="s">
        <v>375</v>
      </c>
      <c r="B357" s="18" t="str">
        <f>IFERROR(HYPERLINK(VLOOKUP(A357,ÜRÜNLER!A:C,3,FALSE),VLOOKUP(A357,ÜRÜNLER!A:B,2,FALSE)),"")</f>
        <v>iQ500 Moduler Teppanyaki, 40cm, Inox</v>
      </c>
      <c r="C357" s="19">
        <v>2</v>
      </c>
      <c r="D357" s="19" t="s">
        <v>1883</v>
      </c>
      <c r="E357" s="20">
        <v>0</v>
      </c>
      <c r="F357" s="20">
        <v>0</v>
      </c>
      <c r="G357" s="20">
        <v>0</v>
      </c>
      <c r="H357" s="20">
        <v>0</v>
      </c>
      <c r="I357" s="21">
        <v>0</v>
      </c>
      <c r="J357" s="21">
        <v>0</v>
      </c>
      <c r="K357" s="20">
        <v>0</v>
      </c>
      <c r="L357" s="20">
        <v>0</v>
      </c>
      <c r="M357" s="21">
        <v>0</v>
      </c>
      <c r="N357" s="22">
        <f t="shared" si="25"/>
        <v>2</v>
      </c>
      <c r="O357" s="23" t="s">
        <v>1883</v>
      </c>
      <c r="P357" s="24" t="s">
        <v>1883</v>
      </c>
      <c r="Q357" s="25" t="s">
        <v>1884</v>
      </c>
      <c r="R357" s="26">
        <v>100000</v>
      </c>
      <c r="S357" s="27">
        <f t="shared" si="26"/>
        <v>104000</v>
      </c>
      <c r="T357" s="27">
        <f t="shared" si="24"/>
        <v>108000</v>
      </c>
      <c r="U357" s="25" t="s">
        <v>1883</v>
      </c>
      <c r="V357" s="26" t="s">
        <v>1883</v>
      </c>
      <c r="W357" s="28">
        <v>1000</v>
      </c>
    </row>
    <row r="358" spans="1:23">
      <c r="A358" s="37" t="s">
        <v>376</v>
      </c>
      <c r="B358" s="18" t="str">
        <f>IFERROR(HYPERLINK(VLOOKUP(A358,ÜRÜNLER!A:C,3,FALSE),VLOOKUP(A358,ÜRÜNLER!A:B,2,FALSE)),"")</f>
        <v>iQ700 Gazlı Domino Ocak, 30cm, 2 Gözlü, Seramik, Siyah</v>
      </c>
      <c r="C358" s="19" t="s">
        <v>1883</v>
      </c>
      <c r="D358" s="19" t="s">
        <v>1883</v>
      </c>
      <c r="E358" s="20">
        <v>0</v>
      </c>
      <c r="F358" s="20">
        <v>1</v>
      </c>
      <c r="G358" s="20">
        <v>0</v>
      </c>
      <c r="H358" s="20">
        <v>0</v>
      </c>
      <c r="I358" s="21">
        <v>0</v>
      </c>
      <c r="J358" s="21">
        <v>0</v>
      </c>
      <c r="K358" s="20">
        <v>0</v>
      </c>
      <c r="L358" s="20">
        <v>0</v>
      </c>
      <c r="M358" s="21">
        <v>0</v>
      </c>
      <c r="N358" s="22">
        <f t="shared" si="25"/>
        <v>1</v>
      </c>
      <c r="O358" s="23" t="s">
        <v>1883</v>
      </c>
      <c r="P358" s="24" t="s">
        <v>1883</v>
      </c>
      <c r="Q358" s="25" t="s">
        <v>1884</v>
      </c>
      <c r="R358" s="26">
        <v>35000</v>
      </c>
      <c r="S358" s="27">
        <f t="shared" si="26"/>
        <v>36400</v>
      </c>
      <c r="T358" s="27">
        <f t="shared" ref="T358:T359" si="27">R358*1.08</f>
        <v>37800</v>
      </c>
      <c r="U358" s="25" t="s">
        <v>1883</v>
      </c>
      <c r="V358" s="26" t="s">
        <v>1883</v>
      </c>
      <c r="W358" s="28">
        <v>1000</v>
      </c>
    </row>
    <row r="359" spans="1:23">
      <c r="A359" s="37" t="s">
        <v>377</v>
      </c>
      <c r="B359" s="18" t="str">
        <f>IFERROR(HYPERLINK(VLOOKUP(A359,ÜRÜNLER!A:C,3,FALSE),VLOOKUP(A359,ÜRÜNLER!A:B,2,FALSE)),"")</f>
        <v>iQ700 Gazlı Domino Ocak, 30cm, Tek Gözlü, Seramik, Siyah, Wok</v>
      </c>
      <c r="C359" s="19">
        <v>1</v>
      </c>
      <c r="D359" s="19" t="s">
        <v>1883</v>
      </c>
      <c r="E359" s="20">
        <v>0</v>
      </c>
      <c r="F359" s="20">
        <v>0</v>
      </c>
      <c r="G359" s="20">
        <v>0</v>
      </c>
      <c r="H359" s="20">
        <v>0</v>
      </c>
      <c r="I359" s="21">
        <v>0</v>
      </c>
      <c r="J359" s="21">
        <v>0</v>
      </c>
      <c r="K359" s="20">
        <v>0</v>
      </c>
      <c r="L359" s="20">
        <v>0</v>
      </c>
      <c r="M359" s="21">
        <v>0</v>
      </c>
      <c r="N359" s="22">
        <f t="shared" si="25"/>
        <v>1</v>
      </c>
      <c r="O359" s="23" t="s">
        <v>1883</v>
      </c>
      <c r="P359" s="24" t="s">
        <v>1883</v>
      </c>
      <c r="Q359" s="25" t="s">
        <v>1884</v>
      </c>
      <c r="R359" s="26">
        <v>30000</v>
      </c>
      <c r="S359" s="27">
        <f t="shared" si="26"/>
        <v>31200</v>
      </c>
      <c r="T359" s="27">
        <f t="shared" si="27"/>
        <v>32400.000000000004</v>
      </c>
      <c r="U359" s="25" t="s">
        <v>1883</v>
      </c>
      <c r="V359" s="26" t="s">
        <v>1883</v>
      </c>
      <c r="W359" s="28">
        <v>1000</v>
      </c>
    </row>
    <row r="360" spans="1:23" ht="34.5" customHeight="1">
      <c r="A360" s="92" t="s">
        <v>378</v>
      </c>
      <c r="B360" s="18"/>
      <c r="C360" s="19"/>
      <c r="D360" s="19"/>
      <c r="E360" s="20"/>
      <c r="F360" s="20"/>
      <c r="G360" s="20"/>
      <c r="H360" s="20"/>
      <c r="I360" s="21"/>
      <c r="J360" s="21"/>
      <c r="K360" s="20"/>
      <c r="L360" s="20"/>
      <c r="M360" s="21"/>
      <c r="N360" s="22"/>
      <c r="O360" s="23"/>
      <c r="P360" s="24" t="s">
        <v>1883</v>
      </c>
      <c r="R360" s="26"/>
      <c r="S360" s="27"/>
      <c r="T360" s="27"/>
      <c r="U360" s="25"/>
      <c r="V360" s="26"/>
      <c r="W360" s="26"/>
    </row>
    <row r="361" spans="1:23">
      <c r="A361" s="51" t="s">
        <v>379</v>
      </c>
      <c r="B361" s="18" t="str">
        <f>IFERROR(HYPERLINK(VLOOKUP(A361,ÜRÜNLER!A:C,3,FALSE),VLOOKUP(A361,ÜRÜNLER!A:B,2,FALSE)),"")</f>
        <v>iQ100 Elektrikli Ocak, 60cm, Çerçevesiz, Siyah</v>
      </c>
      <c r="C361" s="19">
        <v>4</v>
      </c>
      <c r="D361" s="19" t="s">
        <v>1883</v>
      </c>
      <c r="E361" s="20">
        <v>0</v>
      </c>
      <c r="F361" s="20">
        <v>0</v>
      </c>
      <c r="G361" s="20">
        <v>0</v>
      </c>
      <c r="H361" s="20">
        <v>0</v>
      </c>
      <c r="I361" s="21">
        <v>1</v>
      </c>
      <c r="J361" s="21">
        <v>1</v>
      </c>
      <c r="K361" s="20">
        <v>1</v>
      </c>
      <c r="L361" s="20">
        <v>1</v>
      </c>
      <c r="M361" s="21">
        <v>1</v>
      </c>
      <c r="N361" s="22">
        <f t="shared" si="25"/>
        <v>9</v>
      </c>
      <c r="O361" s="23">
        <v>10</v>
      </c>
      <c r="P361" s="24" t="s">
        <v>1883</v>
      </c>
      <c r="Q361" s="25">
        <v>28138.610097121495</v>
      </c>
      <c r="R361" s="91">
        <v>26731.67959226542</v>
      </c>
      <c r="S361" s="27">
        <f t="shared" si="26"/>
        <v>27800.946775956039</v>
      </c>
      <c r="T361" s="27">
        <f t="shared" ref="T361:T366" si="28">R361*1.08</f>
        <v>28870.213959646655</v>
      </c>
      <c r="U361" s="25" t="s">
        <v>1883</v>
      </c>
      <c r="V361" s="26" t="s">
        <v>1883</v>
      </c>
      <c r="W361" s="26"/>
    </row>
    <row r="362" spans="1:23">
      <c r="A362" s="51" t="s">
        <v>380</v>
      </c>
      <c r="B362" s="18" t="str">
        <f>IFERROR(HYPERLINK(VLOOKUP(A362,ÜRÜNLER!A:C,3,FALSE),VLOOKUP(A362,ÜRÜNLER!A:B,2,FALSE)),"")</f>
        <v>iQ100 Elektrikli Ocak, 60cm, Çerçevesiz, Beyaz</v>
      </c>
      <c r="C362" s="19">
        <v>8</v>
      </c>
      <c r="D362" s="19" t="s">
        <v>1883</v>
      </c>
      <c r="E362" s="20">
        <v>0</v>
      </c>
      <c r="F362" s="20">
        <v>2</v>
      </c>
      <c r="G362" s="20">
        <v>0</v>
      </c>
      <c r="H362" s="20">
        <v>0</v>
      </c>
      <c r="I362" s="21">
        <v>2</v>
      </c>
      <c r="J362" s="21">
        <v>0</v>
      </c>
      <c r="K362" s="20">
        <v>0</v>
      </c>
      <c r="L362" s="20">
        <v>0</v>
      </c>
      <c r="M362" s="21">
        <v>0</v>
      </c>
      <c r="N362" s="22">
        <f t="shared" si="25"/>
        <v>12</v>
      </c>
      <c r="O362" s="23">
        <v>5</v>
      </c>
      <c r="P362" s="24" t="s">
        <v>1883</v>
      </c>
      <c r="Q362" s="25">
        <v>35059.11930633599</v>
      </c>
      <c r="R362" s="91">
        <v>33306.163341019193</v>
      </c>
      <c r="S362" s="27">
        <f t="shared" si="26"/>
        <v>34638.409874659963</v>
      </c>
      <c r="T362" s="27">
        <f t="shared" si="28"/>
        <v>35970.656408300732</v>
      </c>
      <c r="U362" s="25" t="s">
        <v>1883</v>
      </c>
      <c r="V362" s="26" t="s">
        <v>1883</v>
      </c>
      <c r="W362" s="26"/>
    </row>
    <row r="363" spans="1:23">
      <c r="A363" s="51" t="s">
        <v>381</v>
      </c>
      <c r="B363" s="18" t="str">
        <f>IFERROR(HYPERLINK(VLOOKUP(A363,ÜRÜNLER!A:C,3,FALSE),VLOOKUP(A363,ÜRÜNLER!A:B,2,FALSE)),"")</f>
        <v>iQ300 Elektrikli Ocak, 60cm, Çerçevesiz, Siyah</v>
      </c>
      <c r="C363" s="19">
        <v>4</v>
      </c>
      <c r="D363" s="19" t="s">
        <v>1883</v>
      </c>
      <c r="E363" s="20">
        <v>0</v>
      </c>
      <c r="F363" s="20">
        <v>1</v>
      </c>
      <c r="G363" s="20">
        <v>0</v>
      </c>
      <c r="H363" s="20">
        <v>0</v>
      </c>
      <c r="I363" s="21">
        <v>0</v>
      </c>
      <c r="J363" s="21">
        <v>0</v>
      </c>
      <c r="K363" s="20">
        <v>0</v>
      </c>
      <c r="L363" s="20">
        <v>0</v>
      </c>
      <c r="M363" s="21">
        <v>0</v>
      </c>
      <c r="N363" s="22">
        <f t="shared" si="25"/>
        <v>5</v>
      </c>
      <c r="O363" s="23">
        <v>5</v>
      </c>
      <c r="P363" s="24" t="s">
        <v>1883</v>
      </c>
      <c r="Q363" s="25">
        <v>35107.006277500412</v>
      </c>
      <c r="R363" s="91">
        <v>33351.655963625388</v>
      </c>
      <c r="S363" s="27">
        <f t="shared" si="26"/>
        <v>34685.722202170407</v>
      </c>
      <c r="T363" s="27">
        <f t="shared" si="28"/>
        <v>36019.78844071542</v>
      </c>
      <c r="U363" s="25" t="s">
        <v>1883</v>
      </c>
      <c r="V363" s="26" t="s">
        <v>1883</v>
      </c>
      <c r="W363" s="26"/>
    </row>
    <row r="364" spans="1:23">
      <c r="A364" s="51" t="s">
        <v>382</v>
      </c>
      <c r="B364" s="18" t="str">
        <f>IFERROR(HYPERLINK(VLOOKUP(A364,ÜRÜNLER!A:C,3,FALSE),VLOOKUP(A364,ÜRÜNLER!A:B,2,FALSE)),"")</f>
        <v>iQ300 Elektrikli Ocak, 70cm, Çerçeveli, Siyah</v>
      </c>
      <c r="C364" s="19" t="s">
        <v>1883</v>
      </c>
      <c r="D364" s="19" t="s">
        <v>1883</v>
      </c>
      <c r="E364" s="20">
        <v>0</v>
      </c>
      <c r="F364" s="20">
        <v>2</v>
      </c>
      <c r="G364" s="20">
        <v>0</v>
      </c>
      <c r="H364" s="20">
        <v>0</v>
      </c>
      <c r="I364" s="21">
        <v>1</v>
      </c>
      <c r="J364" s="21">
        <v>0</v>
      </c>
      <c r="K364" s="20">
        <v>0</v>
      </c>
      <c r="L364" s="20">
        <v>0</v>
      </c>
      <c r="M364" s="21">
        <v>0</v>
      </c>
      <c r="N364" s="22">
        <f t="shared" si="25"/>
        <v>3</v>
      </c>
      <c r="O364" s="23" t="s">
        <v>1883</v>
      </c>
      <c r="P364" s="24" t="s">
        <v>1883</v>
      </c>
      <c r="Q364" s="25" t="s">
        <v>1884</v>
      </c>
      <c r="R364" s="33">
        <v>50000</v>
      </c>
      <c r="S364" s="27">
        <f t="shared" si="26"/>
        <v>52000</v>
      </c>
      <c r="T364" s="27">
        <f t="shared" si="28"/>
        <v>54000</v>
      </c>
      <c r="U364" s="25" t="s">
        <v>1883</v>
      </c>
      <c r="V364" s="26" t="s">
        <v>1883</v>
      </c>
      <c r="W364" s="28">
        <v>1000</v>
      </c>
    </row>
    <row r="365" spans="1:23">
      <c r="A365" s="51" t="s">
        <v>383</v>
      </c>
      <c r="B365" s="18" t="str">
        <f>IFERROR(HYPERLINK(VLOOKUP(A365,ÜRÜNLER!A:C,3,FALSE),VLOOKUP(A365,ÜRÜNLER!A:B,2,FALSE)),"")</f>
        <v>iQ500 Elektrikli Ocak, 80cm, Çerçeveli, Siyah</v>
      </c>
      <c r="C365" s="19" t="s">
        <v>1883</v>
      </c>
      <c r="D365" s="19" t="s">
        <v>1883</v>
      </c>
      <c r="E365" s="20">
        <v>0</v>
      </c>
      <c r="F365" s="20">
        <v>1</v>
      </c>
      <c r="G365" s="20">
        <v>0</v>
      </c>
      <c r="H365" s="20">
        <v>0</v>
      </c>
      <c r="I365" s="21">
        <v>0</v>
      </c>
      <c r="J365" s="21">
        <v>0</v>
      </c>
      <c r="K365" s="20">
        <v>0</v>
      </c>
      <c r="L365" s="20">
        <v>0</v>
      </c>
      <c r="M365" s="21">
        <v>0</v>
      </c>
      <c r="N365" s="22">
        <f t="shared" si="25"/>
        <v>1</v>
      </c>
      <c r="O365" s="23">
        <v>2</v>
      </c>
      <c r="P365" s="24" t="s">
        <v>1883</v>
      </c>
      <c r="Q365" s="25">
        <v>67503.399574603187</v>
      </c>
      <c r="R365" s="91">
        <v>64128.229595873025</v>
      </c>
      <c r="S365" s="27">
        <f t="shared" si="26"/>
        <v>66693.358779707953</v>
      </c>
      <c r="T365" s="27">
        <f t="shared" si="28"/>
        <v>69258.487963542866</v>
      </c>
      <c r="U365" s="25" t="s">
        <v>1883</v>
      </c>
      <c r="V365" s="26" t="s">
        <v>1883</v>
      </c>
      <c r="W365" s="26"/>
    </row>
    <row r="366" spans="1:23">
      <c r="A366" s="51" t="s">
        <v>384</v>
      </c>
      <c r="B366" s="18" t="str">
        <f>IFERROR(HYPERLINK(VLOOKUP(A366,ÜRÜNLER!A:C,3,FALSE),VLOOKUP(A366,ÜRÜNLER!A:B,2,FALSE)),"")</f>
        <v>iQ300 Elektrikli Domino Ocak, 30cm, 2 Gözlü, Siyah</v>
      </c>
      <c r="C366" s="19" t="s">
        <v>1883</v>
      </c>
      <c r="D366" s="19" t="s">
        <v>1883</v>
      </c>
      <c r="E366" s="20">
        <v>0</v>
      </c>
      <c r="F366" s="20">
        <v>0</v>
      </c>
      <c r="G366" s="20">
        <v>0</v>
      </c>
      <c r="H366" s="20">
        <v>0</v>
      </c>
      <c r="I366" s="21">
        <v>0</v>
      </c>
      <c r="J366" s="21">
        <v>0</v>
      </c>
      <c r="K366" s="20">
        <v>0</v>
      </c>
      <c r="L366" s="20">
        <v>0</v>
      </c>
      <c r="M366" s="21">
        <v>0</v>
      </c>
      <c r="N366" s="22">
        <f t="shared" si="25"/>
        <v>0</v>
      </c>
      <c r="O366" s="23" t="s">
        <v>1883</v>
      </c>
      <c r="P366" s="24" t="s">
        <v>1883</v>
      </c>
      <c r="Q366" s="25">
        <v>36323.771485010177</v>
      </c>
      <c r="R366" s="91">
        <v>34507.582910759666</v>
      </c>
      <c r="S366" s="27">
        <f t="shared" si="26"/>
        <v>35887.886227190051</v>
      </c>
      <c r="T366" s="27">
        <f t="shared" si="28"/>
        <v>37268.189543620443</v>
      </c>
      <c r="U366" s="25" t="s">
        <v>1883</v>
      </c>
      <c r="V366" s="26" t="s">
        <v>1883</v>
      </c>
      <c r="W366" s="26"/>
    </row>
    <row r="367" spans="1:23" ht="30">
      <c r="A367" s="92" t="s">
        <v>385</v>
      </c>
      <c r="B367" s="18"/>
      <c r="C367" s="19"/>
      <c r="D367" s="19"/>
      <c r="E367" s="20"/>
      <c r="F367" s="20"/>
      <c r="G367" s="20"/>
      <c r="H367" s="20"/>
      <c r="I367" s="21"/>
      <c r="J367" s="21"/>
      <c r="K367" s="20"/>
      <c r="L367" s="20"/>
      <c r="M367" s="21"/>
      <c r="N367" s="22"/>
      <c r="O367" s="23"/>
      <c r="P367" s="24" t="s">
        <v>1883</v>
      </c>
      <c r="R367" s="26"/>
      <c r="S367" s="27"/>
      <c r="T367" s="27"/>
      <c r="U367" s="25"/>
      <c r="V367" s="26"/>
      <c r="W367" s="26"/>
    </row>
    <row r="368" spans="1:23">
      <c r="A368" s="51" t="s">
        <v>386</v>
      </c>
      <c r="B368" s="18" t="str">
        <f>IFERROR(HYPERLINK(VLOOKUP(A368,ÜRÜNLER!A:C,3,FALSE),VLOOKUP(A368,ÜRÜNLER!A:B,2,FALSE)),"")</f>
        <v>iQ100 İndüksiyonlu Ocak, 60cm, Çerçevesiz, Siyah</v>
      </c>
      <c r="C368" s="19" t="s">
        <v>1883</v>
      </c>
      <c r="D368" s="19" t="s">
        <v>1883</v>
      </c>
      <c r="E368" s="20">
        <v>1</v>
      </c>
      <c r="F368" s="20">
        <v>0</v>
      </c>
      <c r="G368" s="20">
        <v>0</v>
      </c>
      <c r="H368" s="20">
        <v>0</v>
      </c>
      <c r="I368" s="21">
        <v>1</v>
      </c>
      <c r="J368" s="21">
        <v>1</v>
      </c>
      <c r="K368" s="20">
        <v>0</v>
      </c>
      <c r="L368" s="20">
        <v>0</v>
      </c>
      <c r="M368" s="21">
        <v>1</v>
      </c>
      <c r="N368" s="22">
        <f t="shared" si="25"/>
        <v>4</v>
      </c>
      <c r="O368" s="23">
        <v>1</v>
      </c>
      <c r="P368" s="24" t="s">
        <v>1883</v>
      </c>
      <c r="Q368" s="25">
        <v>28161.745369391989</v>
      </c>
      <c r="R368" s="33">
        <v>26949.038630997122</v>
      </c>
      <c r="S368" s="27">
        <f t="shared" si="26"/>
        <v>28027.000176237008</v>
      </c>
      <c r="T368" s="27">
        <f t="shared" ref="T368:T377" si="29">R368*1.08</f>
        <v>29104.961721476895</v>
      </c>
      <c r="U368" s="25" t="s">
        <v>1883</v>
      </c>
      <c r="V368" s="26" t="s">
        <v>1883</v>
      </c>
      <c r="W368" s="26"/>
    </row>
    <row r="369" spans="1:24">
      <c r="A369" s="17" t="s">
        <v>387</v>
      </c>
      <c r="B369" s="18" t="str">
        <f>IFERROR(HYPERLINK(VLOOKUP(A369,ÜRÜNLER!A:C,3,FALSE),VLOOKUP(A369,ÜRÜNLER!A:B,2,FALSE)),"")</f>
        <v>iQ700 İndüksiyonlu Ocak, 60cm, Çerçeveli, Siyah</v>
      </c>
      <c r="C369" s="19" t="s">
        <v>1883</v>
      </c>
      <c r="D369" s="19" t="s">
        <v>1883</v>
      </c>
      <c r="E369" s="20">
        <v>0</v>
      </c>
      <c r="F369" s="20">
        <v>0</v>
      </c>
      <c r="G369" s="20">
        <v>0</v>
      </c>
      <c r="H369" s="20">
        <v>0</v>
      </c>
      <c r="I369" s="21">
        <v>0</v>
      </c>
      <c r="J369" s="21">
        <v>0</v>
      </c>
      <c r="K369" s="20">
        <v>0</v>
      </c>
      <c r="L369" s="20">
        <v>0</v>
      </c>
      <c r="M369" s="21">
        <v>0</v>
      </c>
      <c r="N369" s="22">
        <f t="shared" si="25"/>
        <v>0</v>
      </c>
      <c r="O369" s="23">
        <v>1</v>
      </c>
      <c r="P369" s="24" t="s">
        <v>1883</v>
      </c>
      <c r="Q369" s="25">
        <v>90259.377809730591</v>
      </c>
      <c r="R369" s="33">
        <v>86372.610344239802</v>
      </c>
      <c r="S369" s="27">
        <f t="shared" si="26"/>
        <v>89827.514758009391</v>
      </c>
      <c r="T369" s="27">
        <f t="shared" si="29"/>
        <v>93282.419171778994</v>
      </c>
      <c r="U369" s="25" t="s">
        <v>1883</v>
      </c>
      <c r="V369" s="26" t="s">
        <v>1883</v>
      </c>
      <c r="W369" s="28">
        <v>500</v>
      </c>
    </row>
    <row r="370" spans="1:24">
      <c r="A370" s="17" t="s">
        <v>388</v>
      </c>
      <c r="B370" s="18" t="str">
        <f>IFERROR(HYPERLINK(VLOOKUP(A370,ÜRÜNLER!A:C,3,FALSE),VLOOKUP(A370,ÜRÜNLER!A:B,2,FALSE)),"")</f>
        <v>iQ700 studioLine İndüksiyonlu Ocak, 80cm, FlushMount, Siyah</v>
      </c>
      <c r="C370" s="19" t="s">
        <v>1883</v>
      </c>
      <c r="D370" s="19" t="s">
        <v>1883</v>
      </c>
      <c r="E370" s="20">
        <v>0</v>
      </c>
      <c r="F370" s="20">
        <v>0</v>
      </c>
      <c r="G370" s="20">
        <v>0</v>
      </c>
      <c r="H370" s="20">
        <v>0</v>
      </c>
      <c r="I370" s="21">
        <v>0</v>
      </c>
      <c r="J370" s="21">
        <v>0</v>
      </c>
      <c r="K370" s="20">
        <v>0</v>
      </c>
      <c r="L370" s="20">
        <v>0</v>
      </c>
      <c r="M370" s="21">
        <v>0</v>
      </c>
      <c r="N370" s="22">
        <f t="shared" si="25"/>
        <v>0</v>
      </c>
      <c r="O370" s="23" t="s">
        <v>1883</v>
      </c>
      <c r="P370" s="24" t="s">
        <v>1883</v>
      </c>
      <c r="Q370" s="25">
        <v>103256.58672406121</v>
      </c>
      <c r="R370" s="74">
        <v>88929.117752780003</v>
      </c>
      <c r="S370" s="27">
        <f t="shared" si="26"/>
        <v>92486.282462891206</v>
      </c>
      <c r="T370" s="27">
        <f t="shared" si="29"/>
        <v>96043.447173002409</v>
      </c>
      <c r="U370" s="25" t="s">
        <v>1883</v>
      </c>
      <c r="V370" s="26" t="s">
        <v>1883</v>
      </c>
      <c r="W370" s="28">
        <v>500</v>
      </c>
    </row>
    <row r="371" spans="1:24">
      <c r="A371" s="17" t="s">
        <v>389</v>
      </c>
      <c r="B371" s="18" t="str">
        <f>IFERROR(HYPERLINK(VLOOKUP(A371,ÜRÜNLER!A:C,3,FALSE),VLOOKUP(A371,ÜRÜNLER!A:B,2,FALSE)),"")</f>
        <v>iQ700 studioLine İndüksiyonlu Ocak, 80cm, FlushMount, Siyah</v>
      </c>
      <c r="C371" s="19" t="s">
        <v>1883</v>
      </c>
      <c r="D371" s="19">
        <v>1</v>
      </c>
      <c r="E371" s="20">
        <v>0</v>
      </c>
      <c r="F371" s="20">
        <v>0</v>
      </c>
      <c r="G371" s="20">
        <v>0</v>
      </c>
      <c r="H371" s="20">
        <v>1</v>
      </c>
      <c r="I371" s="21">
        <v>0</v>
      </c>
      <c r="J371" s="21">
        <v>0</v>
      </c>
      <c r="K371" s="20">
        <v>0</v>
      </c>
      <c r="L371" s="20">
        <v>0</v>
      </c>
      <c r="M371" s="21">
        <v>0</v>
      </c>
      <c r="N371" s="22">
        <f t="shared" si="25"/>
        <v>2</v>
      </c>
      <c r="O371" s="23" t="s">
        <v>1883</v>
      </c>
      <c r="P371" s="24" t="s">
        <v>1883</v>
      </c>
      <c r="Q371" s="25" t="s">
        <v>1884</v>
      </c>
      <c r="R371" s="49">
        <v>105000</v>
      </c>
      <c r="S371" s="27">
        <f t="shared" si="26"/>
        <v>109200</v>
      </c>
      <c r="T371" s="27">
        <f t="shared" si="29"/>
        <v>113400.00000000001</v>
      </c>
      <c r="U371" s="25" t="s">
        <v>1883</v>
      </c>
      <c r="V371" s="26" t="s">
        <v>1883</v>
      </c>
      <c r="W371" s="28">
        <v>500</v>
      </c>
    </row>
    <row r="372" spans="1:24">
      <c r="A372" s="17" t="s">
        <v>390</v>
      </c>
      <c r="B372" s="18" t="str">
        <f>IFERROR(HYPERLINK(VLOOKUP(A372,ÜRÜNLER!A:C,3,FALSE),VLOOKUP(A372,ÜRÜNLER!A:B,2,FALSE)),"")</f>
        <v>iQ700 Davlumbaz Entegreli İndüksiyonlu Ocak, 80cm, Çerçeveli, Siyah</v>
      </c>
      <c r="C372" s="19">
        <v>1</v>
      </c>
      <c r="D372" s="19" t="s">
        <v>1883</v>
      </c>
      <c r="E372" s="20">
        <v>0</v>
      </c>
      <c r="F372" s="20">
        <v>0</v>
      </c>
      <c r="G372" s="20">
        <v>0</v>
      </c>
      <c r="H372" s="20">
        <v>0</v>
      </c>
      <c r="I372" s="21">
        <v>0</v>
      </c>
      <c r="J372" s="21">
        <v>0</v>
      </c>
      <c r="K372" s="20">
        <v>0</v>
      </c>
      <c r="L372" s="20">
        <v>0</v>
      </c>
      <c r="M372" s="21">
        <v>0</v>
      </c>
      <c r="N372" s="22">
        <f t="shared" si="25"/>
        <v>1</v>
      </c>
      <c r="O372" s="23" t="s">
        <v>1883</v>
      </c>
      <c r="P372" s="24" t="s">
        <v>1883</v>
      </c>
      <c r="Q372" s="25">
        <v>114243.29641631573</v>
      </c>
      <c r="R372" s="33">
        <v>109323.72862805334</v>
      </c>
      <c r="S372" s="27">
        <f t="shared" si="26"/>
        <v>113696.67777317548</v>
      </c>
      <c r="T372" s="27">
        <f t="shared" si="29"/>
        <v>118069.62691829762</v>
      </c>
      <c r="U372" s="25" t="s">
        <v>1883</v>
      </c>
      <c r="V372" s="26" t="s">
        <v>1883</v>
      </c>
      <c r="W372" s="33"/>
    </row>
    <row r="373" spans="1:24">
      <c r="A373" s="17" t="s">
        <v>391</v>
      </c>
      <c r="B373" s="18" t="str">
        <f>IFERROR(HYPERLINK(VLOOKUP(A373,ÜRÜNLER!A:C,3,FALSE),VLOOKUP(A373,ÜRÜNLER!A:B,2,FALSE)),"")</f>
        <v>iQ700 studioLine Davlumbaz Entegreli İndüksiyonlu Ocak, 80cm, Çerçeveli, Siyah</v>
      </c>
      <c r="C373" s="19" t="s">
        <v>1883</v>
      </c>
      <c r="D373" s="19">
        <v>12</v>
      </c>
      <c r="E373" s="20">
        <v>0</v>
      </c>
      <c r="F373" s="20">
        <v>0</v>
      </c>
      <c r="G373" s="20">
        <v>0</v>
      </c>
      <c r="H373" s="20">
        <v>0</v>
      </c>
      <c r="I373" s="21">
        <v>0</v>
      </c>
      <c r="J373" s="21">
        <v>0</v>
      </c>
      <c r="K373" s="20">
        <v>0</v>
      </c>
      <c r="L373" s="20">
        <v>0</v>
      </c>
      <c r="M373" s="21">
        <v>0</v>
      </c>
      <c r="N373" s="22">
        <f t="shared" si="25"/>
        <v>12</v>
      </c>
      <c r="O373" s="23" t="s">
        <v>1883</v>
      </c>
      <c r="P373" s="24" t="s">
        <v>1883</v>
      </c>
      <c r="Q373" s="25">
        <v>91918.944809464607</v>
      </c>
      <c r="R373" s="34">
        <v>76525.820080606907</v>
      </c>
      <c r="S373" s="27">
        <f t="shared" si="26"/>
        <v>79586.85288383119</v>
      </c>
      <c r="T373" s="27">
        <f t="shared" si="29"/>
        <v>82647.885687055459</v>
      </c>
      <c r="U373" s="25" t="s">
        <v>1883</v>
      </c>
      <c r="V373" s="26" t="s">
        <v>1883</v>
      </c>
      <c r="W373" s="33"/>
    </row>
    <row r="374" spans="1:24">
      <c r="A374" s="51" t="s">
        <v>392</v>
      </c>
      <c r="B374" s="18" t="str">
        <f>IFERROR(HYPERLINK(VLOOKUP(A374,ÜRÜNLER!A:C,3,FALSE),VLOOKUP(A374,ÜRÜNLER!A:B,2,FALSE)),"")</f>
        <v>iQ300 İndüksiyonlu Ocak, 90cm, Çerçeveli, Siyah</v>
      </c>
      <c r="C374" s="19" t="s">
        <v>1883</v>
      </c>
      <c r="D374" s="19" t="s">
        <v>1883</v>
      </c>
      <c r="E374" s="20">
        <v>0</v>
      </c>
      <c r="F374" s="20">
        <v>1</v>
      </c>
      <c r="G374" s="20">
        <v>0</v>
      </c>
      <c r="H374" s="20">
        <v>0</v>
      </c>
      <c r="I374" s="21">
        <v>0</v>
      </c>
      <c r="J374" s="21">
        <v>1</v>
      </c>
      <c r="K374" s="20">
        <v>0</v>
      </c>
      <c r="L374" s="20">
        <v>1</v>
      </c>
      <c r="M374" s="21">
        <v>0</v>
      </c>
      <c r="N374" s="22">
        <f t="shared" si="25"/>
        <v>3</v>
      </c>
      <c r="O374" s="23">
        <v>1</v>
      </c>
      <c r="P374" s="24" t="s">
        <v>1883</v>
      </c>
      <c r="Q374" s="25">
        <v>119911.83047099356</v>
      </c>
      <c r="R374" s="32">
        <v>107920.6474238942</v>
      </c>
      <c r="S374" s="27">
        <f t="shared" si="26"/>
        <v>112237.47332084998</v>
      </c>
      <c r="T374" s="27">
        <f t="shared" si="29"/>
        <v>116554.29921780575</v>
      </c>
      <c r="U374" s="25" t="s">
        <v>1883</v>
      </c>
      <c r="V374" s="26" t="s">
        <v>1883</v>
      </c>
      <c r="W374" s="28">
        <v>500</v>
      </c>
    </row>
    <row r="375" spans="1:24">
      <c r="A375" s="51" t="s">
        <v>393</v>
      </c>
      <c r="B375" s="18" t="str">
        <f>IFERROR(HYPERLINK(VLOOKUP(A375,ÜRÜNLER!A:C,3,FALSE),VLOOKUP(A375,ÜRÜNLER!A:B,2,FALSE)),"")</f>
        <v>iQ700 studioLine İndüksiyonlu Ocak, 90cm, FlushMount, Siyah</v>
      </c>
      <c r="C375" s="19" t="s">
        <v>1883</v>
      </c>
      <c r="D375" s="19">
        <v>3</v>
      </c>
      <c r="E375" s="20">
        <v>0</v>
      </c>
      <c r="F375" s="20">
        <v>0</v>
      </c>
      <c r="G375" s="20">
        <v>0</v>
      </c>
      <c r="H375" s="20">
        <v>0</v>
      </c>
      <c r="I375" s="21">
        <v>0</v>
      </c>
      <c r="J375" s="21">
        <v>1</v>
      </c>
      <c r="K375" s="20">
        <v>0</v>
      </c>
      <c r="L375" s="20">
        <v>0</v>
      </c>
      <c r="M375" s="21">
        <v>0</v>
      </c>
      <c r="N375" s="22">
        <f t="shared" si="25"/>
        <v>4</v>
      </c>
      <c r="O375" s="23" t="s">
        <v>1883</v>
      </c>
      <c r="P375" s="24" t="s">
        <v>1883</v>
      </c>
      <c r="Q375" s="25">
        <v>153237.95939216475</v>
      </c>
      <c r="R375" s="74">
        <v>131975.27603152947</v>
      </c>
      <c r="S375" s="27">
        <f t="shared" si="26"/>
        <v>137254.28707279067</v>
      </c>
      <c r="T375" s="27">
        <f t="shared" si="29"/>
        <v>142533.29811405184</v>
      </c>
      <c r="U375" s="25" t="s">
        <v>1883</v>
      </c>
      <c r="V375" s="26" t="s">
        <v>1883</v>
      </c>
      <c r="W375" s="28">
        <v>500</v>
      </c>
    </row>
    <row r="376" spans="1:24">
      <c r="A376" s="17" t="s">
        <v>394</v>
      </c>
      <c r="B376" s="18" t="str">
        <f>IFERROR(HYPERLINK(VLOOKUP(A376,ÜRÜNLER!A:C,3,FALSE),VLOOKUP(A376,ÜRÜNLER!A:B,2,FALSE)),"")</f>
        <v>iQ700 İndüksiyonlu Ocak, 90cm, Çerçeveli, Siyah</v>
      </c>
      <c r="C376" s="19">
        <v>1</v>
      </c>
      <c r="D376" s="19" t="s">
        <v>1883</v>
      </c>
      <c r="E376" s="20">
        <v>0</v>
      </c>
      <c r="F376" s="20">
        <v>0</v>
      </c>
      <c r="G376" s="20">
        <v>0</v>
      </c>
      <c r="H376" s="20">
        <v>0</v>
      </c>
      <c r="I376" s="21">
        <v>0</v>
      </c>
      <c r="J376" s="21">
        <v>0</v>
      </c>
      <c r="K376" s="20">
        <v>0</v>
      </c>
      <c r="L376" s="20">
        <v>0</v>
      </c>
      <c r="M376" s="21">
        <v>0</v>
      </c>
      <c r="N376" s="22">
        <f t="shared" si="25"/>
        <v>1</v>
      </c>
      <c r="O376" s="23" t="s">
        <v>1883</v>
      </c>
      <c r="P376" s="24" t="s">
        <v>1883</v>
      </c>
      <c r="Q376" s="25">
        <v>128701.01644926865</v>
      </c>
      <c r="R376" s="33">
        <v>123158.86741556809</v>
      </c>
      <c r="S376" s="27">
        <f t="shared" si="26"/>
        <v>128085.22211219082</v>
      </c>
      <c r="T376" s="27">
        <f t="shared" si="29"/>
        <v>133011.57680881355</v>
      </c>
      <c r="U376" s="25" t="s">
        <v>1883</v>
      </c>
      <c r="V376" s="26" t="s">
        <v>1883</v>
      </c>
      <c r="W376" s="28">
        <v>500</v>
      </c>
    </row>
    <row r="377" spans="1:24">
      <c r="A377" s="51" t="s">
        <v>395</v>
      </c>
      <c r="B377" s="18" t="str">
        <f>IFERROR(HYPERLINK(VLOOKUP(A377,ÜRÜNLER!A:C,3,FALSE),VLOOKUP(A377,ÜRÜNLER!A:B,2,FALSE)),"")</f>
        <v>iQ500 İndüksiyonlu Ocak, 60cm, Çerçevesiz, Siyah</v>
      </c>
      <c r="C377" s="19" t="s">
        <v>1883</v>
      </c>
      <c r="D377" s="19" t="s">
        <v>1883</v>
      </c>
      <c r="E377" s="20">
        <v>0</v>
      </c>
      <c r="F377" s="20">
        <v>0</v>
      </c>
      <c r="G377" s="20">
        <v>0</v>
      </c>
      <c r="H377" s="20">
        <v>0</v>
      </c>
      <c r="I377" s="21">
        <v>0</v>
      </c>
      <c r="J377" s="21">
        <v>0</v>
      </c>
      <c r="K377" s="20">
        <v>0</v>
      </c>
      <c r="L377" s="20">
        <v>0</v>
      </c>
      <c r="M377" s="21">
        <v>0</v>
      </c>
      <c r="N377" s="22">
        <f t="shared" si="25"/>
        <v>0</v>
      </c>
      <c r="O377" s="23">
        <v>2</v>
      </c>
      <c r="P377" s="24" t="s">
        <v>1883</v>
      </c>
      <c r="Q377" s="25">
        <v>66329.843333033306</v>
      </c>
      <c r="R377" s="33">
        <v>63473.534289984025</v>
      </c>
      <c r="S377" s="27">
        <f t="shared" si="26"/>
        <v>66012.47566158339</v>
      </c>
      <c r="T377" s="27">
        <f t="shared" si="29"/>
        <v>68551.417033182748</v>
      </c>
      <c r="U377" s="25" t="s">
        <v>1883</v>
      </c>
      <c r="V377" s="26" t="s">
        <v>1883</v>
      </c>
      <c r="W377" s="26"/>
    </row>
    <row r="378" spans="1:24" ht="48">
      <c r="A378" s="93" t="s">
        <v>396</v>
      </c>
      <c r="B378" s="18"/>
      <c r="C378" s="19"/>
      <c r="D378" s="19"/>
      <c r="E378" s="20"/>
      <c r="F378" s="20"/>
      <c r="G378" s="20"/>
      <c r="H378" s="20"/>
      <c r="I378" s="21"/>
      <c r="J378" s="21"/>
      <c r="K378" s="20"/>
      <c r="L378" s="20"/>
      <c r="M378" s="21"/>
      <c r="N378" s="22"/>
      <c r="O378" s="23"/>
      <c r="P378" s="24" t="s">
        <v>1883</v>
      </c>
      <c r="R378" s="26"/>
      <c r="S378" s="27"/>
      <c r="T378" s="27"/>
      <c r="U378" s="25"/>
      <c r="V378" s="26"/>
      <c r="W378" s="26"/>
    </row>
    <row r="379" spans="1:24">
      <c r="A379" s="51" t="s">
        <v>397</v>
      </c>
      <c r="B379" s="18" t="str">
        <f>IFERROR(HYPERLINK(VLOOKUP(A379,ÜRÜNLER!A:C,3,FALSE),VLOOKUP(A379,ÜRÜNLER!A:B,2,FALSE)),"")</f>
        <v>iQ300 Davlumbaz Entegreli İndüksiyonlu Ocak, 80cm, Çerçevesiz, Siyah</v>
      </c>
      <c r="C379" s="19" t="s">
        <v>1883</v>
      </c>
      <c r="D379" s="19" t="s">
        <v>1883</v>
      </c>
      <c r="E379" s="20">
        <v>0</v>
      </c>
      <c r="F379" s="20">
        <v>0</v>
      </c>
      <c r="G379" s="20">
        <v>0</v>
      </c>
      <c r="H379" s="20">
        <v>0</v>
      </c>
      <c r="I379" s="21">
        <v>0</v>
      </c>
      <c r="J379" s="21">
        <v>0</v>
      </c>
      <c r="K379" s="20">
        <v>0</v>
      </c>
      <c r="L379" s="20">
        <v>0</v>
      </c>
      <c r="M379" s="21">
        <v>0</v>
      </c>
      <c r="N379" s="22">
        <f t="shared" si="25"/>
        <v>0</v>
      </c>
      <c r="O379" s="23" t="s">
        <v>1883</v>
      </c>
      <c r="P379" s="24" t="s">
        <v>1883</v>
      </c>
      <c r="Q379" s="25">
        <v>102908.28357598481</v>
      </c>
      <c r="R379" s="33">
        <v>98476.826388502217</v>
      </c>
      <c r="S379" s="27">
        <f t="shared" si="26"/>
        <v>102415.89944404231</v>
      </c>
      <c r="T379" s="27">
        <f t="shared" ref="T379:T382" si="30">R379*1.08</f>
        <v>106354.97249958241</v>
      </c>
      <c r="U379" s="25" t="s">
        <v>1883</v>
      </c>
      <c r="V379" s="26" t="s">
        <v>1883</v>
      </c>
      <c r="W379" s="33">
        <v>250</v>
      </c>
    </row>
    <row r="380" spans="1:24">
      <c r="A380" s="51" t="s">
        <v>398</v>
      </c>
      <c r="B380" s="18" t="str">
        <f>IFERROR(HYPERLINK(VLOOKUP(A380,ÜRÜNLER!A:C,3,FALSE),VLOOKUP(A380,ÜRÜNLER!A:B,2,FALSE)),"")</f>
        <v>iQ300 Davlumbaz Entegreli İndüksiyonlu Ocak, 80cm, Çerçevesiz, Siyah</v>
      </c>
      <c r="C380" s="19" t="s">
        <v>1883</v>
      </c>
      <c r="D380" s="19" t="s">
        <v>1883</v>
      </c>
      <c r="E380" s="20">
        <v>0</v>
      </c>
      <c r="F380" s="20">
        <v>0</v>
      </c>
      <c r="G380" s="20">
        <v>0</v>
      </c>
      <c r="H380" s="20">
        <v>0</v>
      </c>
      <c r="I380" s="21">
        <v>0</v>
      </c>
      <c r="J380" s="21">
        <v>0</v>
      </c>
      <c r="K380" s="20">
        <v>0</v>
      </c>
      <c r="L380" s="20">
        <v>0</v>
      </c>
      <c r="M380" s="21">
        <v>0</v>
      </c>
      <c r="N380" s="22">
        <f t="shared" si="25"/>
        <v>0</v>
      </c>
      <c r="O380" s="23" t="s">
        <v>1883</v>
      </c>
      <c r="P380" s="24" t="s">
        <v>1883</v>
      </c>
      <c r="Q380" s="25" t="s">
        <v>1884</v>
      </c>
      <c r="R380" s="26">
        <v>80000</v>
      </c>
      <c r="S380" s="27">
        <f t="shared" si="26"/>
        <v>83200</v>
      </c>
      <c r="T380" s="27">
        <f t="shared" si="30"/>
        <v>86400</v>
      </c>
      <c r="U380" s="25" t="s">
        <v>1883</v>
      </c>
      <c r="V380" s="26" t="s">
        <v>1883</v>
      </c>
      <c r="W380" s="28">
        <v>1000</v>
      </c>
    </row>
    <row r="381" spans="1:24">
      <c r="A381" s="51" t="s">
        <v>399</v>
      </c>
      <c r="B381" s="18" t="str">
        <f>IFERROR(HYPERLINK(VLOOKUP(A381,ÜRÜNLER!A:C,3,FALSE),VLOOKUP(A381,ÜRÜNLER!A:B,2,FALSE)),"")</f>
        <v>iQ700 Davlumbaz Entegreli İndüksiyonlu Ocak, 80cm, Çerçeveli, Siyah</v>
      </c>
      <c r="C381" s="19" t="s">
        <v>1883</v>
      </c>
      <c r="D381" s="19" t="s">
        <v>1883</v>
      </c>
      <c r="E381" s="20">
        <v>0</v>
      </c>
      <c r="F381" s="20">
        <v>0</v>
      </c>
      <c r="G381" s="20">
        <v>0</v>
      </c>
      <c r="H381" s="20">
        <v>0</v>
      </c>
      <c r="I381" s="21">
        <v>0</v>
      </c>
      <c r="J381" s="21">
        <v>0</v>
      </c>
      <c r="K381" s="20">
        <v>0</v>
      </c>
      <c r="L381" s="20">
        <v>0</v>
      </c>
      <c r="M381" s="21">
        <v>0</v>
      </c>
      <c r="N381" s="22">
        <f t="shared" si="25"/>
        <v>0</v>
      </c>
      <c r="O381" s="23">
        <v>2</v>
      </c>
      <c r="P381" s="24" t="s">
        <v>1883</v>
      </c>
      <c r="Q381" s="25">
        <v>124175.74283642248</v>
      </c>
      <c r="R381" s="33">
        <v>118828.46204442343</v>
      </c>
      <c r="S381" s="27">
        <f t="shared" si="26"/>
        <v>123581.60052620037</v>
      </c>
      <c r="T381" s="27">
        <f t="shared" si="30"/>
        <v>128334.73900797732</v>
      </c>
      <c r="U381" s="25" t="s">
        <v>1883</v>
      </c>
      <c r="V381" s="26" t="s">
        <v>1883</v>
      </c>
      <c r="W381" s="33">
        <v>250</v>
      </c>
    </row>
    <row r="382" spans="1:24">
      <c r="A382" s="51" t="s">
        <v>400</v>
      </c>
      <c r="B382" s="18" t="str">
        <f>IFERROR(HYPERLINK(VLOOKUP(A382,ÜRÜNLER!A:C,3,FALSE),VLOOKUP(A382,ÜRÜNLER!A:B,2,FALSE)),"")</f>
        <v>iQ700 studioLine Davlumbaz Entegreli İndüksiyonlu Ocak, 80cm, Çerçeveli, Siyah</v>
      </c>
      <c r="C382" s="19" t="s">
        <v>1883</v>
      </c>
      <c r="D382" s="19">
        <v>4</v>
      </c>
      <c r="E382" s="20">
        <v>0</v>
      </c>
      <c r="F382" s="20">
        <v>0</v>
      </c>
      <c r="G382" s="20">
        <v>0</v>
      </c>
      <c r="H382" s="20">
        <v>1</v>
      </c>
      <c r="I382" s="21">
        <v>0</v>
      </c>
      <c r="J382" s="21">
        <v>0</v>
      </c>
      <c r="K382" s="20">
        <v>0</v>
      </c>
      <c r="L382" s="20">
        <v>0</v>
      </c>
      <c r="M382" s="21">
        <v>0</v>
      </c>
      <c r="N382" s="22">
        <f t="shared" si="25"/>
        <v>5</v>
      </c>
      <c r="O382" s="23" t="s">
        <v>1883</v>
      </c>
      <c r="P382" s="24" t="s">
        <v>1883</v>
      </c>
      <c r="Q382" s="25">
        <v>157997.84189718965</v>
      </c>
      <c r="R382" s="74">
        <v>136074.69637078536</v>
      </c>
      <c r="S382" s="27">
        <f t="shared" si="26"/>
        <v>141517.68422561677</v>
      </c>
      <c r="T382" s="27">
        <f t="shared" si="30"/>
        <v>146960.67208044819</v>
      </c>
      <c r="U382" s="25" t="s">
        <v>1883</v>
      </c>
      <c r="V382" s="26" t="s">
        <v>1883</v>
      </c>
      <c r="W382" s="33">
        <v>500</v>
      </c>
    </row>
    <row r="383" spans="1:24" s="72" customFormat="1" ht="31.5">
      <c r="A383" s="79" t="s">
        <v>401</v>
      </c>
      <c r="B383" s="18"/>
      <c r="C383" s="19"/>
      <c r="D383" s="19"/>
      <c r="E383" s="20"/>
      <c r="F383" s="20"/>
      <c r="G383" s="20"/>
      <c r="H383" s="20"/>
      <c r="I383" s="21"/>
      <c r="J383" s="21"/>
      <c r="K383" s="20"/>
      <c r="L383" s="20"/>
      <c r="M383" s="21"/>
      <c r="N383" s="22"/>
      <c r="O383" s="23"/>
      <c r="P383" s="24" t="s">
        <v>1883</v>
      </c>
      <c r="Q383" s="25"/>
      <c r="R383" s="26"/>
      <c r="S383" s="27"/>
      <c r="T383" s="27"/>
      <c r="U383" s="25"/>
      <c r="V383" s="26"/>
      <c r="W383" s="26"/>
      <c r="X383" s="29"/>
    </row>
    <row r="384" spans="1:24">
      <c r="A384" s="94" t="s">
        <v>402</v>
      </c>
      <c r="B384" s="18" t="str">
        <f>IFERROR(HYPERLINK(VLOOKUP(A384,ÜRÜNLER!A:C,3,FALSE),VLOOKUP(A384,ÜRÜNLER!A:B,2,FALSE)),"")</f>
        <v>EQ500 iAroma Tam Otomatik Kahve Makinesi, Piano Black</v>
      </c>
      <c r="C384" s="19" t="s">
        <v>1883</v>
      </c>
      <c r="D384" s="19" t="s">
        <v>1883</v>
      </c>
      <c r="E384" s="20">
        <v>0</v>
      </c>
      <c r="F384" s="20">
        <v>5</v>
      </c>
      <c r="G384" s="20">
        <v>0</v>
      </c>
      <c r="H384" s="20">
        <v>0</v>
      </c>
      <c r="I384" s="21">
        <v>0</v>
      </c>
      <c r="J384" s="21">
        <v>0</v>
      </c>
      <c r="K384" s="20">
        <v>0</v>
      </c>
      <c r="L384" s="20">
        <v>0</v>
      </c>
      <c r="M384" s="21">
        <v>0</v>
      </c>
      <c r="N384" s="22">
        <f t="shared" si="25"/>
        <v>5</v>
      </c>
      <c r="O384" s="23"/>
      <c r="P384" s="24" t="s">
        <v>1883</v>
      </c>
      <c r="Q384" s="25">
        <v>30453.698863636353</v>
      </c>
      <c r="R384" s="26">
        <v>30453.698863636353</v>
      </c>
      <c r="S384" s="27">
        <f t="shared" si="26"/>
        <v>31671.84681818181</v>
      </c>
      <c r="T384" s="27">
        <f t="shared" ref="T384:T418" si="31">R384*1.08</f>
        <v>32889.994772727267</v>
      </c>
      <c r="U384" s="25" t="s">
        <v>1883</v>
      </c>
      <c r="V384" s="26" t="s">
        <v>1883</v>
      </c>
      <c r="W384" s="28"/>
    </row>
    <row r="385" spans="1:25">
      <c r="A385" s="94" t="s">
        <v>403</v>
      </c>
      <c r="B385" s="18" t="str">
        <f>IFERROR(HYPERLINK(VLOOKUP(A385,ÜRÜNLER!A:C,3,FALSE),VLOOKUP(A385,ÜRÜNLER!A:B,2,FALSE)),"")</f>
        <v>EQ500 iAroma Tam Otomatik Kahve Makinesi, Piano Black</v>
      </c>
      <c r="C385" s="19" t="s">
        <v>1883</v>
      </c>
      <c r="D385" s="19" t="s">
        <v>1883</v>
      </c>
      <c r="E385" s="20">
        <v>0</v>
      </c>
      <c r="F385" s="20">
        <v>5</v>
      </c>
      <c r="G385" s="20">
        <v>0</v>
      </c>
      <c r="H385" s="20">
        <v>0</v>
      </c>
      <c r="I385" s="21">
        <v>0</v>
      </c>
      <c r="J385" s="21">
        <v>0</v>
      </c>
      <c r="K385" s="20">
        <v>0</v>
      </c>
      <c r="L385" s="20">
        <v>0</v>
      </c>
      <c r="M385" s="21">
        <v>0</v>
      </c>
      <c r="N385" s="22">
        <f t="shared" si="25"/>
        <v>5</v>
      </c>
      <c r="O385" s="23"/>
      <c r="P385" s="24" t="s">
        <v>1883</v>
      </c>
      <c r="Q385" s="25">
        <v>32923.585227272721</v>
      </c>
      <c r="R385" s="26">
        <v>32923.585227272721</v>
      </c>
      <c r="S385" s="27">
        <f t="shared" si="26"/>
        <v>34240.528636363633</v>
      </c>
      <c r="T385" s="27">
        <f t="shared" si="31"/>
        <v>35557.472045454539</v>
      </c>
      <c r="U385" s="25" t="s">
        <v>1883</v>
      </c>
      <c r="V385" s="26" t="s">
        <v>1883</v>
      </c>
      <c r="W385" s="28"/>
    </row>
    <row r="386" spans="1:25">
      <c r="A386" s="17" t="s">
        <v>404</v>
      </c>
      <c r="B386" s="18" t="str">
        <f>IFERROR(HYPERLINK(VLOOKUP(A386,ÜRÜNLER!A:C,3,FALSE),VLOOKUP(A386,ÜRÜNLER!A:B,2,FALSE)),"")</f>
        <v>iQ700 Ankastre Tam Otomatik Kahve Makinesi, Siyah/Inox</v>
      </c>
      <c r="C386" s="19" t="s">
        <v>1883</v>
      </c>
      <c r="D386" s="19" t="s">
        <v>1883</v>
      </c>
      <c r="E386" s="20">
        <v>0</v>
      </c>
      <c r="F386" s="20">
        <v>0</v>
      </c>
      <c r="G386" s="20">
        <v>0</v>
      </c>
      <c r="H386" s="20">
        <v>0</v>
      </c>
      <c r="I386" s="21">
        <v>0</v>
      </c>
      <c r="J386" s="21">
        <v>0</v>
      </c>
      <c r="K386" s="20">
        <v>0</v>
      </c>
      <c r="L386" s="20">
        <v>1</v>
      </c>
      <c r="M386" s="21">
        <v>0</v>
      </c>
      <c r="N386" s="22">
        <f t="shared" si="25"/>
        <v>1</v>
      </c>
      <c r="O386" s="23" t="s">
        <v>1883</v>
      </c>
      <c r="P386" s="24" t="s">
        <v>1883</v>
      </c>
      <c r="Q386" s="25" t="s">
        <v>1884</v>
      </c>
      <c r="R386" s="26">
        <v>120000</v>
      </c>
      <c r="S386" s="27">
        <f t="shared" si="26"/>
        <v>124800</v>
      </c>
      <c r="T386" s="27">
        <f t="shared" si="31"/>
        <v>129600.00000000001</v>
      </c>
      <c r="U386" s="25" t="s">
        <v>1883</v>
      </c>
      <c r="V386" s="26" t="s">
        <v>1883</v>
      </c>
      <c r="W386" s="28">
        <v>1000</v>
      </c>
    </row>
    <row r="387" spans="1:25">
      <c r="A387" s="17" t="s">
        <v>405</v>
      </c>
      <c r="B387" s="18" t="str">
        <f>IFERROR(HYPERLINK(VLOOKUP(A387,ÜRÜNLER!A:C,3,FALSE),VLOOKUP(A387,ÜRÜNLER!A:B,2,FALSE)),"")</f>
        <v>iQ700 Ankastre Tam Otomatik Kahve Makinesi, Siyah</v>
      </c>
      <c r="C387" s="19" t="s">
        <v>1883</v>
      </c>
      <c r="D387" s="19" t="s">
        <v>1883</v>
      </c>
      <c r="E387" s="20">
        <v>0</v>
      </c>
      <c r="F387" s="20">
        <v>1</v>
      </c>
      <c r="G387" s="20">
        <v>0</v>
      </c>
      <c r="H387" s="20">
        <v>0</v>
      </c>
      <c r="I387" s="21">
        <v>0</v>
      </c>
      <c r="J387" s="21">
        <v>0</v>
      </c>
      <c r="K387" s="20">
        <v>0</v>
      </c>
      <c r="L387" s="20">
        <v>0</v>
      </c>
      <c r="M387" s="21">
        <v>0</v>
      </c>
      <c r="N387" s="22">
        <f t="shared" si="25"/>
        <v>1</v>
      </c>
      <c r="O387" s="23" t="s">
        <v>1883</v>
      </c>
      <c r="P387" s="24" t="s">
        <v>1883</v>
      </c>
      <c r="Q387" s="25">
        <v>171392.54283705476</v>
      </c>
      <c r="R387" s="33">
        <v>165596.65974594664</v>
      </c>
      <c r="S387" s="27">
        <f t="shared" si="26"/>
        <v>172220.52613578452</v>
      </c>
      <c r="T387" s="27">
        <f t="shared" si="31"/>
        <v>178844.39252562239</v>
      </c>
      <c r="U387" s="25" t="s">
        <v>1883</v>
      </c>
      <c r="V387" s="26" t="s">
        <v>1883</v>
      </c>
      <c r="W387" s="28">
        <v>1000</v>
      </c>
    </row>
    <row r="388" spans="1:25">
      <c r="A388" s="17" t="s">
        <v>406</v>
      </c>
      <c r="B388" s="18" t="str">
        <f>IFERROR(HYPERLINK(VLOOKUP(A388,ÜRÜNLER!A:C,3,FALSE),VLOOKUP(A388,ÜRÜNLER!A:B,2,FALSE)),"")</f>
        <v>iQ700 studioLine Ankastre Tam Otomatik Kahve Makinesi, Siyah</v>
      </c>
      <c r="C388" s="19" t="s">
        <v>1883</v>
      </c>
      <c r="D388" s="19">
        <v>5</v>
      </c>
      <c r="E388" s="20">
        <v>0</v>
      </c>
      <c r="F388" s="20">
        <v>0</v>
      </c>
      <c r="G388" s="20">
        <v>0</v>
      </c>
      <c r="H388" s="20">
        <v>1</v>
      </c>
      <c r="I388" s="21">
        <v>0</v>
      </c>
      <c r="J388" s="21">
        <v>0</v>
      </c>
      <c r="K388" s="20">
        <v>0</v>
      </c>
      <c r="L388" s="20">
        <v>0</v>
      </c>
      <c r="M388" s="21">
        <v>0</v>
      </c>
      <c r="N388" s="22">
        <f t="shared" si="25"/>
        <v>6</v>
      </c>
      <c r="O388" s="23" t="s">
        <v>1883</v>
      </c>
      <c r="P388" s="24" t="s">
        <v>1883</v>
      </c>
      <c r="Q388" s="25">
        <v>192727.9363833192</v>
      </c>
      <c r="R388" s="74">
        <v>167589.50989853847</v>
      </c>
      <c r="S388" s="27">
        <f t="shared" si="26"/>
        <v>174293.09029448</v>
      </c>
      <c r="T388" s="27">
        <f t="shared" si="31"/>
        <v>180996.67069042157</v>
      </c>
      <c r="U388" s="25" t="s">
        <v>1883</v>
      </c>
      <c r="V388" s="26" t="s">
        <v>1883</v>
      </c>
      <c r="W388" s="33">
        <v>500</v>
      </c>
    </row>
    <row r="389" spans="1:25">
      <c r="A389" s="37" t="s">
        <v>407</v>
      </c>
      <c r="B389" s="18" t="str">
        <f>IFERROR(HYPERLINK(VLOOKUP(A389,ÜRÜNLER!A:C,3,FALSE),VLOOKUP(A389,ÜRÜNLER!A:B,2,FALSE)),"")</f>
        <v>EQ6 plus s100 Tam Otomatik Kahve Makinesi, Metalik Elmas Titanyum</v>
      </c>
      <c r="C389" s="19" t="s">
        <v>1883</v>
      </c>
      <c r="D389" s="19" t="s">
        <v>1883</v>
      </c>
      <c r="E389" s="20">
        <v>0</v>
      </c>
      <c r="F389" s="20">
        <v>0</v>
      </c>
      <c r="G389" s="20">
        <v>0</v>
      </c>
      <c r="H389" s="20">
        <v>0</v>
      </c>
      <c r="I389" s="21">
        <v>5</v>
      </c>
      <c r="J389" s="21">
        <v>2</v>
      </c>
      <c r="K389" s="20">
        <v>0</v>
      </c>
      <c r="L389" s="20">
        <v>2</v>
      </c>
      <c r="M389" s="21">
        <v>1</v>
      </c>
      <c r="N389" s="22">
        <f t="shared" si="25"/>
        <v>10</v>
      </c>
      <c r="O389" s="23">
        <v>1</v>
      </c>
      <c r="P389" s="24" t="s">
        <v>27</v>
      </c>
      <c r="Q389" s="25">
        <v>31899.649935365742</v>
      </c>
      <c r="R389" s="91">
        <v>30304.667438597455</v>
      </c>
      <c r="S389" s="27">
        <f t="shared" si="26"/>
        <v>31516.854136141355</v>
      </c>
      <c r="T389" s="27">
        <f t="shared" si="31"/>
        <v>32729.040833685252</v>
      </c>
      <c r="U389" s="25" t="s">
        <v>1883</v>
      </c>
      <c r="V389" s="26" t="s">
        <v>1883</v>
      </c>
      <c r="W389" s="33">
        <v>500</v>
      </c>
      <c r="Y389" s="30" t="s">
        <v>408</v>
      </c>
    </row>
    <row r="390" spans="1:25">
      <c r="A390" s="37" t="s">
        <v>409</v>
      </c>
      <c r="B390" s="18" t="str">
        <f>IFERROR(HYPERLINK(VLOOKUP(A390,ÜRÜNLER!A:C,3,FALSE),VLOOKUP(A390,ÜRÜNLER!A:B,2,FALSE)),"")</f>
        <v>EQ6 plus s100 Tam Otomatik Kahve Makinesi, Metalik Safir Siyahı</v>
      </c>
      <c r="C390" s="19" t="s">
        <v>1883</v>
      </c>
      <c r="D390" s="19" t="s">
        <v>1883</v>
      </c>
      <c r="E390" s="20">
        <v>0</v>
      </c>
      <c r="F390" s="20">
        <v>0</v>
      </c>
      <c r="G390" s="20">
        <v>0</v>
      </c>
      <c r="H390" s="20">
        <v>0</v>
      </c>
      <c r="I390" s="21">
        <v>0</v>
      </c>
      <c r="J390" s="21">
        <v>0</v>
      </c>
      <c r="K390" s="20">
        <v>1</v>
      </c>
      <c r="L390" s="20">
        <v>0</v>
      </c>
      <c r="M390" s="21">
        <v>0</v>
      </c>
      <c r="N390" s="22">
        <f t="shared" si="25"/>
        <v>1</v>
      </c>
      <c r="O390" s="23" t="s">
        <v>1883</v>
      </c>
      <c r="P390" s="24" t="s">
        <v>1883</v>
      </c>
      <c r="Q390" s="25" t="s">
        <v>1884</v>
      </c>
      <c r="R390" s="26">
        <v>40000</v>
      </c>
      <c r="S390" s="27">
        <f t="shared" si="26"/>
        <v>41600</v>
      </c>
      <c r="T390" s="27">
        <f t="shared" si="31"/>
        <v>43200</v>
      </c>
      <c r="U390" s="25" t="s">
        <v>1883</v>
      </c>
      <c r="V390" s="26" t="s">
        <v>1883</v>
      </c>
      <c r="W390" s="33">
        <v>500</v>
      </c>
    </row>
    <row r="391" spans="1:25">
      <c r="A391" s="37" t="s">
        <v>410</v>
      </c>
      <c r="B391" s="18" t="str">
        <f>IFERROR(HYPERLINK(VLOOKUP(A391,ÜRÜNLER!A:C,3,FALSE),VLOOKUP(A391,ÜRÜNLER!A:B,2,FALSE)),"")</f>
        <v>EQ6 plus s300 Tam Otomatik Kahve Makinesi, Gümüş</v>
      </c>
      <c r="C391" s="19" t="s">
        <v>1883</v>
      </c>
      <c r="D391" s="19" t="s">
        <v>1883</v>
      </c>
      <c r="E391" s="20">
        <v>0</v>
      </c>
      <c r="F391" s="20">
        <v>1</v>
      </c>
      <c r="G391" s="20">
        <v>0</v>
      </c>
      <c r="H391" s="20">
        <v>0</v>
      </c>
      <c r="I391" s="21">
        <v>0</v>
      </c>
      <c r="J391" s="21">
        <v>1</v>
      </c>
      <c r="K391" s="20">
        <v>0</v>
      </c>
      <c r="L391" s="20">
        <v>0</v>
      </c>
      <c r="M391" s="21">
        <v>1</v>
      </c>
      <c r="N391" s="22">
        <f t="shared" ref="N391:N454" si="32">SUM(C391:M391)</f>
        <v>3</v>
      </c>
      <c r="O391" s="23" t="s">
        <v>1883</v>
      </c>
      <c r="P391" s="24" t="s">
        <v>1883</v>
      </c>
      <c r="Q391" s="25" t="s">
        <v>1884</v>
      </c>
      <c r="R391" s="26">
        <v>40000</v>
      </c>
      <c r="S391" s="27">
        <f t="shared" ref="S391:S418" si="33">R391*1.04</f>
        <v>41600</v>
      </c>
      <c r="T391" s="27">
        <f t="shared" si="31"/>
        <v>43200</v>
      </c>
      <c r="U391" s="25" t="s">
        <v>1883</v>
      </c>
      <c r="V391" s="26" t="s">
        <v>1883</v>
      </c>
      <c r="W391" s="33">
        <v>500</v>
      </c>
    </row>
    <row r="392" spans="1:25">
      <c r="A392" s="37" t="s">
        <v>411</v>
      </c>
      <c r="B392" s="18" t="str">
        <f>IFERROR(HYPERLINK(VLOOKUP(A392,ÜRÜNLER!A:C,3,FALSE),VLOOKUP(A392,ÜRÜNLER!A:B,2,FALSE)),"")</f>
        <v>EQ6 plus s500 Tam Otomatik Kahve Makinesi, Sabah Sisi Grisi</v>
      </c>
      <c r="C392" s="19">
        <v>51</v>
      </c>
      <c r="D392" s="19" t="s">
        <v>1883</v>
      </c>
      <c r="E392" s="20">
        <v>0</v>
      </c>
      <c r="F392" s="20">
        <v>8</v>
      </c>
      <c r="G392" s="20">
        <v>0</v>
      </c>
      <c r="H392" s="20">
        <v>0</v>
      </c>
      <c r="I392" s="21">
        <v>5</v>
      </c>
      <c r="J392" s="21">
        <v>0</v>
      </c>
      <c r="K392" s="20">
        <v>0</v>
      </c>
      <c r="L392" s="20">
        <v>2</v>
      </c>
      <c r="M392" s="21">
        <v>2</v>
      </c>
      <c r="N392" s="22">
        <f t="shared" si="32"/>
        <v>68</v>
      </c>
      <c r="O392" s="23">
        <v>1</v>
      </c>
      <c r="P392" s="24" t="s">
        <v>27</v>
      </c>
      <c r="Q392" s="25">
        <v>47765.802434165656</v>
      </c>
      <c r="R392" s="91">
        <v>45377.512312457373</v>
      </c>
      <c r="S392" s="27">
        <f t="shared" si="33"/>
        <v>47192.612804955672</v>
      </c>
      <c r="T392" s="27">
        <f t="shared" si="31"/>
        <v>49007.713297453964</v>
      </c>
      <c r="U392" s="25" t="s">
        <v>1883</v>
      </c>
      <c r="V392" s="26" t="s">
        <v>1883</v>
      </c>
      <c r="W392" s="33">
        <v>500</v>
      </c>
    </row>
    <row r="393" spans="1:25">
      <c r="A393" s="37" t="s">
        <v>412</v>
      </c>
      <c r="B393" s="18" t="str">
        <f>IFERROR(HYPERLINK(VLOOKUP(A393,ÜRÜNLER!A:C,3,FALSE),VLOOKUP(A393,ÜRÜNLER!A:B,2,FALSE)),"")</f>
        <v>EQ6 plus s700 Tam Otomatik Kahve Makinesi, DarkInox/Siyah</v>
      </c>
      <c r="C393" s="19">
        <v>31</v>
      </c>
      <c r="D393" s="19" t="s">
        <v>1883</v>
      </c>
      <c r="E393" s="20">
        <v>0</v>
      </c>
      <c r="F393" s="20">
        <v>27</v>
      </c>
      <c r="G393" s="20">
        <v>0</v>
      </c>
      <c r="H393" s="20">
        <v>0</v>
      </c>
      <c r="I393" s="21">
        <v>0</v>
      </c>
      <c r="J393" s="21">
        <v>1</v>
      </c>
      <c r="K393" s="20">
        <v>1</v>
      </c>
      <c r="L393" s="20">
        <v>1</v>
      </c>
      <c r="M393" s="21">
        <v>3</v>
      </c>
      <c r="N393" s="22">
        <f t="shared" si="32"/>
        <v>64</v>
      </c>
      <c r="O393" s="23" t="s">
        <v>1883</v>
      </c>
      <c r="P393" s="24" t="s">
        <v>27</v>
      </c>
      <c r="Q393" s="25">
        <v>51712.873859836036</v>
      </c>
      <c r="R393" s="91">
        <v>49127.230166844238</v>
      </c>
      <c r="S393" s="27">
        <f t="shared" si="33"/>
        <v>51092.31937351801</v>
      </c>
      <c r="T393" s="27">
        <f t="shared" si="31"/>
        <v>53057.408580191783</v>
      </c>
      <c r="U393" s="25" t="s">
        <v>1883</v>
      </c>
      <c r="V393" s="26" t="s">
        <v>1883</v>
      </c>
      <c r="W393" s="33">
        <v>500</v>
      </c>
    </row>
    <row r="394" spans="1:25">
      <c r="A394" s="51" t="s">
        <v>413</v>
      </c>
      <c r="B394" s="18" t="str">
        <f>IFERROR(HYPERLINK(VLOOKUP(A394,ÜRÜNLER!A:C,3,FALSE),VLOOKUP(A394,ÜRÜNLER!A:B,2,FALSE)),"")</f>
        <v>EQ300 Tam Otomatik Kahve Makinesi, Siyah</v>
      </c>
      <c r="C394" s="19" t="s">
        <v>1883</v>
      </c>
      <c r="D394" s="19" t="s">
        <v>1883</v>
      </c>
      <c r="E394" s="20">
        <v>0</v>
      </c>
      <c r="F394" s="20">
        <v>0</v>
      </c>
      <c r="G394" s="20">
        <v>0</v>
      </c>
      <c r="H394" s="20">
        <v>0</v>
      </c>
      <c r="I394" s="21">
        <v>1</v>
      </c>
      <c r="J394" s="21">
        <v>0</v>
      </c>
      <c r="K394" s="20">
        <v>0</v>
      </c>
      <c r="L394" s="20">
        <v>2</v>
      </c>
      <c r="M394" s="21">
        <v>0</v>
      </c>
      <c r="N394" s="22">
        <f t="shared" si="32"/>
        <v>3</v>
      </c>
      <c r="O394" s="23" t="s">
        <v>1883</v>
      </c>
      <c r="P394" s="24" t="s">
        <v>1883</v>
      </c>
      <c r="Q394" s="25" t="s">
        <v>1884</v>
      </c>
      <c r="R394" s="26">
        <v>40000</v>
      </c>
      <c r="S394" s="27">
        <f t="shared" si="33"/>
        <v>41600</v>
      </c>
      <c r="T394" s="27">
        <f t="shared" si="31"/>
        <v>43200</v>
      </c>
      <c r="U394" s="25" t="s">
        <v>1883</v>
      </c>
      <c r="V394" s="26" t="s">
        <v>1883</v>
      </c>
      <c r="W394" s="33">
        <v>500</v>
      </c>
    </row>
    <row r="395" spans="1:25">
      <c r="A395" s="51" t="s">
        <v>414</v>
      </c>
      <c r="B395" s="18" t="str">
        <f>IFERROR(HYPERLINK(VLOOKUP(A395,ÜRÜNLER!A:C,3,FALSE),VLOOKUP(A395,ÜRÜNLER!A:B,2,FALSE)),"")</f>
        <v>EQ300 Tam Otomatik Kahve Makinesi, Şampanya/Siyah</v>
      </c>
      <c r="C395" s="19" t="s">
        <v>1883</v>
      </c>
      <c r="D395" s="19" t="s">
        <v>1883</v>
      </c>
      <c r="E395" s="20">
        <v>0</v>
      </c>
      <c r="F395" s="20">
        <v>0</v>
      </c>
      <c r="G395" s="20">
        <v>0</v>
      </c>
      <c r="H395" s="20">
        <v>0</v>
      </c>
      <c r="I395" s="21">
        <v>0</v>
      </c>
      <c r="J395" s="21">
        <v>1</v>
      </c>
      <c r="K395" s="20">
        <v>0</v>
      </c>
      <c r="L395" s="20">
        <v>2</v>
      </c>
      <c r="M395" s="21">
        <v>1</v>
      </c>
      <c r="N395" s="22">
        <f t="shared" si="32"/>
        <v>4</v>
      </c>
      <c r="O395" s="23" t="s">
        <v>1883</v>
      </c>
      <c r="P395" s="24" t="s">
        <v>1883</v>
      </c>
      <c r="Q395" s="25" t="s">
        <v>1884</v>
      </c>
      <c r="R395" s="26">
        <v>40000</v>
      </c>
      <c r="S395" s="27">
        <f t="shared" si="33"/>
        <v>41600</v>
      </c>
      <c r="T395" s="27">
        <f t="shared" si="31"/>
        <v>43200</v>
      </c>
      <c r="U395" s="25" t="s">
        <v>1883</v>
      </c>
      <c r="V395" s="26" t="s">
        <v>1883</v>
      </c>
      <c r="W395" s="26">
        <v>500</v>
      </c>
    </row>
    <row r="396" spans="1:25">
      <c r="A396" s="51" t="s">
        <v>415</v>
      </c>
      <c r="B396" s="18" t="str">
        <f>IFERROR(HYPERLINK(VLOOKUP(A396,ÜRÜNLER!A:C,3,FALSE),VLOOKUP(A396,ÜRÜNLER!A:B,2,FALSE)),"")</f>
        <v>EQ9 s300 Tam Otomatik Kahve Makinesi, Siyah</v>
      </c>
      <c r="C396" s="19" t="s">
        <v>1883</v>
      </c>
      <c r="D396" s="19" t="s">
        <v>1883</v>
      </c>
      <c r="E396" s="20">
        <v>0</v>
      </c>
      <c r="F396" s="20">
        <v>7</v>
      </c>
      <c r="G396" s="20">
        <v>0</v>
      </c>
      <c r="H396" s="20">
        <v>0</v>
      </c>
      <c r="I396" s="21">
        <v>1</v>
      </c>
      <c r="J396" s="21">
        <v>0</v>
      </c>
      <c r="K396" s="20">
        <v>0</v>
      </c>
      <c r="L396" s="20">
        <v>5</v>
      </c>
      <c r="M396" s="21">
        <v>1</v>
      </c>
      <c r="N396" s="22">
        <f t="shared" si="32"/>
        <v>14</v>
      </c>
      <c r="O396" s="23" t="s">
        <v>1883</v>
      </c>
      <c r="P396" s="24" t="s">
        <v>1883</v>
      </c>
      <c r="Q396" s="25" t="s">
        <v>1884</v>
      </c>
      <c r="R396" s="26">
        <v>65000</v>
      </c>
      <c r="S396" s="27">
        <f t="shared" si="33"/>
        <v>67600</v>
      </c>
      <c r="T396" s="27">
        <f t="shared" si="31"/>
        <v>70200</v>
      </c>
      <c r="U396" s="25" t="s">
        <v>1883</v>
      </c>
      <c r="V396" s="26" t="s">
        <v>1883</v>
      </c>
      <c r="W396" s="26">
        <v>500</v>
      </c>
    </row>
    <row r="397" spans="1:25">
      <c r="A397" s="51" t="s">
        <v>416</v>
      </c>
      <c r="B397" s="18" t="str">
        <f>IFERROR(HYPERLINK(VLOOKUP(A397,ÜRÜNLER!A:C,3,FALSE),VLOOKUP(A397,ÜRÜNLER!A:B,2,FALSE)),"")</f>
        <v>EQ9 plus connect s500 Tam Otomatik Kahve Makinesi, Siyah</v>
      </c>
      <c r="C397" s="19" t="s">
        <v>1883</v>
      </c>
      <c r="D397" s="19" t="s">
        <v>1883</v>
      </c>
      <c r="E397" s="20">
        <v>0</v>
      </c>
      <c r="F397" s="20">
        <v>2</v>
      </c>
      <c r="G397" s="20">
        <v>0</v>
      </c>
      <c r="H397" s="20">
        <v>0</v>
      </c>
      <c r="I397" s="21">
        <v>1</v>
      </c>
      <c r="J397" s="21">
        <v>1</v>
      </c>
      <c r="K397" s="20">
        <v>0</v>
      </c>
      <c r="L397" s="20">
        <v>2</v>
      </c>
      <c r="M397" s="21">
        <v>1</v>
      </c>
      <c r="N397" s="22">
        <f t="shared" si="32"/>
        <v>7</v>
      </c>
      <c r="O397" s="23" t="s">
        <v>1883</v>
      </c>
      <c r="P397" s="24" t="s">
        <v>1883</v>
      </c>
      <c r="Q397" s="25" t="s">
        <v>1884</v>
      </c>
      <c r="R397" s="26">
        <v>65000</v>
      </c>
      <c r="S397" s="27">
        <f t="shared" si="33"/>
        <v>67600</v>
      </c>
      <c r="T397" s="27">
        <f t="shared" si="31"/>
        <v>70200</v>
      </c>
      <c r="U397" s="25" t="s">
        <v>1883</v>
      </c>
      <c r="V397" s="26" t="s">
        <v>1883</v>
      </c>
      <c r="W397" s="26">
        <v>500</v>
      </c>
    </row>
    <row r="398" spans="1:25">
      <c r="A398" s="94" t="s">
        <v>417</v>
      </c>
      <c r="B398" s="18" t="str">
        <f>IFERROR(HYPERLINK(VLOOKUP(A398,ÜRÜNLER!A:C,3,FALSE),VLOOKUP(A398,ÜRÜNLER!A:B,2,FALSE)),"")</f>
        <v>EQ500 classic Tam Otomatik Kahve Makinesi, Piyano Siyahı</v>
      </c>
      <c r="C398" s="19" t="s">
        <v>1883</v>
      </c>
      <c r="D398" s="19" t="s">
        <v>1883</v>
      </c>
      <c r="E398" s="20">
        <v>0</v>
      </c>
      <c r="F398" s="20">
        <v>2</v>
      </c>
      <c r="G398" s="20">
        <v>0</v>
      </c>
      <c r="H398" s="20">
        <v>0</v>
      </c>
      <c r="I398" s="21">
        <v>2</v>
      </c>
      <c r="J398" s="21">
        <v>1</v>
      </c>
      <c r="K398" s="20">
        <v>0</v>
      </c>
      <c r="L398" s="20">
        <v>1</v>
      </c>
      <c r="M398" s="21">
        <v>0</v>
      </c>
      <c r="N398" s="22">
        <f t="shared" si="32"/>
        <v>6</v>
      </c>
      <c r="O398" s="23" t="s">
        <v>1883</v>
      </c>
      <c r="P398" s="24" t="s">
        <v>1883</v>
      </c>
      <c r="Q398" s="25" t="s">
        <v>1884</v>
      </c>
      <c r="R398" s="48">
        <v>25000</v>
      </c>
      <c r="S398" s="27">
        <f t="shared" si="33"/>
        <v>26000</v>
      </c>
      <c r="T398" s="27">
        <f t="shared" si="31"/>
        <v>27000</v>
      </c>
      <c r="U398" s="25" t="s">
        <v>1883</v>
      </c>
      <c r="V398" s="26" t="s">
        <v>1883</v>
      </c>
      <c r="W398" s="26">
        <v>500</v>
      </c>
    </row>
    <row r="399" spans="1:25">
      <c r="A399" s="94" t="s">
        <v>418</v>
      </c>
      <c r="B399" s="18" t="str">
        <f>IFERROR(HYPERLINK(VLOOKUP(A399,ÜRÜNLER!A:C,3,FALSE),VLOOKUP(A399,ÜRÜNLER!A:B,2,FALSE)),"")</f>
        <v>EQ500 classic Tam Otomatik Kahve Makinesi, Piyano Siyahı</v>
      </c>
      <c r="C399" s="19" t="s">
        <v>1883</v>
      </c>
      <c r="D399" s="19" t="s">
        <v>1883</v>
      </c>
      <c r="E399" s="20">
        <v>0</v>
      </c>
      <c r="F399" s="20">
        <v>4</v>
      </c>
      <c r="G399" s="20">
        <v>0</v>
      </c>
      <c r="H399" s="20">
        <v>0</v>
      </c>
      <c r="I399" s="21">
        <v>0</v>
      </c>
      <c r="J399" s="21">
        <v>1</v>
      </c>
      <c r="K399" s="20">
        <v>0</v>
      </c>
      <c r="L399" s="20">
        <v>0</v>
      </c>
      <c r="M399" s="21">
        <v>1</v>
      </c>
      <c r="N399" s="22">
        <f t="shared" si="32"/>
        <v>6</v>
      </c>
      <c r="O399" s="23" t="s">
        <v>1883</v>
      </c>
      <c r="P399" s="24" t="s">
        <v>1883</v>
      </c>
      <c r="Q399" s="25" t="s">
        <v>1884</v>
      </c>
      <c r="R399" s="26">
        <v>28000</v>
      </c>
      <c r="S399" s="27">
        <f t="shared" si="33"/>
        <v>29120</v>
      </c>
      <c r="T399" s="27">
        <f t="shared" si="31"/>
        <v>30240.000000000004</v>
      </c>
      <c r="U399" s="25" t="s">
        <v>1883</v>
      </c>
      <c r="V399" s="26" t="s">
        <v>1883</v>
      </c>
      <c r="W399" s="26">
        <v>500</v>
      </c>
    </row>
    <row r="400" spans="1:25">
      <c r="A400" s="95" t="s">
        <v>419</v>
      </c>
      <c r="B400" s="18" t="str">
        <f>IFERROR(HYPERLINK(VLOOKUP(A400,ÜRÜNLER!A:C,3,FALSE),VLOOKUP(A400,ÜRÜNLER!A:B,2,FALSE)),"")</f>
        <v>EQ500 classic Tam Otomatik Kahve Makinesi, Metalik Inox/Gümüş</v>
      </c>
      <c r="C400" s="19" t="s">
        <v>1883</v>
      </c>
      <c r="D400" s="19" t="s">
        <v>1883</v>
      </c>
      <c r="E400" s="20">
        <v>0</v>
      </c>
      <c r="F400" s="20">
        <v>1</v>
      </c>
      <c r="G400" s="20">
        <v>0</v>
      </c>
      <c r="H400" s="20">
        <v>0</v>
      </c>
      <c r="I400" s="21">
        <v>1</v>
      </c>
      <c r="J400" s="21">
        <v>0</v>
      </c>
      <c r="K400" s="20">
        <v>0</v>
      </c>
      <c r="L400" s="20">
        <v>1</v>
      </c>
      <c r="M400" s="21">
        <v>0</v>
      </c>
      <c r="N400" s="22">
        <f t="shared" si="32"/>
        <v>3</v>
      </c>
      <c r="O400" s="23" t="s">
        <v>1883</v>
      </c>
      <c r="P400" s="24" t="s">
        <v>1883</v>
      </c>
      <c r="Q400" s="25" t="s">
        <v>1884</v>
      </c>
      <c r="R400" s="26">
        <v>25000</v>
      </c>
      <c r="S400" s="27">
        <f t="shared" si="33"/>
        <v>26000</v>
      </c>
      <c r="T400" s="27">
        <f t="shared" si="31"/>
        <v>27000</v>
      </c>
      <c r="U400" s="25" t="s">
        <v>1883</v>
      </c>
      <c r="V400" s="26" t="s">
        <v>1883</v>
      </c>
      <c r="W400" s="26">
        <v>500</v>
      </c>
    </row>
    <row r="401" spans="1:23">
      <c r="A401" s="95" t="s">
        <v>420</v>
      </c>
      <c r="B401" s="18" t="str">
        <f>IFERROR(HYPERLINK(VLOOKUP(A401,ÜRÜNLER!A:C,3,FALSE),VLOOKUP(A401,ÜRÜNLER!A:B,2,FALSE)),"")</f>
        <v>EQ500 classic Tam Otomatik Kahve Makinesi, Sabah Sisi Grisi</v>
      </c>
      <c r="C401" s="19" t="s">
        <v>1883</v>
      </c>
      <c r="D401" s="19" t="s">
        <v>1883</v>
      </c>
      <c r="E401" s="20">
        <v>0</v>
      </c>
      <c r="F401" s="20">
        <v>1</v>
      </c>
      <c r="G401" s="20">
        <v>0</v>
      </c>
      <c r="H401" s="20">
        <v>0</v>
      </c>
      <c r="I401" s="21">
        <v>0</v>
      </c>
      <c r="J401" s="21">
        <v>0</v>
      </c>
      <c r="K401" s="20">
        <v>0</v>
      </c>
      <c r="L401" s="20">
        <v>0</v>
      </c>
      <c r="M401" s="21">
        <v>1</v>
      </c>
      <c r="N401" s="22">
        <f t="shared" si="32"/>
        <v>2</v>
      </c>
      <c r="O401" s="23" t="s">
        <v>1883</v>
      </c>
      <c r="P401" s="24" t="s">
        <v>1883</v>
      </c>
      <c r="Q401" s="25" t="s">
        <v>1884</v>
      </c>
      <c r="R401" s="26">
        <v>30000</v>
      </c>
      <c r="S401" s="27">
        <f t="shared" si="33"/>
        <v>31200</v>
      </c>
      <c r="T401" s="27">
        <f t="shared" si="31"/>
        <v>32400.000000000004</v>
      </c>
      <c r="U401" s="25" t="s">
        <v>1883</v>
      </c>
      <c r="V401" s="26" t="s">
        <v>1883</v>
      </c>
      <c r="W401" s="26">
        <v>500</v>
      </c>
    </row>
    <row r="402" spans="1:23">
      <c r="A402" s="96" t="s">
        <v>421</v>
      </c>
      <c r="B402" s="18" t="str">
        <f>IFERROR(HYPERLINK(VLOOKUP(A402,ÜRÜNLER!A:C,3,FALSE),VLOOKUP(A402,ÜRÜNLER!A:B,2,FALSE)),"")</f>
        <v>EQ500 classic connect Tam Otomatik Kahve Makinesi, Inox/Siyah</v>
      </c>
      <c r="C402" s="19">
        <v>14</v>
      </c>
      <c r="D402" s="19" t="s">
        <v>1883</v>
      </c>
      <c r="E402" s="20">
        <v>0</v>
      </c>
      <c r="F402" s="20">
        <v>16</v>
      </c>
      <c r="G402" s="20">
        <v>0</v>
      </c>
      <c r="H402" s="20">
        <v>0</v>
      </c>
      <c r="I402" s="21">
        <v>2</v>
      </c>
      <c r="J402" s="21">
        <v>0</v>
      </c>
      <c r="K402" s="20">
        <v>0</v>
      </c>
      <c r="L402" s="20">
        <v>1</v>
      </c>
      <c r="M402" s="21">
        <v>1</v>
      </c>
      <c r="N402" s="22">
        <f t="shared" si="32"/>
        <v>34</v>
      </c>
      <c r="O402" s="23" t="s">
        <v>1883</v>
      </c>
      <c r="P402" s="24" t="s">
        <v>27</v>
      </c>
      <c r="Q402" s="25">
        <v>42221.072861584435</v>
      </c>
      <c r="R402" s="91">
        <v>40110.019218505215</v>
      </c>
      <c r="S402" s="27">
        <f t="shared" si="33"/>
        <v>41714.419987245426</v>
      </c>
      <c r="T402" s="27">
        <f t="shared" si="31"/>
        <v>43318.820755985638</v>
      </c>
      <c r="U402" s="25" t="s">
        <v>1883</v>
      </c>
      <c r="V402" s="26" t="s">
        <v>1883</v>
      </c>
      <c r="W402" s="26">
        <v>500</v>
      </c>
    </row>
    <row r="403" spans="1:23">
      <c r="A403" s="96" t="s">
        <v>422</v>
      </c>
      <c r="B403" s="18" t="str">
        <f>IFERROR(HYPERLINK(VLOOKUP(A403,ÜRÜNLER!A:C,3,FALSE),VLOOKUP(A403,ÜRÜNLER!A:B,2,FALSE)),"")</f>
        <v>EQ500 classic Tam Otomatik Kahve Makinesi, Inox/Siyah</v>
      </c>
      <c r="C403" s="19">
        <v>145</v>
      </c>
      <c r="D403" s="19" t="s">
        <v>1883</v>
      </c>
      <c r="E403" s="20">
        <v>0</v>
      </c>
      <c r="F403" s="20">
        <v>29</v>
      </c>
      <c r="G403" s="20">
        <v>0</v>
      </c>
      <c r="H403" s="20">
        <v>0</v>
      </c>
      <c r="I403" s="21">
        <v>6</v>
      </c>
      <c r="J403" s="21">
        <v>3</v>
      </c>
      <c r="K403" s="20">
        <v>1</v>
      </c>
      <c r="L403" s="20">
        <v>1</v>
      </c>
      <c r="M403" s="21">
        <v>6</v>
      </c>
      <c r="N403" s="22">
        <f t="shared" si="32"/>
        <v>191</v>
      </c>
      <c r="O403" s="23">
        <v>14</v>
      </c>
      <c r="P403" s="24" t="s">
        <v>27</v>
      </c>
      <c r="Q403" s="25">
        <v>33223.139300918905</v>
      </c>
      <c r="R403" s="91">
        <v>31561.982335872959</v>
      </c>
      <c r="S403" s="27">
        <f t="shared" si="33"/>
        <v>32824.46162930788</v>
      </c>
      <c r="T403" s="27">
        <f t="shared" si="31"/>
        <v>34086.940922742797</v>
      </c>
      <c r="U403" s="25" t="s">
        <v>1883</v>
      </c>
      <c r="V403" s="26" t="s">
        <v>1883</v>
      </c>
      <c r="W403" s="26">
        <v>500</v>
      </c>
    </row>
    <row r="404" spans="1:23">
      <c r="A404" s="17" t="s">
        <v>423</v>
      </c>
      <c r="B404" s="18" t="str">
        <f>IFERROR(HYPERLINK(VLOOKUP(A404,ÜRÜNLER!A:C,3,FALSE),VLOOKUP(A404,ÜRÜNLER!A:B,2,FALSE)),"")</f>
        <v>EQ600 iAroma Tam Otomatik Kahve Makinesi, Sabah Sisi Grisi</v>
      </c>
      <c r="C404" s="19">
        <v>5</v>
      </c>
      <c r="D404" s="19" t="s">
        <v>1883</v>
      </c>
      <c r="E404" s="20">
        <v>0</v>
      </c>
      <c r="F404" s="20">
        <v>0</v>
      </c>
      <c r="G404" s="20">
        <v>0</v>
      </c>
      <c r="H404" s="20">
        <v>0</v>
      </c>
      <c r="I404" s="21">
        <v>0</v>
      </c>
      <c r="J404" s="21">
        <v>0</v>
      </c>
      <c r="K404" s="20">
        <v>0</v>
      </c>
      <c r="L404" s="20">
        <v>0</v>
      </c>
      <c r="M404" s="21">
        <v>0</v>
      </c>
      <c r="N404" s="22">
        <f t="shared" si="32"/>
        <v>5</v>
      </c>
      <c r="O404" s="23"/>
      <c r="P404" s="24" t="s">
        <v>1883</v>
      </c>
      <c r="Q404" s="25">
        <v>41155.504772727261</v>
      </c>
      <c r="R404" s="91">
        <v>39097.729534090897</v>
      </c>
      <c r="S404" s="27">
        <f t="shared" si="33"/>
        <v>40661.638715454537</v>
      </c>
      <c r="T404" s="27">
        <f t="shared" si="31"/>
        <v>42225.547896818171</v>
      </c>
      <c r="U404" s="25" t="s">
        <v>1883</v>
      </c>
      <c r="V404" s="26" t="s">
        <v>1883</v>
      </c>
      <c r="W404" s="26">
        <v>500</v>
      </c>
    </row>
    <row r="405" spans="1:23">
      <c r="A405" s="17" t="s">
        <v>424</v>
      </c>
      <c r="B405" s="18" t="str">
        <f>IFERROR(HYPERLINK(VLOOKUP(A405,ÜRÜNLER!A:C,3,FALSE),VLOOKUP(A405,ÜRÜNLER!A:B,2,FALSE)),"")</f>
        <v>EQ600 iAroma Tam Otomatik Kahve Makinesi, Siyah/Inox</v>
      </c>
      <c r="C405" s="19">
        <v>5</v>
      </c>
      <c r="D405" s="19" t="s">
        <v>1883</v>
      </c>
      <c r="E405" s="20">
        <v>0</v>
      </c>
      <c r="F405" s="20">
        <v>0</v>
      </c>
      <c r="G405" s="20">
        <v>0</v>
      </c>
      <c r="H405" s="20">
        <v>0</v>
      </c>
      <c r="I405" s="21">
        <v>0</v>
      </c>
      <c r="J405" s="21">
        <v>0</v>
      </c>
      <c r="K405" s="20">
        <v>0</v>
      </c>
      <c r="L405" s="20">
        <v>0</v>
      </c>
      <c r="M405" s="21">
        <v>0</v>
      </c>
      <c r="N405" s="22">
        <f t="shared" si="32"/>
        <v>5</v>
      </c>
      <c r="O405" s="23"/>
      <c r="P405" s="24" t="s">
        <v>1883</v>
      </c>
      <c r="Q405" s="25">
        <v>43625.391136363629</v>
      </c>
      <c r="R405" s="91">
        <v>41444.121579545448</v>
      </c>
      <c r="S405" s="27">
        <f t="shared" si="33"/>
        <v>43101.886442727271</v>
      </c>
      <c r="T405" s="27">
        <f t="shared" si="31"/>
        <v>44759.651305909087</v>
      </c>
      <c r="U405" s="25" t="s">
        <v>1883</v>
      </c>
      <c r="V405" s="26" t="s">
        <v>1883</v>
      </c>
      <c r="W405" s="26">
        <v>500</v>
      </c>
    </row>
    <row r="406" spans="1:23">
      <c r="A406" s="73" t="s">
        <v>425</v>
      </c>
      <c r="B406" s="18" t="str">
        <f>IFERROR(HYPERLINK(VLOOKUP(A406,ÜRÜNLER!A:C,3,FALSE),VLOOKUP(A406,ÜRÜNLER!A:B,2,FALSE)),"")</f>
        <v>EQ600 iAroma Tam Otomatik Kahve Makinesi, Siyah/Dark Inox</v>
      </c>
      <c r="C406" s="19">
        <v>5</v>
      </c>
      <c r="D406" s="19" t="s">
        <v>1883</v>
      </c>
      <c r="E406" s="20">
        <v>0</v>
      </c>
      <c r="F406" s="20">
        <v>0</v>
      </c>
      <c r="G406" s="20">
        <v>0</v>
      </c>
      <c r="H406" s="20">
        <v>0</v>
      </c>
      <c r="I406" s="21">
        <v>0</v>
      </c>
      <c r="J406" s="21">
        <v>0</v>
      </c>
      <c r="K406" s="20">
        <v>0</v>
      </c>
      <c r="L406" s="20">
        <v>0</v>
      </c>
      <c r="M406" s="21">
        <v>0</v>
      </c>
      <c r="N406" s="22">
        <f t="shared" si="32"/>
        <v>5</v>
      </c>
      <c r="O406" s="23"/>
      <c r="P406" s="24" t="s">
        <v>1883</v>
      </c>
      <c r="Q406" s="25">
        <v>46918.57295454546</v>
      </c>
      <c r="R406" s="91">
        <v>44572.644306818183</v>
      </c>
      <c r="S406" s="27">
        <f t="shared" si="33"/>
        <v>46355.550079090914</v>
      </c>
      <c r="T406" s="27">
        <f t="shared" si="31"/>
        <v>48138.455851363644</v>
      </c>
      <c r="U406" s="25" t="s">
        <v>1883</v>
      </c>
      <c r="V406" s="26" t="s">
        <v>1883</v>
      </c>
      <c r="W406" s="26">
        <v>500</v>
      </c>
    </row>
    <row r="407" spans="1:23">
      <c r="A407" s="94" t="s">
        <v>426</v>
      </c>
      <c r="B407" s="18" t="str">
        <f>IFERROR(HYPERLINK(VLOOKUP(A407,ÜRÜNLER!A:C,3,FALSE),VLOOKUP(A407,ÜRÜNLER!A:B,2,FALSE)),"")</f>
        <v>EQ700 classic Tam Otomatik Kahve Makinesi, Piyano Siyahı</v>
      </c>
      <c r="C407" s="19" t="s">
        <v>1883</v>
      </c>
      <c r="D407" s="19" t="s">
        <v>1883</v>
      </c>
      <c r="E407" s="20">
        <v>0</v>
      </c>
      <c r="F407" s="20">
        <v>1</v>
      </c>
      <c r="G407" s="20">
        <v>0</v>
      </c>
      <c r="H407" s="20">
        <v>0</v>
      </c>
      <c r="I407" s="21">
        <v>0</v>
      </c>
      <c r="J407" s="21">
        <v>0</v>
      </c>
      <c r="K407" s="20">
        <v>0</v>
      </c>
      <c r="L407" s="20">
        <v>0</v>
      </c>
      <c r="M407" s="21">
        <v>0</v>
      </c>
      <c r="N407" s="22">
        <f t="shared" si="32"/>
        <v>1</v>
      </c>
      <c r="O407" s="23" t="s">
        <v>1883</v>
      </c>
      <c r="P407" s="24" t="s">
        <v>1883</v>
      </c>
      <c r="Q407" s="25" t="s">
        <v>1884</v>
      </c>
      <c r="R407" s="26">
        <v>45000</v>
      </c>
      <c r="S407" s="27">
        <f t="shared" si="33"/>
        <v>46800</v>
      </c>
      <c r="T407" s="27">
        <f t="shared" si="31"/>
        <v>48600</v>
      </c>
      <c r="U407" s="25" t="s">
        <v>1883</v>
      </c>
      <c r="V407" s="26" t="s">
        <v>1883</v>
      </c>
      <c r="W407" s="26">
        <v>500</v>
      </c>
    </row>
    <row r="408" spans="1:23">
      <c r="A408" s="95" t="s">
        <v>427</v>
      </c>
      <c r="B408" s="18" t="str">
        <f>IFERROR(HYPERLINK(VLOOKUP(A408,ÜRÜNLER!A:C,3,FALSE),VLOOKUP(A408,ÜRÜNLER!A:B,2,FALSE)),"")</f>
        <v>EQ700 classic Tam Otomatik Kahve Makinesi, Piyano Siyahı</v>
      </c>
      <c r="C408" s="19">
        <v>8</v>
      </c>
      <c r="D408" s="19" t="s">
        <v>1883</v>
      </c>
      <c r="E408" s="20">
        <v>0</v>
      </c>
      <c r="F408" s="20">
        <v>6</v>
      </c>
      <c r="G408" s="20">
        <v>0</v>
      </c>
      <c r="H408" s="20">
        <v>0</v>
      </c>
      <c r="I408" s="21">
        <v>5</v>
      </c>
      <c r="J408" s="21">
        <v>1</v>
      </c>
      <c r="K408" s="20">
        <v>1</v>
      </c>
      <c r="L408" s="20">
        <v>0</v>
      </c>
      <c r="M408" s="21">
        <v>3</v>
      </c>
      <c r="N408" s="22">
        <f t="shared" si="32"/>
        <v>24</v>
      </c>
      <c r="O408" s="23" t="s">
        <v>1883</v>
      </c>
      <c r="P408" s="24" t="s">
        <v>1883</v>
      </c>
      <c r="Q408" s="25" t="s">
        <v>1884</v>
      </c>
      <c r="R408" s="91">
        <v>49869.468091778741</v>
      </c>
      <c r="S408" s="27">
        <f t="shared" si="33"/>
        <v>51864.246815449893</v>
      </c>
      <c r="T408" s="27">
        <f t="shared" si="31"/>
        <v>53859.025539121045</v>
      </c>
      <c r="U408" s="25" t="s">
        <v>1883</v>
      </c>
      <c r="V408" s="26" t="s">
        <v>1883</v>
      </c>
      <c r="W408" s="26">
        <v>500</v>
      </c>
    </row>
    <row r="409" spans="1:23">
      <c r="A409" s="51" t="s">
        <v>428</v>
      </c>
      <c r="B409" s="18" t="str">
        <f>IFERROR(HYPERLINK(VLOOKUP(A409,ÜRÜNLER!A:C,3,FALSE),VLOOKUP(A409,ÜRÜNLER!A:B,2,FALSE)),"")</f>
        <v>EQ500 integral Tam Otomatik Kahve Makinesi, Metalik Safir Siyahı</v>
      </c>
      <c r="C409" s="19" t="s">
        <v>1883</v>
      </c>
      <c r="D409" s="19" t="s">
        <v>1883</v>
      </c>
      <c r="E409" s="20">
        <v>0</v>
      </c>
      <c r="F409" s="20">
        <v>0</v>
      </c>
      <c r="G409" s="20">
        <v>0</v>
      </c>
      <c r="H409" s="20">
        <v>0</v>
      </c>
      <c r="I409" s="21">
        <v>1</v>
      </c>
      <c r="J409" s="21">
        <v>0</v>
      </c>
      <c r="K409" s="20">
        <v>1</v>
      </c>
      <c r="L409" s="20">
        <v>1</v>
      </c>
      <c r="M409" s="21">
        <v>1</v>
      </c>
      <c r="N409" s="22">
        <f t="shared" si="32"/>
        <v>4</v>
      </c>
      <c r="O409" s="23" t="s">
        <v>1883</v>
      </c>
      <c r="P409" s="24" t="s">
        <v>1883</v>
      </c>
      <c r="Q409" s="25" t="s">
        <v>1884</v>
      </c>
      <c r="R409" s="26">
        <v>40000</v>
      </c>
      <c r="S409" s="27">
        <f t="shared" si="33"/>
        <v>41600</v>
      </c>
      <c r="T409" s="27">
        <f t="shared" si="31"/>
        <v>43200</v>
      </c>
      <c r="U409" s="25" t="s">
        <v>1883</v>
      </c>
      <c r="V409" s="26" t="s">
        <v>1883</v>
      </c>
      <c r="W409" s="26">
        <v>500</v>
      </c>
    </row>
    <row r="410" spans="1:23">
      <c r="A410" s="73" t="s">
        <v>429</v>
      </c>
      <c r="B410" s="18" t="str">
        <f>IFERROR(HYPERLINK(VLOOKUP(A410,ÜRÜNLER!A:C,3,FALSE),VLOOKUP(A410,ÜRÜNLER!A:B,2,FALSE)),"")</f>
        <v>EQ500 integral Tam Otomatik Kahve Makinesi, Inox</v>
      </c>
      <c r="C410" s="19" t="s">
        <v>1883</v>
      </c>
      <c r="D410" s="19" t="s">
        <v>1883</v>
      </c>
      <c r="E410" s="20">
        <v>0</v>
      </c>
      <c r="F410" s="20">
        <v>1</v>
      </c>
      <c r="G410" s="20">
        <v>0</v>
      </c>
      <c r="H410" s="20">
        <v>0</v>
      </c>
      <c r="I410" s="21">
        <v>1</v>
      </c>
      <c r="J410" s="21">
        <v>1</v>
      </c>
      <c r="K410" s="20">
        <v>0</v>
      </c>
      <c r="L410" s="20">
        <v>1</v>
      </c>
      <c r="M410" s="21">
        <v>1</v>
      </c>
      <c r="N410" s="22">
        <f t="shared" si="32"/>
        <v>5</v>
      </c>
      <c r="O410" s="23" t="s">
        <v>1883</v>
      </c>
      <c r="P410" s="24" t="s">
        <v>1883</v>
      </c>
      <c r="Q410" s="25" t="s">
        <v>1884</v>
      </c>
      <c r="R410" s="26">
        <v>40000</v>
      </c>
      <c r="S410" s="27">
        <f t="shared" si="33"/>
        <v>41600</v>
      </c>
      <c r="T410" s="27">
        <f t="shared" si="31"/>
        <v>43200</v>
      </c>
      <c r="U410" s="25" t="s">
        <v>1883</v>
      </c>
      <c r="V410" s="26" t="s">
        <v>1883</v>
      </c>
      <c r="W410" s="26">
        <v>500</v>
      </c>
    </row>
    <row r="411" spans="1:23">
      <c r="A411" s="97" t="s">
        <v>430</v>
      </c>
      <c r="B411" s="18" t="str">
        <f>IFERROR(HYPERLINK(VLOOKUP(A411,ÜRÜNLER!A:C,3,FALSE),VLOOKUP(A411,ÜRÜNLER!A:B,2,FALSE)),"")</f>
        <v>EQ700 integral Tam Otomatik Kahve Makinesi, Metalik Inox/Gümüş</v>
      </c>
      <c r="C411" s="19" t="s">
        <v>1883</v>
      </c>
      <c r="D411" s="19" t="s">
        <v>1883</v>
      </c>
      <c r="E411" s="20">
        <v>0</v>
      </c>
      <c r="F411" s="20">
        <v>0</v>
      </c>
      <c r="G411" s="20">
        <v>1</v>
      </c>
      <c r="H411" s="20">
        <v>0</v>
      </c>
      <c r="I411" s="21">
        <v>0</v>
      </c>
      <c r="J411" s="21">
        <v>1</v>
      </c>
      <c r="K411" s="20">
        <v>0</v>
      </c>
      <c r="L411" s="20">
        <v>0</v>
      </c>
      <c r="M411" s="21">
        <v>0</v>
      </c>
      <c r="N411" s="22">
        <f t="shared" si="32"/>
        <v>2</v>
      </c>
      <c r="O411" s="23" t="s">
        <v>1883</v>
      </c>
      <c r="P411" s="24" t="s">
        <v>1883</v>
      </c>
      <c r="Q411" s="25" t="s">
        <v>1884</v>
      </c>
      <c r="R411" s="26">
        <v>50000</v>
      </c>
      <c r="S411" s="27">
        <f t="shared" si="33"/>
        <v>52000</v>
      </c>
      <c r="T411" s="27">
        <f t="shared" si="31"/>
        <v>54000</v>
      </c>
      <c r="U411" s="25" t="s">
        <v>1883</v>
      </c>
      <c r="V411" s="26" t="s">
        <v>1883</v>
      </c>
      <c r="W411" s="26">
        <v>500</v>
      </c>
    </row>
    <row r="412" spans="1:23">
      <c r="A412" s="97" t="s">
        <v>431</v>
      </c>
      <c r="B412" s="18" t="str">
        <f>IFERROR(HYPERLINK(VLOOKUP(A412,ÜRÜNLER!A:C,3,FALSE),VLOOKUP(A412,ÜRÜNLER!A:B,2,FALSE)),"")</f>
        <v>EQ700 Tam Otomatik Kahve Makinesi, Paslanmaz Çelik</v>
      </c>
      <c r="C412" s="19" t="s">
        <v>1883</v>
      </c>
      <c r="D412" s="19" t="s">
        <v>1883</v>
      </c>
      <c r="E412" s="20">
        <v>0</v>
      </c>
      <c r="F412" s="20">
        <v>0</v>
      </c>
      <c r="G412" s="20">
        <v>0</v>
      </c>
      <c r="H412" s="20">
        <v>0</v>
      </c>
      <c r="I412" s="21">
        <v>0</v>
      </c>
      <c r="J412" s="21">
        <v>0</v>
      </c>
      <c r="K412" s="20">
        <v>0</v>
      </c>
      <c r="L412" s="20">
        <v>0</v>
      </c>
      <c r="M412" s="21">
        <v>1</v>
      </c>
      <c r="N412" s="22">
        <f t="shared" si="32"/>
        <v>1</v>
      </c>
      <c r="O412" s="23" t="s">
        <v>1883</v>
      </c>
      <c r="P412" s="24" t="s">
        <v>1883</v>
      </c>
      <c r="Q412" s="25" t="s">
        <v>1884</v>
      </c>
      <c r="R412" s="91">
        <v>54139.857957402746</v>
      </c>
      <c r="S412" s="27">
        <f t="shared" si="33"/>
        <v>56305.452275698859</v>
      </c>
      <c r="T412" s="27">
        <f t="shared" si="31"/>
        <v>58471.046593994972</v>
      </c>
      <c r="U412" s="25" t="s">
        <v>1883</v>
      </c>
      <c r="V412" s="26" t="s">
        <v>1883</v>
      </c>
      <c r="W412" s="26">
        <v>500</v>
      </c>
    </row>
    <row r="413" spans="1:23">
      <c r="A413" s="51" t="s">
        <v>432</v>
      </c>
      <c r="B413" s="18" t="str">
        <f>IFERROR(HYPERLINK(VLOOKUP(A413,ÜRÜNLER!A:C,3,FALSE),VLOOKUP(A413,ÜRÜNLER!A:B,2,FALSE)),"")</f>
        <v>EQ900 Tam Otomatik Kahve Makinesi, Paslanmaz Çelik</v>
      </c>
      <c r="C413" s="19">
        <v>12</v>
      </c>
      <c r="D413" s="19" t="s">
        <v>1883</v>
      </c>
      <c r="E413" s="20">
        <v>0</v>
      </c>
      <c r="F413" s="20">
        <v>0</v>
      </c>
      <c r="G413" s="20">
        <v>0</v>
      </c>
      <c r="H413" s="20">
        <v>0</v>
      </c>
      <c r="I413" s="21">
        <v>2</v>
      </c>
      <c r="J413" s="21">
        <v>0</v>
      </c>
      <c r="K413" s="20">
        <v>0</v>
      </c>
      <c r="L413" s="20">
        <v>1</v>
      </c>
      <c r="M413" s="21">
        <v>1</v>
      </c>
      <c r="N413" s="22">
        <f t="shared" si="32"/>
        <v>16</v>
      </c>
      <c r="O413" s="23" t="s">
        <v>1883</v>
      </c>
      <c r="P413" s="24" t="s">
        <v>1883</v>
      </c>
      <c r="Q413" s="25" t="s">
        <v>1884</v>
      </c>
      <c r="R413" s="91">
        <v>76842.14777207539</v>
      </c>
      <c r="S413" s="27">
        <f t="shared" si="33"/>
        <v>79915.833682958415</v>
      </c>
      <c r="T413" s="27">
        <f t="shared" si="31"/>
        <v>82989.519593841425</v>
      </c>
      <c r="U413" s="25" t="s">
        <v>1883</v>
      </c>
      <c r="V413" s="26" t="s">
        <v>1883</v>
      </c>
      <c r="W413" s="26">
        <v>500</v>
      </c>
    </row>
    <row r="414" spans="1:23">
      <c r="A414" s="51" t="s">
        <v>433</v>
      </c>
      <c r="B414" s="18" t="str">
        <f>IFERROR(HYPERLINK(VLOOKUP(A414,ÜRÜNLER!A:C,3,FALSE),VLOOKUP(A414,ÜRÜNLER!A:B,2,FALSE)),"")</f>
        <v>EQ900 plus Tam Otomatik Kahve Makinesi, Inox</v>
      </c>
      <c r="C414" s="19">
        <v>10</v>
      </c>
      <c r="D414" s="19" t="s">
        <v>1883</v>
      </c>
      <c r="E414" s="20">
        <v>0</v>
      </c>
      <c r="F414" s="20">
        <v>0</v>
      </c>
      <c r="G414" s="20">
        <v>0</v>
      </c>
      <c r="H414" s="20">
        <v>0</v>
      </c>
      <c r="I414" s="21">
        <v>1</v>
      </c>
      <c r="J414" s="21">
        <v>0</v>
      </c>
      <c r="K414" s="20">
        <v>0</v>
      </c>
      <c r="L414" s="20">
        <v>0</v>
      </c>
      <c r="M414" s="21">
        <v>1</v>
      </c>
      <c r="N414" s="22">
        <f t="shared" si="32"/>
        <v>12</v>
      </c>
      <c r="O414" s="23" t="s">
        <v>1883</v>
      </c>
      <c r="P414" s="24" t="s">
        <v>1883</v>
      </c>
      <c r="Q414" s="25" t="s">
        <v>1884</v>
      </c>
      <c r="R414" s="91">
        <v>96687.558543713807</v>
      </c>
      <c r="S414" s="27">
        <f t="shared" si="33"/>
        <v>100555.06088546236</v>
      </c>
      <c r="T414" s="27">
        <f t="shared" si="31"/>
        <v>104422.56322721092</v>
      </c>
      <c r="U414" s="25" t="s">
        <v>1883</v>
      </c>
      <c r="V414" s="26" t="s">
        <v>1883</v>
      </c>
      <c r="W414" s="26">
        <v>500</v>
      </c>
    </row>
    <row r="415" spans="1:23">
      <c r="A415" s="73" t="s">
        <v>434</v>
      </c>
      <c r="B415" s="18" t="str">
        <f>IFERROR(HYPERLINK(VLOOKUP(A415,ÜRÜNLER!A:C,3,FALSE),VLOOKUP(A415,ÜRÜNLER!A:B,2,FALSE)),"")</f>
        <v>iQ700 Sıcak Tutma Çekmecesi, 60x14cm, Siyah</v>
      </c>
      <c r="C415" s="19">
        <v>1</v>
      </c>
      <c r="D415" s="19" t="s">
        <v>1883</v>
      </c>
      <c r="E415" s="20">
        <v>0</v>
      </c>
      <c r="F415" s="20">
        <v>0</v>
      </c>
      <c r="G415" s="20">
        <v>1</v>
      </c>
      <c r="H415" s="20">
        <v>0</v>
      </c>
      <c r="I415" s="21">
        <v>1</v>
      </c>
      <c r="J415" s="21">
        <v>1</v>
      </c>
      <c r="K415" s="20">
        <v>0</v>
      </c>
      <c r="L415" s="20">
        <v>1</v>
      </c>
      <c r="M415" s="21">
        <v>0</v>
      </c>
      <c r="N415" s="22">
        <f t="shared" si="32"/>
        <v>5</v>
      </c>
      <c r="O415" s="23" t="s">
        <v>1883</v>
      </c>
      <c r="P415" s="24" t="s">
        <v>1883</v>
      </c>
      <c r="Q415" s="25" t="s">
        <v>1884</v>
      </c>
      <c r="R415" s="26">
        <v>30000</v>
      </c>
      <c r="S415" s="27">
        <f t="shared" si="33"/>
        <v>31200</v>
      </c>
      <c r="T415" s="27">
        <f t="shared" si="31"/>
        <v>32400.000000000004</v>
      </c>
      <c r="U415" s="25" t="s">
        <v>1883</v>
      </c>
      <c r="V415" s="26" t="s">
        <v>1883</v>
      </c>
      <c r="W415" s="26">
        <v>500</v>
      </c>
    </row>
    <row r="416" spans="1:23">
      <c r="A416" s="73" t="s">
        <v>435</v>
      </c>
      <c r="B416" s="18" t="str">
        <f>IFERROR(HYPERLINK(VLOOKUP(A416,ÜRÜNLER!A:C,3,FALSE),VLOOKUP(A416,ÜRÜNLER!A:B,2,FALSE)),"")</f>
        <v>iQ700 Sıcak Tutma Çekmecesi, 60x14cm, Siyah</v>
      </c>
      <c r="C416" s="19" t="s">
        <v>1883</v>
      </c>
      <c r="D416" s="19">
        <v>4</v>
      </c>
      <c r="E416" s="20">
        <v>0</v>
      </c>
      <c r="F416" s="20">
        <v>0</v>
      </c>
      <c r="G416" s="20">
        <v>0</v>
      </c>
      <c r="H416" s="20">
        <v>0</v>
      </c>
      <c r="I416" s="21">
        <v>0</v>
      </c>
      <c r="J416" s="21">
        <v>0</v>
      </c>
      <c r="K416" s="20">
        <v>0</v>
      </c>
      <c r="L416" s="20">
        <v>0</v>
      </c>
      <c r="M416" s="21">
        <v>0</v>
      </c>
      <c r="N416" s="22">
        <f t="shared" si="32"/>
        <v>4</v>
      </c>
      <c r="O416" s="23" t="s">
        <v>1883</v>
      </c>
      <c r="P416" s="24" t="s">
        <v>1883</v>
      </c>
      <c r="Q416" s="25">
        <v>57450.221542658583</v>
      </c>
      <c r="R416" s="74">
        <v>52227.474129689632</v>
      </c>
      <c r="S416" s="27">
        <f t="shared" si="33"/>
        <v>54316.573094877218</v>
      </c>
      <c r="T416" s="27">
        <f t="shared" si="31"/>
        <v>56405.672060064804</v>
      </c>
      <c r="U416" s="25" t="s">
        <v>1883</v>
      </c>
      <c r="V416" s="26" t="s">
        <v>1883</v>
      </c>
      <c r="W416" s="26">
        <v>500</v>
      </c>
    </row>
    <row r="417" spans="1:23">
      <c r="A417" s="86" t="s">
        <v>436</v>
      </c>
      <c r="B417" s="18" t="str">
        <f>IFERROR(HYPERLINK(VLOOKUP(A417,ÜRÜNLER!A:C,3,FALSE),VLOOKUP(A417,ÜRÜNLER!A:B,2,FALSE)),"")</f>
        <v>iQ700 Sıcak Tutma Çekmecesi, 60x14cm, Beyaz</v>
      </c>
      <c r="C417" s="19">
        <v>1</v>
      </c>
      <c r="D417" s="19" t="s">
        <v>1883</v>
      </c>
      <c r="E417" s="20">
        <v>0</v>
      </c>
      <c r="F417" s="20">
        <v>0</v>
      </c>
      <c r="G417" s="20">
        <v>0</v>
      </c>
      <c r="H417" s="20">
        <v>0</v>
      </c>
      <c r="I417" s="21">
        <v>0</v>
      </c>
      <c r="J417" s="21">
        <v>0</v>
      </c>
      <c r="K417" s="20">
        <v>0</v>
      </c>
      <c r="L417" s="20">
        <v>0</v>
      </c>
      <c r="M417" s="21">
        <v>0</v>
      </c>
      <c r="N417" s="22">
        <f t="shared" si="32"/>
        <v>1</v>
      </c>
      <c r="O417" s="23" t="s">
        <v>1883</v>
      </c>
      <c r="P417" s="24" t="s">
        <v>1883</v>
      </c>
      <c r="Q417" s="25" t="s">
        <v>1884</v>
      </c>
      <c r="R417" s="26">
        <v>30000</v>
      </c>
      <c r="S417" s="27">
        <f t="shared" si="33"/>
        <v>31200</v>
      </c>
      <c r="T417" s="27">
        <f t="shared" si="31"/>
        <v>32400.000000000004</v>
      </c>
      <c r="U417" s="25" t="s">
        <v>1883</v>
      </c>
      <c r="V417" s="26" t="s">
        <v>1883</v>
      </c>
      <c r="W417" s="26">
        <v>500</v>
      </c>
    </row>
    <row r="418" spans="1:23">
      <c r="A418" s="86" t="s">
        <v>437</v>
      </c>
      <c r="B418" s="18" t="str">
        <f>IFERROR(HYPERLINK(VLOOKUP(A418,ÜRÜNLER!A:C,3,FALSE),VLOOKUP(A418,ÜRÜNLER!A:B,2,FALSE)),"")</f>
        <v>iQ700 studioLine Sıcak Tutma Çekmecesi, 60x14cm, Siyah</v>
      </c>
      <c r="C418" s="19" t="s">
        <v>1883</v>
      </c>
      <c r="D418" s="19">
        <v>1</v>
      </c>
      <c r="E418" s="20">
        <v>0</v>
      </c>
      <c r="F418" s="20">
        <v>0</v>
      </c>
      <c r="G418" s="20">
        <v>0</v>
      </c>
      <c r="H418" s="20">
        <v>1</v>
      </c>
      <c r="I418" s="21">
        <v>0</v>
      </c>
      <c r="J418" s="21">
        <v>0</v>
      </c>
      <c r="K418" s="20">
        <v>0</v>
      </c>
      <c r="L418" s="20">
        <v>0</v>
      </c>
      <c r="M418" s="21">
        <v>0</v>
      </c>
      <c r="N418" s="22">
        <f t="shared" si="32"/>
        <v>2</v>
      </c>
      <c r="O418" s="23" t="s">
        <v>1883</v>
      </c>
      <c r="P418" s="24" t="s">
        <v>1883</v>
      </c>
      <c r="Q418" s="25" t="s">
        <v>1884</v>
      </c>
      <c r="R418" s="26">
        <v>30000</v>
      </c>
      <c r="S418" s="27">
        <f t="shared" si="33"/>
        <v>31200</v>
      </c>
      <c r="T418" s="27">
        <f t="shared" si="31"/>
        <v>32400.000000000004</v>
      </c>
      <c r="U418" s="25" t="s">
        <v>1883</v>
      </c>
      <c r="V418" s="26" t="s">
        <v>1883</v>
      </c>
      <c r="W418" s="26">
        <v>500</v>
      </c>
    </row>
    <row r="419" spans="1:23" ht="40.5" customHeight="1">
      <c r="A419" s="98" t="s">
        <v>438</v>
      </c>
      <c r="B419" s="18"/>
      <c r="C419" s="19"/>
      <c r="D419" s="19"/>
      <c r="E419" s="20"/>
      <c r="F419" s="20"/>
      <c r="G419" s="20"/>
      <c r="H419" s="20"/>
      <c r="I419" s="21"/>
      <c r="J419" s="21"/>
      <c r="K419" s="20"/>
      <c r="L419" s="20"/>
      <c r="M419" s="21"/>
      <c r="N419" s="22"/>
      <c r="O419" s="23"/>
      <c r="P419" s="24" t="s">
        <v>1883</v>
      </c>
      <c r="R419" s="26"/>
      <c r="S419" s="27"/>
      <c r="T419" s="27"/>
      <c r="U419" s="25"/>
      <c r="V419" s="26"/>
      <c r="W419" s="99"/>
    </row>
    <row r="420" spans="1:23">
      <c r="A420" s="37" t="s">
        <v>439</v>
      </c>
      <c r="B420" s="18" t="str">
        <f>IFERROR(HYPERLINK(VLOOKUP(A420,ÜRÜNLER!A:C,3,FALSE),VLOOKUP(A420,ÜRÜNLER!A:B,2,FALSE)),"")</f>
        <v>iQ500 Dik Şarjlı Elektrik Süpürgesi</v>
      </c>
      <c r="C420" s="19">
        <v>43</v>
      </c>
      <c r="D420" s="19" t="s">
        <v>1883</v>
      </c>
      <c r="E420" s="20">
        <v>0</v>
      </c>
      <c r="F420" s="20">
        <v>178</v>
      </c>
      <c r="G420" s="20">
        <v>0</v>
      </c>
      <c r="H420" s="20">
        <v>0</v>
      </c>
      <c r="I420" s="21">
        <v>17</v>
      </c>
      <c r="J420" s="21">
        <v>3</v>
      </c>
      <c r="K420" s="20">
        <v>2</v>
      </c>
      <c r="L420" s="20">
        <v>22</v>
      </c>
      <c r="M420" s="21">
        <v>3</v>
      </c>
      <c r="N420" s="22">
        <f t="shared" si="32"/>
        <v>268</v>
      </c>
      <c r="O420" s="23" t="s">
        <v>1883</v>
      </c>
      <c r="P420" s="24" t="s">
        <v>27</v>
      </c>
      <c r="Q420" s="25">
        <v>16596.842696742173</v>
      </c>
      <c r="R420" s="91">
        <v>15767.000561905064</v>
      </c>
      <c r="S420" s="27">
        <f t="shared" ref="S420:S436" si="34">R420*1.04</f>
        <v>16397.680584381269</v>
      </c>
      <c r="T420" s="27">
        <f t="shared" ref="T420:T436" si="35">R420*1.08</f>
        <v>17028.36060685747</v>
      </c>
      <c r="U420" s="25" t="s">
        <v>1883</v>
      </c>
      <c r="V420" s="26" t="s">
        <v>1883</v>
      </c>
      <c r="W420" s="70">
        <v>500</v>
      </c>
    </row>
    <row r="421" spans="1:23">
      <c r="A421" s="37" t="s">
        <v>440</v>
      </c>
      <c r="B421" s="18" t="str">
        <f>IFERROR(HYPERLINK(VLOOKUP(A421,ÜRÜNLER!A:C,3,FALSE),VLOOKUP(A421,ÜRÜNLER!A:B,2,FALSE)),"")</f>
        <v>iQ500 Dik Şarjlı Elektrik Süpürgesi, Çift Bataryalı</v>
      </c>
      <c r="C421" s="19">
        <v>37</v>
      </c>
      <c r="D421" s="19" t="s">
        <v>1883</v>
      </c>
      <c r="E421" s="20">
        <v>0</v>
      </c>
      <c r="F421" s="20">
        <v>64</v>
      </c>
      <c r="G421" s="20">
        <v>0</v>
      </c>
      <c r="H421" s="20">
        <v>0</v>
      </c>
      <c r="I421" s="21">
        <v>11</v>
      </c>
      <c r="J421" s="21">
        <v>5</v>
      </c>
      <c r="K421" s="20">
        <v>2</v>
      </c>
      <c r="L421" s="20">
        <v>2</v>
      </c>
      <c r="M421" s="21">
        <v>4</v>
      </c>
      <c r="N421" s="22">
        <f t="shared" si="32"/>
        <v>125</v>
      </c>
      <c r="O421" s="23" t="s">
        <v>1883</v>
      </c>
      <c r="P421" s="24" t="s">
        <v>27</v>
      </c>
      <c r="Q421" s="25">
        <v>22684.311033798334</v>
      </c>
      <c r="R421" s="91">
        <v>21550.095482108416</v>
      </c>
      <c r="S421" s="27">
        <f t="shared" si="34"/>
        <v>22412.099301392755</v>
      </c>
      <c r="T421" s="27">
        <f t="shared" si="35"/>
        <v>23274.103120677089</v>
      </c>
      <c r="U421" s="25" t="s">
        <v>1883</v>
      </c>
      <c r="V421" s="26" t="s">
        <v>1883</v>
      </c>
      <c r="W421" s="70">
        <v>500</v>
      </c>
    </row>
    <row r="422" spans="1:23">
      <c r="A422" s="37" t="s">
        <v>441</v>
      </c>
      <c r="B422" s="18" t="str">
        <f>IFERROR(HYPERLINK(VLOOKUP(A422,ÜRÜNLER!A:C,3,FALSE),VLOOKUP(A422,ÜRÜNLER!A:B,2,FALSE)),"")</f>
        <v>iQ500 Dik Şarjlı 2'li Süpürme&amp;Silme Elektrik Süpürgesi</v>
      </c>
      <c r="C422" s="19">
        <v>68</v>
      </c>
      <c r="D422" s="19" t="s">
        <v>1883</v>
      </c>
      <c r="E422" s="20">
        <v>0</v>
      </c>
      <c r="F422" s="20">
        <v>129</v>
      </c>
      <c r="G422" s="20">
        <v>0</v>
      </c>
      <c r="H422" s="20">
        <v>0</v>
      </c>
      <c r="I422" s="21">
        <v>5</v>
      </c>
      <c r="J422" s="21">
        <v>4</v>
      </c>
      <c r="K422" s="20">
        <v>1</v>
      </c>
      <c r="L422" s="20">
        <v>1</v>
      </c>
      <c r="M422" s="21">
        <v>2</v>
      </c>
      <c r="N422" s="22">
        <f t="shared" si="32"/>
        <v>210</v>
      </c>
      <c r="O422" s="23" t="s">
        <v>1883</v>
      </c>
      <c r="P422" s="24" t="s">
        <v>27</v>
      </c>
      <c r="Q422" s="25">
        <v>23690.643171127183</v>
      </c>
      <c r="R422" s="91">
        <v>22506.111012570826</v>
      </c>
      <c r="S422" s="27">
        <f t="shared" si="34"/>
        <v>23406.355453073658</v>
      </c>
      <c r="T422" s="27">
        <f t="shared" si="35"/>
        <v>24306.599893576495</v>
      </c>
      <c r="U422" s="25" t="s">
        <v>1883</v>
      </c>
      <c r="V422" s="26" t="s">
        <v>1883</v>
      </c>
      <c r="W422" s="70">
        <v>500</v>
      </c>
    </row>
    <row r="423" spans="1:23">
      <c r="A423" s="37" t="s">
        <v>442</v>
      </c>
      <c r="B423" s="18" t="str">
        <f>IFERROR(HYPERLINK(VLOOKUP(A423,ÜRÜNLER!A:C,3,FALSE),VLOOKUP(A423,ÜRÜNLER!A:B,2,FALSE)),"")</f>
        <v>Toz torbalı Süpürge synchropower, 600w, Mavi</v>
      </c>
      <c r="C423" s="19" t="s">
        <v>1883</v>
      </c>
      <c r="D423" s="19" t="s">
        <v>1883</v>
      </c>
      <c r="E423" s="20">
        <v>0</v>
      </c>
      <c r="F423" s="20">
        <v>0</v>
      </c>
      <c r="G423" s="20">
        <v>1</v>
      </c>
      <c r="H423" s="20">
        <v>0</v>
      </c>
      <c r="I423" s="21">
        <v>3</v>
      </c>
      <c r="J423" s="21">
        <v>0</v>
      </c>
      <c r="K423" s="20">
        <v>0</v>
      </c>
      <c r="L423" s="20">
        <v>0</v>
      </c>
      <c r="M423" s="21">
        <v>0</v>
      </c>
      <c r="N423" s="22">
        <f t="shared" si="32"/>
        <v>4</v>
      </c>
      <c r="O423" s="23" t="s">
        <v>1883</v>
      </c>
      <c r="P423" s="24" t="s">
        <v>27</v>
      </c>
      <c r="Q423" s="25">
        <v>7451.9182651450965</v>
      </c>
      <c r="R423" s="91">
        <v>7079.3223518878422</v>
      </c>
      <c r="S423" s="27">
        <f t="shared" si="34"/>
        <v>7362.495245963356</v>
      </c>
      <c r="T423" s="27">
        <f t="shared" si="35"/>
        <v>7645.6681400388698</v>
      </c>
      <c r="U423" s="25" t="s">
        <v>1883</v>
      </c>
      <c r="V423" s="26" t="s">
        <v>1883</v>
      </c>
      <c r="W423" s="70">
        <v>500</v>
      </c>
    </row>
    <row r="424" spans="1:23">
      <c r="A424" s="37" t="s">
        <v>443</v>
      </c>
      <c r="B424" s="18" t="str">
        <f>IFERROR(HYPERLINK(VLOOKUP(A424,ÜRÜNLER!A:C,3,FALSE),VLOOKUP(A424,ÜRÜNLER!A:B,2,FALSE)),"")</f>
        <v>iQ300 Toz Torbalı Süpürge, 600w, Kırmızı</v>
      </c>
      <c r="C424" s="19" t="s">
        <v>1883</v>
      </c>
      <c r="D424" s="19" t="s">
        <v>1883</v>
      </c>
      <c r="E424" s="20">
        <v>0</v>
      </c>
      <c r="F424" s="20">
        <v>21</v>
      </c>
      <c r="G424" s="20">
        <v>0</v>
      </c>
      <c r="H424" s="20">
        <v>0</v>
      </c>
      <c r="I424" s="21">
        <v>1</v>
      </c>
      <c r="J424" s="21">
        <v>0</v>
      </c>
      <c r="K424" s="20">
        <v>0</v>
      </c>
      <c r="L424" s="20">
        <v>0</v>
      </c>
      <c r="M424" s="21">
        <v>3</v>
      </c>
      <c r="N424" s="22">
        <f t="shared" si="32"/>
        <v>25</v>
      </c>
      <c r="O424" s="23" t="s">
        <v>1883</v>
      </c>
      <c r="P424" s="24" t="s">
        <v>27</v>
      </c>
      <c r="Q424" s="25">
        <v>8166.1896306137169</v>
      </c>
      <c r="R424" s="91">
        <v>7757.880149083031</v>
      </c>
      <c r="S424" s="27">
        <f t="shared" si="34"/>
        <v>8068.1953550463522</v>
      </c>
      <c r="T424" s="27">
        <f t="shared" si="35"/>
        <v>8378.5105610096743</v>
      </c>
      <c r="U424" s="25" t="s">
        <v>1883</v>
      </c>
      <c r="V424" s="26" t="s">
        <v>1883</v>
      </c>
      <c r="W424" s="70">
        <v>500</v>
      </c>
    </row>
    <row r="425" spans="1:23">
      <c r="A425" s="38" t="s">
        <v>444</v>
      </c>
      <c r="B425" s="18" t="str">
        <f>IFERROR(HYPERLINK(VLOOKUP(A425,ÜRÜNLER!A:C,3,FALSE),VLOOKUP(A425,ÜRÜNLER!A:B,2,FALSE)),"")</f>
        <v>iQ300 Toz Torbalı Süpürge, 600w, Mavi</v>
      </c>
      <c r="C425" s="19" t="s">
        <v>1883</v>
      </c>
      <c r="D425" s="19" t="s">
        <v>1883</v>
      </c>
      <c r="E425" s="20">
        <v>0</v>
      </c>
      <c r="F425" s="20">
        <v>3</v>
      </c>
      <c r="G425" s="20">
        <v>0</v>
      </c>
      <c r="H425" s="20">
        <v>0</v>
      </c>
      <c r="I425" s="21">
        <v>1</v>
      </c>
      <c r="J425" s="21">
        <v>3</v>
      </c>
      <c r="K425" s="20">
        <v>0</v>
      </c>
      <c r="L425" s="20">
        <v>2</v>
      </c>
      <c r="M425" s="21">
        <v>1</v>
      </c>
      <c r="N425" s="22">
        <f t="shared" si="32"/>
        <v>10</v>
      </c>
      <c r="O425" s="23" t="s">
        <v>1883</v>
      </c>
      <c r="P425" s="24" t="s">
        <v>27</v>
      </c>
      <c r="Q425" s="25" t="s">
        <v>1884</v>
      </c>
      <c r="R425" s="35">
        <v>6599</v>
      </c>
      <c r="S425" s="27">
        <f t="shared" si="34"/>
        <v>6862.96</v>
      </c>
      <c r="T425" s="27">
        <f t="shared" si="35"/>
        <v>7126.92</v>
      </c>
      <c r="U425" s="25" t="s">
        <v>1883</v>
      </c>
      <c r="V425" s="26" t="s">
        <v>1883</v>
      </c>
      <c r="W425" s="70">
        <v>500</v>
      </c>
    </row>
    <row r="426" spans="1:23">
      <c r="A426" s="38" t="s">
        <v>445</v>
      </c>
      <c r="B426" s="18" t="str">
        <f>IFERROR(HYPERLINK(VLOOKUP(A426,ÜRÜNLER!A:C,3,FALSE),VLOOKUP(A426,ÜRÜNLER!A:B,2,FALSE)),"")</f>
        <v>iQ300 Toz Torbalı Süpürge, 600w, Açık Mavi</v>
      </c>
      <c r="C426" s="19" t="s">
        <v>1883</v>
      </c>
      <c r="D426" s="19" t="s">
        <v>1883</v>
      </c>
      <c r="E426" s="20">
        <v>0</v>
      </c>
      <c r="F426" s="20">
        <v>0</v>
      </c>
      <c r="G426" s="20">
        <v>0</v>
      </c>
      <c r="H426" s="20">
        <v>0</v>
      </c>
      <c r="I426" s="21">
        <v>0</v>
      </c>
      <c r="J426" s="21">
        <v>0</v>
      </c>
      <c r="K426" s="20">
        <v>0</v>
      </c>
      <c r="L426" s="20">
        <v>0</v>
      </c>
      <c r="M426" s="21">
        <v>1</v>
      </c>
      <c r="N426" s="22">
        <f t="shared" si="32"/>
        <v>1</v>
      </c>
      <c r="O426" s="23" t="s">
        <v>1883</v>
      </c>
      <c r="P426" s="24" t="s">
        <v>27</v>
      </c>
      <c r="Q426" s="25" t="s">
        <v>1884</v>
      </c>
      <c r="R426" s="26">
        <v>5999</v>
      </c>
      <c r="S426" s="27">
        <f t="shared" si="34"/>
        <v>6238.96</v>
      </c>
      <c r="T426" s="27">
        <f t="shared" si="35"/>
        <v>6478.92</v>
      </c>
      <c r="U426" s="25" t="s">
        <v>1883</v>
      </c>
      <c r="V426" s="26" t="s">
        <v>1883</v>
      </c>
      <c r="W426" s="70">
        <v>500</v>
      </c>
    </row>
    <row r="427" spans="1:23">
      <c r="A427" s="37" t="s">
        <v>446</v>
      </c>
      <c r="B427" s="18" t="str">
        <f>IFERROR(HYPERLINK(VLOOKUP(A427,ÜRÜNLER!A:C,3,FALSE),VLOOKUP(A427,ÜRÜNLER!A:B,2,FALSE)),"")</f>
        <v>iQ700 Toz Torbalı Süpürge, 650w, Beyaz</v>
      </c>
      <c r="C427" s="19" t="s">
        <v>1883</v>
      </c>
      <c r="D427" s="19" t="s">
        <v>1883</v>
      </c>
      <c r="E427" s="20">
        <v>0</v>
      </c>
      <c r="F427" s="20">
        <v>2</v>
      </c>
      <c r="G427" s="20">
        <v>5</v>
      </c>
      <c r="H427" s="20">
        <v>0</v>
      </c>
      <c r="I427" s="21">
        <v>2</v>
      </c>
      <c r="J427" s="21">
        <v>3</v>
      </c>
      <c r="K427" s="20">
        <v>2</v>
      </c>
      <c r="L427" s="20">
        <v>2</v>
      </c>
      <c r="M427" s="21">
        <v>2</v>
      </c>
      <c r="N427" s="22">
        <f t="shared" si="32"/>
        <v>18</v>
      </c>
      <c r="O427" s="23" t="s">
        <v>1883</v>
      </c>
      <c r="P427" s="24" t="s">
        <v>27</v>
      </c>
      <c r="Q427" s="25" t="s">
        <v>1884</v>
      </c>
      <c r="R427" s="91">
        <v>16516.32588779935</v>
      </c>
      <c r="S427" s="27">
        <f t="shared" si="34"/>
        <v>17176.978923311326</v>
      </c>
      <c r="T427" s="27">
        <f t="shared" si="35"/>
        <v>17837.631958823298</v>
      </c>
      <c r="U427" s="25" t="s">
        <v>1883</v>
      </c>
      <c r="V427" s="26" t="s">
        <v>1883</v>
      </c>
      <c r="W427" s="70">
        <v>500</v>
      </c>
    </row>
    <row r="428" spans="1:23">
      <c r="A428" s="37" t="s">
        <v>447</v>
      </c>
      <c r="B428" s="18" t="str">
        <f>IFERROR(HYPERLINK(VLOOKUP(A428,ÜRÜNLER!A:C,3,FALSE),VLOOKUP(A428,ÜRÜNLER!A:B,2,FALSE)),"")</f>
        <v>iQ700 Toz Torbalı Süpürge, 650w, Kırmızı</v>
      </c>
      <c r="C428" s="19" t="s">
        <v>1883</v>
      </c>
      <c r="D428" s="19" t="s">
        <v>1883</v>
      </c>
      <c r="E428" s="20">
        <v>0</v>
      </c>
      <c r="F428" s="20">
        <v>0</v>
      </c>
      <c r="G428" s="20">
        <v>0</v>
      </c>
      <c r="H428" s="20">
        <v>0</v>
      </c>
      <c r="I428" s="21">
        <v>1</v>
      </c>
      <c r="J428" s="21">
        <v>0</v>
      </c>
      <c r="K428" s="20">
        <v>0</v>
      </c>
      <c r="L428" s="20">
        <v>0</v>
      </c>
      <c r="M428" s="21">
        <v>1</v>
      </c>
      <c r="N428" s="22">
        <f t="shared" si="32"/>
        <v>2</v>
      </c>
      <c r="O428" s="23" t="s">
        <v>1883</v>
      </c>
      <c r="P428" s="24" t="s">
        <v>27</v>
      </c>
      <c r="Q428" s="25" t="s">
        <v>1884</v>
      </c>
      <c r="R428" s="26">
        <v>10999</v>
      </c>
      <c r="S428" s="27">
        <f t="shared" si="34"/>
        <v>11438.960000000001</v>
      </c>
      <c r="T428" s="27">
        <f t="shared" si="35"/>
        <v>11878.92</v>
      </c>
      <c r="U428" s="25" t="s">
        <v>1883</v>
      </c>
      <c r="V428" s="26" t="s">
        <v>1883</v>
      </c>
      <c r="W428" s="70">
        <v>500</v>
      </c>
    </row>
    <row r="429" spans="1:23">
      <c r="A429" s="37" t="s">
        <v>448</v>
      </c>
      <c r="B429" s="18" t="str">
        <f>IFERROR(HYPERLINK(VLOOKUP(A429,ÜRÜNLER!A:C,3,FALSE),VLOOKUP(A429,ÜRÜNLER!A:B,2,FALSE)),"")</f>
        <v>iQ300 Plus Limited Edition Toz Torbalı Elektrik Süpürgesi, 750w, Kırmızı</v>
      </c>
      <c r="C429" s="19">
        <v>4</v>
      </c>
      <c r="D429" s="19" t="s">
        <v>1883</v>
      </c>
      <c r="E429" s="20">
        <v>0</v>
      </c>
      <c r="F429" s="20">
        <v>8</v>
      </c>
      <c r="G429" s="20">
        <v>0</v>
      </c>
      <c r="H429" s="20">
        <v>0</v>
      </c>
      <c r="I429" s="21">
        <v>2</v>
      </c>
      <c r="J429" s="21">
        <v>3</v>
      </c>
      <c r="K429" s="20">
        <v>1</v>
      </c>
      <c r="L429" s="20">
        <v>0</v>
      </c>
      <c r="M429" s="21">
        <v>3</v>
      </c>
      <c r="N429" s="22">
        <f t="shared" si="32"/>
        <v>21</v>
      </c>
      <c r="O429" s="23" t="s">
        <v>1883</v>
      </c>
      <c r="P429" s="24" t="s">
        <v>27</v>
      </c>
      <c r="Q429" s="25">
        <v>12910.150023285087</v>
      </c>
      <c r="R429" s="91">
        <v>12264.642522120832</v>
      </c>
      <c r="S429" s="27">
        <f t="shared" si="34"/>
        <v>12755.228223005666</v>
      </c>
      <c r="T429" s="27">
        <f t="shared" si="35"/>
        <v>13245.813923890499</v>
      </c>
      <c r="U429" s="25" t="s">
        <v>1883</v>
      </c>
      <c r="V429" s="26" t="s">
        <v>1883</v>
      </c>
      <c r="W429" s="70">
        <v>500</v>
      </c>
    </row>
    <row r="430" spans="1:23">
      <c r="A430" s="51" t="s">
        <v>449</v>
      </c>
      <c r="B430" s="18" t="str">
        <f>IFERROR(HYPERLINK(VLOOKUP(A430,ÜRÜNLER!A:C,3,FALSE),VLOOKUP(A430,ÜRÜNLER!A:B,2,FALSE)),"")</f>
        <v>iQ300 Toz Torbasız Süpürge, 550w, Kırmızı</v>
      </c>
      <c r="C430" s="19">
        <v>1</v>
      </c>
      <c r="D430" s="19" t="s">
        <v>1883</v>
      </c>
      <c r="E430" s="20">
        <v>0</v>
      </c>
      <c r="F430" s="20">
        <v>32</v>
      </c>
      <c r="G430" s="20">
        <v>0</v>
      </c>
      <c r="H430" s="20">
        <v>0</v>
      </c>
      <c r="I430" s="21">
        <v>4</v>
      </c>
      <c r="J430" s="21">
        <v>3</v>
      </c>
      <c r="K430" s="20">
        <v>2</v>
      </c>
      <c r="L430" s="20">
        <v>19</v>
      </c>
      <c r="M430" s="21">
        <v>2</v>
      </c>
      <c r="N430" s="22">
        <f t="shared" si="32"/>
        <v>63</v>
      </c>
      <c r="O430" s="23" t="s">
        <v>1883</v>
      </c>
      <c r="P430" s="24" t="s">
        <v>27</v>
      </c>
      <c r="Q430" s="25">
        <v>9329.5892054167198</v>
      </c>
      <c r="R430" s="91">
        <v>8863.1097451458845</v>
      </c>
      <c r="S430" s="27">
        <f t="shared" si="34"/>
        <v>9217.6341349517206</v>
      </c>
      <c r="T430" s="27">
        <f t="shared" si="35"/>
        <v>9572.1585247575567</v>
      </c>
      <c r="U430" s="25" t="s">
        <v>1883</v>
      </c>
      <c r="V430" s="26" t="s">
        <v>1883</v>
      </c>
      <c r="W430" s="70">
        <v>500</v>
      </c>
    </row>
    <row r="431" spans="1:23">
      <c r="A431" s="51" t="s">
        <v>450</v>
      </c>
      <c r="B431" s="18" t="str">
        <f>IFERROR(HYPERLINK(VLOOKUP(A431,ÜRÜNLER!A:C,3,FALSE),VLOOKUP(A431,ÜRÜNLER!A:B,2,FALSE)),"")</f>
        <v>iQ300 Toz Torbasız Süpürge, 750w, Mavi</v>
      </c>
      <c r="C431" s="19">
        <v>9</v>
      </c>
      <c r="D431" s="19" t="s">
        <v>1883</v>
      </c>
      <c r="E431" s="20">
        <v>0</v>
      </c>
      <c r="F431" s="20">
        <v>23</v>
      </c>
      <c r="G431" s="20">
        <v>0</v>
      </c>
      <c r="H431" s="20">
        <v>0</v>
      </c>
      <c r="I431" s="21">
        <v>1</v>
      </c>
      <c r="J431" s="21">
        <v>1</v>
      </c>
      <c r="K431" s="20">
        <v>2</v>
      </c>
      <c r="L431" s="20">
        <v>3</v>
      </c>
      <c r="M431" s="21">
        <v>1</v>
      </c>
      <c r="N431" s="22">
        <f t="shared" si="32"/>
        <v>40</v>
      </c>
      <c r="O431" s="23" t="s">
        <v>1883</v>
      </c>
      <c r="P431" s="24" t="s">
        <v>27</v>
      </c>
      <c r="Q431" s="25">
        <v>11737.75698688963</v>
      </c>
      <c r="R431" s="91">
        <v>11150.869137545149</v>
      </c>
      <c r="S431" s="27">
        <f t="shared" si="34"/>
        <v>11596.903903046956</v>
      </c>
      <c r="T431" s="27">
        <f t="shared" si="35"/>
        <v>12042.938668548763</v>
      </c>
      <c r="U431" s="25" t="s">
        <v>1883</v>
      </c>
      <c r="V431" s="26" t="s">
        <v>1883</v>
      </c>
      <c r="W431" s="70">
        <v>500</v>
      </c>
    </row>
    <row r="432" spans="1:23">
      <c r="A432" s="51" t="s">
        <v>451</v>
      </c>
      <c r="B432" s="18" t="str">
        <f>IFERROR(HYPERLINK(VLOOKUP(A432,ÜRÜNLER!A:C,3,FALSE),VLOOKUP(A432,ÜRÜNLER!A:B,2,FALSE)),"")</f>
        <v>iQ500 Toz Torbasız Süpürge, 550w, Kırmızı</v>
      </c>
      <c r="C432" s="19">
        <v>34</v>
      </c>
      <c r="D432" s="19" t="s">
        <v>1883</v>
      </c>
      <c r="E432" s="20">
        <v>0</v>
      </c>
      <c r="F432" s="20">
        <v>9</v>
      </c>
      <c r="G432" s="20">
        <v>0</v>
      </c>
      <c r="H432" s="20">
        <v>0</v>
      </c>
      <c r="I432" s="21">
        <v>1</v>
      </c>
      <c r="J432" s="21">
        <v>2</v>
      </c>
      <c r="K432" s="20">
        <v>1</v>
      </c>
      <c r="L432" s="20">
        <v>4</v>
      </c>
      <c r="M432" s="21">
        <v>3</v>
      </c>
      <c r="N432" s="22">
        <f t="shared" si="32"/>
        <v>54</v>
      </c>
      <c r="O432" s="23" t="s">
        <v>1883</v>
      </c>
      <c r="P432" s="24" t="s">
        <v>27</v>
      </c>
      <c r="Q432" s="25">
        <v>9871.5791363894023</v>
      </c>
      <c r="R432" s="91">
        <v>9378.0001795699318</v>
      </c>
      <c r="S432" s="27">
        <f t="shared" si="34"/>
        <v>9753.1201867527288</v>
      </c>
      <c r="T432" s="27">
        <f t="shared" si="35"/>
        <v>10128.240193935528</v>
      </c>
      <c r="U432" s="25" t="s">
        <v>1883</v>
      </c>
      <c r="V432" s="26" t="s">
        <v>1883</v>
      </c>
      <c r="W432" s="70">
        <v>500</v>
      </c>
    </row>
    <row r="433" spans="1:23">
      <c r="A433" s="51" t="s">
        <v>452</v>
      </c>
      <c r="B433" s="18" t="str">
        <f>IFERROR(HYPERLINK(VLOOKUP(A433,ÜRÜNLER!A:C,3,FALSE),VLOOKUP(A433,ÜRÜNLER!A:B,2,FALSE)),"")</f>
        <v>iQ500 Toz Torbasız Süpürge, 550w, Mavi</v>
      </c>
      <c r="C433" s="19" t="s">
        <v>1883</v>
      </c>
      <c r="D433" s="19" t="s">
        <v>1883</v>
      </c>
      <c r="E433" s="20">
        <v>0</v>
      </c>
      <c r="F433" s="20">
        <v>0</v>
      </c>
      <c r="G433" s="20">
        <v>0</v>
      </c>
      <c r="H433" s="20">
        <v>0</v>
      </c>
      <c r="I433" s="21">
        <v>1</v>
      </c>
      <c r="J433" s="21">
        <v>0</v>
      </c>
      <c r="K433" s="20">
        <v>0</v>
      </c>
      <c r="L433" s="20">
        <v>1</v>
      </c>
      <c r="M433" s="21">
        <v>0</v>
      </c>
      <c r="N433" s="22">
        <f t="shared" si="32"/>
        <v>2</v>
      </c>
      <c r="O433" s="23" t="s">
        <v>1883</v>
      </c>
      <c r="P433" s="24" t="s">
        <v>27</v>
      </c>
      <c r="Q433" s="25" t="s">
        <v>1884</v>
      </c>
      <c r="R433" s="35">
        <v>6500</v>
      </c>
      <c r="S433" s="27">
        <f t="shared" si="34"/>
        <v>6760</v>
      </c>
      <c r="T433" s="27">
        <f t="shared" si="35"/>
        <v>7020.0000000000009</v>
      </c>
      <c r="U433" s="25" t="s">
        <v>1883</v>
      </c>
      <c r="V433" s="26" t="s">
        <v>1883</v>
      </c>
      <c r="W433" s="70">
        <v>500</v>
      </c>
    </row>
    <row r="434" spans="1:23">
      <c r="A434" s="51" t="s">
        <v>453</v>
      </c>
      <c r="B434" s="18" t="str">
        <f>IFERROR(HYPERLINK(VLOOKUP(A434,ÜRÜNLER!A:C,3,FALSE),VLOOKUP(A434,ÜRÜNLER!A:B,2,FALSE)),"")</f>
        <v>iQ500 Toz Torbasız Elektrik Süpürgesi, 750w, Siyah</v>
      </c>
      <c r="C434" s="19">
        <v>62</v>
      </c>
      <c r="D434" s="19" t="s">
        <v>1883</v>
      </c>
      <c r="E434" s="20">
        <v>0</v>
      </c>
      <c r="F434" s="20">
        <v>25</v>
      </c>
      <c r="G434" s="20">
        <v>0</v>
      </c>
      <c r="H434" s="20">
        <v>0</v>
      </c>
      <c r="I434" s="21">
        <v>6</v>
      </c>
      <c r="J434" s="21">
        <v>2</v>
      </c>
      <c r="K434" s="20">
        <v>2</v>
      </c>
      <c r="L434" s="20">
        <v>2</v>
      </c>
      <c r="M434" s="21">
        <v>7</v>
      </c>
      <c r="N434" s="22">
        <f t="shared" si="32"/>
        <v>106</v>
      </c>
      <c r="O434" s="23" t="s">
        <v>1883</v>
      </c>
      <c r="P434" s="24" t="s">
        <v>27</v>
      </c>
      <c r="Q434" s="25">
        <v>12831.173588233061</v>
      </c>
      <c r="R434" s="91">
        <v>12189.614908821408</v>
      </c>
      <c r="S434" s="27">
        <f t="shared" si="34"/>
        <v>12677.199505174265</v>
      </c>
      <c r="T434" s="27">
        <f t="shared" si="35"/>
        <v>13164.784101527121</v>
      </c>
      <c r="U434" s="25" t="s">
        <v>1883</v>
      </c>
      <c r="V434" s="26" t="s">
        <v>1883</v>
      </c>
      <c r="W434" s="70">
        <v>500</v>
      </c>
    </row>
    <row r="435" spans="1:23">
      <c r="A435" s="51" t="s">
        <v>454</v>
      </c>
      <c r="B435" s="18" t="str">
        <f>IFERROR(HYPERLINK(VLOOKUP(A435,ÜRÜNLER!A:C,3,FALSE),VLOOKUP(A435,ÜRÜNLER!A:B,2,FALSE)),"")</f>
        <v>Siemens Toz Torbasız Süpürge, 600w, Kırmızı</v>
      </c>
      <c r="C435" s="19" t="s">
        <v>1883</v>
      </c>
      <c r="D435" s="19" t="s">
        <v>1883</v>
      </c>
      <c r="E435" s="20">
        <v>0</v>
      </c>
      <c r="F435" s="20">
        <v>0</v>
      </c>
      <c r="G435" s="20">
        <v>0</v>
      </c>
      <c r="H435" s="20">
        <v>0</v>
      </c>
      <c r="I435" s="21">
        <v>1</v>
      </c>
      <c r="J435" s="21">
        <v>0</v>
      </c>
      <c r="K435" s="20">
        <v>0</v>
      </c>
      <c r="L435" s="20">
        <v>0</v>
      </c>
      <c r="M435" s="21">
        <v>0</v>
      </c>
      <c r="N435" s="22">
        <f t="shared" si="32"/>
        <v>1</v>
      </c>
      <c r="O435" s="23" t="s">
        <v>1883</v>
      </c>
      <c r="P435" s="24" t="s">
        <v>27</v>
      </c>
      <c r="Q435" s="25" t="s">
        <v>1884</v>
      </c>
      <c r="R435" s="26">
        <v>4999</v>
      </c>
      <c r="S435" s="27">
        <f t="shared" si="34"/>
        <v>5198.96</v>
      </c>
      <c r="T435" s="27">
        <f t="shared" si="35"/>
        <v>5398.92</v>
      </c>
      <c r="U435" s="25" t="s">
        <v>1883</v>
      </c>
      <c r="V435" s="26" t="s">
        <v>1883</v>
      </c>
      <c r="W435" s="70">
        <v>500</v>
      </c>
    </row>
    <row r="436" spans="1:23">
      <c r="A436" s="51" t="s">
        <v>455</v>
      </c>
      <c r="B436" s="18" t="str">
        <f>IFERROR(HYPERLINK(VLOOKUP(A436,ÜRÜNLER!A:C,3,FALSE),VLOOKUP(A436,ÜRÜNLER!A:B,2,FALSE)),"")</f>
        <v>iQ700 Toz Torbasız Elektrik Süpürgesi, 850w, Siyah</v>
      </c>
      <c r="C436" s="19" t="s">
        <v>1883</v>
      </c>
      <c r="D436" s="19" t="s">
        <v>1883</v>
      </c>
      <c r="E436" s="20">
        <v>0</v>
      </c>
      <c r="F436" s="20">
        <v>33</v>
      </c>
      <c r="G436" s="20">
        <v>0</v>
      </c>
      <c r="H436" s="20">
        <v>0</v>
      </c>
      <c r="I436" s="21">
        <v>6</v>
      </c>
      <c r="J436" s="21">
        <v>12</v>
      </c>
      <c r="K436" s="20">
        <v>3</v>
      </c>
      <c r="L436" s="20">
        <v>8</v>
      </c>
      <c r="M436" s="21">
        <v>4</v>
      </c>
      <c r="N436" s="22">
        <f t="shared" si="32"/>
        <v>66</v>
      </c>
      <c r="O436" s="23" t="s">
        <v>1883</v>
      </c>
      <c r="P436" s="24" t="s">
        <v>27</v>
      </c>
      <c r="Q436" s="25">
        <v>22495.690475656058</v>
      </c>
      <c r="R436" s="91">
        <v>21370.905951873254</v>
      </c>
      <c r="S436" s="27">
        <f t="shared" si="34"/>
        <v>22225.742189948185</v>
      </c>
      <c r="T436" s="27">
        <f t="shared" si="35"/>
        <v>23080.578428023116</v>
      </c>
      <c r="U436" s="25" t="s">
        <v>1883</v>
      </c>
      <c r="V436" s="26" t="s">
        <v>1883</v>
      </c>
      <c r="W436" s="70">
        <v>500</v>
      </c>
    </row>
    <row r="437" spans="1:23" ht="36.75" customHeight="1">
      <c r="A437" s="98" t="s">
        <v>456</v>
      </c>
      <c r="B437" s="18"/>
      <c r="C437" s="19"/>
      <c r="D437" s="19"/>
      <c r="E437" s="20"/>
      <c r="F437" s="20"/>
      <c r="G437" s="20"/>
      <c r="H437" s="20"/>
      <c r="I437" s="21"/>
      <c r="J437" s="21"/>
      <c r="K437" s="20"/>
      <c r="L437" s="20"/>
      <c r="M437" s="21"/>
      <c r="N437" s="22"/>
      <c r="O437" s="23"/>
      <c r="P437" s="24" t="s">
        <v>1883</v>
      </c>
      <c r="R437" s="26"/>
      <c r="S437" s="27"/>
      <c r="T437" s="27"/>
      <c r="U437" s="25"/>
      <c r="V437" s="26"/>
      <c r="W437" s="26"/>
    </row>
    <row r="438" spans="1:23">
      <c r="A438" s="37" t="s">
        <v>457</v>
      </c>
      <c r="B438" s="18" t="str">
        <f>IFERROR(HYPERLINK(VLOOKUP(A438,ÜRÜNLER!A:C,3,FALSE),VLOOKUP(A438,ÜRÜNLER!A:B,2,FALSE)),"")</f>
        <v>Soğuk Su Sebili, Gri</v>
      </c>
      <c r="C438" s="19" t="s">
        <v>1883</v>
      </c>
      <c r="D438" s="19" t="s">
        <v>1883</v>
      </c>
      <c r="E438" s="20">
        <v>0</v>
      </c>
      <c r="F438" s="20">
        <v>1</v>
      </c>
      <c r="G438" s="20">
        <v>0</v>
      </c>
      <c r="H438" s="20">
        <v>0</v>
      </c>
      <c r="I438" s="21">
        <v>2</v>
      </c>
      <c r="J438" s="21">
        <v>2</v>
      </c>
      <c r="K438" s="20">
        <v>1</v>
      </c>
      <c r="L438" s="20">
        <v>7</v>
      </c>
      <c r="M438" s="21">
        <v>1</v>
      </c>
      <c r="N438" s="22">
        <f t="shared" si="32"/>
        <v>14</v>
      </c>
      <c r="O438" s="23">
        <v>1</v>
      </c>
      <c r="P438" s="24" t="s">
        <v>27</v>
      </c>
      <c r="Q438" s="25">
        <v>12742.288591412163</v>
      </c>
      <c r="R438" s="33">
        <v>14016.51745055338</v>
      </c>
      <c r="S438" s="27">
        <f t="shared" ref="S438:S442" si="36">R438*1.04</f>
        <v>14577.178148575515</v>
      </c>
      <c r="T438" s="27">
        <f t="shared" ref="T438:T442" si="37">R438*1.08</f>
        <v>15137.838846597651</v>
      </c>
      <c r="U438" s="25" t="s">
        <v>1883</v>
      </c>
      <c r="V438" s="26" t="s">
        <v>1883</v>
      </c>
      <c r="W438" s="70">
        <v>500</v>
      </c>
    </row>
    <row r="439" spans="1:23">
      <c r="A439" s="37" t="s">
        <v>458</v>
      </c>
      <c r="B439" s="18" t="str">
        <f>IFERROR(HYPERLINK(VLOOKUP(A439,ÜRÜNLER!A:C,3,FALSE),VLOOKUP(A439,ÜRÜNLER!A:B,2,FALSE)),"")</f>
        <v>Soğuk Su Sebili, Siyah/Gri, Dokunmatik</v>
      </c>
      <c r="C439" s="19" t="s">
        <v>1883</v>
      </c>
      <c r="D439" s="19" t="s">
        <v>1883</v>
      </c>
      <c r="E439" s="20">
        <v>0</v>
      </c>
      <c r="F439" s="20">
        <v>1</v>
      </c>
      <c r="G439" s="20">
        <v>0</v>
      </c>
      <c r="H439" s="20">
        <v>0</v>
      </c>
      <c r="I439" s="21">
        <v>0</v>
      </c>
      <c r="J439" s="21">
        <v>1</v>
      </c>
      <c r="K439" s="20">
        <v>0</v>
      </c>
      <c r="L439" s="20">
        <v>4</v>
      </c>
      <c r="M439" s="21">
        <v>1</v>
      </c>
      <c r="N439" s="22">
        <f t="shared" si="32"/>
        <v>7</v>
      </c>
      <c r="O439" s="23">
        <v>1</v>
      </c>
      <c r="P439" s="24" t="s">
        <v>27</v>
      </c>
      <c r="Q439" s="25">
        <v>18551.443860048468</v>
      </c>
      <c r="R439" s="91">
        <v>17623.871667046045</v>
      </c>
      <c r="S439" s="27">
        <f t="shared" si="36"/>
        <v>18328.826533727886</v>
      </c>
      <c r="T439" s="27">
        <f t="shared" si="37"/>
        <v>19033.781400409731</v>
      </c>
      <c r="U439" s="25" t="s">
        <v>1883</v>
      </c>
      <c r="V439" s="26" t="s">
        <v>1883</v>
      </c>
      <c r="W439" s="70">
        <v>500</v>
      </c>
    </row>
    <row r="440" spans="1:23">
      <c r="A440" s="37" t="s">
        <v>459</v>
      </c>
      <c r="B440" s="18" t="str">
        <f>IFERROR(HYPERLINK(VLOOKUP(A440,ÜRÜNLER!A:C,3,FALSE),VLOOKUP(A440,ÜRÜNLER!A:B,2,FALSE)),"")</f>
        <v>Soğuk Su Sebili, Siyah/Gri</v>
      </c>
      <c r="C440" s="19" t="s">
        <v>1883</v>
      </c>
      <c r="D440" s="19" t="s">
        <v>1883</v>
      </c>
      <c r="E440" s="20">
        <v>0</v>
      </c>
      <c r="F440" s="20">
        <v>0</v>
      </c>
      <c r="G440" s="20">
        <v>0</v>
      </c>
      <c r="H440" s="20">
        <v>0</v>
      </c>
      <c r="I440" s="21">
        <v>1</v>
      </c>
      <c r="J440" s="21">
        <v>0</v>
      </c>
      <c r="K440" s="20">
        <v>1</v>
      </c>
      <c r="L440" s="20">
        <v>0</v>
      </c>
      <c r="M440" s="21">
        <v>1</v>
      </c>
      <c r="N440" s="22">
        <f t="shared" si="32"/>
        <v>3</v>
      </c>
      <c r="O440" s="23">
        <v>1</v>
      </c>
      <c r="P440" s="24" t="s">
        <v>27</v>
      </c>
      <c r="Q440" s="25">
        <v>18330.864713595052</v>
      </c>
      <c r="R440" s="91">
        <v>17414.321477915299</v>
      </c>
      <c r="S440" s="27">
        <f t="shared" si="36"/>
        <v>18110.89433703191</v>
      </c>
      <c r="T440" s="27">
        <f t="shared" si="37"/>
        <v>18807.467196148522</v>
      </c>
      <c r="U440" s="25" t="s">
        <v>1883</v>
      </c>
      <c r="V440" s="26" t="s">
        <v>1883</v>
      </c>
      <c r="W440" s="70">
        <v>500</v>
      </c>
    </row>
    <row r="441" spans="1:23">
      <c r="A441" s="37" t="s">
        <v>460</v>
      </c>
      <c r="B441" s="18" t="str">
        <f>IFERROR(HYPERLINK(VLOOKUP(A441,ÜRÜNLER!A:C,3,FALSE),VLOOKUP(A441,ÜRÜNLER!A:B,2,FALSE)),"")</f>
        <v>Sıcak/Soğuk Su Sebili, Beyaz</v>
      </c>
      <c r="C441" s="19">
        <v>12</v>
      </c>
      <c r="D441" s="19" t="s">
        <v>1883</v>
      </c>
      <c r="E441" s="20">
        <v>0</v>
      </c>
      <c r="F441" s="20">
        <v>0</v>
      </c>
      <c r="G441" s="20">
        <v>0</v>
      </c>
      <c r="H441" s="20">
        <v>0</v>
      </c>
      <c r="I441" s="21">
        <v>2</v>
      </c>
      <c r="J441" s="21">
        <v>3</v>
      </c>
      <c r="K441" s="20">
        <v>1</v>
      </c>
      <c r="L441" s="20">
        <v>3</v>
      </c>
      <c r="M441" s="21">
        <v>1</v>
      </c>
      <c r="N441" s="22">
        <f t="shared" si="32"/>
        <v>22</v>
      </c>
      <c r="O441" s="23">
        <v>1</v>
      </c>
      <c r="P441" s="24" t="s">
        <v>27</v>
      </c>
      <c r="Q441" s="25">
        <v>16970.174539831067</v>
      </c>
      <c r="R441" s="91">
        <v>16121.665812839514</v>
      </c>
      <c r="S441" s="27">
        <f t="shared" si="36"/>
        <v>16766.532445353096</v>
      </c>
      <c r="T441" s="27">
        <f t="shared" si="37"/>
        <v>17411.399077866678</v>
      </c>
      <c r="U441" s="25" t="s">
        <v>1883</v>
      </c>
      <c r="V441" s="26" t="s">
        <v>1883</v>
      </c>
      <c r="W441" s="70">
        <v>500</v>
      </c>
    </row>
    <row r="442" spans="1:23">
      <c r="A442" s="37" t="s">
        <v>461</v>
      </c>
      <c r="B442" s="18" t="str">
        <f>IFERROR(HYPERLINK(VLOOKUP(A442,ÜRÜNLER!A:C,3,FALSE),VLOOKUP(A442,ÜRÜNLER!A:B,2,FALSE)),"")</f>
        <v>Soğuk Su Sebili, Siyah/Gri, Sensörlü</v>
      </c>
      <c r="C442" s="19" t="s">
        <v>1883</v>
      </c>
      <c r="D442" s="19" t="s">
        <v>1883</v>
      </c>
      <c r="E442" s="20">
        <v>0</v>
      </c>
      <c r="F442" s="20">
        <v>0</v>
      </c>
      <c r="G442" s="20">
        <v>0</v>
      </c>
      <c r="H442" s="20">
        <v>0</v>
      </c>
      <c r="I442" s="21">
        <v>0</v>
      </c>
      <c r="J442" s="21">
        <v>1</v>
      </c>
      <c r="K442" s="20">
        <v>0</v>
      </c>
      <c r="L442" s="20">
        <v>1</v>
      </c>
      <c r="M442" s="21">
        <v>0</v>
      </c>
      <c r="N442" s="22">
        <f t="shared" si="32"/>
        <v>2</v>
      </c>
      <c r="O442" s="23" t="s">
        <v>1883</v>
      </c>
      <c r="P442" s="24" t="s">
        <v>27</v>
      </c>
      <c r="Q442" s="25">
        <v>19431.285771511419</v>
      </c>
      <c r="R442" s="91">
        <v>18459.721482935849</v>
      </c>
      <c r="S442" s="27">
        <f t="shared" si="36"/>
        <v>19198.110342253283</v>
      </c>
      <c r="T442" s="27">
        <f t="shared" si="37"/>
        <v>19936.499201570718</v>
      </c>
      <c r="U442" s="25" t="s">
        <v>1883</v>
      </c>
      <c r="V442" s="26" t="s">
        <v>1883</v>
      </c>
      <c r="W442" s="70">
        <v>500</v>
      </c>
    </row>
    <row r="443" spans="1:23">
      <c r="A443" s="86" t="s">
        <v>462</v>
      </c>
      <c r="B443" s="18" t="str">
        <f>IFERROR(HYPERLINK(VLOOKUP(A443,ÜRÜNLER!A:C,3,FALSE),VLOOKUP(A443,ÜRÜNLER!A:B,2,FALSE)),"")</f>
        <v>Temizleme Tableti</v>
      </c>
      <c r="C443" s="19" t="s">
        <v>1883</v>
      </c>
      <c r="D443" s="19" t="s">
        <v>1883</v>
      </c>
      <c r="E443" s="20">
        <v>0</v>
      </c>
      <c r="F443" s="20">
        <v>46</v>
      </c>
      <c r="G443" s="20">
        <v>0</v>
      </c>
      <c r="H443" s="20">
        <v>0</v>
      </c>
      <c r="I443" s="21">
        <v>28</v>
      </c>
      <c r="J443" s="21">
        <v>21</v>
      </c>
      <c r="K443" s="20">
        <v>23</v>
      </c>
      <c r="L443" s="20">
        <v>6</v>
      </c>
      <c r="M443" s="21">
        <v>8</v>
      </c>
      <c r="N443" s="22">
        <f t="shared" si="32"/>
        <v>132</v>
      </c>
      <c r="O443" s="23" t="s">
        <v>1883</v>
      </c>
      <c r="P443" s="24" t="s">
        <v>27</v>
      </c>
      <c r="Q443" s="25">
        <v>496.55142206306078</v>
      </c>
      <c r="R443" s="26">
        <v>650</v>
      </c>
      <c r="S443" s="27">
        <v>700</v>
      </c>
      <c r="T443" s="27">
        <v>800</v>
      </c>
      <c r="U443" s="25" t="s">
        <v>1883</v>
      </c>
      <c r="V443" s="26" t="s">
        <v>1883</v>
      </c>
      <c r="W443" s="26">
        <v>50</v>
      </c>
    </row>
    <row r="444" spans="1:23">
      <c r="A444" s="86" t="s">
        <v>463</v>
      </c>
      <c r="B444" s="18" t="str">
        <f>IFERROR(HYPERLINK(VLOOKUP(A444,ÜRÜNLER!A:C,3,FALSE),VLOOKUP(A444,ÜRÜNLER!A:B,2,FALSE)),"")</f>
        <v>Kireç Temizleme Tableti</v>
      </c>
      <c r="C444" s="19" t="s">
        <v>1883</v>
      </c>
      <c r="D444" s="19" t="s">
        <v>1883</v>
      </c>
      <c r="E444" s="20">
        <v>0</v>
      </c>
      <c r="F444" s="20">
        <v>0</v>
      </c>
      <c r="G444" s="20">
        <v>0</v>
      </c>
      <c r="H444" s="20">
        <v>0</v>
      </c>
      <c r="I444" s="21">
        <v>33</v>
      </c>
      <c r="J444" s="21">
        <v>0</v>
      </c>
      <c r="K444" s="20">
        <v>1</v>
      </c>
      <c r="L444" s="20">
        <v>0</v>
      </c>
      <c r="M444" s="21">
        <v>11</v>
      </c>
      <c r="N444" s="22">
        <f t="shared" si="32"/>
        <v>45</v>
      </c>
      <c r="O444" s="23" t="s">
        <v>1883</v>
      </c>
      <c r="P444" s="24" t="s">
        <v>27</v>
      </c>
      <c r="Q444" s="25">
        <v>496.55142206306078</v>
      </c>
      <c r="R444" s="26">
        <v>650</v>
      </c>
      <c r="S444" s="27">
        <v>700</v>
      </c>
      <c r="T444" s="27">
        <v>800</v>
      </c>
      <c r="U444" s="25" t="s">
        <v>1883</v>
      </c>
      <c r="V444" s="26" t="s">
        <v>1883</v>
      </c>
      <c r="W444" s="26">
        <v>50</v>
      </c>
    </row>
    <row r="445" spans="1:23">
      <c r="A445" s="51" t="s">
        <v>464</v>
      </c>
      <c r="B445" s="18" t="str">
        <f>IFERROR(HYPERLINK(VLOOKUP(A445,ÜRÜNLER!A:C,3,FALSE),VLOOKUP(A445,ÜRÜNLER!A:B,2,FALSE)),"")</f>
        <v>3D Fry Tepsi</v>
      </c>
      <c r="C445" s="19">
        <v>25</v>
      </c>
      <c r="D445" s="19">
        <v>4</v>
      </c>
      <c r="E445" s="20">
        <v>0</v>
      </c>
      <c r="F445" s="20">
        <v>0</v>
      </c>
      <c r="G445" s="20">
        <v>12</v>
      </c>
      <c r="H445" s="20">
        <v>0</v>
      </c>
      <c r="I445" s="21">
        <v>2</v>
      </c>
      <c r="J445" s="21">
        <v>6</v>
      </c>
      <c r="K445" s="20">
        <v>2</v>
      </c>
      <c r="L445" s="20">
        <v>9</v>
      </c>
      <c r="M445" s="21">
        <v>3</v>
      </c>
      <c r="N445" s="22">
        <f t="shared" si="32"/>
        <v>63</v>
      </c>
      <c r="O445" s="23">
        <v>21</v>
      </c>
      <c r="P445" s="24" t="s">
        <v>27</v>
      </c>
      <c r="Q445" s="25">
        <v>344.31830133379674</v>
      </c>
      <c r="R445" s="26">
        <v>700</v>
      </c>
      <c r="S445" s="27">
        <v>750</v>
      </c>
      <c r="T445" s="27">
        <v>800</v>
      </c>
      <c r="U445" s="25" t="s">
        <v>1883</v>
      </c>
      <c r="V445" s="26" t="s">
        <v>1883</v>
      </c>
      <c r="W445" s="70">
        <v>100</v>
      </c>
    </row>
    <row r="446" spans="1:23">
      <c r="A446" s="51" t="s">
        <v>465</v>
      </c>
      <c r="B446" s="18" t="str">
        <f>IFERROR(HYPERLINK(VLOOKUP(A446,ÜRÜNLER!A:C,3,FALSE),VLOOKUP(A446,ÜRÜNLER!A:B,2,FALSE)),"")</f>
        <v>Siemens starter kit unducted recirculation</v>
      </c>
      <c r="C446" s="19">
        <v>2</v>
      </c>
      <c r="D446" s="19" t="s">
        <v>1883</v>
      </c>
      <c r="E446" s="20">
        <v>0</v>
      </c>
      <c r="F446" s="20">
        <v>0</v>
      </c>
      <c r="G446" s="20">
        <v>0</v>
      </c>
      <c r="H446" s="20">
        <v>0</v>
      </c>
      <c r="I446" s="21">
        <v>0</v>
      </c>
      <c r="J446" s="21">
        <v>0</v>
      </c>
      <c r="K446" s="20">
        <v>0</v>
      </c>
      <c r="L446" s="20">
        <v>0</v>
      </c>
      <c r="M446" s="21">
        <v>0</v>
      </c>
      <c r="N446" s="22">
        <f t="shared" si="32"/>
        <v>2</v>
      </c>
      <c r="O446" s="23" t="s">
        <v>1883</v>
      </c>
      <c r="P446" s="24" t="s">
        <v>27</v>
      </c>
      <c r="Q446" s="25" t="s">
        <v>1884</v>
      </c>
      <c r="R446" s="26">
        <v>750</v>
      </c>
      <c r="S446" s="27">
        <v>850</v>
      </c>
      <c r="T446" s="27">
        <v>900</v>
      </c>
      <c r="U446" s="25" t="s">
        <v>1883</v>
      </c>
      <c r="V446" s="26" t="s">
        <v>1883</v>
      </c>
      <c r="W446" s="70">
        <v>100</v>
      </c>
    </row>
    <row r="447" spans="1:23">
      <c r="A447" s="51" t="s">
        <v>466</v>
      </c>
      <c r="B447" s="18" t="str">
        <f>IFERROR(HYPERLINK(VLOOKUP(A447,ÜRÜNLER!A:C,3,FALSE),VLOOKUP(A447,ÜRÜNLER!A:B,2,FALSE)),"")</f>
        <v>Siemens Elektrikli Süpürgeler için Toz Torbası (P Tip) 4'lü Paket</v>
      </c>
      <c r="C447" s="19" t="s">
        <v>1883</v>
      </c>
      <c r="D447" s="19" t="s">
        <v>1883</v>
      </c>
      <c r="E447" s="20">
        <v>0</v>
      </c>
      <c r="F447" s="20">
        <v>0</v>
      </c>
      <c r="G447" s="20">
        <v>0</v>
      </c>
      <c r="H447" s="20">
        <v>0</v>
      </c>
      <c r="I447" s="21">
        <v>6</v>
      </c>
      <c r="J447" s="21">
        <v>0</v>
      </c>
      <c r="K447" s="20">
        <v>0</v>
      </c>
      <c r="L447" s="20">
        <v>0</v>
      </c>
      <c r="M447" s="21">
        <v>0</v>
      </c>
      <c r="N447" s="22">
        <f t="shared" si="32"/>
        <v>6</v>
      </c>
      <c r="O447" s="23" t="s">
        <v>1883</v>
      </c>
      <c r="P447" s="24" t="s">
        <v>27</v>
      </c>
      <c r="Q447" s="25" t="s">
        <v>1884</v>
      </c>
      <c r="R447" s="26">
        <v>550</v>
      </c>
      <c r="S447" s="27">
        <v>600</v>
      </c>
      <c r="T447" s="27">
        <v>650</v>
      </c>
      <c r="U447" s="25" t="s">
        <v>1883</v>
      </c>
      <c r="V447" s="26" t="s">
        <v>1883</v>
      </c>
      <c r="W447" s="70">
        <v>100</v>
      </c>
    </row>
    <row r="448" spans="1:23">
      <c r="A448" s="51" t="s">
        <v>467</v>
      </c>
      <c r="B448" s="18" t="str">
        <f>IFERROR(HYPERLINK(VLOOKUP(A448,ÜRÜNLER!A:C,3,FALSE),VLOOKUP(A448,ÜRÜNLER!A:B,2,FALSE)),"")</f>
        <v>Elektrik Süpürgesi Toz Torbası 4'lü</v>
      </c>
      <c r="C448" s="19">
        <v>2</v>
      </c>
      <c r="D448" s="19" t="s">
        <v>1883</v>
      </c>
      <c r="E448" s="20">
        <v>0</v>
      </c>
      <c r="F448" s="20">
        <v>0</v>
      </c>
      <c r="G448" s="20">
        <v>0</v>
      </c>
      <c r="H448" s="20">
        <v>0</v>
      </c>
      <c r="I448" s="21">
        <v>56</v>
      </c>
      <c r="J448" s="21">
        <v>48</v>
      </c>
      <c r="K448" s="20">
        <v>49</v>
      </c>
      <c r="L448" s="20">
        <v>2</v>
      </c>
      <c r="M448" s="21">
        <v>42</v>
      </c>
      <c r="N448" s="22">
        <f t="shared" si="32"/>
        <v>199</v>
      </c>
      <c r="O448" s="23" t="s">
        <v>1883</v>
      </c>
      <c r="P448" s="24" t="s">
        <v>27</v>
      </c>
      <c r="Q448" s="25">
        <v>339.60533291604213</v>
      </c>
      <c r="R448" s="26">
        <v>550</v>
      </c>
      <c r="S448" s="27">
        <v>600</v>
      </c>
      <c r="T448" s="27">
        <v>650</v>
      </c>
      <c r="U448" s="25" t="s">
        <v>1883</v>
      </c>
      <c r="V448" s="26" t="s">
        <v>1883</v>
      </c>
      <c r="W448" s="70">
        <v>100</v>
      </c>
    </row>
    <row r="449" spans="1:23">
      <c r="A449" s="51" t="s">
        <v>468</v>
      </c>
      <c r="B449" s="18" t="str">
        <f>IFERROR(HYPERLINK(VLOOKUP(A449,ÜRÜNLER!A:C,3,FALSE),VLOOKUP(A449,ÜRÜNLER!A:B,2,FALSE)),"")</f>
        <v>Siemens Trifaze Ani Su Isıtıcı</v>
      </c>
      <c r="C449" s="19" t="s">
        <v>1883</v>
      </c>
      <c r="D449" s="19" t="s">
        <v>1883</v>
      </c>
      <c r="E449" s="20">
        <v>0</v>
      </c>
      <c r="F449" s="20">
        <v>0</v>
      </c>
      <c r="G449" s="20">
        <v>0</v>
      </c>
      <c r="H449" s="20">
        <v>0</v>
      </c>
      <c r="I449" s="21">
        <v>0</v>
      </c>
      <c r="J449" s="21">
        <v>0</v>
      </c>
      <c r="K449" s="20">
        <v>0</v>
      </c>
      <c r="L449" s="20">
        <v>1</v>
      </c>
      <c r="M449" s="21">
        <v>0</v>
      </c>
      <c r="N449" s="22">
        <f t="shared" si="32"/>
        <v>1</v>
      </c>
      <c r="O449" s="23" t="s">
        <v>1883</v>
      </c>
      <c r="P449" s="24" t="s">
        <v>1883</v>
      </c>
      <c r="Q449" s="25" t="s">
        <v>1884</v>
      </c>
      <c r="R449" s="26">
        <v>39999</v>
      </c>
      <c r="S449" s="27">
        <f t="shared" ref="S449:S497" si="38">R449*1.04</f>
        <v>41598.959999999999</v>
      </c>
      <c r="T449" s="27">
        <f t="shared" ref="T449:T470" si="39">R449*1.08</f>
        <v>43198.920000000006</v>
      </c>
      <c r="U449" s="25" t="s">
        <v>1883</v>
      </c>
      <c r="V449" s="26" t="s">
        <v>1883</v>
      </c>
      <c r="W449" s="33">
        <v>250</v>
      </c>
    </row>
    <row r="450" spans="1:23">
      <c r="A450" s="51" t="s">
        <v>469</v>
      </c>
      <c r="B450" s="18" t="str">
        <f>IFERROR(HYPERLINK(VLOOKUP(A450,ÜRÜNLER!A:C,3,FALSE),VLOOKUP(A450,ÜRÜNLER!A:B,2,FALSE)),"")</f>
        <v>Siemens Trifaze Ani Su Isıtıcı</v>
      </c>
      <c r="C450" s="19" t="s">
        <v>1883</v>
      </c>
      <c r="D450" s="19" t="s">
        <v>1883</v>
      </c>
      <c r="E450" s="20">
        <v>0</v>
      </c>
      <c r="F450" s="20">
        <v>0</v>
      </c>
      <c r="G450" s="20">
        <v>0</v>
      </c>
      <c r="H450" s="20">
        <v>0</v>
      </c>
      <c r="I450" s="21">
        <v>1</v>
      </c>
      <c r="J450" s="21">
        <v>0</v>
      </c>
      <c r="K450" s="20">
        <v>0</v>
      </c>
      <c r="L450" s="20">
        <v>0</v>
      </c>
      <c r="M450" s="21">
        <v>0</v>
      </c>
      <c r="N450" s="22">
        <f t="shared" si="32"/>
        <v>1</v>
      </c>
      <c r="O450" s="23" t="s">
        <v>1883</v>
      </c>
      <c r="P450" s="24" t="s">
        <v>1883</v>
      </c>
      <c r="Q450" s="25" t="s">
        <v>1884</v>
      </c>
      <c r="R450" s="26">
        <v>49999</v>
      </c>
      <c r="S450" s="27">
        <f t="shared" si="38"/>
        <v>51998.96</v>
      </c>
      <c r="T450" s="27">
        <f t="shared" si="39"/>
        <v>53998.920000000006</v>
      </c>
      <c r="U450" s="25" t="s">
        <v>1883</v>
      </c>
      <c r="V450" s="26" t="s">
        <v>1883</v>
      </c>
      <c r="W450" s="33">
        <v>250</v>
      </c>
    </row>
    <row r="451" spans="1:23">
      <c r="A451" s="51" t="s">
        <v>470</v>
      </c>
      <c r="B451" s="18" t="str">
        <f>IFERROR(HYPERLINK(VLOOKUP(A451,ÜRÜNLER!A:C,3,FALSE),VLOOKUP(A451,ÜRÜNLER!A:B,2,FALSE)),"")</f>
        <v>Siemens Çay Makinesi</v>
      </c>
      <c r="C451" s="19" t="s">
        <v>1883</v>
      </c>
      <c r="D451" s="19" t="s">
        <v>1883</v>
      </c>
      <c r="E451" s="20">
        <v>0</v>
      </c>
      <c r="F451" s="20">
        <v>0</v>
      </c>
      <c r="G451" s="20">
        <v>0</v>
      </c>
      <c r="H451" s="20">
        <v>0</v>
      </c>
      <c r="I451" s="21">
        <v>3</v>
      </c>
      <c r="J451" s="21">
        <v>1</v>
      </c>
      <c r="K451" s="20">
        <v>0</v>
      </c>
      <c r="L451" s="20">
        <v>1</v>
      </c>
      <c r="M451" s="21">
        <v>1</v>
      </c>
      <c r="N451" s="22">
        <f t="shared" si="32"/>
        <v>6</v>
      </c>
      <c r="O451" s="23" t="s">
        <v>1883</v>
      </c>
      <c r="P451" s="24" t="s">
        <v>1883</v>
      </c>
      <c r="Q451" s="25" t="s">
        <v>1884</v>
      </c>
      <c r="R451" s="26">
        <v>3999</v>
      </c>
      <c r="S451" s="27">
        <f t="shared" si="38"/>
        <v>4158.96</v>
      </c>
      <c r="T451" s="27">
        <f t="shared" si="39"/>
        <v>4318.92</v>
      </c>
      <c r="U451" s="25" t="s">
        <v>1883</v>
      </c>
      <c r="V451" s="26" t="s">
        <v>1883</v>
      </c>
      <c r="W451" s="33">
        <v>50</v>
      </c>
    </row>
    <row r="452" spans="1:23">
      <c r="A452" s="51" t="s">
        <v>471</v>
      </c>
      <c r="B452" s="18" t="str">
        <f>IFERROR(HYPERLINK(VLOOKUP(A452,ÜRÜNLER!A:C,3,FALSE),VLOOKUP(A452,ÜRÜNLER!A:B,2,FALSE)),"")</f>
        <v>Siemens Filtre Kahve Makinesi</v>
      </c>
      <c r="C452" s="19" t="s">
        <v>1883</v>
      </c>
      <c r="D452" s="19" t="s">
        <v>1883</v>
      </c>
      <c r="E452" s="20">
        <v>0</v>
      </c>
      <c r="F452" s="20">
        <v>0</v>
      </c>
      <c r="G452" s="20">
        <v>0</v>
      </c>
      <c r="H452" s="20">
        <v>0</v>
      </c>
      <c r="I452" s="21">
        <v>1</v>
      </c>
      <c r="J452" s="21">
        <v>0</v>
      </c>
      <c r="K452" s="20">
        <v>0</v>
      </c>
      <c r="L452" s="20">
        <v>0</v>
      </c>
      <c r="M452" s="21">
        <v>0</v>
      </c>
      <c r="N452" s="22">
        <f t="shared" si="32"/>
        <v>1</v>
      </c>
      <c r="O452" s="23" t="s">
        <v>1883</v>
      </c>
      <c r="P452" s="24" t="s">
        <v>1883</v>
      </c>
      <c r="Q452" s="25" t="s">
        <v>1884</v>
      </c>
      <c r="R452" s="26">
        <v>4999</v>
      </c>
      <c r="S452" s="27">
        <f t="shared" si="38"/>
        <v>5198.96</v>
      </c>
      <c r="T452" s="27">
        <f t="shared" si="39"/>
        <v>5398.92</v>
      </c>
      <c r="U452" s="25" t="s">
        <v>1883</v>
      </c>
      <c r="V452" s="26" t="s">
        <v>1883</v>
      </c>
      <c r="W452" s="33">
        <v>50</v>
      </c>
    </row>
    <row r="453" spans="1:23">
      <c r="A453" s="51" t="s">
        <v>472</v>
      </c>
      <c r="B453" s="18" t="str">
        <f>IFERROR(HYPERLINK(VLOOKUP(A453,ÜRÜNLER!A:C,3,FALSE),VLOOKUP(A453,ÜRÜNLER!A:B,2,FALSE)),"")</f>
        <v>Siemens El Blenderı ergonomicEdition, 600w, Beyaz/Mavi</v>
      </c>
      <c r="C453" s="19" t="s">
        <v>1883</v>
      </c>
      <c r="D453" s="19" t="s">
        <v>1883</v>
      </c>
      <c r="E453" s="20">
        <v>0</v>
      </c>
      <c r="F453" s="20">
        <v>0</v>
      </c>
      <c r="G453" s="20">
        <v>0</v>
      </c>
      <c r="H453" s="20">
        <v>0</v>
      </c>
      <c r="I453" s="21">
        <v>2</v>
      </c>
      <c r="J453" s="21">
        <v>0</v>
      </c>
      <c r="K453" s="20">
        <v>0</v>
      </c>
      <c r="L453" s="20">
        <v>0</v>
      </c>
      <c r="M453" s="21">
        <v>0</v>
      </c>
      <c r="N453" s="22">
        <f t="shared" si="32"/>
        <v>2</v>
      </c>
      <c r="O453" s="23" t="s">
        <v>1883</v>
      </c>
      <c r="P453" s="24" t="s">
        <v>1883</v>
      </c>
      <c r="Q453" s="25" t="s">
        <v>1884</v>
      </c>
      <c r="R453" s="26">
        <v>1999</v>
      </c>
      <c r="S453" s="27">
        <f t="shared" si="38"/>
        <v>2078.96</v>
      </c>
      <c r="T453" s="27">
        <f t="shared" si="39"/>
        <v>2158.92</v>
      </c>
      <c r="U453" s="25" t="s">
        <v>1883</v>
      </c>
      <c r="V453" s="26" t="s">
        <v>1883</v>
      </c>
      <c r="W453" s="33">
        <v>50</v>
      </c>
    </row>
    <row r="454" spans="1:23">
      <c r="A454" s="51" t="s">
        <v>473</v>
      </c>
      <c r="B454" s="18" t="str">
        <f>IFERROR(HYPERLINK(VLOOKUP(A454,ÜRÜNLER!A:C,3,FALSE),VLOOKUP(A454,ÜRÜNLER!A:B,2,FALSE)),"")</f>
        <v>Siemens El Blenderı, 600w, Beyaz/Mavi</v>
      </c>
      <c r="C454" s="19" t="s">
        <v>1883</v>
      </c>
      <c r="D454" s="19" t="s">
        <v>1883</v>
      </c>
      <c r="E454" s="20">
        <v>0</v>
      </c>
      <c r="F454" s="20">
        <v>0</v>
      </c>
      <c r="G454" s="20">
        <v>0</v>
      </c>
      <c r="H454" s="20">
        <v>0</v>
      </c>
      <c r="I454" s="21">
        <v>1</v>
      </c>
      <c r="J454" s="21">
        <v>0</v>
      </c>
      <c r="K454" s="20">
        <v>0</v>
      </c>
      <c r="L454" s="20">
        <v>0</v>
      </c>
      <c r="M454" s="21">
        <v>0</v>
      </c>
      <c r="N454" s="22">
        <f t="shared" si="32"/>
        <v>1</v>
      </c>
      <c r="O454" s="23" t="s">
        <v>1883</v>
      </c>
      <c r="P454" s="24" t="s">
        <v>1883</v>
      </c>
      <c r="Q454" s="25" t="s">
        <v>1884</v>
      </c>
      <c r="R454" s="26">
        <v>2499</v>
      </c>
      <c r="S454" s="27">
        <f t="shared" si="38"/>
        <v>2598.96</v>
      </c>
      <c r="T454" s="27">
        <f t="shared" si="39"/>
        <v>2698.92</v>
      </c>
      <c r="U454" s="25" t="s">
        <v>1883</v>
      </c>
      <c r="V454" s="26" t="s">
        <v>1883</v>
      </c>
      <c r="W454" s="33">
        <v>50</v>
      </c>
    </row>
    <row r="455" spans="1:23">
      <c r="A455" s="51" t="s">
        <v>474</v>
      </c>
      <c r="B455" s="18" t="str">
        <f>IFERROR(HYPERLINK(VLOOKUP(A455,ÜRÜNLER!A:C,3,FALSE),VLOOKUP(A455,ÜRÜNLER!A:B,2,FALSE)),"")</f>
        <v>Siemens El Blenderı FQ.1, 750w, Siyah/Gri</v>
      </c>
      <c r="C455" s="19" t="s">
        <v>1883</v>
      </c>
      <c r="D455" s="19" t="s">
        <v>1883</v>
      </c>
      <c r="E455" s="20">
        <v>0</v>
      </c>
      <c r="F455" s="20">
        <v>0</v>
      </c>
      <c r="G455" s="20">
        <v>0</v>
      </c>
      <c r="H455" s="20">
        <v>0</v>
      </c>
      <c r="I455" s="21">
        <v>2</v>
      </c>
      <c r="J455" s="21">
        <v>0</v>
      </c>
      <c r="K455" s="20">
        <v>0</v>
      </c>
      <c r="L455" s="20">
        <v>0</v>
      </c>
      <c r="M455" s="21">
        <v>0</v>
      </c>
      <c r="N455" s="22">
        <f t="shared" ref="N455:N497" si="40">SUM(C455:M455)</f>
        <v>2</v>
      </c>
      <c r="O455" s="23" t="s">
        <v>1883</v>
      </c>
      <c r="P455" s="24" t="s">
        <v>1883</v>
      </c>
      <c r="Q455" s="25" t="s">
        <v>1884</v>
      </c>
      <c r="R455" s="26">
        <v>1999</v>
      </c>
      <c r="S455" s="27">
        <f t="shared" si="38"/>
        <v>2078.96</v>
      </c>
      <c r="T455" s="27">
        <f t="shared" si="39"/>
        <v>2158.92</v>
      </c>
      <c r="U455" s="25" t="s">
        <v>1883</v>
      </c>
      <c r="V455" s="26" t="s">
        <v>1883</v>
      </c>
      <c r="W455" s="33">
        <v>50</v>
      </c>
    </row>
    <row r="456" spans="1:23">
      <c r="A456" s="51" t="s">
        <v>475</v>
      </c>
      <c r="B456" s="18" t="str">
        <f>IFERROR(HYPERLINK(VLOOKUP(A456,ÜRÜNLER!A:C,3,FALSE),VLOOKUP(A456,ÜRÜNLER!A:B,2,FALSE)),"")</f>
        <v>Siemens El Mikseri, 450w, Beyaz/Antrasit</v>
      </c>
      <c r="C456" s="19" t="s">
        <v>1883</v>
      </c>
      <c r="D456" s="19" t="s">
        <v>1883</v>
      </c>
      <c r="E456" s="20">
        <v>0</v>
      </c>
      <c r="F456" s="20">
        <v>0</v>
      </c>
      <c r="G456" s="20">
        <v>0</v>
      </c>
      <c r="H456" s="20">
        <v>0</v>
      </c>
      <c r="I456" s="21">
        <v>1</v>
      </c>
      <c r="J456" s="21">
        <v>0</v>
      </c>
      <c r="K456" s="20">
        <v>0</v>
      </c>
      <c r="L456" s="20">
        <v>0</v>
      </c>
      <c r="M456" s="21">
        <v>0</v>
      </c>
      <c r="N456" s="22">
        <f t="shared" si="40"/>
        <v>1</v>
      </c>
      <c r="O456" s="23" t="s">
        <v>1883</v>
      </c>
      <c r="P456" s="24" t="s">
        <v>1883</v>
      </c>
      <c r="Q456" s="25" t="s">
        <v>1884</v>
      </c>
      <c r="R456" s="26">
        <v>999</v>
      </c>
      <c r="S456" s="27">
        <f t="shared" si="38"/>
        <v>1038.96</v>
      </c>
      <c r="T456" s="27">
        <f t="shared" si="39"/>
        <v>1078.92</v>
      </c>
      <c r="U456" s="25" t="s">
        <v>1883</v>
      </c>
      <c r="V456" s="26" t="s">
        <v>1883</v>
      </c>
      <c r="W456" s="33">
        <v>50</v>
      </c>
    </row>
    <row r="457" spans="1:23">
      <c r="A457" s="51" t="s">
        <v>476</v>
      </c>
      <c r="B457" s="18" t="str">
        <f>IFERROR(HYPERLINK(VLOOKUP(A457,ÜRÜNLER!A:C,3,FALSE),VLOOKUP(A457,ÜRÜNLER!A:B,2,FALSE)),"")</f>
        <v>Siemens El Mikseri, 450w, Beyaz/Mavi</v>
      </c>
      <c r="C457" s="19" t="s">
        <v>1883</v>
      </c>
      <c r="D457" s="19" t="s">
        <v>1883</v>
      </c>
      <c r="E457" s="20">
        <v>0</v>
      </c>
      <c r="F457" s="20">
        <v>0</v>
      </c>
      <c r="G457" s="20">
        <v>0</v>
      </c>
      <c r="H457" s="20">
        <v>0</v>
      </c>
      <c r="I457" s="21">
        <v>1</v>
      </c>
      <c r="J457" s="21">
        <v>0</v>
      </c>
      <c r="K457" s="20">
        <v>0</v>
      </c>
      <c r="L457" s="20">
        <v>0</v>
      </c>
      <c r="M457" s="21">
        <v>0</v>
      </c>
      <c r="N457" s="22">
        <f t="shared" si="40"/>
        <v>1</v>
      </c>
      <c r="O457" s="23" t="s">
        <v>1883</v>
      </c>
      <c r="P457" s="24" t="s">
        <v>1883</v>
      </c>
      <c r="Q457" s="25" t="s">
        <v>1884</v>
      </c>
      <c r="R457" s="26">
        <v>1499</v>
      </c>
      <c r="S457" s="27">
        <f t="shared" si="38"/>
        <v>1558.96</v>
      </c>
      <c r="T457" s="27">
        <f t="shared" si="39"/>
        <v>1618.92</v>
      </c>
      <c r="U457" s="25" t="s">
        <v>1883</v>
      </c>
      <c r="V457" s="26" t="s">
        <v>1883</v>
      </c>
      <c r="W457" s="33">
        <v>50</v>
      </c>
    </row>
    <row r="458" spans="1:23">
      <c r="A458" s="51" t="s">
        <v>477</v>
      </c>
      <c r="B458" s="18" t="str">
        <f>IFERROR(HYPERLINK(VLOOKUP(A458,ÜRÜNLER!A:C,3,FALSE),VLOOKUP(A458,ÜRÜNLER!A:B,2,FALSE)),"")</f>
        <v>El Mikser Seti, 500w, Siyah</v>
      </c>
      <c r="C458" s="19" t="s">
        <v>1883</v>
      </c>
      <c r="D458" s="19" t="s">
        <v>1883</v>
      </c>
      <c r="E458" s="20">
        <v>0</v>
      </c>
      <c r="F458" s="20">
        <v>0</v>
      </c>
      <c r="G458" s="20">
        <v>0</v>
      </c>
      <c r="H458" s="20">
        <v>0</v>
      </c>
      <c r="I458" s="21">
        <v>3</v>
      </c>
      <c r="J458" s="21">
        <v>0</v>
      </c>
      <c r="K458" s="20">
        <v>0</v>
      </c>
      <c r="L458" s="20">
        <v>0</v>
      </c>
      <c r="M458" s="21">
        <v>0</v>
      </c>
      <c r="N458" s="22">
        <f t="shared" si="40"/>
        <v>3</v>
      </c>
      <c r="O458" s="23" t="s">
        <v>1883</v>
      </c>
      <c r="P458" s="24" t="s">
        <v>1883</v>
      </c>
      <c r="Q458" s="25" t="s">
        <v>1884</v>
      </c>
      <c r="R458" s="26">
        <v>2999</v>
      </c>
      <c r="S458" s="27">
        <f t="shared" si="38"/>
        <v>3118.96</v>
      </c>
      <c r="T458" s="27">
        <f t="shared" si="39"/>
        <v>3238.92</v>
      </c>
      <c r="U458" s="25" t="s">
        <v>1883</v>
      </c>
      <c r="V458" s="26" t="s">
        <v>1883</v>
      </c>
      <c r="W458" s="33">
        <v>50</v>
      </c>
    </row>
    <row r="459" spans="1:23">
      <c r="A459" s="51" t="s">
        <v>478</v>
      </c>
      <c r="B459" s="18" t="str">
        <f>IFERROR(HYPERLINK(VLOOKUP(A459,ÜRÜNLER!A:C,3,FALSE),VLOOKUP(A459,ÜRÜNLER!A:B,2,FALSE)),"")</f>
        <v>Siemens Buzdolabı Kulpu 79cm, Inox</v>
      </c>
      <c r="C459" s="19">
        <v>1</v>
      </c>
      <c r="D459" s="19" t="s">
        <v>1883</v>
      </c>
      <c r="E459" s="20">
        <v>0</v>
      </c>
      <c r="F459" s="20">
        <v>0</v>
      </c>
      <c r="G459" s="20">
        <v>0</v>
      </c>
      <c r="H459" s="20">
        <v>0</v>
      </c>
      <c r="I459" s="21">
        <v>0</v>
      </c>
      <c r="J459" s="21">
        <v>0</v>
      </c>
      <c r="K459" s="20">
        <v>0</v>
      </c>
      <c r="L459" s="20">
        <v>4</v>
      </c>
      <c r="M459" s="21">
        <v>0</v>
      </c>
      <c r="N459" s="22">
        <f t="shared" si="40"/>
        <v>5</v>
      </c>
      <c r="O459" s="23" t="s">
        <v>1883</v>
      </c>
      <c r="P459" s="24" t="s">
        <v>1883</v>
      </c>
      <c r="Q459" s="25" t="s">
        <v>1884</v>
      </c>
      <c r="R459" s="26">
        <v>24999</v>
      </c>
      <c r="S459" s="27">
        <f t="shared" si="38"/>
        <v>25998.959999999999</v>
      </c>
      <c r="T459" s="27">
        <f t="shared" si="39"/>
        <v>26998.920000000002</v>
      </c>
      <c r="U459" s="25" t="s">
        <v>1883</v>
      </c>
      <c r="V459" s="26" t="s">
        <v>1883</v>
      </c>
      <c r="W459" s="33">
        <v>250</v>
      </c>
    </row>
    <row r="460" spans="1:23">
      <c r="A460" s="51" t="s">
        <v>479</v>
      </c>
      <c r="B460" s="18" t="str">
        <f>IFERROR(HYPERLINK(VLOOKUP(A460,ÜRÜNLER!A:C,3,FALSE),VLOOKUP(A460,ÜRÜNLER!A:B,2,FALSE)),"")</f>
        <v>Siemens Buzdolabı Kulpu</v>
      </c>
      <c r="C460" s="19" t="s">
        <v>1883</v>
      </c>
      <c r="D460" s="19" t="s">
        <v>1883</v>
      </c>
      <c r="E460" s="20">
        <v>0</v>
      </c>
      <c r="F460" s="20">
        <v>0</v>
      </c>
      <c r="G460" s="20">
        <v>0</v>
      </c>
      <c r="H460" s="20">
        <v>0</v>
      </c>
      <c r="I460" s="21">
        <v>0</v>
      </c>
      <c r="J460" s="21">
        <v>1</v>
      </c>
      <c r="K460" s="20">
        <v>0</v>
      </c>
      <c r="L460" s="20">
        <v>1</v>
      </c>
      <c r="M460" s="21">
        <v>0</v>
      </c>
      <c r="N460" s="22">
        <f t="shared" si="40"/>
        <v>2</v>
      </c>
      <c r="O460" s="23" t="s">
        <v>1883</v>
      </c>
      <c r="P460" s="24" t="s">
        <v>1883</v>
      </c>
      <c r="Q460" s="25" t="s">
        <v>1884</v>
      </c>
      <c r="R460" s="26">
        <v>6148.9750000000004</v>
      </c>
      <c r="S460" s="27">
        <f t="shared" si="38"/>
        <v>6394.9340000000002</v>
      </c>
      <c r="T460" s="27">
        <f t="shared" si="39"/>
        <v>6640.8930000000009</v>
      </c>
      <c r="U460" s="25" t="s">
        <v>1883</v>
      </c>
      <c r="V460" s="26" t="s">
        <v>1883</v>
      </c>
      <c r="W460" s="33">
        <v>250</v>
      </c>
    </row>
    <row r="461" spans="1:23">
      <c r="A461" s="51" t="s">
        <v>480</v>
      </c>
      <c r="B461" s="18" t="str">
        <f>IFERROR(HYPERLINK(VLOOKUP(A461,ÜRÜNLER!A:C,3,FALSE),VLOOKUP(A461,ÜRÜNLER!A:B,2,FALSE)),"")</f>
        <v>Siemens Buzdolabı Kulpu</v>
      </c>
      <c r="C461" s="19">
        <v>5</v>
      </c>
      <c r="D461" s="19">
        <v>4</v>
      </c>
      <c r="E461" s="20">
        <v>0</v>
      </c>
      <c r="F461" s="20">
        <v>0</v>
      </c>
      <c r="G461" s="20">
        <v>0</v>
      </c>
      <c r="H461" s="20">
        <v>0</v>
      </c>
      <c r="I461" s="21">
        <v>0</v>
      </c>
      <c r="J461" s="21">
        <v>0</v>
      </c>
      <c r="K461" s="20">
        <v>0</v>
      </c>
      <c r="L461" s="20">
        <v>0</v>
      </c>
      <c r="M461" s="21">
        <v>0</v>
      </c>
      <c r="N461" s="22">
        <f t="shared" si="40"/>
        <v>9</v>
      </c>
      <c r="O461" s="23" t="s">
        <v>1883</v>
      </c>
      <c r="P461" s="24" t="s">
        <v>27</v>
      </c>
      <c r="Q461" s="25">
        <v>9266.4106256785399</v>
      </c>
      <c r="R461" s="49">
        <v>8339.7695631106853</v>
      </c>
      <c r="S461" s="27">
        <f t="shared" si="38"/>
        <v>8673.3603456351138</v>
      </c>
      <c r="T461" s="27">
        <f t="shared" si="39"/>
        <v>9006.9511281595405</v>
      </c>
      <c r="U461" s="25" t="s">
        <v>1883</v>
      </c>
      <c r="V461" s="26" t="s">
        <v>1883</v>
      </c>
      <c r="W461" s="33">
        <v>500</v>
      </c>
    </row>
    <row r="462" spans="1:23">
      <c r="A462" s="51" t="s">
        <v>481</v>
      </c>
      <c r="B462" s="18" t="str">
        <f>IFERROR(HYPERLINK(VLOOKUP(A462,ÜRÜNLER!A:C,3,FALSE),VLOOKUP(A462,ÜRÜNLER!A:B,2,FALSE)),"")</f>
        <v>Siemens studioLine Buzdolabı Kulpu</v>
      </c>
      <c r="C462" s="19" t="s">
        <v>1883</v>
      </c>
      <c r="D462" s="19">
        <v>4</v>
      </c>
      <c r="E462" s="20">
        <v>0</v>
      </c>
      <c r="F462" s="20">
        <v>0</v>
      </c>
      <c r="G462" s="20">
        <v>0</v>
      </c>
      <c r="H462" s="20">
        <v>0</v>
      </c>
      <c r="I462" s="21">
        <v>0</v>
      </c>
      <c r="J462" s="21">
        <v>0</v>
      </c>
      <c r="K462" s="20">
        <v>0</v>
      </c>
      <c r="L462" s="20">
        <v>0</v>
      </c>
      <c r="M462" s="21">
        <v>0</v>
      </c>
      <c r="N462" s="22">
        <f t="shared" si="40"/>
        <v>4</v>
      </c>
      <c r="O462" s="23" t="s">
        <v>1883</v>
      </c>
      <c r="P462" s="24" t="s">
        <v>1883</v>
      </c>
      <c r="Q462" s="25">
        <v>3679.6535760838915</v>
      </c>
      <c r="R462" s="49">
        <v>3169.0796349047869</v>
      </c>
      <c r="S462" s="27">
        <f t="shared" si="38"/>
        <v>3295.8428203009785</v>
      </c>
      <c r="T462" s="27">
        <f t="shared" si="39"/>
        <v>3422.6060056971701</v>
      </c>
      <c r="U462" s="25" t="s">
        <v>1883</v>
      </c>
      <c r="V462" s="26" t="s">
        <v>1883</v>
      </c>
      <c r="W462" s="33">
        <v>500</v>
      </c>
    </row>
    <row r="463" spans="1:23">
      <c r="A463" s="51" t="s">
        <v>482</v>
      </c>
      <c r="B463" s="18" t="str">
        <f>IFERROR(HYPERLINK(VLOOKUP(A463,ÜRÜNLER!A:C,3,FALSE),VLOOKUP(A463,ÜRÜNLER!A:B,2,FALSE)),"")</f>
        <v>Siemens Buzdolabı Kulpu 79cm, Inox</v>
      </c>
      <c r="C463" s="19">
        <v>1</v>
      </c>
      <c r="D463" s="19" t="s">
        <v>1883</v>
      </c>
      <c r="E463" s="20">
        <v>0</v>
      </c>
      <c r="F463" s="20">
        <v>0</v>
      </c>
      <c r="G463" s="20">
        <v>0</v>
      </c>
      <c r="H463" s="20">
        <v>0</v>
      </c>
      <c r="I463" s="21">
        <v>0</v>
      </c>
      <c r="J463" s="21">
        <v>0</v>
      </c>
      <c r="K463" s="20">
        <v>0</v>
      </c>
      <c r="L463" s="20">
        <v>0</v>
      </c>
      <c r="M463" s="21">
        <v>0</v>
      </c>
      <c r="N463" s="22">
        <f t="shared" si="40"/>
        <v>1</v>
      </c>
      <c r="O463" s="23" t="s">
        <v>1883</v>
      </c>
      <c r="P463" s="24" t="s">
        <v>27</v>
      </c>
      <c r="Q463" s="25">
        <v>2623.3627386171179</v>
      </c>
      <c r="R463" s="33">
        <v>2510.3949651838452</v>
      </c>
      <c r="S463" s="27">
        <f t="shared" si="38"/>
        <v>2610.810763791199</v>
      </c>
      <c r="T463" s="27">
        <f t="shared" si="39"/>
        <v>2711.2265623985531</v>
      </c>
      <c r="U463" s="25" t="s">
        <v>1883</v>
      </c>
      <c r="V463" s="26" t="s">
        <v>1883</v>
      </c>
      <c r="W463" s="33">
        <v>250</v>
      </c>
    </row>
    <row r="464" spans="1:23">
      <c r="A464" s="37" t="s">
        <v>483</v>
      </c>
      <c r="B464" s="18" t="str">
        <f>IFERROR(HYPERLINK(VLOOKUP(A464,ÜRÜNLER!A:C,3,FALSE),VLOOKUP(A464,ÜRÜNLER!A:B,2,FALSE)),"")</f>
        <v>Siemens studioLine Buzdolabı Kapı Paneli, 202.9x60.3cm</v>
      </c>
      <c r="C464" s="19" t="s">
        <v>1883</v>
      </c>
      <c r="D464" s="19">
        <v>2</v>
      </c>
      <c r="E464" s="20">
        <v>0</v>
      </c>
      <c r="F464" s="20">
        <v>0</v>
      </c>
      <c r="G464" s="20">
        <v>0</v>
      </c>
      <c r="H464" s="20">
        <v>0</v>
      </c>
      <c r="I464" s="21">
        <v>0</v>
      </c>
      <c r="J464" s="21">
        <v>0</v>
      </c>
      <c r="K464" s="20">
        <v>0</v>
      </c>
      <c r="L464" s="20">
        <v>1</v>
      </c>
      <c r="M464" s="21">
        <v>0</v>
      </c>
      <c r="N464" s="22">
        <f t="shared" si="40"/>
        <v>3</v>
      </c>
      <c r="O464" s="23" t="s">
        <v>1883</v>
      </c>
      <c r="P464" s="24" t="s">
        <v>27</v>
      </c>
      <c r="Q464" s="25">
        <v>6809.007914256993</v>
      </c>
      <c r="R464" s="49">
        <v>6128.107122831294</v>
      </c>
      <c r="S464" s="27">
        <f t="shared" si="38"/>
        <v>6373.2314077445462</v>
      </c>
      <c r="T464" s="27">
        <f t="shared" si="39"/>
        <v>6618.3556926577976</v>
      </c>
      <c r="U464" s="25" t="s">
        <v>1883</v>
      </c>
      <c r="V464" s="26" t="s">
        <v>1883</v>
      </c>
      <c r="W464" s="33">
        <v>500</v>
      </c>
    </row>
    <row r="465" spans="1:24">
      <c r="A465" s="37" t="s">
        <v>484</v>
      </c>
      <c r="B465" s="18" t="str">
        <f>IFERROR(HYPERLINK(VLOOKUP(A465,ÜRÜNLER!A:C,3,FALSE),VLOOKUP(A465,ÜRÜNLER!A:B,2,FALSE)),"")</f>
        <v>Siemens Buzdolabı Kapı Paneli, 202.9x75.6cm</v>
      </c>
      <c r="C465" s="19">
        <v>4</v>
      </c>
      <c r="D465" s="19">
        <v>2</v>
      </c>
      <c r="E465" s="20">
        <v>0</v>
      </c>
      <c r="F465" s="20">
        <v>0</v>
      </c>
      <c r="G465" s="20">
        <v>0</v>
      </c>
      <c r="H465" s="20">
        <v>0</v>
      </c>
      <c r="I465" s="21">
        <v>0</v>
      </c>
      <c r="J465" s="21">
        <v>0</v>
      </c>
      <c r="K465" s="20">
        <v>0</v>
      </c>
      <c r="L465" s="20">
        <v>1</v>
      </c>
      <c r="M465" s="21">
        <v>0</v>
      </c>
      <c r="N465" s="22">
        <f t="shared" si="40"/>
        <v>7</v>
      </c>
      <c r="O465" s="23" t="s">
        <v>1883</v>
      </c>
      <c r="P465" s="24" t="s">
        <v>27</v>
      </c>
      <c r="Q465" s="25">
        <v>13443.597811476078</v>
      </c>
      <c r="R465" s="49">
        <v>12099.23803032847</v>
      </c>
      <c r="S465" s="27">
        <f t="shared" si="38"/>
        <v>12583.207551541609</v>
      </c>
      <c r="T465" s="27">
        <f t="shared" si="39"/>
        <v>13067.177072754748</v>
      </c>
      <c r="U465" s="25" t="s">
        <v>1883</v>
      </c>
      <c r="V465" s="26" t="s">
        <v>1883</v>
      </c>
      <c r="W465" s="33">
        <v>500</v>
      </c>
    </row>
    <row r="466" spans="1:24">
      <c r="A466" s="51" t="s">
        <v>485</v>
      </c>
      <c r="B466" s="18" t="str">
        <f>IFERROR(HYPERLINK(VLOOKUP(A466,ÜRÜNLER!A:C,3,FALSE),VLOOKUP(A466,ÜRÜNLER!A:B,2,FALSE)),"")</f>
        <v>Siemens Buzdolabı Kapı Paneli, 202.9x90.8cm</v>
      </c>
      <c r="C466" s="19">
        <v>5</v>
      </c>
      <c r="D466" s="19">
        <v>2</v>
      </c>
      <c r="E466" s="20">
        <v>0</v>
      </c>
      <c r="F466" s="20">
        <v>0</v>
      </c>
      <c r="G466" s="20">
        <v>0</v>
      </c>
      <c r="H466" s="20">
        <v>0</v>
      </c>
      <c r="I466" s="21">
        <v>0</v>
      </c>
      <c r="J466" s="21">
        <v>1</v>
      </c>
      <c r="K466" s="20">
        <v>0</v>
      </c>
      <c r="L466" s="20">
        <v>1</v>
      </c>
      <c r="M466" s="21">
        <v>0</v>
      </c>
      <c r="N466" s="22">
        <f t="shared" si="40"/>
        <v>9</v>
      </c>
      <c r="O466" s="23" t="s">
        <v>1883</v>
      </c>
      <c r="P466" s="24" t="s">
        <v>27</v>
      </c>
      <c r="Q466" s="25">
        <v>19717.530869538496</v>
      </c>
      <c r="R466" s="49">
        <v>17745.777782584646</v>
      </c>
      <c r="S466" s="27">
        <f t="shared" si="38"/>
        <v>18455.608893888031</v>
      </c>
      <c r="T466" s="27">
        <f t="shared" si="39"/>
        <v>19165.44000519142</v>
      </c>
      <c r="U466" s="25" t="s">
        <v>1883</v>
      </c>
      <c r="V466" s="26" t="s">
        <v>1883</v>
      </c>
      <c r="W466" s="33">
        <v>500</v>
      </c>
    </row>
    <row r="467" spans="1:24">
      <c r="A467" s="51" t="s">
        <v>486</v>
      </c>
      <c r="B467" s="18" t="str">
        <f>IFERROR(HYPERLINK(VLOOKUP(A467,ÜRÜNLER!A:C,3,FALSE),VLOOKUP(A467,ÜRÜNLER!A:B,2,FALSE)),"")</f>
        <v>Siemens Buzdolabı Bağlantı Seti</v>
      </c>
      <c r="C467" s="19">
        <v>4</v>
      </c>
      <c r="D467" s="19" t="s">
        <v>1883</v>
      </c>
      <c r="E467" s="20">
        <v>0</v>
      </c>
      <c r="F467" s="20">
        <v>0</v>
      </c>
      <c r="G467" s="20">
        <v>0</v>
      </c>
      <c r="H467" s="20">
        <v>0</v>
      </c>
      <c r="I467" s="21">
        <v>0</v>
      </c>
      <c r="J467" s="21">
        <v>0</v>
      </c>
      <c r="K467" s="20">
        <v>0</v>
      </c>
      <c r="L467" s="20">
        <v>0</v>
      </c>
      <c r="M467" s="21">
        <v>0</v>
      </c>
      <c r="N467" s="22">
        <f t="shared" si="40"/>
        <v>4</v>
      </c>
      <c r="O467" s="23" t="s">
        <v>1883</v>
      </c>
      <c r="P467" s="24" t="s">
        <v>1883</v>
      </c>
      <c r="Q467" s="25" t="s">
        <v>1884</v>
      </c>
      <c r="R467" s="26">
        <v>5000</v>
      </c>
      <c r="S467" s="27">
        <f t="shared" si="38"/>
        <v>5200</v>
      </c>
      <c r="T467" s="27">
        <f t="shared" si="39"/>
        <v>5400</v>
      </c>
      <c r="U467" s="25" t="s">
        <v>1883</v>
      </c>
      <c r="V467" s="26" t="s">
        <v>1883</v>
      </c>
      <c r="W467" s="33"/>
    </row>
    <row r="468" spans="1:24">
      <c r="A468" s="51" t="s">
        <v>487</v>
      </c>
      <c r="B468" s="18" t="str">
        <f>IFERROR(HYPERLINK(VLOOKUP(A468,ÜRÜNLER!A:C,3,FALSE),VLOOKUP(A468,ÜRÜNLER!A:B,2,FALSE)),"")</f>
        <v>Siemens Buzdolabı Bağlantı Seti</v>
      </c>
      <c r="C468" s="19">
        <v>2</v>
      </c>
      <c r="D468" s="19">
        <v>1</v>
      </c>
      <c r="E468" s="20">
        <v>0</v>
      </c>
      <c r="F468" s="20">
        <v>0</v>
      </c>
      <c r="G468" s="20">
        <v>0</v>
      </c>
      <c r="H468" s="20">
        <v>2</v>
      </c>
      <c r="I468" s="21">
        <v>0</v>
      </c>
      <c r="J468" s="21">
        <v>0</v>
      </c>
      <c r="K468" s="20">
        <v>0</v>
      </c>
      <c r="L468" s="20">
        <v>0</v>
      </c>
      <c r="M468" s="21">
        <v>0</v>
      </c>
      <c r="N468" s="22">
        <f t="shared" si="40"/>
        <v>5</v>
      </c>
      <c r="O468" s="23" t="s">
        <v>1883</v>
      </c>
      <c r="P468" s="24" t="s">
        <v>1883</v>
      </c>
      <c r="Q468" s="25" t="s">
        <v>1885</v>
      </c>
      <c r="R468" s="100">
        <v>5000</v>
      </c>
      <c r="S468" s="27">
        <f t="shared" si="38"/>
        <v>5200</v>
      </c>
      <c r="T468" s="27">
        <f t="shared" si="39"/>
        <v>5400</v>
      </c>
      <c r="U468" s="25" t="s">
        <v>1883</v>
      </c>
      <c r="V468" s="26" t="s">
        <v>1883</v>
      </c>
      <c r="W468" s="33">
        <v>500</v>
      </c>
    </row>
    <row r="469" spans="1:24">
      <c r="A469" s="51" t="s">
        <v>488</v>
      </c>
      <c r="B469" s="18" t="str">
        <f>IFERROR(HYPERLINK(VLOOKUP(A469,ÜRÜNLER!A:C,3,FALSE),VLOOKUP(A469,ÜRÜNLER!A:B,2,FALSE)),"")</f>
        <v>Siemens studioLine Buzdolabı Çekmecesi</v>
      </c>
      <c r="C469" s="19" t="s">
        <v>1883</v>
      </c>
      <c r="D469" s="19">
        <v>1</v>
      </c>
      <c r="E469" s="20">
        <v>0</v>
      </c>
      <c r="F469" s="20">
        <v>0</v>
      </c>
      <c r="G469" s="20">
        <v>0</v>
      </c>
      <c r="H469" s="20">
        <v>0</v>
      </c>
      <c r="I469" s="21">
        <v>0</v>
      </c>
      <c r="J469" s="21">
        <v>0</v>
      </c>
      <c r="K469" s="20">
        <v>0</v>
      </c>
      <c r="L469" s="20">
        <v>0</v>
      </c>
      <c r="M469" s="21">
        <v>0</v>
      </c>
      <c r="N469" s="22">
        <f t="shared" si="40"/>
        <v>1</v>
      </c>
      <c r="O469" s="23" t="s">
        <v>1883</v>
      </c>
      <c r="P469" s="24" t="s">
        <v>27</v>
      </c>
      <c r="Q469" s="25">
        <v>2353.1146776305964</v>
      </c>
      <c r="R469" s="49">
        <v>2117.8032098675367</v>
      </c>
      <c r="S469" s="27">
        <f t="shared" si="38"/>
        <v>2202.5153382622384</v>
      </c>
      <c r="T469" s="27">
        <f t="shared" si="39"/>
        <v>2287.2274666569397</v>
      </c>
      <c r="U469" s="25" t="s">
        <v>1883</v>
      </c>
      <c r="V469" s="26" t="s">
        <v>1883</v>
      </c>
      <c r="W469" s="33">
        <v>500</v>
      </c>
    </row>
    <row r="470" spans="1:24">
      <c r="A470" s="51" t="s">
        <v>489</v>
      </c>
      <c r="B470" s="18" t="str">
        <f>IFERROR(HYPERLINK(VLOOKUP(A470,ÜRÜNLER!A:C,3,FALSE),VLOOKUP(A470,ÜRÜNLER!A:B,2,FALSE)),"")</f>
        <v>Siemens studioLine 36'' Buzdolabı Kapı Paneli, Paslanmaz Çelik, 3 Kapı</v>
      </c>
      <c r="C470" s="19" t="s">
        <v>1883</v>
      </c>
      <c r="D470" s="19">
        <v>1</v>
      </c>
      <c r="E470" s="20">
        <v>0</v>
      </c>
      <c r="F470" s="20">
        <v>0</v>
      </c>
      <c r="G470" s="20">
        <v>0</v>
      </c>
      <c r="H470" s="20">
        <v>0</v>
      </c>
      <c r="I470" s="21">
        <v>0</v>
      </c>
      <c r="J470" s="21">
        <v>0</v>
      </c>
      <c r="K470" s="20">
        <v>0</v>
      </c>
      <c r="L470" s="20">
        <v>0</v>
      </c>
      <c r="M470" s="21">
        <v>0</v>
      </c>
      <c r="N470" s="22">
        <f t="shared" si="40"/>
        <v>1</v>
      </c>
      <c r="O470" s="23" t="s">
        <v>1883</v>
      </c>
      <c r="P470" s="24" t="s">
        <v>1883</v>
      </c>
      <c r="Q470" s="25">
        <v>11077.419106161291</v>
      </c>
      <c r="R470" s="49">
        <v>9540.3609526747969</v>
      </c>
      <c r="S470" s="27">
        <f t="shared" si="38"/>
        <v>9921.9753907817885</v>
      </c>
      <c r="T470" s="27">
        <f t="shared" si="39"/>
        <v>10303.589828888782</v>
      </c>
      <c r="U470" s="25" t="s">
        <v>1883</v>
      </c>
      <c r="V470" s="26" t="s">
        <v>1883</v>
      </c>
      <c r="W470" s="33">
        <v>500</v>
      </c>
    </row>
    <row r="471" spans="1:24">
      <c r="A471" s="71" t="s">
        <v>490</v>
      </c>
      <c r="B471" s="18"/>
      <c r="C471" s="19"/>
      <c r="D471" s="19"/>
      <c r="E471" s="20"/>
      <c r="F471" s="20"/>
      <c r="G471" s="20"/>
      <c r="H471" s="20"/>
      <c r="I471" s="21"/>
      <c r="J471" s="21"/>
      <c r="K471" s="20"/>
      <c r="L471" s="20"/>
      <c r="M471" s="21"/>
      <c r="N471" s="22"/>
      <c r="O471" s="23"/>
      <c r="P471" s="24" t="s">
        <v>1883</v>
      </c>
      <c r="R471" s="101"/>
      <c r="S471" s="27"/>
      <c r="T471" s="27"/>
      <c r="U471" s="25"/>
      <c r="V471" s="26"/>
      <c r="W471" s="33"/>
    </row>
    <row r="472" spans="1:24">
      <c r="A472" s="46" t="s">
        <v>491</v>
      </c>
      <c r="B472" s="18" t="str">
        <f>IFERROR(HYPERLINK(VLOOKUP(A472,ÜRÜNLER!A:C,3,FALSE),VLOOKUP(A472,ÜRÜNLER!A:B,2,FALSE)),"")</f>
        <v>Siemens Ev Tipi Klima İç Ünite, 9.000BTU, Beyaz</v>
      </c>
      <c r="C472" s="19">
        <v>5</v>
      </c>
      <c r="D472" s="19" t="s">
        <v>1883</v>
      </c>
      <c r="E472" s="20">
        <v>0</v>
      </c>
      <c r="F472" s="20">
        <v>0</v>
      </c>
      <c r="G472" s="20">
        <v>0</v>
      </c>
      <c r="H472" s="20">
        <v>0</v>
      </c>
      <c r="I472" s="21">
        <v>1</v>
      </c>
      <c r="J472" s="21">
        <v>0</v>
      </c>
      <c r="K472" s="20">
        <v>0</v>
      </c>
      <c r="L472" s="20">
        <v>0</v>
      </c>
      <c r="M472" s="21">
        <v>0</v>
      </c>
      <c r="N472" s="22">
        <f t="shared" si="40"/>
        <v>6</v>
      </c>
      <c r="O472" s="23" t="s">
        <v>1883</v>
      </c>
      <c r="P472" s="24" t="s">
        <v>27</v>
      </c>
      <c r="Q472" s="25">
        <v>16020.74074189603</v>
      </c>
      <c r="R472" s="102">
        <v>18000</v>
      </c>
      <c r="S472" s="27">
        <f t="shared" si="38"/>
        <v>18720</v>
      </c>
      <c r="T472" s="27">
        <f t="shared" ref="T472:T487" si="41">R472*1.08</f>
        <v>19440</v>
      </c>
      <c r="U472" s="25" t="s">
        <v>1883</v>
      </c>
      <c r="V472" s="26" t="s">
        <v>1883</v>
      </c>
      <c r="W472" s="33">
        <v>250</v>
      </c>
    </row>
    <row r="473" spans="1:24">
      <c r="A473" s="46" t="s">
        <v>492</v>
      </c>
      <c r="B473" s="18" t="str">
        <f>IFERROR(HYPERLINK(VLOOKUP(A473,ÜRÜNLER!A:C,3,FALSE),VLOOKUP(A473,ÜRÜNLER!A:B,2,FALSE)),"")</f>
        <v>Siemens Ev Tipi Klima Dış Ünite, 9.000BTU, Beyaz</v>
      </c>
      <c r="C473" s="19">
        <v>6</v>
      </c>
      <c r="D473" s="19" t="s">
        <v>1883</v>
      </c>
      <c r="E473" s="20">
        <v>0</v>
      </c>
      <c r="F473" s="20">
        <v>0</v>
      </c>
      <c r="G473" s="20">
        <v>0</v>
      </c>
      <c r="H473" s="20">
        <v>0</v>
      </c>
      <c r="I473" s="21">
        <v>0</v>
      </c>
      <c r="J473" s="21">
        <v>0</v>
      </c>
      <c r="K473" s="20">
        <v>0</v>
      </c>
      <c r="L473" s="20">
        <v>0</v>
      </c>
      <c r="M473" s="21">
        <v>0</v>
      </c>
      <c r="N473" s="22">
        <f t="shared" si="40"/>
        <v>6</v>
      </c>
      <c r="O473" s="23" t="s">
        <v>1883</v>
      </c>
      <c r="P473" s="24" t="s">
        <v>27</v>
      </c>
      <c r="Q473" s="25">
        <v>24031.111112844046</v>
      </c>
      <c r="R473" s="102">
        <v>26000</v>
      </c>
      <c r="S473" s="27">
        <f t="shared" si="38"/>
        <v>27040</v>
      </c>
      <c r="T473" s="27">
        <f t="shared" si="41"/>
        <v>28080.000000000004</v>
      </c>
      <c r="U473" s="25" t="s">
        <v>1883</v>
      </c>
      <c r="V473" s="26" t="s">
        <v>1883</v>
      </c>
      <c r="W473" s="33"/>
    </row>
    <row r="474" spans="1:24">
      <c r="A474" s="103" t="s">
        <v>493</v>
      </c>
      <c r="B474" s="18" t="str">
        <f>IFERROR(HYPERLINK(VLOOKUP(A474,ÜRÜNLER!A:C,3,FALSE),VLOOKUP(A474,ÜRÜNLER!A:B,2,FALSE)),"")</f>
        <v>Siemens Ev Tipi Klima İç Ünite, 12.000BTU, Beyaz</v>
      </c>
      <c r="C474" s="19" t="s">
        <v>1883</v>
      </c>
      <c r="D474" s="19" t="s">
        <v>1883</v>
      </c>
      <c r="E474" s="20">
        <v>0</v>
      </c>
      <c r="F474" s="20">
        <v>0</v>
      </c>
      <c r="G474" s="20">
        <v>0</v>
      </c>
      <c r="H474" s="20">
        <v>0</v>
      </c>
      <c r="I474" s="21">
        <v>0</v>
      </c>
      <c r="J474" s="21">
        <v>0</v>
      </c>
      <c r="K474" s="20">
        <v>0</v>
      </c>
      <c r="L474" s="20">
        <v>1</v>
      </c>
      <c r="M474" s="21">
        <v>0</v>
      </c>
      <c r="N474" s="22">
        <f t="shared" si="40"/>
        <v>1</v>
      </c>
      <c r="O474" s="23" t="s">
        <v>1883</v>
      </c>
      <c r="P474" s="24" t="s">
        <v>27</v>
      </c>
      <c r="Q474" s="25" t="s">
        <v>1884</v>
      </c>
      <c r="R474" s="104">
        <v>15000</v>
      </c>
      <c r="S474" s="27">
        <f t="shared" si="38"/>
        <v>15600</v>
      </c>
      <c r="T474" s="27">
        <f t="shared" si="41"/>
        <v>16200.000000000002</v>
      </c>
      <c r="U474" s="25" t="s">
        <v>1883</v>
      </c>
      <c r="V474" s="26" t="s">
        <v>1883</v>
      </c>
      <c r="W474" s="33">
        <v>250</v>
      </c>
    </row>
    <row r="475" spans="1:24">
      <c r="A475" s="103" t="s">
        <v>494</v>
      </c>
      <c r="B475" s="18" t="str">
        <f>IFERROR(HYPERLINK(VLOOKUP(A475,ÜRÜNLER!A:C,3,FALSE),VLOOKUP(A475,ÜRÜNLER!A:B,2,FALSE)),"")</f>
        <v>Siemens Ev Tipi Klima Dış Ünite, 12.000BTU, Beyaz</v>
      </c>
      <c r="C475" s="19">
        <v>1</v>
      </c>
      <c r="D475" s="19" t="s">
        <v>1883</v>
      </c>
      <c r="E475" s="20">
        <v>0</v>
      </c>
      <c r="F475" s="20">
        <v>0</v>
      </c>
      <c r="G475" s="20">
        <v>0</v>
      </c>
      <c r="H475" s="20">
        <v>0</v>
      </c>
      <c r="I475" s="21">
        <v>0</v>
      </c>
      <c r="J475" s="21">
        <v>0</v>
      </c>
      <c r="K475" s="20">
        <v>0</v>
      </c>
      <c r="L475" s="20">
        <v>0</v>
      </c>
      <c r="M475" s="21">
        <v>0</v>
      </c>
      <c r="N475" s="22">
        <f t="shared" si="40"/>
        <v>1</v>
      </c>
      <c r="O475" s="23" t="s">
        <v>1883</v>
      </c>
      <c r="P475" s="24" t="s">
        <v>27</v>
      </c>
      <c r="Q475" s="25" t="s">
        <v>1884</v>
      </c>
      <c r="R475" s="104">
        <v>20000</v>
      </c>
      <c r="S475" s="27">
        <f t="shared" si="38"/>
        <v>20800</v>
      </c>
      <c r="T475" s="27">
        <f t="shared" si="41"/>
        <v>21600</v>
      </c>
      <c r="U475" s="25" t="s">
        <v>1883</v>
      </c>
      <c r="V475" s="26" t="s">
        <v>1883</v>
      </c>
      <c r="W475" s="33"/>
    </row>
    <row r="476" spans="1:24">
      <c r="A476" s="105" t="s">
        <v>495</v>
      </c>
      <c r="B476" s="18" t="str">
        <f>IFERROR(HYPERLINK(VLOOKUP(A476,ÜRÜNLER!A:C,3,FALSE),VLOOKUP(A476,ÜRÜNLER!A:B,2,FALSE)),"")</f>
        <v>Siemens Ev Tipi Klima İç Ünite, 12.000BTU, Beyaz</v>
      </c>
      <c r="C476" s="19" t="s">
        <v>1883</v>
      </c>
      <c r="D476" s="19" t="s">
        <v>1883</v>
      </c>
      <c r="E476" s="20">
        <v>0</v>
      </c>
      <c r="F476" s="20">
        <v>1</v>
      </c>
      <c r="G476" s="20">
        <v>0</v>
      </c>
      <c r="H476" s="20">
        <v>0</v>
      </c>
      <c r="I476" s="21">
        <v>1</v>
      </c>
      <c r="J476" s="21">
        <v>0</v>
      </c>
      <c r="K476" s="20">
        <v>0</v>
      </c>
      <c r="L476" s="20">
        <v>0</v>
      </c>
      <c r="M476" s="21">
        <v>0</v>
      </c>
      <c r="N476" s="22">
        <f t="shared" si="40"/>
        <v>2</v>
      </c>
      <c r="O476" s="23" t="s">
        <v>1883</v>
      </c>
      <c r="P476" s="24" t="s">
        <v>27</v>
      </c>
      <c r="Q476" s="25">
        <v>17599.318782707702</v>
      </c>
      <c r="R476" s="102">
        <v>19000</v>
      </c>
      <c r="S476" s="27">
        <f t="shared" si="38"/>
        <v>19760</v>
      </c>
      <c r="T476" s="27">
        <f t="shared" si="41"/>
        <v>20520</v>
      </c>
      <c r="U476" s="25" t="s">
        <v>1883</v>
      </c>
      <c r="V476" s="26" t="s">
        <v>1883</v>
      </c>
      <c r="W476" s="33">
        <v>250</v>
      </c>
    </row>
    <row r="477" spans="1:24">
      <c r="A477" s="105" t="s">
        <v>496</v>
      </c>
      <c r="B477" s="18" t="str">
        <f>IFERROR(HYPERLINK(VLOOKUP(A477,ÜRÜNLER!A:C,3,FALSE),VLOOKUP(A477,ÜRÜNLER!A:B,2,FALSE)),"")</f>
        <v>Siemens Ev Tipi Klima Dış Ünite, 12.000BTU, Beyaz</v>
      </c>
      <c r="C477" s="19" t="s">
        <v>1883</v>
      </c>
      <c r="D477" s="19" t="s">
        <v>1883</v>
      </c>
      <c r="E477" s="20">
        <v>0</v>
      </c>
      <c r="F477" s="20">
        <v>1</v>
      </c>
      <c r="G477" s="20">
        <v>0</v>
      </c>
      <c r="H477" s="20">
        <v>0</v>
      </c>
      <c r="I477" s="21">
        <v>0</v>
      </c>
      <c r="J477" s="21">
        <v>0</v>
      </c>
      <c r="K477" s="20">
        <v>0</v>
      </c>
      <c r="L477" s="20">
        <v>1</v>
      </c>
      <c r="M477" s="21">
        <v>0</v>
      </c>
      <c r="N477" s="22">
        <f t="shared" si="40"/>
        <v>2</v>
      </c>
      <c r="O477" s="23" t="s">
        <v>1883</v>
      </c>
      <c r="P477" s="24" t="s">
        <v>27</v>
      </c>
      <c r="Q477" s="25">
        <v>26398.978174061547</v>
      </c>
      <c r="R477" s="102">
        <v>28000</v>
      </c>
      <c r="S477" s="27">
        <f t="shared" si="38"/>
        <v>29120</v>
      </c>
      <c r="T477" s="27">
        <f t="shared" si="41"/>
        <v>30240.000000000004</v>
      </c>
      <c r="U477" s="25" t="s">
        <v>1883</v>
      </c>
      <c r="V477" s="26" t="s">
        <v>1883</v>
      </c>
      <c r="W477" s="33"/>
    </row>
    <row r="478" spans="1:24">
      <c r="A478" s="106" t="s">
        <v>497</v>
      </c>
      <c r="B478" s="18" t="str">
        <f>IFERROR(HYPERLINK(VLOOKUP(A478,ÜRÜNLER!A:C,3,FALSE),VLOOKUP(A478,ÜRÜNLER!A:B,2,FALSE)),"")</f>
        <v>Siemens Ev Tipi Klima İç Ünite, 12.000BTU, Siyah</v>
      </c>
      <c r="C478" s="19">
        <v>2</v>
      </c>
      <c r="D478" s="19" t="s">
        <v>1883</v>
      </c>
      <c r="E478" s="20">
        <v>0</v>
      </c>
      <c r="F478" s="20">
        <v>0</v>
      </c>
      <c r="G478" s="20">
        <v>0</v>
      </c>
      <c r="H478" s="20">
        <v>0</v>
      </c>
      <c r="I478" s="21">
        <v>0</v>
      </c>
      <c r="J478" s="21">
        <v>0</v>
      </c>
      <c r="K478" s="20">
        <v>0</v>
      </c>
      <c r="L478" s="20">
        <v>0</v>
      </c>
      <c r="M478" s="21">
        <v>0</v>
      </c>
      <c r="N478" s="22">
        <f t="shared" si="40"/>
        <v>2</v>
      </c>
      <c r="O478" s="23" t="s">
        <v>1883</v>
      </c>
      <c r="P478" s="24" t="s">
        <v>27</v>
      </c>
      <c r="Q478" s="25">
        <v>19638.932436439351</v>
      </c>
      <c r="R478" s="102">
        <v>22000</v>
      </c>
      <c r="S478" s="27">
        <f t="shared" si="38"/>
        <v>22880</v>
      </c>
      <c r="T478" s="27">
        <f t="shared" si="41"/>
        <v>23760</v>
      </c>
      <c r="U478" s="25" t="s">
        <v>1883</v>
      </c>
      <c r="V478" s="26" t="s">
        <v>1883</v>
      </c>
      <c r="W478" s="33">
        <v>250</v>
      </c>
    </row>
    <row r="479" spans="1:24">
      <c r="A479" s="106" t="s">
        <v>498</v>
      </c>
      <c r="B479" s="18" t="str">
        <f>IFERROR(HYPERLINK(VLOOKUP(A479,ÜRÜNLER!A:C,3,FALSE),VLOOKUP(A479,ÜRÜNLER!A:B,2,FALSE)),"")</f>
        <v>Siemens Ev Tipi Klima Dış Ünite, 12.000BTU, Beyaz</v>
      </c>
      <c r="C479" s="19">
        <v>2</v>
      </c>
      <c r="D479" s="19" t="s">
        <v>1883</v>
      </c>
      <c r="E479" s="20">
        <v>0</v>
      </c>
      <c r="F479" s="20">
        <v>0</v>
      </c>
      <c r="G479" s="20">
        <v>0</v>
      </c>
      <c r="H479" s="20">
        <v>0</v>
      </c>
      <c r="I479" s="21">
        <v>0</v>
      </c>
      <c r="J479" s="21">
        <v>0</v>
      </c>
      <c r="K479" s="20">
        <v>0</v>
      </c>
      <c r="L479" s="20">
        <v>0</v>
      </c>
      <c r="M479" s="21">
        <v>0</v>
      </c>
      <c r="N479" s="22">
        <f t="shared" si="40"/>
        <v>2</v>
      </c>
      <c r="O479" s="23" t="s">
        <v>1883</v>
      </c>
      <c r="P479" s="24" t="s">
        <v>27</v>
      </c>
      <c r="Q479" s="25">
        <v>29458.398654659028</v>
      </c>
      <c r="R479" s="102">
        <v>32000</v>
      </c>
      <c r="S479" s="27">
        <f t="shared" si="38"/>
        <v>33280</v>
      </c>
      <c r="T479" s="27">
        <f t="shared" si="41"/>
        <v>34560</v>
      </c>
      <c r="U479" s="25" t="s">
        <v>1883</v>
      </c>
      <c r="V479" s="26" t="s">
        <v>1883</v>
      </c>
      <c r="W479" s="33"/>
    </row>
    <row r="480" spans="1:24" s="36" customFormat="1">
      <c r="A480" s="105" t="s">
        <v>499</v>
      </c>
      <c r="B480" s="18" t="str">
        <f>IFERROR(HYPERLINK(VLOOKUP(A480,ÜRÜNLER!A:C,3,FALSE),VLOOKUP(A480,ÜRÜNLER!A:B,2,FALSE)),"")</f>
        <v>Siemens Ev Tipi Klima İç Ünite, 18.000BTU, Beyaz</v>
      </c>
      <c r="C480" s="19">
        <v>5</v>
      </c>
      <c r="D480" s="19" t="s">
        <v>1883</v>
      </c>
      <c r="E480" s="20">
        <v>0</v>
      </c>
      <c r="F480" s="20">
        <v>0</v>
      </c>
      <c r="G480" s="20">
        <v>0</v>
      </c>
      <c r="H480" s="20">
        <v>0</v>
      </c>
      <c r="I480" s="21">
        <v>1</v>
      </c>
      <c r="J480" s="21">
        <v>0</v>
      </c>
      <c r="K480" s="20">
        <v>0</v>
      </c>
      <c r="L480" s="20">
        <v>2</v>
      </c>
      <c r="M480" s="21">
        <v>0</v>
      </c>
      <c r="N480" s="22">
        <f t="shared" si="40"/>
        <v>8</v>
      </c>
      <c r="O480" s="23" t="s">
        <v>1883</v>
      </c>
      <c r="P480" s="24" t="s">
        <v>27</v>
      </c>
      <c r="Q480" s="25" t="s">
        <v>1884</v>
      </c>
      <c r="R480" s="26">
        <v>22000</v>
      </c>
      <c r="S480" s="27">
        <f t="shared" si="38"/>
        <v>22880</v>
      </c>
      <c r="T480" s="27">
        <f t="shared" si="41"/>
        <v>23760</v>
      </c>
      <c r="U480" s="25" t="s">
        <v>1883</v>
      </c>
      <c r="V480" s="26" t="s">
        <v>1883</v>
      </c>
      <c r="W480" s="33">
        <v>250</v>
      </c>
      <c r="X480" s="29"/>
    </row>
    <row r="481" spans="1:24" s="36" customFormat="1">
      <c r="A481" s="105" t="s">
        <v>500</v>
      </c>
      <c r="B481" s="18" t="str">
        <f>IFERROR(HYPERLINK(VLOOKUP(A481,ÜRÜNLER!A:C,3,FALSE),VLOOKUP(A481,ÜRÜNLER!A:B,2,FALSE)),"")</f>
        <v>Siemens Ev Tipi Klima Dış Ünite, 18.000BTU, Beyaz</v>
      </c>
      <c r="C481" s="19">
        <v>7</v>
      </c>
      <c r="D481" s="19" t="s">
        <v>1883</v>
      </c>
      <c r="E481" s="20">
        <v>0</v>
      </c>
      <c r="F481" s="20">
        <v>0</v>
      </c>
      <c r="G481" s="20">
        <v>0</v>
      </c>
      <c r="H481" s="20">
        <v>0</v>
      </c>
      <c r="I481" s="21">
        <v>0</v>
      </c>
      <c r="J481" s="21">
        <v>0</v>
      </c>
      <c r="K481" s="20">
        <v>0</v>
      </c>
      <c r="L481" s="20">
        <v>1</v>
      </c>
      <c r="M481" s="21">
        <v>0</v>
      </c>
      <c r="N481" s="22">
        <f t="shared" si="40"/>
        <v>8</v>
      </c>
      <c r="O481" s="23" t="s">
        <v>1883</v>
      </c>
      <c r="P481" s="24" t="s">
        <v>27</v>
      </c>
      <c r="Q481" s="25" t="s">
        <v>1884</v>
      </c>
      <c r="R481" s="26">
        <v>35000</v>
      </c>
      <c r="S481" s="27">
        <f t="shared" si="38"/>
        <v>36400</v>
      </c>
      <c r="T481" s="27">
        <f t="shared" si="41"/>
        <v>37800</v>
      </c>
      <c r="U481" s="25" t="s">
        <v>1883</v>
      </c>
      <c r="V481" s="26" t="s">
        <v>1883</v>
      </c>
      <c r="W481" s="33"/>
      <c r="X481" s="29"/>
    </row>
    <row r="482" spans="1:24">
      <c r="A482" s="106" t="s">
        <v>501</v>
      </c>
      <c r="B482" s="18" t="str">
        <f>IFERROR(HYPERLINK(VLOOKUP(A482,ÜRÜNLER!A:C,3,FALSE),VLOOKUP(A482,ÜRÜNLER!A:B,2,FALSE)),"")</f>
        <v>Siemens Ev Tipi Klima İç Ünite, 18.000BTU, Siyah</v>
      </c>
      <c r="C482" s="19">
        <v>1</v>
      </c>
      <c r="D482" s="19" t="s">
        <v>1883</v>
      </c>
      <c r="E482" s="20">
        <v>0</v>
      </c>
      <c r="F482" s="20">
        <v>0</v>
      </c>
      <c r="G482" s="20">
        <v>0</v>
      </c>
      <c r="H482" s="20">
        <v>0</v>
      </c>
      <c r="I482" s="21">
        <v>0</v>
      </c>
      <c r="J482" s="21">
        <v>0</v>
      </c>
      <c r="K482" s="20">
        <v>0</v>
      </c>
      <c r="L482" s="20">
        <v>0</v>
      </c>
      <c r="M482" s="21">
        <v>0</v>
      </c>
      <c r="N482" s="22">
        <f t="shared" si="40"/>
        <v>1</v>
      </c>
      <c r="O482" s="23" t="s">
        <v>1883</v>
      </c>
      <c r="P482" s="24" t="s">
        <v>27</v>
      </c>
      <c r="Q482" s="25">
        <v>27721.370472790273</v>
      </c>
      <c r="R482" s="102">
        <v>30000</v>
      </c>
      <c r="S482" s="27">
        <f t="shared" si="38"/>
        <v>31200</v>
      </c>
      <c r="T482" s="27">
        <f t="shared" si="41"/>
        <v>32400.000000000004</v>
      </c>
      <c r="U482" s="25" t="s">
        <v>1883</v>
      </c>
      <c r="V482" s="26" t="s">
        <v>1883</v>
      </c>
      <c r="W482" s="33">
        <v>250</v>
      </c>
    </row>
    <row r="483" spans="1:24">
      <c r="A483" s="106" t="s">
        <v>502</v>
      </c>
      <c r="B483" s="18" t="str">
        <f>IFERROR(HYPERLINK(VLOOKUP(A483,ÜRÜNLER!A:C,3,FALSE),VLOOKUP(A483,ÜRÜNLER!A:B,2,FALSE)),"")</f>
        <v>Siemens Ev Tipi Klima Dış Ünite, 18.000BTU, Beyaz</v>
      </c>
      <c r="C483" s="19">
        <v>1</v>
      </c>
      <c r="D483" s="19" t="s">
        <v>1883</v>
      </c>
      <c r="E483" s="20">
        <v>0</v>
      </c>
      <c r="F483" s="20">
        <v>0</v>
      </c>
      <c r="G483" s="20">
        <v>0</v>
      </c>
      <c r="H483" s="20">
        <v>0</v>
      </c>
      <c r="I483" s="21">
        <v>0</v>
      </c>
      <c r="J483" s="21">
        <v>0</v>
      </c>
      <c r="K483" s="20">
        <v>0</v>
      </c>
      <c r="L483" s="20">
        <v>0</v>
      </c>
      <c r="M483" s="21">
        <v>0</v>
      </c>
      <c r="N483" s="22">
        <f t="shared" si="40"/>
        <v>1</v>
      </c>
      <c r="O483" s="23" t="s">
        <v>1883</v>
      </c>
      <c r="P483" s="24" t="s">
        <v>27</v>
      </c>
      <c r="Q483" s="25">
        <v>41582.055709185406</v>
      </c>
      <c r="R483" s="102">
        <v>44000</v>
      </c>
      <c r="S483" s="27">
        <f t="shared" si="38"/>
        <v>45760</v>
      </c>
      <c r="T483" s="27">
        <f t="shared" si="41"/>
        <v>47520</v>
      </c>
      <c r="U483" s="25" t="s">
        <v>1883</v>
      </c>
      <c r="V483" s="26" t="s">
        <v>1883</v>
      </c>
      <c r="W483" s="33"/>
    </row>
    <row r="484" spans="1:24" s="36" customFormat="1">
      <c r="A484" s="51" t="s">
        <v>503</v>
      </c>
      <c r="B484" s="18" t="str">
        <f>IFERROR(HYPERLINK(VLOOKUP(A484,ÜRÜNLER!A:C,3,FALSE),VLOOKUP(A484,ÜRÜNLER!A:B,2,FALSE)),"")</f>
        <v>Siemens Ev Tipi Klima İç Ünite, 24.000BTU, Beyaz</v>
      </c>
      <c r="C484" s="19" t="s">
        <v>1883</v>
      </c>
      <c r="D484" s="19" t="s">
        <v>1883</v>
      </c>
      <c r="E484" s="20">
        <v>0</v>
      </c>
      <c r="F484" s="20">
        <v>0</v>
      </c>
      <c r="G484" s="20">
        <v>0</v>
      </c>
      <c r="H484" s="20">
        <v>0</v>
      </c>
      <c r="I484" s="21">
        <v>0</v>
      </c>
      <c r="J484" s="21">
        <v>0</v>
      </c>
      <c r="K484" s="20">
        <v>0</v>
      </c>
      <c r="L484" s="20">
        <v>1</v>
      </c>
      <c r="M484" s="21">
        <v>0</v>
      </c>
      <c r="N484" s="22">
        <f t="shared" si="40"/>
        <v>1</v>
      </c>
      <c r="O484" s="23" t="s">
        <v>1883</v>
      </c>
      <c r="P484" s="24" t="s">
        <v>27</v>
      </c>
      <c r="Q484" s="25" t="s">
        <v>1884</v>
      </c>
      <c r="R484" s="26">
        <v>25000</v>
      </c>
      <c r="S484" s="27">
        <f t="shared" si="38"/>
        <v>26000</v>
      </c>
      <c r="T484" s="27">
        <f t="shared" si="41"/>
        <v>27000</v>
      </c>
      <c r="U484" s="25" t="s">
        <v>1883</v>
      </c>
      <c r="V484" s="26" t="s">
        <v>1883</v>
      </c>
      <c r="W484" s="33">
        <v>250</v>
      </c>
      <c r="X484" s="29"/>
    </row>
    <row r="485" spans="1:24" s="36" customFormat="1">
      <c r="A485" s="51" t="s">
        <v>504</v>
      </c>
      <c r="B485" s="18" t="str">
        <f>IFERROR(HYPERLINK(VLOOKUP(A485,ÜRÜNLER!A:C,3,FALSE),VLOOKUP(A485,ÜRÜNLER!A:B,2,FALSE)),"")</f>
        <v>Siemens Ev Tipi Klima Dış Ünite, 24.000BTU, Beyaz</v>
      </c>
      <c r="C485" s="19" t="s">
        <v>1883</v>
      </c>
      <c r="D485" s="19" t="s">
        <v>1883</v>
      </c>
      <c r="E485" s="20">
        <v>0</v>
      </c>
      <c r="F485" s="20">
        <v>0</v>
      </c>
      <c r="G485" s="20">
        <v>0</v>
      </c>
      <c r="H485" s="20">
        <v>0</v>
      </c>
      <c r="I485" s="21">
        <v>0</v>
      </c>
      <c r="J485" s="21">
        <v>0</v>
      </c>
      <c r="K485" s="20">
        <v>0</v>
      </c>
      <c r="L485" s="20">
        <v>1</v>
      </c>
      <c r="M485" s="21">
        <v>0</v>
      </c>
      <c r="N485" s="22">
        <f t="shared" si="40"/>
        <v>1</v>
      </c>
      <c r="O485" s="23" t="s">
        <v>1883</v>
      </c>
      <c r="P485" s="24" t="s">
        <v>27</v>
      </c>
      <c r="Q485" s="25" t="s">
        <v>1884</v>
      </c>
      <c r="R485" s="26">
        <v>36000</v>
      </c>
      <c r="S485" s="27">
        <f t="shared" si="38"/>
        <v>37440</v>
      </c>
      <c r="T485" s="27">
        <f t="shared" si="41"/>
        <v>38880</v>
      </c>
      <c r="U485" s="25" t="s">
        <v>1883</v>
      </c>
      <c r="V485" s="26" t="s">
        <v>1883</v>
      </c>
      <c r="W485" s="33"/>
      <c r="X485" s="29"/>
    </row>
    <row r="486" spans="1:24" s="36" customFormat="1">
      <c r="A486" s="107" t="s">
        <v>505</v>
      </c>
      <c r="B486" s="18" t="str">
        <f>IFERROR(HYPERLINK(VLOOKUP(A486,ÜRÜNLER!A:C,3,FALSE),VLOOKUP(A486,ÜRÜNLER!A:B,2,FALSE)),"")</f>
        <v>Siemens Ev Tipi Klima İç Ünite, 24.000BTU, Beyaz</v>
      </c>
      <c r="C486" s="19">
        <v>3</v>
      </c>
      <c r="D486" s="19" t="s">
        <v>1883</v>
      </c>
      <c r="E486" s="20">
        <v>0</v>
      </c>
      <c r="F486" s="20">
        <v>0</v>
      </c>
      <c r="G486" s="20">
        <v>0</v>
      </c>
      <c r="H486" s="20">
        <v>0</v>
      </c>
      <c r="I486" s="21">
        <v>0</v>
      </c>
      <c r="J486" s="21">
        <v>0</v>
      </c>
      <c r="K486" s="20">
        <v>0</v>
      </c>
      <c r="L486" s="20">
        <v>0</v>
      </c>
      <c r="M486" s="21">
        <v>0</v>
      </c>
      <c r="N486" s="22">
        <f t="shared" si="40"/>
        <v>3</v>
      </c>
      <c r="O486" s="23" t="s">
        <v>1883</v>
      </c>
      <c r="P486" s="24" t="s">
        <v>27</v>
      </c>
      <c r="Q486" s="25">
        <v>30075.909952049711</v>
      </c>
      <c r="R486" s="102">
        <v>35000</v>
      </c>
      <c r="S486" s="27">
        <f t="shared" si="38"/>
        <v>36400</v>
      </c>
      <c r="T486" s="27">
        <f t="shared" si="41"/>
        <v>37800</v>
      </c>
      <c r="U486" s="25" t="s">
        <v>1883</v>
      </c>
      <c r="V486" s="26" t="s">
        <v>1883</v>
      </c>
      <c r="W486" s="33">
        <v>250</v>
      </c>
      <c r="X486" s="29"/>
    </row>
    <row r="487" spans="1:24" s="36" customFormat="1">
      <c r="A487" s="107" t="s">
        <v>506</v>
      </c>
      <c r="B487" s="18" t="str">
        <f>IFERROR(HYPERLINK(VLOOKUP(A487,ÜRÜNLER!A:C,3,FALSE),VLOOKUP(A487,ÜRÜNLER!A:B,2,FALSE)),"")</f>
        <v>Siemens Ev Tipi Klima Dış Ünite, 24.000BTU, Beyaz</v>
      </c>
      <c r="C487" s="19">
        <v>3</v>
      </c>
      <c r="D487" s="19" t="s">
        <v>1883</v>
      </c>
      <c r="E487" s="20">
        <v>0</v>
      </c>
      <c r="F487" s="20">
        <v>0</v>
      </c>
      <c r="G487" s="20">
        <v>0</v>
      </c>
      <c r="H487" s="20">
        <v>0</v>
      </c>
      <c r="I487" s="21">
        <v>0</v>
      </c>
      <c r="J487" s="21">
        <v>0</v>
      </c>
      <c r="K487" s="20">
        <v>0</v>
      </c>
      <c r="L487" s="20">
        <v>0</v>
      </c>
      <c r="M487" s="21">
        <v>0</v>
      </c>
      <c r="N487" s="22">
        <f t="shared" si="40"/>
        <v>3</v>
      </c>
      <c r="O487" s="23" t="s">
        <v>1883</v>
      </c>
      <c r="P487" s="24" t="s">
        <v>27</v>
      </c>
      <c r="Q487" s="25">
        <v>45113.864928074559</v>
      </c>
      <c r="R487" s="102">
        <v>50000</v>
      </c>
      <c r="S487" s="27">
        <f t="shared" si="38"/>
        <v>52000</v>
      </c>
      <c r="T487" s="27">
        <f t="shared" si="41"/>
        <v>54000</v>
      </c>
      <c r="U487" s="25" t="s">
        <v>1883</v>
      </c>
      <c r="V487" s="26" t="s">
        <v>1883</v>
      </c>
      <c r="W487" s="33"/>
      <c r="X487" s="29"/>
    </row>
    <row r="488" spans="1:24">
      <c r="A488" s="71" t="s">
        <v>507</v>
      </c>
      <c r="B488" s="18"/>
      <c r="C488" s="19"/>
      <c r="D488" s="19"/>
      <c r="E488" s="20"/>
      <c r="F488" s="20"/>
      <c r="G488" s="20"/>
      <c r="H488" s="20"/>
      <c r="I488" s="21"/>
      <c r="J488" s="21"/>
      <c r="K488" s="20"/>
      <c r="L488" s="20"/>
      <c r="M488" s="21"/>
      <c r="N488" s="22"/>
      <c r="O488" s="23"/>
      <c r="P488" s="24" t="s">
        <v>1883</v>
      </c>
      <c r="R488" s="101"/>
      <c r="S488" s="27"/>
      <c r="T488" s="27"/>
      <c r="U488" s="25"/>
      <c r="V488" s="26"/>
      <c r="W488" s="33"/>
    </row>
    <row r="489" spans="1:24">
      <c r="A489" s="51" t="s">
        <v>508</v>
      </c>
      <c r="B489" s="18" t="str">
        <f>IFERROR(HYPERLINK(VLOOKUP(A489,ÜRÜNLER!A:C,3,FALSE),VLOOKUP(A489,ÜRÜNLER!A:B,2,FALSE)),"")</f>
        <v>SHAZA Akım Korumalı Akıllı Priz (Beyaz)</v>
      </c>
      <c r="C489" s="19" t="s">
        <v>1883</v>
      </c>
      <c r="D489" s="19" t="s">
        <v>1883</v>
      </c>
      <c r="E489" s="20">
        <v>0</v>
      </c>
      <c r="F489" s="20">
        <v>0</v>
      </c>
      <c r="G489" s="20">
        <v>0</v>
      </c>
      <c r="H489" s="20">
        <v>0</v>
      </c>
      <c r="I489" s="21">
        <v>1</v>
      </c>
      <c r="J489" s="21">
        <v>3</v>
      </c>
      <c r="K489" s="20">
        <v>0</v>
      </c>
      <c r="L489" s="20">
        <v>0</v>
      </c>
      <c r="M489" s="21">
        <v>0</v>
      </c>
      <c r="N489" s="22">
        <f t="shared" si="40"/>
        <v>4</v>
      </c>
      <c r="O489" s="23" t="s">
        <v>1883</v>
      </c>
      <c r="P489" s="24" t="s">
        <v>27</v>
      </c>
      <c r="Q489" s="25">
        <v>520</v>
      </c>
      <c r="R489" s="35">
        <v>1100</v>
      </c>
      <c r="S489" s="27">
        <f t="shared" si="38"/>
        <v>1144</v>
      </c>
      <c r="T489" s="27">
        <f t="shared" ref="T489:T497" si="42">R489*1.08</f>
        <v>1188</v>
      </c>
      <c r="U489" s="25" t="s">
        <v>1883</v>
      </c>
      <c r="V489" s="26" t="s">
        <v>1883</v>
      </c>
      <c r="W489" s="91">
        <v>100</v>
      </c>
    </row>
    <row r="490" spans="1:24">
      <c r="A490" s="51" t="s">
        <v>509</v>
      </c>
      <c r="B490" s="18" t="str">
        <f>IFERROR(HYPERLINK(VLOOKUP(A490,ÜRÜNLER!A:C,3,FALSE),VLOOKUP(A490,ÜRÜNLER!A:B,2,FALSE)),"")</f>
        <v>SHAZA Akım Korumalı Üçlü Priz (Beyaz)</v>
      </c>
      <c r="C490" s="19" t="s">
        <v>1883</v>
      </c>
      <c r="D490" s="19" t="s">
        <v>1883</v>
      </c>
      <c r="E490" s="20">
        <v>0</v>
      </c>
      <c r="F490" s="20">
        <v>0</v>
      </c>
      <c r="G490" s="20">
        <v>0</v>
      </c>
      <c r="H490" s="20">
        <v>0</v>
      </c>
      <c r="I490" s="21">
        <v>5</v>
      </c>
      <c r="J490" s="21">
        <v>10</v>
      </c>
      <c r="K490" s="20">
        <v>25</v>
      </c>
      <c r="L490" s="20">
        <v>0</v>
      </c>
      <c r="M490" s="21">
        <v>12</v>
      </c>
      <c r="N490" s="22">
        <f t="shared" si="40"/>
        <v>52</v>
      </c>
      <c r="O490" s="23" t="s">
        <v>1883</v>
      </c>
      <c r="P490" s="24" t="s">
        <v>27</v>
      </c>
      <c r="Q490" s="25">
        <v>520</v>
      </c>
      <c r="R490" s="108">
        <v>1100</v>
      </c>
      <c r="S490" s="27">
        <f t="shared" si="38"/>
        <v>1144</v>
      </c>
      <c r="T490" s="27">
        <f t="shared" si="42"/>
        <v>1188</v>
      </c>
      <c r="U490" s="25" t="s">
        <v>1883</v>
      </c>
      <c r="V490" s="26" t="s">
        <v>1883</v>
      </c>
      <c r="W490" s="91">
        <v>100</v>
      </c>
    </row>
    <row r="491" spans="1:24">
      <c r="A491" s="51" t="s">
        <v>510</v>
      </c>
      <c r="B491" s="18" t="str">
        <f>IFERROR(HYPERLINK(VLOOKUP(A491,ÜRÜNLER!A:C,3,FALSE),VLOOKUP(A491,ÜRÜNLER!A:B,2,FALSE)),"")</f>
        <v>Philips 50" 4K Ambilight LED TV (Titan OS) (50PUS8009/62)</v>
      </c>
      <c r="C491" s="19" t="s">
        <v>1883</v>
      </c>
      <c r="D491" s="19" t="s">
        <v>1883</v>
      </c>
      <c r="E491" s="20">
        <v>0</v>
      </c>
      <c r="F491" s="20">
        <v>0</v>
      </c>
      <c r="G491" s="20">
        <v>1</v>
      </c>
      <c r="H491" s="20">
        <v>0</v>
      </c>
      <c r="I491" s="21">
        <v>1</v>
      </c>
      <c r="J491" s="21">
        <v>0</v>
      </c>
      <c r="K491" s="20">
        <v>0</v>
      </c>
      <c r="L491" s="20">
        <v>0</v>
      </c>
      <c r="M491" s="21">
        <v>0</v>
      </c>
      <c r="N491" s="22">
        <f t="shared" si="40"/>
        <v>2</v>
      </c>
      <c r="O491" s="23" t="s">
        <v>1883</v>
      </c>
      <c r="P491" s="24" t="s">
        <v>27</v>
      </c>
      <c r="Q491" s="25" t="s">
        <v>1884</v>
      </c>
      <c r="R491" s="35">
        <v>28000</v>
      </c>
      <c r="S491" s="27">
        <f t="shared" si="38"/>
        <v>29120</v>
      </c>
      <c r="T491" s="27">
        <f t="shared" si="42"/>
        <v>30240.000000000004</v>
      </c>
      <c r="U491" s="25" t="s">
        <v>1883</v>
      </c>
      <c r="V491" s="26" t="s">
        <v>1883</v>
      </c>
      <c r="W491" s="33">
        <v>250</v>
      </c>
    </row>
    <row r="492" spans="1:24">
      <c r="A492" s="51" t="s">
        <v>511</v>
      </c>
      <c r="B492" s="18" t="str">
        <f>IFERROR(HYPERLINK(VLOOKUP(A492,ÜRÜNLER!A:C,3,FALSE),VLOOKUP(A492,ÜRÜNLER!A:B,2,FALSE)),"")</f>
        <v>Philips 50" 4K Ambilight LED TV (Titan OS) (50PUS83499/62)</v>
      </c>
      <c r="C492" s="19" t="s">
        <v>1883</v>
      </c>
      <c r="D492" s="19" t="s">
        <v>1883</v>
      </c>
      <c r="E492" s="20">
        <v>0</v>
      </c>
      <c r="F492" s="20">
        <v>0</v>
      </c>
      <c r="G492" s="20">
        <v>2</v>
      </c>
      <c r="H492" s="20">
        <v>0</v>
      </c>
      <c r="I492" s="21">
        <v>0</v>
      </c>
      <c r="J492" s="21">
        <v>0</v>
      </c>
      <c r="K492" s="20">
        <v>0</v>
      </c>
      <c r="L492" s="20">
        <v>0</v>
      </c>
      <c r="M492" s="21">
        <v>0</v>
      </c>
      <c r="N492" s="22">
        <f t="shared" si="40"/>
        <v>2</v>
      </c>
      <c r="O492" s="23" t="s">
        <v>1883</v>
      </c>
      <c r="P492" s="24" t="s">
        <v>27</v>
      </c>
      <c r="Q492" s="25" t="s">
        <v>1884</v>
      </c>
      <c r="R492" s="35">
        <v>30000</v>
      </c>
      <c r="S492" s="27">
        <f t="shared" si="38"/>
        <v>31200</v>
      </c>
      <c r="T492" s="27">
        <f t="shared" si="42"/>
        <v>32400.000000000004</v>
      </c>
      <c r="U492" s="25" t="s">
        <v>1883</v>
      </c>
      <c r="V492" s="26" t="s">
        <v>1883</v>
      </c>
      <c r="W492" s="33">
        <v>250</v>
      </c>
    </row>
    <row r="493" spans="1:24">
      <c r="A493" s="51" t="s">
        <v>512</v>
      </c>
      <c r="B493" s="18" t="str">
        <f>IFERROR(HYPERLINK(VLOOKUP(A493,ÜRÜNLER!A:C,3,FALSE),VLOOKUP(A493,ÜRÜNLER!A:B,2,FALSE)),"")</f>
        <v>Philips 50" 4K Ambilight LED TV (Android) (50PUS8057/62)</v>
      </c>
      <c r="C493" s="19" t="s">
        <v>1883</v>
      </c>
      <c r="D493" s="19" t="s">
        <v>1883</v>
      </c>
      <c r="E493" s="20">
        <v>0</v>
      </c>
      <c r="F493" s="20">
        <v>0</v>
      </c>
      <c r="G493" s="20">
        <v>1</v>
      </c>
      <c r="H493" s="20">
        <v>0</v>
      </c>
      <c r="I493" s="21">
        <v>0</v>
      </c>
      <c r="J493" s="21">
        <v>0</v>
      </c>
      <c r="K493" s="20">
        <v>0</v>
      </c>
      <c r="L493" s="20">
        <v>0</v>
      </c>
      <c r="M493" s="21">
        <v>0</v>
      </c>
      <c r="N493" s="22">
        <f t="shared" si="40"/>
        <v>1</v>
      </c>
      <c r="O493" s="23" t="s">
        <v>1883</v>
      </c>
      <c r="P493" s="24" t="s">
        <v>27</v>
      </c>
      <c r="Q493" s="25" t="s">
        <v>1884</v>
      </c>
      <c r="R493" s="35">
        <v>28000</v>
      </c>
      <c r="S493" s="27">
        <f t="shared" si="38"/>
        <v>29120</v>
      </c>
      <c r="T493" s="27">
        <f t="shared" si="42"/>
        <v>30240.000000000004</v>
      </c>
      <c r="U493" s="25" t="s">
        <v>1883</v>
      </c>
      <c r="V493" s="26" t="s">
        <v>1883</v>
      </c>
      <c r="W493" s="33">
        <v>250</v>
      </c>
    </row>
    <row r="494" spans="1:24">
      <c r="A494" s="51" t="s">
        <v>513</v>
      </c>
      <c r="B494" s="18" t="str">
        <f>IFERROR(HYPERLINK(VLOOKUP(A494,ÜRÜNLER!A:C,3,FALSE),VLOOKUP(A494,ÜRÜNLER!A:B,2,FALSE)),"")</f>
        <v>Philips 55" 4K Ambilight LED TV (Titan OS) (55PUS8349/62)</v>
      </c>
      <c r="C494" s="19" t="s">
        <v>1883</v>
      </c>
      <c r="D494" s="19" t="s">
        <v>1883</v>
      </c>
      <c r="E494" s="20">
        <v>0</v>
      </c>
      <c r="F494" s="20">
        <v>0</v>
      </c>
      <c r="G494" s="20">
        <v>0</v>
      </c>
      <c r="H494" s="20">
        <v>0</v>
      </c>
      <c r="I494" s="21">
        <v>0</v>
      </c>
      <c r="J494" s="21">
        <v>0</v>
      </c>
      <c r="K494" s="20">
        <v>0</v>
      </c>
      <c r="L494" s="20">
        <v>0</v>
      </c>
      <c r="M494" s="21">
        <v>0</v>
      </c>
      <c r="N494" s="22">
        <f t="shared" si="40"/>
        <v>0</v>
      </c>
      <c r="O494" s="23" t="s">
        <v>1883</v>
      </c>
      <c r="P494" s="24" t="s">
        <v>27</v>
      </c>
      <c r="Q494" s="25" t="s">
        <v>1884</v>
      </c>
      <c r="R494" s="35">
        <v>34000</v>
      </c>
      <c r="S494" s="27">
        <f t="shared" si="38"/>
        <v>35360</v>
      </c>
      <c r="T494" s="27">
        <f t="shared" si="42"/>
        <v>36720</v>
      </c>
      <c r="U494" s="25" t="s">
        <v>1883</v>
      </c>
      <c r="V494" s="26" t="s">
        <v>1883</v>
      </c>
      <c r="W494" s="33">
        <v>250</v>
      </c>
    </row>
    <row r="495" spans="1:24">
      <c r="A495" s="51" t="s">
        <v>514</v>
      </c>
      <c r="B495" s="18" t="str">
        <f>IFERROR(HYPERLINK(VLOOKUP(A495,ÜRÜNLER!A:C,3,FALSE),VLOOKUP(A495,ÜRÜNLER!A:B,2,FALSE)),"")</f>
        <v>Philips 55" 4K Ambilight LED TV (Smart) (55PUS8118/62)</v>
      </c>
      <c r="C495" s="19" t="s">
        <v>1883</v>
      </c>
      <c r="D495" s="19" t="s">
        <v>1883</v>
      </c>
      <c r="E495" s="20">
        <v>0</v>
      </c>
      <c r="F495" s="20">
        <v>0</v>
      </c>
      <c r="G495" s="20">
        <v>1</v>
      </c>
      <c r="H495" s="20">
        <v>0</v>
      </c>
      <c r="I495" s="21">
        <v>0</v>
      </c>
      <c r="J495" s="21">
        <v>0</v>
      </c>
      <c r="K495" s="20">
        <v>0</v>
      </c>
      <c r="L495" s="20">
        <v>0</v>
      </c>
      <c r="M495" s="21">
        <v>0</v>
      </c>
      <c r="N495" s="22">
        <f t="shared" si="40"/>
        <v>1</v>
      </c>
      <c r="O495" s="23" t="s">
        <v>1883</v>
      </c>
      <c r="P495" s="24" t="s">
        <v>27</v>
      </c>
      <c r="Q495" s="25" t="s">
        <v>1884</v>
      </c>
      <c r="R495" s="35">
        <v>34000</v>
      </c>
      <c r="S495" s="27">
        <f t="shared" si="38"/>
        <v>35360</v>
      </c>
      <c r="T495" s="27">
        <f t="shared" si="42"/>
        <v>36720</v>
      </c>
      <c r="U495" s="25" t="s">
        <v>1883</v>
      </c>
      <c r="V495" s="26" t="s">
        <v>1883</v>
      </c>
      <c r="W495" s="33">
        <v>250</v>
      </c>
    </row>
    <row r="496" spans="1:24">
      <c r="A496" s="51" t="s">
        <v>515</v>
      </c>
      <c r="B496" s="18" t="str">
        <f>IFERROR(HYPERLINK(VLOOKUP(A496,ÜRÜNLER!A:C,3,FALSE),VLOOKUP(A496,ÜRÜNLER!A:B,2,FALSE)),"")</f>
        <v>Philips 65" 4K Ambilight LED TV (Titan OS) (50PUS8349/62)</v>
      </c>
      <c r="C496" s="19" t="s">
        <v>1883</v>
      </c>
      <c r="D496" s="19" t="s">
        <v>1883</v>
      </c>
      <c r="E496" s="20">
        <v>0</v>
      </c>
      <c r="F496" s="20">
        <v>0</v>
      </c>
      <c r="G496" s="20">
        <v>1</v>
      </c>
      <c r="H496" s="20">
        <v>0</v>
      </c>
      <c r="I496" s="21">
        <v>0</v>
      </c>
      <c r="J496" s="21">
        <v>0</v>
      </c>
      <c r="K496" s="20">
        <v>0</v>
      </c>
      <c r="L496" s="20">
        <v>0</v>
      </c>
      <c r="M496" s="21">
        <v>0</v>
      </c>
      <c r="N496" s="22">
        <f t="shared" si="40"/>
        <v>1</v>
      </c>
      <c r="O496" s="23" t="s">
        <v>1883</v>
      </c>
      <c r="P496" s="24" t="s">
        <v>27</v>
      </c>
      <c r="Q496" s="25" t="s">
        <v>1884</v>
      </c>
      <c r="R496" s="35">
        <v>55000</v>
      </c>
      <c r="S496" s="27">
        <f t="shared" si="38"/>
        <v>57200</v>
      </c>
      <c r="T496" s="27">
        <f t="shared" si="42"/>
        <v>59400.000000000007</v>
      </c>
      <c r="U496" s="25" t="s">
        <v>1883</v>
      </c>
      <c r="V496" s="26" t="s">
        <v>1883</v>
      </c>
      <c r="W496" s="33">
        <v>250</v>
      </c>
    </row>
    <row r="497" spans="1:23">
      <c r="A497" s="51" t="s">
        <v>516</v>
      </c>
      <c r="B497" s="18" t="str">
        <f>IFERROR(HYPERLINK(VLOOKUP(A497,ÜRÜNLER!A:C,3,FALSE),VLOOKUP(A497,ÜRÜNLER!A:B,2,FALSE)),"")</f>
        <v>Philips 65" 4K Ambilight LED TV (65PUS8548/62) (Android)</v>
      </c>
      <c r="C497" s="19" t="s">
        <v>1883</v>
      </c>
      <c r="D497" s="19" t="s">
        <v>1883</v>
      </c>
      <c r="E497" s="20">
        <v>0</v>
      </c>
      <c r="F497" s="20">
        <v>0</v>
      </c>
      <c r="G497" s="20">
        <v>1</v>
      </c>
      <c r="H497" s="20">
        <v>0</v>
      </c>
      <c r="I497" s="21">
        <v>0</v>
      </c>
      <c r="J497" s="21">
        <v>0</v>
      </c>
      <c r="K497" s="20">
        <v>0</v>
      </c>
      <c r="L497" s="20">
        <v>1</v>
      </c>
      <c r="M497" s="21">
        <v>0</v>
      </c>
      <c r="N497" s="22">
        <f t="shared" si="40"/>
        <v>2</v>
      </c>
      <c r="O497" s="23" t="s">
        <v>1883</v>
      </c>
      <c r="P497" s="24" t="s">
        <v>27</v>
      </c>
      <c r="Q497" s="25" t="s">
        <v>1884</v>
      </c>
      <c r="R497" s="35">
        <v>50000</v>
      </c>
      <c r="S497" s="27">
        <f t="shared" si="38"/>
        <v>52000</v>
      </c>
      <c r="T497" s="27">
        <f t="shared" si="42"/>
        <v>54000</v>
      </c>
      <c r="U497" s="25" t="s">
        <v>1883</v>
      </c>
      <c r="V497" s="26" t="s">
        <v>1883</v>
      </c>
      <c r="W497" s="33">
        <v>250</v>
      </c>
    </row>
    <row r="498" spans="1:23">
      <c r="E498" s="112"/>
      <c r="F498" s="112"/>
      <c r="G498" s="112"/>
      <c r="H498" s="112"/>
      <c r="I498" s="113"/>
      <c r="J498" s="113"/>
      <c r="K498" s="114"/>
      <c r="L498" s="114"/>
      <c r="M498" s="113"/>
    </row>
    <row r="499" spans="1:23">
      <c r="E499" s="112"/>
      <c r="F499" s="112"/>
      <c r="G499" s="112"/>
      <c r="H499" s="112"/>
      <c r="I499" s="113"/>
      <c r="J499" s="113"/>
      <c r="K499" s="114"/>
      <c r="L499" s="114"/>
      <c r="M499" s="113"/>
    </row>
    <row r="500" spans="1:23">
      <c r="E500" s="112"/>
      <c r="F500" s="112"/>
      <c r="G500" s="112"/>
      <c r="H500" s="112"/>
      <c r="I500" s="113"/>
      <c r="J500" s="113"/>
      <c r="K500" s="114"/>
      <c r="L500" s="114"/>
      <c r="M500" s="113"/>
    </row>
    <row r="501" spans="1:23">
      <c r="E501" s="112"/>
      <c r="F501" s="112"/>
      <c r="G501" s="112"/>
      <c r="H501" s="112"/>
      <c r="I501" s="113"/>
      <c r="J501" s="113"/>
      <c r="K501" s="114"/>
      <c r="L501" s="114"/>
      <c r="M501" s="113"/>
    </row>
    <row r="502" spans="1:23">
      <c r="E502" s="112"/>
      <c r="F502" s="112"/>
      <c r="G502" s="112"/>
      <c r="H502" s="112"/>
      <c r="I502" s="113"/>
      <c r="J502" s="113"/>
      <c r="K502" s="114"/>
      <c r="L502" s="114"/>
      <c r="M502" s="113"/>
    </row>
    <row r="503" spans="1:23">
      <c r="E503" s="112"/>
      <c r="F503" s="112"/>
      <c r="G503" s="112"/>
      <c r="H503" s="112"/>
      <c r="I503" s="113"/>
      <c r="J503" s="113"/>
      <c r="K503" s="114"/>
      <c r="L503" s="114"/>
      <c r="M503" s="113"/>
    </row>
    <row r="504" spans="1:23">
      <c r="E504" s="112"/>
      <c r="F504" s="112"/>
      <c r="G504" s="112"/>
      <c r="H504" s="112"/>
      <c r="I504" s="113"/>
      <c r="J504" s="113"/>
      <c r="K504" s="114"/>
      <c r="L504" s="114"/>
      <c r="M504" s="113"/>
    </row>
    <row r="505" spans="1:23">
      <c r="E505" s="112"/>
      <c r="F505" s="112"/>
      <c r="G505" s="112"/>
      <c r="H505" s="112"/>
      <c r="I505" s="113"/>
      <c r="J505" s="113"/>
      <c r="K505" s="114"/>
      <c r="L505" s="114"/>
      <c r="M505" s="113"/>
    </row>
    <row r="506" spans="1:23">
      <c r="E506" s="112"/>
      <c r="F506" s="112"/>
      <c r="G506" s="112"/>
      <c r="H506" s="112"/>
      <c r="I506" s="113"/>
      <c r="J506" s="113"/>
      <c r="K506" s="114"/>
      <c r="L506" s="114"/>
      <c r="M506" s="113"/>
    </row>
    <row r="507" spans="1:23">
      <c r="E507" s="112"/>
      <c r="F507" s="112"/>
      <c r="G507" s="112"/>
      <c r="H507" s="112"/>
      <c r="I507" s="113"/>
      <c r="J507" s="113"/>
      <c r="K507" s="114"/>
      <c r="L507" s="114"/>
      <c r="M507" s="113"/>
    </row>
    <row r="508" spans="1:23">
      <c r="E508" s="112"/>
      <c r="F508" s="112"/>
      <c r="G508" s="112"/>
      <c r="H508" s="112"/>
      <c r="I508" s="113"/>
      <c r="J508" s="113"/>
      <c r="K508" s="114"/>
      <c r="L508" s="114"/>
      <c r="M508" s="113"/>
    </row>
    <row r="509" spans="1:23">
      <c r="E509" s="112"/>
      <c r="F509" s="112"/>
      <c r="G509" s="112"/>
      <c r="H509" s="112"/>
      <c r="I509" s="113"/>
      <c r="J509" s="113"/>
      <c r="K509" s="114"/>
      <c r="L509" s="114"/>
      <c r="M509" s="113"/>
    </row>
    <row r="510" spans="1:23">
      <c r="E510" s="112"/>
      <c r="F510" s="112"/>
      <c r="G510" s="112"/>
      <c r="H510" s="112"/>
      <c r="I510" s="113"/>
      <c r="J510" s="113"/>
      <c r="K510" s="114"/>
      <c r="L510" s="114"/>
      <c r="M510" s="113"/>
    </row>
    <row r="511" spans="1:23">
      <c r="E511" s="112"/>
      <c r="F511" s="112"/>
      <c r="G511" s="112"/>
      <c r="H511" s="112"/>
      <c r="I511" s="113"/>
      <c r="J511" s="113"/>
      <c r="K511" s="114"/>
      <c r="L511" s="114"/>
      <c r="M511" s="113"/>
    </row>
    <row r="512" spans="1:23">
      <c r="E512" s="112"/>
      <c r="F512" s="112"/>
      <c r="G512" s="112"/>
      <c r="H512" s="112"/>
      <c r="I512" s="113"/>
      <c r="J512" s="113"/>
      <c r="K512" s="114"/>
      <c r="L512" s="114"/>
      <c r="M512" s="113"/>
    </row>
    <row r="513" spans="5:13">
      <c r="E513" s="112"/>
      <c r="F513" s="112"/>
      <c r="G513" s="112"/>
      <c r="H513" s="112"/>
      <c r="I513" s="113"/>
      <c r="J513" s="113"/>
      <c r="K513" s="114"/>
      <c r="L513" s="114"/>
      <c r="M513" s="113"/>
    </row>
    <row r="514" spans="5:13">
      <c r="E514" s="112"/>
      <c r="F514" s="112"/>
      <c r="G514" s="112"/>
      <c r="H514" s="112"/>
      <c r="I514" s="113"/>
      <c r="J514" s="113"/>
      <c r="K514" s="114"/>
      <c r="L514" s="114"/>
      <c r="M514" s="113"/>
    </row>
    <row r="515" spans="5:13">
      <c r="E515" s="112"/>
      <c r="F515" s="112"/>
      <c r="G515" s="112"/>
      <c r="H515" s="112"/>
      <c r="I515" s="113"/>
      <c r="J515" s="113"/>
      <c r="K515" s="114"/>
      <c r="L515" s="114"/>
      <c r="M515" s="113"/>
    </row>
    <row r="516" spans="5:13">
      <c r="E516" s="112"/>
      <c r="F516" s="112"/>
      <c r="G516" s="112"/>
      <c r="H516" s="112"/>
      <c r="I516" s="113"/>
      <c r="J516" s="113"/>
      <c r="K516" s="114"/>
      <c r="L516" s="114"/>
      <c r="M516" s="113"/>
    </row>
    <row r="517" spans="5:13">
      <c r="E517" s="112"/>
      <c r="F517" s="112"/>
      <c r="G517" s="112"/>
      <c r="H517" s="112"/>
      <c r="I517" s="113"/>
      <c r="J517" s="113"/>
      <c r="K517" s="114"/>
      <c r="L517" s="114"/>
      <c r="M517" s="113"/>
    </row>
    <row r="518" spans="5:13">
      <c r="E518" s="112"/>
      <c r="F518" s="112"/>
      <c r="G518" s="112"/>
      <c r="H518" s="112"/>
      <c r="I518" s="113"/>
      <c r="J518" s="113"/>
      <c r="K518" s="114"/>
      <c r="L518" s="114"/>
      <c r="M518" s="113"/>
    </row>
    <row r="519" spans="5:13">
      <c r="E519" s="112"/>
      <c r="F519" s="112"/>
      <c r="G519" s="112"/>
      <c r="H519" s="112"/>
      <c r="I519" s="113"/>
      <c r="J519" s="113"/>
      <c r="K519" s="114"/>
      <c r="L519" s="114"/>
      <c r="M519" s="113"/>
    </row>
    <row r="520" spans="5:13">
      <c r="E520" s="112"/>
      <c r="F520" s="112"/>
      <c r="G520" s="112"/>
      <c r="H520" s="112"/>
      <c r="I520" s="113"/>
      <c r="J520" s="113"/>
      <c r="K520" s="114"/>
      <c r="L520" s="114"/>
      <c r="M520" s="113"/>
    </row>
    <row r="521" spans="5:13">
      <c r="E521" s="112"/>
      <c r="F521" s="112"/>
      <c r="G521" s="112"/>
      <c r="H521" s="112"/>
      <c r="I521" s="113"/>
      <c r="J521" s="113"/>
      <c r="K521" s="114"/>
      <c r="L521" s="114"/>
      <c r="M521" s="113"/>
    </row>
    <row r="522" spans="5:13">
      <c r="E522" s="112"/>
      <c r="F522" s="112"/>
      <c r="G522" s="112"/>
      <c r="H522" s="112"/>
      <c r="I522" s="113"/>
      <c r="J522" s="113"/>
      <c r="K522" s="114"/>
      <c r="L522" s="114"/>
      <c r="M522" s="113"/>
    </row>
    <row r="523" spans="5:13">
      <c r="E523" s="112"/>
      <c r="F523" s="112"/>
      <c r="G523" s="112"/>
      <c r="H523" s="112"/>
      <c r="I523" s="113"/>
      <c r="J523" s="113"/>
      <c r="K523" s="114"/>
      <c r="L523" s="114"/>
      <c r="M523" s="113"/>
    </row>
    <row r="524" spans="5:13">
      <c r="E524" s="112"/>
      <c r="F524" s="112"/>
      <c r="G524" s="112"/>
      <c r="H524" s="112"/>
      <c r="I524" s="113"/>
      <c r="J524" s="113"/>
      <c r="K524" s="114"/>
      <c r="L524" s="114"/>
      <c r="M524" s="113"/>
    </row>
    <row r="525" spans="5:13">
      <c r="E525" s="112"/>
      <c r="F525" s="112"/>
      <c r="G525" s="112"/>
      <c r="H525" s="112"/>
      <c r="I525" s="113"/>
      <c r="J525" s="113"/>
      <c r="K525" s="114"/>
      <c r="L525" s="114"/>
      <c r="M525" s="113"/>
    </row>
    <row r="526" spans="5:13">
      <c r="E526" s="112"/>
      <c r="F526" s="112"/>
      <c r="G526" s="112"/>
      <c r="H526" s="112"/>
      <c r="I526" s="113"/>
      <c r="J526" s="113"/>
      <c r="K526" s="114"/>
      <c r="L526" s="114"/>
      <c r="M526" s="113"/>
    </row>
    <row r="527" spans="5:13">
      <c r="E527" s="112"/>
      <c r="F527" s="112"/>
      <c r="G527" s="112"/>
      <c r="H527" s="112"/>
      <c r="I527" s="113"/>
      <c r="J527" s="113"/>
      <c r="K527" s="114"/>
      <c r="L527" s="114"/>
      <c r="M527" s="113"/>
    </row>
    <row r="528" spans="5:13">
      <c r="E528" s="112"/>
      <c r="F528" s="112"/>
      <c r="G528" s="112"/>
      <c r="H528" s="112"/>
      <c r="I528" s="113"/>
      <c r="J528" s="113"/>
      <c r="K528" s="114"/>
      <c r="L528" s="114"/>
      <c r="M528" s="113"/>
    </row>
    <row r="529" spans="5:13">
      <c r="E529" s="112"/>
      <c r="F529" s="112"/>
      <c r="G529" s="112"/>
      <c r="H529" s="112"/>
      <c r="I529" s="113"/>
      <c r="J529" s="113"/>
      <c r="K529" s="114"/>
      <c r="L529" s="114"/>
      <c r="M529" s="113"/>
    </row>
    <row r="530" spans="5:13">
      <c r="E530" s="112"/>
      <c r="F530" s="112"/>
      <c r="G530" s="112"/>
      <c r="H530" s="112"/>
      <c r="I530" s="113"/>
      <c r="J530" s="113"/>
      <c r="K530" s="114"/>
      <c r="L530" s="114"/>
      <c r="M530" s="113"/>
    </row>
    <row r="531" spans="5:13">
      <c r="E531" s="112"/>
      <c r="F531" s="112"/>
      <c r="G531" s="112"/>
      <c r="H531" s="112"/>
      <c r="I531" s="113"/>
      <c r="J531" s="113"/>
      <c r="K531" s="114"/>
      <c r="L531" s="114"/>
      <c r="M531" s="113"/>
    </row>
    <row r="532" spans="5:13">
      <c r="E532" s="112"/>
      <c r="F532" s="112"/>
      <c r="G532" s="112"/>
      <c r="H532" s="112"/>
      <c r="I532" s="113"/>
      <c r="J532" s="113"/>
      <c r="K532" s="114"/>
      <c r="L532" s="114"/>
      <c r="M532" s="113"/>
    </row>
    <row r="533" spans="5:13">
      <c r="E533" s="112"/>
      <c r="F533" s="112"/>
      <c r="G533" s="112"/>
      <c r="H533" s="112"/>
      <c r="I533" s="113"/>
      <c r="J533" s="113"/>
      <c r="K533" s="114"/>
      <c r="L533" s="114"/>
      <c r="M533" s="113"/>
    </row>
    <row r="534" spans="5:13">
      <c r="E534" s="112"/>
      <c r="F534" s="112"/>
      <c r="G534" s="112"/>
      <c r="H534" s="112"/>
      <c r="I534" s="113"/>
      <c r="J534" s="113"/>
      <c r="K534" s="114"/>
      <c r="L534" s="114"/>
      <c r="M534" s="113"/>
    </row>
    <row r="535" spans="5:13">
      <c r="E535" s="112"/>
      <c r="F535" s="112"/>
      <c r="G535" s="112"/>
      <c r="H535" s="112"/>
      <c r="I535" s="113"/>
      <c r="J535" s="113"/>
      <c r="K535" s="114"/>
      <c r="L535" s="114"/>
      <c r="M535" s="113"/>
    </row>
    <row r="536" spans="5:13">
      <c r="E536" s="112"/>
      <c r="F536" s="112"/>
      <c r="G536" s="112"/>
      <c r="H536" s="112"/>
      <c r="I536" s="113"/>
      <c r="J536" s="113"/>
      <c r="K536" s="114"/>
      <c r="L536" s="114"/>
      <c r="M536" s="113"/>
    </row>
    <row r="537" spans="5:13">
      <c r="E537" s="112"/>
      <c r="F537" s="112"/>
      <c r="G537" s="112"/>
      <c r="H537" s="112"/>
      <c r="I537" s="113"/>
      <c r="J537" s="113"/>
      <c r="K537" s="114"/>
      <c r="L537" s="114"/>
      <c r="M537" s="113"/>
    </row>
    <row r="538" spans="5:13">
      <c r="E538" s="112"/>
      <c r="F538" s="112"/>
      <c r="G538" s="112"/>
      <c r="H538" s="112"/>
      <c r="I538" s="113"/>
      <c r="J538" s="113"/>
      <c r="K538" s="114"/>
      <c r="L538" s="114"/>
      <c r="M538" s="113"/>
    </row>
    <row r="539" spans="5:13">
      <c r="E539" s="112"/>
      <c r="F539" s="112"/>
      <c r="G539" s="112"/>
      <c r="H539" s="112"/>
      <c r="I539" s="113"/>
      <c r="J539" s="113"/>
      <c r="K539" s="114"/>
      <c r="L539" s="114"/>
      <c r="M539" s="113"/>
    </row>
    <row r="540" spans="5:13">
      <c r="E540" s="112"/>
      <c r="F540" s="112"/>
      <c r="G540" s="112"/>
      <c r="H540" s="112"/>
      <c r="I540" s="113"/>
      <c r="J540" s="113"/>
      <c r="K540" s="114"/>
      <c r="L540" s="114"/>
      <c r="M540" s="113"/>
    </row>
    <row r="541" spans="5:13">
      <c r="E541" s="112"/>
      <c r="F541" s="112"/>
      <c r="G541" s="112"/>
      <c r="H541" s="112"/>
      <c r="I541" s="113"/>
      <c r="J541" s="113"/>
      <c r="K541" s="114"/>
      <c r="L541" s="114"/>
      <c r="M541" s="113"/>
    </row>
    <row r="542" spans="5:13">
      <c r="E542" s="112"/>
      <c r="F542" s="112"/>
      <c r="G542" s="112"/>
      <c r="H542" s="112"/>
      <c r="I542" s="113"/>
      <c r="J542" s="113"/>
      <c r="K542" s="114"/>
      <c r="L542" s="114"/>
      <c r="M542" s="113"/>
    </row>
    <row r="543" spans="5:13">
      <c r="E543" s="112"/>
      <c r="F543" s="112"/>
      <c r="G543" s="112"/>
      <c r="H543" s="112"/>
      <c r="I543" s="113"/>
      <c r="J543" s="113"/>
      <c r="K543" s="114"/>
      <c r="L543" s="114"/>
      <c r="M543" s="113"/>
    </row>
    <row r="544" spans="5:13">
      <c r="E544" s="112"/>
      <c r="F544" s="112"/>
      <c r="G544" s="112"/>
      <c r="H544" s="112"/>
      <c r="I544" s="113"/>
      <c r="J544" s="113"/>
      <c r="K544" s="114"/>
      <c r="L544" s="114"/>
      <c r="M544" s="113"/>
    </row>
    <row r="545" spans="5:13">
      <c r="E545" s="112"/>
      <c r="F545" s="112"/>
      <c r="G545" s="112"/>
      <c r="H545" s="112"/>
      <c r="I545" s="113"/>
      <c r="J545" s="113"/>
      <c r="K545" s="114"/>
      <c r="L545" s="114"/>
      <c r="M545" s="113"/>
    </row>
    <row r="546" spans="5:13">
      <c r="E546" s="112"/>
      <c r="F546" s="112"/>
      <c r="G546" s="112"/>
      <c r="H546" s="112"/>
      <c r="I546" s="113"/>
      <c r="J546" s="113"/>
      <c r="K546" s="114"/>
      <c r="L546" s="114"/>
      <c r="M546" s="113"/>
    </row>
    <row r="547" spans="5:13">
      <c r="E547" s="112"/>
      <c r="F547" s="112"/>
      <c r="G547" s="112"/>
      <c r="H547" s="112"/>
      <c r="I547" s="113"/>
      <c r="J547" s="113"/>
      <c r="K547" s="114"/>
      <c r="L547" s="114"/>
      <c r="M547" s="113"/>
    </row>
    <row r="548" spans="5:13">
      <c r="E548" s="112"/>
      <c r="F548" s="112"/>
      <c r="G548" s="112"/>
      <c r="H548" s="112"/>
      <c r="I548" s="113"/>
      <c r="J548" s="113"/>
      <c r="K548" s="114"/>
      <c r="L548" s="114"/>
      <c r="M548" s="113"/>
    </row>
    <row r="549" spans="5:13">
      <c r="E549" s="112"/>
      <c r="F549" s="112"/>
      <c r="G549" s="112"/>
      <c r="H549" s="112"/>
      <c r="I549" s="113"/>
      <c r="J549" s="113"/>
      <c r="K549" s="114"/>
      <c r="L549" s="114"/>
      <c r="M549" s="113"/>
    </row>
    <row r="550" spans="5:13">
      <c r="E550" s="112"/>
      <c r="F550" s="112"/>
      <c r="G550" s="112"/>
      <c r="H550" s="112"/>
      <c r="I550" s="113"/>
      <c r="J550" s="113"/>
      <c r="K550" s="114"/>
      <c r="L550" s="114"/>
      <c r="M550" s="113"/>
    </row>
    <row r="551" spans="5:13">
      <c r="E551" s="112"/>
      <c r="F551" s="112"/>
      <c r="G551" s="112"/>
      <c r="H551" s="112"/>
      <c r="I551" s="113"/>
      <c r="J551" s="113"/>
      <c r="K551" s="114"/>
      <c r="L551" s="114"/>
      <c r="M551" s="113"/>
    </row>
    <row r="552" spans="5:13">
      <c r="E552" s="112"/>
      <c r="F552" s="112"/>
      <c r="G552" s="112"/>
      <c r="H552" s="112"/>
      <c r="I552" s="113"/>
      <c r="J552" s="113"/>
      <c r="K552" s="114"/>
      <c r="L552" s="114"/>
      <c r="M552" s="113"/>
    </row>
    <row r="553" spans="5:13">
      <c r="E553" s="112"/>
      <c r="F553" s="112"/>
      <c r="G553" s="112"/>
      <c r="H553" s="112"/>
      <c r="I553" s="113"/>
      <c r="J553" s="113"/>
      <c r="K553" s="114"/>
      <c r="L553" s="114"/>
      <c r="M553" s="113"/>
    </row>
    <row r="554" spans="5:13">
      <c r="E554" s="112"/>
      <c r="F554" s="112"/>
      <c r="G554" s="112"/>
      <c r="H554" s="112"/>
      <c r="I554" s="113"/>
      <c r="J554" s="113"/>
      <c r="K554" s="114"/>
      <c r="L554" s="114"/>
      <c r="M554" s="113"/>
    </row>
    <row r="555" spans="5:13">
      <c r="E555" s="112"/>
      <c r="F555" s="112"/>
      <c r="G555" s="112"/>
      <c r="H555" s="112"/>
      <c r="I555" s="113"/>
      <c r="J555" s="113"/>
      <c r="K555" s="114"/>
      <c r="L555" s="114"/>
      <c r="M555" s="113"/>
    </row>
    <row r="556" spans="5:13">
      <c r="E556" s="112"/>
      <c r="F556" s="112"/>
      <c r="G556" s="112"/>
      <c r="H556" s="112"/>
      <c r="I556" s="113"/>
      <c r="J556" s="113"/>
      <c r="K556" s="114"/>
      <c r="L556" s="114"/>
      <c r="M556" s="113"/>
    </row>
    <row r="557" spans="5:13">
      <c r="E557" s="112"/>
      <c r="F557" s="112"/>
      <c r="G557" s="112"/>
      <c r="H557" s="112"/>
      <c r="I557" s="113"/>
      <c r="J557" s="113"/>
      <c r="K557" s="114"/>
      <c r="L557" s="114"/>
      <c r="M557" s="113"/>
    </row>
    <row r="558" spans="5:13">
      <c r="E558" s="112"/>
      <c r="F558" s="112"/>
      <c r="G558" s="112"/>
      <c r="H558" s="112"/>
      <c r="I558" s="113"/>
      <c r="J558" s="113"/>
      <c r="K558" s="114"/>
      <c r="L558" s="114"/>
      <c r="M558" s="113"/>
    </row>
    <row r="559" spans="5:13">
      <c r="E559" s="112"/>
      <c r="F559" s="112"/>
      <c r="G559" s="112"/>
      <c r="H559" s="112"/>
      <c r="I559" s="113"/>
      <c r="J559" s="113"/>
      <c r="K559" s="114"/>
      <c r="L559" s="114"/>
      <c r="M559" s="113"/>
    </row>
    <row r="560" spans="5:13">
      <c r="E560" s="112"/>
      <c r="F560" s="112"/>
      <c r="G560" s="112"/>
      <c r="H560" s="112"/>
      <c r="I560" s="113"/>
      <c r="J560" s="113"/>
      <c r="K560" s="114"/>
      <c r="L560" s="114"/>
      <c r="M560" s="113"/>
    </row>
    <row r="561" spans="5:13">
      <c r="E561" s="112"/>
      <c r="F561" s="112"/>
      <c r="G561" s="112"/>
      <c r="H561" s="112"/>
      <c r="I561" s="113"/>
      <c r="J561" s="113"/>
      <c r="K561" s="114"/>
      <c r="L561" s="114"/>
      <c r="M561" s="113"/>
    </row>
    <row r="562" spans="5:13">
      <c r="E562" s="112"/>
      <c r="F562" s="112"/>
      <c r="G562" s="112"/>
      <c r="H562" s="112"/>
      <c r="I562" s="113"/>
      <c r="J562" s="113"/>
      <c r="K562" s="114"/>
      <c r="L562" s="114"/>
      <c r="M562" s="113"/>
    </row>
    <row r="563" spans="5:13">
      <c r="E563" s="112"/>
      <c r="F563" s="112"/>
      <c r="G563" s="112"/>
      <c r="H563" s="112"/>
      <c r="I563" s="113"/>
      <c r="J563" s="113"/>
      <c r="K563" s="114"/>
      <c r="L563" s="114"/>
      <c r="M563" s="113"/>
    </row>
    <row r="564" spans="5:13">
      <c r="E564" s="112"/>
      <c r="F564" s="112"/>
      <c r="G564" s="112"/>
      <c r="H564" s="112"/>
      <c r="I564" s="113"/>
      <c r="J564" s="113"/>
      <c r="K564" s="114"/>
      <c r="L564" s="114"/>
      <c r="M564" s="113"/>
    </row>
    <row r="565" spans="5:13">
      <c r="E565" s="112"/>
      <c r="F565" s="112"/>
      <c r="G565" s="112"/>
      <c r="H565" s="112"/>
      <c r="I565" s="113"/>
      <c r="J565" s="113"/>
      <c r="K565" s="114"/>
      <c r="L565" s="114"/>
      <c r="M565" s="113"/>
    </row>
    <row r="566" spans="5:13">
      <c r="E566" s="112"/>
      <c r="F566" s="112"/>
      <c r="G566" s="112"/>
      <c r="H566" s="112"/>
      <c r="I566" s="113"/>
      <c r="J566" s="113"/>
      <c r="K566" s="114"/>
      <c r="L566" s="114"/>
      <c r="M566" s="113"/>
    </row>
    <row r="567" spans="5:13">
      <c r="E567" s="112"/>
      <c r="F567" s="112"/>
      <c r="G567" s="112"/>
      <c r="H567" s="112"/>
      <c r="I567" s="113"/>
      <c r="J567" s="113"/>
      <c r="K567" s="114"/>
      <c r="L567" s="114"/>
      <c r="M567" s="113"/>
    </row>
    <row r="568" spans="5:13">
      <c r="E568" s="112"/>
      <c r="F568" s="112"/>
      <c r="G568" s="112"/>
      <c r="H568" s="112"/>
      <c r="I568" s="113"/>
      <c r="J568" s="113"/>
      <c r="K568" s="114"/>
      <c r="L568" s="114"/>
      <c r="M568" s="113"/>
    </row>
    <row r="569" spans="5:13">
      <c r="E569" s="112"/>
      <c r="F569" s="112"/>
      <c r="G569" s="112"/>
      <c r="H569" s="112"/>
      <c r="I569" s="113"/>
      <c r="J569" s="113"/>
      <c r="K569" s="114"/>
      <c r="L569" s="114"/>
      <c r="M569" s="113"/>
    </row>
    <row r="570" spans="5:13">
      <c r="E570" s="112"/>
      <c r="F570" s="112"/>
      <c r="G570" s="112"/>
      <c r="H570" s="112"/>
      <c r="I570" s="113"/>
      <c r="J570" s="113"/>
      <c r="K570" s="114"/>
      <c r="L570" s="114"/>
      <c r="M570" s="113"/>
    </row>
    <row r="571" spans="5:13">
      <c r="E571" s="112"/>
      <c r="F571" s="112"/>
      <c r="G571" s="112"/>
      <c r="H571" s="112"/>
      <c r="I571" s="113"/>
      <c r="J571" s="113"/>
      <c r="K571" s="114"/>
      <c r="L571" s="114"/>
      <c r="M571" s="113"/>
    </row>
    <row r="572" spans="5:13">
      <c r="E572" s="112"/>
      <c r="F572" s="112"/>
      <c r="G572" s="112"/>
      <c r="H572" s="112"/>
      <c r="I572" s="113"/>
      <c r="J572" s="113"/>
      <c r="K572" s="114"/>
      <c r="L572" s="114"/>
      <c r="M572" s="113"/>
    </row>
    <row r="573" spans="5:13">
      <c r="E573" s="112"/>
      <c r="F573" s="112"/>
      <c r="G573" s="112"/>
      <c r="H573" s="112"/>
      <c r="I573" s="113"/>
      <c r="J573" s="113"/>
      <c r="K573" s="114"/>
      <c r="L573" s="114"/>
      <c r="M573" s="113"/>
    </row>
    <row r="574" spans="5:13">
      <c r="E574" s="112"/>
      <c r="F574" s="112"/>
      <c r="G574" s="112"/>
      <c r="H574" s="112"/>
      <c r="I574" s="113"/>
      <c r="J574" s="113"/>
      <c r="K574" s="114"/>
      <c r="L574" s="114"/>
      <c r="M574" s="113"/>
    </row>
    <row r="575" spans="5:13">
      <c r="E575" s="112"/>
      <c r="F575" s="112"/>
      <c r="G575" s="112"/>
      <c r="H575" s="112"/>
      <c r="I575" s="113"/>
      <c r="J575" s="113"/>
      <c r="K575" s="114"/>
      <c r="L575" s="114"/>
      <c r="M575" s="113"/>
    </row>
    <row r="576" spans="5:13">
      <c r="E576" s="112"/>
      <c r="F576" s="112"/>
      <c r="G576" s="112"/>
      <c r="H576" s="112"/>
      <c r="I576" s="113"/>
      <c r="J576" s="113"/>
      <c r="K576" s="114"/>
      <c r="L576" s="114"/>
      <c r="M576" s="113"/>
    </row>
    <row r="577" spans="5:13">
      <c r="E577" s="112"/>
      <c r="F577" s="112"/>
      <c r="G577" s="112"/>
      <c r="H577" s="112"/>
      <c r="I577" s="113"/>
      <c r="J577" s="113"/>
      <c r="K577" s="114"/>
      <c r="L577" s="114"/>
      <c r="M577" s="113"/>
    </row>
    <row r="578" spans="5:13">
      <c r="E578" s="112"/>
      <c r="F578" s="112"/>
      <c r="G578" s="112"/>
      <c r="H578" s="112"/>
      <c r="I578" s="113"/>
      <c r="J578" s="113"/>
      <c r="K578" s="114"/>
      <c r="L578" s="114"/>
      <c r="M578" s="113"/>
    </row>
    <row r="579" spans="5:13">
      <c r="E579" s="112"/>
      <c r="F579" s="112"/>
      <c r="G579" s="112"/>
      <c r="H579" s="112"/>
      <c r="I579" s="113"/>
      <c r="J579" s="113"/>
      <c r="K579" s="114"/>
      <c r="L579" s="114"/>
      <c r="M579" s="113"/>
    </row>
    <row r="580" spans="5:13">
      <c r="E580" s="112"/>
      <c r="F580" s="112"/>
      <c r="G580" s="112"/>
      <c r="H580" s="112"/>
      <c r="I580" s="113"/>
      <c r="J580" s="113"/>
      <c r="K580" s="114"/>
      <c r="L580" s="114"/>
      <c r="M580" s="113"/>
    </row>
    <row r="581" spans="5:13">
      <c r="E581" s="112"/>
      <c r="F581" s="112"/>
      <c r="G581" s="112"/>
      <c r="H581" s="112"/>
      <c r="I581" s="113"/>
      <c r="J581" s="113"/>
      <c r="K581" s="114"/>
      <c r="L581" s="114"/>
      <c r="M581" s="113"/>
    </row>
    <row r="582" spans="5:13">
      <c r="E582" s="112"/>
      <c r="F582" s="112"/>
      <c r="G582" s="112"/>
      <c r="H582" s="112"/>
      <c r="I582" s="113"/>
      <c r="J582" s="113"/>
      <c r="K582" s="114"/>
      <c r="L582" s="114"/>
      <c r="M582" s="113"/>
    </row>
    <row r="583" spans="5:13">
      <c r="E583" s="112"/>
      <c r="F583" s="112"/>
      <c r="G583" s="112"/>
      <c r="H583" s="112"/>
      <c r="I583" s="113"/>
      <c r="J583" s="113"/>
      <c r="K583" s="114"/>
      <c r="L583" s="114"/>
      <c r="M583" s="113"/>
    </row>
    <row r="584" spans="5:13">
      <c r="E584" s="112"/>
      <c r="F584" s="112"/>
      <c r="G584" s="112"/>
      <c r="H584" s="112"/>
      <c r="I584" s="113"/>
      <c r="J584" s="113"/>
      <c r="K584" s="114"/>
      <c r="L584" s="114"/>
      <c r="M584" s="113"/>
    </row>
    <row r="585" spans="5:13">
      <c r="E585" s="112"/>
      <c r="F585" s="112"/>
      <c r="G585" s="112"/>
      <c r="H585" s="112"/>
      <c r="I585" s="113"/>
      <c r="J585" s="113"/>
      <c r="K585" s="114"/>
      <c r="L585" s="114"/>
      <c r="M585" s="113"/>
    </row>
    <row r="586" spans="5:13">
      <c r="E586" s="112"/>
      <c r="F586" s="112"/>
      <c r="G586" s="112"/>
      <c r="H586" s="112"/>
      <c r="I586" s="113"/>
      <c r="J586" s="113"/>
      <c r="K586" s="114"/>
      <c r="L586" s="114"/>
      <c r="M586" s="113"/>
    </row>
    <row r="587" spans="5:13">
      <c r="E587" s="112"/>
      <c r="F587" s="112"/>
      <c r="G587" s="112"/>
      <c r="H587" s="112"/>
      <c r="I587" s="113"/>
      <c r="J587" s="113"/>
      <c r="K587" s="114"/>
      <c r="L587" s="114"/>
      <c r="M587" s="113"/>
    </row>
    <row r="588" spans="5:13">
      <c r="E588" s="112"/>
      <c r="F588" s="112"/>
      <c r="G588" s="112"/>
      <c r="H588" s="112"/>
      <c r="I588" s="113"/>
      <c r="J588" s="113"/>
      <c r="K588" s="114"/>
      <c r="L588" s="114"/>
      <c r="M588" s="113"/>
    </row>
    <row r="589" spans="5:13">
      <c r="E589" s="112"/>
      <c r="F589" s="112"/>
      <c r="G589" s="112"/>
      <c r="H589" s="112"/>
      <c r="I589" s="113"/>
      <c r="J589" s="113"/>
      <c r="K589" s="114"/>
      <c r="L589" s="114"/>
      <c r="M589" s="113"/>
    </row>
    <row r="590" spans="5:13">
      <c r="E590" s="112"/>
      <c r="F590" s="112"/>
      <c r="G590" s="112"/>
      <c r="H590" s="112"/>
      <c r="I590" s="113"/>
      <c r="J590" s="113"/>
      <c r="K590" s="114"/>
      <c r="L590" s="114"/>
      <c r="M590" s="113"/>
    </row>
    <row r="591" spans="5:13">
      <c r="E591" s="112"/>
      <c r="F591" s="112"/>
      <c r="G591" s="112"/>
      <c r="H591" s="112"/>
      <c r="I591" s="113"/>
      <c r="J591" s="113"/>
      <c r="K591" s="114"/>
      <c r="L591" s="114"/>
      <c r="M591" s="113"/>
    </row>
    <row r="592" spans="5:13">
      <c r="E592" s="112"/>
      <c r="F592" s="112"/>
      <c r="G592" s="112"/>
      <c r="H592" s="112"/>
      <c r="I592" s="113"/>
      <c r="J592" s="113"/>
      <c r="K592" s="114"/>
      <c r="L592" s="114"/>
      <c r="M592" s="113"/>
    </row>
    <row r="593" spans="5:13">
      <c r="E593" s="112"/>
      <c r="F593" s="112"/>
      <c r="G593" s="112"/>
      <c r="H593" s="112"/>
      <c r="I593" s="113"/>
      <c r="J593" s="113"/>
      <c r="K593" s="114"/>
      <c r="L593" s="114"/>
      <c r="M593" s="113"/>
    </row>
    <row r="594" spans="5:13">
      <c r="E594" s="112"/>
      <c r="F594" s="112"/>
      <c r="G594" s="112"/>
      <c r="H594" s="112"/>
      <c r="I594" s="113"/>
      <c r="J594" s="113"/>
      <c r="K594" s="114"/>
      <c r="L594" s="114"/>
      <c r="M594" s="113"/>
    </row>
    <row r="595" spans="5:13">
      <c r="E595" s="112"/>
      <c r="F595" s="112"/>
      <c r="G595" s="112"/>
      <c r="H595" s="112"/>
      <c r="I595" s="113"/>
      <c r="J595" s="113"/>
      <c r="K595" s="114"/>
      <c r="L595" s="114"/>
      <c r="M595" s="113"/>
    </row>
    <row r="596" spans="5:13">
      <c r="E596" s="112"/>
      <c r="F596" s="112"/>
      <c r="G596" s="112"/>
      <c r="H596" s="112"/>
      <c r="I596" s="113"/>
      <c r="J596" s="113"/>
      <c r="K596" s="114"/>
      <c r="L596" s="114"/>
      <c r="M596" s="113"/>
    </row>
    <row r="597" spans="5:13">
      <c r="E597" s="112"/>
      <c r="F597" s="112"/>
      <c r="G597" s="112"/>
      <c r="H597" s="112"/>
      <c r="I597" s="113"/>
      <c r="J597" s="113"/>
      <c r="K597" s="114"/>
      <c r="L597" s="114"/>
      <c r="M597" s="113"/>
    </row>
    <row r="598" spans="5:13">
      <c r="E598" s="112"/>
      <c r="F598" s="112"/>
      <c r="G598" s="112"/>
      <c r="H598" s="112"/>
      <c r="I598" s="113"/>
      <c r="J598" s="113"/>
      <c r="K598" s="114"/>
      <c r="L598" s="114"/>
      <c r="M598" s="113"/>
    </row>
    <row r="599" spans="5:13">
      <c r="E599" s="112"/>
      <c r="F599" s="112"/>
      <c r="G599" s="112"/>
      <c r="H599" s="112"/>
      <c r="I599" s="113"/>
      <c r="J599" s="113"/>
      <c r="K599" s="114"/>
      <c r="L599" s="114"/>
      <c r="M599" s="113"/>
    </row>
    <row r="600" spans="5:13">
      <c r="E600" s="112"/>
      <c r="F600" s="112"/>
      <c r="G600" s="112"/>
      <c r="H600" s="112"/>
      <c r="I600" s="113"/>
      <c r="J600" s="113"/>
      <c r="K600" s="114"/>
      <c r="L600" s="114"/>
      <c r="M600" s="113"/>
    </row>
    <row r="601" spans="5:13">
      <c r="E601" s="112"/>
      <c r="F601" s="112"/>
      <c r="G601" s="112"/>
      <c r="H601" s="112"/>
      <c r="I601" s="113"/>
      <c r="J601" s="113"/>
      <c r="K601" s="114"/>
      <c r="L601" s="114"/>
      <c r="M601" s="113"/>
    </row>
    <row r="602" spans="5:13">
      <c r="E602" s="112"/>
      <c r="F602" s="112"/>
      <c r="G602" s="112"/>
      <c r="H602" s="112"/>
      <c r="I602" s="113"/>
      <c r="J602" s="113"/>
      <c r="K602" s="114"/>
      <c r="L602" s="114"/>
      <c r="M602" s="113"/>
    </row>
    <row r="603" spans="5:13">
      <c r="E603" s="112"/>
      <c r="F603" s="112"/>
      <c r="G603" s="112"/>
      <c r="H603" s="112"/>
      <c r="I603" s="113"/>
      <c r="J603" s="113"/>
      <c r="K603" s="114"/>
      <c r="L603" s="114"/>
      <c r="M603" s="113"/>
    </row>
    <row r="604" spans="5:13">
      <c r="E604" s="112"/>
      <c r="F604" s="112"/>
      <c r="G604" s="112"/>
      <c r="H604" s="112"/>
      <c r="I604" s="113"/>
      <c r="J604" s="113"/>
      <c r="K604" s="114"/>
      <c r="L604" s="114"/>
      <c r="M604" s="113"/>
    </row>
    <row r="605" spans="5:13">
      <c r="E605" s="112"/>
      <c r="F605" s="112"/>
      <c r="G605" s="112"/>
      <c r="H605" s="112"/>
      <c r="I605" s="113"/>
      <c r="J605" s="113"/>
      <c r="K605" s="114"/>
      <c r="L605" s="114"/>
      <c r="M605" s="113"/>
    </row>
    <row r="606" spans="5:13">
      <c r="E606" s="112"/>
      <c r="F606" s="112"/>
      <c r="G606" s="112"/>
      <c r="H606" s="112"/>
      <c r="I606" s="113"/>
      <c r="J606" s="113"/>
      <c r="K606" s="114"/>
      <c r="L606" s="114"/>
      <c r="M606" s="113"/>
    </row>
    <row r="607" spans="5:13">
      <c r="E607" s="112"/>
      <c r="F607" s="112"/>
      <c r="G607" s="112"/>
      <c r="H607" s="112"/>
      <c r="I607" s="113"/>
      <c r="J607" s="113"/>
      <c r="K607" s="114"/>
      <c r="L607" s="114"/>
      <c r="M607" s="113"/>
    </row>
    <row r="608" spans="5:13">
      <c r="E608" s="112"/>
      <c r="F608" s="112"/>
      <c r="G608" s="112"/>
      <c r="H608" s="112"/>
      <c r="I608" s="113"/>
      <c r="J608" s="113"/>
      <c r="K608" s="114"/>
      <c r="L608" s="114"/>
      <c r="M608" s="113"/>
    </row>
    <row r="609" spans="5:13">
      <c r="E609" s="112"/>
      <c r="F609" s="112"/>
      <c r="G609" s="112"/>
      <c r="H609" s="112"/>
      <c r="I609" s="113"/>
      <c r="J609" s="113"/>
      <c r="K609" s="114"/>
      <c r="L609" s="114"/>
      <c r="M609" s="113"/>
    </row>
    <row r="610" spans="5:13">
      <c r="E610" s="112"/>
      <c r="F610" s="112"/>
      <c r="G610" s="112"/>
      <c r="H610" s="112"/>
      <c r="I610" s="113"/>
      <c r="J610" s="113"/>
      <c r="K610" s="114"/>
      <c r="L610" s="114"/>
      <c r="M610" s="113"/>
    </row>
    <row r="611" spans="5:13">
      <c r="E611" s="112"/>
      <c r="F611" s="112"/>
      <c r="G611" s="112"/>
      <c r="H611" s="112"/>
      <c r="I611" s="113"/>
      <c r="J611" s="113"/>
      <c r="K611" s="114"/>
      <c r="L611" s="114"/>
      <c r="M611" s="113"/>
    </row>
    <row r="612" spans="5:13">
      <c r="E612" s="112"/>
      <c r="F612" s="112"/>
      <c r="G612" s="112"/>
      <c r="H612" s="112"/>
      <c r="I612" s="113"/>
      <c r="J612" s="113"/>
      <c r="K612" s="114"/>
      <c r="L612" s="114"/>
      <c r="M612" s="113"/>
    </row>
    <row r="613" spans="5:13">
      <c r="E613" s="112"/>
      <c r="F613" s="112"/>
      <c r="G613" s="112"/>
      <c r="H613" s="112"/>
      <c r="I613" s="113"/>
      <c r="J613" s="113"/>
      <c r="K613" s="114"/>
      <c r="L613" s="114"/>
      <c r="M613" s="113"/>
    </row>
    <row r="614" spans="5:13">
      <c r="E614" s="112"/>
      <c r="F614" s="112"/>
      <c r="G614" s="112"/>
      <c r="H614" s="112"/>
      <c r="I614" s="113"/>
      <c r="J614" s="113"/>
      <c r="K614" s="114"/>
      <c r="L614" s="114"/>
      <c r="M614" s="113"/>
    </row>
    <row r="615" spans="5:13">
      <c r="E615" s="112"/>
      <c r="F615" s="112"/>
      <c r="G615" s="112"/>
      <c r="H615" s="112"/>
      <c r="I615" s="113"/>
      <c r="J615" s="113"/>
      <c r="K615" s="114"/>
      <c r="L615" s="114"/>
      <c r="M615" s="113"/>
    </row>
    <row r="616" spans="5:13">
      <c r="E616" s="112"/>
      <c r="F616" s="112"/>
      <c r="G616" s="112"/>
      <c r="H616" s="112"/>
      <c r="I616" s="113"/>
      <c r="J616" s="113"/>
      <c r="K616" s="114"/>
      <c r="L616" s="114"/>
      <c r="M616" s="113"/>
    </row>
    <row r="617" spans="5:13">
      <c r="E617" s="112"/>
      <c r="F617" s="112"/>
      <c r="G617" s="112"/>
      <c r="H617" s="112"/>
      <c r="I617" s="113"/>
      <c r="J617" s="113"/>
      <c r="K617" s="114"/>
      <c r="L617" s="114"/>
      <c r="M617" s="113"/>
    </row>
    <row r="618" spans="5:13">
      <c r="E618" s="112"/>
      <c r="F618" s="112"/>
      <c r="G618" s="112"/>
      <c r="H618" s="112"/>
      <c r="I618" s="113"/>
      <c r="J618" s="113"/>
      <c r="K618" s="114"/>
      <c r="L618" s="114"/>
      <c r="M618" s="113"/>
    </row>
    <row r="619" spans="5:13">
      <c r="E619" s="112"/>
      <c r="F619" s="112"/>
      <c r="G619" s="112"/>
      <c r="H619" s="112"/>
      <c r="I619" s="113"/>
      <c r="J619" s="113"/>
      <c r="K619" s="114"/>
      <c r="L619" s="114"/>
      <c r="M619" s="113"/>
    </row>
    <row r="620" spans="5:13">
      <c r="E620" s="112"/>
      <c r="F620" s="112"/>
      <c r="G620" s="112"/>
      <c r="H620" s="112"/>
      <c r="I620" s="113"/>
      <c r="J620" s="113"/>
      <c r="K620" s="114"/>
      <c r="L620" s="114"/>
      <c r="M620" s="113"/>
    </row>
    <row r="621" spans="5:13">
      <c r="E621" s="112"/>
      <c r="F621" s="112"/>
      <c r="G621" s="112"/>
      <c r="H621" s="112"/>
      <c r="I621" s="113"/>
      <c r="J621" s="113"/>
      <c r="K621" s="114"/>
      <c r="L621" s="114"/>
      <c r="M621" s="113"/>
    </row>
    <row r="622" spans="5:13">
      <c r="E622" s="112"/>
      <c r="F622" s="112"/>
      <c r="G622" s="112"/>
      <c r="H622" s="112"/>
      <c r="I622" s="113"/>
      <c r="J622" s="113"/>
      <c r="K622" s="114"/>
      <c r="L622" s="114"/>
      <c r="M622" s="113"/>
    </row>
    <row r="623" spans="5:13">
      <c r="E623" s="112"/>
      <c r="F623" s="112"/>
      <c r="G623" s="112"/>
      <c r="H623" s="112"/>
      <c r="I623" s="113"/>
      <c r="J623" s="113"/>
      <c r="K623" s="114"/>
      <c r="L623" s="114"/>
      <c r="M623" s="113"/>
    </row>
    <row r="624" spans="5:13">
      <c r="E624" s="112"/>
      <c r="F624" s="112"/>
      <c r="G624" s="112"/>
      <c r="H624" s="112"/>
      <c r="I624" s="113"/>
      <c r="J624" s="113"/>
      <c r="K624" s="114"/>
      <c r="L624" s="114"/>
      <c r="M624" s="113"/>
    </row>
    <row r="625" spans="5:13">
      <c r="E625" s="112"/>
      <c r="F625" s="112"/>
      <c r="G625" s="112"/>
      <c r="H625" s="112"/>
      <c r="I625" s="113"/>
      <c r="J625" s="113"/>
      <c r="K625" s="114"/>
      <c r="L625" s="114"/>
      <c r="M625" s="113"/>
    </row>
    <row r="626" spans="5:13">
      <c r="E626" s="112"/>
      <c r="F626" s="112"/>
      <c r="G626" s="112"/>
      <c r="H626" s="112"/>
      <c r="I626" s="113"/>
      <c r="J626" s="113"/>
      <c r="K626" s="114"/>
      <c r="L626" s="114"/>
      <c r="M626" s="113"/>
    </row>
    <row r="627" spans="5:13">
      <c r="E627" s="112"/>
      <c r="F627" s="112"/>
      <c r="G627" s="112"/>
      <c r="H627" s="112"/>
      <c r="I627" s="113"/>
      <c r="J627" s="113"/>
      <c r="K627" s="114"/>
      <c r="L627" s="114"/>
      <c r="M627" s="113"/>
    </row>
    <row r="628" spans="5:13">
      <c r="E628" s="112"/>
      <c r="F628" s="112"/>
      <c r="G628" s="112"/>
      <c r="H628" s="112"/>
      <c r="I628" s="113"/>
      <c r="J628" s="113"/>
      <c r="K628" s="114"/>
      <c r="L628" s="114"/>
      <c r="M628" s="113"/>
    </row>
    <row r="629" spans="5:13">
      <c r="E629" s="112"/>
      <c r="F629" s="112"/>
      <c r="G629" s="112"/>
      <c r="H629" s="112"/>
      <c r="I629" s="113"/>
      <c r="J629" s="113"/>
      <c r="K629" s="114"/>
      <c r="L629" s="114"/>
      <c r="M629" s="113"/>
    </row>
    <row r="630" spans="5:13">
      <c r="E630" s="112"/>
      <c r="F630" s="112"/>
      <c r="G630" s="112"/>
      <c r="H630" s="112"/>
      <c r="I630" s="113"/>
      <c r="J630" s="113"/>
      <c r="K630" s="114"/>
      <c r="L630" s="114"/>
      <c r="M630" s="113"/>
    </row>
    <row r="631" spans="5:13">
      <c r="E631" s="112"/>
      <c r="F631" s="112"/>
      <c r="G631" s="112"/>
      <c r="H631" s="112"/>
      <c r="I631" s="113"/>
      <c r="J631" s="113"/>
      <c r="K631" s="114"/>
      <c r="L631" s="114"/>
      <c r="M631" s="113"/>
    </row>
    <row r="632" spans="5:13">
      <c r="E632" s="112"/>
      <c r="F632" s="112"/>
      <c r="G632" s="112"/>
      <c r="H632" s="112"/>
      <c r="I632" s="113"/>
      <c r="J632" s="113"/>
      <c r="K632" s="114"/>
      <c r="L632" s="114"/>
      <c r="M632" s="113"/>
    </row>
    <row r="633" spans="5:13">
      <c r="E633" s="112"/>
      <c r="F633" s="112"/>
      <c r="G633" s="112"/>
      <c r="H633" s="112"/>
      <c r="I633" s="113"/>
      <c r="J633" s="113"/>
      <c r="K633" s="114"/>
      <c r="L633" s="114"/>
      <c r="M633" s="113"/>
    </row>
    <row r="634" spans="5:13">
      <c r="E634" s="112"/>
      <c r="F634" s="112"/>
      <c r="G634" s="112"/>
      <c r="H634" s="112"/>
      <c r="I634" s="113"/>
      <c r="J634" s="113"/>
      <c r="K634" s="114"/>
      <c r="L634" s="114"/>
      <c r="M634" s="113"/>
    </row>
    <row r="635" spans="5:13">
      <c r="E635" s="112"/>
      <c r="F635" s="112"/>
      <c r="G635" s="112"/>
      <c r="H635" s="112"/>
      <c r="I635" s="113"/>
      <c r="J635" s="113"/>
      <c r="K635" s="114"/>
      <c r="L635" s="114"/>
      <c r="M635" s="113"/>
    </row>
    <row r="636" spans="5:13">
      <c r="E636" s="112"/>
      <c r="F636" s="112"/>
      <c r="G636" s="112"/>
      <c r="H636" s="112"/>
      <c r="I636" s="113"/>
      <c r="J636" s="113"/>
      <c r="K636" s="114"/>
      <c r="L636" s="114"/>
      <c r="M636" s="113"/>
    </row>
    <row r="637" spans="5:13">
      <c r="E637" s="112"/>
      <c r="F637" s="112"/>
      <c r="G637" s="112"/>
      <c r="H637" s="112"/>
      <c r="I637" s="113"/>
      <c r="J637" s="113"/>
      <c r="K637" s="114"/>
      <c r="L637" s="114"/>
      <c r="M637" s="113"/>
    </row>
    <row r="638" spans="5:13">
      <c r="E638" s="112"/>
      <c r="F638" s="112"/>
      <c r="G638" s="112"/>
      <c r="H638" s="112"/>
      <c r="I638" s="113"/>
      <c r="J638" s="113"/>
      <c r="K638" s="114"/>
      <c r="L638" s="114"/>
      <c r="M638" s="113"/>
    </row>
    <row r="639" spans="5:13">
      <c r="E639" s="112"/>
      <c r="F639" s="112"/>
      <c r="G639" s="112"/>
      <c r="H639" s="112"/>
      <c r="I639" s="113"/>
      <c r="J639" s="113"/>
      <c r="K639" s="114"/>
      <c r="L639" s="114"/>
      <c r="M639" s="113"/>
    </row>
    <row r="640" spans="5:13">
      <c r="E640" s="112"/>
      <c r="F640" s="112"/>
      <c r="G640" s="112"/>
      <c r="H640" s="112"/>
      <c r="I640" s="113"/>
      <c r="J640" s="113"/>
      <c r="K640" s="114"/>
      <c r="L640" s="114"/>
      <c r="M640" s="113"/>
    </row>
    <row r="641" spans="5:13">
      <c r="E641" s="112"/>
      <c r="F641" s="112"/>
      <c r="G641" s="112"/>
      <c r="H641" s="112"/>
      <c r="I641" s="113"/>
      <c r="J641" s="113"/>
      <c r="K641" s="114"/>
      <c r="L641" s="114"/>
      <c r="M641" s="113"/>
    </row>
    <row r="642" spans="5:13">
      <c r="E642" s="112"/>
      <c r="F642" s="112"/>
      <c r="G642" s="112"/>
      <c r="H642" s="112"/>
      <c r="I642" s="113"/>
      <c r="J642" s="113"/>
      <c r="K642" s="114"/>
      <c r="L642" s="114"/>
      <c r="M642" s="113"/>
    </row>
    <row r="643" spans="5:13">
      <c r="E643" s="112"/>
      <c r="F643" s="112"/>
      <c r="G643" s="112"/>
      <c r="H643" s="112"/>
      <c r="I643" s="113"/>
      <c r="J643" s="113"/>
      <c r="K643" s="114"/>
      <c r="L643" s="114"/>
      <c r="M643" s="113"/>
    </row>
    <row r="644" spans="5:13">
      <c r="E644" s="112"/>
      <c r="F644" s="112"/>
      <c r="G644" s="112"/>
      <c r="H644" s="112"/>
      <c r="I644" s="113"/>
      <c r="J644" s="113"/>
      <c r="K644" s="114"/>
      <c r="L644" s="114"/>
      <c r="M644" s="113"/>
    </row>
    <row r="645" spans="5:13">
      <c r="E645" s="112"/>
      <c r="F645" s="112"/>
      <c r="G645" s="112"/>
      <c r="H645" s="112"/>
      <c r="I645" s="113"/>
      <c r="J645" s="113"/>
      <c r="K645" s="114"/>
      <c r="L645" s="114"/>
      <c r="M645" s="113"/>
    </row>
    <row r="646" spans="5:13">
      <c r="E646" s="112"/>
      <c r="F646" s="112"/>
      <c r="G646" s="112"/>
      <c r="H646" s="112"/>
      <c r="I646" s="113"/>
      <c r="J646" s="113"/>
      <c r="K646" s="114"/>
      <c r="L646" s="114"/>
      <c r="M646" s="113"/>
    </row>
    <row r="647" spans="5:13">
      <c r="E647" s="112"/>
      <c r="F647" s="112"/>
      <c r="G647" s="112"/>
      <c r="H647" s="112"/>
      <c r="I647" s="113"/>
      <c r="J647" s="113"/>
      <c r="K647" s="114"/>
      <c r="L647" s="114"/>
      <c r="M647" s="113"/>
    </row>
    <row r="648" spans="5:13">
      <c r="E648" s="112"/>
      <c r="F648" s="112"/>
      <c r="G648" s="112"/>
      <c r="H648" s="112"/>
      <c r="I648" s="113"/>
      <c r="J648" s="113"/>
      <c r="K648" s="114"/>
      <c r="L648" s="114"/>
      <c r="M648" s="113"/>
    </row>
    <row r="649" spans="5:13">
      <c r="E649" s="112"/>
      <c r="F649" s="112"/>
      <c r="G649" s="112"/>
      <c r="H649" s="112"/>
      <c r="I649" s="113"/>
      <c r="J649" s="113"/>
      <c r="K649" s="114"/>
      <c r="L649" s="114"/>
      <c r="M649" s="113"/>
    </row>
    <row r="650" spans="5:13">
      <c r="E650" s="112"/>
      <c r="F650" s="112"/>
      <c r="G650" s="112"/>
      <c r="H650" s="112"/>
      <c r="I650" s="113"/>
      <c r="J650" s="113"/>
      <c r="K650" s="114"/>
      <c r="L650" s="114"/>
      <c r="M650" s="113"/>
    </row>
    <row r="651" spans="5:13">
      <c r="E651" s="112"/>
      <c r="F651" s="112"/>
      <c r="G651" s="112"/>
      <c r="H651" s="112"/>
      <c r="I651" s="113"/>
      <c r="J651" s="113"/>
      <c r="K651" s="114"/>
      <c r="L651" s="114"/>
      <c r="M651" s="113"/>
    </row>
    <row r="652" spans="5:13">
      <c r="E652" s="112"/>
      <c r="F652" s="112"/>
      <c r="G652" s="112"/>
      <c r="H652" s="112"/>
      <c r="I652" s="113"/>
      <c r="J652" s="113"/>
      <c r="K652" s="114"/>
      <c r="L652" s="114"/>
      <c r="M652" s="113"/>
    </row>
    <row r="653" spans="5:13">
      <c r="E653" s="112"/>
      <c r="F653" s="112"/>
      <c r="G653" s="112"/>
      <c r="H653" s="112"/>
      <c r="I653" s="113"/>
      <c r="J653" s="113"/>
      <c r="K653" s="114"/>
      <c r="L653" s="114"/>
      <c r="M653" s="113"/>
    </row>
    <row r="654" spans="5:13">
      <c r="E654" s="112"/>
      <c r="F654" s="112"/>
      <c r="G654" s="112"/>
      <c r="H654" s="112"/>
      <c r="I654" s="113"/>
      <c r="J654" s="113"/>
      <c r="K654" s="114"/>
      <c r="L654" s="114"/>
      <c r="M654" s="113"/>
    </row>
    <row r="655" spans="5:13">
      <c r="E655" s="112"/>
      <c r="F655" s="112"/>
      <c r="G655" s="112"/>
      <c r="H655" s="112"/>
      <c r="I655" s="113"/>
      <c r="J655" s="113"/>
      <c r="K655" s="114"/>
      <c r="L655" s="114"/>
      <c r="M655" s="113"/>
    </row>
    <row r="656" spans="5:13">
      <c r="E656" s="112"/>
      <c r="F656" s="112"/>
      <c r="G656" s="112"/>
      <c r="H656" s="112"/>
      <c r="I656" s="113"/>
      <c r="J656" s="113"/>
      <c r="K656" s="114"/>
      <c r="L656" s="114"/>
      <c r="M656" s="113"/>
    </row>
    <row r="657" spans="5:13">
      <c r="E657" s="112"/>
      <c r="F657" s="112"/>
      <c r="G657" s="112"/>
      <c r="H657" s="112"/>
      <c r="I657" s="113"/>
      <c r="J657" s="113"/>
      <c r="K657" s="114"/>
      <c r="L657" s="114"/>
      <c r="M657" s="113"/>
    </row>
    <row r="658" spans="5:13">
      <c r="E658" s="112"/>
      <c r="F658" s="112"/>
      <c r="G658" s="112"/>
      <c r="H658" s="112"/>
      <c r="I658" s="113"/>
      <c r="J658" s="113"/>
      <c r="K658" s="114"/>
      <c r="L658" s="114"/>
      <c r="M658" s="113"/>
    </row>
    <row r="659" spans="5:13">
      <c r="E659" s="112"/>
      <c r="F659" s="112"/>
      <c r="G659" s="112"/>
      <c r="H659" s="112"/>
      <c r="I659" s="113"/>
      <c r="J659" s="113"/>
      <c r="K659" s="114"/>
      <c r="L659" s="114"/>
      <c r="M659" s="113"/>
    </row>
    <row r="660" spans="5:13">
      <c r="E660" s="112"/>
      <c r="F660" s="112"/>
      <c r="G660" s="112"/>
      <c r="H660" s="112"/>
      <c r="I660" s="113"/>
      <c r="J660" s="113"/>
      <c r="K660" s="114"/>
      <c r="L660" s="114"/>
      <c r="M660" s="113"/>
    </row>
    <row r="661" spans="5:13">
      <c r="E661" s="112"/>
      <c r="F661" s="112"/>
      <c r="G661" s="112"/>
      <c r="H661" s="112"/>
      <c r="I661" s="113"/>
      <c r="J661" s="113"/>
      <c r="K661" s="114"/>
      <c r="L661" s="114"/>
      <c r="M661" s="113"/>
    </row>
    <row r="662" spans="5:13">
      <c r="E662" s="112"/>
      <c r="F662" s="112"/>
      <c r="G662" s="112"/>
      <c r="H662" s="112"/>
      <c r="I662" s="113"/>
      <c r="J662" s="113"/>
      <c r="K662" s="114"/>
      <c r="L662" s="114"/>
      <c r="M662" s="113"/>
    </row>
    <row r="663" spans="5:13">
      <c r="E663" s="112"/>
      <c r="F663" s="112"/>
      <c r="G663" s="112"/>
      <c r="H663" s="112"/>
      <c r="I663" s="113"/>
      <c r="J663" s="113"/>
      <c r="K663" s="114"/>
      <c r="L663" s="114"/>
      <c r="M663" s="113"/>
    </row>
    <row r="664" spans="5:13">
      <c r="E664" s="112"/>
      <c r="F664" s="112"/>
      <c r="G664" s="112"/>
      <c r="H664" s="112"/>
      <c r="I664" s="113"/>
      <c r="J664" s="113"/>
      <c r="K664" s="114"/>
      <c r="L664" s="114"/>
      <c r="M664" s="113"/>
    </row>
    <row r="665" spans="5:13">
      <c r="E665" s="112"/>
      <c r="F665" s="112"/>
      <c r="G665" s="112"/>
      <c r="H665" s="112"/>
      <c r="I665" s="113"/>
      <c r="J665" s="113"/>
      <c r="K665" s="114"/>
      <c r="L665" s="114"/>
      <c r="M665" s="113"/>
    </row>
    <row r="666" spans="5:13">
      <c r="E666" s="112"/>
      <c r="F666" s="112"/>
      <c r="G666" s="112"/>
      <c r="H666" s="112"/>
      <c r="I666" s="113"/>
      <c r="J666" s="113"/>
      <c r="K666" s="114"/>
      <c r="L666" s="114"/>
      <c r="M666" s="113"/>
    </row>
    <row r="667" spans="5:13">
      <c r="E667" s="112"/>
      <c r="F667" s="112"/>
      <c r="G667" s="112"/>
      <c r="H667" s="112"/>
      <c r="I667" s="113"/>
      <c r="J667" s="113"/>
      <c r="K667" s="114"/>
      <c r="L667" s="114"/>
      <c r="M667" s="113"/>
    </row>
    <row r="668" spans="5:13">
      <c r="E668" s="112"/>
      <c r="F668" s="112"/>
      <c r="G668" s="112"/>
      <c r="H668" s="112"/>
      <c r="I668" s="113"/>
      <c r="J668" s="113"/>
      <c r="K668" s="114"/>
      <c r="L668" s="114"/>
      <c r="M668" s="113"/>
    </row>
    <row r="669" spans="5:13">
      <c r="E669" s="112"/>
      <c r="F669" s="112"/>
      <c r="G669" s="112"/>
      <c r="H669" s="112"/>
      <c r="I669" s="113"/>
      <c r="J669" s="113"/>
      <c r="K669" s="114"/>
      <c r="L669" s="114"/>
      <c r="M669" s="113"/>
    </row>
    <row r="670" spans="5:13">
      <c r="E670" s="112"/>
      <c r="F670" s="112"/>
      <c r="G670" s="112"/>
      <c r="H670" s="112"/>
      <c r="I670" s="113"/>
      <c r="J670" s="113"/>
      <c r="K670" s="114"/>
      <c r="L670" s="114"/>
      <c r="M670" s="113"/>
    </row>
    <row r="671" spans="5:13">
      <c r="E671" s="112"/>
      <c r="F671" s="112"/>
      <c r="G671" s="112"/>
      <c r="H671" s="112"/>
      <c r="I671" s="113"/>
      <c r="J671" s="113"/>
      <c r="K671" s="114"/>
      <c r="L671" s="114"/>
      <c r="M671" s="113"/>
    </row>
    <row r="672" spans="5:13">
      <c r="E672" s="112"/>
      <c r="F672" s="112"/>
      <c r="G672" s="112"/>
      <c r="H672" s="112"/>
      <c r="I672" s="113"/>
      <c r="J672" s="113"/>
      <c r="K672" s="114"/>
      <c r="L672" s="114"/>
      <c r="M672" s="113"/>
    </row>
    <row r="673" spans="5:13">
      <c r="E673" s="112"/>
      <c r="F673" s="112"/>
      <c r="G673" s="112"/>
      <c r="H673" s="112"/>
      <c r="I673" s="113"/>
      <c r="J673" s="113"/>
      <c r="K673" s="114"/>
      <c r="L673" s="114"/>
      <c r="M673" s="113"/>
    </row>
    <row r="674" spans="5:13">
      <c r="E674" s="112"/>
      <c r="F674" s="112"/>
      <c r="G674" s="112"/>
      <c r="H674" s="112"/>
      <c r="I674" s="113"/>
      <c r="J674" s="113"/>
      <c r="K674" s="114"/>
      <c r="L674" s="114"/>
      <c r="M674" s="113"/>
    </row>
    <row r="675" spans="5:13">
      <c r="E675" s="112"/>
      <c r="F675" s="112"/>
      <c r="G675" s="112"/>
      <c r="H675" s="112"/>
      <c r="I675" s="113"/>
      <c r="J675" s="113"/>
      <c r="K675" s="114"/>
      <c r="L675" s="114"/>
      <c r="M675" s="113"/>
    </row>
    <row r="676" spans="5:13">
      <c r="E676" s="112"/>
      <c r="F676" s="112"/>
      <c r="G676" s="112"/>
      <c r="H676" s="112"/>
      <c r="I676" s="113"/>
      <c r="J676" s="113"/>
      <c r="K676" s="114"/>
      <c r="L676" s="114"/>
      <c r="M676" s="113"/>
    </row>
    <row r="677" spans="5:13">
      <c r="E677" s="112"/>
      <c r="F677" s="112"/>
      <c r="G677" s="112"/>
      <c r="H677" s="112"/>
      <c r="I677" s="113"/>
      <c r="J677" s="113"/>
      <c r="K677" s="114"/>
      <c r="L677" s="114"/>
      <c r="M677" s="113"/>
    </row>
    <row r="678" spans="5:13">
      <c r="E678" s="112"/>
      <c r="F678" s="112"/>
      <c r="G678" s="112"/>
      <c r="H678" s="112"/>
      <c r="I678" s="113"/>
      <c r="J678" s="113"/>
      <c r="K678" s="114"/>
      <c r="L678" s="114"/>
      <c r="M678" s="113"/>
    </row>
    <row r="679" spans="5:13">
      <c r="E679" s="112"/>
      <c r="F679" s="112"/>
      <c r="G679" s="112"/>
      <c r="H679" s="112"/>
      <c r="I679" s="113"/>
      <c r="J679" s="113"/>
      <c r="K679" s="114"/>
      <c r="L679" s="114"/>
      <c r="M679" s="113"/>
    </row>
    <row r="680" spans="5:13">
      <c r="E680" s="112"/>
      <c r="F680" s="112"/>
      <c r="G680" s="112"/>
      <c r="H680" s="112"/>
      <c r="I680" s="113"/>
      <c r="J680" s="113"/>
      <c r="K680" s="114"/>
      <c r="L680" s="114"/>
      <c r="M680" s="113"/>
    </row>
    <row r="681" spans="5:13">
      <c r="E681" s="112"/>
      <c r="F681" s="112"/>
      <c r="G681" s="112"/>
      <c r="H681" s="112"/>
      <c r="I681" s="113"/>
      <c r="J681" s="113"/>
      <c r="K681" s="114"/>
      <c r="L681" s="114"/>
      <c r="M681" s="113"/>
    </row>
    <row r="682" spans="5:13">
      <c r="E682" s="112"/>
      <c r="F682" s="112"/>
      <c r="G682" s="112"/>
      <c r="H682" s="112"/>
      <c r="I682" s="113"/>
      <c r="J682" s="113"/>
      <c r="K682" s="114"/>
      <c r="L682" s="114"/>
      <c r="M682" s="113"/>
    </row>
    <row r="683" spans="5:13">
      <c r="E683" s="112"/>
      <c r="F683" s="112"/>
      <c r="G683" s="112"/>
      <c r="H683" s="112"/>
      <c r="I683" s="113"/>
      <c r="J683" s="113"/>
      <c r="K683" s="114"/>
      <c r="L683" s="114"/>
      <c r="M683" s="113"/>
    </row>
    <row r="684" spans="5:13">
      <c r="E684" s="112"/>
      <c r="F684" s="112"/>
      <c r="G684" s="112"/>
      <c r="H684" s="112"/>
      <c r="I684" s="113"/>
      <c r="J684" s="113"/>
      <c r="K684" s="114"/>
      <c r="L684" s="114"/>
      <c r="M684" s="113"/>
    </row>
    <row r="685" spans="5:13">
      <c r="E685" s="112"/>
      <c r="F685" s="112"/>
      <c r="G685" s="112"/>
      <c r="H685" s="112"/>
      <c r="I685" s="113"/>
      <c r="J685" s="113"/>
      <c r="K685" s="114"/>
      <c r="L685" s="114"/>
      <c r="M685" s="113"/>
    </row>
    <row r="686" spans="5:13">
      <c r="E686" s="112"/>
      <c r="F686" s="112"/>
      <c r="G686" s="112"/>
      <c r="H686" s="112"/>
      <c r="I686" s="113"/>
      <c r="J686" s="113"/>
      <c r="K686" s="114"/>
      <c r="L686" s="114"/>
      <c r="M686" s="113"/>
    </row>
    <row r="687" spans="5:13">
      <c r="E687" s="112"/>
      <c r="F687" s="112"/>
      <c r="G687" s="112"/>
      <c r="H687" s="112"/>
      <c r="I687" s="113"/>
      <c r="J687" s="113"/>
      <c r="K687" s="114"/>
      <c r="L687" s="114"/>
      <c r="M687" s="113"/>
    </row>
    <row r="688" spans="5:13">
      <c r="E688" s="112"/>
      <c r="F688" s="112"/>
      <c r="G688" s="112"/>
      <c r="H688" s="112"/>
      <c r="I688" s="113"/>
      <c r="J688" s="113"/>
      <c r="K688" s="114"/>
      <c r="L688" s="114"/>
      <c r="M688" s="113"/>
    </row>
    <row r="689" spans="5:13">
      <c r="E689" s="112"/>
      <c r="F689" s="112"/>
      <c r="G689" s="112"/>
      <c r="H689" s="112"/>
      <c r="I689" s="113"/>
      <c r="J689" s="113"/>
      <c r="K689" s="114"/>
      <c r="L689" s="114"/>
      <c r="M689" s="113"/>
    </row>
    <row r="690" spans="5:13">
      <c r="E690" s="112"/>
      <c r="F690" s="112"/>
      <c r="G690" s="112"/>
      <c r="H690" s="112"/>
      <c r="I690" s="113"/>
      <c r="J690" s="113"/>
      <c r="K690" s="114"/>
      <c r="L690" s="114"/>
      <c r="M690" s="113"/>
    </row>
    <row r="691" spans="5:13">
      <c r="E691" s="112"/>
      <c r="F691" s="112"/>
      <c r="G691" s="112"/>
      <c r="H691" s="112"/>
      <c r="I691" s="113"/>
      <c r="J691" s="113"/>
      <c r="K691" s="114"/>
      <c r="L691" s="114"/>
      <c r="M691" s="113"/>
    </row>
    <row r="692" spans="5:13">
      <c r="E692" s="112"/>
      <c r="F692" s="112"/>
      <c r="G692" s="112"/>
      <c r="H692" s="112"/>
      <c r="I692" s="113"/>
      <c r="J692" s="113"/>
      <c r="K692" s="114"/>
      <c r="L692" s="114"/>
      <c r="M692" s="113"/>
    </row>
    <row r="693" spans="5:13">
      <c r="E693" s="112"/>
      <c r="F693" s="112"/>
      <c r="G693" s="112"/>
      <c r="H693" s="112"/>
      <c r="I693" s="113"/>
      <c r="J693" s="113"/>
      <c r="K693" s="114"/>
      <c r="L693" s="114"/>
      <c r="M693" s="113"/>
    </row>
    <row r="694" spans="5:13">
      <c r="E694" s="112"/>
      <c r="F694" s="112"/>
      <c r="G694" s="112"/>
      <c r="H694" s="112"/>
      <c r="I694" s="113"/>
      <c r="J694" s="113"/>
      <c r="K694" s="114"/>
      <c r="L694" s="114"/>
      <c r="M694" s="113"/>
    </row>
    <row r="695" spans="5:13">
      <c r="E695" s="112"/>
      <c r="F695" s="112"/>
      <c r="G695" s="112"/>
      <c r="H695" s="112"/>
      <c r="I695" s="113"/>
      <c r="J695" s="113"/>
      <c r="K695" s="114"/>
      <c r="L695" s="114"/>
      <c r="M695" s="113"/>
    </row>
    <row r="696" spans="5:13">
      <c r="E696" s="112"/>
      <c r="F696" s="112"/>
      <c r="G696" s="112"/>
      <c r="H696" s="112"/>
      <c r="I696" s="113"/>
      <c r="J696" s="113"/>
      <c r="K696" s="114"/>
      <c r="L696" s="114"/>
      <c r="M696" s="113"/>
    </row>
    <row r="697" spans="5:13">
      <c r="E697" s="112"/>
      <c r="F697" s="112"/>
      <c r="G697" s="112"/>
      <c r="H697" s="112"/>
      <c r="I697" s="113"/>
      <c r="J697" s="113"/>
      <c r="K697" s="114"/>
      <c r="L697" s="114"/>
      <c r="M697" s="113"/>
    </row>
    <row r="698" spans="5:13">
      <c r="E698" s="112"/>
      <c r="F698" s="112"/>
      <c r="G698" s="112"/>
      <c r="H698" s="112"/>
      <c r="I698" s="113"/>
      <c r="J698" s="113"/>
      <c r="K698" s="114"/>
      <c r="L698" s="114"/>
      <c r="M698" s="113"/>
    </row>
    <row r="699" spans="5:13">
      <c r="E699" s="112"/>
      <c r="F699" s="112"/>
      <c r="G699" s="112"/>
      <c r="H699" s="112"/>
      <c r="I699" s="113"/>
      <c r="J699" s="113"/>
      <c r="K699" s="114"/>
      <c r="L699" s="114"/>
      <c r="M699" s="113"/>
    </row>
    <row r="700" spans="5:13">
      <c r="E700" s="112"/>
      <c r="F700" s="112"/>
      <c r="G700" s="112"/>
      <c r="H700" s="112"/>
      <c r="I700" s="113"/>
      <c r="J700" s="113"/>
      <c r="K700" s="114"/>
      <c r="L700" s="114"/>
      <c r="M700" s="113"/>
    </row>
    <row r="701" spans="5:13">
      <c r="E701" s="112"/>
      <c r="F701" s="112"/>
      <c r="G701" s="112"/>
      <c r="H701" s="112"/>
      <c r="I701" s="113"/>
      <c r="J701" s="113"/>
      <c r="K701" s="114"/>
      <c r="L701" s="114"/>
      <c r="M701" s="113"/>
    </row>
    <row r="702" spans="5:13">
      <c r="E702" s="112"/>
      <c r="F702" s="112"/>
      <c r="G702" s="112"/>
      <c r="H702" s="112"/>
      <c r="I702" s="113"/>
      <c r="J702" s="113"/>
      <c r="K702" s="114"/>
      <c r="L702" s="114"/>
      <c r="M702" s="113"/>
    </row>
    <row r="703" spans="5:13">
      <c r="E703" s="112"/>
      <c r="F703" s="112"/>
      <c r="G703" s="112"/>
      <c r="H703" s="112"/>
      <c r="I703" s="113"/>
      <c r="J703" s="113"/>
      <c r="K703" s="114"/>
      <c r="L703" s="114"/>
      <c r="M703" s="113"/>
    </row>
    <row r="704" spans="5:13">
      <c r="E704" s="112"/>
      <c r="F704" s="112"/>
      <c r="G704" s="112"/>
      <c r="H704" s="112"/>
      <c r="I704" s="113"/>
      <c r="J704" s="113"/>
      <c r="K704" s="114"/>
      <c r="L704" s="114"/>
      <c r="M704" s="113"/>
    </row>
    <row r="705" spans="5:13">
      <c r="E705" s="112"/>
      <c r="F705" s="112"/>
      <c r="G705" s="112"/>
      <c r="H705" s="112"/>
      <c r="I705" s="113"/>
      <c r="J705" s="113"/>
      <c r="K705" s="114"/>
      <c r="L705" s="114"/>
      <c r="M705" s="113"/>
    </row>
    <row r="706" spans="5:13">
      <c r="E706" s="112"/>
      <c r="F706" s="112"/>
      <c r="G706" s="112"/>
      <c r="H706" s="112"/>
      <c r="I706" s="113"/>
      <c r="J706" s="113"/>
      <c r="K706" s="114"/>
      <c r="L706" s="114"/>
      <c r="M706" s="113"/>
    </row>
    <row r="707" spans="5:13">
      <c r="E707" s="112"/>
      <c r="F707" s="112"/>
      <c r="G707" s="112"/>
      <c r="H707" s="112"/>
      <c r="I707" s="113"/>
      <c r="J707" s="113"/>
      <c r="K707" s="114"/>
      <c r="L707" s="114"/>
      <c r="M707" s="113"/>
    </row>
    <row r="708" spans="5:13">
      <c r="E708" s="112"/>
      <c r="F708" s="112"/>
      <c r="G708" s="112"/>
      <c r="H708" s="112"/>
      <c r="I708" s="113"/>
      <c r="J708" s="113"/>
      <c r="K708" s="114"/>
      <c r="L708" s="114"/>
      <c r="M708" s="113"/>
    </row>
    <row r="709" spans="5:13">
      <c r="E709" s="112"/>
      <c r="F709" s="112"/>
      <c r="G709" s="112"/>
      <c r="H709" s="112"/>
      <c r="I709" s="113"/>
      <c r="J709" s="113"/>
      <c r="K709" s="114"/>
      <c r="L709" s="114"/>
      <c r="M709" s="113"/>
    </row>
    <row r="710" spans="5:13">
      <c r="E710" s="112"/>
      <c r="F710" s="112"/>
      <c r="G710" s="112"/>
      <c r="H710" s="112"/>
      <c r="I710" s="113"/>
      <c r="J710" s="113"/>
      <c r="K710" s="114"/>
      <c r="L710" s="114"/>
      <c r="M710" s="113"/>
    </row>
    <row r="711" spans="5:13">
      <c r="E711" s="112"/>
      <c r="F711" s="112"/>
      <c r="G711" s="112"/>
      <c r="H711" s="112"/>
      <c r="I711" s="113"/>
      <c r="J711" s="113"/>
      <c r="K711" s="114"/>
      <c r="L711" s="114"/>
      <c r="M711" s="113"/>
    </row>
    <row r="712" spans="5:13">
      <c r="E712" s="112"/>
      <c r="F712" s="112"/>
      <c r="G712" s="112"/>
      <c r="H712" s="112"/>
      <c r="I712" s="113"/>
      <c r="J712" s="113"/>
      <c r="K712" s="114"/>
      <c r="L712" s="114"/>
      <c r="M712" s="113"/>
    </row>
    <row r="713" spans="5:13">
      <c r="E713" s="112"/>
      <c r="F713" s="112"/>
      <c r="G713" s="112"/>
      <c r="H713" s="112"/>
      <c r="I713" s="113"/>
      <c r="J713" s="113"/>
      <c r="K713" s="114"/>
      <c r="L713" s="114"/>
      <c r="M713" s="113"/>
    </row>
    <row r="714" spans="5:13">
      <c r="E714" s="112"/>
      <c r="F714" s="112"/>
      <c r="G714" s="112"/>
      <c r="H714" s="112"/>
      <c r="I714" s="113"/>
      <c r="J714" s="113"/>
      <c r="K714" s="114"/>
      <c r="L714" s="114"/>
      <c r="M714" s="113"/>
    </row>
    <row r="715" spans="5:13">
      <c r="E715" s="112"/>
      <c r="F715" s="112"/>
      <c r="G715" s="112"/>
      <c r="H715" s="112"/>
      <c r="I715" s="113"/>
      <c r="J715" s="113"/>
      <c r="K715" s="114"/>
      <c r="L715" s="114"/>
      <c r="M715" s="113"/>
    </row>
    <row r="716" spans="5:13">
      <c r="E716" s="112"/>
      <c r="F716" s="112"/>
      <c r="G716" s="112"/>
      <c r="H716" s="112"/>
      <c r="I716" s="113"/>
      <c r="J716" s="113"/>
      <c r="K716" s="114"/>
      <c r="L716" s="114"/>
      <c r="M716" s="113"/>
    </row>
    <row r="717" spans="5:13">
      <c r="E717" s="112"/>
      <c r="F717" s="112"/>
      <c r="G717" s="112"/>
      <c r="H717" s="112"/>
      <c r="I717" s="113"/>
      <c r="J717" s="113"/>
      <c r="K717" s="114"/>
      <c r="L717" s="114"/>
      <c r="M717" s="113"/>
    </row>
    <row r="718" spans="5:13">
      <c r="E718" s="112"/>
      <c r="F718" s="112"/>
      <c r="G718" s="112"/>
      <c r="H718" s="112"/>
      <c r="I718" s="113"/>
      <c r="J718" s="113"/>
      <c r="K718" s="114"/>
      <c r="L718" s="114"/>
      <c r="M718" s="113"/>
    </row>
    <row r="719" spans="5:13">
      <c r="E719" s="112"/>
      <c r="F719" s="112"/>
      <c r="G719" s="112"/>
      <c r="H719" s="112"/>
      <c r="I719" s="113"/>
      <c r="J719" s="113"/>
      <c r="K719" s="114"/>
      <c r="L719" s="114"/>
      <c r="M719" s="113"/>
    </row>
    <row r="720" spans="5:13">
      <c r="E720" s="112"/>
      <c r="F720" s="112"/>
      <c r="G720" s="112"/>
      <c r="H720" s="112"/>
      <c r="I720" s="113"/>
      <c r="J720" s="113"/>
      <c r="K720" s="114"/>
      <c r="L720" s="114"/>
      <c r="M720" s="113"/>
    </row>
    <row r="721" spans="5:13">
      <c r="E721" s="112"/>
      <c r="F721" s="112"/>
      <c r="G721" s="112"/>
      <c r="H721" s="112"/>
      <c r="I721" s="113"/>
      <c r="J721" s="113"/>
      <c r="K721" s="114"/>
      <c r="L721" s="114"/>
      <c r="M721" s="113"/>
    </row>
    <row r="722" spans="5:13">
      <c r="E722" s="112"/>
      <c r="F722" s="112"/>
      <c r="G722" s="112"/>
      <c r="H722" s="112"/>
      <c r="I722" s="113"/>
      <c r="J722" s="113"/>
      <c r="K722" s="114"/>
      <c r="L722" s="114"/>
      <c r="M722" s="113"/>
    </row>
    <row r="723" spans="5:13">
      <c r="E723" s="112"/>
      <c r="F723" s="112"/>
      <c r="G723" s="112"/>
      <c r="H723" s="112"/>
      <c r="I723" s="113"/>
      <c r="J723" s="113"/>
      <c r="K723" s="114"/>
      <c r="L723" s="114"/>
      <c r="M723" s="113"/>
    </row>
    <row r="724" spans="5:13">
      <c r="E724" s="112"/>
      <c r="F724" s="112"/>
      <c r="G724" s="112"/>
      <c r="H724" s="112"/>
      <c r="I724" s="113"/>
      <c r="J724" s="113"/>
      <c r="K724" s="114"/>
      <c r="L724" s="114"/>
      <c r="M724" s="113"/>
    </row>
    <row r="725" spans="5:13">
      <c r="E725" s="112"/>
      <c r="F725" s="112"/>
      <c r="G725" s="112"/>
      <c r="H725" s="112"/>
      <c r="I725" s="113"/>
      <c r="J725" s="113"/>
      <c r="K725" s="114"/>
      <c r="L725" s="114"/>
      <c r="M725" s="113"/>
    </row>
    <row r="726" spans="5:13">
      <c r="E726" s="112"/>
      <c r="F726" s="112"/>
      <c r="G726" s="112"/>
      <c r="H726" s="112"/>
      <c r="I726" s="113"/>
      <c r="J726" s="113"/>
      <c r="K726" s="114"/>
      <c r="L726" s="114"/>
      <c r="M726" s="113"/>
    </row>
    <row r="727" spans="5:13">
      <c r="E727" s="112"/>
      <c r="F727" s="112"/>
      <c r="G727" s="112"/>
      <c r="H727" s="112"/>
      <c r="I727" s="113"/>
      <c r="J727" s="113"/>
      <c r="K727" s="114"/>
      <c r="L727" s="114"/>
      <c r="M727" s="113"/>
    </row>
    <row r="728" spans="5:13">
      <c r="E728" s="112"/>
      <c r="F728" s="112"/>
      <c r="G728" s="112"/>
      <c r="H728" s="112"/>
      <c r="I728" s="113"/>
      <c r="J728" s="113"/>
      <c r="K728" s="114"/>
      <c r="L728" s="114"/>
      <c r="M728" s="113"/>
    </row>
    <row r="729" spans="5:13">
      <c r="E729" s="112"/>
      <c r="F729" s="112"/>
      <c r="G729" s="112"/>
      <c r="H729" s="112"/>
      <c r="I729" s="113"/>
      <c r="J729" s="113"/>
      <c r="K729" s="114"/>
      <c r="L729" s="114"/>
      <c r="M729" s="113"/>
    </row>
    <row r="730" spans="5:13">
      <c r="E730" s="112"/>
      <c r="F730" s="112"/>
      <c r="G730" s="112"/>
      <c r="H730" s="112"/>
      <c r="I730" s="113"/>
      <c r="J730" s="113"/>
      <c r="K730" s="114"/>
      <c r="L730" s="114"/>
      <c r="M730" s="113"/>
    </row>
    <row r="731" spans="5:13">
      <c r="E731" s="112"/>
      <c r="F731" s="112"/>
      <c r="G731" s="112"/>
      <c r="H731" s="112"/>
      <c r="I731" s="113"/>
      <c r="J731" s="113"/>
      <c r="K731" s="114"/>
      <c r="L731" s="114"/>
      <c r="M731" s="113"/>
    </row>
    <row r="732" spans="5:13">
      <c r="E732" s="112"/>
      <c r="F732" s="112"/>
      <c r="G732" s="112"/>
      <c r="H732" s="112"/>
      <c r="I732" s="113"/>
      <c r="J732" s="113"/>
      <c r="K732" s="114"/>
      <c r="L732" s="114"/>
      <c r="M732" s="113"/>
    </row>
    <row r="733" spans="5:13">
      <c r="E733" s="112"/>
      <c r="F733" s="112"/>
      <c r="G733" s="112"/>
      <c r="H733" s="112"/>
      <c r="I733" s="113"/>
      <c r="J733" s="113"/>
      <c r="K733" s="114"/>
      <c r="L733" s="114"/>
      <c r="M733" s="113"/>
    </row>
    <row r="734" spans="5:13">
      <c r="E734" s="112"/>
      <c r="F734" s="112"/>
      <c r="G734" s="112"/>
      <c r="H734" s="112"/>
      <c r="I734" s="113"/>
      <c r="J734" s="113"/>
      <c r="K734" s="114"/>
      <c r="L734" s="114"/>
      <c r="M734" s="113"/>
    </row>
    <row r="735" spans="5:13">
      <c r="E735" s="112"/>
      <c r="F735" s="112"/>
      <c r="G735" s="112"/>
      <c r="H735" s="112"/>
      <c r="I735" s="113"/>
      <c r="J735" s="113"/>
      <c r="K735" s="114"/>
      <c r="L735" s="114"/>
      <c r="M735" s="113"/>
    </row>
    <row r="736" spans="5:13">
      <c r="E736" s="112"/>
      <c r="F736" s="112"/>
      <c r="G736" s="112"/>
      <c r="H736" s="112"/>
      <c r="I736" s="113"/>
      <c r="J736" s="113"/>
      <c r="K736" s="114"/>
      <c r="L736" s="114"/>
      <c r="M736" s="113"/>
    </row>
    <row r="737" spans="5:13">
      <c r="E737" s="112"/>
      <c r="F737" s="112"/>
      <c r="G737" s="112"/>
      <c r="H737" s="112"/>
      <c r="I737" s="113"/>
      <c r="J737" s="113"/>
      <c r="K737" s="114"/>
      <c r="L737" s="114"/>
      <c r="M737" s="113"/>
    </row>
    <row r="738" spans="5:13">
      <c r="E738" s="112"/>
      <c r="F738" s="112"/>
      <c r="G738" s="112"/>
      <c r="H738" s="112"/>
      <c r="I738" s="113"/>
      <c r="J738" s="113"/>
      <c r="K738" s="114"/>
      <c r="L738" s="114"/>
      <c r="M738" s="113"/>
    </row>
    <row r="739" spans="5:13">
      <c r="E739" s="112"/>
      <c r="F739" s="112"/>
      <c r="G739" s="112"/>
      <c r="H739" s="112"/>
      <c r="I739" s="113"/>
      <c r="J739" s="113"/>
      <c r="K739" s="114"/>
      <c r="L739" s="114"/>
      <c r="M739" s="113"/>
    </row>
    <row r="740" spans="5:13">
      <c r="E740" s="112"/>
      <c r="F740" s="112"/>
      <c r="G740" s="112"/>
      <c r="H740" s="112"/>
      <c r="I740" s="113"/>
      <c r="J740" s="113"/>
      <c r="K740" s="114"/>
      <c r="L740" s="114"/>
      <c r="M740" s="113"/>
    </row>
    <row r="741" spans="5:13">
      <c r="E741" s="112"/>
      <c r="F741" s="112"/>
      <c r="G741" s="112"/>
      <c r="H741" s="112"/>
      <c r="I741" s="113"/>
      <c r="J741" s="113"/>
      <c r="K741" s="114"/>
      <c r="L741" s="114"/>
      <c r="M741" s="113"/>
    </row>
    <row r="742" spans="5:13">
      <c r="E742" s="112"/>
      <c r="F742" s="112"/>
      <c r="G742" s="112"/>
      <c r="H742" s="112"/>
      <c r="I742" s="113"/>
      <c r="J742" s="113"/>
      <c r="K742" s="114"/>
      <c r="L742" s="114"/>
      <c r="M742" s="113"/>
    </row>
    <row r="743" spans="5:13">
      <c r="E743" s="112"/>
      <c r="F743" s="112"/>
      <c r="G743" s="112"/>
      <c r="H743" s="112"/>
      <c r="I743" s="113"/>
      <c r="J743" s="113"/>
      <c r="K743" s="114"/>
      <c r="L743" s="114"/>
      <c r="M743" s="113"/>
    </row>
    <row r="744" spans="5:13">
      <c r="E744" s="112"/>
      <c r="F744" s="112"/>
      <c r="G744" s="112"/>
      <c r="H744" s="112"/>
      <c r="I744" s="113"/>
      <c r="J744" s="113"/>
      <c r="K744" s="114"/>
      <c r="L744" s="114"/>
      <c r="M744" s="113"/>
    </row>
    <row r="745" spans="5:13">
      <c r="E745" s="112"/>
      <c r="F745" s="112"/>
      <c r="G745" s="112"/>
      <c r="H745" s="112"/>
      <c r="I745" s="113"/>
      <c r="J745" s="113"/>
      <c r="K745" s="114"/>
      <c r="L745" s="114"/>
      <c r="M745" s="113"/>
    </row>
    <row r="746" spans="5:13">
      <c r="E746" s="112"/>
      <c r="F746" s="112"/>
      <c r="G746" s="112"/>
      <c r="H746" s="112"/>
      <c r="I746" s="113"/>
      <c r="J746" s="113"/>
      <c r="K746" s="114"/>
      <c r="L746" s="114"/>
      <c r="M746" s="113"/>
    </row>
    <row r="747" spans="5:13">
      <c r="E747" s="112"/>
      <c r="F747" s="112"/>
      <c r="G747" s="112"/>
      <c r="H747" s="112"/>
      <c r="I747" s="113"/>
      <c r="J747" s="113"/>
      <c r="K747" s="114"/>
      <c r="L747" s="114"/>
      <c r="M747" s="113"/>
    </row>
    <row r="748" spans="5:13">
      <c r="E748" s="112"/>
      <c r="F748" s="112"/>
      <c r="G748" s="112"/>
      <c r="H748" s="112"/>
      <c r="I748" s="113"/>
      <c r="J748" s="113"/>
      <c r="K748" s="114"/>
      <c r="L748" s="114"/>
      <c r="M748" s="113"/>
    </row>
    <row r="749" spans="5:13">
      <c r="E749" s="112"/>
      <c r="F749" s="112"/>
      <c r="G749" s="112"/>
      <c r="H749" s="112"/>
      <c r="I749" s="113"/>
      <c r="J749" s="113"/>
      <c r="K749" s="114"/>
      <c r="L749" s="114"/>
      <c r="M749" s="113"/>
    </row>
    <row r="750" spans="5:13">
      <c r="E750" s="112"/>
      <c r="F750" s="112"/>
      <c r="G750" s="112"/>
      <c r="H750" s="112"/>
      <c r="I750" s="113"/>
      <c r="J750" s="113"/>
      <c r="K750" s="114"/>
      <c r="L750" s="114"/>
      <c r="M750" s="113"/>
    </row>
    <row r="751" spans="5:13">
      <c r="E751" s="112"/>
      <c r="F751" s="112"/>
      <c r="G751" s="112"/>
      <c r="H751" s="112"/>
      <c r="I751" s="113"/>
      <c r="J751" s="113"/>
      <c r="K751" s="114"/>
      <c r="L751" s="114"/>
      <c r="M751" s="113"/>
    </row>
    <row r="752" spans="5:13">
      <c r="E752" s="112"/>
      <c r="F752" s="112"/>
      <c r="G752" s="112"/>
      <c r="H752" s="112"/>
      <c r="I752" s="113"/>
      <c r="J752" s="113"/>
      <c r="K752" s="114"/>
      <c r="L752" s="114"/>
      <c r="M752" s="113"/>
    </row>
    <row r="753" spans="5:13">
      <c r="E753" s="112"/>
      <c r="F753" s="112"/>
      <c r="G753" s="112"/>
      <c r="H753" s="112"/>
      <c r="I753" s="113"/>
      <c r="J753" s="113"/>
      <c r="K753" s="114"/>
      <c r="L753" s="114"/>
      <c r="M753" s="113"/>
    </row>
    <row r="754" spans="5:13">
      <c r="E754" s="112"/>
      <c r="F754" s="112"/>
      <c r="G754" s="112"/>
      <c r="H754" s="112"/>
      <c r="I754" s="113"/>
      <c r="J754" s="113"/>
      <c r="K754" s="114"/>
      <c r="L754" s="114"/>
      <c r="M754" s="113"/>
    </row>
    <row r="755" spans="5:13">
      <c r="E755" s="112"/>
      <c r="F755" s="112"/>
      <c r="G755" s="112"/>
      <c r="H755" s="112"/>
      <c r="I755" s="113"/>
      <c r="J755" s="113"/>
      <c r="K755" s="114"/>
      <c r="L755" s="114"/>
      <c r="M755" s="113"/>
    </row>
    <row r="756" spans="5:13">
      <c r="E756" s="112"/>
      <c r="F756" s="112"/>
      <c r="G756" s="112"/>
      <c r="H756" s="112"/>
      <c r="I756" s="113"/>
      <c r="J756" s="113"/>
      <c r="K756" s="114"/>
      <c r="L756" s="114"/>
      <c r="M756" s="113"/>
    </row>
    <row r="757" spans="5:13">
      <c r="E757" s="112"/>
      <c r="F757" s="112"/>
      <c r="G757" s="112"/>
      <c r="H757" s="112"/>
      <c r="I757" s="113"/>
      <c r="J757" s="113"/>
      <c r="K757" s="114"/>
      <c r="L757" s="114"/>
      <c r="M757" s="113"/>
    </row>
    <row r="758" spans="5:13">
      <c r="E758" s="112"/>
      <c r="F758" s="112"/>
      <c r="G758" s="112"/>
      <c r="H758" s="112"/>
      <c r="I758" s="113"/>
      <c r="J758" s="113"/>
      <c r="K758" s="114"/>
      <c r="L758" s="114"/>
      <c r="M758" s="113"/>
    </row>
    <row r="759" spans="5:13">
      <c r="E759" s="112"/>
      <c r="F759" s="112"/>
      <c r="G759" s="112"/>
      <c r="H759" s="112"/>
      <c r="I759" s="113"/>
      <c r="J759" s="113"/>
      <c r="K759" s="114"/>
      <c r="L759" s="114"/>
      <c r="M759" s="113"/>
    </row>
    <row r="760" spans="5:13">
      <c r="E760" s="112"/>
      <c r="F760" s="112"/>
      <c r="G760" s="112"/>
      <c r="H760" s="112"/>
      <c r="I760" s="113"/>
      <c r="J760" s="113"/>
      <c r="K760" s="114"/>
      <c r="L760" s="114"/>
      <c r="M760" s="113"/>
    </row>
    <row r="761" spans="5:13">
      <c r="E761" s="112"/>
      <c r="F761" s="112"/>
      <c r="G761" s="112"/>
      <c r="H761" s="112"/>
      <c r="I761" s="113"/>
      <c r="J761" s="113"/>
      <c r="K761" s="114"/>
      <c r="L761" s="114"/>
      <c r="M761" s="113"/>
    </row>
    <row r="762" spans="5:13">
      <c r="E762" s="112"/>
      <c r="F762" s="112"/>
      <c r="G762" s="112"/>
      <c r="H762" s="112"/>
      <c r="I762" s="113"/>
      <c r="J762" s="113"/>
      <c r="K762" s="114"/>
      <c r="L762" s="114"/>
      <c r="M762" s="113"/>
    </row>
    <row r="763" spans="5:13">
      <c r="E763" s="112"/>
      <c r="F763" s="112"/>
      <c r="G763" s="112"/>
      <c r="H763" s="112"/>
      <c r="I763" s="113"/>
      <c r="J763" s="113"/>
      <c r="K763" s="114"/>
      <c r="L763" s="114"/>
      <c r="M763" s="113"/>
    </row>
    <row r="764" spans="5:13">
      <c r="E764" s="112"/>
      <c r="F764" s="112"/>
      <c r="G764" s="112"/>
      <c r="H764" s="112"/>
      <c r="I764" s="113"/>
      <c r="J764" s="113"/>
      <c r="K764" s="114"/>
      <c r="L764" s="114"/>
      <c r="M764" s="113"/>
    </row>
    <row r="765" spans="5:13">
      <c r="E765" s="112"/>
      <c r="F765" s="112"/>
      <c r="G765" s="112"/>
      <c r="H765" s="112"/>
      <c r="I765" s="113"/>
      <c r="J765" s="113"/>
      <c r="K765" s="114"/>
      <c r="L765" s="114"/>
      <c r="M765" s="113"/>
    </row>
    <row r="766" spans="5:13">
      <c r="E766" s="112"/>
      <c r="F766" s="112"/>
      <c r="G766" s="112"/>
      <c r="H766" s="112"/>
      <c r="I766" s="113"/>
      <c r="J766" s="113"/>
      <c r="K766" s="114"/>
      <c r="L766" s="114"/>
      <c r="M766" s="113"/>
    </row>
    <row r="767" spans="5:13">
      <c r="E767" s="112"/>
      <c r="F767" s="112"/>
      <c r="G767" s="112"/>
      <c r="H767" s="112"/>
      <c r="I767" s="113"/>
      <c r="J767" s="113"/>
      <c r="K767" s="114"/>
      <c r="L767" s="114"/>
      <c r="M767" s="113"/>
    </row>
    <row r="768" spans="5:13">
      <c r="E768" s="112"/>
      <c r="F768" s="112"/>
      <c r="G768" s="112"/>
      <c r="H768" s="112"/>
      <c r="I768" s="113"/>
      <c r="J768" s="113"/>
      <c r="K768" s="114"/>
      <c r="L768" s="114"/>
      <c r="M768" s="113"/>
    </row>
    <row r="769" spans="5:13">
      <c r="E769" s="112"/>
      <c r="F769" s="112"/>
      <c r="G769" s="112"/>
      <c r="H769" s="112"/>
      <c r="I769" s="113"/>
      <c r="J769" s="113"/>
      <c r="K769" s="114"/>
      <c r="L769" s="114"/>
      <c r="M769" s="113"/>
    </row>
    <row r="770" spans="5:13">
      <c r="E770" s="112"/>
      <c r="F770" s="112"/>
      <c r="G770" s="112"/>
      <c r="H770" s="112"/>
      <c r="I770" s="113"/>
      <c r="J770" s="113"/>
      <c r="K770" s="114"/>
      <c r="L770" s="114"/>
      <c r="M770" s="113"/>
    </row>
    <row r="771" spans="5:13">
      <c r="E771" s="112"/>
      <c r="F771" s="112"/>
      <c r="G771" s="112"/>
      <c r="H771" s="112"/>
      <c r="I771" s="113"/>
      <c r="J771" s="113"/>
      <c r="K771" s="114"/>
      <c r="L771" s="114"/>
      <c r="M771" s="113"/>
    </row>
    <row r="772" spans="5:13">
      <c r="E772" s="112"/>
      <c r="F772" s="112"/>
      <c r="G772" s="112"/>
      <c r="H772" s="112"/>
      <c r="I772" s="113"/>
      <c r="J772" s="113"/>
      <c r="K772" s="114"/>
      <c r="L772" s="114"/>
      <c r="M772" s="113"/>
    </row>
    <row r="773" spans="5:13">
      <c r="E773" s="112"/>
      <c r="F773" s="112"/>
      <c r="G773" s="112"/>
      <c r="H773" s="112"/>
      <c r="I773" s="113"/>
      <c r="J773" s="113"/>
      <c r="K773" s="114"/>
      <c r="L773" s="114"/>
      <c r="M773" s="113"/>
    </row>
    <row r="774" spans="5:13">
      <c r="E774" s="112"/>
      <c r="F774" s="112"/>
      <c r="G774" s="112"/>
      <c r="H774" s="112"/>
      <c r="I774" s="113"/>
      <c r="J774" s="113"/>
      <c r="K774" s="114"/>
      <c r="L774" s="114"/>
      <c r="M774" s="113"/>
    </row>
    <row r="775" spans="5:13">
      <c r="E775" s="112"/>
      <c r="F775" s="112"/>
      <c r="G775" s="112"/>
      <c r="H775" s="112"/>
      <c r="I775" s="113"/>
      <c r="J775" s="113"/>
      <c r="K775" s="114"/>
      <c r="L775" s="114"/>
      <c r="M775" s="113"/>
    </row>
    <row r="776" spans="5:13">
      <c r="E776" s="112"/>
      <c r="F776" s="112"/>
      <c r="G776" s="112"/>
      <c r="H776" s="112"/>
      <c r="I776" s="113"/>
      <c r="J776" s="113"/>
      <c r="K776" s="114"/>
      <c r="L776" s="114"/>
      <c r="M776" s="113"/>
    </row>
    <row r="777" spans="5:13">
      <c r="E777" s="112"/>
      <c r="F777" s="112"/>
      <c r="G777" s="112"/>
      <c r="H777" s="112"/>
      <c r="I777" s="113"/>
      <c r="J777" s="113"/>
      <c r="K777" s="114"/>
      <c r="L777" s="114"/>
      <c r="M777" s="113"/>
    </row>
    <row r="778" spans="5:13">
      <c r="E778" s="112"/>
      <c r="F778" s="112"/>
      <c r="G778" s="112"/>
      <c r="H778" s="112"/>
      <c r="I778" s="113"/>
      <c r="J778" s="113"/>
      <c r="K778" s="114"/>
      <c r="L778" s="114"/>
      <c r="M778" s="113"/>
    </row>
    <row r="779" spans="5:13">
      <c r="E779" s="112"/>
      <c r="F779" s="112"/>
      <c r="G779" s="112"/>
      <c r="H779" s="112"/>
      <c r="I779" s="113"/>
      <c r="J779" s="113"/>
      <c r="K779" s="114"/>
      <c r="L779" s="114"/>
      <c r="M779" s="113"/>
    </row>
    <row r="780" spans="5:13">
      <c r="E780" s="112"/>
      <c r="F780" s="112"/>
      <c r="G780" s="112"/>
      <c r="H780" s="112"/>
      <c r="I780" s="113"/>
      <c r="J780" s="113"/>
      <c r="K780" s="114"/>
      <c r="L780" s="114"/>
      <c r="M780" s="113"/>
    </row>
    <row r="781" spans="5:13">
      <c r="E781" s="112"/>
      <c r="F781" s="112"/>
      <c r="G781" s="112"/>
      <c r="H781" s="112"/>
      <c r="I781" s="113"/>
      <c r="J781" s="113"/>
      <c r="K781" s="114"/>
      <c r="L781" s="114"/>
      <c r="M781" s="113"/>
    </row>
    <row r="782" spans="5:13">
      <c r="E782" s="112"/>
      <c r="F782" s="112"/>
      <c r="G782" s="112"/>
      <c r="H782" s="112"/>
      <c r="I782" s="113"/>
      <c r="J782" s="113"/>
      <c r="K782" s="114"/>
      <c r="L782" s="114"/>
      <c r="M782" s="113"/>
    </row>
    <row r="783" spans="5:13">
      <c r="E783" s="112"/>
      <c r="F783" s="112"/>
      <c r="G783" s="112"/>
      <c r="H783" s="112"/>
      <c r="I783" s="113"/>
      <c r="J783" s="113"/>
      <c r="K783" s="114"/>
      <c r="L783" s="114"/>
      <c r="M783" s="113"/>
    </row>
    <row r="784" spans="5:13">
      <c r="E784" s="112"/>
      <c r="F784" s="112"/>
      <c r="G784" s="112"/>
      <c r="H784" s="112"/>
      <c r="I784" s="113"/>
      <c r="J784" s="113"/>
      <c r="K784" s="114"/>
      <c r="L784" s="114"/>
      <c r="M784" s="113"/>
    </row>
    <row r="785" spans="5:13">
      <c r="E785" s="112"/>
      <c r="F785" s="112"/>
      <c r="G785" s="112"/>
      <c r="H785" s="112"/>
      <c r="I785" s="113"/>
      <c r="J785" s="113"/>
      <c r="K785" s="114"/>
      <c r="L785" s="114"/>
      <c r="M785" s="113"/>
    </row>
    <row r="786" spans="5:13">
      <c r="E786" s="112"/>
      <c r="F786" s="112"/>
      <c r="G786" s="112"/>
      <c r="H786" s="112"/>
      <c r="I786" s="113"/>
      <c r="J786" s="113"/>
      <c r="K786" s="114"/>
      <c r="L786" s="114"/>
      <c r="M786" s="113"/>
    </row>
    <row r="787" spans="5:13">
      <c r="E787" s="112"/>
      <c r="F787" s="112"/>
      <c r="G787" s="112"/>
      <c r="H787" s="112"/>
      <c r="I787" s="113"/>
      <c r="J787" s="113"/>
      <c r="K787" s="114"/>
      <c r="L787" s="114"/>
      <c r="M787" s="113"/>
    </row>
    <row r="788" spans="5:13">
      <c r="E788" s="112"/>
      <c r="F788" s="112"/>
      <c r="G788" s="112"/>
      <c r="H788" s="112"/>
      <c r="I788" s="113"/>
      <c r="J788" s="113"/>
      <c r="K788" s="114"/>
      <c r="L788" s="114"/>
      <c r="M788" s="113"/>
    </row>
    <row r="789" spans="5:13">
      <c r="E789" s="112"/>
      <c r="F789" s="112"/>
      <c r="G789" s="112"/>
      <c r="H789" s="112"/>
      <c r="I789" s="113"/>
      <c r="J789" s="113"/>
      <c r="K789" s="114"/>
      <c r="L789" s="114"/>
      <c r="M789" s="113"/>
    </row>
    <row r="790" spans="5:13">
      <c r="E790" s="112"/>
      <c r="F790" s="112"/>
      <c r="G790" s="112"/>
      <c r="H790" s="112"/>
      <c r="I790" s="113"/>
      <c r="J790" s="113"/>
      <c r="K790" s="114"/>
      <c r="L790" s="114"/>
      <c r="M790" s="113"/>
    </row>
    <row r="791" spans="5:13">
      <c r="E791" s="112"/>
      <c r="F791" s="112"/>
      <c r="G791" s="112"/>
      <c r="H791" s="112"/>
      <c r="I791" s="113"/>
      <c r="J791" s="113"/>
      <c r="K791" s="114"/>
      <c r="L791" s="114"/>
      <c r="M791" s="113"/>
    </row>
    <row r="792" spans="5:13">
      <c r="E792" s="112"/>
      <c r="F792" s="112"/>
      <c r="G792" s="112"/>
      <c r="H792" s="112"/>
      <c r="I792" s="113"/>
      <c r="J792" s="113"/>
      <c r="K792" s="114"/>
      <c r="L792" s="114"/>
      <c r="M792" s="113"/>
    </row>
    <row r="793" spans="5:13">
      <c r="E793" s="112"/>
      <c r="F793" s="112"/>
      <c r="G793" s="112"/>
      <c r="H793" s="112"/>
      <c r="I793" s="113"/>
      <c r="J793" s="113"/>
      <c r="K793" s="114"/>
      <c r="L793" s="114"/>
      <c r="M793" s="113"/>
    </row>
    <row r="794" spans="5:13">
      <c r="E794" s="112"/>
      <c r="F794" s="112"/>
      <c r="G794" s="112"/>
      <c r="H794" s="112"/>
      <c r="I794" s="113"/>
      <c r="J794" s="113"/>
      <c r="K794" s="114"/>
      <c r="L794" s="114"/>
      <c r="M794" s="113"/>
    </row>
    <row r="795" spans="5:13">
      <c r="E795" s="112"/>
      <c r="F795" s="112"/>
      <c r="G795" s="112"/>
      <c r="H795" s="112"/>
      <c r="I795" s="113"/>
      <c r="J795" s="113"/>
      <c r="K795" s="114"/>
      <c r="L795" s="114"/>
      <c r="M795" s="113"/>
    </row>
    <row r="796" spans="5:13">
      <c r="E796" s="112"/>
      <c r="F796" s="112"/>
      <c r="G796" s="112"/>
      <c r="H796" s="112"/>
      <c r="I796" s="113"/>
      <c r="J796" s="113"/>
      <c r="K796" s="114"/>
      <c r="L796" s="114"/>
      <c r="M796" s="113"/>
    </row>
    <row r="797" spans="5:13">
      <c r="E797" s="112"/>
      <c r="F797" s="112"/>
      <c r="G797" s="112"/>
      <c r="H797" s="112"/>
      <c r="I797" s="113"/>
      <c r="J797" s="113"/>
      <c r="K797" s="114"/>
      <c r="L797" s="114"/>
      <c r="M797" s="113"/>
    </row>
    <row r="798" spans="5:13">
      <c r="E798" s="112"/>
      <c r="F798" s="112"/>
      <c r="G798" s="112"/>
      <c r="H798" s="112"/>
      <c r="I798" s="113"/>
      <c r="J798" s="113"/>
      <c r="K798" s="114"/>
      <c r="L798" s="114"/>
      <c r="M798" s="113"/>
    </row>
    <row r="799" spans="5:13">
      <c r="E799" s="112"/>
      <c r="F799" s="112"/>
      <c r="G799" s="112"/>
      <c r="H799" s="112"/>
      <c r="I799" s="113"/>
      <c r="J799" s="113"/>
      <c r="K799" s="114"/>
      <c r="L799" s="114"/>
      <c r="M799" s="113"/>
    </row>
    <row r="800" spans="5:13">
      <c r="E800" s="112"/>
      <c r="F800" s="112"/>
      <c r="G800" s="112"/>
      <c r="H800" s="112"/>
      <c r="I800" s="113"/>
      <c r="J800" s="113"/>
      <c r="K800" s="114"/>
      <c r="L800" s="114"/>
      <c r="M800" s="113"/>
    </row>
    <row r="801" spans="5:13">
      <c r="E801" s="112"/>
      <c r="F801" s="112"/>
      <c r="G801" s="112"/>
      <c r="H801" s="112"/>
      <c r="I801" s="113"/>
      <c r="J801" s="113"/>
      <c r="K801" s="114"/>
      <c r="L801" s="114"/>
      <c r="M801" s="113"/>
    </row>
    <row r="802" spans="5:13">
      <c r="E802" s="112"/>
      <c r="F802" s="112"/>
      <c r="G802" s="112"/>
      <c r="H802" s="112"/>
      <c r="I802" s="113"/>
      <c r="J802" s="113"/>
      <c r="K802" s="114"/>
      <c r="L802" s="114"/>
      <c r="M802" s="113"/>
    </row>
    <row r="803" spans="5:13">
      <c r="E803" s="112"/>
      <c r="F803" s="112"/>
      <c r="G803" s="112"/>
      <c r="H803" s="112"/>
      <c r="I803" s="113"/>
      <c r="J803" s="113"/>
      <c r="K803" s="114"/>
      <c r="L803" s="114"/>
      <c r="M803" s="113"/>
    </row>
    <row r="804" spans="5:13">
      <c r="E804" s="112"/>
      <c r="F804" s="112"/>
      <c r="G804" s="112"/>
      <c r="H804" s="112"/>
      <c r="I804" s="113"/>
      <c r="J804" s="113"/>
      <c r="K804" s="114"/>
      <c r="L804" s="114"/>
      <c r="M804" s="113"/>
    </row>
    <row r="805" spans="5:13">
      <c r="E805" s="112"/>
      <c r="F805" s="112"/>
      <c r="G805" s="112"/>
      <c r="H805" s="112"/>
      <c r="I805" s="113"/>
      <c r="J805" s="113"/>
      <c r="K805" s="114"/>
      <c r="L805" s="114"/>
      <c r="M805" s="113"/>
    </row>
    <row r="806" spans="5:13">
      <c r="E806" s="112"/>
      <c r="F806" s="112"/>
      <c r="G806" s="112"/>
      <c r="H806" s="112"/>
      <c r="I806" s="113"/>
      <c r="J806" s="113"/>
      <c r="K806" s="114"/>
      <c r="L806" s="114"/>
      <c r="M806" s="113"/>
    </row>
    <row r="807" spans="5:13">
      <c r="E807" s="112"/>
      <c r="F807" s="112"/>
      <c r="G807" s="112"/>
      <c r="H807" s="112"/>
      <c r="I807" s="113"/>
      <c r="J807" s="113"/>
      <c r="K807" s="114"/>
      <c r="L807" s="114"/>
      <c r="M807" s="113"/>
    </row>
    <row r="808" spans="5:13">
      <c r="E808" s="112"/>
      <c r="F808" s="112"/>
      <c r="G808" s="112"/>
      <c r="H808" s="112"/>
      <c r="I808" s="113"/>
      <c r="J808" s="113"/>
      <c r="K808" s="114"/>
      <c r="L808" s="114"/>
      <c r="M808" s="113"/>
    </row>
    <row r="809" spans="5:13">
      <c r="E809" s="112"/>
      <c r="F809" s="112"/>
      <c r="G809" s="112"/>
      <c r="H809" s="112"/>
      <c r="I809" s="113"/>
      <c r="J809" s="113"/>
      <c r="K809" s="114"/>
      <c r="L809" s="114"/>
      <c r="M809" s="113"/>
    </row>
    <row r="810" spans="5:13">
      <c r="E810" s="112"/>
      <c r="F810" s="112"/>
      <c r="G810" s="112"/>
      <c r="H810" s="112"/>
      <c r="I810" s="113"/>
      <c r="J810" s="113"/>
      <c r="K810" s="114"/>
      <c r="L810" s="114"/>
      <c r="M810" s="113"/>
    </row>
    <row r="811" spans="5:13">
      <c r="E811" s="112"/>
      <c r="F811" s="112"/>
      <c r="G811" s="112"/>
      <c r="H811" s="112"/>
      <c r="I811" s="113"/>
      <c r="J811" s="113"/>
      <c r="K811" s="114"/>
      <c r="L811" s="114"/>
      <c r="M811" s="113"/>
    </row>
    <row r="812" spans="5:13">
      <c r="E812" s="112"/>
      <c r="F812" s="112"/>
      <c r="G812" s="112"/>
      <c r="H812" s="112"/>
      <c r="I812" s="113"/>
      <c r="J812" s="113"/>
      <c r="K812" s="114"/>
      <c r="L812" s="114"/>
      <c r="M812" s="113"/>
    </row>
    <row r="813" spans="5:13">
      <c r="E813" s="112"/>
      <c r="F813" s="112"/>
      <c r="G813" s="112"/>
      <c r="H813" s="112"/>
      <c r="I813" s="113"/>
      <c r="J813" s="113"/>
      <c r="K813" s="114"/>
      <c r="L813" s="114"/>
      <c r="M813" s="113"/>
    </row>
    <row r="814" spans="5:13">
      <c r="E814" s="112"/>
      <c r="F814" s="112"/>
      <c r="G814" s="112"/>
      <c r="H814" s="112"/>
      <c r="I814" s="113"/>
      <c r="J814" s="113"/>
      <c r="K814" s="114"/>
      <c r="L814" s="114"/>
      <c r="M814" s="113"/>
    </row>
    <row r="815" spans="5:13">
      <c r="E815" s="112"/>
      <c r="F815" s="112"/>
      <c r="G815" s="112"/>
      <c r="H815" s="112"/>
      <c r="I815" s="113"/>
      <c r="J815" s="113"/>
      <c r="K815" s="114"/>
      <c r="L815" s="114"/>
      <c r="M815" s="113"/>
    </row>
    <row r="816" spans="5:13">
      <c r="E816" s="112"/>
      <c r="F816" s="112"/>
      <c r="G816" s="112"/>
      <c r="H816" s="112"/>
      <c r="I816" s="113"/>
      <c r="J816" s="113"/>
      <c r="K816" s="114"/>
      <c r="L816" s="114"/>
      <c r="M816" s="113"/>
    </row>
    <row r="817" spans="5:13">
      <c r="E817" s="112"/>
      <c r="F817" s="112"/>
      <c r="G817" s="112"/>
      <c r="H817" s="112"/>
      <c r="I817" s="113"/>
      <c r="J817" s="113"/>
      <c r="K817" s="114"/>
      <c r="L817" s="114"/>
      <c r="M817" s="113"/>
    </row>
    <row r="818" spans="5:13">
      <c r="E818" s="112"/>
      <c r="F818" s="112"/>
      <c r="G818" s="112"/>
      <c r="H818" s="112"/>
      <c r="I818" s="113"/>
      <c r="J818" s="113"/>
      <c r="K818" s="114"/>
      <c r="L818" s="114"/>
      <c r="M818" s="113"/>
    </row>
    <row r="819" spans="5:13">
      <c r="E819" s="112"/>
      <c r="F819" s="112"/>
      <c r="G819" s="112"/>
      <c r="H819" s="112"/>
      <c r="I819" s="113"/>
      <c r="J819" s="113"/>
      <c r="K819" s="114"/>
      <c r="L819" s="114"/>
      <c r="M819" s="113"/>
    </row>
    <row r="820" spans="5:13">
      <c r="E820" s="112"/>
      <c r="F820" s="112"/>
      <c r="G820" s="112"/>
      <c r="H820" s="112"/>
      <c r="I820" s="113"/>
      <c r="J820" s="113"/>
      <c r="K820" s="114"/>
      <c r="L820" s="114"/>
      <c r="M820" s="113"/>
    </row>
    <row r="821" spans="5:13">
      <c r="E821" s="112"/>
      <c r="F821" s="112"/>
      <c r="G821" s="112"/>
      <c r="H821" s="112"/>
      <c r="I821" s="113"/>
      <c r="J821" s="113"/>
      <c r="K821" s="114"/>
      <c r="L821" s="114"/>
      <c r="M821" s="113"/>
    </row>
    <row r="822" spans="5:13">
      <c r="E822" s="112"/>
      <c r="F822" s="112"/>
      <c r="G822" s="112"/>
      <c r="H822" s="112"/>
      <c r="I822" s="113"/>
      <c r="J822" s="113"/>
      <c r="K822" s="114"/>
      <c r="L822" s="114"/>
      <c r="M822" s="113"/>
    </row>
    <row r="823" spans="5:13">
      <c r="E823" s="112"/>
      <c r="F823" s="112"/>
      <c r="G823" s="112"/>
      <c r="H823" s="112"/>
      <c r="I823" s="113"/>
      <c r="J823" s="113"/>
      <c r="K823" s="114"/>
      <c r="L823" s="114"/>
      <c r="M823" s="113"/>
    </row>
    <row r="824" spans="5:13">
      <c r="E824" s="112"/>
      <c r="F824" s="112"/>
      <c r="G824" s="112"/>
      <c r="H824" s="112"/>
      <c r="I824" s="113"/>
      <c r="J824" s="113"/>
      <c r="K824" s="114"/>
      <c r="L824" s="114"/>
      <c r="M824" s="113"/>
    </row>
    <row r="825" spans="5:13">
      <c r="E825" s="112"/>
      <c r="F825" s="112"/>
      <c r="G825" s="112"/>
      <c r="H825" s="112"/>
      <c r="I825" s="113"/>
      <c r="J825" s="113"/>
      <c r="K825" s="114"/>
      <c r="L825" s="114"/>
      <c r="M825" s="113"/>
    </row>
    <row r="826" spans="5:13">
      <c r="E826" s="112"/>
      <c r="F826" s="112"/>
      <c r="G826" s="112"/>
      <c r="H826" s="112"/>
      <c r="I826" s="113"/>
      <c r="J826" s="113"/>
      <c r="K826" s="114"/>
      <c r="L826" s="114"/>
      <c r="M826" s="113"/>
    </row>
    <row r="827" spans="5:13">
      <c r="E827" s="112"/>
      <c r="F827" s="112"/>
      <c r="G827" s="112"/>
      <c r="H827" s="112"/>
      <c r="I827" s="113"/>
      <c r="J827" s="113"/>
      <c r="K827" s="114"/>
      <c r="L827" s="114"/>
      <c r="M827" s="113"/>
    </row>
    <row r="828" spans="5:13">
      <c r="E828" s="112"/>
      <c r="F828" s="112"/>
      <c r="G828" s="112"/>
      <c r="H828" s="112"/>
      <c r="I828" s="113"/>
      <c r="J828" s="113"/>
      <c r="K828" s="114"/>
      <c r="L828" s="114"/>
      <c r="M828" s="113"/>
    </row>
    <row r="829" spans="5:13">
      <c r="E829" s="112"/>
      <c r="F829" s="112"/>
      <c r="G829" s="112"/>
      <c r="H829" s="112"/>
      <c r="I829" s="113"/>
      <c r="J829" s="113"/>
      <c r="K829" s="114"/>
      <c r="L829" s="114"/>
      <c r="M829" s="113"/>
    </row>
    <row r="830" spans="5:13">
      <c r="E830" s="112"/>
      <c r="F830" s="112"/>
      <c r="G830" s="112"/>
      <c r="H830" s="112"/>
      <c r="I830" s="113"/>
      <c r="J830" s="113"/>
      <c r="K830" s="114"/>
      <c r="L830" s="114"/>
      <c r="M830" s="113"/>
    </row>
    <row r="831" spans="5:13">
      <c r="E831" s="112"/>
      <c r="F831" s="112"/>
      <c r="G831" s="112"/>
      <c r="H831" s="112"/>
      <c r="I831" s="113"/>
      <c r="J831" s="113"/>
      <c r="K831" s="114"/>
      <c r="L831" s="114"/>
      <c r="M831" s="113"/>
    </row>
    <row r="832" spans="5:13">
      <c r="E832" s="112"/>
      <c r="F832" s="112"/>
      <c r="G832" s="112"/>
      <c r="H832" s="112"/>
      <c r="I832" s="113"/>
      <c r="J832" s="113"/>
      <c r="K832" s="114"/>
      <c r="L832" s="114"/>
      <c r="M832" s="113"/>
    </row>
    <row r="833" spans="5:13">
      <c r="E833" s="112"/>
      <c r="F833" s="112"/>
      <c r="G833" s="112"/>
      <c r="H833" s="112"/>
      <c r="I833" s="113"/>
      <c r="J833" s="113"/>
      <c r="K833" s="114"/>
      <c r="L833" s="114"/>
      <c r="M833" s="113"/>
    </row>
    <row r="834" spans="5:13">
      <c r="E834" s="112"/>
      <c r="F834" s="112"/>
      <c r="G834" s="112"/>
      <c r="H834" s="112"/>
      <c r="I834" s="113"/>
      <c r="J834" s="113"/>
      <c r="K834" s="114"/>
      <c r="L834" s="114"/>
      <c r="M834" s="113"/>
    </row>
    <row r="835" spans="5:13">
      <c r="E835" s="112"/>
      <c r="F835" s="112"/>
      <c r="G835" s="112"/>
      <c r="H835" s="112"/>
      <c r="I835" s="113"/>
      <c r="J835" s="113"/>
      <c r="K835" s="114"/>
      <c r="L835" s="114"/>
      <c r="M835" s="113"/>
    </row>
    <row r="836" spans="5:13">
      <c r="E836" s="112"/>
      <c r="F836" s="112"/>
      <c r="G836" s="112"/>
      <c r="H836" s="112"/>
      <c r="I836" s="113"/>
      <c r="J836" s="113"/>
      <c r="K836" s="114"/>
      <c r="L836" s="114"/>
      <c r="M836" s="113"/>
    </row>
    <row r="837" spans="5:13">
      <c r="E837" s="112"/>
      <c r="F837" s="112"/>
      <c r="G837" s="112"/>
      <c r="H837" s="112"/>
      <c r="I837" s="113"/>
      <c r="J837" s="113"/>
      <c r="K837" s="114"/>
      <c r="L837" s="114"/>
      <c r="M837" s="113"/>
    </row>
    <row r="838" spans="5:13">
      <c r="E838" s="112"/>
      <c r="F838" s="112"/>
      <c r="G838" s="112"/>
      <c r="H838" s="112"/>
      <c r="I838" s="113"/>
      <c r="J838" s="113"/>
      <c r="K838" s="114"/>
      <c r="L838" s="114"/>
      <c r="M838" s="113"/>
    </row>
    <row r="839" spans="5:13">
      <c r="E839" s="112"/>
      <c r="F839" s="112"/>
      <c r="G839" s="112"/>
      <c r="H839" s="112"/>
      <c r="I839" s="113"/>
      <c r="J839" s="113"/>
      <c r="K839" s="114"/>
      <c r="L839" s="114"/>
      <c r="M839" s="113"/>
    </row>
    <row r="840" spans="5:13">
      <c r="E840" s="112"/>
      <c r="F840" s="112"/>
      <c r="G840" s="112"/>
      <c r="H840" s="112"/>
      <c r="I840" s="113"/>
      <c r="J840" s="113"/>
      <c r="K840" s="114"/>
      <c r="L840" s="114"/>
      <c r="M840" s="113"/>
    </row>
    <row r="841" spans="5:13">
      <c r="E841" s="112"/>
      <c r="F841" s="112"/>
      <c r="G841" s="112"/>
      <c r="H841" s="112"/>
      <c r="I841" s="113"/>
      <c r="J841" s="113"/>
      <c r="K841" s="114"/>
      <c r="L841" s="114"/>
      <c r="M841" s="113"/>
    </row>
    <row r="842" spans="5:13">
      <c r="E842" s="112"/>
      <c r="F842" s="112"/>
      <c r="G842" s="112"/>
      <c r="H842" s="112"/>
      <c r="I842" s="113"/>
      <c r="J842" s="113"/>
      <c r="K842" s="114"/>
      <c r="L842" s="114"/>
      <c r="M842" s="113"/>
    </row>
    <row r="843" spans="5:13">
      <c r="E843" s="112"/>
      <c r="F843" s="112"/>
      <c r="G843" s="112"/>
      <c r="H843" s="112"/>
      <c r="I843" s="113"/>
      <c r="J843" s="113"/>
      <c r="K843" s="114"/>
      <c r="L843" s="114"/>
      <c r="M843" s="113"/>
    </row>
    <row r="844" spans="5:13">
      <c r="E844" s="112"/>
      <c r="F844" s="112"/>
      <c r="G844" s="112"/>
      <c r="H844" s="112"/>
      <c r="I844" s="113"/>
      <c r="J844" s="113"/>
      <c r="K844" s="114"/>
      <c r="L844" s="114"/>
      <c r="M844" s="113"/>
    </row>
    <row r="845" spans="5:13">
      <c r="E845" s="112"/>
      <c r="F845" s="112"/>
      <c r="G845" s="112"/>
      <c r="H845" s="112"/>
      <c r="I845" s="113"/>
      <c r="J845" s="113"/>
      <c r="K845" s="114"/>
      <c r="L845" s="114"/>
      <c r="M845" s="113"/>
    </row>
    <row r="846" spans="5:13">
      <c r="E846" s="112"/>
      <c r="F846" s="112"/>
      <c r="G846" s="112"/>
      <c r="H846" s="112"/>
      <c r="I846" s="113"/>
      <c r="J846" s="113"/>
      <c r="K846" s="114"/>
      <c r="L846" s="114"/>
      <c r="M846" s="113"/>
    </row>
    <row r="847" spans="5:13">
      <c r="E847" s="112"/>
      <c r="F847" s="112"/>
      <c r="G847" s="112"/>
      <c r="H847" s="112"/>
      <c r="I847" s="113"/>
      <c r="J847" s="113"/>
      <c r="K847" s="114"/>
      <c r="L847" s="114"/>
      <c r="M847" s="113"/>
    </row>
    <row r="848" spans="5:13">
      <c r="E848" s="112"/>
      <c r="F848" s="112"/>
      <c r="G848" s="112"/>
      <c r="H848" s="112"/>
      <c r="I848" s="113"/>
      <c r="J848" s="113"/>
      <c r="K848" s="114"/>
      <c r="L848" s="114"/>
      <c r="M848" s="113"/>
    </row>
    <row r="849" spans="5:13">
      <c r="E849" s="112"/>
      <c r="F849" s="112"/>
      <c r="G849" s="112"/>
      <c r="H849" s="112"/>
      <c r="I849" s="113"/>
      <c r="J849" s="113"/>
      <c r="K849" s="114"/>
      <c r="L849" s="114"/>
      <c r="M849" s="113"/>
    </row>
    <row r="850" spans="5:13">
      <c r="E850" s="112"/>
      <c r="F850" s="112"/>
      <c r="G850" s="112"/>
      <c r="H850" s="112"/>
      <c r="I850" s="113"/>
      <c r="J850" s="113"/>
      <c r="K850" s="114"/>
      <c r="L850" s="114"/>
      <c r="M850" s="113"/>
    </row>
    <row r="851" spans="5:13">
      <c r="E851" s="112"/>
      <c r="F851" s="112"/>
      <c r="G851" s="112"/>
      <c r="H851" s="112"/>
      <c r="I851" s="113"/>
      <c r="J851" s="113"/>
      <c r="K851" s="114"/>
      <c r="L851" s="114"/>
      <c r="M851" s="113"/>
    </row>
    <row r="852" spans="5:13">
      <c r="E852" s="112"/>
      <c r="F852" s="112"/>
      <c r="G852" s="112"/>
      <c r="H852" s="112"/>
      <c r="I852" s="113"/>
      <c r="J852" s="113"/>
      <c r="K852" s="114"/>
      <c r="L852" s="114"/>
      <c r="M852" s="113"/>
    </row>
    <row r="853" spans="5:13">
      <c r="E853" s="112"/>
      <c r="F853" s="112"/>
      <c r="G853" s="112"/>
      <c r="H853" s="112"/>
      <c r="I853" s="113"/>
      <c r="J853" s="113"/>
      <c r="K853" s="114"/>
      <c r="L853" s="114"/>
      <c r="M853" s="113"/>
    </row>
    <row r="854" spans="5:13">
      <c r="E854" s="112"/>
      <c r="F854" s="112"/>
      <c r="G854" s="112"/>
      <c r="H854" s="112"/>
      <c r="I854" s="113"/>
      <c r="J854" s="113"/>
      <c r="K854" s="114"/>
      <c r="L854" s="114"/>
      <c r="M854" s="113"/>
    </row>
    <row r="855" spans="5:13">
      <c r="E855" s="112"/>
      <c r="F855" s="112"/>
      <c r="G855" s="112"/>
      <c r="H855" s="112"/>
      <c r="I855" s="113"/>
      <c r="J855" s="113"/>
      <c r="K855" s="114"/>
      <c r="L855" s="114"/>
      <c r="M855" s="113"/>
    </row>
    <row r="856" spans="5:13">
      <c r="E856" s="112"/>
      <c r="F856" s="112"/>
      <c r="G856" s="112"/>
      <c r="H856" s="112"/>
      <c r="I856" s="113"/>
      <c r="J856" s="113"/>
      <c r="K856" s="114"/>
      <c r="L856" s="114"/>
      <c r="M856" s="113"/>
    </row>
    <row r="857" spans="5:13">
      <c r="E857" s="112"/>
      <c r="F857" s="112"/>
      <c r="G857" s="112"/>
      <c r="H857" s="112"/>
      <c r="I857" s="113"/>
      <c r="J857" s="113"/>
      <c r="K857" s="114"/>
      <c r="L857" s="114"/>
      <c r="M857" s="113"/>
    </row>
    <row r="858" spans="5:13">
      <c r="E858" s="112"/>
      <c r="F858" s="112"/>
      <c r="G858" s="112"/>
      <c r="H858" s="112"/>
      <c r="I858" s="113"/>
      <c r="J858" s="113"/>
      <c r="K858" s="114"/>
      <c r="L858" s="114"/>
      <c r="M858" s="113"/>
    </row>
    <row r="859" spans="5:13">
      <c r="E859" s="112"/>
      <c r="F859" s="112"/>
      <c r="G859" s="112"/>
      <c r="H859" s="112"/>
      <c r="I859" s="113"/>
      <c r="J859" s="113"/>
      <c r="K859" s="114"/>
      <c r="L859" s="114"/>
      <c r="M859" s="113"/>
    </row>
    <row r="860" spans="5:13">
      <c r="E860" s="112"/>
      <c r="F860" s="112"/>
      <c r="G860" s="112"/>
      <c r="H860" s="112"/>
      <c r="I860" s="113"/>
      <c r="J860" s="113"/>
      <c r="K860" s="114"/>
      <c r="L860" s="114"/>
      <c r="M860" s="113"/>
    </row>
    <row r="861" spans="5:13">
      <c r="E861" s="112"/>
      <c r="F861" s="112"/>
      <c r="G861" s="112"/>
      <c r="H861" s="112"/>
      <c r="I861" s="113"/>
      <c r="J861" s="113"/>
      <c r="K861" s="114"/>
      <c r="L861" s="114"/>
      <c r="M861" s="113"/>
    </row>
    <row r="862" spans="5:13">
      <c r="E862" s="112"/>
      <c r="F862" s="112"/>
      <c r="G862" s="112"/>
      <c r="H862" s="112"/>
      <c r="I862" s="113"/>
      <c r="J862" s="113"/>
      <c r="K862" s="114"/>
      <c r="L862" s="114"/>
      <c r="M862" s="113"/>
    </row>
    <row r="863" spans="5:13">
      <c r="E863" s="112"/>
      <c r="F863" s="112"/>
      <c r="G863" s="112"/>
      <c r="H863" s="112"/>
      <c r="I863" s="113"/>
      <c r="J863" s="113"/>
      <c r="K863" s="114"/>
      <c r="L863" s="114"/>
      <c r="M863" s="113"/>
    </row>
    <row r="864" spans="5:13">
      <c r="E864" s="112"/>
      <c r="F864" s="112"/>
      <c r="G864" s="112"/>
      <c r="H864" s="112"/>
      <c r="I864" s="113"/>
      <c r="J864" s="113"/>
      <c r="K864" s="114"/>
      <c r="L864" s="114"/>
      <c r="M864" s="113"/>
    </row>
    <row r="865" spans="5:13">
      <c r="E865" s="112"/>
      <c r="F865" s="112"/>
      <c r="G865" s="112"/>
      <c r="H865" s="112"/>
      <c r="I865" s="113"/>
      <c r="J865" s="113"/>
      <c r="K865" s="114"/>
      <c r="L865" s="114"/>
      <c r="M865" s="113"/>
    </row>
    <row r="866" spans="5:13">
      <c r="E866" s="112"/>
      <c r="F866" s="112"/>
      <c r="G866" s="112"/>
      <c r="H866" s="112"/>
      <c r="I866" s="113"/>
      <c r="J866" s="113"/>
      <c r="K866" s="114"/>
      <c r="L866" s="114"/>
      <c r="M866" s="113"/>
    </row>
    <row r="867" spans="5:13">
      <c r="E867" s="112"/>
      <c r="F867" s="112"/>
      <c r="G867" s="112"/>
      <c r="H867" s="112"/>
      <c r="I867" s="113"/>
      <c r="J867" s="113"/>
      <c r="K867" s="114"/>
      <c r="L867" s="114"/>
      <c r="M867" s="113"/>
    </row>
    <row r="868" spans="5:13">
      <c r="E868" s="112"/>
      <c r="F868" s="112"/>
      <c r="G868" s="112"/>
      <c r="H868" s="112"/>
      <c r="I868" s="113"/>
      <c r="J868" s="113"/>
      <c r="K868" s="114"/>
      <c r="L868" s="114"/>
      <c r="M868" s="113"/>
    </row>
    <row r="869" spans="5:13">
      <c r="E869" s="112"/>
      <c r="F869" s="112"/>
      <c r="G869" s="112"/>
      <c r="H869" s="112"/>
      <c r="I869" s="113"/>
      <c r="J869" s="113"/>
      <c r="K869" s="114"/>
      <c r="L869" s="114"/>
      <c r="M869" s="113"/>
    </row>
    <row r="870" spans="5:13">
      <c r="E870" s="112"/>
      <c r="F870" s="112"/>
      <c r="G870" s="112"/>
      <c r="H870" s="112"/>
      <c r="I870" s="113"/>
      <c r="J870" s="113"/>
      <c r="K870" s="114"/>
      <c r="L870" s="114"/>
      <c r="M870" s="113"/>
    </row>
    <row r="871" spans="5:13">
      <c r="E871" s="112"/>
      <c r="F871" s="112"/>
      <c r="G871" s="112"/>
      <c r="H871" s="112"/>
      <c r="I871" s="113"/>
      <c r="J871" s="113"/>
      <c r="K871" s="114"/>
      <c r="L871" s="114"/>
      <c r="M871" s="113"/>
    </row>
    <row r="872" spans="5:13">
      <c r="E872" s="112"/>
      <c r="F872" s="112"/>
      <c r="G872" s="112"/>
      <c r="H872" s="112"/>
      <c r="I872" s="113"/>
      <c r="J872" s="113"/>
      <c r="K872" s="114"/>
      <c r="L872" s="114"/>
      <c r="M872" s="113"/>
    </row>
    <row r="873" spans="5:13">
      <c r="E873" s="112"/>
      <c r="F873" s="112"/>
      <c r="G873" s="112"/>
      <c r="H873" s="112"/>
      <c r="I873" s="113"/>
      <c r="J873" s="113"/>
      <c r="K873" s="114"/>
      <c r="L873" s="114"/>
      <c r="M873" s="113"/>
    </row>
    <row r="874" spans="5:13">
      <c r="E874" s="112"/>
      <c r="F874" s="112"/>
      <c r="G874" s="112"/>
      <c r="H874" s="112"/>
      <c r="I874" s="113"/>
      <c r="J874" s="113"/>
      <c r="K874" s="114"/>
      <c r="L874" s="114"/>
      <c r="M874" s="113"/>
    </row>
    <row r="875" spans="5:13">
      <c r="E875" s="112"/>
      <c r="F875" s="112"/>
      <c r="G875" s="112"/>
      <c r="H875" s="112"/>
      <c r="I875" s="113"/>
      <c r="J875" s="113"/>
      <c r="K875" s="114"/>
      <c r="L875" s="114"/>
      <c r="M875" s="113"/>
    </row>
    <row r="876" spans="5:13">
      <c r="E876" s="112"/>
      <c r="F876" s="112"/>
      <c r="G876" s="112"/>
      <c r="H876" s="112"/>
      <c r="I876" s="113"/>
      <c r="J876" s="113"/>
      <c r="K876" s="114"/>
      <c r="L876" s="114"/>
      <c r="M876" s="113"/>
    </row>
    <row r="877" spans="5:13">
      <c r="E877" s="112"/>
      <c r="F877" s="112"/>
      <c r="G877" s="112"/>
      <c r="H877" s="112"/>
      <c r="I877" s="113"/>
      <c r="J877" s="113"/>
      <c r="K877" s="114"/>
      <c r="L877" s="114"/>
      <c r="M877" s="113"/>
    </row>
    <row r="878" spans="5:13">
      <c r="E878" s="112"/>
      <c r="F878" s="112"/>
      <c r="G878" s="112"/>
      <c r="H878" s="112"/>
      <c r="I878" s="113"/>
      <c r="J878" s="113"/>
      <c r="K878" s="114"/>
      <c r="L878" s="114"/>
      <c r="M878" s="113"/>
    </row>
    <row r="879" spans="5:13">
      <c r="E879" s="112"/>
      <c r="F879" s="112"/>
      <c r="G879" s="112"/>
      <c r="H879" s="112"/>
      <c r="I879" s="113"/>
      <c r="J879" s="113"/>
      <c r="K879" s="114"/>
      <c r="L879" s="114"/>
      <c r="M879" s="113"/>
    </row>
    <row r="880" spans="5:13">
      <c r="E880" s="112"/>
      <c r="F880" s="112"/>
      <c r="G880" s="112"/>
      <c r="H880" s="112"/>
      <c r="I880" s="113"/>
      <c r="J880" s="113"/>
      <c r="K880" s="114"/>
      <c r="L880" s="114"/>
      <c r="M880" s="113"/>
    </row>
    <row r="881" spans="5:13">
      <c r="E881" s="112"/>
      <c r="F881" s="112"/>
      <c r="G881" s="112"/>
      <c r="H881" s="112"/>
      <c r="I881" s="113"/>
      <c r="J881" s="113"/>
      <c r="K881" s="114"/>
      <c r="L881" s="114"/>
      <c r="M881" s="113"/>
    </row>
    <row r="882" spans="5:13">
      <c r="E882" s="112"/>
      <c r="F882" s="112"/>
      <c r="G882" s="112"/>
      <c r="H882" s="112"/>
      <c r="I882" s="113"/>
      <c r="J882" s="113"/>
      <c r="K882" s="114"/>
      <c r="L882" s="114"/>
      <c r="M882" s="113"/>
    </row>
    <row r="883" spans="5:13">
      <c r="E883" s="112"/>
      <c r="F883" s="112"/>
      <c r="G883" s="112"/>
      <c r="H883" s="112"/>
      <c r="I883" s="113"/>
      <c r="J883" s="113"/>
      <c r="K883" s="114"/>
      <c r="L883" s="114"/>
      <c r="M883" s="113"/>
    </row>
    <row r="884" spans="5:13">
      <c r="E884" s="112"/>
      <c r="F884" s="112"/>
      <c r="G884" s="112"/>
      <c r="H884" s="112"/>
      <c r="I884" s="113"/>
      <c r="J884" s="113"/>
      <c r="K884" s="114"/>
      <c r="L884" s="114"/>
      <c r="M884" s="113"/>
    </row>
    <row r="885" spans="5:13">
      <c r="E885" s="112"/>
      <c r="F885" s="112"/>
      <c r="G885" s="112"/>
      <c r="H885" s="112"/>
      <c r="I885" s="113"/>
      <c r="J885" s="113"/>
      <c r="K885" s="114"/>
      <c r="L885" s="114"/>
      <c r="M885" s="113"/>
    </row>
    <row r="886" spans="5:13">
      <c r="E886" s="112"/>
      <c r="F886" s="112"/>
      <c r="G886" s="112"/>
      <c r="H886" s="112"/>
      <c r="I886" s="113"/>
      <c r="J886" s="113"/>
      <c r="K886" s="114"/>
      <c r="L886" s="114"/>
      <c r="M886" s="113"/>
    </row>
    <row r="887" spans="5:13">
      <c r="E887" s="112"/>
      <c r="F887" s="112"/>
      <c r="G887" s="112"/>
      <c r="H887" s="112"/>
      <c r="I887" s="113"/>
      <c r="J887" s="113"/>
      <c r="K887" s="114"/>
      <c r="L887" s="114"/>
      <c r="M887" s="113"/>
    </row>
    <row r="888" spans="5:13">
      <c r="E888" s="112"/>
      <c r="F888" s="112"/>
      <c r="G888" s="112"/>
      <c r="H888" s="112"/>
      <c r="I888" s="113"/>
      <c r="J888" s="113"/>
      <c r="K888" s="114"/>
      <c r="L888" s="114"/>
      <c r="M888" s="113"/>
    </row>
    <row r="889" spans="5:13">
      <c r="E889" s="112"/>
      <c r="F889" s="112"/>
      <c r="G889" s="112"/>
      <c r="H889" s="112"/>
      <c r="I889" s="113"/>
      <c r="J889" s="113"/>
      <c r="K889" s="114"/>
      <c r="L889" s="114"/>
      <c r="M889" s="113"/>
    </row>
    <row r="890" spans="5:13">
      <c r="E890" s="112"/>
      <c r="F890" s="112"/>
      <c r="G890" s="112"/>
      <c r="H890" s="112"/>
      <c r="I890" s="113"/>
      <c r="J890" s="113"/>
      <c r="K890" s="114"/>
      <c r="L890" s="114"/>
      <c r="M890" s="113"/>
    </row>
    <row r="891" spans="5:13">
      <c r="E891" s="112"/>
      <c r="F891" s="112"/>
      <c r="G891" s="112"/>
      <c r="H891" s="112"/>
      <c r="I891" s="113"/>
      <c r="J891" s="113"/>
      <c r="K891" s="114"/>
      <c r="L891" s="114"/>
      <c r="M891" s="113"/>
    </row>
    <row r="892" spans="5:13">
      <c r="E892" s="112"/>
      <c r="F892" s="112"/>
      <c r="G892" s="112"/>
      <c r="H892" s="112"/>
      <c r="I892" s="113"/>
      <c r="J892" s="113"/>
      <c r="K892" s="114"/>
      <c r="L892" s="114"/>
      <c r="M892" s="113"/>
    </row>
    <row r="893" spans="5:13">
      <c r="E893" s="112"/>
      <c r="F893" s="112"/>
      <c r="G893" s="112"/>
      <c r="H893" s="112"/>
      <c r="I893" s="113"/>
      <c r="J893" s="113"/>
      <c r="K893" s="114"/>
      <c r="L893" s="114"/>
      <c r="M893" s="113"/>
    </row>
    <row r="894" spans="5:13">
      <c r="E894" s="112"/>
      <c r="F894" s="112"/>
      <c r="G894" s="112"/>
      <c r="H894" s="112"/>
      <c r="I894" s="113"/>
      <c r="J894" s="113"/>
      <c r="K894" s="114"/>
      <c r="L894" s="114"/>
      <c r="M894" s="113"/>
    </row>
    <row r="895" spans="5:13">
      <c r="E895" s="112"/>
      <c r="F895" s="112"/>
      <c r="G895" s="112"/>
      <c r="H895" s="112"/>
      <c r="I895" s="113"/>
      <c r="J895" s="113"/>
      <c r="K895" s="114"/>
      <c r="L895" s="114"/>
      <c r="M895" s="113"/>
    </row>
    <row r="896" spans="5:13">
      <c r="E896" s="112"/>
      <c r="F896" s="112"/>
      <c r="G896" s="112"/>
      <c r="H896" s="112"/>
      <c r="I896" s="113"/>
      <c r="J896" s="113"/>
      <c r="K896" s="114"/>
      <c r="L896" s="114"/>
      <c r="M896" s="113"/>
    </row>
    <row r="897" spans="5:13">
      <c r="E897" s="112"/>
      <c r="F897" s="112"/>
      <c r="G897" s="112"/>
      <c r="H897" s="112"/>
      <c r="I897" s="113"/>
      <c r="J897" s="113"/>
      <c r="K897" s="114"/>
      <c r="L897" s="114"/>
      <c r="M897" s="113"/>
    </row>
    <row r="898" spans="5:13">
      <c r="E898" s="112"/>
      <c r="F898" s="112"/>
      <c r="G898" s="112"/>
      <c r="H898" s="112"/>
      <c r="I898" s="113"/>
      <c r="J898" s="113"/>
      <c r="K898" s="114"/>
      <c r="L898" s="114"/>
      <c r="M898" s="113"/>
    </row>
    <row r="899" spans="5:13">
      <c r="E899" s="112"/>
      <c r="F899" s="112"/>
      <c r="G899" s="112"/>
      <c r="H899" s="112"/>
      <c r="I899" s="113"/>
      <c r="J899" s="113"/>
      <c r="K899" s="114"/>
      <c r="L899" s="114"/>
      <c r="M899" s="113"/>
    </row>
    <row r="900" spans="5:13">
      <c r="E900" s="112"/>
      <c r="F900" s="112"/>
      <c r="G900" s="112"/>
      <c r="H900" s="112"/>
      <c r="I900" s="113"/>
      <c r="J900" s="113"/>
      <c r="K900" s="114"/>
      <c r="L900" s="114"/>
      <c r="M900" s="113"/>
    </row>
    <row r="901" spans="5:13">
      <c r="E901" s="112"/>
      <c r="F901" s="112"/>
      <c r="G901" s="112"/>
      <c r="H901" s="112"/>
      <c r="I901" s="113"/>
      <c r="J901" s="113"/>
      <c r="K901" s="114"/>
      <c r="L901" s="114"/>
      <c r="M901" s="113"/>
    </row>
    <row r="902" spans="5:13">
      <c r="E902" s="112"/>
      <c r="F902" s="112"/>
      <c r="G902" s="112"/>
      <c r="H902" s="112"/>
      <c r="I902" s="113"/>
      <c r="J902" s="113"/>
      <c r="K902" s="114"/>
      <c r="L902" s="114"/>
      <c r="M902" s="113"/>
    </row>
    <row r="903" spans="5:13">
      <c r="E903" s="112"/>
      <c r="F903" s="112"/>
      <c r="G903" s="112"/>
      <c r="H903" s="112"/>
      <c r="I903" s="113"/>
      <c r="J903" s="113"/>
      <c r="K903" s="114"/>
      <c r="L903" s="114"/>
      <c r="M903" s="113"/>
    </row>
    <row r="904" spans="5:13">
      <c r="E904" s="112"/>
      <c r="F904" s="112"/>
      <c r="G904" s="112"/>
      <c r="H904" s="112"/>
      <c r="I904" s="113"/>
      <c r="J904" s="113"/>
      <c r="K904" s="114"/>
      <c r="L904" s="114"/>
      <c r="M904" s="113"/>
    </row>
    <row r="905" spans="5:13">
      <c r="E905" s="112"/>
      <c r="F905" s="112"/>
      <c r="G905" s="112"/>
      <c r="H905" s="112"/>
      <c r="I905" s="113"/>
      <c r="J905" s="113"/>
      <c r="K905" s="114"/>
      <c r="L905" s="114"/>
      <c r="M905" s="113"/>
    </row>
    <row r="906" spans="5:13">
      <c r="E906" s="112"/>
      <c r="F906" s="112"/>
      <c r="G906" s="112"/>
      <c r="H906" s="112"/>
      <c r="I906" s="113"/>
      <c r="J906" s="113"/>
      <c r="K906" s="114"/>
      <c r="L906" s="114"/>
      <c r="M906" s="113"/>
    </row>
    <row r="907" spans="5:13">
      <c r="E907" s="112"/>
      <c r="F907" s="112"/>
      <c r="G907" s="112"/>
      <c r="H907" s="112"/>
      <c r="I907" s="113"/>
      <c r="J907" s="113"/>
      <c r="K907" s="114"/>
      <c r="L907" s="114"/>
      <c r="M907" s="113"/>
    </row>
    <row r="908" spans="5:13">
      <c r="E908" s="112"/>
      <c r="F908" s="112"/>
      <c r="G908" s="112"/>
      <c r="H908" s="112"/>
      <c r="I908" s="113"/>
      <c r="J908" s="113"/>
      <c r="K908" s="114"/>
      <c r="L908" s="114"/>
      <c r="M908" s="113"/>
    </row>
    <row r="909" spans="5:13">
      <c r="E909" s="112"/>
      <c r="F909" s="112"/>
      <c r="G909" s="112"/>
      <c r="H909" s="112"/>
      <c r="I909" s="113"/>
      <c r="J909" s="113"/>
      <c r="K909" s="114"/>
      <c r="L909" s="114"/>
      <c r="M909" s="113"/>
    </row>
    <row r="910" spans="5:13">
      <c r="E910" s="112"/>
      <c r="F910" s="112"/>
      <c r="G910" s="112"/>
      <c r="H910" s="112"/>
      <c r="I910" s="113"/>
      <c r="J910" s="113"/>
      <c r="K910" s="114"/>
      <c r="L910" s="114"/>
      <c r="M910" s="113"/>
    </row>
    <row r="911" spans="5:13">
      <c r="E911" s="112"/>
      <c r="F911" s="112"/>
      <c r="G911" s="112"/>
      <c r="H911" s="112"/>
      <c r="I911" s="113"/>
      <c r="J911" s="113"/>
      <c r="K911" s="114"/>
      <c r="L911" s="114"/>
      <c r="M911" s="113"/>
    </row>
    <row r="912" spans="5:13">
      <c r="E912" s="112"/>
      <c r="F912" s="112"/>
      <c r="G912" s="112"/>
      <c r="H912" s="112"/>
      <c r="I912" s="113"/>
      <c r="J912" s="113"/>
      <c r="K912" s="114"/>
      <c r="L912" s="114"/>
      <c r="M912" s="113"/>
    </row>
    <row r="913" spans="5:13">
      <c r="E913" s="112"/>
      <c r="F913" s="112"/>
      <c r="G913" s="112"/>
      <c r="H913" s="112"/>
      <c r="I913" s="113"/>
      <c r="J913" s="113"/>
      <c r="K913" s="114"/>
      <c r="L913" s="114"/>
      <c r="M913" s="113"/>
    </row>
    <row r="914" spans="5:13">
      <c r="E914" s="112"/>
      <c r="F914" s="112"/>
      <c r="G914" s="112"/>
      <c r="H914" s="112"/>
      <c r="I914" s="113"/>
      <c r="J914" s="113"/>
      <c r="K914" s="114"/>
      <c r="L914" s="114"/>
      <c r="M914" s="113"/>
    </row>
    <row r="915" spans="5:13">
      <c r="E915" s="112"/>
      <c r="F915" s="112"/>
      <c r="G915" s="112"/>
      <c r="H915" s="112"/>
      <c r="I915" s="113"/>
      <c r="J915" s="113"/>
      <c r="K915" s="114"/>
      <c r="L915" s="114"/>
      <c r="M915" s="113"/>
    </row>
    <row r="916" spans="5:13">
      <c r="E916" s="112"/>
      <c r="F916" s="112"/>
      <c r="G916" s="112"/>
      <c r="H916" s="112"/>
      <c r="I916" s="113"/>
      <c r="J916" s="113"/>
      <c r="K916" s="114"/>
      <c r="L916" s="114"/>
      <c r="M916" s="113"/>
    </row>
    <row r="917" spans="5:13">
      <c r="E917" s="112"/>
      <c r="F917" s="112"/>
      <c r="G917" s="112"/>
      <c r="H917" s="112"/>
      <c r="I917" s="113"/>
      <c r="J917" s="113"/>
      <c r="K917" s="114"/>
      <c r="L917" s="114"/>
      <c r="M917" s="113"/>
    </row>
    <row r="918" spans="5:13">
      <c r="E918" s="112"/>
      <c r="F918" s="112"/>
      <c r="G918" s="112"/>
      <c r="H918" s="112"/>
      <c r="I918" s="113"/>
      <c r="J918" s="113"/>
      <c r="K918" s="114"/>
      <c r="L918" s="114"/>
      <c r="M918" s="113"/>
    </row>
    <row r="919" spans="5:13">
      <c r="E919" s="112"/>
      <c r="F919" s="112"/>
      <c r="G919" s="112"/>
      <c r="H919" s="112"/>
      <c r="I919" s="113"/>
      <c r="J919" s="113"/>
      <c r="K919" s="114"/>
      <c r="L919" s="114"/>
      <c r="M919" s="113"/>
    </row>
    <row r="920" spans="5:13">
      <c r="E920" s="112"/>
      <c r="F920" s="112"/>
      <c r="G920" s="112"/>
      <c r="H920" s="112"/>
      <c r="I920" s="113"/>
      <c r="J920" s="113"/>
      <c r="K920" s="114"/>
      <c r="L920" s="114"/>
      <c r="M920" s="113"/>
    </row>
    <row r="921" spans="5:13">
      <c r="E921" s="112"/>
      <c r="F921" s="112"/>
      <c r="G921" s="112"/>
      <c r="H921" s="112"/>
      <c r="I921" s="113"/>
      <c r="J921" s="113"/>
      <c r="K921" s="114"/>
      <c r="L921" s="114"/>
      <c r="M921" s="113"/>
    </row>
    <row r="922" spans="5:13">
      <c r="E922" s="112"/>
      <c r="F922" s="112"/>
      <c r="G922" s="112"/>
      <c r="H922" s="112"/>
      <c r="I922" s="113"/>
      <c r="J922" s="113"/>
      <c r="K922" s="114"/>
      <c r="L922" s="114"/>
      <c r="M922" s="113"/>
    </row>
    <row r="923" spans="5:13">
      <c r="E923" s="112"/>
      <c r="F923" s="112"/>
      <c r="G923" s="112"/>
      <c r="H923" s="112"/>
      <c r="I923" s="113"/>
      <c r="J923" s="113"/>
      <c r="K923" s="114"/>
      <c r="L923" s="114"/>
      <c r="M923" s="113"/>
    </row>
    <row r="924" spans="5:13">
      <c r="E924" s="112"/>
      <c r="F924" s="112"/>
      <c r="G924" s="112"/>
      <c r="H924" s="112"/>
      <c r="I924" s="113"/>
      <c r="J924" s="113"/>
      <c r="K924" s="114"/>
      <c r="L924" s="114"/>
      <c r="M924" s="113"/>
    </row>
    <row r="925" spans="5:13">
      <c r="E925" s="112"/>
      <c r="F925" s="112"/>
      <c r="G925" s="112"/>
      <c r="H925" s="112"/>
      <c r="I925" s="113"/>
      <c r="J925" s="113"/>
      <c r="K925" s="114"/>
      <c r="L925" s="114"/>
      <c r="M925" s="113"/>
    </row>
    <row r="926" spans="5:13">
      <c r="E926" s="112"/>
      <c r="F926" s="112"/>
      <c r="G926" s="112"/>
      <c r="H926" s="112"/>
      <c r="I926" s="113"/>
      <c r="J926" s="113"/>
      <c r="K926" s="114"/>
      <c r="L926" s="114"/>
      <c r="M926" s="113"/>
    </row>
    <row r="927" spans="5:13">
      <c r="E927" s="112"/>
      <c r="F927" s="112"/>
      <c r="G927" s="112"/>
      <c r="H927" s="112"/>
      <c r="I927" s="113"/>
      <c r="J927" s="113"/>
      <c r="K927" s="114"/>
      <c r="L927" s="114"/>
      <c r="M927" s="113"/>
    </row>
    <row r="928" spans="5:13">
      <c r="E928" s="112"/>
      <c r="F928" s="112"/>
      <c r="G928" s="112"/>
      <c r="H928" s="112"/>
      <c r="I928" s="113"/>
      <c r="J928" s="113"/>
      <c r="K928" s="114"/>
      <c r="L928" s="114"/>
      <c r="M928" s="113"/>
    </row>
    <row r="929" spans="5:13">
      <c r="E929" s="112"/>
      <c r="F929" s="112"/>
      <c r="G929" s="112"/>
      <c r="H929" s="112"/>
      <c r="I929" s="113"/>
      <c r="J929" s="113"/>
      <c r="K929" s="114"/>
      <c r="L929" s="114"/>
      <c r="M929" s="113"/>
    </row>
    <row r="930" spans="5:13">
      <c r="E930" s="112"/>
      <c r="F930" s="112"/>
      <c r="G930" s="112"/>
      <c r="H930" s="112"/>
      <c r="I930" s="113"/>
      <c r="J930" s="113"/>
      <c r="K930" s="114"/>
      <c r="L930" s="114"/>
      <c r="M930" s="113"/>
    </row>
    <row r="931" spans="5:13">
      <c r="E931" s="112"/>
      <c r="F931" s="112"/>
      <c r="G931" s="112"/>
      <c r="H931" s="112"/>
      <c r="I931" s="113"/>
      <c r="J931" s="113"/>
      <c r="K931" s="114"/>
      <c r="L931" s="114"/>
      <c r="M931" s="113"/>
    </row>
    <row r="932" spans="5:13">
      <c r="E932" s="112"/>
      <c r="F932" s="112"/>
      <c r="G932" s="112"/>
      <c r="H932" s="112"/>
      <c r="I932" s="113"/>
      <c r="J932" s="113"/>
      <c r="K932" s="114"/>
      <c r="L932" s="114"/>
      <c r="M932" s="113"/>
    </row>
    <row r="933" spans="5:13">
      <c r="E933" s="112"/>
      <c r="F933" s="112"/>
      <c r="G933" s="112"/>
      <c r="H933" s="112"/>
      <c r="I933" s="113"/>
      <c r="J933" s="113"/>
      <c r="K933" s="114"/>
      <c r="L933" s="114"/>
      <c r="M933" s="113"/>
    </row>
    <row r="934" spans="5:13">
      <c r="E934" s="112"/>
      <c r="F934" s="112"/>
      <c r="G934" s="112"/>
      <c r="H934" s="112"/>
      <c r="I934" s="113"/>
      <c r="J934" s="113"/>
      <c r="K934" s="114"/>
      <c r="L934" s="114"/>
      <c r="M934" s="113"/>
    </row>
    <row r="935" spans="5:13">
      <c r="E935" s="112"/>
      <c r="F935" s="112"/>
      <c r="G935" s="112"/>
      <c r="H935" s="112"/>
      <c r="I935" s="113"/>
      <c r="J935" s="113"/>
      <c r="K935" s="114"/>
      <c r="L935" s="114"/>
      <c r="M935" s="113"/>
    </row>
    <row r="936" spans="5:13">
      <c r="E936" s="112"/>
      <c r="F936" s="112"/>
      <c r="G936" s="112"/>
      <c r="H936" s="112"/>
      <c r="I936" s="113"/>
      <c r="J936" s="113"/>
      <c r="K936" s="114"/>
      <c r="L936" s="114"/>
      <c r="M936" s="113"/>
    </row>
    <row r="937" spans="5:13">
      <c r="E937" s="112"/>
      <c r="F937" s="112"/>
      <c r="G937" s="112"/>
      <c r="H937" s="112"/>
      <c r="I937" s="113"/>
      <c r="J937" s="113"/>
      <c r="K937" s="114"/>
      <c r="L937" s="114"/>
      <c r="M937" s="113"/>
    </row>
    <row r="938" spans="5:13">
      <c r="E938" s="112"/>
      <c r="F938" s="112"/>
      <c r="G938" s="112"/>
      <c r="H938" s="112"/>
      <c r="I938" s="113"/>
      <c r="J938" s="113"/>
      <c r="K938" s="114"/>
      <c r="L938" s="114"/>
      <c r="M938" s="113"/>
    </row>
    <row r="939" spans="5:13">
      <c r="E939" s="112"/>
      <c r="F939" s="112"/>
      <c r="G939" s="112"/>
      <c r="H939" s="112"/>
      <c r="I939" s="113"/>
      <c r="J939" s="113"/>
      <c r="K939" s="114"/>
      <c r="L939" s="114"/>
      <c r="M939" s="113"/>
    </row>
    <row r="940" spans="5:13">
      <c r="E940" s="112"/>
      <c r="F940" s="112"/>
      <c r="G940" s="112"/>
      <c r="H940" s="112"/>
      <c r="I940" s="113"/>
      <c r="J940" s="113"/>
      <c r="K940" s="114"/>
      <c r="L940" s="114"/>
      <c r="M940" s="113"/>
    </row>
    <row r="941" spans="5:13">
      <c r="E941" s="112"/>
      <c r="F941" s="112"/>
      <c r="G941" s="112"/>
      <c r="H941" s="112"/>
      <c r="I941" s="113"/>
      <c r="J941" s="113"/>
      <c r="K941" s="114"/>
      <c r="L941" s="114"/>
      <c r="M941" s="113"/>
    </row>
    <row r="942" spans="5:13">
      <c r="E942" s="112"/>
      <c r="F942" s="112"/>
      <c r="G942" s="112"/>
      <c r="H942" s="112"/>
      <c r="I942" s="113"/>
      <c r="J942" s="113"/>
      <c r="K942" s="114"/>
      <c r="L942" s="114"/>
      <c r="M942" s="113"/>
    </row>
    <row r="943" spans="5:13">
      <c r="E943" s="112"/>
      <c r="F943" s="112"/>
      <c r="G943" s="112"/>
      <c r="H943" s="112"/>
      <c r="I943" s="113"/>
      <c r="J943" s="113"/>
      <c r="K943" s="114"/>
      <c r="L943" s="114"/>
      <c r="M943" s="113"/>
    </row>
    <row r="944" spans="5:13">
      <c r="E944" s="112"/>
      <c r="F944" s="112"/>
      <c r="G944" s="112"/>
      <c r="H944" s="112"/>
      <c r="I944" s="113"/>
      <c r="J944" s="113"/>
      <c r="K944" s="114"/>
      <c r="L944" s="114"/>
      <c r="M944" s="113"/>
    </row>
    <row r="945" spans="5:13">
      <c r="E945" s="112"/>
      <c r="F945" s="112"/>
      <c r="G945" s="112"/>
      <c r="H945" s="112"/>
      <c r="I945" s="113"/>
      <c r="J945" s="113"/>
      <c r="K945" s="114"/>
      <c r="L945" s="114"/>
      <c r="M945" s="113"/>
    </row>
    <row r="946" spans="5:13">
      <c r="E946" s="112"/>
      <c r="F946" s="112"/>
      <c r="G946" s="112"/>
      <c r="H946" s="112"/>
      <c r="I946" s="113"/>
      <c r="J946" s="113"/>
      <c r="K946" s="114"/>
      <c r="L946" s="114"/>
      <c r="M946" s="113"/>
    </row>
    <row r="947" spans="5:13">
      <c r="E947" s="112"/>
      <c r="F947" s="112"/>
      <c r="G947" s="112"/>
      <c r="H947" s="112"/>
      <c r="I947" s="113"/>
      <c r="J947" s="113"/>
      <c r="K947" s="114"/>
      <c r="L947" s="114"/>
      <c r="M947" s="113"/>
    </row>
    <row r="948" spans="5:13">
      <c r="E948" s="112"/>
      <c r="F948" s="112"/>
      <c r="G948" s="112"/>
      <c r="H948" s="112"/>
      <c r="I948" s="113"/>
      <c r="J948" s="113"/>
      <c r="K948" s="114"/>
      <c r="L948" s="114"/>
      <c r="M948" s="113"/>
    </row>
    <row r="949" spans="5:13">
      <c r="E949" s="112"/>
      <c r="F949" s="112"/>
      <c r="G949" s="112"/>
      <c r="H949" s="112"/>
      <c r="I949" s="113"/>
      <c r="J949" s="113"/>
      <c r="K949" s="114"/>
      <c r="L949" s="114"/>
      <c r="M949" s="113"/>
    </row>
    <row r="950" spans="5:13">
      <c r="E950" s="112"/>
      <c r="F950" s="112"/>
      <c r="G950" s="112"/>
      <c r="H950" s="112"/>
      <c r="I950" s="113"/>
      <c r="J950" s="113"/>
      <c r="K950" s="114"/>
      <c r="L950" s="114"/>
      <c r="M950" s="113"/>
    </row>
    <row r="951" spans="5:13">
      <c r="E951" s="112"/>
      <c r="F951" s="112"/>
      <c r="G951" s="112"/>
      <c r="H951" s="112"/>
      <c r="I951" s="113"/>
      <c r="J951" s="113"/>
      <c r="K951" s="114"/>
      <c r="L951" s="114"/>
      <c r="M951" s="113"/>
    </row>
    <row r="952" spans="5:13">
      <c r="E952" s="112"/>
      <c r="F952" s="112"/>
      <c r="G952" s="112"/>
      <c r="H952" s="112"/>
      <c r="I952" s="113"/>
      <c r="J952" s="113"/>
      <c r="K952" s="114"/>
      <c r="L952" s="114"/>
      <c r="M952" s="113"/>
    </row>
    <row r="953" spans="5:13">
      <c r="E953" s="112"/>
      <c r="F953" s="112"/>
      <c r="G953" s="112"/>
      <c r="H953" s="112"/>
      <c r="I953" s="113"/>
      <c r="J953" s="113"/>
      <c r="K953" s="114"/>
      <c r="L953" s="114"/>
      <c r="M953" s="113"/>
    </row>
    <row r="954" spans="5:13">
      <c r="E954" s="112"/>
      <c r="F954" s="112"/>
      <c r="G954" s="112"/>
      <c r="H954" s="112"/>
      <c r="I954" s="113"/>
      <c r="J954" s="113"/>
      <c r="K954" s="114"/>
      <c r="L954" s="114"/>
      <c r="M954" s="113"/>
    </row>
    <row r="955" spans="5:13">
      <c r="E955" s="112"/>
      <c r="F955" s="112"/>
      <c r="G955" s="112"/>
      <c r="H955" s="112"/>
      <c r="I955" s="113"/>
      <c r="J955" s="113"/>
      <c r="K955" s="114"/>
      <c r="L955" s="114"/>
      <c r="M955" s="113"/>
    </row>
    <row r="956" spans="5:13">
      <c r="E956" s="112"/>
      <c r="F956" s="112"/>
      <c r="G956" s="112"/>
      <c r="H956" s="112"/>
      <c r="I956" s="113"/>
      <c r="J956" s="113"/>
      <c r="K956" s="114"/>
      <c r="L956" s="114"/>
      <c r="M956" s="113"/>
    </row>
    <row r="957" spans="5:13">
      <c r="E957" s="112"/>
      <c r="F957" s="112"/>
      <c r="G957" s="112"/>
      <c r="H957" s="112"/>
      <c r="I957" s="113"/>
      <c r="J957" s="113"/>
      <c r="K957" s="114"/>
      <c r="L957" s="114"/>
      <c r="M957" s="113"/>
    </row>
    <row r="958" spans="5:13">
      <c r="E958" s="112"/>
      <c r="F958" s="112"/>
      <c r="G958" s="112"/>
      <c r="H958" s="112"/>
      <c r="I958" s="113"/>
      <c r="J958" s="113"/>
      <c r="K958" s="114"/>
      <c r="L958" s="114"/>
      <c r="M958" s="113"/>
    </row>
    <row r="959" spans="5:13">
      <c r="E959" s="112"/>
      <c r="F959" s="112"/>
      <c r="G959" s="112"/>
      <c r="H959" s="112"/>
      <c r="I959" s="113"/>
      <c r="J959" s="113"/>
      <c r="K959" s="114"/>
      <c r="L959" s="114"/>
      <c r="M959" s="113"/>
    </row>
    <row r="960" spans="5:13">
      <c r="E960" s="112"/>
      <c r="F960" s="112"/>
      <c r="G960" s="112"/>
      <c r="H960" s="112"/>
      <c r="I960" s="113"/>
      <c r="J960" s="113"/>
      <c r="K960" s="114"/>
      <c r="L960" s="114"/>
      <c r="M960" s="113"/>
    </row>
    <row r="961" spans="5:13">
      <c r="E961" s="112"/>
      <c r="F961" s="112"/>
      <c r="G961" s="112"/>
      <c r="H961" s="112"/>
      <c r="I961" s="113"/>
      <c r="J961" s="113"/>
      <c r="K961" s="114"/>
      <c r="L961" s="114"/>
      <c r="M961" s="113"/>
    </row>
    <row r="962" spans="5:13">
      <c r="E962" s="112"/>
      <c r="F962" s="112"/>
      <c r="G962" s="112"/>
      <c r="H962" s="112"/>
      <c r="I962" s="113"/>
      <c r="J962" s="113"/>
      <c r="K962" s="114"/>
      <c r="L962" s="114"/>
      <c r="M962" s="113"/>
    </row>
    <row r="963" spans="5:13">
      <c r="E963" s="112"/>
      <c r="F963" s="112"/>
      <c r="G963" s="112"/>
      <c r="H963" s="112"/>
      <c r="I963" s="113"/>
      <c r="J963" s="113"/>
      <c r="K963" s="114"/>
      <c r="L963" s="114"/>
      <c r="M963" s="113"/>
    </row>
    <row r="964" spans="5:13">
      <c r="E964" s="112"/>
      <c r="F964" s="112"/>
      <c r="G964" s="112"/>
      <c r="H964" s="112"/>
      <c r="I964" s="113"/>
      <c r="J964" s="113"/>
      <c r="K964" s="114"/>
      <c r="L964" s="114"/>
      <c r="M964" s="113"/>
    </row>
    <row r="965" spans="5:13">
      <c r="E965" s="112"/>
      <c r="F965" s="112"/>
      <c r="G965" s="112"/>
      <c r="H965" s="112"/>
      <c r="I965" s="113"/>
      <c r="J965" s="113"/>
      <c r="K965" s="114"/>
      <c r="L965" s="114"/>
      <c r="M965" s="113"/>
    </row>
    <row r="966" spans="5:13">
      <c r="E966" s="112"/>
      <c r="F966" s="112"/>
      <c r="G966" s="112"/>
      <c r="H966" s="112"/>
      <c r="I966" s="113"/>
      <c r="J966" s="113"/>
      <c r="K966" s="114"/>
      <c r="L966" s="114"/>
      <c r="M966" s="113"/>
    </row>
    <row r="967" spans="5:13">
      <c r="E967" s="112"/>
      <c r="F967" s="112"/>
      <c r="G967" s="112"/>
      <c r="H967" s="112"/>
      <c r="I967" s="113"/>
      <c r="J967" s="113"/>
      <c r="K967" s="114"/>
      <c r="L967" s="114"/>
      <c r="M967" s="113"/>
    </row>
    <row r="968" spans="5:13">
      <c r="E968" s="112"/>
      <c r="F968" s="112"/>
      <c r="G968" s="112"/>
      <c r="H968" s="112"/>
      <c r="I968" s="113"/>
      <c r="J968" s="113"/>
      <c r="K968" s="114"/>
      <c r="L968" s="114"/>
      <c r="M968" s="113"/>
    </row>
    <row r="969" spans="5:13">
      <c r="E969" s="112"/>
      <c r="F969" s="112"/>
      <c r="G969" s="112"/>
      <c r="H969" s="112"/>
      <c r="I969" s="113"/>
      <c r="J969" s="113"/>
      <c r="K969" s="114"/>
      <c r="L969" s="114"/>
      <c r="M969" s="113"/>
    </row>
    <row r="970" spans="5:13">
      <c r="E970" s="112"/>
      <c r="F970" s="112"/>
      <c r="G970" s="112"/>
      <c r="H970" s="112"/>
      <c r="I970" s="113"/>
      <c r="J970" s="113"/>
      <c r="K970" s="114"/>
      <c r="L970" s="114"/>
      <c r="M970" s="113"/>
    </row>
    <row r="971" spans="5:13">
      <c r="E971" s="112"/>
      <c r="F971" s="112"/>
      <c r="G971" s="112"/>
      <c r="H971" s="112"/>
      <c r="I971" s="113"/>
      <c r="J971" s="113"/>
      <c r="K971" s="114"/>
      <c r="L971" s="114"/>
      <c r="M971" s="113"/>
    </row>
    <row r="972" spans="5:13">
      <c r="E972" s="112"/>
      <c r="F972" s="112"/>
      <c r="G972" s="112"/>
      <c r="H972" s="112"/>
      <c r="I972" s="113"/>
      <c r="J972" s="113"/>
      <c r="K972" s="114"/>
      <c r="L972" s="114"/>
      <c r="M972" s="113"/>
    </row>
    <row r="973" spans="5:13">
      <c r="E973" s="112"/>
      <c r="F973" s="112"/>
      <c r="G973" s="112"/>
      <c r="H973" s="112"/>
      <c r="I973" s="113"/>
      <c r="J973" s="113"/>
      <c r="K973" s="114"/>
      <c r="L973" s="114"/>
      <c r="M973" s="113"/>
    </row>
    <row r="974" spans="5:13">
      <c r="E974" s="112"/>
      <c r="F974" s="112"/>
      <c r="G974" s="112"/>
      <c r="H974" s="112"/>
      <c r="I974" s="113"/>
      <c r="J974" s="113"/>
      <c r="K974" s="114"/>
      <c r="L974" s="114"/>
      <c r="M974" s="113"/>
    </row>
    <row r="975" spans="5:13">
      <c r="E975" s="112"/>
      <c r="F975" s="112"/>
      <c r="G975" s="112"/>
      <c r="H975" s="112"/>
      <c r="I975" s="113"/>
      <c r="J975" s="113"/>
      <c r="K975" s="114"/>
      <c r="L975" s="114"/>
      <c r="M975" s="113"/>
    </row>
    <row r="976" spans="5:13">
      <c r="E976" s="112"/>
      <c r="F976" s="112"/>
      <c r="G976" s="112"/>
      <c r="H976" s="112"/>
      <c r="I976" s="113"/>
      <c r="J976" s="113"/>
      <c r="K976" s="114"/>
      <c r="L976" s="114"/>
      <c r="M976" s="113"/>
    </row>
    <row r="977" spans="5:13">
      <c r="E977" s="112"/>
      <c r="F977" s="112"/>
      <c r="G977" s="112"/>
      <c r="H977" s="112"/>
      <c r="I977" s="113"/>
      <c r="J977" s="113"/>
      <c r="K977" s="114"/>
      <c r="L977" s="114"/>
      <c r="M977" s="113"/>
    </row>
    <row r="978" spans="5:13">
      <c r="E978" s="112"/>
      <c r="F978" s="112"/>
      <c r="G978" s="112"/>
      <c r="H978" s="112"/>
      <c r="I978" s="113"/>
      <c r="J978" s="113"/>
      <c r="K978" s="114"/>
      <c r="L978" s="114"/>
      <c r="M978" s="113"/>
    </row>
    <row r="979" spans="5:13">
      <c r="E979" s="112"/>
      <c r="F979" s="112"/>
      <c r="G979" s="112"/>
      <c r="H979" s="112"/>
      <c r="I979" s="113"/>
      <c r="J979" s="113"/>
      <c r="K979" s="114"/>
      <c r="L979" s="114"/>
      <c r="M979" s="113"/>
    </row>
    <row r="980" spans="5:13">
      <c r="E980" s="112"/>
      <c r="F980" s="112"/>
      <c r="G980" s="112"/>
      <c r="H980" s="112"/>
      <c r="I980" s="113"/>
      <c r="J980" s="113"/>
      <c r="K980" s="114"/>
      <c r="L980" s="114"/>
      <c r="M980" s="113"/>
    </row>
    <row r="981" spans="5:13">
      <c r="E981" s="112"/>
      <c r="F981" s="112"/>
      <c r="G981" s="112"/>
      <c r="H981" s="112"/>
      <c r="I981" s="113"/>
      <c r="J981" s="113"/>
      <c r="K981" s="114"/>
      <c r="L981" s="114"/>
      <c r="M981" s="113"/>
    </row>
    <row r="982" spans="5:13">
      <c r="E982" s="112"/>
      <c r="F982" s="112"/>
      <c r="G982" s="112"/>
      <c r="H982" s="112"/>
      <c r="I982" s="113"/>
      <c r="J982" s="113"/>
      <c r="K982" s="114"/>
      <c r="L982" s="114"/>
      <c r="M982" s="113"/>
    </row>
    <row r="983" spans="5:13">
      <c r="E983" s="112"/>
      <c r="F983" s="112"/>
      <c r="G983" s="112"/>
      <c r="H983" s="112"/>
      <c r="I983" s="113"/>
      <c r="J983" s="113"/>
      <c r="K983" s="114"/>
      <c r="L983" s="114"/>
      <c r="M983" s="113"/>
    </row>
    <row r="984" spans="5:13">
      <c r="E984" s="112"/>
      <c r="F984" s="112"/>
      <c r="G984" s="112"/>
      <c r="H984" s="112"/>
      <c r="I984" s="113"/>
      <c r="J984" s="113"/>
      <c r="K984" s="114"/>
      <c r="L984" s="114"/>
      <c r="M984" s="113"/>
    </row>
    <row r="985" spans="5:13">
      <c r="E985" s="112"/>
      <c r="F985" s="112"/>
      <c r="G985" s="112"/>
      <c r="H985" s="112"/>
      <c r="I985" s="113"/>
      <c r="J985" s="113"/>
      <c r="K985" s="114"/>
      <c r="L985" s="114"/>
      <c r="M985" s="113"/>
    </row>
    <row r="986" spans="5:13">
      <c r="E986" s="112"/>
      <c r="F986" s="112"/>
      <c r="G986" s="112"/>
      <c r="H986" s="112"/>
      <c r="I986" s="113"/>
      <c r="J986" s="113"/>
      <c r="K986" s="114"/>
      <c r="L986" s="114"/>
      <c r="M986" s="113"/>
    </row>
    <row r="987" spans="5:13">
      <c r="E987" s="112"/>
      <c r="F987" s="112"/>
      <c r="G987" s="112"/>
      <c r="H987" s="112"/>
      <c r="I987" s="113"/>
      <c r="J987" s="113"/>
      <c r="K987" s="114"/>
      <c r="L987" s="114"/>
      <c r="M987" s="113"/>
    </row>
    <row r="988" spans="5:13">
      <c r="E988" s="112"/>
      <c r="F988" s="112"/>
      <c r="G988" s="112"/>
      <c r="H988" s="112"/>
      <c r="I988" s="113"/>
      <c r="J988" s="113"/>
      <c r="K988" s="114"/>
      <c r="L988" s="114"/>
      <c r="M988" s="113"/>
    </row>
    <row r="989" spans="5:13">
      <c r="E989" s="112"/>
      <c r="F989" s="112"/>
      <c r="G989" s="112"/>
      <c r="H989" s="112"/>
      <c r="I989" s="113"/>
      <c r="J989" s="113"/>
      <c r="K989" s="114"/>
      <c r="L989" s="114"/>
      <c r="M989" s="113"/>
    </row>
    <row r="990" spans="5:13">
      <c r="E990" s="112"/>
      <c r="F990" s="112"/>
      <c r="G990" s="112"/>
      <c r="H990" s="112"/>
      <c r="I990" s="113"/>
      <c r="J990" s="113"/>
      <c r="K990" s="114"/>
      <c r="L990" s="114"/>
      <c r="M990" s="113"/>
    </row>
    <row r="991" spans="5:13">
      <c r="E991" s="112"/>
      <c r="F991" s="112"/>
      <c r="G991" s="112"/>
      <c r="H991" s="112"/>
      <c r="I991" s="113"/>
      <c r="J991" s="113"/>
      <c r="K991" s="114"/>
      <c r="L991" s="114"/>
      <c r="M991" s="113"/>
    </row>
    <row r="992" spans="5:13">
      <c r="E992" s="112"/>
      <c r="F992" s="112"/>
      <c r="G992" s="112"/>
      <c r="H992" s="112"/>
      <c r="I992" s="113"/>
      <c r="J992" s="113"/>
      <c r="K992" s="114"/>
      <c r="L992" s="114"/>
      <c r="M992" s="113"/>
    </row>
    <row r="993" spans="5:13">
      <c r="E993" s="112"/>
      <c r="F993" s="112"/>
      <c r="G993" s="112"/>
      <c r="H993" s="112"/>
      <c r="I993" s="113"/>
      <c r="J993" s="113"/>
      <c r="K993" s="114"/>
      <c r="L993" s="114"/>
      <c r="M993" s="113"/>
    </row>
    <row r="994" spans="5:13">
      <c r="E994" s="112"/>
      <c r="F994" s="112"/>
      <c r="G994" s="112"/>
      <c r="H994" s="112"/>
      <c r="I994" s="113"/>
      <c r="J994" s="113"/>
      <c r="K994" s="114"/>
      <c r="L994" s="114"/>
      <c r="M994" s="113"/>
    </row>
    <row r="995" spans="5:13">
      <c r="E995" s="112"/>
      <c r="F995" s="112"/>
      <c r="G995" s="112"/>
      <c r="H995" s="112"/>
      <c r="I995" s="113"/>
      <c r="J995" s="113"/>
      <c r="K995" s="114"/>
      <c r="L995" s="114"/>
      <c r="M995" s="113"/>
    </row>
    <row r="996" spans="5:13">
      <c r="E996" s="112"/>
      <c r="F996" s="112"/>
      <c r="G996" s="112"/>
      <c r="H996" s="112"/>
      <c r="I996" s="113"/>
      <c r="J996" s="113"/>
      <c r="K996" s="114"/>
      <c r="L996" s="114"/>
      <c r="M996" s="113"/>
    </row>
    <row r="997" spans="5:13">
      <c r="E997" s="112"/>
      <c r="F997" s="112"/>
      <c r="G997" s="112"/>
      <c r="H997" s="112"/>
      <c r="I997" s="113"/>
      <c r="J997" s="113"/>
      <c r="K997" s="114"/>
      <c r="L997" s="114"/>
      <c r="M997" s="113"/>
    </row>
    <row r="998" spans="5:13">
      <c r="E998" s="112"/>
      <c r="F998" s="112"/>
      <c r="G998" s="112"/>
      <c r="H998" s="112"/>
      <c r="I998" s="113"/>
      <c r="J998" s="113"/>
      <c r="K998" s="114"/>
      <c r="L998" s="114"/>
      <c r="M998" s="113"/>
    </row>
    <row r="999" spans="5:13">
      <c r="E999" s="112"/>
      <c r="F999" s="112"/>
      <c r="G999" s="112"/>
      <c r="H999" s="112"/>
      <c r="I999" s="113"/>
      <c r="J999" s="113"/>
      <c r="K999" s="114"/>
      <c r="L999" s="114"/>
      <c r="M999" s="113"/>
    </row>
    <row r="1000" spans="5:13">
      <c r="E1000" s="112"/>
      <c r="F1000" s="112"/>
      <c r="G1000" s="112"/>
      <c r="H1000" s="112"/>
      <c r="I1000" s="113"/>
      <c r="J1000" s="113"/>
      <c r="K1000" s="114"/>
      <c r="L1000" s="114"/>
      <c r="M1000" s="113"/>
    </row>
    <row r="1001" spans="5:13">
      <c r="E1001" s="112"/>
      <c r="F1001" s="112"/>
      <c r="G1001" s="112"/>
      <c r="H1001" s="112"/>
      <c r="I1001" s="113"/>
      <c r="J1001" s="113"/>
      <c r="K1001" s="114"/>
      <c r="L1001" s="114"/>
      <c r="M1001" s="113"/>
    </row>
    <row r="1002" spans="5:13">
      <c r="E1002" s="112"/>
      <c r="F1002" s="112"/>
      <c r="G1002" s="112"/>
      <c r="H1002" s="112"/>
      <c r="I1002" s="113"/>
      <c r="J1002" s="113"/>
      <c r="K1002" s="114"/>
      <c r="L1002" s="114"/>
      <c r="M1002" s="113"/>
    </row>
    <row r="1003" spans="5:13">
      <c r="E1003" s="112"/>
      <c r="F1003" s="112"/>
      <c r="G1003" s="112"/>
      <c r="H1003" s="112"/>
      <c r="I1003" s="113"/>
      <c r="J1003" s="113"/>
      <c r="K1003" s="114"/>
      <c r="L1003" s="114"/>
      <c r="M1003" s="113"/>
    </row>
    <row r="1004" spans="5:13">
      <c r="E1004" s="112"/>
      <c r="F1004" s="112"/>
      <c r="G1004" s="112"/>
      <c r="H1004" s="112"/>
      <c r="I1004" s="113"/>
      <c r="J1004" s="113"/>
      <c r="K1004" s="114"/>
      <c r="L1004" s="114"/>
      <c r="M1004" s="113"/>
    </row>
    <row r="1005" spans="5:13">
      <c r="E1005" s="112"/>
      <c r="F1005" s="112"/>
      <c r="G1005" s="112"/>
      <c r="H1005" s="112"/>
      <c r="I1005" s="113"/>
      <c r="J1005" s="113"/>
      <c r="K1005" s="114"/>
      <c r="L1005" s="114"/>
      <c r="M1005" s="113"/>
    </row>
    <row r="1006" spans="5:13">
      <c r="E1006" s="112"/>
      <c r="F1006" s="112"/>
      <c r="G1006" s="112"/>
      <c r="H1006" s="112"/>
      <c r="I1006" s="113"/>
      <c r="J1006" s="113"/>
      <c r="K1006" s="114"/>
      <c r="L1006" s="114"/>
      <c r="M1006" s="113"/>
    </row>
    <row r="1007" spans="5:13">
      <c r="E1007" s="112"/>
      <c r="F1007" s="112"/>
      <c r="G1007" s="112"/>
      <c r="H1007" s="112"/>
      <c r="I1007" s="113"/>
      <c r="J1007" s="113"/>
      <c r="K1007" s="114"/>
      <c r="L1007" s="114"/>
      <c r="M1007" s="113"/>
    </row>
    <row r="1008" spans="5:13">
      <c r="E1008" s="112"/>
      <c r="F1008" s="112"/>
      <c r="G1008" s="112"/>
      <c r="H1008" s="112"/>
      <c r="I1008" s="113"/>
      <c r="J1008" s="113"/>
      <c r="K1008" s="114"/>
      <c r="L1008" s="114"/>
      <c r="M1008" s="113"/>
    </row>
    <row r="1009" spans="5:13">
      <c r="E1009" s="112"/>
      <c r="F1009" s="112"/>
      <c r="G1009" s="112"/>
      <c r="H1009" s="112"/>
      <c r="I1009" s="113"/>
      <c r="J1009" s="113"/>
      <c r="K1009" s="114"/>
      <c r="L1009" s="114"/>
      <c r="M1009" s="113"/>
    </row>
    <row r="1010" spans="5:13">
      <c r="E1010" s="112"/>
      <c r="F1010" s="112"/>
      <c r="G1010" s="112"/>
      <c r="H1010" s="112"/>
      <c r="I1010" s="113"/>
      <c r="J1010" s="113"/>
      <c r="K1010" s="114"/>
      <c r="L1010" s="114"/>
      <c r="M1010" s="113"/>
    </row>
    <row r="1011" spans="5:13">
      <c r="E1011" s="112"/>
      <c r="F1011" s="112"/>
      <c r="G1011" s="112"/>
      <c r="H1011" s="112"/>
      <c r="I1011" s="113"/>
      <c r="J1011" s="113"/>
      <c r="K1011" s="114"/>
      <c r="L1011" s="114"/>
      <c r="M1011" s="113"/>
    </row>
    <row r="1012" spans="5:13">
      <c r="E1012" s="112"/>
      <c r="F1012" s="112"/>
      <c r="G1012" s="112"/>
      <c r="H1012" s="112"/>
      <c r="I1012" s="113"/>
      <c r="J1012" s="113"/>
      <c r="K1012" s="114"/>
      <c r="L1012" s="114"/>
      <c r="M1012" s="113"/>
    </row>
    <row r="1013" spans="5:13">
      <c r="E1013" s="112"/>
      <c r="F1013" s="112"/>
      <c r="G1013" s="112"/>
      <c r="H1013" s="112"/>
      <c r="I1013" s="113"/>
      <c r="J1013" s="113"/>
      <c r="K1013" s="114"/>
      <c r="L1013" s="114"/>
      <c r="M1013" s="113"/>
    </row>
    <row r="1014" spans="5:13">
      <c r="E1014" s="112"/>
      <c r="F1014" s="112"/>
      <c r="G1014" s="112"/>
      <c r="H1014" s="112"/>
      <c r="I1014" s="113"/>
      <c r="J1014" s="113"/>
      <c r="K1014" s="114"/>
      <c r="L1014" s="114"/>
      <c r="M1014" s="113"/>
    </row>
    <row r="1015" spans="5:13">
      <c r="E1015" s="112"/>
      <c r="F1015" s="112"/>
      <c r="G1015" s="112"/>
      <c r="H1015" s="112"/>
      <c r="I1015" s="113"/>
      <c r="J1015" s="113"/>
      <c r="K1015" s="114"/>
      <c r="L1015" s="114"/>
      <c r="M1015" s="113"/>
    </row>
    <row r="1016" spans="5:13">
      <c r="E1016" s="112"/>
      <c r="F1016" s="112"/>
      <c r="G1016" s="112"/>
      <c r="H1016" s="112"/>
      <c r="I1016" s="113"/>
      <c r="J1016" s="113"/>
      <c r="K1016" s="114"/>
      <c r="L1016" s="114"/>
      <c r="M1016" s="113"/>
    </row>
    <row r="1017" spans="5:13">
      <c r="E1017" s="112"/>
      <c r="F1017" s="112"/>
      <c r="G1017" s="112"/>
      <c r="H1017" s="112"/>
      <c r="I1017" s="113"/>
      <c r="J1017" s="113"/>
      <c r="K1017" s="114"/>
      <c r="L1017" s="114"/>
      <c r="M1017" s="113"/>
    </row>
    <row r="1018" spans="5:13">
      <c r="E1018" s="112"/>
      <c r="F1018" s="112"/>
      <c r="G1018" s="112"/>
      <c r="H1018" s="112"/>
      <c r="I1018" s="113"/>
      <c r="J1018" s="113"/>
      <c r="K1018" s="114"/>
      <c r="L1018" s="114"/>
      <c r="M1018" s="113"/>
    </row>
    <row r="1019" spans="5:13">
      <c r="E1019" s="112"/>
      <c r="F1019" s="112"/>
      <c r="G1019" s="112"/>
      <c r="H1019" s="112"/>
      <c r="I1019" s="113"/>
      <c r="J1019" s="113"/>
      <c r="K1019" s="114"/>
      <c r="L1019" s="114"/>
      <c r="M1019" s="113"/>
    </row>
    <row r="1020" spans="5:13">
      <c r="E1020" s="112"/>
      <c r="F1020" s="112"/>
      <c r="G1020" s="112"/>
      <c r="H1020" s="112"/>
      <c r="I1020" s="113"/>
      <c r="J1020" s="113"/>
      <c r="K1020" s="114"/>
      <c r="L1020" s="114"/>
      <c r="M1020" s="113"/>
    </row>
    <row r="1021" spans="5:13">
      <c r="E1021" s="112"/>
      <c r="F1021" s="112"/>
      <c r="G1021" s="112"/>
      <c r="H1021" s="112"/>
      <c r="I1021" s="113"/>
      <c r="J1021" s="113"/>
      <c r="K1021" s="114"/>
      <c r="L1021" s="114"/>
      <c r="M1021" s="113"/>
    </row>
    <row r="1022" spans="5:13">
      <c r="E1022" s="112"/>
      <c r="F1022" s="112"/>
      <c r="G1022" s="112"/>
      <c r="H1022" s="112"/>
      <c r="I1022" s="113"/>
      <c r="J1022" s="113"/>
      <c r="K1022" s="114"/>
      <c r="L1022" s="114"/>
      <c r="M1022" s="113"/>
    </row>
    <row r="1023" spans="5:13">
      <c r="E1023" s="112"/>
      <c r="F1023" s="112"/>
      <c r="G1023" s="112"/>
      <c r="H1023" s="112"/>
      <c r="I1023" s="113"/>
      <c r="J1023" s="113"/>
      <c r="K1023" s="114"/>
      <c r="L1023" s="114"/>
      <c r="M1023" s="113"/>
    </row>
    <row r="1024" spans="5:13">
      <c r="E1024" s="112"/>
      <c r="F1024" s="112"/>
      <c r="G1024" s="112"/>
      <c r="H1024" s="112"/>
      <c r="I1024" s="113"/>
      <c r="J1024" s="113"/>
      <c r="K1024" s="114"/>
      <c r="L1024" s="114"/>
      <c r="M1024" s="113"/>
    </row>
    <row r="1025" spans="5:13">
      <c r="E1025" s="112"/>
      <c r="F1025" s="112"/>
      <c r="G1025" s="112"/>
      <c r="H1025" s="112"/>
      <c r="I1025" s="113"/>
      <c r="J1025" s="113"/>
      <c r="K1025" s="114"/>
      <c r="L1025" s="114"/>
      <c r="M1025" s="113"/>
    </row>
    <row r="1026" spans="5:13">
      <c r="E1026" s="112"/>
      <c r="F1026" s="112"/>
      <c r="G1026" s="112"/>
      <c r="H1026" s="112"/>
      <c r="I1026" s="113"/>
      <c r="J1026" s="113"/>
      <c r="K1026" s="114"/>
      <c r="L1026" s="114"/>
      <c r="M1026" s="113"/>
    </row>
    <row r="1027" spans="5:13">
      <c r="E1027" s="112"/>
      <c r="F1027" s="112"/>
      <c r="G1027" s="112"/>
      <c r="H1027" s="112"/>
      <c r="I1027" s="113"/>
      <c r="J1027" s="113"/>
      <c r="K1027" s="114"/>
      <c r="L1027" s="114"/>
      <c r="M1027" s="113"/>
    </row>
    <row r="1028" spans="5:13">
      <c r="E1028" s="112"/>
      <c r="F1028" s="112"/>
      <c r="G1028" s="112"/>
      <c r="H1028" s="112"/>
      <c r="I1028" s="113"/>
      <c r="J1028" s="113"/>
      <c r="K1028" s="114"/>
      <c r="L1028" s="114"/>
      <c r="M1028" s="113"/>
    </row>
    <row r="1029" spans="5:13">
      <c r="E1029" s="112"/>
      <c r="F1029" s="112"/>
      <c r="G1029" s="112"/>
      <c r="H1029" s="112"/>
      <c r="I1029" s="113"/>
      <c r="J1029" s="113"/>
      <c r="K1029" s="114"/>
      <c r="L1029" s="114"/>
      <c r="M1029" s="113"/>
    </row>
    <row r="1030" spans="5:13">
      <c r="E1030" s="112"/>
      <c r="F1030" s="112"/>
      <c r="G1030" s="112"/>
      <c r="H1030" s="112"/>
      <c r="I1030" s="113"/>
      <c r="J1030" s="113"/>
      <c r="K1030" s="114"/>
      <c r="L1030" s="114"/>
      <c r="M1030" s="113"/>
    </row>
    <row r="1031" spans="5:13">
      <c r="E1031" s="112"/>
      <c r="F1031" s="112"/>
      <c r="G1031" s="112"/>
      <c r="H1031" s="112"/>
      <c r="I1031" s="113"/>
      <c r="J1031" s="113"/>
      <c r="K1031" s="114"/>
      <c r="L1031" s="114"/>
      <c r="M1031" s="113"/>
    </row>
    <row r="1032" spans="5:13">
      <c r="E1032" s="112"/>
      <c r="F1032" s="112"/>
      <c r="G1032" s="112"/>
      <c r="H1032" s="112"/>
      <c r="I1032" s="113"/>
      <c r="J1032" s="113"/>
      <c r="K1032" s="114"/>
      <c r="L1032" s="114"/>
      <c r="M1032" s="113"/>
    </row>
    <row r="1033" spans="5:13">
      <c r="E1033" s="112"/>
      <c r="F1033" s="112"/>
      <c r="G1033" s="112"/>
      <c r="H1033" s="112"/>
      <c r="I1033" s="113"/>
      <c r="J1033" s="113"/>
      <c r="K1033" s="114"/>
      <c r="L1033" s="114"/>
      <c r="M1033" s="113"/>
    </row>
    <row r="1034" spans="5:13">
      <c r="E1034" s="112"/>
      <c r="F1034" s="112"/>
      <c r="G1034" s="112"/>
      <c r="H1034" s="112"/>
      <c r="I1034" s="113"/>
      <c r="J1034" s="113"/>
      <c r="K1034" s="114"/>
      <c r="L1034" s="114"/>
      <c r="M1034" s="113"/>
    </row>
    <row r="1035" spans="5:13">
      <c r="E1035" s="112"/>
      <c r="F1035" s="112"/>
      <c r="G1035" s="112"/>
      <c r="H1035" s="112"/>
      <c r="I1035" s="113"/>
      <c r="J1035" s="113"/>
      <c r="K1035" s="114"/>
      <c r="L1035" s="114"/>
      <c r="M1035" s="113"/>
    </row>
    <row r="1036" spans="5:13">
      <c r="E1036" s="112"/>
      <c r="F1036" s="112"/>
      <c r="G1036" s="112"/>
      <c r="H1036" s="112"/>
      <c r="I1036" s="113"/>
      <c r="J1036" s="113"/>
      <c r="K1036" s="114"/>
      <c r="L1036" s="114"/>
      <c r="M1036" s="113"/>
    </row>
    <row r="1037" spans="5:13">
      <c r="E1037" s="112"/>
      <c r="F1037" s="112"/>
      <c r="G1037" s="112"/>
      <c r="H1037" s="112"/>
      <c r="I1037" s="113"/>
      <c r="J1037" s="113"/>
      <c r="K1037" s="114"/>
      <c r="L1037" s="114"/>
      <c r="M1037" s="113"/>
    </row>
    <row r="1038" spans="5:13">
      <c r="E1038" s="112"/>
      <c r="F1038" s="112"/>
      <c r="G1038" s="112"/>
      <c r="H1038" s="112"/>
      <c r="I1038" s="113"/>
      <c r="J1038" s="113"/>
      <c r="K1038" s="114"/>
      <c r="L1038" s="114"/>
      <c r="M1038" s="113"/>
    </row>
    <row r="1039" spans="5:13">
      <c r="E1039" s="112"/>
      <c r="F1039" s="112"/>
      <c r="G1039" s="112"/>
      <c r="H1039" s="112"/>
      <c r="I1039" s="113"/>
      <c r="J1039" s="113"/>
      <c r="K1039" s="114"/>
      <c r="L1039" s="114"/>
      <c r="M1039" s="113"/>
    </row>
    <row r="1040" spans="5:13">
      <c r="E1040" s="112"/>
      <c r="F1040" s="112"/>
      <c r="G1040" s="112"/>
      <c r="H1040" s="112"/>
      <c r="I1040" s="113"/>
      <c r="J1040" s="113"/>
      <c r="K1040" s="114"/>
      <c r="L1040" s="114"/>
      <c r="M1040" s="113"/>
    </row>
    <row r="1041" spans="5:13">
      <c r="E1041" s="112"/>
      <c r="F1041" s="112"/>
      <c r="G1041" s="112"/>
      <c r="H1041" s="112"/>
      <c r="I1041" s="113"/>
      <c r="J1041" s="113"/>
      <c r="K1041" s="114"/>
      <c r="L1041" s="114"/>
      <c r="M1041" s="113"/>
    </row>
    <row r="1042" spans="5:13">
      <c r="E1042" s="112"/>
      <c r="F1042" s="112"/>
      <c r="G1042" s="112"/>
      <c r="H1042" s="112"/>
      <c r="I1042" s="113"/>
      <c r="J1042" s="113"/>
      <c r="K1042" s="114"/>
      <c r="L1042" s="114"/>
      <c r="M1042" s="113"/>
    </row>
    <row r="1043" spans="5:13">
      <c r="E1043" s="112"/>
      <c r="F1043" s="112"/>
      <c r="G1043" s="112"/>
      <c r="H1043" s="112"/>
      <c r="I1043" s="113"/>
      <c r="J1043" s="113"/>
      <c r="K1043" s="114"/>
      <c r="L1043" s="114"/>
      <c r="M1043" s="113"/>
    </row>
    <row r="1044" spans="5:13">
      <c r="E1044" s="112"/>
      <c r="F1044" s="112"/>
      <c r="G1044" s="112"/>
      <c r="H1044" s="112"/>
      <c r="I1044" s="113"/>
      <c r="J1044" s="113"/>
      <c r="K1044" s="114"/>
      <c r="L1044" s="114"/>
      <c r="M1044" s="113"/>
    </row>
    <row r="1045" spans="5:13">
      <c r="E1045" s="112"/>
      <c r="F1045" s="112"/>
      <c r="G1045" s="112"/>
      <c r="H1045" s="112"/>
      <c r="I1045" s="113"/>
      <c r="J1045" s="113"/>
      <c r="K1045" s="114"/>
      <c r="L1045" s="114"/>
      <c r="M1045" s="113"/>
    </row>
    <row r="1046" spans="5:13">
      <c r="E1046" s="112"/>
      <c r="F1046" s="112"/>
      <c r="G1046" s="112"/>
      <c r="H1046" s="112"/>
      <c r="I1046" s="113"/>
      <c r="J1046" s="113"/>
      <c r="K1046" s="114"/>
      <c r="L1046" s="114"/>
      <c r="M1046" s="113"/>
    </row>
    <row r="1047" spans="5:13">
      <c r="E1047" s="112"/>
      <c r="F1047" s="112"/>
      <c r="G1047" s="112"/>
      <c r="H1047" s="112"/>
      <c r="I1047" s="113"/>
      <c r="J1047" s="113"/>
      <c r="K1047" s="114"/>
      <c r="L1047" s="114"/>
      <c r="M1047" s="113"/>
    </row>
    <row r="1048" spans="5:13">
      <c r="E1048" s="112"/>
      <c r="F1048" s="112"/>
      <c r="G1048" s="112"/>
      <c r="H1048" s="112"/>
      <c r="I1048" s="113"/>
      <c r="J1048" s="113"/>
      <c r="K1048" s="114"/>
      <c r="L1048" s="114"/>
      <c r="M1048" s="113"/>
    </row>
    <row r="1049" spans="5:13">
      <c r="E1049" s="112"/>
      <c r="F1049" s="112"/>
      <c r="G1049" s="112"/>
      <c r="H1049" s="112"/>
      <c r="I1049" s="113"/>
      <c r="J1049" s="113"/>
      <c r="K1049" s="114"/>
      <c r="L1049" s="114"/>
      <c r="M1049" s="113"/>
    </row>
    <row r="1050" spans="5:13">
      <c r="E1050" s="112"/>
      <c r="F1050" s="112"/>
      <c r="G1050" s="112"/>
      <c r="H1050" s="112"/>
      <c r="I1050" s="113"/>
      <c r="J1050" s="113"/>
      <c r="K1050" s="114"/>
      <c r="L1050" s="114"/>
      <c r="M1050" s="113"/>
    </row>
    <row r="1051" spans="5:13">
      <c r="E1051" s="112"/>
      <c r="F1051" s="112"/>
      <c r="G1051" s="112"/>
      <c r="H1051" s="112"/>
      <c r="I1051" s="113"/>
      <c r="J1051" s="113"/>
      <c r="K1051" s="114"/>
      <c r="L1051" s="114"/>
      <c r="M1051" s="113"/>
    </row>
    <row r="1052" spans="5:13">
      <c r="E1052" s="112"/>
      <c r="F1052" s="112"/>
      <c r="G1052" s="112"/>
      <c r="H1052" s="112"/>
      <c r="I1052" s="113"/>
      <c r="J1052" s="113"/>
      <c r="K1052" s="114"/>
      <c r="L1052" s="114"/>
      <c r="M1052" s="113"/>
    </row>
    <row r="1053" spans="5:13">
      <c r="E1053" s="112"/>
      <c r="F1053" s="112"/>
      <c r="G1053" s="112"/>
      <c r="H1053" s="112"/>
      <c r="I1053" s="113"/>
      <c r="J1053" s="113"/>
      <c r="K1053" s="114"/>
      <c r="L1053" s="114"/>
      <c r="M1053" s="113"/>
    </row>
    <row r="1054" spans="5:13">
      <c r="E1054" s="112"/>
      <c r="F1054" s="112"/>
      <c r="G1054" s="112"/>
      <c r="H1054" s="112"/>
      <c r="I1054" s="113"/>
      <c r="J1054" s="113"/>
      <c r="K1054" s="114"/>
      <c r="L1054" s="114"/>
      <c r="M1054" s="113"/>
    </row>
    <row r="1055" spans="5:13">
      <c r="E1055" s="112"/>
      <c r="F1055" s="112"/>
      <c r="G1055" s="112"/>
      <c r="H1055" s="112"/>
      <c r="I1055" s="113"/>
      <c r="J1055" s="113"/>
      <c r="K1055" s="114"/>
      <c r="L1055" s="114"/>
      <c r="M1055" s="113"/>
    </row>
    <row r="1056" spans="5:13">
      <c r="E1056" s="112"/>
      <c r="F1056" s="112"/>
      <c r="G1056" s="112"/>
      <c r="H1056" s="112"/>
      <c r="I1056" s="113"/>
      <c r="J1056" s="113"/>
      <c r="K1056" s="114"/>
      <c r="L1056" s="114"/>
      <c r="M1056" s="113"/>
    </row>
    <row r="1057" spans="5:13">
      <c r="E1057" s="112"/>
      <c r="F1057" s="112"/>
      <c r="G1057" s="112"/>
      <c r="H1057" s="112"/>
      <c r="I1057" s="113"/>
      <c r="J1057" s="113"/>
      <c r="K1057" s="114"/>
      <c r="L1057" s="114"/>
      <c r="M1057" s="113"/>
    </row>
    <row r="1058" spans="5:13">
      <c r="E1058" s="112"/>
      <c r="F1058" s="112"/>
      <c r="G1058" s="112"/>
      <c r="H1058" s="112"/>
      <c r="I1058" s="113"/>
      <c r="J1058" s="113"/>
      <c r="K1058" s="114"/>
      <c r="L1058" s="114"/>
      <c r="M1058" s="113"/>
    </row>
    <row r="1059" spans="5:13">
      <c r="E1059" s="112"/>
      <c r="F1059" s="112"/>
      <c r="G1059" s="112"/>
      <c r="H1059" s="112"/>
      <c r="I1059" s="113"/>
      <c r="J1059" s="113"/>
      <c r="K1059" s="114"/>
      <c r="L1059" s="114"/>
      <c r="M1059" s="113"/>
    </row>
    <row r="1060" spans="5:13">
      <c r="E1060" s="112"/>
      <c r="F1060" s="112"/>
      <c r="G1060" s="112"/>
      <c r="H1060" s="112"/>
      <c r="I1060" s="113"/>
      <c r="J1060" s="113"/>
      <c r="K1060" s="114"/>
      <c r="L1060" s="114"/>
      <c r="M1060" s="113"/>
    </row>
    <row r="1061" spans="5:13">
      <c r="E1061" s="112"/>
      <c r="F1061" s="112"/>
      <c r="G1061" s="112"/>
      <c r="H1061" s="112"/>
      <c r="I1061" s="113"/>
      <c r="J1061" s="113"/>
      <c r="K1061" s="114"/>
      <c r="L1061" s="114"/>
      <c r="M1061" s="113"/>
    </row>
    <row r="1062" spans="5:13">
      <c r="E1062" s="112"/>
      <c r="F1062" s="112"/>
      <c r="G1062" s="112"/>
      <c r="H1062" s="112"/>
      <c r="I1062" s="113"/>
      <c r="J1062" s="113"/>
      <c r="K1062" s="114"/>
      <c r="L1062" s="114"/>
      <c r="M1062" s="113"/>
    </row>
    <row r="1063" spans="5:13">
      <c r="E1063" s="112"/>
      <c r="F1063" s="112"/>
      <c r="G1063" s="112"/>
      <c r="H1063" s="112"/>
      <c r="I1063" s="113"/>
      <c r="J1063" s="113"/>
      <c r="K1063" s="114"/>
      <c r="L1063" s="114"/>
      <c r="M1063" s="113"/>
    </row>
    <row r="1064" spans="5:13">
      <c r="E1064" s="112"/>
      <c r="F1064" s="112"/>
      <c r="G1064" s="112"/>
      <c r="H1064" s="112"/>
      <c r="I1064" s="113"/>
      <c r="J1064" s="113"/>
      <c r="K1064" s="114"/>
      <c r="L1064" s="114"/>
      <c r="M1064" s="113"/>
    </row>
    <row r="1065" spans="5:13">
      <c r="E1065" s="112"/>
      <c r="F1065" s="112"/>
      <c r="G1065" s="112"/>
      <c r="H1065" s="112"/>
      <c r="I1065" s="113"/>
      <c r="J1065" s="113"/>
      <c r="K1065" s="114"/>
      <c r="L1065" s="114"/>
      <c r="M1065" s="113"/>
    </row>
    <row r="1066" spans="5:13">
      <c r="E1066" s="112"/>
      <c r="F1066" s="112"/>
      <c r="G1066" s="112"/>
      <c r="H1066" s="112"/>
      <c r="I1066" s="113"/>
      <c r="J1066" s="113"/>
      <c r="K1066" s="114"/>
      <c r="L1066" s="114"/>
      <c r="M1066" s="113"/>
    </row>
    <row r="1067" spans="5:13">
      <c r="E1067" s="112"/>
      <c r="F1067" s="112"/>
      <c r="G1067" s="112"/>
      <c r="H1067" s="112"/>
      <c r="I1067" s="113"/>
      <c r="J1067" s="113"/>
      <c r="K1067" s="114"/>
      <c r="L1067" s="114"/>
      <c r="M1067" s="113"/>
    </row>
    <row r="1068" spans="5:13">
      <c r="E1068" s="112"/>
      <c r="F1068" s="112"/>
      <c r="G1068" s="112"/>
      <c r="H1068" s="112"/>
      <c r="I1068" s="113"/>
      <c r="J1068" s="113"/>
      <c r="K1068" s="114"/>
      <c r="L1068" s="114"/>
      <c r="M1068" s="113"/>
    </row>
    <row r="1069" spans="5:13">
      <c r="E1069" s="112"/>
      <c r="F1069" s="112"/>
      <c r="G1069" s="112"/>
      <c r="H1069" s="112"/>
      <c r="I1069" s="113"/>
      <c r="J1069" s="113"/>
      <c r="K1069" s="114"/>
      <c r="L1069" s="114"/>
      <c r="M1069" s="113"/>
    </row>
    <row r="1070" spans="5:13">
      <c r="E1070" s="112"/>
      <c r="F1070" s="112"/>
      <c r="G1070" s="112"/>
      <c r="H1070" s="112"/>
      <c r="I1070" s="113"/>
      <c r="J1070" s="113"/>
      <c r="K1070" s="114"/>
      <c r="L1070" s="114"/>
      <c r="M1070" s="113"/>
    </row>
    <row r="1071" spans="5:13">
      <c r="E1071" s="112"/>
      <c r="F1071" s="112"/>
      <c r="G1071" s="112"/>
      <c r="H1071" s="112"/>
      <c r="I1071" s="113"/>
      <c r="J1071" s="113"/>
      <c r="K1071" s="114"/>
      <c r="L1071" s="114"/>
      <c r="M1071" s="113"/>
    </row>
    <row r="1072" spans="5:13">
      <c r="E1072" s="112"/>
      <c r="F1072" s="112"/>
      <c r="G1072" s="112"/>
      <c r="H1072" s="112"/>
      <c r="I1072" s="113"/>
      <c r="J1072" s="113"/>
      <c r="K1072" s="114"/>
      <c r="L1072" s="114"/>
      <c r="M1072" s="113"/>
    </row>
    <row r="1073" spans="5:13">
      <c r="E1073" s="112"/>
      <c r="F1073" s="112"/>
      <c r="G1073" s="112"/>
      <c r="H1073" s="112"/>
      <c r="I1073" s="113"/>
      <c r="J1073" s="113"/>
      <c r="K1073" s="114"/>
      <c r="L1073" s="114"/>
      <c r="M1073" s="113"/>
    </row>
    <row r="1074" spans="5:13">
      <c r="E1074" s="112"/>
      <c r="F1074" s="112"/>
      <c r="G1074" s="112"/>
      <c r="H1074" s="112"/>
      <c r="I1074" s="113"/>
      <c r="J1074" s="113"/>
      <c r="K1074" s="114"/>
      <c r="L1074" s="114"/>
      <c r="M1074" s="113"/>
    </row>
    <row r="1075" spans="5:13">
      <c r="E1075" s="112"/>
      <c r="F1075" s="112"/>
      <c r="G1075" s="112"/>
      <c r="H1075" s="112"/>
      <c r="I1075" s="113"/>
      <c r="J1075" s="113"/>
      <c r="K1075" s="114"/>
      <c r="L1075" s="114"/>
      <c r="M1075" s="113"/>
    </row>
    <row r="1076" spans="5:13">
      <c r="E1076" s="112"/>
      <c r="F1076" s="112"/>
      <c r="G1076" s="112"/>
      <c r="H1076" s="112"/>
      <c r="I1076" s="113"/>
      <c r="J1076" s="113"/>
      <c r="K1076" s="114"/>
      <c r="L1076" s="114"/>
      <c r="M1076" s="113"/>
    </row>
    <row r="1077" spans="5:13">
      <c r="E1077" s="112"/>
      <c r="F1077" s="112"/>
      <c r="G1077" s="112"/>
      <c r="H1077" s="112"/>
      <c r="I1077" s="113"/>
      <c r="J1077" s="113"/>
      <c r="K1077" s="114"/>
      <c r="L1077" s="114"/>
      <c r="M1077" s="113"/>
    </row>
    <row r="1078" spans="5:13">
      <c r="E1078" s="112"/>
      <c r="F1078" s="112"/>
      <c r="G1078" s="112"/>
      <c r="H1078" s="112"/>
      <c r="I1078" s="113"/>
      <c r="J1078" s="113"/>
      <c r="K1078" s="114"/>
      <c r="L1078" s="114"/>
      <c r="M1078" s="113"/>
    </row>
    <row r="1079" spans="5:13">
      <c r="E1079" s="112"/>
      <c r="F1079" s="112"/>
      <c r="G1079" s="112"/>
      <c r="H1079" s="112"/>
      <c r="I1079" s="113"/>
      <c r="J1079" s="113"/>
      <c r="K1079" s="114"/>
      <c r="L1079" s="114"/>
      <c r="M1079" s="113"/>
    </row>
    <row r="1080" spans="5:13">
      <c r="E1080" s="112"/>
      <c r="F1080" s="112"/>
      <c r="G1080" s="112"/>
      <c r="H1080" s="112"/>
      <c r="I1080" s="113"/>
      <c r="J1080" s="113"/>
      <c r="K1080" s="114"/>
      <c r="L1080" s="114"/>
      <c r="M1080" s="113"/>
    </row>
    <row r="1081" spans="5:13">
      <c r="E1081" s="112"/>
      <c r="F1081" s="112"/>
      <c r="G1081" s="112"/>
      <c r="H1081" s="112"/>
      <c r="I1081" s="113"/>
      <c r="J1081" s="113"/>
      <c r="K1081" s="114"/>
      <c r="L1081" s="114"/>
      <c r="M1081" s="113"/>
    </row>
    <row r="1082" spans="5:13">
      <c r="E1082" s="112"/>
      <c r="F1082" s="112"/>
      <c r="G1082" s="112"/>
      <c r="H1082" s="112"/>
      <c r="I1082" s="113"/>
      <c r="J1082" s="113"/>
      <c r="K1082" s="114"/>
      <c r="L1082" s="114"/>
      <c r="M1082" s="113"/>
    </row>
    <row r="1083" spans="5:13">
      <c r="E1083" s="112"/>
      <c r="F1083" s="112"/>
      <c r="G1083" s="112"/>
      <c r="H1083" s="112"/>
      <c r="I1083" s="113"/>
      <c r="J1083" s="113"/>
      <c r="K1083" s="114"/>
      <c r="L1083" s="114"/>
      <c r="M1083" s="113"/>
    </row>
    <row r="1084" spans="5:13">
      <c r="E1084" s="112"/>
      <c r="F1084" s="112"/>
      <c r="G1084" s="112"/>
      <c r="H1084" s="112"/>
      <c r="I1084" s="113"/>
      <c r="J1084" s="113"/>
      <c r="K1084" s="114"/>
      <c r="L1084" s="114"/>
      <c r="M1084" s="113"/>
    </row>
    <row r="1085" spans="5:13">
      <c r="E1085" s="112"/>
      <c r="F1085" s="112"/>
      <c r="G1085" s="112"/>
      <c r="H1085" s="112"/>
      <c r="I1085" s="113"/>
      <c r="J1085" s="113"/>
      <c r="K1085" s="114"/>
      <c r="L1085" s="114"/>
      <c r="M1085" s="113"/>
    </row>
    <row r="1086" spans="5:13">
      <c r="E1086" s="112"/>
      <c r="F1086" s="112"/>
      <c r="G1086" s="112"/>
      <c r="H1086" s="112"/>
      <c r="I1086" s="113"/>
      <c r="J1086" s="113"/>
      <c r="K1086" s="114"/>
      <c r="L1086" s="114"/>
      <c r="M1086" s="113"/>
    </row>
    <row r="1087" spans="5:13">
      <c r="E1087" s="112"/>
      <c r="F1087" s="112"/>
      <c r="G1087" s="112"/>
      <c r="H1087" s="112"/>
      <c r="I1087" s="113"/>
      <c r="J1087" s="113"/>
      <c r="K1087" s="114"/>
      <c r="L1087" s="114"/>
      <c r="M1087" s="113"/>
    </row>
    <row r="1088" spans="5:13">
      <c r="E1088" s="112"/>
      <c r="F1088" s="112"/>
      <c r="G1088" s="112"/>
      <c r="H1088" s="112"/>
      <c r="I1088" s="113"/>
      <c r="J1088" s="113"/>
      <c r="K1088" s="114"/>
      <c r="L1088" s="114"/>
      <c r="M1088" s="113"/>
    </row>
    <row r="1089" spans="5:13">
      <c r="E1089" s="112"/>
      <c r="F1089" s="112"/>
      <c r="G1089" s="112"/>
      <c r="H1089" s="112"/>
      <c r="I1089" s="113"/>
      <c r="J1089" s="113"/>
      <c r="K1089" s="114"/>
      <c r="L1089" s="114"/>
      <c r="M1089" s="113"/>
    </row>
    <row r="1090" spans="5:13">
      <c r="E1090" s="112"/>
      <c r="F1090" s="112"/>
      <c r="G1090" s="112"/>
      <c r="H1090" s="112"/>
      <c r="I1090" s="113"/>
      <c r="J1090" s="113"/>
      <c r="K1090" s="114"/>
      <c r="L1090" s="114"/>
      <c r="M1090" s="113"/>
    </row>
    <row r="1091" spans="5:13">
      <c r="E1091" s="112"/>
      <c r="F1091" s="112"/>
      <c r="G1091" s="112"/>
      <c r="H1091" s="112"/>
      <c r="I1091" s="113"/>
      <c r="J1091" s="113"/>
      <c r="K1091" s="114"/>
      <c r="L1091" s="114"/>
      <c r="M1091" s="113"/>
    </row>
    <row r="1092" spans="5:13">
      <c r="E1092" s="112"/>
      <c r="F1092" s="112"/>
      <c r="G1092" s="112"/>
      <c r="H1092" s="112"/>
      <c r="I1092" s="113"/>
      <c r="J1092" s="113"/>
      <c r="K1092" s="114"/>
      <c r="L1092" s="114"/>
      <c r="M1092" s="113"/>
    </row>
    <row r="1093" spans="5:13">
      <c r="E1093" s="112"/>
      <c r="F1093" s="112"/>
      <c r="G1093" s="112"/>
      <c r="H1093" s="112"/>
      <c r="I1093" s="113"/>
      <c r="J1093" s="113"/>
      <c r="K1093" s="114"/>
      <c r="L1093" s="114"/>
      <c r="M1093" s="113"/>
    </row>
    <row r="1094" spans="5:13">
      <c r="E1094" s="112"/>
      <c r="F1094" s="112"/>
      <c r="G1094" s="112"/>
      <c r="H1094" s="112"/>
      <c r="I1094" s="113"/>
      <c r="J1094" s="113"/>
      <c r="K1094" s="114"/>
      <c r="L1094" s="114"/>
      <c r="M1094" s="113"/>
    </row>
    <row r="1095" spans="5:13">
      <c r="E1095" s="112"/>
      <c r="F1095" s="112"/>
      <c r="G1095" s="112"/>
      <c r="H1095" s="112"/>
      <c r="I1095" s="113"/>
      <c r="J1095" s="113"/>
      <c r="K1095" s="114"/>
      <c r="L1095" s="114"/>
      <c r="M1095" s="113"/>
    </row>
    <row r="1096" spans="5:13">
      <c r="E1096" s="112"/>
      <c r="F1096" s="112"/>
      <c r="G1096" s="112"/>
      <c r="H1096" s="112"/>
      <c r="I1096" s="113"/>
      <c r="J1096" s="113"/>
      <c r="K1096" s="114"/>
      <c r="L1096" s="114"/>
      <c r="M1096" s="113"/>
    </row>
    <row r="1097" spans="5:13">
      <c r="E1097" s="112"/>
      <c r="F1097" s="112"/>
      <c r="G1097" s="112"/>
      <c r="H1097" s="112"/>
      <c r="I1097" s="113"/>
      <c r="J1097" s="113"/>
      <c r="K1097" s="114"/>
      <c r="L1097" s="114"/>
      <c r="M1097" s="113"/>
    </row>
    <row r="1098" spans="5:13">
      <c r="E1098" s="112"/>
      <c r="F1098" s="112"/>
      <c r="G1098" s="112"/>
      <c r="H1098" s="112"/>
      <c r="I1098" s="113"/>
      <c r="J1098" s="113"/>
      <c r="K1098" s="114"/>
      <c r="L1098" s="114"/>
      <c r="M1098" s="113"/>
    </row>
    <row r="1099" spans="5:13">
      <c r="E1099" s="112"/>
      <c r="F1099" s="112"/>
      <c r="G1099" s="112"/>
      <c r="H1099" s="112"/>
      <c r="I1099" s="113"/>
      <c r="J1099" s="113"/>
      <c r="K1099" s="114"/>
      <c r="L1099" s="114"/>
      <c r="M1099" s="113"/>
    </row>
    <row r="1100" spans="5:13">
      <c r="E1100" s="112"/>
      <c r="F1100" s="112"/>
      <c r="G1100" s="112"/>
      <c r="H1100" s="112"/>
      <c r="I1100" s="113"/>
      <c r="J1100" s="113"/>
      <c r="K1100" s="114"/>
      <c r="L1100" s="114"/>
      <c r="M1100" s="113"/>
    </row>
    <row r="1101" spans="5:13">
      <c r="E1101" s="112"/>
      <c r="F1101" s="112"/>
      <c r="G1101" s="112"/>
      <c r="H1101" s="112"/>
      <c r="I1101" s="113"/>
      <c r="J1101" s="113"/>
      <c r="K1101" s="114"/>
      <c r="L1101" s="114"/>
      <c r="M1101" s="113"/>
    </row>
    <row r="1102" spans="5:13">
      <c r="E1102" s="112"/>
      <c r="F1102" s="112"/>
      <c r="G1102" s="112"/>
      <c r="H1102" s="112"/>
      <c r="I1102" s="113"/>
      <c r="J1102" s="113"/>
      <c r="K1102" s="114"/>
      <c r="L1102" s="114"/>
      <c r="M1102" s="113"/>
    </row>
    <row r="1103" spans="5:13">
      <c r="E1103" s="112"/>
      <c r="F1103" s="112"/>
      <c r="G1103" s="112"/>
      <c r="H1103" s="112"/>
      <c r="I1103" s="113"/>
      <c r="J1103" s="113"/>
      <c r="K1103" s="114"/>
      <c r="L1103" s="114"/>
      <c r="M1103" s="113"/>
    </row>
    <row r="1104" spans="5:13">
      <c r="E1104" s="112"/>
      <c r="F1104" s="112"/>
      <c r="G1104" s="112"/>
      <c r="H1104" s="112"/>
      <c r="I1104" s="113"/>
      <c r="J1104" s="113"/>
      <c r="K1104" s="114"/>
      <c r="L1104" s="114"/>
      <c r="M1104" s="113"/>
    </row>
    <row r="1105" spans="5:13">
      <c r="E1105" s="112"/>
      <c r="F1105" s="112"/>
      <c r="G1105" s="112"/>
      <c r="H1105" s="112"/>
      <c r="I1105" s="113"/>
      <c r="J1105" s="113"/>
      <c r="K1105" s="114"/>
      <c r="L1105" s="114"/>
      <c r="M1105" s="113"/>
    </row>
    <row r="1106" spans="5:13">
      <c r="E1106" s="112"/>
      <c r="F1106" s="112"/>
      <c r="G1106" s="112"/>
      <c r="H1106" s="112"/>
      <c r="I1106" s="113"/>
      <c r="J1106" s="113"/>
      <c r="K1106" s="114"/>
      <c r="L1106" s="114"/>
      <c r="M1106" s="113"/>
    </row>
    <row r="1107" spans="5:13">
      <c r="E1107" s="112"/>
      <c r="F1107" s="112"/>
      <c r="G1107" s="112"/>
      <c r="H1107" s="112"/>
      <c r="I1107" s="113"/>
      <c r="J1107" s="113"/>
      <c r="K1107" s="114"/>
      <c r="L1107" s="114"/>
      <c r="M1107" s="113"/>
    </row>
    <row r="1108" spans="5:13">
      <c r="E1108" s="112"/>
      <c r="F1108" s="112"/>
      <c r="G1108" s="112"/>
      <c r="H1108" s="112"/>
      <c r="I1108" s="113"/>
      <c r="J1108" s="113"/>
      <c r="K1108" s="114"/>
      <c r="L1108" s="114"/>
      <c r="M1108" s="113"/>
    </row>
    <row r="1109" spans="5:13">
      <c r="E1109" s="112"/>
      <c r="F1109" s="112"/>
      <c r="G1109" s="112"/>
      <c r="H1109" s="112"/>
      <c r="I1109" s="113"/>
      <c r="J1109" s="113"/>
      <c r="K1109" s="114"/>
      <c r="L1109" s="114"/>
      <c r="M1109" s="113"/>
    </row>
    <row r="1110" spans="5:13">
      <c r="E1110" s="112"/>
      <c r="F1110" s="112"/>
      <c r="G1110" s="112"/>
      <c r="H1110" s="112"/>
      <c r="I1110" s="113"/>
      <c r="J1110" s="113"/>
      <c r="K1110" s="114"/>
      <c r="L1110" s="114"/>
      <c r="M1110" s="113"/>
    </row>
    <row r="1111" spans="5:13">
      <c r="E1111" s="112"/>
      <c r="F1111" s="112"/>
      <c r="G1111" s="112"/>
      <c r="H1111" s="112"/>
      <c r="I1111" s="113"/>
      <c r="J1111" s="113"/>
      <c r="K1111" s="114"/>
      <c r="L1111" s="114"/>
      <c r="M1111" s="113"/>
    </row>
    <row r="1112" spans="5:13">
      <c r="E1112" s="112"/>
      <c r="F1112" s="112"/>
      <c r="G1112" s="112"/>
      <c r="H1112" s="112"/>
      <c r="I1112" s="113"/>
      <c r="J1112" s="113"/>
      <c r="K1112" s="114"/>
      <c r="L1112" s="114"/>
      <c r="M1112" s="113"/>
    </row>
    <row r="1113" spans="5:13">
      <c r="E1113" s="112"/>
      <c r="F1113" s="112"/>
      <c r="G1113" s="112"/>
      <c r="H1113" s="112"/>
      <c r="I1113" s="113"/>
      <c r="J1113" s="113"/>
      <c r="K1113" s="114"/>
      <c r="L1113" s="114"/>
      <c r="M1113" s="113"/>
    </row>
    <row r="1114" spans="5:13">
      <c r="E1114" s="112"/>
      <c r="F1114" s="112"/>
      <c r="G1114" s="112"/>
      <c r="H1114" s="112"/>
      <c r="I1114" s="113"/>
      <c r="J1114" s="113"/>
      <c r="K1114" s="114"/>
      <c r="L1114" s="114"/>
      <c r="M1114" s="113"/>
    </row>
    <row r="1115" spans="5:13">
      <c r="E1115" s="112"/>
      <c r="F1115" s="112"/>
      <c r="G1115" s="112"/>
      <c r="H1115" s="112"/>
      <c r="I1115" s="113"/>
      <c r="J1115" s="113"/>
      <c r="K1115" s="114"/>
      <c r="L1115" s="114"/>
      <c r="M1115" s="113"/>
    </row>
    <row r="1116" spans="5:13">
      <c r="E1116" s="112"/>
      <c r="F1116" s="112"/>
      <c r="G1116" s="112"/>
      <c r="H1116" s="112"/>
      <c r="I1116" s="113"/>
      <c r="J1116" s="113"/>
      <c r="K1116" s="114"/>
      <c r="L1116" s="114"/>
      <c r="M1116" s="113"/>
    </row>
    <row r="1117" spans="5:13">
      <c r="E1117" s="112"/>
      <c r="F1117" s="112"/>
      <c r="G1117" s="112"/>
      <c r="H1117" s="112"/>
      <c r="I1117" s="113"/>
      <c r="J1117" s="113"/>
      <c r="K1117" s="114"/>
      <c r="L1117" s="114"/>
      <c r="M1117" s="113"/>
    </row>
    <row r="1118" spans="5:13">
      <c r="E1118" s="112"/>
      <c r="F1118" s="112"/>
      <c r="G1118" s="112"/>
      <c r="H1118" s="112"/>
      <c r="I1118" s="113"/>
      <c r="J1118" s="113"/>
      <c r="K1118" s="114"/>
      <c r="L1118" s="114"/>
      <c r="M1118" s="113"/>
    </row>
    <row r="1119" spans="5:13">
      <c r="E1119" s="112"/>
      <c r="F1119" s="112"/>
      <c r="G1119" s="112"/>
      <c r="H1119" s="112"/>
      <c r="I1119" s="113"/>
      <c r="J1119" s="113"/>
      <c r="K1119" s="114"/>
      <c r="L1119" s="114"/>
      <c r="M1119" s="113"/>
    </row>
    <row r="1120" spans="5:13">
      <c r="E1120" s="112"/>
      <c r="F1120" s="112"/>
      <c r="G1120" s="112"/>
      <c r="H1120" s="112"/>
      <c r="I1120" s="113"/>
      <c r="J1120" s="113"/>
      <c r="K1120" s="114"/>
      <c r="L1120" s="114"/>
      <c r="M1120" s="113"/>
    </row>
    <row r="1121" spans="5:13">
      <c r="E1121" s="112"/>
      <c r="F1121" s="112"/>
      <c r="G1121" s="112"/>
      <c r="H1121" s="112"/>
      <c r="I1121" s="113"/>
      <c r="J1121" s="113"/>
      <c r="K1121" s="114"/>
      <c r="L1121" s="114"/>
      <c r="M1121" s="113"/>
    </row>
    <row r="1122" spans="5:13">
      <c r="E1122" s="112"/>
      <c r="F1122" s="112"/>
      <c r="G1122" s="112"/>
      <c r="H1122" s="112"/>
      <c r="I1122" s="113"/>
      <c r="J1122" s="113"/>
      <c r="K1122" s="114"/>
      <c r="L1122" s="114"/>
      <c r="M1122" s="113"/>
    </row>
    <row r="1123" spans="5:13">
      <c r="E1123" s="112"/>
      <c r="F1123" s="112"/>
      <c r="G1123" s="112"/>
      <c r="H1123" s="112"/>
      <c r="I1123" s="113"/>
      <c r="J1123" s="113"/>
      <c r="K1123" s="114"/>
      <c r="L1123" s="114"/>
      <c r="M1123" s="113"/>
    </row>
    <row r="1124" spans="5:13">
      <c r="E1124" s="112"/>
      <c r="F1124" s="112"/>
      <c r="G1124" s="112"/>
      <c r="H1124" s="112"/>
      <c r="I1124" s="113"/>
      <c r="J1124" s="113"/>
      <c r="K1124" s="114"/>
      <c r="L1124" s="114"/>
      <c r="M1124" s="113"/>
    </row>
    <row r="1125" spans="5:13">
      <c r="E1125" s="112"/>
      <c r="F1125" s="112"/>
      <c r="G1125" s="112"/>
      <c r="H1125" s="112"/>
      <c r="I1125" s="113"/>
      <c r="J1125" s="113"/>
      <c r="K1125" s="114"/>
      <c r="L1125" s="114"/>
      <c r="M1125" s="113"/>
    </row>
    <row r="1126" spans="5:13">
      <c r="E1126" s="112"/>
      <c r="F1126" s="112"/>
      <c r="G1126" s="112"/>
      <c r="H1126" s="112"/>
      <c r="I1126" s="113"/>
      <c r="J1126" s="113"/>
      <c r="K1126" s="114"/>
      <c r="L1126" s="114"/>
      <c r="M1126" s="113"/>
    </row>
    <row r="1127" spans="5:13">
      <c r="E1127" s="112"/>
      <c r="F1127" s="112"/>
      <c r="G1127" s="112"/>
      <c r="H1127" s="112"/>
      <c r="I1127" s="113"/>
      <c r="J1127" s="113"/>
      <c r="K1127" s="114"/>
      <c r="L1127" s="114"/>
      <c r="M1127" s="113"/>
    </row>
    <row r="1128" spans="5:13">
      <c r="E1128" s="112"/>
      <c r="F1128" s="112"/>
      <c r="G1128" s="112"/>
      <c r="H1128" s="112"/>
      <c r="I1128" s="113"/>
      <c r="J1128" s="113"/>
      <c r="K1128" s="114"/>
      <c r="L1128" s="114"/>
      <c r="M1128" s="113"/>
    </row>
    <row r="1129" spans="5:13">
      <c r="E1129" s="112"/>
      <c r="F1129" s="112"/>
      <c r="G1129" s="112"/>
      <c r="H1129" s="112"/>
      <c r="I1129" s="113"/>
      <c r="J1129" s="113"/>
      <c r="K1129" s="114"/>
      <c r="L1129" s="114"/>
      <c r="M1129" s="113"/>
    </row>
    <row r="1130" spans="5:13">
      <c r="E1130" s="112"/>
      <c r="F1130" s="112"/>
      <c r="G1130" s="112"/>
      <c r="H1130" s="112"/>
      <c r="I1130" s="113"/>
      <c r="J1130" s="113"/>
      <c r="K1130" s="114"/>
      <c r="L1130" s="114"/>
      <c r="M1130" s="113"/>
    </row>
    <row r="1131" spans="5:13">
      <c r="E1131" s="112"/>
      <c r="F1131" s="112"/>
      <c r="G1131" s="112"/>
      <c r="H1131" s="112"/>
      <c r="I1131" s="113"/>
      <c r="J1131" s="113"/>
      <c r="K1131" s="114"/>
      <c r="L1131" s="114"/>
      <c r="M1131" s="113"/>
    </row>
    <row r="1132" spans="5:13">
      <c r="E1132" s="112"/>
      <c r="F1132" s="112"/>
      <c r="G1132" s="112"/>
      <c r="H1132" s="112"/>
      <c r="I1132" s="113"/>
      <c r="J1132" s="113"/>
      <c r="K1132" s="114"/>
      <c r="L1132" s="114"/>
      <c r="M1132" s="113"/>
    </row>
    <row r="1133" spans="5:13">
      <c r="E1133" s="112"/>
      <c r="F1133" s="112"/>
      <c r="G1133" s="112"/>
      <c r="H1133" s="112"/>
      <c r="I1133" s="113"/>
      <c r="J1133" s="113"/>
      <c r="K1133" s="114"/>
      <c r="L1133" s="114"/>
      <c r="M1133" s="113"/>
    </row>
    <row r="1134" spans="5:13">
      <c r="E1134" s="112"/>
      <c r="F1134" s="112"/>
      <c r="G1134" s="112"/>
      <c r="H1134" s="112"/>
      <c r="I1134" s="113"/>
      <c r="J1134" s="113"/>
      <c r="K1134" s="114"/>
      <c r="L1134" s="114"/>
      <c r="M1134" s="113"/>
    </row>
    <row r="1135" spans="5:13">
      <c r="E1135" s="112"/>
      <c r="F1135" s="112"/>
      <c r="G1135" s="112"/>
      <c r="H1135" s="112"/>
      <c r="I1135" s="113"/>
      <c r="J1135" s="113"/>
      <c r="K1135" s="114"/>
      <c r="L1135" s="114"/>
      <c r="M1135" s="113"/>
    </row>
    <row r="1136" spans="5:13">
      <c r="E1136" s="112"/>
      <c r="F1136" s="112"/>
      <c r="G1136" s="112"/>
      <c r="H1136" s="112"/>
      <c r="I1136" s="113"/>
      <c r="J1136" s="113"/>
      <c r="K1136" s="114"/>
      <c r="L1136" s="114"/>
      <c r="M1136" s="113"/>
    </row>
    <row r="1137" spans="5:13">
      <c r="E1137" s="112"/>
      <c r="F1137" s="112"/>
      <c r="G1137" s="112"/>
      <c r="H1137" s="112"/>
      <c r="I1137" s="113"/>
      <c r="J1137" s="113"/>
      <c r="K1137" s="114"/>
      <c r="L1137" s="114"/>
      <c r="M1137" s="113"/>
    </row>
    <row r="1138" spans="5:13">
      <c r="E1138" s="112"/>
      <c r="F1138" s="112"/>
      <c r="G1138" s="112"/>
      <c r="H1138" s="112"/>
      <c r="I1138" s="113"/>
      <c r="J1138" s="113"/>
      <c r="K1138" s="114"/>
      <c r="L1138" s="114"/>
      <c r="M1138" s="113"/>
    </row>
    <row r="1139" spans="5:13">
      <c r="E1139" s="112"/>
      <c r="F1139" s="112"/>
      <c r="G1139" s="112"/>
      <c r="H1139" s="112"/>
      <c r="I1139" s="113"/>
      <c r="J1139" s="113"/>
      <c r="K1139" s="114"/>
      <c r="L1139" s="114"/>
      <c r="M1139" s="113"/>
    </row>
    <row r="1140" spans="5:13">
      <c r="E1140" s="112"/>
      <c r="F1140" s="112"/>
      <c r="G1140" s="112"/>
      <c r="H1140" s="112"/>
      <c r="I1140" s="113"/>
      <c r="J1140" s="113"/>
      <c r="K1140" s="114"/>
      <c r="L1140" s="114"/>
      <c r="M1140" s="113"/>
    </row>
    <row r="1141" spans="5:13">
      <c r="E1141" s="112"/>
      <c r="F1141" s="112"/>
      <c r="G1141" s="112"/>
      <c r="H1141" s="112"/>
      <c r="I1141" s="113"/>
      <c r="J1141" s="113"/>
      <c r="K1141" s="114"/>
      <c r="L1141" s="114"/>
      <c r="M1141" s="113"/>
    </row>
    <row r="1142" spans="5:13">
      <c r="E1142" s="112"/>
      <c r="F1142" s="112"/>
      <c r="G1142" s="112"/>
      <c r="H1142" s="112"/>
      <c r="I1142" s="113"/>
      <c r="J1142" s="113"/>
      <c r="K1142" s="114"/>
      <c r="L1142" s="114"/>
      <c r="M1142" s="113"/>
    </row>
    <row r="1143" spans="5:13">
      <c r="E1143" s="112"/>
      <c r="F1143" s="112"/>
      <c r="G1143" s="112"/>
      <c r="H1143" s="112"/>
      <c r="I1143" s="113"/>
      <c r="J1143" s="113"/>
      <c r="K1143" s="114"/>
      <c r="L1143" s="114"/>
      <c r="M1143" s="113"/>
    </row>
    <row r="1144" spans="5:13">
      <c r="E1144" s="112"/>
      <c r="F1144" s="112"/>
      <c r="G1144" s="112"/>
      <c r="H1144" s="112"/>
      <c r="I1144" s="113"/>
      <c r="J1144" s="113"/>
      <c r="K1144" s="114"/>
      <c r="L1144" s="114"/>
      <c r="M1144" s="113"/>
    </row>
    <row r="1145" spans="5:13">
      <c r="E1145" s="112"/>
      <c r="F1145" s="112"/>
      <c r="G1145" s="112"/>
      <c r="H1145" s="112"/>
      <c r="I1145" s="113"/>
      <c r="J1145" s="113"/>
      <c r="K1145" s="114"/>
      <c r="L1145" s="114"/>
      <c r="M1145" s="113"/>
    </row>
    <row r="1146" spans="5:13">
      <c r="E1146" s="112"/>
      <c r="F1146" s="112"/>
      <c r="G1146" s="112"/>
      <c r="H1146" s="112"/>
      <c r="I1146" s="113"/>
      <c r="J1146" s="113"/>
      <c r="K1146" s="114"/>
      <c r="L1146" s="114"/>
      <c r="M1146" s="113"/>
    </row>
    <row r="1147" spans="5:13">
      <c r="E1147" s="112"/>
      <c r="F1147" s="112"/>
      <c r="G1147" s="112"/>
      <c r="H1147" s="112"/>
      <c r="I1147" s="113"/>
      <c r="J1147" s="113"/>
      <c r="K1147" s="114"/>
      <c r="L1147" s="114"/>
      <c r="M1147" s="113"/>
    </row>
    <row r="1148" spans="5:13">
      <c r="E1148" s="112"/>
      <c r="F1148" s="112"/>
      <c r="G1148" s="112"/>
      <c r="H1148" s="112"/>
      <c r="I1148" s="113"/>
      <c r="J1148" s="113"/>
      <c r="K1148" s="114"/>
      <c r="L1148" s="114"/>
      <c r="M1148" s="113"/>
    </row>
    <row r="1149" spans="5:13">
      <c r="E1149" s="112"/>
      <c r="F1149" s="112"/>
      <c r="G1149" s="112"/>
      <c r="H1149" s="112"/>
      <c r="I1149" s="113"/>
      <c r="J1149" s="113"/>
      <c r="K1149" s="114"/>
      <c r="L1149" s="114"/>
      <c r="M1149" s="113"/>
    </row>
    <row r="1150" spans="5:13">
      <c r="E1150" s="112"/>
      <c r="F1150" s="112"/>
      <c r="G1150" s="112"/>
      <c r="H1150" s="112"/>
      <c r="I1150" s="113"/>
      <c r="J1150" s="113"/>
      <c r="K1150" s="114"/>
      <c r="L1150" s="114"/>
      <c r="M1150" s="113"/>
    </row>
    <row r="1151" spans="5:13">
      <c r="E1151" s="112"/>
      <c r="F1151" s="112"/>
      <c r="G1151" s="112"/>
      <c r="H1151" s="112"/>
      <c r="I1151" s="113"/>
      <c r="J1151" s="113"/>
      <c r="K1151" s="114"/>
      <c r="L1151" s="114"/>
      <c r="M1151" s="113"/>
    </row>
    <row r="1152" spans="5:13">
      <c r="E1152" s="112"/>
      <c r="F1152" s="112"/>
      <c r="G1152" s="112"/>
      <c r="H1152" s="112"/>
      <c r="I1152" s="113"/>
      <c r="J1152" s="113"/>
      <c r="K1152" s="114"/>
      <c r="L1152" s="114"/>
      <c r="M1152" s="113"/>
    </row>
    <row r="1153" spans="5:13">
      <c r="E1153" s="112"/>
      <c r="F1153" s="112"/>
      <c r="G1153" s="112"/>
      <c r="H1153" s="112"/>
      <c r="I1153" s="113"/>
      <c r="J1153" s="113"/>
      <c r="K1153" s="114"/>
      <c r="L1153" s="114"/>
      <c r="M1153" s="113"/>
    </row>
    <row r="1154" spans="5:13">
      <c r="E1154" s="112"/>
      <c r="F1154" s="112"/>
      <c r="G1154" s="112"/>
      <c r="H1154" s="112"/>
      <c r="I1154" s="113"/>
      <c r="J1154" s="113"/>
      <c r="K1154" s="114"/>
      <c r="L1154" s="114"/>
      <c r="M1154" s="113"/>
    </row>
    <row r="1155" spans="5:13">
      <c r="E1155" s="112"/>
      <c r="F1155" s="112"/>
      <c r="G1155" s="112"/>
      <c r="H1155" s="112"/>
      <c r="I1155" s="113"/>
      <c r="J1155" s="113"/>
      <c r="K1155" s="114"/>
      <c r="L1155" s="114"/>
      <c r="M1155" s="113"/>
    </row>
    <row r="1156" spans="5:13">
      <c r="E1156" s="112"/>
      <c r="F1156" s="112"/>
      <c r="G1156" s="112"/>
      <c r="H1156" s="112"/>
      <c r="I1156" s="113"/>
      <c r="J1156" s="113"/>
      <c r="K1156" s="114"/>
      <c r="L1156" s="114"/>
      <c r="M1156" s="113"/>
    </row>
    <row r="1157" spans="5:13">
      <c r="E1157" s="112"/>
      <c r="F1157" s="112"/>
      <c r="G1157" s="112"/>
      <c r="H1157" s="112"/>
      <c r="I1157" s="113"/>
      <c r="J1157" s="113"/>
      <c r="K1157" s="114"/>
      <c r="L1157" s="114"/>
      <c r="M1157" s="113"/>
    </row>
    <row r="1158" spans="5:13">
      <c r="E1158" s="112"/>
      <c r="F1158" s="112"/>
      <c r="G1158" s="112"/>
      <c r="H1158" s="112"/>
      <c r="I1158" s="113"/>
      <c r="J1158" s="113"/>
      <c r="K1158" s="114"/>
      <c r="L1158" s="114"/>
      <c r="M1158" s="113"/>
    </row>
    <row r="1159" spans="5:13">
      <c r="E1159" s="112"/>
      <c r="F1159" s="112"/>
      <c r="G1159" s="112"/>
      <c r="H1159" s="112"/>
      <c r="I1159" s="113"/>
      <c r="J1159" s="113"/>
      <c r="K1159" s="114"/>
      <c r="L1159" s="114"/>
      <c r="M1159" s="113"/>
    </row>
    <row r="1160" spans="5:13">
      <c r="E1160" s="112"/>
      <c r="F1160" s="112"/>
      <c r="G1160" s="112"/>
      <c r="H1160" s="112"/>
      <c r="I1160" s="113"/>
      <c r="J1160" s="113"/>
      <c r="K1160" s="114"/>
      <c r="L1160" s="114"/>
      <c r="M1160" s="113"/>
    </row>
    <row r="1161" spans="5:13">
      <c r="E1161" s="112"/>
      <c r="F1161" s="112"/>
      <c r="G1161" s="112"/>
      <c r="H1161" s="112"/>
      <c r="I1161" s="113"/>
      <c r="J1161" s="113"/>
      <c r="K1161" s="114"/>
      <c r="L1161" s="114"/>
      <c r="M1161" s="113"/>
    </row>
    <row r="1162" spans="5:13">
      <c r="E1162" s="112"/>
      <c r="F1162" s="112"/>
      <c r="G1162" s="112"/>
      <c r="H1162" s="112"/>
      <c r="I1162" s="113"/>
      <c r="J1162" s="113"/>
      <c r="K1162" s="114"/>
      <c r="L1162" s="114"/>
      <c r="M1162" s="113"/>
    </row>
    <row r="1163" spans="5:13">
      <c r="E1163" s="112"/>
      <c r="F1163" s="112"/>
      <c r="G1163" s="112"/>
      <c r="H1163" s="112"/>
      <c r="I1163" s="113"/>
      <c r="J1163" s="113"/>
      <c r="K1163" s="114"/>
      <c r="L1163" s="114"/>
      <c r="M1163" s="113"/>
    </row>
    <row r="1164" spans="5:13">
      <c r="E1164" s="112"/>
      <c r="F1164" s="112"/>
      <c r="G1164" s="112"/>
      <c r="H1164" s="112"/>
      <c r="I1164" s="113"/>
      <c r="J1164" s="113"/>
      <c r="K1164" s="114"/>
      <c r="L1164" s="114"/>
      <c r="M1164" s="113"/>
    </row>
    <row r="1165" spans="5:13">
      <c r="E1165" s="112"/>
      <c r="F1165" s="112"/>
      <c r="G1165" s="112"/>
      <c r="H1165" s="112"/>
      <c r="I1165" s="113"/>
      <c r="J1165" s="113"/>
      <c r="K1165" s="114"/>
      <c r="L1165" s="114"/>
      <c r="M1165" s="113"/>
    </row>
    <row r="1166" spans="5:13">
      <c r="E1166" s="112"/>
      <c r="F1166" s="112"/>
      <c r="G1166" s="112"/>
      <c r="H1166" s="112"/>
      <c r="I1166" s="113"/>
      <c r="J1166" s="113"/>
      <c r="K1166" s="114"/>
      <c r="L1166" s="114"/>
      <c r="M1166" s="113"/>
    </row>
    <row r="1167" spans="5:13">
      <c r="E1167" s="112"/>
      <c r="F1167" s="112"/>
      <c r="G1167" s="112"/>
      <c r="H1167" s="112"/>
      <c r="I1167" s="113"/>
      <c r="J1167" s="113"/>
      <c r="K1167" s="114"/>
      <c r="L1167" s="114"/>
      <c r="M1167" s="113"/>
    </row>
    <row r="1168" spans="5:13">
      <c r="E1168" s="112"/>
      <c r="F1168" s="112"/>
      <c r="G1168" s="112"/>
      <c r="H1168" s="112"/>
      <c r="I1168" s="113"/>
      <c r="J1168" s="113"/>
      <c r="K1168" s="114"/>
      <c r="L1168" s="114"/>
      <c r="M1168" s="113"/>
    </row>
    <row r="1169" spans="5:13">
      <c r="E1169" s="112"/>
      <c r="F1169" s="112"/>
      <c r="G1169" s="112"/>
      <c r="H1169" s="112"/>
      <c r="I1169" s="113"/>
      <c r="J1169" s="113"/>
      <c r="K1169" s="114"/>
      <c r="L1169" s="114"/>
      <c r="M1169" s="113"/>
    </row>
    <row r="1170" spans="5:13">
      <c r="E1170" s="112"/>
      <c r="F1170" s="112"/>
      <c r="G1170" s="112"/>
      <c r="H1170" s="112"/>
      <c r="I1170" s="113"/>
      <c r="J1170" s="113"/>
      <c r="K1170" s="114"/>
      <c r="L1170" s="114"/>
      <c r="M1170" s="113"/>
    </row>
    <row r="1171" spans="5:13">
      <c r="E1171" s="112"/>
      <c r="F1171" s="112"/>
      <c r="G1171" s="112"/>
      <c r="H1171" s="112"/>
      <c r="I1171" s="113"/>
      <c r="J1171" s="113"/>
      <c r="K1171" s="114"/>
      <c r="L1171" s="114"/>
      <c r="M1171" s="113"/>
    </row>
    <row r="1172" spans="5:13">
      <c r="E1172" s="112"/>
      <c r="F1172" s="112"/>
      <c r="G1172" s="112"/>
      <c r="H1172" s="112"/>
      <c r="I1172" s="113"/>
      <c r="J1172" s="113"/>
      <c r="K1172" s="114"/>
      <c r="L1172" s="114"/>
      <c r="M1172" s="113"/>
    </row>
    <row r="1173" spans="5:13">
      <c r="E1173" s="112"/>
      <c r="F1173" s="112"/>
      <c r="G1173" s="112"/>
      <c r="H1173" s="112"/>
      <c r="I1173" s="113"/>
      <c r="J1173" s="113"/>
      <c r="K1173" s="114"/>
      <c r="L1173" s="114"/>
      <c r="M1173" s="113"/>
    </row>
    <row r="1174" spans="5:13">
      <c r="E1174" s="112"/>
      <c r="F1174" s="112"/>
      <c r="G1174" s="112"/>
      <c r="H1174" s="112"/>
      <c r="I1174" s="113"/>
      <c r="J1174" s="113"/>
      <c r="K1174" s="114"/>
      <c r="L1174" s="114"/>
      <c r="M1174" s="113"/>
    </row>
    <row r="1175" spans="5:13">
      <c r="E1175" s="112"/>
      <c r="F1175" s="112"/>
      <c r="G1175" s="112"/>
      <c r="H1175" s="112"/>
      <c r="I1175" s="113"/>
      <c r="J1175" s="113"/>
      <c r="K1175" s="114"/>
      <c r="L1175" s="114"/>
      <c r="M1175" s="113"/>
    </row>
    <row r="1176" spans="5:13">
      <c r="E1176" s="112"/>
      <c r="F1176" s="112"/>
      <c r="G1176" s="112"/>
      <c r="H1176" s="112"/>
      <c r="I1176" s="113"/>
      <c r="J1176" s="113"/>
      <c r="K1176" s="114"/>
      <c r="L1176" s="114"/>
      <c r="M1176" s="113"/>
    </row>
  </sheetData>
  <autoFilter ref="A1:Y497" xr:uid="{C404B64F-B095-4A79-BA7E-EBC5C1E5CD55}"/>
  <conditionalFormatting sqref="A1">
    <cfRule type="duplicateValues" dxfId="2" priority="2"/>
  </conditionalFormatting>
  <conditionalFormatting sqref="A2:A1048576">
    <cfRule type="duplicateValues" dxfId="1" priority="3"/>
  </conditionalFormatting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82CA-E5BE-45B3-99F1-F2C20C1163E4}">
  <dimension ref="A1:J21"/>
  <sheetViews>
    <sheetView workbookViewId="0">
      <selection activeCell="J4" sqref="J4"/>
    </sheetView>
  </sheetViews>
  <sheetFormatPr defaultColWidth="9.140625" defaultRowHeight="15"/>
  <cols>
    <col min="1" max="1" width="12.5703125" bestFit="1" customWidth="1"/>
    <col min="2" max="2" width="68.85546875" bestFit="1" customWidth="1"/>
    <col min="3" max="3" width="5.5703125" style="157" bestFit="1" customWidth="1"/>
    <col min="4" max="4" width="8.7109375" style="151" bestFit="1" customWidth="1"/>
    <col min="5" max="7" width="10.28515625" style="151" bestFit="1" customWidth="1"/>
    <col min="8" max="9" width="10.7109375" style="151" customWidth="1"/>
    <col min="10" max="10" width="16.85546875" style="151" customWidth="1"/>
  </cols>
  <sheetData>
    <row r="1" spans="1:10" s="16" customFormat="1" ht="51">
      <c r="A1" s="145" t="s">
        <v>0</v>
      </c>
      <c r="B1" s="145" t="s">
        <v>1</v>
      </c>
      <c r="C1" s="155" t="s">
        <v>1892</v>
      </c>
      <c r="D1" s="146" t="str">
        <f>Sayfa1!Q1</f>
        <v>EKİM TOPTAN</v>
      </c>
      <c r="E1" s="147" t="str">
        <f>Sayfa1!R1</f>
        <v>HAVALE FİYATI</v>
      </c>
      <c r="F1" s="148" t="str">
        <f>Sayfa1!S1</f>
        <v>TEK ÇEKİM FİYATI</v>
      </c>
      <c r="G1" s="148" t="str">
        <f>Sayfa1!T1</f>
        <v>TAKSİTLİ FİYATI 3/6 TAKSİT</v>
      </c>
      <c r="H1" s="158" t="str">
        <f>Sayfa1!U1</f>
        <v>EKİM BİP</v>
      </c>
      <c r="I1" s="159" t="str">
        <f>Sayfa1!V1</f>
        <v>30.11.2026 montaj zorunlu PHASE OUT</v>
      </c>
      <c r="J1" s="149" t="s">
        <v>1886</v>
      </c>
    </row>
    <row r="2" spans="1:10">
      <c r="A2" s="134" t="s">
        <v>217</v>
      </c>
      <c r="B2" s="150" t="str">
        <f>IF($A2="","",VLOOKUP($A2,Sayfa1!A:U,2,FALSE))</f>
        <v>iQ500 Ankastre Fırın, 2 Teleskopik Ray, Komple Kendini Temizler, Beyaz</v>
      </c>
      <c r="C2" s="156">
        <v>1</v>
      </c>
      <c r="D2" s="151">
        <f>IF($A2="","",VLOOKUP($A2,Sayfa1!A:U,17,FALSE))</f>
        <v>37217.365123313917</v>
      </c>
      <c r="E2" s="151">
        <f>IF($A2="","",VLOOKUP($A2,Sayfa1!A:U,18,FALSE)*C2)</f>
        <v>35356.49686714822</v>
      </c>
      <c r="F2" s="151">
        <f>IF($A2="","",VLOOKUP($A2,Sayfa1!A:U,19,FALSE)*C2)</f>
        <v>36770.75674183415</v>
      </c>
      <c r="G2" s="151">
        <f>IF($A2="","",VLOOKUP($A2,Sayfa1!A:U,20,FALSE)*C2)</f>
        <v>38185.016616520079</v>
      </c>
      <c r="H2" s="151" t="str">
        <f>IFERROR(VLOOKUP(A2,Sayfa1!A:U,21,FALSE)*VALUE(C2),"")</f>
        <v/>
      </c>
      <c r="I2" s="151" t="str">
        <f>IF($A2="","",VLOOKUP($A2,Sayfa1!A:V,22,FALSE))</f>
        <v/>
      </c>
      <c r="J2" s="162">
        <v>7600</v>
      </c>
    </row>
    <row r="3" spans="1:10">
      <c r="A3" s="134" t="s">
        <v>317</v>
      </c>
      <c r="B3" s="150" t="str">
        <f>IF($A3="","",VLOOKUP($A3,Sayfa1!A:U,2,FALSE))</f>
        <v>iQ300 Gazlı Ocak, 67cm, Sert Cam, Beyaz</v>
      </c>
      <c r="C3" s="156">
        <v>1</v>
      </c>
      <c r="D3" s="151">
        <f>IF($A3="","",VLOOKUP($A3,Sayfa1!A:U,17,FALSE))</f>
        <v>17392.820074899988</v>
      </c>
      <c r="E3" s="151">
        <f>IF($A3="","",VLOOKUP($A3,Sayfa1!A:U,18,FALSE)*C3)</f>
        <v>16643.846961626783</v>
      </c>
      <c r="F3" s="151">
        <f>IF($A3="","",VLOOKUP($A3,Sayfa1!A:U,19,FALSE)*C3)</f>
        <v>17309.600840091854</v>
      </c>
      <c r="G3" s="151">
        <f>IF($A3="","",VLOOKUP($A3,Sayfa1!A:U,20,FALSE)*C3)</f>
        <v>17975.354718556926</v>
      </c>
      <c r="H3" s="151" t="str">
        <f>IFERROR(VLOOKUP(A3,Sayfa1!A:U,21,FALSE)*VALUE(C3),"")</f>
        <v/>
      </c>
      <c r="I3" s="151" t="str">
        <f>IF($A3="","",VLOOKUP($A3,Sayfa1!A:V,22,FALSE))</f>
        <v/>
      </c>
      <c r="J3" s="162"/>
    </row>
    <row r="4" spans="1:10">
      <c r="A4" s="134" t="s">
        <v>271</v>
      </c>
      <c r="B4" s="150" t="str">
        <f>IF($A4="","",VLOOKUP($A4,Sayfa1!A:U,2,FALSE))</f>
        <v>iQ500 Eğimli Davlumbaz, 60cm, 510m3, Beyaz Cam</v>
      </c>
      <c r="C4" s="156">
        <v>1</v>
      </c>
      <c r="D4" s="151">
        <f>IF($A4="","",VLOOKUP($A4,Sayfa1!A:U,17,FALSE))</f>
        <v>23225.183292422775</v>
      </c>
      <c r="E4" s="151">
        <f>IF($A4="","",VLOOKUP($A4,Sayfa1!A:U,18,FALSE)*C4)</f>
        <v>24386.442457043915</v>
      </c>
      <c r="F4" s="151">
        <f>IF($A4="","",VLOOKUP($A4,Sayfa1!A:U,19,FALSE)*C4)</f>
        <v>25361.900155325671</v>
      </c>
      <c r="G4" s="151">
        <f>IF($A4="","",VLOOKUP($A4,Sayfa1!A:U,20,FALSE)*C4)</f>
        <v>26337.357853607431</v>
      </c>
      <c r="H4" s="151" t="str">
        <f>IFERROR(VLOOKUP(A4,Sayfa1!A:U,21,FALSE)*VALUE(C4),"")</f>
        <v/>
      </c>
      <c r="I4" s="151" t="str">
        <f>IF($A4="","",VLOOKUP($A4,Sayfa1!A:V,22,FALSE))</f>
        <v/>
      </c>
      <c r="J4"/>
    </row>
    <row r="5" spans="1:10">
      <c r="A5" s="134"/>
      <c r="B5" s="150" t="str">
        <f>IF($A5="","",VLOOKUP($A5,Sayfa1!A:U,2,FALSE))</f>
        <v/>
      </c>
      <c r="C5" s="156">
        <v>1</v>
      </c>
      <c r="D5" s="151" t="str">
        <f>IF($A5="","",VLOOKUP($A5,Sayfa1!A:U,17,FALSE))</f>
        <v/>
      </c>
      <c r="E5" s="151" t="str">
        <f>IF($A5="","",VLOOKUP($A5,Sayfa1!A:U,18,FALSE)*C5)</f>
        <v/>
      </c>
      <c r="F5" s="151" t="str">
        <f>IF($A5="","",VLOOKUP($A5,Sayfa1!A:U,19,FALSE)*C5)</f>
        <v/>
      </c>
      <c r="G5" s="151" t="str">
        <f>IF($A5="","",VLOOKUP($A5,Sayfa1!A:U,20,FALSE)*C5)</f>
        <v/>
      </c>
      <c r="H5" s="151" t="str">
        <f>IFERROR(VLOOKUP(A5,Sayfa1!A:U,21,FALSE)*VALUE(C5),"")</f>
        <v/>
      </c>
      <c r="I5" s="151" t="str">
        <f>IF($A5="","",VLOOKUP($A5,Sayfa1!A:V,22,FALSE))</f>
        <v/>
      </c>
      <c r="J5"/>
    </row>
    <row r="6" spans="1:10">
      <c r="A6" s="134"/>
      <c r="B6" s="150" t="str">
        <f>IF($A6="","",VLOOKUP($A6,Sayfa1!A:U,2,FALSE))</f>
        <v/>
      </c>
      <c r="C6" s="156">
        <v>1</v>
      </c>
      <c r="D6" s="151" t="str">
        <f>IF($A6="","",VLOOKUP($A6,Sayfa1!A:U,17,FALSE))</f>
        <v/>
      </c>
      <c r="E6" s="151" t="str">
        <f>IF($A6="","",VLOOKUP($A6,Sayfa1!A:U,18,FALSE)*C6)</f>
        <v/>
      </c>
      <c r="F6" s="151" t="str">
        <f>IF($A6="","",VLOOKUP($A6,Sayfa1!A:U,19,FALSE)*C6)</f>
        <v/>
      </c>
      <c r="G6" s="151" t="str">
        <f>IF($A6="","",VLOOKUP($A6,Sayfa1!A:U,20,FALSE)*C6)</f>
        <v/>
      </c>
      <c r="H6" s="151" t="str">
        <f>IFERROR(VLOOKUP(A6,Sayfa1!A:U,21,FALSE)*VALUE(C6),"")</f>
        <v/>
      </c>
      <c r="I6" s="151" t="str">
        <f>IF($A6="","",VLOOKUP($A6,Sayfa1!A:V,22,FALSE))</f>
        <v/>
      </c>
      <c r="J6"/>
    </row>
    <row r="7" spans="1:10">
      <c r="A7" s="134"/>
      <c r="B7" s="150" t="str">
        <f>IF($A7="","",VLOOKUP($A7,Sayfa1!A:U,2,FALSE))</f>
        <v/>
      </c>
      <c r="C7" s="156">
        <v>1</v>
      </c>
      <c r="D7" s="151" t="str">
        <f>IF($A7="","",VLOOKUP($A7,Sayfa1!A:U,17,FALSE))</f>
        <v/>
      </c>
      <c r="E7" s="151" t="str">
        <f>IF($A7="","",VLOOKUP($A7,Sayfa1!A:U,18,FALSE)*C7)</f>
        <v/>
      </c>
      <c r="F7" s="151" t="str">
        <f>IF($A7="","",VLOOKUP($A7,Sayfa1!A:U,19,FALSE)*C7)</f>
        <v/>
      </c>
      <c r="G7" s="151" t="str">
        <f>IF($A7="","",VLOOKUP($A7,Sayfa1!A:U,20,FALSE)*C7)</f>
        <v/>
      </c>
      <c r="H7" s="151" t="str">
        <f>IFERROR(VLOOKUP(A7,Sayfa1!A:U,21,FALSE)*VALUE(C7),"")</f>
        <v/>
      </c>
      <c r="I7" s="151" t="str">
        <f>IF($A7="","",VLOOKUP($A7,Sayfa1!A:V,22,FALSE))</f>
        <v/>
      </c>
      <c r="J7"/>
    </row>
    <row r="8" spans="1:10">
      <c r="A8" s="134"/>
      <c r="B8" s="150" t="str">
        <f>IF($A8="","",VLOOKUP($A8,Sayfa1!A:U,2,FALSE))</f>
        <v/>
      </c>
      <c r="C8" s="156">
        <v>1</v>
      </c>
      <c r="D8" s="151" t="str">
        <f>IF($A8="","",VLOOKUP($A8,Sayfa1!A:U,17,FALSE))</f>
        <v/>
      </c>
      <c r="E8" s="151" t="str">
        <f>IF($A8="","",VLOOKUP($A8,Sayfa1!A:U,18,FALSE)*C8)</f>
        <v/>
      </c>
      <c r="F8" s="151" t="str">
        <f>IF($A8="","",VLOOKUP($A8,Sayfa1!A:U,19,FALSE)*C8)</f>
        <v/>
      </c>
      <c r="G8" s="151" t="str">
        <f>IF($A8="","",VLOOKUP($A8,Sayfa1!A:U,20,FALSE)*C8)</f>
        <v/>
      </c>
      <c r="H8" s="151" t="str">
        <f>IFERROR(VLOOKUP(A8,Sayfa1!A:U,21,FALSE)*VALUE(C8),"")</f>
        <v/>
      </c>
      <c r="I8" s="151" t="str">
        <f>IF($A8="","",VLOOKUP($A8,Sayfa1!A:V,22,FALSE))</f>
        <v/>
      </c>
      <c r="J8"/>
    </row>
    <row r="9" spans="1:10">
      <c r="A9" s="134"/>
      <c r="B9" s="150" t="str">
        <f>IF($A9="","",VLOOKUP($A9,Sayfa1!A:U,2,FALSE))</f>
        <v/>
      </c>
      <c r="C9" s="156">
        <v>1</v>
      </c>
      <c r="D9" s="151" t="str">
        <f>IF($A9="","",VLOOKUP($A9,Sayfa1!A:U,17,FALSE))</f>
        <v/>
      </c>
      <c r="E9" s="151" t="str">
        <f>IF($A9="","",VLOOKUP($A9,Sayfa1!A:U,18,FALSE)*C9)</f>
        <v/>
      </c>
      <c r="F9" s="151" t="str">
        <f>IF($A9="","",VLOOKUP($A9,Sayfa1!A:U,19,FALSE)*C9)</f>
        <v/>
      </c>
      <c r="G9" s="151" t="str">
        <f>IF($A9="","",VLOOKUP($A9,Sayfa1!A:U,20,FALSE)*C9)</f>
        <v/>
      </c>
      <c r="H9" s="151" t="str">
        <f>IFERROR(VLOOKUP(A9,Sayfa1!A:U,21,FALSE)*VALUE(C9),"")</f>
        <v/>
      </c>
      <c r="I9" s="151" t="str">
        <f>IF($A9="","",VLOOKUP($A9,Sayfa1!A:V,22,FALSE))</f>
        <v/>
      </c>
      <c r="J9"/>
    </row>
    <row r="10" spans="1:10">
      <c r="A10" s="134"/>
      <c r="B10" s="150" t="str">
        <f>IF($A10="","",VLOOKUP($A10,Sayfa1!A:U,2,FALSE))</f>
        <v/>
      </c>
      <c r="C10" s="156">
        <v>1</v>
      </c>
      <c r="D10" s="151" t="str">
        <f>IF($A10="","",VLOOKUP($A10,Sayfa1!A:U,17,FALSE))</f>
        <v/>
      </c>
      <c r="E10" s="151" t="str">
        <f>IF($A10="","",VLOOKUP($A10,Sayfa1!A:U,18,FALSE)*C10)</f>
        <v/>
      </c>
      <c r="F10" s="151" t="str">
        <f>IF($A10="","",VLOOKUP($A10,Sayfa1!A:U,19,FALSE)*C10)</f>
        <v/>
      </c>
      <c r="G10" s="151" t="str">
        <f>IF($A10="","",VLOOKUP($A10,Sayfa1!A:U,20,FALSE)*C10)</f>
        <v/>
      </c>
      <c r="H10" s="151" t="str">
        <f>IFERROR(VLOOKUP(A10,Sayfa1!A:U,21,FALSE)*VALUE(C10),"")</f>
        <v/>
      </c>
      <c r="I10" s="151" t="str">
        <f>IF($A10="","",VLOOKUP($A10,Sayfa1!A:V,22,FALSE))</f>
        <v/>
      </c>
      <c r="J10"/>
    </row>
    <row r="11" spans="1:10">
      <c r="A11" s="134"/>
      <c r="B11" s="150" t="str">
        <f>IF($A11="","",VLOOKUP($A11,Sayfa1!A:U,2,FALSE))</f>
        <v/>
      </c>
      <c r="C11" s="156">
        <v>1</v>
      </c>
      <c r="D11" s="151" t="str">
        <f>IF($A11="","",VLOOKUP($A11,Sayfa1!A:U,17,FALSE))</f>
        <v/>
      </c>
      <c r="E11" s="151" t="str">
        <f>IF($A11="","",VLOOKUP($A11,Sayfa1!A:U,18,FALSE)*C11)</f>
        <v/>
      </c>
      <c r="F11" s="151" t="str">
        <f>IF($A11="","",VLOOKUP($A11,Sayfa1!A:U,19,FALSE)*C11)</f>
        <v/>
      </c>
      <c r="G11" s="151" t="str">
        <f>IF($A11="","",VLOOKUP($A11,Sayfa1!A:U,20,FALSE)*C11)</f>
        <v/>
      </c>
      <c r="H11" s="151" t="str">
        <f>IFERROR(VLOOKUP(A11,Sayfa1!A:U,21,FALSE)*VALUE(C11),"")</f>
        <v/>
      </c>
      <c r="I11" s="151" t="str">
        <f>IF($A11="","",VLOOKUP($A11,Sayfa1!A:V,22,FALSE))</f>
        <v/>
      </c>
      <c r="J11"/>
    </row>
    <row r="12" spans="1:10">
      <c r="A12" s="134"/>
      <c r="B12" s="150" t="str">
        <f>IF($A12="","",VLOOKUP($A12,Sayfa1!A:U,2,FALSE))</f>
        <v/>
      </c>
      <c r="C12" s="156">
        <v>1</v>
      </c>
      <c r="D12" s="151" t="str">
        <f>IF($A12="","",VLOOKUP($A12,Sayfa1!A:U,17,FALSE))</f>
        <v/>
      </c>
      <c r="E12" s="151" t="str">
        <f>IF($A12="","",VLOOKUP($A12,Sayfa1!A:U,18,FALSE)*C12)</f>
        <v/>
      </c>
      <c r="F12" s="151" t="str">
        <f>IF($A12="","",VLOOKUP($A12,Sayfa1!A:U,19,FALSE)*C12)</f>
        <v/>
      </c>
      <c r="G12" s="151" t="str">
        <f>IF($A12="","",VLOOKUP($A12,Sayfa1!A:U,20,FALSE)*C12)</f>
        <v/>
      </c>
      <c r="H12" s="151" t="str">
        <f>IFERROR(VLOOKUP(A12,Sayfa1!A:U,21,FALSE)*VALUE(C12),"")</f>
        <v/>
      </c>
      <c r="I12" s="151" t="str">
        <f>IF($A12="","",VLOOKUP($A12,Sayfa1!A:V,22,FALSE))</f>
        <v/>
      </c>
      <c r="J12"/>
    </row>
    <row r="13" spans="1:10">
      <c r="A13" s="163" t="s">
        <v>1887</v>
      </c>
      <c r="B13" s="163"/>
      <c r="C13" s="163"/>
      <c r="D13" s="163"/>
      <c r="E13" s="152">
        <f>SUM(E2:E12)</f>
        <v>76386.786285818918</v>
      </c>
      <c r="F13" s="152">
        <f>SUM(F2:F12)</f>
        <v>79442.257737251668</v>
      </c>
      <c r="G13" s="152">
        <f>SUM(G2:G12)</f>
        <v>82497.729188684432</v>
      </c>
      <c r="J13"/>
    </row>
    <row r="14" spans="1:10">
      <c r="A14" s="163" t="s">
        <v>1888</v>
      </c>
      <c r="B14" s="163"/>
      <c r="C14" s="163"/>
      <c r="D14" s="163"/>
      <c r="E14" s="152">
        <f>SUM(H:H)*-1</f>
        <v>0</v>
      </c>
      <c r="F14" s="152">
        <f>SUM(H:H)*-1</f>
        <v>0</v>
      </c>
      <c r="G14" s="152">
        <f>SUM(H:H)*-1</f>
        <v>0</v>
      </c>
      <c r="J14"/>
    </row>
    <row r="15" spans="1:10">
      <c r="A15" s="163" t="s">
        <v>1889</v>
      </c>
      <c r="B15" s="163"/>
      <c r="C15" s="163"/>
      <c r="D15" s="163"/>
      <c r="E15" s="152">
        <f>SUM(I:I)*-1</f>
        <v>0</v>
      </c>
      <c r="F15" s="152">
        <f>SUM(I:I)*-1</f>
        <v>0</v>
      </c>
      <c r="G15" s="152">
        <f>SUM(I:I)*-1</f>
        <v>0</v>
      </c>
      <c r="J15"/>
    </row>
    <row r="16" spans="1:10">
      <c r="A16" s="163" t="s">
        <v>1890</v>
      </c>
      <c r="B16" s="163"/>
      <c r="C16" s="163"/>
      <c r="D16" s="163"/>
      <c r="E16" s="152">
        <f>J2*-1</f>
        <v>-7600</v>
      </c>
      <c r="F16" s="152">
        <f>J2*-1</f>
        <v>-7600</v>
      </c>
      <c r="G16" s="152">
        <f>J2*-1</f>
        <v>-7600</v>
      </c>
      <c r="J16"/>
    </row>
    <row r="17" spans="1:10">
      <c r="A17" s="161" t="s">
        <v>1891</v>
      </c>
      <c r="B17" s="161"/>
      <c r="C17" s="161"/>
      <c r="D17" s="161"/>
      <c r="E17" s="153">
        <f>SUM(E13:E16)</f>
        <v>68786.786285818918</v>
      </c>
      <c r="F17" s="153">
        <f>SUM(F13:F16)</f>
        <v>71842.257737251668</v>
      </c>
      <c r="G17" s="153">
        <f>SUM(G13:G16)</f>
        <v>74897.729188684432</v>
      </c>
      <c r="J17"/>
    </row>
    <row r="20" spans="1:10">
      <c r="F20" s="154"/>
      <c r="G20" s="154"/>
    </row>
    <row r="21" spans="1:10">
      <c r="H21" s="160"/>
      <c r="I21" s="160"/>
    </row>
  </sheetData>
  <mergeCells count="6">
    <mergeCell ref="A17:D17"/>
    <mergeCell ref="J2:J3"/>
    <mergeCell ref="A13:D13"/>
    <mergeCell ref="A14:D14"/>
    <mergeCell ref="A15:D15"/>
    <mergeCell ref="A16:D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F0DB63-61EA-45AE-94FC-B625498323F6}">
          <x14:formula1>
            <xm:f>Sayfa1!$A$2:$A$494</xm:f>
          </x14:formula1>
          <xm:sqref>A2:A12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F5DB-8C75-4FFF-8911-DC53E406A468}">
  <dimension ref="A2:AE32"/>
  <sheetViews>
    <sheetView showGridLines="0" zoomScale="30" zoomScaleNormal="30" workbookViewId="0">
      <selection activeCell="B656" sqref="B656"/>
    </sheetView>
  </sheetViews>
  <sheetFormatPr defaultColWidth="9.140625" defaultRowHeight="34.5"/>
  <cols>
    <col min="1" max="1" width="5.140625" style="125" customWidth="1"/>
    <col min="2" max="2" width="2.28515625" style="123" customWidth="1"/>
    <col min="3" max="3" width="79.5703125" style="123" customWidth="1"/>
    <col min="4" max="4" width="79.140625" style="123" customWidth="1"/>
    <col min="5" max="5" width="125.140625" style="123" customWidth="1"/>
    <col min="6" max="6" width="5.42578125" style="123" bestFit="1" customWidth="1"/>
    <col min="7" max="7" width="9.140625" style="123" hidden="1" customWidth="1"/>
    <col min="8" max="8" width="9.140625" style="123"/>
    <col min="9" max="9" width="60.5703125" style="123" customWidth="1"/>
    <col min="10" max="10" width="97.28515625" style="123" customWidth="1"/>
    <col min="11" max="11" width="92.42578125" style="123" customWidth="1"/>
    <col min="12" max="16384" width="9.140625" style="123"/>
  </cols>
  <sheetData>
    <row r="2" spans="3:11" ht="35.25" thickBot="1"/>
    <row r="3" spans="3:11">
      <c r="C3" s="170" t="s">
        <v>517</v>
      </c>
      <c r="D3" s="185" t="s">
        <v>518</v>
      </c>
      <c r="E3" s="186"/>
      <c r="I3" s="170" t="s">
        <v>519</v>
      </c>
      <c r="J3" s="191" t="s">
        <v>520</v>
      </c>
      <c r="K3" s="192"/>
    </row>
    <row r="4" spans="3:11" ht="35.25" thickBot="1">
      <c r="C4" s="171"/>
      <c r="D4" s="187"/>
      <c r="E4" s="188"/>
      <c r="I4" s="171"/>
      <c r="J4" s="193"/>
      <c r="K4" s="194"/>
    </row>
    <row r="5" spans="3:11">
      <c r="C5" s="171"/>
      <c r="D5" s="187"/>
      <c r="E5" s="188"/>
      <c r="I5" s="171"/>
      <c r="J5" s="195" t="s">
        <v>521</v>
      </c>
      <c r="K5" s="196"/>
    </row>
    <row r="6" spans="3:11">
      <c r="C6" s="171"/>
      <c r="D6" s="187"/>
      <c r="E6" s="188"/>
      <c r="I6" s="171"/>
      <c r="J6" s="197"/>
      <c r="K6" s="198"/>
    </row>
    <row r="7" spans="3:11">
      <c r="C7" s="171"/>
      <c r="D7" s="187"/>
      <c r="E7" s="188"/>
      <c r="I7" s="171"/>
      <c r="J7" s="197"/>
      <c r="K7" s="198"/>
    </row>
    <row r="8" spans="3:11" ht="35.25" thickBot="1">
      <c r="C8" s="171"/>
      <c r="D8" s="187"/>
      <c r="E8" s="188"/>
      <c r="I8" s="171"/>
      <c r="J8" s="199"/>
      <c r="K8" s="200"/>
    </row>
    <row r="9" spans="3:11">
      <c r="C9" s="171"/>
      <c r="D9" s="187"/>
      <c r="E9" s="188"/>
      <c r="I9" s="171"/>
      <c r="J9" s="201" t="s">
        <v>522</v>
      </c>
      <c r="K9" s="202"/>
    </row>
    <row r="10" spans="3:11" ht="35.25" thickBot="1">
      <c r="C10" s="172"/>
      <c r="D10" s="189"/>
      <c r="E10" s="190"/>
      <c r="I10" s="171"/>
      <c r="J10" s="203"/>
      <c r="K10" s="204"/>
    </row>
    <row r="11" spans="3:11">
      <c r="I11" s="171"/>
      <c r="J11" s="203"/>
      <c r="K11" s="204"/>
    </row>
    <row r="12" spans="3:11" ht="35.25" thickBot="1">
      <c r="I12" s="171"/>
      <c r="J12" s="203"/>
      <c r="K12" s="204"/>
    </row>
    <row r="13" spans="3:11">
      <c r="C13" s="170" t="s">
        <v>523</v>
      </c>
      <c r="D13" s="185" t="s">
        <v>524</v>
      </c>
      <c r="E13" s="186"/>
      <c r="I13" s="171"/>
      <c r="J13" s="203"/>
      <c r="K13" s="204"/>
    </row>
    <row r="14" spans="3:11" ht="35.25" thickBot="1">
      <c r="C14" s="171"/>
      <c r="D14" s="187"/>
      <c r="E14" s="188"/>
      <c r="I14" s="172"/>
      <c r="J14" s="205"/>
      <c r="K14" s="206"/>
    </row>
    <row r="15" spans="3:11">
      <c r="C15" s="171"/>
      <c r="D15" s="187"/>
      <c r="E15" s="188"/>
    </row>
    <row r="16" spans="3:11" ht="35.25" thickBot="1">
      <c r="C16" s="171"/>
      <c r="D16" s="187"/>
      <c r="E16" s="188"/>
    </row>
    <row r="17" spans="3:31">
      <c r="C17" s="171"/>
      <c r="D17" s="187"/>
      <c r="E17" s="188"/>
      <c r="I17" s="170" t="s">
        <v>525</v>
      </c>
      <c r="J17" s="191" t="s">
        <v>526</v>
      </c>
      <c r="K17" s="192"/>
    </row>
    <row r="18" spans="3:31" ht="35.25" thickBot="1">
      <c r="C18" s="171"/>
      <c r="D18" s="187"/>
      <c r="E18" s="188"/>
      <c r="I18" s="171"/>
      <c r="J18" s="193"/>
      <c r="K18" s="194"/>
    </row>
    <row r="19" spans="3:31">
      <c r="C19" s="171"/>
      <c r="D19" s="187"/>
      <c r="E19" s="188"/>
      <c r="I19" s="171"/>
      <c r="J19" s="164" t="s">
        <v>527</v>
      </c>
      <c r="K19" s="165"/>
    </row>
    <row r="20" spans="3:31" ht="35.25" thickBot="1">
      <c r="C20" s="172"/>
      <c r="D20" s="189"/>
      <c r="E20" s="190"/>
      <c r="I20" s="171"/>
      <c r="J20" s="166"/>
      <c r="K20" s="167"/>
    </row>
    <row r="21" spans="3:31">
      <c r="I21" s="171"/>
      <c r="J21" s="166"/>
      <c r="K21" s="167"/>
    </row>
    <row r="22" spans="3:31" ht="35.25" thickBot="1">
      <c r="I22" s="171"/>
      <c r="J22" s="168"/>
      <c r="K22" s="169"/>
    </row>
    <row r="23" spans="3:31">
      <c r="C23" s="170" t="s">
        <v>528</v>
      </c>
      <c r="D23" s="173" t="s">
        <v>529</v>
      </c>
      <c r="E23" s="174"/>
      <c r="I23" s="171"/>
      <c r="J23" s="179" t="s">
        <v>530</v>
      </c>
      <c r="K23" s="180"/>
    </row>
    <row r="24" spans="3:31">
      <c r="C24" s="171"/>
      <c r="D24" s="175"/>
      <c r="E24" s="176"/>
      <c r="I24" s="171"/>
      <c r="J24" s="181"/>
      <c r="K24" s="182"/>
    </row>
    <row r="25" spans="3:31">
      <c r="C25" s="171"/>
      <c r="D25" s="175"/>
      <c r="E25" s="176"/>
      <c r="I25" s="171"/>
      <c r="J25" s="181"/>
      <c r="K25" s="182"/>
      <c r="AE25" s="124"/>
    </row>
    <row r="26" spans="3:31">
      <c r="C26" s="171"/>
      <c r="D26" s="175"/>
      <c r="E26" s="176"/>
      <c r="I26" s="171"/>
      <c r="J26" s="181"/>
      <c r="K26" s="182"/>
      <c r="AE26" s="124"/>
    </row>
    <row r="27" spans="3:31">
      <c r="C27" s="171"/>
      <c r="D27" s="175"/>
      <c r="E27" s="176"/>
      <c r="I27" s="171"/>
      <c r="J27" s="181"/>
      <c r="K27" s="182"/>
      <c r="AE27" s="124"/>
    </row>
    <row r="28" spans="3:31" ht="35.25" thickBot="1">
      <c r="C28" s="171"/>
      <c r="D28" s="175"/>
      <c r="E28" s="176"/>
      <c r="I28" s="172"/>
      <c r="J28" s="183"/>
      <c r="K28" s="184"/>
      <c r="AE28" s="124"/>
    </row>
    <row r="29" spans="3:31">
      <c r="C29" s="171"/>
      <c r="D29" s="175"/>
      <c r="E29" s="176"/>
      <c r="AE29" s="124"/>
    </row>
    <row r="30" spans="3:31" ht="35.25" thickBot="1">
      <c r="C30" s="172"/>
      <c r="D30" s="177"/>
      <c r="E30" s="178"/>
      <c r="AE30" s="124"/>
    </row>
    <row r="31" spans="3:31">
      <c r="AB31" s="124"/>
    </row>
    <row r="32" spans="3:31">
      <c r="AB32" s="124"/>
    </row>
  </sheetData>
  <mergeCells count="14">
    <mergeCell ref="J19:K22"/>
    <mergeCell ref="C23:C30"/>
    <mergeCell ref="D23:E30"/>
    <mergeCell ref="J23:K28"/>
    <mergeCell ref="C3:C10"/>
    <mergeCell ref="D3:E10"/>
    <mergeCell ref="I3:I14"/>
    <mergeCell ref="J3:K4"/>
    <mergeCell ref="J5:K8"/>
    <mergeCell ref="J9:K14"/>
    <mergeCell ref="C13:C20"/>
    <mergeCell ref="D13:E20"/>
    <mergeCell ref="I17:I28"/>
    <mergeCell ref="J17:K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0390-AD63-43ED-9240-D5C7E6E95C75}">
  <dimension ref="A1:E656"/>
  <sheetViews>
    <sheetView topLeftCell="A622" workbookViewId="0">
      <selection activeCell="A654" sqref="A654"/>
    </sheetView>
  </sheetViews>
  <sheetFormatPr defaultColWidth="9.140625" defaultRowHeight="15"/>
  <cols>
    <col min="1" max="1" width="13.7109375" style="128" customWidth="1"/>
    <col min="2" max="2" width="72.5703125" style="128" customWidth="1"/>
    <col min="3" max="3" width="139.7109375" style="131" customWidth="1"/>
    <col min="4" max="4" width="24.7109375" style="128" customWidth="1"/>
    <col min="5" max="16384" width="9.140625" style="128"/>
  </cols>
  <sheetData>
    <row r="1" spans="1:5">
      <c r="A1" s="126" t="s">
        <v>531</v>
      </c>
      <c r="B1" s="126" t="s">
        <v>532</v>
      </c>
      <c r="C1" s="127" t="s">
        <v>533</v>
      </c>
      <c r="D1" s="127" t="s">
        <v>534</v>
      </c>
      <c r="E1" s="127" t="s">
        <v>535</v>
      </c>
    </row>
    <row r="2" spans="1:5">
      <c r="A2" s="128" t="s">
        <v>510</v>
      </c>
      <c r="B2" s="129" t="s">
        <v>536</v>
      </c>
      <c r="C2" s="130" t="s">
        <v>537</v>
      </c>
      <c r="D2" s="128" t="s">
        <v>538</v>
      </c>
      <c r="E2" s="128" t="s">
        <v>539</v>
      </c>
    </row>
    <row r="3" spans="1:5">
      <c r="A3" s="131" t="s">
        <v>513</v>
      </c>
      <c r="B3" s="129" t="s">
        <v>540</v>
      </c>
      <c r="C3" s="130" t="s">
        <v>541</v>
      </c>
      <c r="D3" s="128" t="s">
        <v>538</v>
      </c>
      <c r="E3" s="128" t="s">
        <v>539</v>
      </c>
    </row>
    <row r="4" spans="1:5">
      <c r="A4" s="132" t="s">
        <v>491</v>
      </c>
      <c r="B4" s="129" t="s">
        <v>542</v>
      </c>
      <c r="C4" s="133" t="s">
        <v>543</v>
      </c>
      <c r="D4" s="128" t="s">
        <v>544</v>
      </c>
      <c r="E4" s="128" t="s">
        <v>545</v>
      </c>
    </row>
    <row r="5" spans="1:5">
      <c r="A5" s="132" t="s">
        <v>492</v>
      </c>
      <c r="B5" s="129" t="s">
        <v>546</v>
      </c>
      <c r="C5" s="133" t="s">
        <v>543</v>
      </c>
      <c r="D5" s="128" t="s">
        <v>544</v>
      </c>
      <c r="E5" s="128" t="s">
        <v>545</v>
      </c>
    </row>
    <row r="6" spans="1:5">
      <c r="A6" s="132" t="s">
        <v>493</v>
      </c>
      <c r="B6" s="129" t="s">
        <v>547</v>
      </c>
      <c r="C6" s="133" t="s">
        <v>548</v>
      </c>
      <c r="D6" s="128" t="s">
        <v>544</v>
      </c>
      <c r="E6" s="128" t="s">
        <v>545</v>
      </c>
    </row>
    <row r="7" spans="1:5">
      <c r="A7" s="132" t="s">
        <v>495</v>
      </c>
      <c r="B7" s="129" t="s">
        <v>547</v>
      </c>
      <c r="C7" s="133" t="s">
        <v>548</v>
      </c>
      <c r="D7" s="128" t="s">
        <v>544</v>
      </c>
      <c r="E7" s="128" t="s">
        <v>545</v>
      </c>
    </row>
    <row r="8" spans="1:5">
      <c r="A8" s="132" t="s">
        <v>497</v>
      </c>
      <c r="B8" s="129" t="s">
        <v>549</v>
      </c>
      <c r="C8" s="133" t="s">
        <v>550</v>
      </c>
      <c r="D8" s="128" t="s">
        <v>544</v>
      </c>
      <c r="E8" s="128" t="s">
        <v>545</v>
      </c>
    </row>
    <row r="9" spans="1:5">
      <c r="A9" s="132" t="s">
        <v>494</v>
      </c>
      <c r="B9" s="129" t="s">
        <v>551</v>
      </c>
      <c r="C9" s="133" t="s">
        <v>548</v>
      </c>
      <c r="D9" s="128" t="s">
        <v>544</v>
      </c>
      <c r="E9" s="128" t="s">
        <v>545</v>
      </c>
    </row>
    <row r="10" spans="1:5">
      <c r="A10" s="132" t="s">
        <v>496</v>
      </c>
      <c r="B10" s="129" t="s">
        <v>551</v>
      </c>
      <c r="C10" s="133" t="s">
        <v>548</v>
      </c>
      <c r="D10" s="128" t="s">
        <v>544</v>
      </c>
      <c r="E10" s="128" t="s">
        <v>545</v>
      </c>
    </row>
    <row r="11" spans="1:5">
      <c r="A11" s="132" t="s">
        <v>498</v>
      </c>
      <c r="B11" s="129" t="s">
        <v>551</v>
      </c>
      <c r="C11" s="133" t="s">
        <v>550</v>
      </c>
      <c r="D11" s="128" t="s">
        <v>544</v>
      </c>
      <c r="E11" s="128" t="s">
        <v>545</v>
      </c>
    </row>
    <row r="12" spans="1:5">
      <c r="A12" s="132" t="s">
        <v>499</v>
      </c>
      <c r="B12" s="129" t="s">
        <v>552</v>
      </c>
      <c r="C12" s="133" t="s">
        <v>553</v>
      </c>
      <c r="D12" s="128" t="s">
        <v>544</v>
      </c>
      <c r="E12" s="128" t="s">
        <v>545</v>
      </c>
    </row>
    <row r="13" spans="1:5">
      <c r="A13" s="134" t="s">
        <v>554</v>
      </c>
      <c r="B13" s="129" t="s">
        <v>552</v>
      </c>
      <c r="C13" s="131" t="s">
        <v>555</v>
      </c>
      <c r="D13" s="128" t="s">
        <v>544</v>
      </c>
      <c r="E13" s="128" t="s">
        <v>545</v>
      </c>
    </row>
    <row r="14" spans="1:5">
      <c r="A14" s="132" t="s">
        <v>501</v>
      </c>
      <c r="B14" s="129" t="s">
        <v>556</v>
      </c>
      <c r="C14" s="133" t="s">
        <v>557</v>
      </c>
      <c r="D14" s="128" t="s">
        <v>544</v>
      </c>
      <c r="E14" s="128" t="s">
        <v>545</v>
      </c>
    </row>
    <row r="15" spans="1:5">
      <c r="A15" s="132" t="s">
        <v>500</v>
      </c>
      <c r="B15" s="129" t="s">
        <v>558</v>
      </c>
      <c r="C15" s="133" t="s">
        <v>553</v>
      </c>
      <c r="D15" s="128" t="s">
        <v>544</v>
      </c>
      <c r="E15" s="128" t="s">
        <v>545</v>
      </c>
    </row>
    <row r="16" spans="1:5">
      <c r="A16" s="134" t="s">
        <v>559</v>
      </c>
      <c r="B16" s="129" t="s">
        <v>558</v>
      </c>
      <c r="C16" s="131" t="s">
        <v>560</v>
      </c>
      <c r="D16" s="128" t="s">
        <v>544</v>
      </c>
      <c r="E16" s="128" t="s">
        <v>545</v>
      </c>
    </row>
    <row r="17" spans="1:5">
      <c r="A17" s="132" t="s">
        <v>502</v>
      </c>
      <c r="B17" s="129" t="s">
        <v>558</v>
      </c>
      <c r="C17" s="133" t="s">
        <v>557</v>
      </c>
      <c r="D17" s="128" t="s">
        <v>544</v>
      </c>
      <c r="E17" s="128" t="s">
        <v>545</v>
      </c>
    </row>
    <row r="18" spans="1:5">
      <c r="A18" s="132" t="s">
        <v>503</v>
      </c>
      <c r="B18" s="129" t="s">
        <v>561</v>
      </c>
      <c r="C18" s="133" t="s">
        <v>562</v>
      </c>
      <c r="D18" s="128" t="s">
        <v>544</v>
      </c>
      <c r="E18" s="128" t="s">
        <v>545</v>
      </c>
    </row>
    <row r="19" spans="1:5">
      <c r="A19" s="132" t="s">
        <v>505</v>
      </c>
      <c r="B19" s="129" t="s">
        <v>561</v>
      </c>
      <c r="C19" s="133" t="s">
        <v>563</v>
      </c>
      <c r="D19" s="128" t="s">
        <v>544</v>
      </c>
      <c r="E19" s="128" t="s">
        <v>545</v>
      </c>
    </row>
    <row r="20" spans="1:5">
      <c r="A20" s="132" t="s">
        <v>504</v>
      </c>
      <c r="B20" s="129" t="s">
        <v>564</v>
      </c>
      <c r="C20" s="133" t="s">
        <v>562</v>
      </c>
      <c r="D20" s="128" t="s">
        <v>544</v>
      </c>
      <c r="E20" s="128" t="s">
        <v>545</v>
      </c>
    </row>
    <row r="21" spans="1:5">
      <c r="A21" s="132" t="s">
        <v>506</v>
      </c>
      <c r="B21" s="129" t="s">
        <v>564</v>
      </c>
      <c r="C21" s="133" t="s">
        <v>565</v>
      </c>
      <c r="D21" s="128" t="s">
        <v>544</v>
      </c>
      <c r="E21" s="128" t="s">
        <v>545</v>
      </c>
    </row>
    <row r="22" spans="1:5">
      <c r="A22" s="135" t="s">
        <v>231</v>
      </c>
      <c r="B22" s="136" t="s">
        <v>566</v>
      </c>
      <c r="C22" s="133" t="s">
        <v>567</v>
      </c>
      <c r="D22" s="128" t="s">
        <v>568</v>
      </c>
      <c r="E22" s="128" t="s">
        <v>545</v>
      </c>
    </row>
    <row r="23" spans="1:5">
      <c r="A23" s="135" t="s">
        <v>233</v>
      </c>
      <c r="B23" s="136" t="s">
        <v>569</v>
      </c>
      <c r="C23" s="133" t="s">
        <v>570</v>
      </c>
      <c r="D23" s="128" t="s">
        <v>568</v>
      </c>
      <c r="E23" s="128" t="s">
        <v>545</v>
      </c>
    </row>
    <row r="24" spans="1:5">
      <c r="A24" s="132" t="s">
        <v>232</v>
      </c>
      <c r="B24" s="129" t="s">
        <v>571</v>
      </c>
      <c r="C24" s="133" t="s">
        <v>572</v>
      </c>
      <c r="D24" s="128" t="s">
        <v>568</v>
      </c>
      <c r="E24" s="128" t="s">
        <v>545</v>
      </c>
    </row>
    <row r="25" spans="1:5">
      <c r="A25" s="132" t="s">
        <v>573</v>
      </c>
      <c r="B25" s="129" t="s">
        <v>574</v>
      </c>
      <c r="C25" s="133" t="s">
        <v>575</v>
      </c>
      <c r="D25" s="128" t="s">
        <v>568</v>
      </c>
      <c r="E25" s="128" t="s">
        <v>545</v>
      </c>
    </row>
    <row r="26" spans="1:5">
      <c r="A26" s="132" t="s">
        <v>234</v>
      </c>
      <c r="B26" s="129" t="s">
        <v>576</v>
      </c>
      <c r="C26" s="133" t="s">
        <v>577</v>
      </c>
      <c r="D26" s="128" t="s">
        <v>568</v>
      </c>
      <c r="E26" s="128" t="s">
        <v>545</v>
      </c>
    </row>
    <row r="27" spans="1:5">
      <c r="A27" s="135" t="s">
        <v>235</v>
      </c>
      <c r="B27" s="136" t="s">
        <v>566</v>
      </c>
      <c r="C27" s="133" t="s">
        <v>578</v>
      </c>
      <c r="D27" s="128" t="s">
        <v>568</v>
      </c>
      <c r="E27" s="128" t="s">
        <v>545</v>
      </c>
    </row>
    <row r="28" spans="1:5">
      <c r="A28" s="132" t="s">
        <v>579</v>
      </c>
      <c r="B28" s="129" t="s">
        <v>580</v>
      </c>
      <c r="C28" s="133" t="s">
        <v>581</v>
      </c>
      <c r="D28" s="128" t="s">
        <v>568</v>
      </c>
      <c r="E28" s="128" t="s">
        <v>545</v>
      </c>
    </row>
    <row r="29" spans="1:5">
      <c r="A29" s="132" t="s">
        <v>236</v>
      </c>
      <c r="B29" s="129" t="s">
        <v>582</v>
      </c>
      <c r="C29" s="133" t="s">
        <v>583</v>
      </c>
      <c r="D29" s="128" t="s">
        <v>568</v>
      </c>
      <c r="E29" s="128" t="s">
        <v>545</v>
      </c>
    </row>
    <row r="30" spans="1:5">
      <c r="A30" s="132" t="s">
        <v>237</v>
      </c>
      <c r="B30" s="129" t="s">
        <v>584</v>
      </c>
      <c r="C30" s="133" t="s">
        <v>585</v>
      </c>
      <c r="D30" s="128" t="s">
        <v>568</v>
      </c>
      <c r="E30" s="128" t="s">
        <v>545</v>
      </c>
    </row>
    <row r="31" spans="1:5">
      <c r="A31" s="132" t="s">
        <v>238</v>
      </c>
      <c r="B31" s="129" t="s">
        <v>586</v>
      </c>
      <c r="C31" s="133" t="s">
        <v>587</v>
      </c>
      <c r="D31" s="128" t="s">
        <v>568</v>
      </c>
      <c r="E31" s="128" t="s">
        <v>545</v>
      </c>
    </row>
    <row r="32" spans="1:5">
      <c r="A32" s="135" t="s">
        <v>588</v>
      </c>
      <c r="B32" s="136" t="s">
        <v>589</v>
      </c>
      <c r="C32" s="133" t="s">
        <v>590</v>
      </c>
      <c r="D32" s="128" t="s">
        <v>568</v>
      </c>
      <c r="E32" s="128" t="s">
        <v>545</v>
      </c>
    </row>
    <row r="33" spans="1:5">
      <c r="A33" s="132" t="s">
        <v>239</v>
      </c>
      <c r="B33" s="129" t="s">
        <v>591</v>
      </c>
      <c r="C33" s="133" t="s">
        <v>592</v>
      </c>
      <c r="D33" s="128" t="s">
        <v>568</v>
      </c>
      <c r="E33" s="128" t="s">
        <v>545</v>
      </c>
    </row>
    <row r="34" spans="1:5">
      <c r="A34" s="132" t="s">
        <v>240</v>
      </c>
      <c r="B34" s="129" t="s">
        <v>593</v>
      </c>
      <c r="C34" s="133" t="s">
        <v>594</v>
      </c>
      <c r="D34" s="128" t="s">
        <v>568</v>
      </c>
      <c r="E34" s="128" t="s">
        <v>545</v>
      </c>
    </row>
    <row r="35" spans="1:5">
      <c r="A35" s="135" t="s">
        <v>241</v>
      </c>
      <c r="B35" s="136" t="s">
        <v>595</v>
      </c>
      <c r="C35" s="133" t="s">
        <v>596</v>
      </c>
      <c r="D35" s="128" t="s">
        <v>568</v>
      </c>
      <c r="E35" s="128" t="s">
        <v>545</v>
      </c>
    </row>
    <row r="36" spans="1:5">
      <c r="A36" s="132" t="s">
        <v>242</v>
      </c>
      <c r="B36" s="129" t="s">
        <v>597</v>
      </c>
      <c r="C36" s="133" t="s">
        <v>598</v>
      </c>
      <c r="D36" s="128" t="s">
        <v>568</v>
      </c>
      <c r="E36" s="128" t="s">
        <v>545</v>
      </c>
    </row>
    <row r="37" spans="1:5">
      <c r="A37" s="132" t="s">
        <v>243</v>
      </c>
      <c r="B37" s="129" t="s">
        <v>599</v>
      </c>
      <c r="C37" s="133" t="s">
        <v>600</v>
      </c>
      <c r="D37" s="128" t="s">
        <v>601</v>
      </c>
      <c r="E37" s="128" t="s">
        <v>545</v>
      </c>
    </row>
    <row r="38" spans="1:5">
      <c r="A38" s="132" t="s">
        <v>244</v>
      </c>
      <c r="B38" s="129" t="s">
        <v>599</v>
      </c>
      <c r="C38" s="133" t="s">
        <v>602</v>
      </c>
      <c r="D38" s="128" t="s">
        <v>601</v>
      </c>
      <c r="E38" s="128" t="s">
        <v>545</v>
      </c>
    </row>
    <row r="39" spans="1:5">
      <c r="A39" s="132" t="s">
        <v>434</v>
      </c>
      <c r="B39" s="129" t="s">
        <v>603</v>
      </c>
      <c r="C39" s="133" t="s">
        <v>604</v>
      </c>
      <c r="D39" s="128" t="s">
        <v>601</v>
      </c>
      <c r="E39" s="128" t="s">
        <v>545</v>
      </c>
    </row>
    <row r="40" spans="1:5">
      <c r="A40" s="132" t="s">
        <v>436</v>
      </c>
      <c r="B40" s="129" t="s">
        <v>605</v>
      </c>
      <c r="C40" s="133" t="s">
        <v>606</v>
      </c>
      <c r="D40" s="128" t="s">
        <v>601</v>
      </c>
      <c r="E40" s="128" t="s">
        <v>545</v>
      </c>
    </row>
    <row r="41" spans="1:5">
      <c r="A41" s="132" t="s">
        <v>437</v>
      </c>
      <c r="B41" s="129" t="s">
        <v>607</v>
      </c>
      <c r="C41" s="133" t="s">
        <v>608</v>
      </c>
      <c r="D41" s="128" t="s">
        <v>601</v>
      </c>
      <c r="E41" s="128" t="s">
        <v>545</v>
      </c>
    </row>
    <row r="42" spans="1:5">
      <c r="A42" s="131" t="s">
        <v>435</v>
      </c>
      <c r="B42" s="129" t="s">
        <v>603</v>
      </c>
      <c r="C42" s="131" t="s">
        <v>609</v>
      </c>
      <c r="D42" s="128" t="s">
        <v>601</v>
      </c>
      <c r="E42" s="128" t="s">
        <v>545</v>
      </c>
    </row>
    <row r="43" spans="1:5">
      <c r="A43" s="132" t="s">
        <v>191</v>
      </c>
      <c r="B43" s="129" t="s">
        <v>610</v>
      </c>
      <c r="C43" s="133" t="s">
        <v>611</v>
      </c>
      <c r="D43" s="128" t="s">
        <v>612</v>
      </c>
      <c r="E43" s="128" t="s">
        <v>545</v>
      </c>
    </row>
    <row r="44" spans="1:5">
      <c r="A44" s="132" t="s">
        <v>192</v>
      </c>
      <c r="B44" s="129" t="s">
        <v>613</v>
      </c>
      <c r="C44" s="133" t="s">
        <v>614</v>
      </c>
      <c r="D44" s="128" t="s">
        <v>612</v>
      </c>
      <c r="E44" s="128" t="s">
        <v>545</v>
      </c>
    </row>
    <row r="45" spans="1:5">
      <c r="A45" s="128" t="s">
        <v>615</v>
      </c>
      <c r="B45" s="129" t="s">
        <v>616</v>
      </c>
      <c r="C45" s="131" t="s">
        <v>617</v>
      </c>
      <c r="D45" s="128" t="s">
        <v>618</v>
      </c>
      <c r="E45" s="128" t="s">
        <v>618</v>
      </c>
    </row>
    <row r="46" spans="1:5">
      <c r="A46" s="128" t="s">
        <v>619</v>
      </c>
      <c r="B46" s="129" t="s">
        <v>620</v>
      </c>
      <c r="C46" s="131" t="s">
        <v>621</v>
      </c>
      <c r="D46" s="128" t="s">
        <v>618</v>
      </c>
      <c r="E46" s="128" t="s">
        <v>618</v>
      </c>
    </row>
    <row r="47" spans="1:5">
      <c r="A47" s="128" t="s">
        <v>622</v>
      </c>
      <c r="B47" s="129" t="s">
        <v>623</v>
      </c>
      <c r="C47" s="131" t="s">
        <v>624</v>
      </c>
      <c r="D47" s="128" t="s">
        <v>618</v>
      </c>
      <c r="E47" s="128" t="s">
        <v>618</v>
      </c>
    </row>
    <row r="48" spans="1:5">
      <c r="A48" s="128" t="s">
        <v>625</v>
      </c>
      <c r="B48" s="129" t="s">
        <v>626</v>
      </c>
      <c r="C48" s="131" t="s">
        <v>627</v>
      </c>
      <c r="D48" s="128" t="s">
        <v>618</v>
      </c>
      <c r="E48" s="128" t="s">
        <v>618</v>
      </c>
    </row>
    <row r="49" spans="1:5">
      <c r="A49" s="128" t="s">
        <v>628</v>
      </c>
      <c r="B49" s="129" t="s">
        <v>629</v>
      </c>
      <c r="C49" s="131" t="s">
        <v>630</v>
      </c>
      <c r="D49" s="128" t="s">
        <v>618</v>
      </c>
      <c r="E49" s="128" t="s">
        <v>618</v>
      </c>
    </row>
    <row r="50" spans="1:5">
      <c r="A50" s="128" t="s">
        <v>631</v>
      </c>
      <c r="B50" s="129" t="s">
        <v>632</v>
      </c>
      <c r="C50" s="131" t="s">
        <v>633</v>
      </c>
      <c r="D50" s="128" t="s">
        <v>618</v>
      </c>
      <c r="E50" s="128" t="s">
        <v>618</v>
      </c>
    </row>
    <row r="51" spans="1:5">
      <c r="A51" s="128" t="s">
        <v>634</v>
      </c>
      <c r="B51" s="129" t="s">
        <v>635</v>
      </c>
      <c r="C51" s="131" t="s">
        <v>636</v>
      </c>
      <c r="D51" s="128" t="s">
        <v>618</v>
      </c>
      <c r="E51" s="128" t="s">
        <v>618</v>
      </c>
    </row>
    <row r="52" spans="1:5">
      <c r="A52" s="128" t="s">
        <v>637</v>
      </c>
      <c r="B52" s="129" t="s">
        <v>638</v>
      </c>
      <c r="C52" s="131" t="s">
        <v>639</v>
      </c>
      <c r="D52" s="128" t="s">
        <v>618</v>
      </c>
      <c r="E52" s="128" t="s">
        <v>618</v>
      </c>
    </row>
    <row r="53" spans="1:5">
      <c r="A53" s="128" t="s">
        <v>640</v>
      </c>
      <c r="B53" s="129" t="s">
        <v>641</v>
      </c>
      <c r="C53" s="131" t="s">
        <v>642</v>
      </c>
      <c r="D53" s="128" t="s">
        <v>618</v>
      </c>
      <c r="E53" s="128" t="s">
        <v>618</v>
      </c>
    </row>
    <row r="54" spans="1:5">
      <c r="A54" s="128" t="s">
        <v>643</v>
      </c>
      <c r="B54" s="129" t="s">
        <v>644</v>
      </c>
      <c r="C54" s="131" t="s">
        <v>645</v>
      </c>
      <c r="D54" s="128" t="s">
        <v>618</v>
      </c>
      <c r="E54" s="128" t="s">
        <v>618</v>
      </c>
    </row>
    <row r="55" spans="1:5">
      <c r="A55" s="128" t="s">
        <v>646</v>
      </c>
      <c r="B55" s="129" t="s">
        <v>647</v>
      </c>
      <c r="C55" s="131" t="s">
        <v>648</v>
      </c>
      <c r="D55" s="128" t="s">
        <v>618</v>
      </c>
      <c r="E55" s="128" t="s">
        <v>618</v>
      </c>
    </row>
    <row r="56" spans="1:5">
      <c r="A56" s="128" t="s">
        <v>649</v>
      </c>
      <c r="B56" s="129" t="s">
        <v>650</v>
      </c>
      <c r="C56" s="131" t="s">
        <v>651</v>
      </c>
      <c r="D56" s="128" t="s">
        <v>618</v>
      </c>
      <c r="E56" s="128" t="s">
        <v>618</v>
      </c>
    </row>
    <row r="57" spans="1:5">
      <c r="A57" s="132" t="s">
        <v>478</v>
      </c>
      <c r="B57" s="136" t="s">
        <v>652</v>
      </c>
      <c r="C57" s="133" t="s">
        <v>653</v>
      </c>
      <c r="D57" s="128" t="s">
        <v>654</v>
      </c>
      <c r="E57" s="128" t="s">
        <v>545</v>
      </c>
    </row>
    <row r="58" spans="1:5">
      <c r="A58" s="132" t="s">
        <v>479</v>
      </c>
      <c r="B58" s="136" t="s">
        <v>655</v>
      </c>
      <c r="C58" s="133" t="s">
        <v>656</v>
      </c>
      <c r="D58" s="128" t="s">
        <v>654</v>
      </c>
      <c r="E58" s="128" t="s">
        <v>545</v>
      </c>
    </row>
    <row r="59" spans="1:5">
      <c r="A59" s="132" t="s">
        <v>480</v>
      </c>
      <c r="B59" s="136" t="s">
        <v>655</v>
      </c>
      <c r="C59" s="133" t="s">
        <v>657</v>
      </c>
      <c r="D59" s="128" t="s">
        <v>654</v>
      </c>
      <c r="E59" s="128" t="s">
        <v>545</v>
      </c>
    </row>
    <row r="60" spans="1:5">
      <c r="A60" s="132" t="s">
        <v>481</v>
      </c>
      <c r="B60" s="136" t="s">
        <v>658</v>
      </c>
      <c r="C60" s="133" t="s">
        <v>659</v>
      </c>
      <c r="D60" s="128" t="s">
        <v>601</v>
      </c>
      <c r="E60" s="128" t="s">
        <v>545</v>
      </c>
    </row>
    <row r="61" spans="1:5">
      <c r="A61" s="132" t="s">
        <v>482</v>
      </c>
      <c r="B61" s="129" t="s">
        <v>652</v>
      </c>
      <c r="C61" s="133" t="s">
        <v>660</v>
      </c>
      <c r="D61" s="128" t="s">
        <v>654</v>
      </c>
      <c r="E61" s="128" t="s">
        <v>545</v>
      </c>
    </row>
    <row r="62" spans="1:5">
      <c r="A62" s="132" t="s">
        <v>82</v>
      </c>
      <c r="B62" s="129" t="s">
        <v>661</v>
      </c>
      <c r="C62" s="133" t="s">
        <v>662</v>
      </c>
      <c r="D62" s="128" t="s">
        <v>601</v>
      </c>
      <c r="E62" s="128" t="s">
        <v>545</v>
      </c>
    </row>
    <row r="63" spans="1:5">
      <c r="A63" s="132" t="s">
        <v>83</v>
      </c>
      <c r="B63" s="129" t="s">
        <v>663</v>
      </c>
      <c r="C63" s="133" t="s">
        <v>664</v>
      </c>
      <c r="D63" s="128" t="s">
        <v>601</v>
      </c>
      <c r="E63" s="128" t="s">
        <v>545</v>
      </c>
    </row>
    <row r="64" spans="1:5">
      <c r="A64" s="132" t="s">
        <v>85</v>
      </c>
      <c r="B64" s="129" t="s">
        <v>665</v>
      </c>
      <c r="C64" s="133" t="s">
        <v>666</v>
      </c>
      <c r="D64" s="128" t="s">
        <v>601</v>
      </c>
      <c r="E64" s="128" t="s">
        <v>545</v>
      </c>
    </row>
    <row r="65" spans="1:5">
      <c r="A65" s="132" t="s">
        <v>489</v>
      </c>
      <c r="B65" s="129" t="s">
        <v>667</v>
      </c>
      <c r="C65" s="133" t="s">
        <v>668</v>
      </c>
      <c r="D65" s="128" t="s">
        <v>601</v>
      </c>
      <c r="E65" s="128" t="s">
        <v>545</v>
      </c>
    </row>
    <row r="66" spans="1:5">
      <c r="A66" s="132" t="s">
        <v>86</v>
      </c>
      <c r="B66" s="129" t="s">
        <v>669</v>
      </c>
      <c r="C66" s="133" t="s">
        <v>670</v>
      </c>
      <c r="D66" s="128" t="s">
        <v>671</v>
      </c>
      <c r="E66" s="128" t="s">
        <v>545</v>
      </c>
    </row>
    <row r="67" spans="1:5">
      <c r="A67" s="132" t="s">
        <v>485</v>
      </c>
      <c r="B67" s="129" t="s">
        <v>672</v>
      </c>
      <c r="C67" s="133" t="s">
        <v>673</v>
      </c>
      <c r="D67" s="128" t="s">
        <v>601</v>
      </c>
      <c r="E67" s="128" t="s">
        <v>545</v>
      </c>
    </row>
    <row r="68" spans="1:5">
      <c r="A68" s="132" t="s">
        <v>486</v>
      </c>
      <c r="B68" s="129" t="s">
        <v>674</v>
      </c>
      <c r="C68" s="133" t="s">
        <v>675</v>
      </c>
      <c r="D68" s="128" t="s">
        <v>601</v>
      </c>
      <c r="E68" s="128" t="s">
        <v>545</v>
      </c>
    </row>
    <row r="69" spans="1:5">
      <c r="A69" s="132" t="s">
        <v>487</v>
      </c>
      <c r="B69" s="129" t="s">
        <v>674</v>
      </c>
      <c r="C69" s="133" t="s">
        <v>676</v>
      </c>
      <c r="D69" s="128" t="s">
        <v>601</v>
      </c>
      <c r="E69" s="128" t="s">
        <v>545</v>
      </c>
    </row>
    <row r="70" spans="1:5">
      <c r="A70" s="132" t="s">
        <v>488</v>
      </c>
      <c r="B70" s="129" t="s">
        <v>677</v>
      </c>
      <c r="C70" s="133" t="s">
        <v>678</v>
      </c>
      <c r="D70" s="128" t="s">
        <v>601</v>
      </c>
      <c r="E70" s="128" t="s">
        <v>545</v>
      </c>
    </row>
    <row r="71" spans="1:5">
      <c r="A71" s="137" t="s">
        <v>679</v>
      </c>
      <c r="B71" s="129" t="s">
        <v>680</v>
      </c>
      <c r="C71" s="131" t="s">
        <v>681</v>
      </c>
      <c r="D71" s="128" t="s">
        <v>601</v>
      </c>
      <c r="E71" s="128" t="s">
        <v>545</v>
      </c>
    </row>
    <row r="72" spans="1:5">
      <c r="A72" s="132" t="s">
        <v>193</v>
      </c>
      <c r="B72" s="129" t="s">
        <v>682</v>
      </c>
      <c r="C72" s="133" t="s">
        <v>683</v>
      </c>
      <c r="D72" s="128" t="s">
        <v>601</v>
      </c>
      <c r="E72" s="128" t="s">
        <v>545</v>
      </c>
    </row>
    <row r="73" spans="1:5">
      <c r="A73" s="132" t="s">
        <v>194</v>
      </c>
      <c r="B73" s="129" t="s">
        <v>684</v>
      </c>
      <c r="C73" s="133" t="s">
        <v>685</v>
      </c>
      <c r="D73" s="128" t="s">
        <v>601</v>
      </c>
      <c r="E73" s="128" t="s">
        <v>545</v>
      </c>
    </row>
    <row r="74" spans="1:5">
      <c r="A74" s="132" t="s">
        <v>404</v>
      </c>
      <c r="B74" s="136" t="s">
        <v>686</v>
      </c>
      <c r="C74" s="133" t="s">
        <v>687</v>
      </c>
      <c r="D74" s="128" t="s">
        <v>688</v>
      </c>
      <c r="E74" s="128" t="s">
        <v>545</v>
      </c>
    </row>
    <row r="75" spans="1:5">
      <c r="A75" s="132" t="s">
        <v>405</v>
      </c>
      <c r="B75" s="136" t="s">
        <v>689</v>
      </c>
      <c r="C75" s="133" t="s">
        <v>690</v>
      </c>
      <c r="D75" s="128" t="s">
        <v>688</v>
      </c>
      <c r="E75" s="128" t="s">
        <v>545</v>
      </c>
    </row>
    <row r="76" spans="1:5">
      <c r="A76" s="132" t="s">
        <v>406</v>
      </c>
      <c r="B76" s="136" t="s">
        <v>691</v>
      </c>
      <c r="C76" s="133" t="s">
        <v>692</v>
      </c>
      <c r="D76" s="128" t="s">
        <v>601</v>
      </c>
      <c r="E76" s="128" t="s">
        <v>545</v>
      </c>
    </row>
    <row r="77" spans="1:5">
      <c r="A77" s="132" t="s">
        <v>468</v>
      </c>
      <c r="B77" s="136" t="s">
        <v>693</v>
      </c>
      <c r="C77" s="133" t="s">
        <v>694</v>
      </c>
      <c r="D77" s="128" t="s">
        <v>695</v>
      </c>
      <c r="E77" s="128" t="s">
        <v>545</v>
      </c>
    </row>
    <row r="78" spans="1:5">
      <c r="A78" s="132" t="s">
        <v>469</v>
      </c>
      <c r="B78" s="136" t="s">
        <v>693</v>
      </c>
      <c r="C78" s="133" t="s">
        <v>696</v>
      </c>
      <c r="D78" s="128" t="s">
        <v>695</v>
      </c>
      <c r="E78" s="128" t="s">
        <v>545</v>
      </c>
    </row>
    <row r="79" spans="1:5">
      <c r="A79" s="137" t="s">
        <v>697</v>
      </c>
      <c r="B79" s="129" t="s">
        <v>698</v>
      </c>
      <c r="C79" s="131" t="s">
        <v>699</v>
      </c>
      <c r="D79" s="128" t="s">
        <v>695</v>
      </c>
      <c r="E79" s="128" t="s">
        <v>545</v>
      </c>
    </row>
    <row r="80" spans="1:5">
      <c r="A80" s="137" t="s">
        <v>700</v>
      </c>
      <c r="B80" s="129" t="s">
        <v>701</v>
      </c>
      <c r="C80" s="131" t="s">
        <v>702</v>
      </c>
      <c r="D80" s="128" t="s">
        <v>695</v>
      </c>
      <c r="E80" s="128" t="s">
        <v>545</v>
      </c>
    </row>
    <row r="81" spans="1:5">
      <c r="A81" s="135" t="s">
        <v>457</v>
      </c>
      <c r="B81" s="136" t="s">
        <v>703</v>
      </c>
      <c r="C81" s="133" t="s">
        <v>704</v>
      </c>
      <c r="D81" s="128" t="s">
        <v>705</v>
      </c>
      <c r="E81" s="128" t="s">
        <v>545</v>
      </c>
    </row>
    <row r="82" spans="1:5">
      <c r="A82" s="135" t="s">
        <v>458</v>
      </c>
      <c r="B82" s="136" t="s">
        <v>706</v>
      </c>
      <c r="C82" s="133" t="s">
        <v>707</v>
      </c>
      <c r="D82" s="128" t="s">
        <v>705</v>
      </c>
      <c r="E82" s="128" t="s">
        <v>545</v>
      </c>
    </row>
    <row r="83" spans="1:5">
      <c r="A83" s="135" t="s">
        <v>459</v>
      </c>
      <c r="B83" s="136" t="s">
        <v>708</v>
      </c>
      <c r="C83" s="133" t="s">
        <v>709</v>
      </c>
      <c r="D83" s="128" t="s">
        <v>705</v>
      </c>
      <c r="E83" s="128" t="s">
        <v>545</v>
      </c>
    </row>
    <row r="84" spans="1:5">
      <c r="A84" s="135" t="s">
        <v>460</v>
      </c>
      <c r="B84" s="136" t="s">
        <v>710</v>
      </c>
      <c r="C84" s="133" t="s">
        <v>711</v>
      </c>
      <c r="D84" s="128" t="s">
        <v>705</v>
      </c>
      <c r="E84" s="128" t="s">
        <v>545</v>
      </c>
    </row>
    <row r="85" spans="1:5">
      <c r="A85" s="132" t="s">
        <v>712</v>
      </c>
      <c r="B85" s="136" t="s">
        <v>713</v>
      </c>
      <c r="C85" s="133" t="s">
        <v>714</v>
      </c>
      <c r="D85" s="128" t="s">
        <v>715</v>
      </c>
      <c r="E85" s="128" t="s">
        <v>545</v>
      </c>
    </row>
    <row r="86" spans="1:5">
      <c r="A86" s="128" t="s">
        <v>716</v>
      </c>
      <c r="B86" s="129" t="s">
        <v>717</v>
      </c>
      <c r="C86" s="130" t="s">
        <v>718</v>
      </c>
      <c r="D86" s="128" t="s">
        <v>715</v>
      </c>
      <c r="E86" s="128" t="s">
        <v>545</v>
      </c>
    </row>
    <row r="87" spans="1:5">
      <c r="A87" s="132" t="s">
        <v>719</v>
      </c>
      <c r="B87" s="136" t="s">
        <v>720</v>
      </c>
      <c r="C87" s="133" t="s">
        <v>721</v>
      </c>
      <c r="D87" s="128" t="s">
        <v>715</v>
      </c>
      <c r="E87" s="128" t="s">
        <v>545</v>
      </c>
    </row>
    <row r="88" spans="1:5">
      <c r="A88" s="128" t="s">
        <v>318</v>
      </c>
      <c r="B88" s="129" t="s">
        <v>722</v>
      </c>
      <c r="C88" s="131" t="s">
        <v>723</v>
      </c>
      <c r="D88" s="128" t="s">
        <v>715</v>
      </c>
      <c r="E88" s="128" t="s">
        <v>545</v>
      </c>
    </row>
    <row r="89" spans="1:5">
      <c r="A89" s="132" t="s">
        <v>322</v>
      </c>
      <c r="B89" s="136" t="s">
        <v>724</v>
      </c>
      <c r="C89" s="133" t="s">
        <v>725</v>
      </c>
      <c r="D89" s="128" t="s">
        <v>715</v>
      </c>
      <c r="E89" s="128" t="s">
        <v>545</v>
      </c>
    </row>
    <row r="90" spans="1:5">
      <c r="A90" s="137" t="s">
        <v>726</v>
      </c>
      <c r="B90" s="129" t="s">
        <v>727</v>
      </c>
      <c r="C90" s="131" t="s">
        <v>728</v>
      </c>
      <c r="D90" s="128" t="s">
        <v>715</v>
      </c>
      <c r="E90" s="128" t="s">
        <v>545</v>
      </c>
    </row>
    <row r="91" spans="1:5">
      <c r="A91" s="132" t="s">
        <v>323</v>
      </c>
      <c r="B91" s="136" t="s">
        <v>729</v>
      </c>
      <c r="C91" s="133" t="s">
        <v>730</v>
      </c>
      <c r="D91" s="128" t="s">
        <v>715</v>
      </c>
      <c r="E91" s="128" t="s">
        <v>545</v>
      </c>
    </row>
    <row r="92" spans="1:5">
      <c r="A92" s="137" t="s">
        <v>731</v>
      </c>
      <c r="B92" s="129" t="s">
        <v>732</v>
      </c>
      <c r="C92" s="131" t="s">
        <v>699</v>
      </c>
      <c r="D92" s="128" t="s">
        <v>715</v>
      </c>
      <c r="E92" s="128" t="s">
        <v>545</v>
      </c>
    </row>
    <row r="93" spans="1:5">
      <c r="A93" s="132" t="s">
        <v>324</v>
      </c>
      <c r="B93" s="129" t="s">
        <v>733</v>
      </c>
      <c r="C93" s="133" t="s">
        <v>734</v>
      </c>
      <c r="D93" s="128" t="s">
        <v>715</v>
      </c>
      <c r="E93" s="128" t="s">
        <v>545</v>
      </c>
    </row>
    <row r="94" spans="1:5">
      <c r="A94" s="132" t="s">
        <v>325</v>
      </c>
      <c r="B94" s="129" t="s">
        <v>735</v>
      </c>
      <c r="C94" s="133" t="s">
        <v>736</v>
      </c>
      <c r="D94" s="128" t="s">
        <v>715</v>
      </c>
      <c r="E94" s="128" t="s">
        <v>545</v>
      </c>
    </row>
    <row r="95" spans="1:5">
      <c r="A95" s="132" t="s">
        <v>369</v>
      </c>
      <c r="B95" s="129" t="s">
        <v>737</v>
      </c>
      <c r="C95" s="133" t="s">
        <v>738</v>
      </c>
      <c r="D95" s="128" t="s">
        <v>715</v>
      </c>
      <c r="E95" s="128" t="s">
        <v>545</v>
      </c>
    </row>
    <row r="96" spans="1:5">
      <c r="A96" s="135" t="s">
        <v>368</v>
      </c>
      <c r="B96" s="136" t="s">
        <v>739</v>
      </c>
      <c r="C96" s="133" t="s">
        <v>740</v>
      </c>
      <c r="D96" s="128" t="s">
        <v>715</v>
      </c>
      <c r="E96" s="128" t="s">
        <v>545</v>
      </c>
    </row>
    <row r="97" spans="1:5">
      <c r="A97" s="128" t="s">
        <v>741</v>
      </c>
      <c r="B97" s="129" t="s">
        <v>742</v>
      </c>
      <c r="C97" s="130" t="s">
        <v>743</v>
      </c>
      <c r="D97" s="128" t="s">
        <v>715</v>
      </c>
      <c r="E97" s="128" t="s">
        <v>545</v>
      </c>
    </row>
    <row r="98" spans="1:5">
      <c r="A98" s="128" t="s">
        <v>395</v>
      </c>
      <c r="B98" s="136" t="s">
        <v>744</v>
      </c>
      <c r="C98" s="131" t="s">
        <v>745</v>
      </c>
      <c r="D98" s="128" t="s">
        <v>715</v>
      </c>
      <c r="E98" s="128" t="s">
        <v>545</v>
      </c>
    </row>
    <row r="99" spans="1:5">
      <c r="A99" s="132" t="s">
        <v>397</v>
      </c>
      <c r="B99" s="129" t="s">
        <v>746</v>
      </c>
      <c r="C99" s="133" t="s">
        <v>747</v>
      </c>
      <c r="D99" s="128" t="s">
        <v>715</v>
      </c>
      <c r="E99" s="128" t="s">
        <v>545</v>
      </c>
    </row>
    <row r="100" spans="1:5">
      <c r="A100" s="132" t="s">
        <v>748</v>
      </c>
      <c r="B100" s="136" t="s">
        <v>749</v>
      </c>
      <c r="C100" s="133" t="s">
        <v>750</v>
      </c>
      <c r="D100" s="128" t="s">
        <v>715</v>
      </c>
      <c r="E100" s="128" t="s">
        <v>545</v>
      </c>
    </row>
    <row r="101" spans="1:5">
      <c r="A101" s="132" t="s">
        <v>326</v>
      </c>
      <c r="B101" s="136" t="s">
        <v>751</v>
      </c>
      <c r="C101" s="133" t="s">
        <v>752</v>
      </c>
      <c r="D101" s="128" t="s">
        <v>715</v>
      </c>
      <c r="E101" s="128" t="s">
        <v>545</v>
      </c>
    </row>
    <row r="102" spans="1:5">
      <c r="A102" s="132" t="s">
        <v>398</v>
      </c>
      <c r="B102" s="129" t="s">
        <v>746</v>
      </c>
      <c r="C102" s="133" t="s">
        <v>753</v>
      </c>
      <c r="D102" s="128" t="s">
        <v>715</v>
      </c>
      <c r="E102" s="128" t="s">
        <v>545</v>
      </c>
    </row>
    <row r="103" spans="1:5">
      <c r="A103" s="135" t="s">
        <v>392</v>
      </c>
      <c r="B103" s="136" t="s">
        <v>754</v>
      </c>
      <c r="C103" s="133" t="s">
        <v>755</v>
      </c>
      <c r="D103" s="128" t="s">
        <v>715</v>
      </c>
      <c r="E103" s="128" t="s">
        <v>545</v>
      </c>
    </row>
    <row r="104" spans="1:5">
      <c r="A104" s="132" t="s">
        <v>327</v>
      </c>
      <c r="B104" s="136" t="s">
        <v>756</v>
      </c>
      <c r="C104" s="133" t="s">
        <v>757</v>
      </c>
      <c r="D104" s="128" t="s">
        <v>715</v>
      </c>
      <c r="E104" s="128" t="s">
        <v>545</v>
      </c>
    </row>
    <row r="105" spans="1:5">
      <c r="A105" s="135" t="s">
        <v>356</v>
      </c>
      <c r="B105" s="136" t="s">
        <v>758</v>
      </c>
      <c r="C105" s="133" t="s">
        <v>759</v>
      </c>
      <c r="D105" s="128" t="s">
        <v>715</v>
      </c>
      <c r="E105" s="128" t="s">
        <v>545</v>
      </c>
    </row>
    <row r="106" spans="1:5">
      <c r="A106" s="128" t="s">
        <v>319</v>
      </c>
      <c r="B106" s="129" t="s">
        <v>760</v>
      </c>
      <c r="C106" s="131" t="s">
        <v>761</v>
      </c>
      <c r="D106" s="128" t="s">
        <v>715</v>
      </c>
      <c r="E106" s="128" t="s">
        <v>545</v>
      </c>
    </row>
    <row r="107" spans="1:5">
      <c r="A107" s="132" t="s">
        <v>762</v>
      </c>
      <c r="B107" s="136" t="s">
        <v>763</v>
      </c>
      <c r="C107" s="133" t="s">
        <v>764</v>
      </c>
      <c r="D107" s="128" t="s">
        <v>715</v>
      </c>
      <c r="E107" s="128" t="s">
        <v>545</v>
      </c>
    </row>
    <row r="108" spans="1:5">
      <c r="A108" s="128" t="s">
        <v>765</v>
      </c>
      <c r="B108" s="129" t="s">
        <v>766</v>
      </c>
      <c r="C108" s="131" t="s">
        <v>767</v>
      </c>
      <c r="D108" s="128" t="s">
        <v>715</v>
      </c>
      <c r="E108" s="128" t="s">
        <v>545</v>
      </c>
    </row>
    <row r="109" spans="1:5">
      <c r="A109" s="128" t="s">
        <v>768</v>
      </c>
      <c r="B109" s="129" t="s">
        <v>769</v>
      </c>
      <c r="C109" s="130" t="s">
        <v>770</v>
      </c>
      <c r="D109" s="128" t="s">
        <v>715</v>
      </c>
      <c r="E109" s="128" t="s">
        <v>545</v>
      </c>
    </row>
    <row r="110" spans="1:5">
      <c r="A110" s="132" t="s">
        <v>328</v>
      </c>
      <c r="B110" s="136" t="s">
        <v>771</v>
      </c>
      <c r="C110" s="133" t="s">
        <v>772</v>
      </c>
      <c r="D110" s="128" t="s">
        <v>715</v>
      </c>
      <c r="E110" s="128" t="s">
        <v>545</v>
      </c>
    </row>
    <row r="111" spans="1:5">
      <c r="A111" s="132" t="s">
        <v>329</v>
      </c>
      <c r="B111" s="136" t="s">
        <v>773</v>
      </c>
      <c r="C111" s="133" t="s">
        <v>774</v>
      </c>
      <c r="D111" s="128" t="s">
        <v>715</v>
      </c>
      <c r="E111" s="128" t="s">
        <v>545</v>
      </c>
    </row>
    <row r="112" spans="1:5">
      <c r="A112" s="128" t="s">
        <v>775</v>
      </c>
      <c r="B112" s="129" t="s">
        <v>776</v>
      </c>
      <c r="C112" s="133" t="s">
        <v>777</v>
      </c>
      <c r="D112" s="128" t="s">
        <v>715</v>
      </c>
      <c r="E112" s="128" t="s">
        <v>545</v>
      </c>
    </row>
    <row r="113" spans="1:5">
      <c r="A113" s="132" t="s">
        <v>330</v>
      </c>
      <c r="B113" s="136" t="s">
        <v>778</v>
      </c>
      <c r="C113" s="133" t="s">
        <v>779</v>
      </c>
      <c r="D113" s="128" t="s">
        <v>715</v>
      </c>
      <c r="E113" s="128" t="s">
        <v>545</v>
      </c>
    </row>
    <row r="114" spans="1:5">
      <c r="A114" s="132" t="s">
        <v>357</v>
      </c>
      <c r="B114" s="129" t="s">
        <v>780</v>
      </c>
      <c r="C114" s="133" t="s">
        <v>781</v>
      </c>
      <c r="D114" s="128" t="s">
        <v>715</v>
      </c>
      <c r="E114" s="128" t="s">
        <v>545</v>
      </c>
    </row>
    <row r="115" spans="1:5">
      <c r="A115" s="132" t="s">
        <v>358</v>
      </c>
      <c r="B115" s="129" t="s">
        <v>782</v>
      </c>
      <c r="C115" s="133" t="s">
        <v>783</v>
      </c>
      <c r="D115" s="128" t="s">
        <v>715</v>
      </c>
      <c r="E115" s="128" t="s">
        <v>545</v>
      </c>
    </row>
    <row r="116" spans="1:5">
      <c r="A116" s="132" t="s">
        <v>359</v>
      </c>
      <c r="B116" s="129" t="s">
        <v>782</v>
      </c>
      <c r="C116" s="133" t="s">
        <v>784</v>
      </c>
      <c r="D116" s="128" t="s">
        <v>715</v>
      </c>
      <c r="E116" s="128" t="s">
        <v>545</v>
      </c>
    </row>
    <row r="117" spans="1:5">
      <c r="A117" s="132" t="s">
        <v>360</v>
      </c>
      <c r="B117" s="129" t="s">
        <v>785</v>
      </c>
      <c r="C117" s="133" t="s">
        <v>786</v>
      </c>
      <c r="D117" s="128" t="s">
        <v>715</v>
      </c>
      <c r="E117" s="128" t="s">
        <v>545</v>
      </c>
    </row>
    <row r="118" spans="1:5">
      <c r="A118" s="132" t="s">
        <v>361</v>
      </c>
      <c r="B118" s="129" t="s">
        <v>785</v>
      </c>
      <c r="C118" s="133" t="s">
        <v>787</v>
      </c>
      <c r="D118" s="128" t="s">
        <v>715</v>
      </c>
      <c r="E118" s="128" t="s">
        <v>545</v>
      </c>
    </row>
    <row r="119" spans="1:5">
      <c r="A119" s="132" t="s">
        <v>362</v>
      </c>
      <c r="B119" s="129" t="s">
        <v>788</v>
      </c>
      <c r="C119" s="133" t="s">
        <v>789</v>
      </c>
      <c r="D119" s="128" t="s">
        <v>715</v>
      </c>
      <c r="E119" s="128" t="s">
        <v>545</v>
      </c>
    </row>
    <row r="120" spans="1:5">
      <c r="A120" s="135" t="s">
        <v>363</v>
      </c>
      <c r="B120" s="136" t="s">
        <v>790</v>
      </c>
      <c r="C120" s="133" t="s">
        <v>791</v>
      </c>
      <c r="D120" s="128" t="s">
        <v>715</v>
      </c>
      <c r="E120" s="128" t="s">
        <v>545</v>
      </c>
    </row>
    <row r="121" spans="1:5">
      <c r="A121" s="134" t="s">
        <v>792</v>
      </c>
      <c r="B121" s="136" t="s">
        <v>790</v>
      </c>
      <c r="C121" s="131" t="s">
        <v>793</v>
      </c>
      <c r="D121" s="128" t="s">
        <v>715</v>
      </c>
      <c r="E121" s="128" t="s">
        <v>545</v>
      </c>
    </row>
    <row r="122" spans="1:5">
      <c r="A122" s="132" t="s">
        <v>331</v>
      </c>
      <c r="B122" s="129" t="s">
        <v>794</v>
      </c>
      <c r="C122" s="133" t="s">
        <v>795</v>
      </c>
      <c r="D122" s="128" t="s">
        <v>715</v>
      </c>
      <c r="E122" s="128" t="s">
        <v>545</v>
      </c>
    </row>
    <row r="123" spans="1:5">
      <c r="A123" s="128" t="s">
        <v>320</v>
      </c>
      <c r="B123" s="129" t="s">
        <v>796</v>
      </c>
      <c r="C123" s="133" t="s">
        <v>797</v>
      </c>
      <c r="D123" s="128" t="s">
        <v>715</v>
      </c>
      <c r="E123" s="128" t="s">
        <v>545</v>
      </c>
    </row>
    <row r="124" spans="1:5">
      <c r="A124" s="135" t="s">
        <v>332</v>
      </c>
      <c r="B124" s="136" t="s">
        <v>798</v>
      </c>
      <c r="C124" s="133" t="s">
        <v>799</v>
      </c>
      <c r="D124" s="128" t="s">
        <v>715</v>
      </c>
      <c r="E124" s="128" t="s">
        <v>545</v>
      </c>
    </row>
    <row r="125" spans="1:5">
      <c r="A125" s="128" t="s">
        <v>321</v>
      </c>
      <c r="B125" s="136" t="s">
        <v>771</v>
      </c>
      <c r="C125" s="131" t="s">
        <v>800</v>
      </c>
      <c r="D125" s="128" t="s">
        <v>715</v>
      </c>
      <c r="E125" s="128" t="s">
        <v>545</v>
      </c>
    </row>
    <row r="126" spans="1:5">
      <c r="A126" s="132" t="s">
        <v>801</v>
      </c>
      <c r="B126" s="129" t="s">
        <v>802</v>
      </c>
      <c r="C126" s="133" t="s">
        <v>803</v>
      </c>
      <c r="D126" s="128" t="s">
        <v>715</v>
      </c>
      <c r="E126" s="128" t="s">
        <v>545</v>
      </c>
    </row>
    <row r="127" spans="1:5">
      <c r="A127" s="132" t="s">
        <v>804</v>
      </c>
      <c r="B127" s="129" t="s">
        <v>805</v>
      </c>
      <c r="C127" s="133" t="s">
        <v>806</v>
      </c>
      <c r="D127" s="128" t="s">
        <v>715</v>
      </c>
      <c r="E127" s="128" t="s">
        <v>545</v>
      </c>
    </row>
    <row r="128" spans="1:5">
      <c r="A128" s="132" t="s">
        <v>807</v>
      </c>
      <c r="B128" s="129" t="s">
        <v>805</v>
      </c>
      <c r="C128" s="133" t="s">
        <v>808</v>
      </c>
      <c r="D128" s="128" t="s">
        <v>715</v>
      </c>
      <c r="E128" s="128" t="s">
        <v>545</v>
      </c>
    </row>
    <row r="129" spans="1:5">
      <c r="A129" s="135" t="s">
        <v>333</v>
      </c>
      <c r="B129" s="136" t="s">
        <v>760</v>
      </c>
      <c r="C129" s="133" t="s">
        <v>809</v>
      </c>
      <c r="D129" s="128" t="s">
        <v>715</v>
      </c>
      <c r="E129" s="128" t="s">
        <v>545</v>
      </c>
    </row>
    <row r="130" spans="1:5">
      <c r="A130" s="132" t="s">
        <v>334</v>
      </c>
      <c r="B130" s="129" t="s">
        <v>773</v>
      </c>
      <c r="C130" s="133" t="s">
        <v>810</v>
      </c>
      <c r="D130" s="128" t="s">
        <v>715</v>
      </c>
      <c r="E130" s="128" t="s">
        <v>545</v>
      </c>
    </row>
    <row r="131" spans="1:5">
      <c r="A131" s="132" t="s">
        <v>335</v>
      </c>
      <c r="B131" s="129" t="s">
        <v>811</v>
      </c>
      <c r="C131" s="133" t="s">
        <v>812</v>
      </c>
      <c r="D131" s="128" t="s">
        <v>715</v>
      </c>
      <c r="E131" s="128" t="s">
        <v>545</v>
      </c>
    </row>
    <row r="132" spans="1:5">
      <c r="A132" s="135" t="s">
        <v>336</v>
      </c>
      <c r="B132" s="136" t="s">
        <v>813</v>
      </c>
      <c r="C132" s="133" t="s">
        <v>814</v>
      </c>
      <c r="D132" s="128" t="s">
        <v>715</v>
      </c>
      <c r="E132" s="128" t="s">
        <v>545</v>
      </c>
    </row>
    <row r="133" spans="1:5">
      <c r="A133" s="132" t="s">
        <v>337</v>
      </c>
      <c r="B133" s="129" t="s">
        <v>815</v>
      </c>
      <c r="C133" s="133" t="s">
        <v>816</v>
      </c>
      <c r="D133" s="128" t="s">
        <v>715</v>
      </c>
      <c r="E133" s="128" t="s">
        <v>545</v>
      </c>
    </row>
    <row r="134" spans="1:5">
      <c r="A134" s="132" t="s">
        <v>338</v>
      </c>
      <c r="B134" s="129" t="s">
        <v>817</v>
      </c>
      <c r="C134" s="133" t="s">
        <v>818</v>
      </c>
      <c r="D134" s="128" t="s">
        <v>715</v>
      </c>
      <c r="E134" s="128" t="s">
        <v>545</v>
      </c>
    </row>
    <row r="135" spans="1:5">
      <c r="A135" s="132" t="s">
        <v>340</v>
      </c>
      <c r="B135" s="129" t="s">
        <v>819</v>
      </c>
      <c r="C135" s="133" t="s">
        <v>820</v>
      </c>
      <c r="D135" s="128" t="s">
        <v>715</v>
      </c>
      <c r="E135" s="128" t="s">
        <v>545</v>
      </c>
    </row>
    <row r="136" spans="1:5">
      <c r="A136" s="132" t="s">
        <v>341</v>
      </c>
      <c r="B136" s="129" t="s">
        <v>821</v>
      </c>
      <c r="C136" s="133" t="s">
        <v>822</v>
      </c>
      <c r="D136" s="128" t="s">
        <v>715</v>
      </c>
      <c r="E136" s="128" t="s">
        <v>545</v>
      </c>
    </row>
    <row r="137" spans="1:5">
      <c r="A137" s="128" t="s">
        <v>317</v>
      </c>
      <c r="B137" s="136" t="s">
        <v>821</v>
      </c>
      <c r="C137" s="131" t="s">
        <v>823</v>
      </c>
      <c r="D137" s="128" t="s">
        <v>715</v>
      </c>
      <c r="E137" s="128" t="s">
        <v>545</v>
      </c>
    </row>
    <row r="138" spans="1:5">
      <c r="A138" s="135" t="s">
        <v>339</v>
      </c>
      <c r="B138" s="136" t="s">
        <v>824</v>
      </c>
      <c r="C138" s="133" t="s">
        <v>825</v>
      </c>
      <c r="D138" s="128" t="s">
        <v>715</v>
      </c>
      <c r="E138" s="128" t="s">
        <v>545</v>
      </c>
    </row>
    <row r="139" spans="1:5">
      <c r="A139" s="132" t="s">
        <v>342</v>
      </c>
      <c r="B139" s="129" t="s">
        <v>826</v>
      </c>
      <c r="C139" s="133" t="s">
        <v>827</v>
      </c>
      <c r="D139" s="128" t="s">
        <v>715</v>
      </c>
      <c r="E139" s="128" t="s">
        <v>545</v>
      </c>
    </row>
    <row r="140" spans="1:5">
      <c r="A140" s="135" t="s">
        <v>343</v>
      </c>
      <c r="B140" s="136" t="s">
        <v>828</v>
      </c>
      <c r="C140" s="133" t="s">
        <v>829</v>
      </c>
      <c r="D140" s="128" t="s">
        <v>715</v>
      </c>
      <c r="E140" s="128" t="s">
        <v>545</v>
      </c>
    </row>
    <row r="141" spans="1:5">
      <c r="A141" s="134" t="s">
        <v>830</v>
      </c>
      <c r="B141" s="129" t="s">
        <v>831</v>
      </c>
      <c r="C141" s="131" t="s">
        <v>832</v>
      </c>
      <c r="D141" s="128" t="s">
        <v>715</v>
      </c>
      <c r="E141" s="128" t="s">
        <v>545</v>
      </c>
    </row>
    <row r="142" spans="1:5">
      <c r="A142" s="132" t="s">
        <v>344</v>
      </c>
      <c r="B142" s="129" t="s">
        <v>831</v>
      </c>
      <c r="C142" s="133" t="s">
        <v>833</v>
      </c>
      <c r="D142" s="128" t="s">
        <v>715</v>
      </c>
      <c r="E142" s="128" t="s">
        <v>545</v>
      </c>
    </row>
    <row r="143" spans="1:5">
      <c r="A143" s="135" t="s">
        <v>345</v>
      </c>
      <c r="B143" s="136" t="s">
        <v>834</v>
      </c>
      <c r="C143" s="133" t="s">
        <v>835</v>
      </c>
      <c r="D143" s="128" t="s">
        <v>715</v>
      </c>
      <c r="E143" s="128" t="s">
        <v>545</v>
      </c>
    </row>
    <row r="144" spans="1:5">
      <c r="A144" s="132" t="s">
        <v>346</v>
      </c>
      <c r="B144" s="129" t="s">
        <v>836</v>
      </c>
      <c r="C144" s="133" t="s">
        <v>837</v>
      </c>
      <c r="D144" s="128" t="s">
        <v>715</v>
      </c>
      <c r="E144" s="128" t="s">
        <v>545</v>
      </c>
    </row>
    <row r="145" spans="1:5">
      <c r="A145" s="134" t="s">
        <v>838</v>
      </c>
      <c r="B145" s="129" t="s">
        <v>839</v>
      </c>
      <c r="C145" s="131" t="s">
        <v>840</v>
      </c>
      <c r="D145" s="128" t="s">
        <v>715</v>
      </c>
      <c r="E145" s="128" t="s">
        <v>545</v>
      </c>
    </row>
    <row r="146" spans="1:5">
      <c r="A146" s="132" t="s">
        <v>347</v>
      </c>
      <c r="B146" s="129" t="s">
        <v>839</v>
      </c>
      <c r="C146" s="133" t="s">
        <v>841</v>
      </c>
      <c r="D146" s="128" t="s">
        <v>715</v>
      </c>
      <c r="E146" s="128" t="s">
        <v>545</v>
      </c>
    </row>
    <row r="147" spans="1:5">
      <c r="A147" s="132" t="s">
        <v>348</v>
      </c>
      <c r="B147" s="129" t="s">
        <v>842</v>
      </c>
      <c r="C147" s="133" t="s">
        <v>843</v>
      </c>
      <c r="D147" s="128" t="s">
        <v>715</v>
      </c>
      <c r="E147" s="128" t="s">
        <v>545</v>
      </c>
    </row>
    <row r="148" spans="1:5">
      <c r="A148" s="128" t="s">
        <v>844</v>
      </c>
      <c r="B148" s="129" t="s">
        <v>845</v>
      </c>
      <c r="C148" s="133" t="s">
        <v>846</v>
      </c>
      <c r="D148" s="128" t="s">
        <v>715</v>
      </c>
      <c r="E148" s="128" t="s">
        <v>545</v>
      </c>
    </row>
    <row r="149" spans="1:5">
      <c r="A149" s="132" t="s">
        <v>349</v>
      </c>
      <c r="B149" s="129" t="s">
        <v>847</v>
      </c>
      <c r="C149" s="133" t="s">
        <v>848</v>
      </c>
      <c r="D149" s="128" t="s">
        <v>715</v>
      </c>
      <c r="E149" s="128" t="s">
        <v>545</v>
      </c>
    </row>
    <row r="150" spans="1:5">
      <c r="A150" s="132" t="s">
        <v>352</v>
      </c>
      <c r="B150" s="129" t="s">
        <v>849</v>
      </c>
      <c r="C150" s="133" t="s">
        <v>850</v>
      </c>
      <c r="D150" s="128" t="s">
        <v>715</v>
      </c>
      <c r="E150" s="128" t="s">
        <v>545</v>
      </c>
    </row>
    <row r="151" spans="1:5">
      <c r="A151" s="132" t="s">
        <v>353</v>
      </c>
      <c r="B151" s="129" t="s">
        <v>851</v>
      </c>
      <c r="C151" s="133" t="s">
        <v>852</v>
      </c>
      <c r="D151" s="128" t="s">
        <v>715</v>
      </c>
      <c r="E151" s="128" t="s">
        <v>545</v>
      </c>
    </row>
    <row r="152" spans="1:5">
      <c r="A152" s="132" t="s">
        <v>350</v>
      </c>
      <c r="B152" s="129" t="s">
        <v>851</v>
      </c>
      <c r="C152" s="133" t="s">
        <v>853</v>
      </c>
      <c r="D152" s="128" t="s">
        <v>715</v>
      </c>
      <c r="E152" s="128" t="s">
        <v>545</v>
      </c>
    </row>
    <row r="153" spans="1:5">
      <c r="A153" s="132" t="s">
        <v>354</v>
      </c>
      <c r="B153" s="129" t="s">
        <v>854</v>
      </c>
      <c r="C153" s="133" t="s">
        <v>855</v>
      </c>
      <c r="D153" s="128" t="s">
        <v>715</v>
      </c>
      <c r="E153" s="128" t="s">
        <v>545</v>
      </c>
    </row>
    <row r="154" spans="1:5">
      <c r="A154" s="132" t="s">
        <v>351</v>
      </c>
      <c r="B154" s="129" t="s">
        <v>854</v>
      </c>
      <c r="C154" s="133" t="s">
        <v>856</v>
      </c>
      <c r="D154" s="128" t="s">
        <v>715</v>
      </c>
      <c r="E154" s="128" t="s">
        <v>545</v>
      </c>
    </row>
    <row r="155" spans="1:5">
      <c r="A155" s="132" t="s">
        <v>355</v>
      </c>
      <c r="B155" s="129" t="s">
        <v>857</v>
      </c>
      <c r="C155" s="133" t="s">
        <v>858</v>
      </c>
      <c r="D155" s="128" t="s">
        <v>715</v>
      </c>
      <c r="E155" s="128" t="s">
        <v>545</v>
      </c>
    </row>
    <row r="156" spans="1:5">
      <c r="A156" s="132" t="s">
        <v>859</v>
      </c>
      <c r="B156" s="129" t="s">
        <v>860</v>
      </c>
      <c r="C156" s="133" t="s">
        <v>861</v>
      </c>
      <c r="D156" s="128" t="s">
        <v>715</v>
      </c>
      <c r="E156" s="128" t="s">
        <v>545</v>
      </c>
    </row>
    <row r="157" spans="1:5">
      <c r="A157" s="132" t="s">
        <v>365</v>
      </c>
      <c r="B157" s="129" t="s">
        <v>862</v>
      </c>
      <c r="C157" s="133" t="s">
        <v>863</v>
      </c>
      <c r="D157" s="128" t="s">
        <v>715</v>
      </c>
      <c r="E157" s="128" t="s">
        <v>545</v>
      </c>
    </row>
    <row r="158" spans="1:5">
      <c r="A158" s="132" t="s">
        <v>364</v>
      </c>
      <c r="B158" s="129" t="s">
        <v>864</v>
      </c>
      <c r="C158" s="133" t="s">
        <v>865</v>
      </c>
      <c r="D158" s="128" t="s">
        <v>715</v>
      </c>
      <c r="E158" s="128" t="s">
        <v>545</v>
      </c>
    </row>
    <row r="159" spans="1:5">
      <c r="A159" s="132" t="s">
        <v>366</v>
      </c>
      <c r="B159" s="129" t="s">
        <v>866</v>
      </c>
      <c r="C159" s="133" t="s">
        <v>867</v>
      </c>
      <c r="D159" s="128" t="s">
        <v>715</v>
      </c>
      <c r="E159" s="128" t="s">
        <v>545</v>
      </c>
    </row>
    <row r="160" spans="1:5">
      <c r="A160" s="132" t="s">
        <v>367</v>
      </c>
      <c r="B160" s="129" t="s">
        <v>868</v>
      </c>
      <c r="C160" s="133" t="s">
        <v>869</v>
      </c>
      <c r="D160" s="128" t="s">
        <v>715</v>
      </c>
      <c r="E160" s="128" t="s">
        <v>545</v>
      </c>
    </row>
    <row r="161" spans="1:5">
      <c r="A161" s="135" t="s">
        <v>372</v>
      </c>
      <c r="B161" s="136" t="s">
        <v>870</v>
      </c>
      <c r="C161" s="133" t="s">
        <v>871</v>
      </c>
      <c r="D161" s="128" t="s">
        <v>715</v>
      </c>
      <c r="E161" s="128" t="s">
        <v>545</v>
      </c>
    </row>
    <row r="162" spans="1:5">
      <c r="A162" s="132" t="s">
        <v>370</v>
      </c>
      <c r="B162" s="129" t="s">
        <v>872</v>
      </c>
      <c r="C162" s="133" t="s">
        <v>873</v>
      </c>
      <c r="D162" s="128" t="s">
        <v>715</v>
      </c>
      <c r="E162" s="128" t="s">
        <v>545</v>
      </c>
    </row>
    <row r="163" spans="1:5">
      <c r="A163" s="132" t="s">
        <v>371</v>
      </c>
      <c r="B163" s="129" t="s">
        <v>872</v>
      </c>
      <c r="C163" s="133" t="s">
        <v>874</v>
      </c>
      <c r="D163" s="128" t="s">
        <v>715</v>
      </c>
      <c r="E163" s="128" t="s">
        <v>545</v>
      </c>
    </row>
    <row r="164" spans="1:5">
      <c r="A164" s="132" t="s">
        <v>377</v>
      </c>
      <c r="B164" s="129" t="s">
        <v>875</v>
      </c>
      <c r="C164" s="133" t="s">
        <v>876</v>
      </c>
      <c r="D164" s="128" t="s">
        <v>715</v>
      </c>
      <c r="E164" s="128" t="s">
        <v>545</v>
      </c>
    </row>
    <row r="165" spans="1:5">
      <c r="A165" s="132" t="s">
        <v>376</v>
      </c>
      <c r="B165" s="129" t="s">
        <v>877</v>
      </c>
      <c r="C165" s="133" t="s">
        <v>878</v>
      </c>
      <c r="D165" s="128" t="s">
        <v>715</v>
      </c>
      <c r="E165" s="128" t="s">
        <v>545</v>
      </c>
    </row>
    <row r="166" spans="1:5">
      <c r="A166" s="132" t="s">
        <v>374</v>
      </c>
      <c r="B166" s="129" t="s">
        <v>879</v>
      </c>
      <c r="C166" s="133" t="s">
        <v>880</v>
      </c>
      <c r="D166" s="128" t="s">
        <v>715</v>
      </c>
      <c r="E166" s="128" t="s">
        <v>545</v>
      </c>
    </row>
    <row r="167" spans="1:5">
      <c r="A167" s="135" t="s">
        <v>373</v>
      </c>
      <c r="B167" s="136" t="s">
        <v>881</v>
      </c>
      <c r="C167" s="130" t="s">
        <v>882</v>
      </c>
      <c r="D167" s="128" t="s">
        <v>601</v>
      </c>
      <c r="E167" s="128" t="s">
        <v>545</v>
      </c>
    </row>
    <row r="168" spans="1:5">
      <c r="A168" s="137" t="s">
        <v>384</v>
      </c>
      <c r="B168" s="129" t="s">
        <v>883</v>
      </c>
      <c r="C168" s="131" t="s">
        <v>884</v>
      </c>
      <c r="D168" s="128" t="s">
        <v>715</v>
      </c>
      <c r="E168" s="128" t="s">
        <v>545</v>
      </c>
    </row>
    <row r="169" spans="1:5">
      <c r="A169" s="132" t="s">
        <v>375</v>
      </c>
      <c r="B169" s="129" t="s">
        <v>885</v>
      </c>
      <c r="C169" s="133" t="s">
        <v>886</v>
      </c>
      <c r="D169" s="128" t="s">
        <v>715</v>
      </c>
      <c r="E169" s="128" t="s">
        <v>545</v>
      </c>
    </row>
    <row r="170" spans="1:5">
      <c r="A170" s="135" t="s">
        <v>379</v>
      </c>
      <c r="B170" s="136" t="s">
        <v>887</v>
      </c>
      <c r="C170" s="133" t="s">
        <v>888</v>
      </c>
      <c r="D170" s="128" t="s">
        <v>715</v>
      </c>
      <c r="E170" s="128" t="s">
        <v>545</v>
      </c>
    </row>
    <row r="171" spans="1:5">
      <c r="A171" s="132" t="s">
        <v>380</v>
      </c>
      <c r="B171" s="129" t="s">
        <v>889</v>
      </c>
      <c r="C171" s="133" t="s">
        <v>890</v>
      </c>
      <c r="D171" s="128" t="s">
        <v>715</v>
      </c>
      <c r="E171" s="128" t="s">
        <v>545</v>
      </c>
    </row>
    <row r="172" spans="1:5">
      <c r="A172" s="132" t="s">
        <v>381</v>
      </c>
      <c r="B172" s="129" t="s">
        <v>891</v>
      </c>
      <c r="C172" s="133" t="s">
        <v>892</v>
      </c>
      <c r="D172" s="128" t="s">
        <v>715</v>
      </c>
      <c r="E172" s="128" t="s">
        <v>545</v>
      </c>
    </row>
    <row r="173" spans="1:5">
      <c r="A173" s="132" t="s">
        <v>382</v>
      </c>
      <c r="B173" s="129" t="s">
        <v>893</v>
      </c>
      <c r="C173" s="133" t="s">
        <v>894</v>
      </c>
      <c r="D173" s="128" t="s">
        <v>715</v>
      </c>
      <c r="E173" s="128" t="s">
        <v>545</v>
      </c>
    </row>
    <row r="174" spans="1:5">
      <c r="A174" s="132" t="s">
        <v>383</v>
      </c>
      <c r="B174" s="129" t="s">
        <v>895</v>
      </c>
      <c r="C174" s="133" t="s">
        <v>896</v>
      </c>
      <c r="D174" s="128" t="s">
        <v>715</v>
      </c>
      <c r="E174" s="128" t="s">
        <v>545</v>
      </c>
    </row>
    <row r="175" spans="1:5">
      <c r="A175" s="128" t="s">
        <v>897</v>
      </c>
      <c r="B175" s="129" t="s">
        <v>898</v>
      </c>
      <c r="C175" s="130" t="s">
        <v>899</v>
      </c>
      <c r="D175" s="128" t="s">
        <v>715</v>
      </c>
      <c r="E175" s="128" t="s">
        <v>545</v>
      </c>
    </row>
    <row r="176" spans="1:5">
      <c r="A176" s="135" t="s">
        <v>386</v>
      </c>
      <c r="B176" s="136" t="s">
        <v>900</v>
      </c>
      <c r="C176" s="133" t="s">
        <v>901</v>
      </c>
      <c r="D176" s="128" t="s">
        <v>715</v>
      </c>
      <c r="E176" s="128" t="s">
        <v>545</v>
      </c>
    </row>
    <row r="177" spans="1:5">
      <c r="A177" s="128" t="s">
        <v>902</v>
      </c>
      <c r="B177" s="136" t="s">
        <v>900</v>
      </c>
      <c r="C177" s="133" t="s">
        <v>903</v>
      </c>
      <c r="D177" s="128" t="s">
        <v>715</v>
      </c>
      <c r="E177" s="128" t="s">
        <v>545</v>
      </c>
    </row>
    <row r="178" spans="1:5">
      <c r="A178" s="128" t="s">
        <v>904</v>
      </c>
      <c r="B178" s="136" t="s">
        <v>905</v>
      </c>
      <c r="C178" s="133" t="s">
        <v>906</v>
      </c>
      <c r="D178" s="128" t="s">
        <v>715</v>
      </c>
      <c r="E178" s="128" t="s">
        <v>545</v>
      </c>
    </row>
    <row r="179" spans="1:5">
      <c r="A179" s="135" t="s">
        <v>387</v>
      </c>
      <c r="B179" s="136" t="s">
        <v>905</v>
      </c>
      <c r="C179" s="133" t="s">
        <v>907</v>
      </c>
      <c r="D179" s="128" t="s">
        <v>715</v>
      </c>
      <c r="E179" s="128" t="s">
        <v>545</v>
      </c>
    </row>
    <row r="180" spans="1:5">
      <c r="A180" s="128" t="s">
        <v>908</v>
      </c>
      <c r="B180" s="136" t="s">
        <v>909</v>
      </c>
      <c r="C180" s="133" t="s">
        <v>910</v>
      </c>
      <c r="D180" s="128" t="s">
        <v>715</v>
      </c>
      <c r="E180" s="128" t="s">
        <v>545</v>
      </c>
    </row>
    <row r="181" spans="1:5">
      <c r="A181" s="132" t="s">
        <v>388</v>
      </c>
      <c r="B181" s="129" t="s">
        <v>911</v>
      </c>
      <c r="C181" s="133" t="s">
        <v>912</v>
      </c>
      <c r="D181" s="128" t="s">
        <v>601</v>
      </c>
      <c r="E181" s="128" t="s">
        <v>545</v>
      </c>
    </row>
    <row r="182" spans="1:5">
      <c r="A182" s="132" t="s">
        <v>389</v>
      </c>
      <c r="B182" s="129" t="s">
        <v>911</v>
      </c>
      <c r="C182" s="133" t="s">
        <v>913</v>
      </c>
      <c r="D182" s="128" t="s">
        <v>601</v>
      </c>
      <c r="E182" s="128" t="s">
        <v>545</v>
      </c>
    </row>
    <row r="183" spans="1:5">
      <c r="A183" s="132" t="s">
        <v>399</v>
      </c>
      <c r="B183" s="129" t="s">
        <v>914</v>
      </c>
      <c r="C183" s="133" t="s">
        <v>915</v>
      </c>
      <c r="D183" s="128" t="s">
        <v>715</v>
      </c>
      <c r="E183" s="128" t="s">
        <v>545</v>
      </c>
    </row>
    <row r="184" spans="1:5">
      <c r="A184" s="132" t="s">
        <v>391</v>
      </c>
      <c r="B184" s="129" t="s">
        <v>916</v>
      </c>
      <c r="C184" s="130" t="s">
        <v>917</v>
      </c>
      <c r="D184" s="128" t="s">
        <v>601</v>
      </c>
      <c r="E184" s="128" t="s">
        <v>545</v>
      </c>
    </row>
    <row r="185" spans="1:5">
      <c r="A185" s="132" t="s">
        <v>400</v>
      </c>
      <c r="B185" s="129" t="s">
        <v>916</v>
      </c>
      <c r="C185" s="133" t="s">
        <v>918</v>
      </c>
      <c r="D185" s="128" t="s">
        <v>601</v>
      </c>
      <c r="E185" s="128" t="s">
        <v>545</v>
      </c>
    </row>
    <row r="186" spans="1:5">
      <c r="A186" s="132" t="s">
        <v>393</v>
      </c>
      <c r="B186" s="129" t="s">
        <v>919</v>
      </c>
      <c r="C186" s="133" t="s">
        <v>920</v>
      </c>
      <c r="D186" s="128" t="s">
        <v>601</v>
      </c>
      <c r="E186" s="128" t="s">
        <v>545</v>
      </c>
    </row>
    <row r="187" spans="1:5">
      <c r="A187" s="131" t="s">
        <v>921</v>
      </c>
      <c r="B187" s="129" t="s">
        <v>922</v>
      </c>
      <c r="C187" s="131" t="s">
        <v>923</v>
      </c>
      <c r="D187" s="128" t="s">
        <v>715</v>
      </c>
      <c r="E187" s="128" t="s">
        <v>545</v>
      </c>
    </row>
    <row r="188" spans="1:5">
      <c r="A188" s="132" t="s">
        <v>394</v>
      </c>
      <c r="B188" s="129" t="s">
        <v>922</v>
      </c>
      <c r="C188" s="133" t="s">
        <v>924</v>
      </c>
      <c r="D188" s="128" t="s">
        <v>715</v>
      </c>
      <c r="E188" s="128" t="s">
        <v>545</v>
      </c>
    </row>
    <row r="189" spans="1:5">
      <c r="A189" s="132" t="s">
        <v>925</v>
      </c>
      <c r="B189" s="129" t="s">
        <v>926</v>
      </c>
      <c r="C189" s="133" t="s">
        <v>927</v>
      </c>
      <c r="D189" s="128" t="s">
        <v>601</v>
      </c>
      <c r="E189" s="128" t="s">
        <v>545</v>
      </c>
    </row>
    <row r="190" spans="1:5">
      <c r="A190" s="132" t="s">
        <v>245</v>
      </c>
      <c r="B190" s="129" t="s">
        <v>928</v>
      </c>
      <c r="C190" s="133" t="s">
        <v>929</v>
      </c>
      <c r="D190" s="128" t="s">
        <v>930</v>
      </c>
      <c r="E190" s="128" t="s">
        <v>545</v>
      </c>
    </row>
    <row r="191" spans="1:5">
      <c r="A191" s="132" t="s">
        <v>246</v>
      </c>
      <c r="B191" s="129" t="s">
        <v>931</v>
      </c>
      <c r="C191" s="133" t="s">
        <v>932</v>
      </c>
      <c r="D191" s="128" t="s">
        <v>930</v>
      </c>
      <c r="E191" s="128" t="s">
        <v>545</v>
      </c>
    </row>
    <row r="192" spans="1:5">
      <c r="A192" s="132" t="s">
        <v>247</v>
      </c>
      <c r="B192" s="129" t="s">
        <v>933</v>
      </c>
      <c r="C192" s="133" t="s">
        <v>934</v>
      </c>
      <c r="D192" s="128" t="s">
        <v>930</v>
      </c>
      <c r="E192" s="128" t="s">
        <v>545</v>
      </c>
    </row>
    <row r="193" spans="1:5">
      <c r="A193" s="132" t="s">
        <v>87</v>
      </c>
      <c r="B193" s="129" t="s">
        <v>935</v>
      </c>
      <c r="C193" s="133" t="s">
        <v>936</v>
      </c>
      <c r="D193" s="128" t="s">
        <v>937</v>
      </c>
      <c r="E193" s="128" t="s">
        <v>545</v>
      </c>
    </row>
    <row r="194" spans="1:5">
      <c r="A194" s="132" t="s">
        <v>88</v>
      </c>
      <c r="B194" s="129" t="s">
        <v>935</v>
      </c>
      <c r="C194" s="133" t="s">
        <v>938</v>
      </c>
      <c r="D194" s="128" t="s">
        <v>937</v>
      </c>
      <c r="E194" s="128" t="s">
        <v>545</v>
      </c>
    </row>
    <row r="195" spans="1:5">
      <c r="A195" s="132" t="s">
        <v>483</v>
      </c>
      <c r="B195" s="129" t="s">
        <v>939</v>
      </c>
      <c r="C195" s="133" t="s">
        <v>940</v>
      </c>
      <c r="D195" s="128" t="s">
        <v>601</v>
      </c>
      <c r="E195" s="128" t="s">
        <v>545</v>
      </c>
    </row>
    <row r="196" spans="1:5">
      <c r="A196" s="132" t="s">
        <v>484</v>
      </c>
      <c r="B196" s="129" t="s">
        <v>941</v>
      </c>
      <c r="C196" s="133" t="s">
        <v>942</v>
      </c>
      <c r="D196" s="128" t="s">
        <v>654</v>
      </c>
      <c r="E196" s="128" t="s">
        <v>545</v>
      </c>
    </row>
    <row r="197" spans="1:5">
      <c r="A197" s="132" t="s">
        <v>71</v>
      </c>
      <c r="B197" s="129" t="s">
        <v>943</v>
      </c>
      <c r="C197" s="133" t="s">
        <v>944</v>
      </c>
      <c r="D197" s="128" t="s">
        <v>945</v>
      </c>
      <c r="E197" s="128" t="s">
        <v>545</v>
      </c>
    </row>
    <row r="198" spans="1:5">
      <c r="A198" s="132" t="s">
        <v>72</v>
      </c>
      <c r="B198" s="129" t="s">
        <v>943</v>
      </c>
      <c r="C198" s="133" t="s">
        <v>946</v>
      </c>
      <c r="D198" s="128" t="s">
        <v>945</v>
      </c>
      <c r="E198" s="128" t="s">
        <v>545</v>
      </c>
    </row>
    <row r="199" spans="1:5">
      <c r="A199" s="132" t="s">
        <v>73</v>
      </c>
      <c r="B199" s="129" t="s">
        <v>947</v>
      </c>
      <c r="C199" s="133" t="s">
        <v>948</v>
      </c>
      <c r="D199" s="128" t="s">
        <v>945</v>
      </c>
      <c r="E199" s="128" t="s">
        <v>545</v>
      </c>
    </row>
    <row r="200" spans="1:5">
      <c r="A200" s="132" t="s">
        <v>74</v>
      </c>
      <c r="B200" s="129" t="s">
        <v>949</v>
      </c>
      <c r="C200" s="133" t="s">
        <v>950</v>
      </c>
      <c r="D200" s="128" t="s">
        <v>945</v>
      </c>
      <c r="E200" s="128" t="s">
        <v>545</v>
      </c>
    </row>
    <row r="201" spans="1:5">
      <c r="A201" s="132" t="s">
        <v>75</v>
      </c>
      <c r="B201" s="129" t="s">
        <v>951</v>
      </c>
      <c r="C201" s="133" t="s">
        <v>952</v>
      </c>
      <c r="D201" s="128" t="s">
        <v>945</v>
      </c>
      <c r="E201" s="128" t="s">
        <v>545</v>
      </c>
    </row>
    <row r="202" spans="1:5">
      <c r="A202" s="132" t="s">
        <v>76</v>
      </c>
      <c r="B202" s="129" t="s">
        <v>953</v>
      </c>
      <c r="C202" s="133" t="s">
        <v>954</v>
      </c>
      <c r="D202" s="128" t="s">
        <v>945</v>
      </c>
      <c r="E202" s="128" t="s">
        <v>545</v>
      </c>
    </row>
    <row r="203" spans="1:5">
      <c r="A203" s="135" t="s">
        <v>77</v>
      </c>
      <c r="B203" s="136" t="s">
        <v>955</v>
      </c>
      <c r="C203" s="133" t="s">
        <v>956</v>
      </c>
      <c r="D203" s="128" t="s">
        <v>945</v>
      </c>
      <c r="E203" s="128" t="s">
        <v>545</v>
      </c>
    </row>
    <row r="204" spans="1:5">
      <c r="A204" s="132" t="s">
        <v>78</v>
      </c>
      <c r="B204" s="129" t="s">
        <v>957</v>
      </c>
      <c r="C204" s="133" t="s">
        <v>958</v>
      </c>
      <c r="D204" s="128" t="s">
        <v>945</v>
      </c>
      <c r="E204" s="128" t="s">
        <v>545</v>
      </c>
    </row>
    <row r="205" spans="1:5">
      <c r="A205" s="132" t="s">
        <v>79</v>
      </c>
      <c r="B205" s="129" t="s">
        <v>959</v>
      </c>
      <c r="C205" s="133" t="s">
        <v>960</v>
      </c>
      <c r="D205" s="128" t="s">
        <v>945</v>
      </c>
      <c r="E205" s="128" t="s">
        <v>545</v>
      </c>
    </row>
    <row r="206" spans="1:5">
      <c r="A206" s="132" t="s">
        <v>80</v>
      </c>
      <c r="B206" s="129" t="s">
        <v>961</v>
      </c>
      <c r="C206" s="133" t="s">
        <v>962</v>
      </c>
      <c r="D206" s="128" t="s">
        <v>945</v>
      </c>
      <c r="E206" s="128" t="s">
        <v>545</v>
      </c>
    </row>
    <row r="207" spans="1:5">
      <c r="A207" s="128" t="s">
        <v>963</v>
      </c>
      <c r="B207" s="129" t="s">
        <v>964</v>
      </c>
      <c r="C207" s="133" t="s">
        <v>965</v>
      </c>
      <c r="D207" s="128" t="s">
        <v>612</v>
      </c>
      <c r="E207" s="128" t="s">
        <v>545</v>
      </c>
    </row>
    <row r="208" spans="1:5">
      <c r="A208" s="128" t="s">
        <v>205</v>
      </c>
      <c r="B208" s="129" t="s">
        <v>966</v>
      </c>
      <c r="C208" s="131" t="s">
        <v>967</v>
      </c>
      <c r="D208" s="128" t="s">
        <v>612</v>
      </c>
      <c r="E208" s="128" t="s">
        <v>545</v>
      </c>
    </row>
    <row r="209" spans="1:5">
      <c r="A209" s="132" t="s">
        <v>195</v>
      </c>
      <c r="B209" s="129" t="s">
        <v>966</v>
      </c>
      <c r="C209" s="133" t="s">
        <v>968</v>
      </c>
      <c r="D209" s="128" t="s">
        <v>612</v>
      </c>
      <c r="E209" s="128" t="s">
        <v>545</v>
      </c>
    </row>
    <row r="210" spans="1:5">
      <c r="A210" s="132" t="s">
        <v>196</v>
      </c>
      <c r="B210" s="129" t="s">
        <v>969</v>
      </c>
      <c r="C210" s="133" t="s">
        <v>970</v>
      </c>
      <c r="D210" s="128" t="s">
        <v>612</v>
      </c>
      <c r="E210" s="128" t="s">
        <v>545</v>
      </c>
    </row>
    <row r="211" spans="1:5">
      <c r="A211" s="135" t="s">
        <v>197</v>
      </c>
      <c r="B211" s="136" t="s">
        <v>971</v>
      </c>
      <c r="C211" s="133" t="s">
        <v>972</v>
      </c>
      <c r="D211" s="128" t="s">
        <v>612</v>
      </c>
      <c r="E211" s="128" t="s">
        <v>545</v>
      </c>
    </row>
    <row r="212" spans="1:5">
      <c r="A212" s="138" t="s">
        <v>198</v>
      </c>
      <c r="B212" s="136" t="s">
        <v>966</v>
      </c>
      <c r="C212" s="131" t="s">
        <v>973</v>
      </c>
      <c r="D212" s="128" t="s">
        <v>612</v>
      </c>
      <c r="E212" s="128" t="s">
        <v>545</v>
      </c>
    </row>
    <row r="213" spans="1:5">
      <c r="A213" s="128" t="s">
        <v>974</v>
      </c>
      <c r="B213" s="136" t="s">
        <v>971</v>
      </c>
      <c r="C213" s="133" t="s">
        <v>975</v>
      </c>
      <c r="D213" s="128" t="s">
        <v>612</v>
      </c>
      <c r="E213" s="128" t="s">
        <v>545</v>
      </c>
    </row>
    <row r="214" spans="1:5">
      <c r="A214" s="132" t="s">
        <v>976</v>
      </c>
      <c r="B214" s="129" t="s">
        <v>977</v>
      </c>
      <c r="C214" s="133" t="s">
        <v>978</v>
      </c>
      <c r="D214" s="128" t="s">
        <v>612</v>
      </c>
      <c r="E214" s="128" t="s">
        <v>545</v>
      </c>
    </row>
    <row r="215" spans="1:5">
      <c r="A215" s="128" t="s">
        <v>979</v>
      </c>
      <c r="B215" s="129" t="s">
        <v>980</v>
      </c>
      <c r="C215" s="131" t="s">
        <v>981</v>
      </c>
      <c r="D215" s="128" t="s">
        <v>612</v>
      </c>
      <c r="E215" s="128" t="s">
        <v>545</v>
      </c>
    </row>
    <row r="216" spans="1:5">
      <c r="A216" s="132" t="s">
        <v>982</v>
      </c>
      <c r="B216" s="129" t="s">
        <v>977</v>
      </c>
      <c r="C216" s="133" t="s">
        <v>983</v>
      </c>
      <c r="D216" s="128" t="s">
        <v>612</v>
      </c>
      <c r="E216" s="128" t="s">
        <v>545</v>
      </c>
    </row>
    <row r="217" spans="1:5">
      <c r="A217" s="128" t="s">
        <v>984</v>
      </c>
      <c r="B217" s="129" t="s">
        <v>977</v>
      </c>
      <c r="C217" s="133" t="s">
        <v>985</v>
      </c>
      <c r="D217" s="128" t="s">
        <v>612</v>
      </c>
      <c r="E217" s="128" t="s">
        <v>545</v>
      </c>
    </row>
    <row r="218" spans="1:5">
      <c r="A218" s="132" t="s">
        <v>986</v>
      </c>
      <c r="B218" s="129" t="s">
        <v>987</v>
      </c>
      <c r="C218" s="133" t="s">
        <v>988</v>
      </c>
      <c r="D218" s="128" t="s">
        <v>612</v>
      </c>
      <c r="E218" s="128" t="s">
        <v>545</v>
      </c>
    </row>
    <row r="219" spans="1:5">
      <c r="A219" s="135" t="s">
        <v>989</v>
      </c>
      <c r="B219" s="136" t="s">
        <v>990</v>
      </c>
      <c r="C219" s="133" t="s">
        <v>991</v>
      </c>
      <c r="D219" s="128" t="s">
        <v>612</v>
      </c>
      <c r="E219" s="128" t="s">
        <v>545</v>
      </c>
    </row>
    <row r="220" spans="1:5">
      <c r="A220" s="132" t="s">
        <v>992</v>
      </c>
      <c r="B220" s="129" t="s">
        <v>993</v>
      </c>
      <c r="C220" s="133" t="s">
        <v>994</v>
      </c>
      <c r="D220" s="128" t="s">
        <v>612</v>
      </c>
      <c r="E220" s="128" t="s">
        <v>545</v>
      </c>
    </row>
    <row r="221" spans="1:5">
      <c r="A221" s="132" t="s">
        <v>199</v>
      </c>
      <c r="B221" s="129" t="s">
        <v>995</v>
      </c>
      <c r="C221" s="133" t="s">
        <v>996</v>
      </c>
      <c r="D221" s="128" t="s">
        <v>612</v>
      </c>
      <c r="E221" s="128" t="s">
        <v>545</v>
      </c>
    </row>
    <row r="222" spans="1:5">
      <c r="A222" s="131" t="s">
        <v>997</v>
      </c>
      <c r="B222" s="129" t="s">
        <v>980</v>
      </c>
      <c r="C222" s="130" t="s">
        <v>998</v>
      </c>
      <c r="D222" s="128" t="s">
        <v>612</v>
      </c>
      <c r="E222" s="128" t="s">
        <v>545</v>
      </c>
    </row>
    <row r="223" spans="1:5">
      <c r="A223" s="128" t="s">
        <v>999</v>
      </c>
      <c r="B223" s="129" t="s">
        <v>980</v>
      </c>
      <c r="C223" s="130" t="s">
        <v>1000</v>
      </c>
      <c r="D223" s="128" t="s">
        <v>612</v>
      </c>
      <c r="E223" s="128" t="s">
        <v>545</v>
      </c>
    </row>
    <row r="224" spans="1:5">
      <c r="A224" s="132" t="s">
        <v>1001</v>
      </c>
      <c r="B224" s="129" t="s">
        <v>1002</v>
      </c>
      <c r="C224" s="133" t="s">
        <v>1003</v>
      </c>
      <c r="D224" s="128" t="s">
        <v>612</v>
      </c>
      <c r="E224" s="128" t="s">
        <v>545</v>
      </c>
    </row>
    <row r="225" spans="1:5">
      <c r="A225" s="135" t="s">
        <v>206</v>
      </c>
      <c r="B225" s="136" t="s">
        <v>1004</v>
      </c>
      <c r="C225" s="133" t="s">
        <v>1005</v>
      </c>
      <c r="D225" s="128" t="s">
        <v>612</v>
      </c>
      <c r="E225" s="128" t="s">
        <v>545</v>
      </c>
    </row>
    <row r="226" spans="1:5">
      <c r="A226" s="128" t="s">
        <v>1006</v>
      </c>
      <c r="B226" s="129" t="s">
        <v>1007</v>
      </c>
      <c r="C226" s="133" t="s">
        <v>1008</v>
      </c>
      <c r="D226" s="128" t="s">
        <v>612</v>
      </c>
      <c r="E226" s="128" t="s">
        <v>545</v>
      </c>
    </row>
    <row r="227" spans="1:5">
      <c r="A227" s="132" t="s">
        <v>1009</v>
      </c>
      <c r="B227" s="129" t="s">
        <v>1007</v>
      </c>
      <c r="C227" s="133" t="s">
        <v>1010</v>
      </c>
      <c r="D227" s="128" t="s">
        <v>612</v>
      </c>
      <c r="E227" s="128" t="s">
        <v>545</v>
      </c>
    </row>
    <row r="228" spans="1:5">
      <c r="A228" s="132" t="s">
        <v>200</v>
      </c>
      <c r="B228" s="129" t="s">
        <v>1011</v>
      </c>
      <c r="C228" s="133" t="s">
        <v>1012</v>
      </c>
      <c r="D228" s="128" t="s">
        <v>601</v>
      </c>
      <c r="E228" s="128" t="s">
        <v>545</v>
      </c>
    </row>
    <row r="229" spans="1:5">
      <c r="A229" s="135" t="s">
        <v>201</v>
      </c>
      <c r="B229" s="136" t="s">
        <v>1013</v>
      </c>
      <c r="C229" s="133" t="s">
        <v>1014</v>
      </c>
      <c r="D229" s="128" t="s">
        <v>612</v>
      </c>
      <c r="E229" s="128" t="s">
        <v>545</v>
      </c>
    </row>
    <row r="230" spans="1:5">
      <c r="A230" s="128" t="s">
        <v>1015</v>
      </c>
      <c r="B230" s="136" t="s">
        <v>1013</v>
      </c>
      <c r="C230" s="133" t="s">
        <v>1016</v>
      </c>
      <c r="D230" s="128" t="s">
        <v>612</v>
      </c>
      <c r="E230" s="128" t="s">
        <v>545</v>
      </c>
    </row>
    <row r="231" spans="1:5">
      <c r="A231" s="137" t="s">
        <v>1017</v>
      </c>
      <c r="B231" s="129" t="s">
        <v>977</v>
      </c>
      <c r="C231" s="131" t="s">
        <v>1018</v>
      </c>
      <c r="D231" s="128" t="s">
        <v>612</v>
      </c>
      <c r="E231" s="128" t="s">
        <v>545</v>
      </c>
    </row>
    <row r="232" spans="1:5">
      <c r="A232" s="132" t="s">
        <v>1019</v>
      </c>
      <c r="B232" s="129" t="s">
        <v>977</v>
      </c>
      <c r="C232" s="133" t="s">
        <v>1020</v>
      </c>
      <c r="D232" s="128" t="s">
        <v>612</v>
      </c>
      <c r="E232" s="128" t="s">
        <v>545</v>
      </c>
    </row>
    <row r="233" spans="1:5">
      <c r="A233" s="132" t="s">
        <v>202</v>
      </c>
      <c r="B233" s="129" t="s">
        <v>1021</v>
      </c>
      <c r="C233" s="133" t="s">
        <v>1022</v>
      </c>
      <c r="D233" s="128" t="s">
        <v>612</v>
      </c>
      <c r="E233" s="128" t="s">
        <v>545</v>
      </c>
    </row>
    <row r="234" spans="1:5">
      <c r="A234" s="135" t="s">
        <v>1023</v>
      </c>
      <c r="B234" s="136" t="s">
        <v>1021</v>
      </c>
      <c r="C234" s="133" t="s">
        <v>1024</v>
      </c>
      <c r="D234" s="128" t="s">
        <v>612</v>
      </c>
      <c r="E234" s="128" t="s">
        <v>545</v>
      </c>
    </row>
    <row r="235" spans="1:5">
      <c r="A235" s="132" t="s">
        <v>203</v>
      </c>
      <c r="B235" s="129" t="s">
        <v>1025</v>
      </c>
      <c r="C235" s="133" t="s">
        <v>1026</v>
      </c>
      <c r="D235" s="128" t="s">
        <v>612</v>
      </c>
      <c r="E235" s="128" t="s">
        <v>545</v>
      </c>
    </row>
    <row r="236" spans="1:5">
      <c r="A236" s="132" t="s">
        <v>204</v>
      </c>
      <c r="B236" s="129" t="s">
        <v>1027</v>
      </c>
      <c r="C236" s="133" t="s">
        <v>1028</v>
      </c>
      <c r="D236" s="128" t="s">
        <v>612</v>
      </c>
      <c r="E236" s="128" t="s">
        <v>545</v>
      </c>
    </row>
    <row r="237" spans="1:5">
      <c r="A237" s="128" t="s">
        <v>1029</v>
      </c>
      <c r="B237" s="129" t="s">
        <v>1027</v>
      </c>
      <c r="C237" s="133" t="s">
        <v>1030</v>
      </c>
      <c r="D237" s="128" t="s">
        <v>612</v>
      </c>
      <c r="E237" s="128" t="s">
        <v>545</v>
      </c>
    </row>
    <row r="238" spans="1:5">
      <c r="A238" s="132" t="s">
        <v>1031</v>
      </c>
      <c r="B238" s="129" t="s">
        <v>1032</v>
      </c>
      <c r="C238" s="133" t="s">
        <v>1033</v>
      </c>
      <c r="D238" s="128" t="s">
        <v>612</v>
      </c>
      <c r="E238" s="128" t="s">
        <v>545</v>
      </c>
    </row>
    <row r="239" spans="1:5">
      <c r="A239" s="135" t="s">
        <v>1034</v>
      </c>
      <c r="B239" s="136" t="s">
        <v>1035</v>
      </c>
      <c r="C239" s="133" t="s">
        <v>1036</v>
      </c>
      <c r="D239" s="128" t="s">
        <v>612</v>
      </c>
      <c r="E239" s="128" t="s">
        <v>545</v>
      </c>
    </row>
    <row r="240" spans="1:5">
      <c r="A240" s="137" t="s">
        <v>1037</v>
      </c>
      <c r="B240" s="129" t="s">
        <v>1038</v>
      </c>
      <c r="C240" s="131" t="s">
        <v>1039</v>
      </c>
      <c r="D240" s="128" t="s">
        <v>612</v>
      </c>
      <c r="E240" s="128" t="s">
        <v>545</v>
      </c>
    </row>
    <row r="241" spans="1:5">
      <c r="A241" s="132" t="s">
        <v>1040</v>
      </c>
      <c r="B241" s="129" t="s">
        <v>1041</v>
      </c>
      <c r="C241" s="133" t="s">
        <v>1042</v>
      </c>
      <c r="D241" s="128" t="s">
        <v>612</v>
      </c>
      <c r="E241" s="128" t="s">
        <v>545</v>
      </c>
    </row>
    <row r="242" spans="1:5">
      <c r="A242" s="138" t="s">
        <v>207</v>
      </c>
      <c r="B242" s="136" t="s">
        <v>1043</v>
      </c>
      <c r="C242" s="130" t="s">
        <v>1044</v>
      </c>
      <c r="D242" s="128" t="s">
        <v>612</v>
      </c>
      <c r="E242" s="128" t="s">
        <v>545</v>
      </c>
    </row>
    <row r="243" spans="1:5">
      <c r="A243" s="132" t="s">
        <v>1045</v>
      </c>
      <c r="B243" s="129" t="s">
        <v>1046</v>
      </c>
      <c r="C243" s="133" t="s">
        <v>1047</v>
      </c>
      <c r="D243" s="128" t="s">
        <v>612</v>
      </c>
      <c r="E243" s="128" t="s">
        <v>545</v>
      </c>
    </row>
    <row r="244" spans="1:5">
      <c r="A244" s="128" t="s">
        <v>1048</v>
      </c>
      <c r="B244" s="129" t="s">
        <v>1046</v>
      </c>
      <c r="C244" s="133" t="s">
        <v>1049</v>
      </c>
      <c r="D244" s="128" t="s">
        <v>612</v>
      </c>
      <c r="E244" s="128" t="s">
        <v>545</v>
      </c>
    </row>
    <row r="245" spans="1:5">
      <c r="A245" s="132" t="s">
        <v>1050</v>
      </c>
      <c r="B245" s="129" t="s">
        <v>1051</v>
      </c>
      <c r="C245" s="133" t="s">
        <v>1052</v>
      </c>
      <c r="D245" s="128" t="s">
        <v>612</v>
      </c>
      <c r="E245" s="128" t="s">
        <v>545</v>
      </c>
    </row>
    <row r="246" spans="1:5">
      <c r="A246" s="132" t="s">
        <v>208</v>
      </c>
      <c r="B246" s="129" t="s">
        <v>1053</v>
      </c>
      <c r="C246" s="133" t="s">
        <v>1054</v>
      </c>
      <c r="D246" s="128" t="s">
        <v>612</v>
      </c>
      <c r="E246" s="128" t="s">
        <v>545</v>
      </c>
    </row>
    <row r="247" spans="1:5">
      <c r="A247" s="132" t="s">
        <v>209</v>
      </c>
      <c r="B247" s="129" t="s">
        <v>1055</v>
      </c>
      <c r="C247" s="133" t="s">
        <v>1056</v>
      </c>
      <c r="D247" s="128" t="s">
        <v>612</v>
      </c>
      <c r="E247" s="128" t="s">
        <v>545</v>
      </c>
    </row>
    <row r="248" spans="1:5">
      <c r="A248" s="135" t="s">
        <v>210</v>
      </c>
      <c r="B248" s="136" t="s">
        <v>1043</v>
      </c>
      <c r="C248" s="133" t="s">
        <v>1057</v>
      </c>
      <c r="D248" s="128" t="s">
        <v>612</v>
      </c>
      <c r="E248" s="128" t="s">
        <v>545</v>
      </c>
    </row>
    <row r="249" spans="1:5">
      <c r="A249" s="132" t="s">
        <v>211</v>
      </c>
      <c r="B249" s="129" t="s">
        <v>1058</v>
      </c>
      <c r="C249" s="133" t="s">
        <v>1059</v>
      </c>
      <c r="D249" s="128" t="s">
        <v>612</v>
      </c>
      <c r="E249" s="128" t="s">
        <v>545</v>
      </c>
    </row>
    <row r="250" spans="1:5">
      <c r="A250" s="132" t="s">
        <v>212</v>
      </c>
      <c r="B250" s="129" t="s">
        <v>1060</v>
      </c>
      <c r="C250" s="133" t="s">
        <v>1061</v>
      </c>
      <c r="D250" s="128" t="s">
        <v>601</v>
      </c>
      <c r="E250" s="128" t="s">
        <v>545</v>
      </c>
    </row>
    <row r="251" spans="1:5">
      <c r="A251" s="132" t="s">
        <v>213</v>
      </c>
      <c r="B251" s="129" t="s">
        <v>1062</v>
      </c>
      <c r="C251" s="133" t="s">
        <v>1063</v>
      </c>
      <c r="D251" s="128" t="s">
        <v>601</v>
      </c>
      <c r="E251" s="128" t="s">
        <v>545</v>
      </c>
    </row>
    <row r="252" spans="1:5">
      <c r="A252" s="132" t="s">
        <v>1064</v>
      </c>
      <c r="B252" s="129" t="s">
        <v>1065</v>
      </c>
      <c r="C252" s="133" t="s">
        <v>1066</v>
      </c>
      <c r="D252" s="128" t="s">
        <v>612</v>
      </c>
      <c r="E252" s="128" t="s">
        <v>545</v>
      </c>
    </row>
    <row r="253" spans="1:5">
      <c r="A253" s="128" t="s">
        <v>1067</v>
      </c>
      <c r="B253" s="129" t="s">
        <v>977</v>
      </c>
      <c r="C253" s="131" t="s">
        <v>1068</v>
      </c>
      <c r="D253" s="128" t="s">
        <v>612</v>
      </c>
      <c r="E253" s="128" t="s">
        <v>545</v>
      </c>
    </row>
    <row r="254" spans="1:5">
      <c r="A254" s="132" t="s">
        <v>214</v>
      </c>
      <c r="B254" s="129" t="s">
        <v>980</v>
      </c>
      <c r="C254" s="130" t="s">
        <v>1069</v>
      </c>
      <c r="D254" s="128" t="s">
        <v>612</v>
      </c>
      <c r="E254" s="128" t="s">
        <v>545</v>
      </c>
    </row>
    <row r="255" spans="1:5">
      <c r="A255" s="128" t="s">
        <v>1070</v>
      </c>
      <c r="B255" s="129" t="s">
        <v>980</v>
      </c>
      <c r="C255" s="133" t="s">
        <v>1071</v>
      </c>
      <c r="D255" s="128" t="s">
        <v>612</v>
      </c>
      <c r="E255" s="128" t="s">
        <v>545</v>
      </c>
    </row>
    <row r="256" spans="1:5">
      <c r="A256" s="135" t="s">
        <v>215</v>
      </c>
      <c r="B256" s="136" t="s">
        <v>1032</v>
      </c>
      <c r="C256" s="133" t="s">
        <v>1072</v>
      </c>
      <c r="D256" s="128" t="s">
        <v>612</v>
      </c>
      <c r="E256" s="128" t="s">
        <v>545</v>
      </c>
    </row>
    <row r="257" spans="1:5">
      <c r="A257" s="135" t="s">
        <v>216</v>
      </c>
      <c r="B257" s="136" t="s">
        <v>1073</v>
      </c>
      <c r="C257" s="133" t="s">
        <v>1074</v>
      </c>
      <c r="D257" s="128" t="s">
        <v>612</v>
      </c>
      <c r="E257" s="128" t="s">
        <v>545</v>
      </c>
    </row>
    <row r="258" spans="1:5">
      <c r="A258" s="135" t="s">
        <v>217</v>
      </c>
      <c r="B258" s="136" t="s">
        <v>1041</v>
      </c>
      <c r="C258" s="133" t="s">
        <v>1075</v>
      </c>
      <c r="D258" s="128" t="s">
        <v>612</v>
      </c>
      <c r="E258" s="128" t="s">
        <v>545</v>
      </c>
    </row>
    <row r="259" spans="1:5">
      <c r="A259" s="132" t="s">
        <v>1076</v>
      </c>
      <c r="B259" s="129" t="s">
        <v>1077</v>
      </c>
      <c r="C259" s="133" t="s">
        <v>1078</v>
      </c>
      <c r="D259" s="128" t="s">
        <v>612</v>
      </c>
      <c r="E259" s="128" t="s">
        <v>545</v>
      </c>
    </row>
    <row r="260" spans="1:5">
      <c r="A260" s="132" t="s">
        <v>218</v>
      </c>
      <c r="B260" s="129" t="s">
        <v>1079</v>
      </c>
      <c r="C260" s="133" t="s">
        <v>1080</v>
      </c>
      <c r="D260" s="128" t="s">
        <v>601</v>
      </c>
      <c r="E260" s="128" t="s">
        <v>545</v>
      </c>
    </row>
    <row r="261" spans="1:5">
      <c r="A261" s="132" t="s">
        <v>219</v>
      </c>
      <c r="B261" s="129" t="s">
        <v>1081</v>
      </c>
      <c r="C261" s="133" t="s">
        <v>1082</v>
      </c>
      <c r="D261" s="128" t="s">
        <v>612</v>
      </c>
      <c r="E261" s="128" t="s">
        <v>545</v>
      </c>
    </row>
    <row r="262" spans="1:5">
      <c r="A262" s="135" t="s">
        <v>220</v>
      </c>
      <c r="B262" s="136" t="s">
        <v>1083</v>
      </c>
      <c r="C262" s="133" t="s">
        <v>1084</v>
      </c>
      <c r="D262" s="128" t="s">
        <v>612</v>
      </c>
      <c r="E262" s="128" t="s">
        <v>545</v>
      </c>
    </row>
    <row r="263" spans="1:5">
      <c r="A263" s="135" t="s">
        <v>221</v>
      </c>
      <c r="B263" s="136" t="s">
        <v>1043</v>
      </c>
      <c r="C263" s="133" t="s">
        <v>1085</v>
      </c>
      <c r="D263" s="128" t="s">
        <v>612</v>
      </c>
      <c r="E263" s="128" t="s">
        <v>545</v>
      </c>
    </row>
    <row r="264" spans="1:5">
      <c r="A264" s="132" t="s">
        <v>222</v>
      </c>
      <c r="B264" s="129" t="s">
        <v>1086</v>
      </c>
      <c r="C264" s="133" t="s">
        <v>1087</v>
      </c>
      <c r="D264" s="128" t="s">
        <v>612</v>
      </c>
      <c r="E264" s="128" t="s">
        <v>545</v>
      </c>
    </row>
    <row r="265" spans="1:5">
      <c r="A265" s="131" t="s">
        <v>1088</v>
      </c>
      <c r="B265" s="129" t="s">
        <v>1089</v>
      </c>
      <c r="C265" s="131" t="s">
        <v>1090</v>
      </c>
      <c r="D265" s="128" t="s">
        <v>612</v>
      </c>
      <c r="E265" s="128" t="s">
        <v>545</v>
      </c>
    </row>
    <row r="266" spans="1:5">
      <c r="A266" s="132" t="s">
        <v>1091</v>
      </c>
      <c r="B266" s="129" t="s">
        <v>1092</v>
      </c>
      <c r="C266" s="133" t="s">
        <v>1093</v>
      </c>
      <c r="D266" s="128" t="s">
        <v>601</v>
      </c>
      <c r="E266" s="128" t="s">
        <v>545</v>
      </c>
    </row>
    <row r="267" spans="1:5">
      <c r="A267" s="135" t="s">
        <v>223</v>
      </c>
      <c r="B267" s="136" t="s">
        <v>1094</v>
      </c>
      <c r="C267" s="133" t="s">
        <v>1095</v>
      </c>
      <c r="D267" s="128" t="s">
        <v>612</v>
      </c>
      <c r="E267" s="128" t="s">
        <v>545</v>
      </c>
    </row>
    <row r="268" spans="1:5">
      <c r="A268" s="132" t="s">
        <v>224</v>
      </c>
      <c r="B268" s="129" t="s">
        <v>1096</v>
      </c>
      <c r="C268" s="133" t="s">
        <v>1097</v>
      </c>
      <c r="D268" s="128" t="s">
        <v>612</v>
      </c>
      <c r="E268" s="128" t="s">
        <v>545</v>
      </c>
    </row>
    <row r="269" spans="1:5">
      <c r="A269" s="135" t="s">
        <v>225</v>
      </c>
      <c r="B269" s="136" t="s">
        <v>1098</v>
      </c>
      <c r="C269" s="133" t="s">
        <v>1099</v>
      </c>
      <c r="D269" s="128" t="s">
        <v>612</v>
      </c>
      <c r="E269" s="128" t="s">
        <v>545</v>
      </c>
    </row>
    <row r="270" spans="1:5">
      <c r="A270" s="135" t="s">
        <v>226</v>
      </c>
      <c r="B270" s="136" t="s">
        <v>1100</v>
      </c>
      <c r="C270" s="133" t="s">
        <v>1101</v>
      </c>
      <c r="D270" s="128" t="s">
        <v>612</v>
      </c>
      <c r="E270" s="128" t="s">
        <v>545</v>
      </c>
    </row>
    <row r="271" spans="1:5">
      <c r="A271" s="132" t="s">
        <v>227</v>
      </c>
      <c r="B271" s="129" t="s">
        <v>1102</v>
      </c>
      <c r="C271" s="133" t="s">
        <v>1103</v>
      </c>
      <c r="D271" s="128" t="s">
        <v>612</v>
      </c>
      <c r="E271" s="128" t="s">
        <v>545</v>
      </c>
    </row>
    <row r="272" spans="1:5">
      <c r="A272" s="135" t="s">
        <v>228</v>
      </c>
      <c r="B272" s="136" t="s">
        <v>993</v>
      </c>
      <c r="C272" s="133" t="s">
        <v>1104</v>
      </c>
      <c r="D272" s="128" t="s">
        <v>612</v>
      </c>
      <c r="E272" s="128" t="s">
        <v>545</v>
      </c>
    </row>
    <row r="273" spans="1:5">
      <c r="A273" s="132" t="s">
        <v>229</v>
      </c>
      <c r="B273" s="129" t="s">
        <v>1105</v>
      </c>
      <c r="C273" s="133" t="s">
        <v>1106</v>
      </c>
      <c r="D273" s="128" t="s">
        <v>612</v>
      </c>
      <c r="E273" s="128" t="s">
        <v>545</v>
      </c>
    </row>
    <row r="274" spans="1:5">
      <c r="A274" s="135" t="s">
        <v>464</v>
      </c>
      <c r="B274" s="136" t="s">
        <v>1107</v>
      </c>
      <c r="C274" s="133" t="s">
        <v>1108</v>
      </c>
      <c r="D274" s="128" t="s">
        <v>654</v>
      </c>
      <c r="E274" s="128" t="s">
        <v>545</v>
      </c>
    </row>
    <row r="275" spans="1:5">
      <c r="A275" s="137" t="s">
        <v>1109</v>
      </c>
      <c r="B275" s="129" t="s">
        <v>1107</v>
      </c>
      <c r="C275" s="131" t="s">
        <v>1110</v>
      </c>
      <c r="D275" s="128" t="s">
        <v>654</v>
      </c>
      <c r="E275" s="128" t="s">
        <v>545</v>
      </c>
    </row>
    <row r="276" spans="1:5">
      <c r="A276" s="132" t="s">
        <v>465</v>
      </c>
      <c r="B276" s="136" t="s">
        <v>1111</v>
      </c>
      <c r="C276" s="133" t="s">
        <v>1112</v>
      </c>
      <c r="D276" s="128" t="s">
        <v>654</v>
      </c>
      <c r="E276" s="128" t="s">
        <v>545</v>
      </c>
    </row>
    <row r="277" spans="1:5">
      <c r="A277" s="132" t="s">
        <v>22</v>
      </c>
      <c r="B277" s="136" t="s">
        <v>1113</v>
      </c>
      <c r="C277" s="133" t="s">
        <v>1114</v>
      </c>
      <c r="D277" s="128" t="s">
        <v>1115</v>
      </c>
      <c r="E277" s="128" t="s">
        <v>545</v>
      </c>
    </row>
    <row r="278" spans="1:5">
      <c r="A278" s="132" t="s">
        <v>95</v>
      </c>
      <c r="B278" s="129" t="s">
        <v>1116</v>
      </c>
      <c r="C278" s="133" t="s">
        <v>1117</v>
      </c>
      <c r="D278" s="128" t="s">
        <v>1115</v>
      </c>
      <c r="E278" s="128" t="s">
        <v>545</v>
      </c>
    </row>
    <row r="279" spans="1:5">
      <c r="A279" s="128" t="s">
        <v>96</v>
      </c>
      <c r="B279" s="129" t="s">
        <v>1118</v>
      </c>
      <c r="C279" s="131" t="s">
        <v>1119</v>
      </c>
      <c r="D279" s="128" t="s">
        <v>601</v>
      </c>
      <c r="E279" s="128" t="s">
        <v>545</v>
      </c>
    </row>
    <row r="280" spans="1:5">
      <c r="A280" s="132" t="s">
        <v>26</v>
      </c>
      <c r="B280" s="129" t="s">
        <v>1120</v>
      </c>
      <c r="C280" s="133" t="s">
        <v>1121</v>
      </c>
      <c r="D280" s="128" t="s">
        <v>1115</v>
      </c>
      <c r="E280" s="128" t="s">
        <v>545</v>
      </c>
    </row>
    <row r="281" spans="1:5">
      <c r="A281" s="132" t="s">
        <v>29</v>
      </c>
      <c r="B281" s="129" t="s">
        <v>1122</v>
      </c>
      <c r="C281" s="133" t="s">
        <v>1123</v>
      </c>
      <c r="D281" s="128" t="s">
        <v>1115</v>
      </c>
      <c r="E281" s="128" t="s">
        <v>545</v>
      </c>
    </row>
    <row r="282" spans="1:5">
      <c r="A282" s="137" t="s">
        <v>1124</v>
      </c>
      <c r="B282" s="129" t="s">
        <v>1122</v>
      </c>
      <c r="C282" s="131" t="s">
        <v>1125</v>
      </c>
      <c r="D282" s="128" t="s">
        <v>1115</v>
      </c>
      <c r="E282" s="128" t="s">
        <v>545</v>
      </c>
    </row>
    <row r="283" spans="1:5">
      <c r="A283" s="132" t="s">
        <v>28</v>
      </c>
      <c r="B283" s="129" t="s">
        <v>1126</v>
      </c>
      <c r="C283" s="133" t="s">
        <v>1127</v>
      </c>
      <c r="D283" s="128" t="s">
        <v>1115</v>
      </c>
      <c r="E283" s="128" t="s">
        <v>545</v>
      </c>
    </row>
    <row r="284" spans="1:5">
      <c r="A284" s="132" t="s">
        <v>30</v>
      </c>
      <c r="B284" s="129" t="s">
        <v>1126</v>
      </c>
      <c r="C284" s="133" t="s">
        <v>1128</v>
      </c>
      <c r="D284" s="128" t="s">
        <v>1115</v>
      </c>
      <c r="E284" s="128" t="s">
        <v>545</v>
      </c>
    </row>
    <row r="285" spans="1:5">
      <c r="A285" s="132" t="s">
        <v>1129</v>
      </c>
      <c r="B285" s="129" t="s">
        <v>1130</v>
      </c>
      <c r="C285" s="133" t="s">
        <v>1131</v>
      </c>
      <c r="D285" s="128" t="s">
        <v>1115</v>
      </c>
      <c r="E285" s="128" t="s">
        <v>545</v>
      </c>
    </row>
    <row r="286" spans="1:5">
      <c r="A286" s="132" t="s">
        <v>31</v>
      </c>
      <c r="B286" s="129" t="s">
        <v>1130</v>
      </c>
      <c r="C286" s="133" t="s">
        <v>1132</v>
      </c>
      <c r="D286" s="128" t="s">
        <v>1115</v>
      </c>
      <c r="E286" s="128" t="s">
        <v>545</v>
      </c>
    </row>
    <row r="287" spans="1:5">
      <c r="A287" s="128" t="s">
        <v>1133</v>
      </c>
      <c r="B287" s="129" t="s">
        <v>1134</v>
      </c>
      <c r="C287" s="133" t="s">
        <v>1135</v>
      </c>
      <c r="D287" s="128" t="s">
        <v>1115</v>
      </c>
      <c r="E287" s="128" t="s">
        <v>545</v>
      </c>
    </row>
    <row r="288" spans="1:5">
      <c r="A288" s="139" t="s">
        <v>32</v>
      </c>
      <c r="B288" s="129" t="s">
        <v>1134</v>
      </c>
      <c r="C288" s="131" t="s">
        <v>1136</v>
      </c>
      <c r="D288" s="128" t="s">
        <v>1115</v>
      </c>
      <c r="E288" s="128" t="s">
        <v>545</v>
      </c>
    </row>
    <row r="289" spans="1:5">
      <c r="A289" s="132" t="s">
        <v>1137</v>
      </c>
      <c r="B289" s="129" t="s">
        <v>1130</v>
      </c>
      <c r="C289" s="133" t="s">
        <v>1138</v>
      </c>
      <c r="D289" s="128" t="s">
        <v>1115</v>
      </c>
      <c r="E289" s="128" t="s">
        <v>545</v>
      </c>
    </row>
    <row r="290" spans="1:5">
      <c r="A290" s="132" t="s">
        <v>33</v>
      </c>
      <c r="B290" s="129" t="s">
        <v>1139</v>
      </c>
      <c r="C290" s="133" t="s">
        <v>1140</v>
      </c>
      <c r="D290" s="128" t="s">
        <v>1115</v>
      </c>
      <c r="E290" s="128" t="s">
        <v>545</v>
      </c>
    </row>
    <row r="291" spans="1:5">
      <c r="A291" s="132" t="s">
        <v>35</v>
      </c>
      <c r="B291" s="129" t="s">
        <v>1141</v>
      </c>
      <c r="C291" s="133" t="s">
        <v>1142</v>
      </c>
      <c r="D291" s="128" t="s">
        <v>1115</v>
      </c>
      <c r="E291" s="128" t="s">
        <v>545</v>
      </c>
    </row>
    <row r="292" spans="1:5">
      <c r="A292" s="135" t="s">
        <v>34</v>
      </c>
      <c r="B292" s="136" t="s">
        <v>1143</v>
      </c>
      <c r="C292" s="133" t="s">
        <v>1144</v>
      </c>
      <c r="D292" s="128" t="s">
        <v>1115</v>
      </c>
      <c r="E292" s="128" t="s">
        <v>545</v>
      </c>
    </row>
    <row r="293" spans="1:5">
      <c r="A293" s="132" t="s">
        <v>37</v>
      </c>
      <c r="B293" s="129" t="s">
        <v>1145</v>
      </c>
      <c r="C293" s="133" t="s">
        <v>1146</v>
      </c>
      <c r="D293" s="128" t="s">
        <v>1115</v>
      </c>
      <c r="E293" s="128" t="s">
        <v>545</v>
      </c>
    </row>
    <row r="294" spans="1:5">
      <c r="A294" s="132" t="s">
        <v>1147</v>
      </c>
      <c r="B294" s="129" t="s">
        <v>1145</v>
      </c>
      <c r="C294" s="133" t="s">
        <v>1148</v>
      </c>
      <c r="D294" s="128" t="s">
        <v>1115</v>
      </c>
      <c r="E294" s="128" t="s">
        <v>545</v>
      </c>
    </row>
    <row r="295" spans="1:5">
      <c r="A295" s="132" t="s">
        <v>1149</v>
      </c>
      <c r="B295" s="129" t="s">
        <v>1150</v>
      </c>
      <c r="C295" s="133" t="s">
        <v>1151</v>
      </c>
      <c r="D295" s="128" t="s">
        <v>1115</v>
      </c>
      <c r="E295" s="128" t="s">
        <v>545</v>
      </c>
    </row>
    <row r="296" spans="1:5">
      <c r="A296" s="132" t="s">
        <v>38</v>
      </c>
      <c r="B296" s="129" t="s">
        <v>1150</v>
      </c>
      <c r="C296" s="133" t="s">
        <v>1152</v>
      </c>
      <c r="D296" s="128" t="s">
        <v>1115</v>
      </c>
      <c r="E296" s="128" t="s">
        <v>545</v>
      </c>
    </row>
    <row r="297" spans="1:5">
      <c r="A297" s="137" t="s">
        <v>1153</v>
      </c>
      <c r="B297" s="129" t="s">
        <v>1150</v>
      </c>
      <c r="C297" s="131" t="s">
        <v>1154</v>
      </c>
      <c r="D297" s="128" t="s">
        <v>1115</v>
      </c>
      <c r="E297" s="128" t="s">
        <v>545</v>
      </c>
    </row>
    <row r="298" spans="1:5">
      <c r="A298" s="132" t="s">
        <v>39</v>
      </c>
      <c r="B298" s="129" t="s">
        <v>1145</v>
      </c>
      <c r="C298" s="133" t="s">
        <v>1155</v>
      </c>
      <c r="D298" s="128" t="s">
        <v>1115</v>
      </c>
      <c r="E298" s="128" t="s">
        <v>545</v>
      </c>
    </row>
    <row r="299" spans="1:5">
      <c r="A299" s="135" t="s">
        <v>24</v>
      </c>
      <c r="B299" s="136" t="s">
        <v>1156</v>
      </c>
      <c r="C299" s="133" t="s">
        <v>1157</v>
      </c>
      <c r="D299" s="128" t="s">
        <v>1115</v>
      </c>
      <c r="E299" s="128" t="s">
        <v>545</v>
      </c>
    </row>
    <row r="300" spans="1:5">
      <c r="A300" s="135" t="s">
        <v>25</v>
      </c>
      <c r="B300" s="136" t="s">
        <v>1158</v>
      </c>
      <c r="C300" s="133" t="s">
        <v>1159</v>
      </c>
      <c r="D300" s="128" t="s">
        <v>1115</v>
      </c>
      <c r="E300" s="128" t="s">
        <v>545</v>
      </c>
    </row>
    <row r="301" spans="1:5">
      <c r="A301" s="132" t="s">
        <v>23</v>
      </c>
      <c r="B301" s="136" t="s">
        <v>1160</v>
      </c>
      <c r="C301" s="133" t="s">
        <v>1161</v>
      </c>
      <c r="D301" s="128" t="s">
        <v>1115</v>
      </c>
      <c r="E301" s="128" t="s">
        <v>545</v>
      </c>
    </row>
    <row r="302" spans="1:5">
      <c r="A302" s="135" t="s">
        <v>40</v>
      </c>
      <c r="B302" s="136" t="s">
        <v>1162</v>
      </c>
      <c r="C302" s="133" t="s">
        <v>1163</v>
      </c>
      <c r="D302" s="128" t="s">
        <v>1115</v>
      </c>
      <c r="E302" s="128" t="s">
        <v>545</v>
      </c>
    </row>
    <row r="303" spans="1:5">
      <c r="A303" s="135" t="s">
        <v>41</v>
      </c>
      <c r="B303" s="136" t="s">
        <v>1164</v>
      </c>
      <c r="C303" s="133" t="s">
        <v>1165</v>
      </c>
      <c r="D303" s="128" t="s">
        <v>1115</v>
      </c>
      <c r="E303" s="128" t="s">
        <v>545</v>
      </c>
    </row>
    <row r="304" spans="1:5">
      <c r="A304" s="135" t="s">
        <v>42</v>
      </c>
      <c r="B304" s="136" t="s">
        <v>1166</v>
      </c>
      <c r="C304" s="133" t="s">
        <v>1167</v>
      </c>
      <c r="D304" s="128" t="s">
        <v>1115</v>
      </c>
      <c r="E304" s="128" t="s">
        <v>545</v>
      </c>
    </row>
    <row r="305" spans="1:5">
      <c r="A305" s="135" t="s">
        <v>43</v>
      </c>
      <c r="B305" s="136" t="s">
        <v>1164</v>
      </c>
      <c r="C305" s="133" t="s">
        <v>1168</v>
      </c>
      <c r="D305" s="128" t="s">
        <v>1115</v>
      </c>
      <c r="E305" s="128" t="s">
        <v>545</v>
      </c>
    </row>
    <row r="306" spans="1:5">
      <c r="A306" s="135" t="s">
        <v>44</v>
      </c>
      <c r="B306" s="136" t="s">
        <v>1166</v>
      </c>
      <c r="C306" s="133" t="s">
        <v>1169</v>
      </c>
      <c r="D306" s="128" t="s">
        <v>1115</v>
      </c>
      <c r="E306" s="128" t="s">
        <v>545</v>
      </c>
    </row>
    <row r="307" spans="1:5">
      <c r="A307" s="134" t="s">
        <v>1170</v>
      </c>
      <c r="B307" s="136" t="s">
        <v>1166</v>
      </c>
      <c r="C307" s="131" t="s">
        <v>1171</v>
      </c>
      <c r="D307" s="128" t="s">
        <v>1115</v>
      </c>
      <c r="E307" s="128" t="s">
        <v>545</v>
      </c>
    </row>
    <row r="308" spans="1:5">
      <c r="A308" s="132" t="s">
        <v>48</v>
      </c>
      <c r="B308" s="129" t="s">
        <v>1172</v>
      </c>
      <c r="C308" s="133" t="s">
        <v>1173</v>
      </c>
      <c r="D308" s="128" t="s">
        <v>1115</v>
      </c>
      <c r="E308" s="128" t="s">
        <v>545</v>
      </c>
    </row>
    <row r="309" spans="1:5">
      <c r="A309" s="132" t="s">
        <v>49</v>
      </c>
      <c r="B309" s="129" t="s">
        <v>1174</v>
      </c>
      <c r="C309" s="130" t="s">
        <v>1175</v>
      </c>
      <c r="D309" s="128" t="s">
        <v>1115</v>
      </c>
      <c r="E309" s="128" t="s">
        <v>545</v>
      </c>
    </row>
    <row r="310" spans="1:5">
      <c r="A310" s="132" t="s">
        <v>50</v>
      </c>
      <c r="B310" s="129" t="s">
        <v>1176</v>
      </c>
      <c r="C310" s="133" t="s">
        <v>1177</v>
      </c>
      <c r="D310" s="128" t="s">
        <v>1115</v>
      </c>
      <c r="E310" s="128" t="s">
        <v>545</v>
      </c>
    </row>
    <row r="311" spans="1:5">
      <c r="A311" s="132" t="s">
        <v>51</v>
      </c>
      <c r="B311" s="129" t="s">
        <v>1178</v>
      </c>
      <c r="C311" s="133" t="s">
        <v>1179</v>
      </c>
      <c r="D311" s="128" t="s">
        <v>1115</v>
      </c>
      <c r="E311" s="128" t="s">
        <v>545</v>
      </c>
    </row>
    <row r="312" spans="1:5">
      <c r="A312" s="132" t="s">
        <v>52</v>
      </c>
      <c r="B312" s="129" t="s">
        <v>1176</v>
      </c>
      <c r="C312" s="133" t="s">
        <v>1180</v>
      </c>
      <c r="D312" s="128" t="s">
        <v>1115</v>
      </c>
      <c r="E312" s="128" t="s">
        <v>545</v>
      </c>
    </row>
    <row r="313" spans="1:5">
      <c r="A313" s="132" t="s">
        <v>53</v>
      </c>
      <c r="B313" s="129" t="s">
        <v>1181</v>
      </c>
      <c r="C313" s="130" t="s">
        <v>1182</v>
      </c>
      <c r="D313" s="128" t="s">
        <v>1115</v>
      </c>
      <c r="E313" s="128" t="s">
        <v>545</v>
      </c>
    </row>
    <row r="314" spans="1:5">
      <c r="A314" s="132" t="s">
        <v>54</v>
      </c>
      <c r="B314" s="129" t="s">
        <v>1183</v>
      </c>
      <c r="C314" s="130" t="s">
        <v>1184</v>
      </c>
      <c r="D314" s="128" t="s">
        <v>1115</v>
      </c>
      <c r="E314" s="128" t="s">
        <v>545</v>
      </c>
    </row>
    <row r="315" spans="1:5">
      <c r="A315" s="132" t="s">
        <v>1185</v>
      </c>
      <c r="B315" s="129" t="s">
        <v>1166</v>
      </c>
      <c r="C315" s="133" t="s">
        <v>1186</v>
      </c>
      <c r="D315" s="128" t="s">
        <v>1115</v>
      </c>
      <c r="E315" s="128" t="s">
        <v>545</v>
      </c>
    </row>
    <row r="316" spans="1:5">
      <c r="A316" s="132" t="s">
        <v>55</v>
      </c>
      <c r="B316" s="129" t="s">
        <v>1187</v>
      </c>
      <c r="C316" s="133" t="s">
        <v>1188</v>
      </c>
      <c r="D316" s="128" t="s">
        <v>1115</v>
      </c>
      <c r="E316" s="128" t="s">
        <v>545</v>
      </c>
    </row>
    <row r="317" spans="1:5">
      <c r="A317" s="135" t="s">
        <v>56</v>
      </c>
      <c r="B317" s="136" t="s">
        <v>1189</v>
      </c>
      <c r="C317" s="133" t="s">
        <v>1190</v>
      </c>
      <c r="D317" s="128" t="s">
        <v>1115</v>
      </c>
      <c r="E317" s="128" t="s">
        <v>545</v>
      </c>
    </row>
    <row r="318" spans="1:5">
      <c r="A318" s="135" t="s">
        <v>57</v>
      </c>
      <c r="B318" s="136" t="s">
        <v>1191</v>
      </c>
      <c r="C318" s="133" t="s">
        <v>1192</v>
      </c>
      <c r="D318" s="128" t="s">
        <v>1115</v>
      </c>
      <c r="E318" s="128" t="s">
        <v>545</v>
      </c>
    </row>
    <row r="319" spans="1:5">
      <c r="A319" s="135" t="s">
        <v>58</v>
      </c>
      <c r="B319" s="136" t="s">
        <v>1193</v>
      </c>
      <c r="C319" s="133" t="s">
        <v>1194</v>
      </c>
      <c r="D319" s="128" t="s">
        <v>1115</v>
      </c>
      <c r="E319" s="128" t="s">
        <v>545</v>
      </c>
    </row>
    <row r="320" spans="1:5">
      <c r="A320" s="135" t="s">
        <v>59</v>
      </c>
      <c r="B320" s="136" t="s">
        <v>1195</v>
      </c>
      <c r="C320" s="133" t="s">
        <v>1196</v>
      </c>
      <c r="D320" s="128" t="s">
        <v>1115</v>
      </c>
      <c r="E320" s="128" t="s">
        <v>545</v>
      </c>
    </row>
    <row r="321" spans="1:5">
      <c r="A321" s="132" t="s">
        <v>60</v>
      </c>
      <c r="B321" s="129" t="s">
        <v>1197</v>
      </c>
      <c r="C321" s="133" t="s">
        <v>1198</v>
      </c>
      <c r="D321" s="128" t="s">
        <v>1115</v>
      </c>
      <c r="E321" s="128" t="s">
        <v>545</v>
      </c>
    </row>
    <row r="322" spans="1:5">
      <c r="A322" s="135" t="s">
        <v>61</v>
      </c>
      <c r="B322" s="136" t="s">
        <v>1187</v>
      </c>
      <c r="C322" s="133" t="s">
        <v>1199</v>
      </c>
      <c r="D322" s="128" t="s">
        <v>1115</v>
      </c>
      <c r="E322" s="128" t="s">
        <v>545</v>
      </c>
    </row>
    <row r="323" spans="1:5">
      <c r="A323" s="135" t="s">
        <v>62</v>
      </c>
      <c r="B323" s="136" t="s">
        <v>1200</v>
      </c>
      <c r="C323" s="133" t="s">
        <v>1201</v>
      </c>
      <c r="D323" s="128" t="s">
        <v>1115</v>
      </c>
      <c r="E323" s="128" t="s">
        <v>545</v>
      </c>
    </row>
    <row r="324" spans="1:5">
      <c r="A324" s="135" t="s">
        <v>63</v>
      </c>
      <c r="B324" s="136" t="s">
        <v>1202</v>
      </c>
      <c r="C324" s="133" t="s">
        <v>1203</v>
      </c>
      <c r="D324" s="128" t="s">
        <v>1115</v>
      </c>
      <c r="E324" s="128" t="s">
        <v>545</v>
      </c>
    </row>
    <row r="325" spans="1:5">
      <c r="A325" s="131" t="s">
        <v>1204</v>
      </c>
      <c r="B325" s="129" t="s">
        <v>1205</v>
      </c>
      <c r="C325" s="131" t="s">
        <v>1206</v>
      </c>
      <c r="D325" s="128" t="s">
        <v>1115</v>
      </c>
      <c r="E325" s="128" t="s">
        <v>545</v>
      </c>
    </row>
    <row r="326" spans="1:5">
      <c r="A326" s="132" t="s">
        <v>64</v>
      </c>
      <c r="B326" s="129" t="s">
        <v>1205</v>
      </c>
      <c r="C326" s="133" t="s">
        <v>1207</v>
      </c>
      <c r="D326" s="128" t="s">
        <v>1115</v>
      </c>
      <c r="E326" s="128" t="s">
        <v>545</v>
      </c>
    </row>
    <row r="327" spans="1:5">
      <c r="A327" s="132" t="s">
        <v>65</v>
      </c>
      <c r="B327" s="129" t="s">
        <v>1208</v>
      </c>
      <c r="C327" s="133" t="s">
        <v>1209</v>
      </c>
      <c r="D327" s="128" t="s">
        <v>1115</v>
      </c>
      <c r="E327" s="128" t="s">
        <v>545</v>
      </c>
    </row>
    <row r="328" spans="1:5">
      <c r="A328" s="132" t="s">
        <v>66</v>
      </c>
      <c r="B328" s="129" t="s">
        <v>1210</v>
      </c>
      <c r="C328" s="133" t="s">
        <v>1211</v>
      </c>
      <c r="D328" s="128" t="s">
        <v>1115</v>
      </c>
      <c r="E328" s="128" t="s">
        <v>545</v>
      </c>
    </row>
    <row r="329" spans="1:5">
      <c r="A329" s="128" t="s">
        <v>1212</v>
      </c>
      <c r="B329" s="129" t="s">
        <v>1213</v>
      </c>
      <c r="C329" s="133" t="s">
        <v>1214</v>
      </c>
      <c r="D329" s="128" t="s">
        <v>1115</v>
      </c>
      <c r="E329" s="128" t="s">
        <v>545</v>
      </c>
    </row>
    <row r="330" spans="1:5">
      <c r="A330" s="135" t="s">
        <v>67</v>
      </c>
      <c r="B330" s="136" t="s">
        <v>1215</v>
      </c>
      <c r="C330" s="133" t="s">
        <v>1216</v>
      </c>
      <c r="D330" s="128" t="s">
        <v>1115</v>
      </c>
      <c r="E330" s="128" t="s">
        <v>545</v>
      </c>
    </row>
    <row r="331" spans="1:5">
      <c r="A331" s="135" t="s">
        <v>68</v>
      </c>
      <c r="B331" s="136" t="s">
        <v>1210</v>
      </c>
      <c r="C331" s="133" t="s">
        <v>1217</v>
      </c>
      <c r="D331" s="128" t="s">
        <v>1115</v>
      </c>
      <c r="E331" s="128" t="s">
        <v>545</v>
      </c>
    </row>
    <row r="332" spans="1:5">
      <c r="A332" s="135" t="s">
        <v>69</v>
      </c>
      <c r="B332" s="136" t="s">
        <v>1213</v>
      </c>
      <c r="C332" s="133" t="s">
        <v>1218</v>
      </c>
      <c r="D332" s="128" t="s">
        <v>1115</v>
      </c>
      <c r="E332" s="128" t="s">
        <v>545</v>
      </c>
    </row>
    <row r="333" spans="1:5">
      <c r="A333" s="132" t="s">
        <v>91</v>
      </c>
      <c r="B333" s="129" t="s">
        <v>1219</v>
      </c>
      <c r="C333" s="133" t="s">
        <v>1220</v>
      </c>
      <c r="D333" s="128" t="s">
        <v>671</v>
      </c>
      <c r="E333" s="128" t="s">
        <v>545</v>
      </c>
    </row>
    <row r="334" spans="1:5">
      <c r="A334" s="137" t="s">
        <v>1221</v>
      </c>
      <c r="B334" s="129" t="s">
        <v>1219</v>
      </c>
      <c r="C334" s="131" t="s">
        <v>1222</v>
      </c>
      <c r="D334" s="128" t="s">
        <v>671</v>
      </c>
      <c r="E334" s="128" t="s">
        <v>545</v>
      </c>
    </row>
    <row r="335" spans="1:5">
      <c r="A335" s="132" t="s">
        <v>92</v>
      </c>
      <c r="B335" s="129" t="s">
        <v>1223</v>
      </c>
      <c r="C335" s="133" t="s">
        <v>1224</v>
      </c>
      <c r="D335" s="128" t="s">
        <v>671</v>
      </c>
      <c r="E335" s="128" t="s">
        <v>545</v>
      </c>
    </row>
    <row r="336" spans="1:5">
      <c r="A336" s="132" t="s">
        <v>93</v>
      </c>
      <c r="B336" s="129" t="s">
        <v>1225</v>
      </c>
      <c r="C336" s="133" t="s">
        <v>1226</v>
      </c>
      <c r="D336" s="128" t="s">
        <v>671</v>
      </c>
      <c r="E336" s="128" t="s">
        <v>545</v>
      </c>
    </row>
    <row r="337" spans="1:5">
      <c r="A337" s="132" t="s">
        <v>89</v>
      </c>
      <c r="B337" s="129" t="s">
        <v>1227</v>
      </c>
      <c r="C337" s="133" t="s">
        <v>1228</v>
      </c>
      <c r="D337" s="128" t="s">
        <v>671</v>
      </c>
      <c r="E337" s="128" t="s">
        <v>545</v>
      </c>
    </row>
    <row r="338" spans="1:5">
      <c r="A338" s="132" t="s">
        <v>90</v>
      </c>
      <c r="B338" s="129" t="s">
        <v>1229</v>
      </c>
      <c r="C338" s="133" t="s">
        <v>1230</v>
      </c>
      <c r="D338" s="128" t="s">
        <v>671</v>
      </c>
      <c r="E338" s="128" t="s">
        <v>545</v>
      </c>
    </row>
    <row r="339" spans="1:5">
      <c r="A339" s="132" t="s">
        <v>300</v>
      </c>
      <c r="B339" s="129" t="s">
        <v>1231</v>
      </c>
      <c r="C339" s="133" t="s">
        <v>1232</v>
      </c>
      <c r="D339" s="128" t="s">
        <v>1233</v>
      </c>
      <c r="E339" s="128" t="s">
        <v>545</v>
      </c>
    </row>
    <row r="340" spans="1:5">
      <c r="A340" s="131" t="s">
        <v>1234</v>
      </c>
      <c r="B340" s="129" t="s">
        <v>1235</v>
      </c>
      <c r="C340" s="131" t="s">
        <v>1236</v>
      </c>
      <c r="D340" s="128" t="s">
        <v>1233</v>
      </c>
      <c r="E340" s="128" t="s">
        <v>545</v>
      </c>
    </row>
    <row r="341" spans="1:5">
      <c r="A341" s="132" t="s">
        <v>301</v>
      </c>
      <c r="B341" s="129" t="s">
        <v>1237</v>
      </c>
      <c r="C341" s="133" t="s">
        <v>1238</v>
      </c>
      <c r="D341" s="128" t="s">
        <v>1233</v>
      </c>
      <c r="E341" s="128" t="s">
        <v>545</v>
      </c>
    </row>
    <row r="342" spans="1:5">
      <c r="A342" s="137" t="s">
        <v>1239</v>
      </c>
      <c r="B342" s="129" t="s">
        <v>1240</v>
      </c>
      <c r="C342" s="131" t="s">
        <v>1241</v>
      </c>
      <c r="D342" s="128" t="s">
        <v>1233</v>
      </c>
      <c r="E342" s="128" t="s">
        <v>545</v>
      </c>
    </row>
    <row r="343" spans="1:5">
      <c r="A343" s="128" t="s">
        <v>302</v>
      </c>
      <c r="B343" s="129" t="s">
        <v>1242</v>
      </c>
      <c r="C343" s="131" t="s">
        <v>1243</v>
      </c>
      <c r="D343" s="128" t="s">
        <v>1233</v>
      </c>
      <c r="E343" s="128" t="s">
        <v>545</v>
      </c>
    </row>
    <row r="344" spans="1:5">
      <c r="A344" s="128" t="s">
        <v>303</v>
      </c>
      <c r="B344" s="129" t="s">
        <v>1244</v>
      </c>
      <c r="C344" s="130" t="s">
        <v>1245</v>
      </c>
      <c r="D344" s="128" t="s">
        <v>1233</v>
      </c>
      <c r="E344" s="128" t="s">
        <v>545</v>
      </c>
    </row>
    <row r="345" spans="1:5">
      <c r="A345" s="132" t="s">
        <v>304</v>
      </c>
      <c r="B345" s="129" t="s">
        <v>1246</v>
      </c>
      <c r="C345" s="133" t="s">
        <v>1247</v>
      </c>
      <c r="D345" s="128" t="s">
        <v>1233</v>
      </c>
      <c r="E345" s="128" t="s">
        <v>545</v>
      </c>
    </row>
    <row r="346" spans="1:5">
      <c r="A346" s="137" t="s">
        <v>1248</v>
      </c>
      <c r="B346" s="129" t="s">
        <v>1249</v>
      </c>
      <c r="C346" s="131" t="s">
        <v>1250</v>
      </c>
      <c r="D346" s="128" t="s">
        <v>1233</v>
      </c>
      <c r="E346" s="128" t="s">
        <v>545</v>
      </c>
    </row>
    <row r="347" spans="1:5">
      <c r="A347" s="132" t="s">
        <v>305</v>
      </c>
      <c r="B347" s="129" t="s">
        <v>1251</v>
      </c>
      <c r="C347" s="133" t="s">
        <v>1252</v>
      </c>
      <c r="D347" s="128" t="s">
        <v>1233</v>
      </c>
      <c r="E347" s="128" t="s">
        <v>545</v>
      </c>
    </row>
    <row r="348" spans="1:5">
      <c r="A348" s="132" t="s">
        <v>249</v>
      </c>
      <c r="B348" s="129" t="s">
        <v>1253</v>
      </c>
      <c r="C348" s="133" t="s">
        <v>1254</v>
      </c>
      <c r="D348" s="128" t="s">
        <v>1233</v>
      </c>
      <c r="E348" s="128" t="s">
        <v>545</v>
      </c>
    </row>
    <row r="349" spans="1:5">
      <c r="A349" s="132" t="s">
        <v>250</v>
      </c>
      <c r="B349" s="129" t="s">
        <v>1255</v>
      </c>
      <c r="C349" s="133" t="s">
        <v>1256</v>
      </c>
      <c r="D349" s="128" t="s">
        <v>1233</v>
      </c>
      <c r="E349" s="128" t="s">
        <v>545</v>
      </c>
    </row>
    <row r="350" spans="1:5">
      <c r="A350" s="132" t="s">
        <v>251</v>
      </c>
      <c r="B350" s="129" t="s">
        <v>1255</v>
      </c>
      <c r="C350" s="133" t="s">
        <v>1257</v>
      </c>
      <c r="D350" s="128" t="s">
        <v>1233</v>
      </c>
      <c r="E350" s="128" t="s">
        <v>545</v>
      </c>
    </row>
    <row r="351" spans="1:5">
      <c r="A351" s="132" t="s">
        <v>252</v>
      </c>
      <c r="B351" s="129" t="s">
        <v>1258</v>
      </c>
      <c r="C351" s="133" t="s">
        <v>1259</v>
      </c>
      <c r="D351" s="128" t="s">
        <v>1233</v>
      </c>
      <c r="E351" s="128" t="s">
        <v>545</v>
      </c>
    </row>
    <row r="352" spans="1:5">
      <c r="A352" s="132" t="s">
        <v>253</v>
      </c>
      <c r="B352" s="129" t="s">
        <v>1260</v>
      </c>
      <c r="C352" s="133" t="s">
        <v>1261</v>
      </c>
      <c r="D352" s="128" t="s">
        <v>1233</v>
      </c>
      <c r="E352" s="128" t="s">
        <v>545</v>
      </c>
    </row>
    <row r="353" spans="1:5">
      <c r="A353" s="132" t="s">
        <v>254</v>
      </c>
      <c r="B353" s="129" t="s">
        <v>1262</v>
      </c>
      <c r="C353" s="133" t="s">
        <v>1263</v>
      </c>
      <c r="D353" s="128" t="s">
        <v>1233</v>
      </c>
      <c r="E353" s="128" t="s">
        <v>545</v>
      </c>
    </row>
    <row r="354" spans="1:5">
      <c r="A354" s="132" t="s">
        <v>255</v>
      </c>
      <c r="B354" s="136" t="s">
        <v>1264</v>
      </c>
      <c r="C354" s="133" t="s">
        <v>1265</v>
      </c>
      <c r="D354" s="128" t="s">
        <v>1233</v>
      </c>
      <c r="E354" s="128" t="s">
        <v>545</v>
      </c>
    </row>
    <row r="355" spans="1:5">
      <c r="A355" s="132" t="s">
        <v>256</v>
      </c>
      <c r="B355" s="136" t="s">
        <v>1266</v>
      </c>
      <c r="C355" s="133" t="s">
        <v>1267</v>
      </c>
      <c r="D355" s="128" t="s">
        <v>1233</v>
      </c>
      <c r="E355" s="128" t="s">
        <v>545</v>
      </c>
    </row>
    <row r="356" spans="1:5">
      <c r="A356" s="132" t="s">
        <v>257</v>
      </c>
      <c r="B356" s="136" t="s">
        <v>1268</v>
      </c>
      <c r="C356" s="133" t="s">
        <v>1269</v>
      </c>
      <c r="D356" s="128" t="s">
        <v>1233</v>
      </c>
      <c r="E356" s="128" t="s">
        <v>545</v>
      </c>
    </row>
    <row r="357" spans="1:5">
      <c r="A357" s="135" t="s">
        <v>258</v>
      </c>
      <c r="B357" s="136" t="s">
        <v>1270</v>
      </c>
      <c r="C357" s="133" t="s">
        <v>1271</v>
      </c>
      <c r="D357" s="128" t="s">
        <v>1233</v>
      </c>
      <c r="E357" s="128" t="s">
        <v>545</v>
      </c>
    </row>
    <row r="358" spans="1:5">
      <c r="A358" s="132" t="s">
        <v>259</v>
      </c>
      <c r="B358" s="129" t="s">
        <v>1272</v>
      </c>
      <c r="C358" s="133" t="s">
        <v>1273</v>
      </c>
      <c r="D358" s="128" t="s">
        <v>1233</v>
      </c>
      <c r="E358" s="128" t="s">
        <v>545</v>
      </c>
    </row>
    <row r="359" spans="1:5">
      <c r="A359" s="132" t="s">
        <v>260</v>
      </c>
      <c r="B359" s="129" t="s">
        <v>1274</v>
      </c>
      <c r="C359" s="133" t="s">
        <v>1275</v>
      </c>
      <c r="D359" s="128" t="s">
        <v>1233</v>
      </c>
      <c r="E359" s="128" t="s">
        <v>545</v>
      </c>
    </row>
    <row r="360" spans="1:5">
      <c r="A360" s="132" t="s">
        <v>261</v>
      </c>
      <c r="B360" s="129" t="s">
        <v>1276</v>
      </c>
      <c r="C360" s="133" t="s">
        <v>1277</v>
      </c>
      <c r="D360" s="128" t="s">
        <v>1233</v>
      </c>
      <c r="E360" s="128" t="s">
        <v>545</v>
      </c>
    </row>
    <row r="361" spans="1:5">
      <c r="A361" s="137" t="s">
        <v>1278</v>
      </c>
      <c r="B361" s="129" t="s">
        <v>1279</v>
      </c>
      <c r="C361" s="131" t="s">
        <v>1280</v>
      </c>
      <c r="D361" s="128" t="s">
        <v>1233</v>
      </c>
      <c r="E361" s="128" t="s">
        <v>545</v>
      </c>
    </row>
    <row r="362" spans="1:5">
      <c r="A362" s="135" t="s">
        <v>262</v>
      </c>
      <c r="B362" s="136" t="s">
        <v>1281</v>
      </c>
      <c r="C362" s="133" t="s">
        <v>1282</v>
      </c>
      <c r="D362" s="128" t="s">
        <v>1233</v>
      </c>
      <c r="E362" s="128" t="s">
        <v>545</v>
      </c>
    </row>
    <row r="363" spans="1:5">
      <c r="A363" s="137" t="s">
        <v>1283</v>
      </c>
      <c r="B363" s="129" t="s">
        <v>1284</v>
      </c>
      <c r="C363" s="131" t="s">
        <v>1285</v>
      </c>
      <c r="D363" s="128" t="s">
        <v>1233</v>
      </c>
      <c r="E363" s="128" t="s">
        <v>545</v>
      </c>
    </row>
    <row r="364" spans="1:5">
      <c r="A364" s="137" t="s">
        <v>1286</v>
      </c>
      <c r="B364" s="129" t="s">
        <v>1287</v>
      </c>
      <c r="C364" s="131" t="s">
        <v>1288</v>
      </c>
      <c r="D364" s="128" t="s">
        <v>1233</v>
      </c>
      <c r="E364" s="128" t="s">
        <v>545</v>
      </c>
    </row>
    <row r="365" spans="1:5">
      <c r="A365" s="128" t="s">
        <v>1289</v>
      </c>
      <c r="B365" s="136" t="s">
        <v>1290</v>
      </c>
      <c r="C365" s="133" t="s">
        <v>1291</v>
      </c>
      <c r="D365" s="128" t="s">
        <v>1233</v>
      </c>
      <c r="E365" s="128" t="s">
        <v>545</v>
      </c>
    </row>
    <row r="366" spans="1:5">
      <c r="A366" s="132" t="s">
        <v>1292</v>
      </c>
      <c r="B366" s="129" t="s">
        <v>1293</v>
      </c>
      <c r="C366" s="133" t="s">
        <v>1294</v>
      </c>
      <c r="D366" s="128" t="s">
        <v>1233</v>
      </c>
      <c r="E366" s="128" t="s">
        <v>545</v>
      </c>
    </row>
    <row r="367" spans="1:5">
      <c r="A367" s="132" t="s">
        <v>1295</v>
      </c>
      <c r="B367" s="129" t="s">
        <v>1296</v>
      </c>
      <c r="C367" s="133" t="s">
        <v>1297</v>
      </c>
      <c r="D367" s="128" t="s">
        <v>1233</v>
      </c>
      <c r="E367" s="128" t="s">
        <v>545</v>
      </c>
    </row>
    <row r="368" spans="1:5">
      <c r="A368" s="134" t="s">
        <v>1298</v>
      </c>
      <c r="B368" s="129" t="s">
        <v>1299</v>
      </c>
      <c r="C368" s="131" t="s">
        <v>1300</v>
      </c>
      <c r="D368" s="128" t="s">
        <v>1233</v>
      </c>
      <c r="E368" s="128" t="s">
        <v>545</v>
      </c>
    </row>
    <row r="369" spans="1:5">
      <c r="A369" s="135" t="s">
        <v>263</v>
      </c>
      <c r="B369" s="136" t="s">
        <v>1301</v>
      </c>
      <c r="C369" s="133" t="s">
        <v>1302</v>
      </c>
      <c r="D369" s="128" t="s">
        <v>1233</v>
      </c>
      <c r="E369" s="128" t="s">
        <v>545</v>
      </c>
    </row>
    <row r="370" spans="1:5">
      <c r="A370" s="135" t="s">
        <v>264</v>
      </c>
      <c r="B370" s="136" t="s">
        <v>1303</v>
      </c>
      <c r="C370" s="133" t="s">
        <v>1304</v>
      </c>
      <c r="D370" s="128" t="s">
        <v>1233</v>
      </c>
      <c r="E370" s="128" t="s">
        <v>545</v>
      </c>
    </row>
    <row r="371" spans="1:5">
      <c r="A371" s="135" t="s">
        <v>265</v>
      </c>
      <c r="B371" s="136" t="s">
        <v>1305</v>
      </c>
      <c r="C371" s="133" t="s">
        <v>1306</v>
      </c>
      <c r="D371" s="128" t="s">
        <v>1233</v>
      </c>
      <c r="E371" s="128" t="s">
        <v>545</v>
      </c>
    </row>
    <row r="372" spans="1:5">
      <c r="A372" s="128" t="s">
        <v>266</v>
      </c>
      <c r="B372" s="136" t="s">
        <v>1307</v>
      </c>
      <c r="C372" s="131" t="s">
        <v>1308</v>
      </c>
      <c r="D372" s="128" t="s">
        <v>1233</v>
      </c>
      <c r="E372" s="128" t="s">
        <v>545</v>
      </c>
    </row>
    <row r="373" spans="1:5">
      <c r="A373" s="132" t="s">
        <v>267</v>
      </c>
      <c r="B373" s="129" t="s">
        <v>1309</v>
      </c>
      <c r="C373" s="133" t="s">
        <v>1310</v>
      </c>
      <c r="D373" s="128" t="s">
        <v>1233</v>
      </c>
      <c r="E373" s="128" t="s">
        <v>545</v>
      </c>
    </row>
    <row r="374" spans="1:5">
      <c r="A374" s="135" t="s">
        <v>268</v>
      </c>
      <c r="B374" s="136" t="s">
        <v>1311</v>
      </c>
      <c r="C374" s="133" t="s">
        <v>1312</v>
      </c>
      <c r="D374" s="128" t="s">
        <v>1233</v>
      </c>
      <c r="E374" s="128" t="s">
        <v>545</v>
      </c>
    </row>
    <row r="375" spans="1:5">
      <c r="A375" s="128" t="s">
        <v>1313</v>
      </c>
      <c r="B375" s="136" t="s">
        <v>1314</v>
      </c>
      <c r="C375" s="133" t="s">
        <v>1315</v>
      </c>
      <c r="D375" s="128" t="s">
        <v>1233</v>
      </c>
      <c r="E375" s="128" t="s">
        <v>545</v>
      </c>
    </row>
    <row r="376" spans="1:5">
      <c r="A376" s="137" t="s">
        <v>1316</v>
      </c>
      <c r="B376" s="129" t="s">
        <v>1317</v>
      </c>
      <c r="C376" s="131" t="s">
        <v>1318</v>
      </c>
      <c r="D376" s="128" t="s">
        <v>1233</v>
      </c>
      <c r="E376" s="128" t="s">
        <v>545</v>
      </c>
    </row>
    <row r="377" spans="1:5">
      <c r="A377" s="132" t="s">
        <v>269</v>
      </c>
      <c r="B377" s="129" t="s">
        <v>1319</v>
      </c>
      <c r="C377" s="133" t="s">
        <v>1320</v>
      </c>
      <c r="D377" s="128" t="s">
        <v>1233</v>
      </c>
      <c r="E377" s="128" t="s">
        <v>545</v>
      </c>
    </row>
    <row r="378" spans="1:5">
      <c r="A378" s="132" t="s">
        <v>270</v>
      </c>
      <c r="B378" s="129" t="s">
        <v>1321</v>
      </c>
      <c r="C378" s="133" t="s">
        <v>1322</v>
      </c>
      <c r="D378" s="128" t="s">
        <v>1233</v>
      </c>
      <c r="E378" s="128" t="s">
        <v>545</v>
      </c>
    </row>
    <row r="379" spans="1:5">
      <c r="A379" s="132" t="s">
        <v>271</v>
      </c>
      <c r="B379" s="129" t="s">
        <v>1323</v>
      </c>
      <c r="C379" s="133" t="s">
        <v>1324</v>
      </c>
      <c r="D379" s="128" t="s">
        <v>1233</v>
      </c>
      <c r="E379" s="128" t="s">
        <v>545</v>
      </c>
    </row>
    <row r="380" spans="1:5">
      <c r="A380" s="132" t="s">
        <v>272</v>
      </c>
      <c r="B380" s="129" t="s">
        <v>1325</v>
      </c>
      <c r="C380" s="133" t="s">
        <v>1326</v>
      </c>
      <c r="D380" s="128" t="s">
        <v>1233</v>
      </c>
      <c r="E380" s="128" t="s">
        <v>545</v>
      </c>
    </row>
    <row r="381" spans="1:5">
      <c r="A381" s="132" t="s">
        <v>273</v>
      </c>
      <c r="B381" s="129" t="s">
        <v>1327</v>
      </c>
      <c r="C381" s="133" t="s">
        <v>1328</v>
      </c>
      <c r="D381" s="128" t="s">
        <v>1233</v>
      </c>
      <c r="E381" s="128" t="s">
        <v>545</v>
      </c>
    </row>
    <row r="382" spans="1:5">
      <c r="A382" s="132" t="s">
        <v>274</v>
      </c>
      <c r="B382" s="129" t="s">
        <v>1329</v>
      </c>
      <c r="C382" s="133" t="s">
        <v>1330</v>
      </c>
      <c r="D382" s="128" t="s">
        <v>1233</v>
      </c>
      <c r="E382" s="128" t="s">
        <v>545</v>
      </c>
    </row>
    <row r="383" spans="1:5">
      <c r="A383" s="128" t="s">
        <v>1331</v>
      </c>
      <c r="B383" s="129" t="s">
        <v>1332</v>
      </c>
      <c r="C383" s="133" t="s">
        <v>1333</v>
      </c>
      <c r="D383" s="128" t="s">
        <v>1233</v>
      </c>
      <c r="E383" s="128" t="s">
        <v>545</v>
      </c>
    </row>
    <row r="384" spans="1:5">
      <c r="A384" s="132" t="s">
        <v>275</v>
      </c>
      <c r="B384" s="129" t="s">
        <v>1334</v>
      </c>
      <c r="C384" s="133" t="s">
        <v>1335</v>
      </c>
      <c r="D384" s="128" t="s">
        <v>1233</v>
      </c>
      <c r="E384" s="128" t="s">
        <v>545</v>
      </c>
    </row>
    <row r="385" spans="1:5">
      <c r="A385" s="132" t="s">
        <v>276</v>
      </c>
      <c r="B385" s="129" t="s">
        <v>1336</v>
      </c>
      <c r="C385" s="133" t="s">
        <v>1337</v>
      </c>
      <c r="D385" s="128" t="s">
        <v>1233</v>
      </c>
      <c r="E385" s="128" t="s">
        <v>545</v>
      </c>
    </row>
    <row r="386" spans="1:5">
      <c r="A386" s="135" t="s">
        <v>1338</v>
      </c>
      <c r="B386" s="136" t="s">
        <v>1339</v>
      </c>
      <c r="C386" s="133" t="s">
        <v>1340</v>
      </c>
      <c r="D386" s="128" t="s">
        <v>1233</v>
      </c>
      <c r="E386" s="128" t="s">
        <v>545</v>
      </c>
    </row>
    <row r="387" spans="1:5">
      <c r="A387" s="132" t="s">
        <v>277</v>
      </c>
      <c r="B387" s="129" t="s">
        <v>1341</v>
      </c>
      <c r="C387" s="133" t="s">
        <v>1342</v>
      </c>
      <c r="D387" s="128" t="s">
        <v>1233</v>
      </c>
      <c r="E387" s="128" t="s">
        <v>545</v>
      </c>
    </row>
    <row r="388" spans="1:5">
      <c r="A388" s="132" t="s">
        <v>278</v>
      </c>
      <c r="B388" s="129" t="s">
        <v>1343</v>
      </c>
      <c r="C388" s="133" t="s">
        <v>1344</v>
      </c>
      <c r="D388" s="128" t="s">
        <v>601</v>
      </c>
      <c r="E388" s="128" t="s">
        <v>545</v>
      </c>
    </row>
    <row r="389" spans="1:5">
      <c r="A389" s="132" t="s">
        <v>279</v>
      </c>
      <c r="B389" s="129" t="s">
        <v>1345</v>
      </c>
      <c r="C389" s="133" t="s">
        <v>1346</v>
      </c>
      <c r="D389" s="128" t="s">
        <v>1233</v>
      </c>
      <c r="E389" s="128" t="s">
        <v>545</v>
      </c>
    </row>
    <row r="390" spans="1:5">
      <c r="A390" s="132" t="s">
        <v>280</v>
      </c>
      <c r="B390" s="129" t="s">
        <v>1347</v>
      </c>
      <c r="C390" s="133" t="s">
        <v>1348</v>
      </c>
      <c r="D390" s="128" t="s">
        <v>1233</v>
      </c>
      <c r="E390" s="128" t="s">
        <v>545</v>
      </c>
    </row>
    <row r="391" spans="1:5">
      <c r="A391" s="132" t="s">
        <v>281</v>
      </c>
      <c r="B391" s="129" t="s">
        <v>1349</v>
      </c>
      <c r="C391" s="133" t="s">
        <v>1350</v>
      </c>
      <c r="D391" s="128" t="s">
        <v>1233</v>
      </c>
      <c r="E391" s="128" t="s">
        <v>545</v>
      </c>
    </row>
    <row r="392" spans="1:5">
      <c r="A392" s="128" t="s">
        <v>282</v>
      </c>
      <c r="B392" s="129" t="s">
        <v>1349</v>
      </c>
      <c r="C392" s="131" t="s">
        <v>1351</v>
      </c>
      <c r="D392" s="128" t="s">
        <v>1233</v>
      </c>
      <c r="E392" s="128" t="s">
        <v>545</v>
      </c>
    </row>
    <row r="393" spans="1:5">
      <c r="A393" s="132" t="s">
        <v>283</v>
      </c>
      <c r="B393" s="129" t="s">
        <v>1352</v>
      </c>
      <c r="C393" s="133" t="s">
        <v>1353</v>
      </c>
      <c r="D393" s="128" t="s">
        <v>1233</v>
      </c>
      <c r="E393" s="128" t="s">
        <v>545</v>
      </c>
    </row>
    <row r="394" spans="1:5">
      <c r="A394" s="132" t="s">
        <v>284</v>
      </c>
      <c r="B394" s="129" t="s">
        <v>1354</v>
      </c>
      <c r="C394" s="133" t="s">
        <v>1355</v>
      </c>
      <c r="D394" s="128" t="s">
        <v>1233</v>
      </c>
      <c r="E394" s="128" t="s">
        <v>545</v>
      </c>
    </row>
    <row r="395" spans="1:5">
      <c r="A395" s="128" t="s">
        <v>285</v>
      </c>
      <c r="B395" s="129" t="s">
        <v>1356</v>
      </c>
      <c r="C395" s="133" t="s">
        <v>1357</v>
      </c>
      <c r="D395" s="128" t="s">
        <v>1233</v>
      </c>
      <c r="E395" s="128" t="s">
        <v>545</v>
      </c>
    </row>
    <row r="396" spans="1:5">
      <c r="A396" s="132" t="s">
        <v>286</v>
      </c>
      <c r="B396" s="129" t="s">
        <v>1358</v>
      </c>
      <c r="C396" s="133" t="s">
        <v>1359</v>
      </c>
      <c r="D396" s="128" t="s">
        <v>1233</v>
      </c>
      <c r="E396" s="128" t="s">
        <v>545</v>
      </c>
    </row>
    <row r="397" spans="1:5">
      <c r="A397" s="132" t="s">
        <v>287</v>
      </c>
      <c r="B397" s="129" t="s">
        <v>1360</v>
      </c>
      <c r="C397" s="133" t="s">
        <v>1361</v>
      </c>
      <c r="D397" s="128" t="s">
        <v>1233</v>
      </c>
      <c r="E397" s="128" t="s">
        <v>545</v>
      </c>
    </row>
    <row r="398" spans="1:5">
      <c r="A398" s="132" t="s">
        <v>1362</v>
      </c>
      <c r="B398" s="129" t="s">
        <v>1363</v>
      </c>
      <c r="C398" s="133" t="s">
        <v>1364</v>
      </c>
      <c r="D398" s="128" t="s">
        <v>1233</v>
      </c>
      <c r="E398" s="128" t="s">
        <v>545</v>
      </c>
    </row>
    <row r="399" spans="1:5">
      <c r="A399" s="132" t="s">
        <v>288</v>
      </c>
      <c r="B399" s="129" t="s">
        <v>1363</v>
      </c>
      <c r="C399" s="133" t="s">
        <v>1365</v>
      </c>
      <c r="D399" s="128" t="s">
        <v>1233</v>
      </c>
      <c r="E399" s="128" t="s">
        <v>545</v>
      </c>
    </row>
    <row r="400" spans="1:5">
      <c r="A400" s="132" t="s">
        <v>289</v>
      </c>
      <c r="B400" s="129" t="s">
        <v>1366</v>
      </c>
      <c r="C400" s="133" t="s">
        <v>1367</v>
      </c>
      <c r="D400" s="128" t="s">
        <v>1233</v>
      </c>
      <c r="E400" s="128" t="s">
        <v>545</v>
      </c>
    </row>
    <row r="401" spans="1:5">
      <c r="A401" s="132" t="s">
        <v>290</v>
      </c>
      <c r="B401" s="129" t="s">
        <v>1368</v>
      </c>
      <c r="C401" s="133" t="s">
        <v>1369</v>
      </c>
      <c r="D401" s="128" t="s">
        <v>1233</v>
      </c>
      <c r="E401" s="128" t="s">
        <v>545</v>
      </c>
    </row>
    <row r="402" spans="1:5">
      <c r="A402" s="132" t="s">
        <v>291</v>
      </c>
      <c r="B402" s="129" t="s">
        <v>1370</v>
      </c>
      <c r="C402" s="133" t="s">
        <v>1371</v>
      </c>
      <c r="D402" s="128" t="s">
        <v>1233</v>
      </c>
      <c r="E402" s="128" t="s">
        <v>545</v>
      </c>
    </row>
    <row r="403" spans="1:5">
      <c r="A403" s="132" t="s">
        <v>292</v>
      </c>
      <c r="B403" s="129" t="s">
        <v>1372</v>
      </c>
      <c r="C403" s="133" t="s">
        <v>1373</v>
      </c>
      <c r="D403" s="128" t="s">
        <v>1233</v>
      </c>
      <c r="E403" s="128" t="s">
        <v>545</v>
      </c>
    </row>
    <row r="404" spans="1:5">
      <c r="A404" s="132" t="s">
        <v>293</v>
      </c>
      <c r="B404" s="129" t="s">
        <v>1374</v>
      </c>
      <c r="C404" s="133" t="s">
        <v>1375</v>
      </c>
      <c r="D404" s="128" t="s">
        <v>1233</v>
      </c>
      <c r="E404" s="128" t="s">
        <v>545</v>
      </c>
    </row>
    <row r="405" spans="1:5">
      <c r="A405" s="132" t="s">
        <v>294</v>
      </c>
      <c r="B405" s="129" t="s">
        <v>1376</v>
      </c>
      <c r="C405" s="133" t="s">
        <v>1377</v>
      </c>
      <c r="D405" s="128" t="s">
        <v>1233</v>
      </c>
      <c r="E405" s="128" t="s">
        <v>545</v>
      </c>
    </row>
    <row r="406" spans="1:5">
      <c r="A406" s="132" t="s">
        <v>295</v>
      </c>
      <c r="B406" s="129" t="s">
        <v>1378</v>
      </c>
      <c r="C406" s="133" t="s">
        <v>1379</v>
      </c>
      <c r="D406" s="128" t="s">
        <v>601</v>
      </c>
      <c r="E406" s="128" t="s">
        <v>545</v>
      </c>
    </row>
    <row r="407" spans="1:5">
      <c r="A407" s="132" t="s">
        <v>296</v>
      </c>
      <c r="B407" s="129" t="s">
        <v>1380</v>
      </c>
      <c r="C407" s="133" t="s">
        <v>1381</v>
      </c>
      <c r="D407" s="128" t="s">
        <v>1233</v>
      </c>
      <c r="E407" s="128" t="s">
        <v>545</v>
      </c>
    </row>
    <row r="408" spans="1:5">
      <c r="A408" s="132" t="s">
        <v>297</v>
      </c>
      <c r="B408" s="129" t="s">
        <v>1382</v>
      </c>
      <c r="C408" s="133" t="s">
        <v>1383</v>
      </c>
      <c r="D408" s="128" t="s">
        <v>601</v>
      </c>
      <c r="E408" s="128" t="s">
        <v>545</v>
      </c>
    </row>
    <row r="409" spans="1:5">
      <c r="A409" s="132" t="s">
        <v>306</v>
      </c>
      <c r="B409" s="129" t="s">
        <v>1384</v>
      </c>
      <c r="C409" s="133" t="s">
        <v>1385</v>
      </c>
      <c r="D409" s="128" t="s">
        <v>1233</v>
      </c>
      <c r="E409" s="128" t="s">
        <v>545</v>
      </c>
    </row>
    <row r="410" spans="1:5">
      <c r="A410" s="132" t="s">
        <v>307</v>
      </c>
      <c r="B410" s="129" t="s">
        <v>1386</v>
      </c>
      <c r="C410" s="133" t="s">
        <v>1387</v>
      </c>
      <c r="D410" s="128" t="s">
        <v>1233</v>
      </c>
      <c r="E410" s="128" t="s">
        <v>545</v>
      </c>
    </row>
    <row r="411" spans="1:5">
      <c r="A411" s="128" t="s">
        <v>308</v>
      </c>
      <c r="B411" s="129" t="s">
        <v>1388</v>
      </c>
      <c r="C411" s="131" t="s">
        <v>1389</v>
      </c>
      <c r="D411" s="128" t="s">
        <v>1233</v>
      </c>
      <c r="E411" s="128" t="s">
        <v>545</v>
      </c>
    </row>
    <row r="412" spans="1:5">
      <c r="A412" s="128" t="s">
        <v>309</v>
      </c>
      <c r="B412" s="129" t="s">
        <v>1390</v>
      </c>
      <c r="C412" s="131" t="s">
        <v>1391</v>
      </c>
      <c r="D412" s="128" t="s">
        <v>1233</v>
      </c>
      <c r="E412" s="128" t="s">
        <v>545</v>
      </c>
    </row>
    <row r="413" spans="1:5">
      <c r="A413" s="128" t="s">
        <v>310</v>
      </c>
      <c r="B413" s="129" t="s">
        <v>1392</v>
      </c>
      <c r="C413" s="131" t="s">
        <v>1393</v>
      </c>
      <c r="D413" s="128" t="s">
        <v>1233</v>
      </c>
      <c r="E413" s="128" t="s">
        <v>545</v>
      </c>
    </row>
    <row r="414" spans="1:5">
      <c r="A414" s="132" t="s">
        <v>298</v>
      </c>
      <c r="B414" s="129" t="s">
        <v>1394</v>
      </c>
      <c r="C414" s="133" t="s">
        <v>1395</v>
      </c>
      <c r="D414" s="128" t="s">
        <v>601</v>
      </c>
      <c r="E414" s="128" t="s">
        <v>545</v>
      </c>
    </row>
    <row r="415" spans="1:5">
      <c r="A415" s="132" t="s">
        <v>472</v>
      </c>
      <c r="B415" s="136" t="s">
        <v>1396</v>
      </c>
      <c r="C415" s="133" t="s">
        <v>1397</v>
      </c>
      <c r="D415" s="128" t="s">
        <v>695</v>
      </c>
      <c r="E415" s="128" t="s">
        <v>545</v>
      </c>
    </row>
    <row r="416" spans="1:5">
      <c r="A416" s="132" t="s">
        <v>473</v>
      </c>
      <c r="B416" s="136" t="s">
        <v>1398</v>
      </c>
      <c r="C416" s="133" t="s">
        <v>1399</v>
      </c>
      <c r="D416" s="128" t="s">
        <v>695</v>
      </c>
      <c r="E416" s="128" t="s">
        <v>545</v>
      </c>
    </row>
    <row r="417" spans="1:5">
      <c r="A417" s="132" t="s">
        <v>474</v>
      </c>
      <c r="B417" s="136" t="s">
        <v>1400</v>
      </c>
      <c r="C417" s="133" t="s">
        <v>1401</v>
      </c>
      <c r="D417" s="128" t="s">
        <v>695</v>
      </c>
      <c r="E417" s="128" t="s">
        <v>545</v>
      </c>
    </row>
    <row r="418" spans="1:5">
      <c r="A418" s="135" t="s">
        <v>1402</v>
      </c>
      <c r="B418" s="136" t="s">
        <v>1403</v>
      </c>
      <c r="C418" s="133" t="s">
        <v>1404</v>
      </c>
      <c r="D418" s="128" t="s">
        <v>695</v>
      </c>
      <c r="E418" s="128" t="s">
        <v>545</v>
      </c>
    </row>
    <row r="419" spans="1:5">
      <c r="A419" s="132" t="s">
        <v>475</v>
      </c>
      <c r="B419" s="136" t="s">
        <v>1405</v>
      </c>
      <c r="C419" s="133" t="s">
        <v>1406</v>
      </c>
      <c r="D419" s="128" t="s">
        <v>695</v>
      </c>
      <c r="E419" s="128" t="s">
        <v>545</v>
      </c>
    </row>
    <row r="420" spans="1:5">
      <c r="A420" s="132" t="s">
        <v>476</v>
      </c>
      <c r="B420" s="136" t="s">
        <v>1407</v>
      </c>
      <c r="C420" s="133" t="s">
        <v>1408</v>
      </c>
      <c r="D420" s="128" t="s">
        <v>695</v>
      </c>
      <c r="E420" s="128" t="s">
        <v>545</v>
      </c>
    </row>
    <row r="421" spans="1:5">
      <c r="A421" s="135" t="s">
        <v>477</v>
      </c>
      <c r="B421" s="136" t="s">
        <v>1409</v>
      </c>
      <c r="C421" s="133" t="s">
        <v>1410</v>
      </c>
      <c r="D421" s="128" t="s">
        <v>695</v>
      </c>
      <c r="E421" s="128" t="s">
        <v>545</v>
      </c>
    </row>
    <row r="422" spans="1:5">
      <c r="A422" s="132" t="s">
        <v>1411</v>
      </c>
      <c r="B422" s="136" t="s">
        <v>1412</v>
      </c>
      <c r="C422" s="133" t="s">
        <v>1413</v>
      </c>
      <c r="D422" s="128" t="s">
        <v>695</v>
      </c>
      <c r="E422" s="128" t="s">
        <v>545</v>
      </c>
    </row>
    <row r="423" spans="1:5">
      <c r="A423" s="128" t="s">
        <v>1414</v>
      </c>
      <c r="B423" s="129" t="s">
        <v>1415</v>
      </c>
      <c r="C423" s="130" t="s">
        <v>1416</v>
      </c>
      <c r="D423" s="128" t="s">
        <v>538</v>
      </c>
      <c r="E423" s="128" t="s">
        <v>539</v>
      </c>
    </row>
    <row r="424" spans="1:5">
      <c r="A424" s="128" t="s">
        <v>512</v>
      </c>
      <c r="B424" s="129" t="s">
        <v>1417</v>
      </c>
      <c r="C424" s="131" t="s">
        <v>1418</v>
      </c>
      <c r="D424" s="128" t="s">
        <v>538</v>
      </c>
      <c r="E424" s="128" t="s">
        <v>539</v>
      </c>
    </row>
    <row r="425" spans="1:5">
      <c r="A425" s="128" t="s">
        <v>514</v>
      </c>
      <c r="B425" s="129" t="s">
        <v>1419</v>
      </c>
      <c r="C425" s="130" t="s">
        <v>1420</v>
      </c>
      <c r="D425" s="128" t="s">
        <v>538</v>
      </c>
      <c r="E425" s="128" t="s">
        <v>539</v>
      </c>
    </row>
    <row r="426" spans="1:5">
      <c r="A426" s="128" t="s">
        <v>1421</v>
      </c>
      <c r="B426" s="129" t="s">
        <v>1422</v>
      </c>
      <c r="C426" s="130" t="s">
        <v>1423</v>
      </c>
      <c r="D426" s="128" t="s">
        <v>538</v>
      </c>
      <c r="E426" s="128" t="s">
        <v>539</v>
      </c>
    </row>
    <row r="427" spans="1:5">
      <c r="A427" s="128" t="s">
        <v>516</v>
      </c>
      <c r="B427" s="129" t="s">
        <v>1424</v>
      </c>
      <c r="C427" s="130" t="s">
        <v>1425</v>
      </c>
      <c r="D427" s="128" t="s">
        <v>538</v>
      </c>
      <c r="E427" s="128" t="s">
        <v>539</v>
      </c>
    </row>
    <row r="428" spans="1:5">
      <c r="A428" s="128" t="s">
        <v>1426</v>
      </c>
      <c r="B428" s="129" t="s">
        <v>1427</v>
      </c>
      <c r="C428" s="131" t="s">
        <v>1428</v>
      </c>
      <c r="D428" s="128" t="s">
        <v>538</v>
      </c>
      <c r="E428" s="128" t="s">
        <v>539</v>
      </c>
    </row>
    <row r="429" spans="1:5">
      <c r="A429" s="132" t="s">
        <v>508</v>
      </c>
      <c r="B429" s="129" t="s">
        <v>1429</v>
      </c>
      <c r="C429" s="133" t="s">
        <v>1430</v>
      </c>
      <c r="D429" s="128" t="s">
        <v>654</v>
      </c>
      <c r="E429" s="128" t="s">
        <v>1431</v>
      </c>
    </row>
    <row r="430" spans="1:5">
      <c r="A430" s="132" t="s">
        <v>509</v>
      </c>
      <c r="B430" s="129" t="s">
        <v>1432</v>
      </c>
      <c r="C430" s="133" t="s">
        <v>1433</v>
      </c>
      <c r="D430" s="128" t="s">
        <v>654</v>
      </c>
      <c r="E430" s="128" t="s">
        <v>1431</v>
      </c>
    </row>
    <row r="431" spans="1:5">
      <c r="A431" s="128" t="s">
        <v>1434</v>
      </c>
      <c r="B431" s="136" t="s">
        <v>1435</v>
      </c>
      <c r="C431" s="130" t="s">
        <v>1436</v>
      </c>
      <c r="D431" s="128" t="s">
        <v>1437</v>
      </c>
      <c r="E431" s="128" t="s">
        <v>545</v>
      </c>
    </row>
    <row r="432" spans="1:5">
      <c r="A432" s="135" t="s">
        <v>144</v>
      </c>
      <c r="B432" s="136" t="s">
        <v>1438</v>
      </c>
      <c r="C432" s="133" t="s">
        <v>1439</v>
      </c>
      <c r="D432" s="128" t="s">
        <v>1437</v>
      </c>
      <c r="E432" s="128" t="s">
        <v>545</v>
      </c>
    </row>
    <row r="433" spans="1:5">
      <c r="A433" s="135" t="s">
        <v>143</v>
      </c>
      <c r="B433" s="136" t="s">
        <v>1440</v>
      </c>
      <c r="C433" s="133" t="s">
        <v>1441</v>
      </c>
      <c r="D433" s="128" t="s">
        <v>1437</v>
      </c>
      <c r="E433" s="128" t="s">
        <v>545</v>
      </c>
    </row>
    <row r="434" spans="1:5">
      <c r="A434" s="135" t="s">
        <v>145</v>
      </c>
      <c r="B434" s="136" t="s">
        <v>1442</v>
      </c>
      <c r="C434" s="133" t="s">
        <v>1443</v>
      </c>
      <c r="D434" s="128" t="s">
        <v>1437</v>
      </c>
      <c r="E434" s="128" t="s">
        <v>545</v>
      </c>
    </row>
    <row r="435" spans="1:5">
      <c r="A435" s="135" t="s">
        <v>146</v>
      </c>
      <c r="B435" s="136" t="s">
        <v>1444</v>
      </c>
      <c r="C435" s="133" t="s">
        <v>1445</v>
      </c>
      <c r="D435" s="128" t="s">
        <v>1437</v>
      </c>
      <c r="E435" s="128" t="s">
        <v>545</v>
      </c>
    </row>
    <row r="436" spans="1:5">
      <c r="A436" s="132" t="s">
        <v>147</v>
      </c>
      <c r="B436" s="129" t="s">
        <v>1446</v>
      </c>
      <c r="C436" s="133" t="s">
        <v>1447</v>
      </c>
      <c r="D436" s="128" t="s">
        <v>1437</v>
      </c>
      <c r="E436" s="128" t="s">
        <v>545</v>
      </c>
    </row>
    <row r="437" spans="1:5">
      <c r="A437" s="128" t="s">
        <v>1448</v>
      </c>
      <c r="B437" s="136" t="s">
        <v>1449</v>
      </c>
      <c r="C437" s="133" t="s">
        <v>1450</v>
      </c>
      <c r="D437" s="128" t="s">
        <v>1437</v>
      </c>
      <c r="E437" s="128" t="s">
        <v>545</v>
      </c>
    </row>
    <row r="438" spans="1:5">
      <c r="A438" s="132" t="s">
        <v>149</v>
      </c>
      <c r="B438" s="129" t="s">
        <v>1451</v>
      </c>
      <c r="C438" s="133" t="s">
        <v>1452</v>
      </c>
      <c r="D438" s="128" t="s">
        <v>1437</v>
      </c>
      <c r="E438" s="128" t="s">
        <v>545</v>
      </c>
    </row>
    <row r="439" spans="1:5">
      <c r="A439" s="135" t="s">
        <v>1453</v>
      </c>
      <c r="B439" s="136" t="s">
        <v>1454</v>
      </c>
      <c r="C439" s="133" t="s">
        <v>1455</v>
      </c>
      <c r="D439" s="128" t="s">
        <v>1437</v>
      </c>
      <c r="E439" s="128" t="s">
        <v>545</v>
      </c>
    </row>
    <row r="440" spans="1:5">
      <c r="A440" s="135" t="s">
        <v>150</v>
      </c>
      <c r="B440" s="136" t="s">
        <v>1456</v>
      </c>
      <c r="C440" s="133" t="s">
        <v>1457</v>
      </c>
      <c r="D440" s="128" t="s">
        <v>1437</v>
      </c>
      <c r="E440" s="128" t="s">
        <v>545</v>
      </c>
    </row>
    <row r="441" spans="1:5">
      <c r="A441" s="132" t="s">
        <v>151</v>
      </c>
      <c r="B441" s="129" t="s">
        <v>1458</v>
      </c>
      <c r="C441" s="133" t="s">
        <v>1459</v>
      </c>
      <c r="D441" s="128" t="s">
        <v>1437</v>
      </c>
      <c r="E441" s="128" t="s">
        <v>545</v>
      </c>
    </row>
    <row r="442" spans="1:5">
      <c r="A442" s="128" t="s">
        <v>1460</v>
      </c>
      <c r="B442" s="129" t="s">
        <v>1461</v>
      </c>
      <c r="C442" s="133" t="s">
        <v>1462</v>
      </c>
      <c r="D442" s="128" t="s">
        <v>1437</v>
      </c>
      <c r="E442" s="128" t="s">
        <v>545</v>
      </c>
    </row>
    <row r="443" spans="1:5">
      <c r="A443" s="132" t="s">
        <v>152</v>
      </c>
      <c r="B443" s="129" t="s">
        <v>1461</v>
      </c>
      <c r="C443" s="133" t="s">
        <v>1463</v>
      </c>
      <c r="D443" s="128" t="s">
        <v>1437</v>
      </c>
      <c r="E443" s="128" t="s">
        <v>545</v>
      </c>
    </row>
    <row r="444" spans="1:5">
      <c r="A444" s="132" t="s">
        <v>153</v>
      </c>
      <c r="B444" s="129" t="s">
        <v>1464</v>
      </c>
      <c r="C444" s="133" t="s">
        <v>1465</v>
      </c>
      <c r="D444" s="128" t="s">
        <v>1437</v>
      </c>
      <c r="E444" s="128" t="s">
        <v>545</v>
      </c>
    </row>
    <row r="445" spans="1:5">
      <c r="A445" s="135" t="s">
        <v>154</v>
      </c>
      <c r="B445" s="136" t="s">
        <v>1466</v>
      </c>
      <c r="C445" s="133" t="s">
        <v>1467</v>
      </c>
      <c r="D445" s="128" t="s">
        <v>1437</v>
      </c>
      <c r="E445" s="128" t="s">
        <v>545</v>
      </c>
    </row>
    <row r="446" spans="1:5">
      <c r="A446" s="128" t="s">
        <v>148</v>
      </c>
      <c r="B446" s="136" t="s">
        <v>1449</v>
      </c>
      <c r="C446" s="133" t="s">
        <v>1468</v>
      </c>
      <c r="D446" s="128" t="s">
        <v>1437</v>
      </c>
      <c r="E446" s="128" t="s">
        <v>545</v>
      </c>
    </row>
    <row r="447" spans="1:5">
      <c r="A447" s="128" t="s">
        <v>1469</v>
      </c>
      <c r="B447" s="136" t="s">
        <v>1449</v>
      </c>
      <c r="C447" s="131" t="s">
        <v>1470</v>
      </c>
      <c r="D447" s="128" t="s">
        <v>1437</v>
      </c>
      <c r="E447" s="128" t="s">
        <v>545</v>
      </c>
    </row>
    <row r="448" spans="1:5">
      <c r="A448" s="135" t="s">
        <v>155</v>
      </c>
      <c r="B448" s="136" t="s">
        <v>1449</v>
      </c>
      <c r="C448" s="133" t="s">
        <v>1471</v>
      </c>
      <c r="D448" s="128" t="s">
        <v>1437</v>
      </c>
      <c r="E448" s="128" t="s">
        <v>545</v>
      </c>
    </row>
    <row r="449" spans="1:5">
      <c r="A449" s="135" t="s">
        <v>157</v>
      </c>
      <c r="B449" s="136" t="s">
        <v>1472</v>
      </c>
      <c r="C449" s="133" t="s">
        <v>1473</v>
      </c>
      <c r="D449" s="128" t="s">
        <v>1437</v>
      </c>
      <c r="E449" s="128" t="s">
        <v>545</v>
      </c>
    </row>
    <row r="450" spans="1:5">
      <c r="A450" s="137" t="s">
        <v>1474</v>
      </c>
      <c r="B450" s="129" t="s">
        <v>1475</v>
      </c>
      <c r="C450" s="131" t="s">
        <v>1476</v>
      </c>
      <c r="D450" s="128" t="s">
        <v>1437</v>
      </c>
      <c r="E450" s="128" t="s">
        <v>545</v>
      </c>
    </row>
    <row r="451" spans="1:5">
      <c r="A451" s="135" t="s">
        <v>156</v>
      </c>
      <c r="B451" s="136" t="s">
        <v>1475</v>
      </c>
      <c r="C451" s="133" t="s">
        <v>1477</v>
      </c>
      <c r="D451" s="128" t="s">
        <v>1437</v>
      </c>
      <c r="E451" s="128" t="s">
        <v>545</v>
      </c>
    </row>
    <row r="452" spans="1:5">
      <c r="A452" s="135" t="s">
        <v>158</v>
      </c>
      <c r="B452" s="136" t="s">
        <v>1435</v>
      </c>
      <c r="C452" s="133" t="s">
        <v>1478</v>
      </c>
      <c r="D452" s="128" t="s">
        <v>1437</v>
      </c>
      <c r="E452" s="128" t="s">
        <v>545</v>
      </c>
    </row>
    <row r="453" spans="1:5">
      <c r="A453" s="135" t="s">
        <v>159</v>
      </c>
      <c r="B453" s="136" t="s">
        <v>1451</v>
      </c>
      <c r="C453" s="133" t="s">
        <v>1479</v>
      </c>
      <c r="D453" s="128" t="s">
        <v>1437</v>
      </c>
      <c r="E453" s="128" t="s">
        <v>545</v>
      </c>
    </row>
    <row r="454" spans="1:5">
      <c r="A454" s="132" t="s">
        <v>160</v>
      </c>
      <c r="B454" s="129" t="s">
        <v>1480</v>
      </c>
      <c r="C454" s="133" t="s">
        <v>1481</v>
      </c>
      <c r="D454" s="128" t="s">
        <v>1437</v>
      </c>
      <c r="E454" s="128" t="s">
        <v>545</v>
      </c>
    </row>
    <row r="455" spans="1:5">
      <c r="A455" s="132" t="s">
        <v>161</v>
      </c>
      <c r="B455" s="129" t="s">
        <v>1480</v>
      </c>
      <c r="C455" s="133" t="s">
        <v>1482</v>
      </c>
      <c r="D455" s="128" t="s">
        <v>1437</v>
      </c>
      <c r="E455" s="128" t="s">
        <v>545</v>
      </c>
    </row>
    <row r="456" spans="1:5">
      <c r="A456" s="131" t="s">
        <v>1483</v>
      </c>
      <c r="B456" s="129" t="s">
        <v>1451</v>
      </c>
      <c r="C456" s="131" t="s">
        <v>1484</v>
      </c>
      <c r="D456" s="128" t="s">
        <v>1437</v>
      </c>
      <c r="E456" s="128" t="s">
        <v>545</v>
      </c>
    </row>
    <row r="457" spans="1:5">
      <c r="A457" s="132" t="s">
        <v>162</v>
      </c>
      <c r="B457" s="129" t="s">
        <v>1440</v>
      </c>
      <c r="C457" s="133" t="s">
        <v>1485</v>
      </c>
      <c r="D457" s="128" t="s">
        <v>1437</v>
      </c>
      <c r="E457" s="128" t="s">
        <v>545</v>
      </c>
    </row>
    <row r="458" spans="1:5">
      <c r="A458" s="132" t="s">
        <v>163</v>
      </c>
      <c r="B458" s="129" t="s">
        <v>1486</v>
      </c>
      <c r="C458" s="133" t="s">
        <v>1487</v>
      </c>
      <c r="D458" s="128" t="s">
        <v>1437</v>
      </c>
      <c r="E458" s="128" t="s">
        <v>545</v>
      </c>
    </row>
    <row r="459" spans="1:5">
      <c r="A459" s="132" t="s">
        <v>164</v>
      </c>
      <c r="B459" s="129" t="s">
        <v>1454</v>
      </c>
      <c r="C459" s="133" t="s">
        <v>1488</v>
      </c>
      <c r="D459" s="128" t="s">
        <v>1437</v>
      </c>
      <c r="E459" s="128" t="s">
        <v>545</v>
      </c>
    </row>
    <row r="460" spans="1:5">
      <c r="A460" s="132" t="s">
        <v>165</v>
      </c>
      <c r="B460" s="129" t="s">
        <v>1489</v>
      </c>
      <c r="C460" s="133" t="s">
        <v>1490</v>
      </c>
      <c r="D460" s="128" t="s">
        <v>1437</v>
      </c>
      <c r="E460" s="128" t="s">
        <v>545</v>
      </c>
    </row>
    <row r="461" spans="1:5">
      <c r="A461" s="133" t="s">
        <v>1491</v>
      </c>
      <c r="B461" s="129" t="s">
        <v>1492</v>
      </c>
      <c r="C461" s="131" t="s">
        <v>1493</v>
      </c>
      <c r="D461" s="128" t="s">
        <v>1437</v>
      </c>
      <c r="E461" s="128" t="s">
        <v>545</v>
      </c>
    </row>
    <row r="462" spans="1:5">
      <c r="A462" s="132" t="s">
        <v>166</v>
      </c>
      <c r="B462" s="129" t="s">
        <v>1494</v>
      </c>
      <c r="C462" s="133" t="s">
        <v>1495</v>
      </c>
      <c r="D462" s="128" t="s">
        <v>1437</v>
      </c>
      <c r="E462" s="128" t="s">
        <v>545</v>
      </c>
    </row>
    <row r="463" spans="1:5">
      <c r="A463" s="135" t="s">
        <v>167</v>
      </c>
      <c r="B463" s="136" t="s">
        <v>1496</v>
      </c>
      <c r="C463" s="133" t="s">
        <v>1497</v>
      </c>
      <c r="D463" s="128" t="s">
        <v>1437</v>
      </c>
      <c r="E463" s="128" t="s">
        <v>545</v>
      </c>
    </row>
    <row r="464" spans="1:5">
      <c r="A464" s="132" t="s">
        <v>169</v>
      </c>
      <c r="B464" s="129" t="s">
        <v>1498</v>
      </c>
      <c r="C464" s="133" t="s">
        <v>1499</v>
      </c>
      <c r="D464" s="128" t="s">
        <v>1500</v>
      </c>
      <c r="E464" s="128" t="s">
        <v>545</v>
      </c>
    </row>
    <row r="465" spans="1:5">
      <c r="A465" s="132" t="s">
        <v>170</v>
      </c>
      <c r="B465" s="129" t="s">
        <v>1501</v>
      </c>
      <c r="C465" s="133" t="s">
        <v>1502</v>
      </c>
      <c r="D465" s="128" t="s">
        <v>1500</v>
      </c>
      <c r="E465" s="128" t="s">
        <v>545</v>
      </c>
    </row>
    <row r="466" spans="1:5">
      <c r="A466" s="137" t="s">
        <v>1503</v>
      </c>
      <c r="B466" s="129" t="s">
        <v>1504</v>
      </c>
      <c r="C466" s="131" t="s">
        <v>1505</v>
      </c>
      <c r="D466" s="128" t="s">
        <v>1500</v>
      </c>
      <c r="E466" s="128" t="s">
        <v>545</v>
      </c>
    </row>
    <row r="467" spans="1:5">
      <c r="A467" s="132" t="s">
        <v>1506</v>
      </c>
      <c r="B467" s="129" t="s">
        <v>1504</v>
      </c>
      <c r="C467" s="133" t="s">
        <v>1507</v>
      </c>
      <c r="D467" s="128" t="s">
        <v>1500</v>
      </c>
      <c r="E467" s="128" t="s">
        <v>545</v>
      </c>
    </row>
    <row r="468" spans="1:5">
      <c r="A468" s="128" t="s">
        <v>1508</v>
      </c>
      <c r="B468" s="129" t="s">
        <v>1509</v>
      </c>
      <c r="C468" s="133" t="s">
        <v>1510</v>
      </c>
      <c r="D468" s="128" t="s">
        <v>1500</v>
      </c>
      <c r="E468" s="128" t="s">
        <v>545</v>
      </c>
    </row>
    <row r="469" spans="1:5">
      <c r="A469" s="132" t="s">
        <v>171</v>
      </c>
      <c r="B469" s="129" t="s">
        <v>1511</v>
      </c>
      <c r="C469" s="133" t="s">
        <v>1512</v>
      </c>
      <c r="D469" s="128" t="s">
        <v>1500</v>
      </c>
      <c r="E469" s="128" t="s">
        <v>545</v>
      </c>
    </row>
    <row r="470" spans="1:5">
      <c r="A470" s="132" t="s">
        <v>172</v>
      </c>
      <c r="B470" s="129" t="s">
        <v>1511</v>
      </c>
      <c r="C470" s="133" t="s">
        <v>1513</v>
      </c>
      <c r="D470" s="128" t="s">
        <v>1500</v>
      </c>
      <c r="E470" s="128" t="s">
        <v>545</v>
      </c>
    </row>
    <row r="471" spans="1:5">
      <c r="A471" s="128" t="s">
        <v>173</v>
      </c>
      <c r="B471" s="129" t="s">
        <v>1514</v>
      </c>
      <c r="C471" s="131" t="s">
        <v>1515</v>
      </c>
      <c r="D471" s="128" t="s">
        <v>1500</v>
      </c>
      <c r="E471" s="128" t="s">
        <v>545</v>
      </c>
    </row>
    <row r="472" spans="1:5">
      <c r="A472" s="132" t="s">
        <v>174</v>
      </c>
      <c r="B472" s="129" t="s">
        <v>1514</v>
      </c>
      <c r="C472" s="133" t="s">
        <v>1516</v>
      </c>
      <c r="D472" s="128" t="s">
        <v>1500</v>
      </c>
      <c r="E472" s="128" t="s">
        <v>545</v>
      </c>
    </row>
    <row r="473" spans="1:5">
      <c r="A473" s="137" t="s">
        <v>1517</v>
      </c>
      <c r="B473" s="129" t="s">
        <v>1518</v>
      </c>
      <c r="C473" s="131" t="s">
        <v>1519</v>
      </c>
      <c r="D473" s="128" t="s">
        <v>1500</v>
      </c>
      <c r="E473" s="128" t="s">
        <v>545</v>
      </c>
    </row>
    <row r="474" spans="1:5">
      <c r="A474" s="135" t="s">
        <v>175</v>
      </c>
      <c r="B474" s="136" t="s">
        <v>1518</v>
      </c>
      <c r="C474" s="133" t="s">
        <v>1520</v>
      </c>
      <c r="D474" s="128" t="s">
        <v>1500</v>
      </c>
      <c r="E474" s="128" t="s">
        <v>545</v>
      </c>
    </row>
    <row r="475" spans="1:5">
      <c r="A475" s="132" t="s">
        <v>176</v>
      </c>
      <c r="B475" s="129" t="s">
        <v>1521</v>
      </c>
      <c r="C475" s="133" t="s">
        <v>1522</v>
      </c>
      <c r="D475" s="128" t="s">
        <v>1500</v>
      </c>
      <c r="E475" s="128" t="s">
        <v>545</v>
      </c>
    </row>
    <row r="476" spans="1:5">
      <c r="A476" s="132" t="s">
        <v>1523</v>
      </c>
      <c r="B476" s="129" t="s">
        <v>1524</v>
      </c>
      <c r="C476" s="133" t="s">
        <v>1525</v>
      </c>
      <c r="D476" s="128" t="s">
        <v>1500</v>
      </c>
      <c r="E476" s="128" t="s">
        <v>545</v>
      </c>
    </row>
    <row r="477" spans="1:5">
      <c r="A477" s="132" t="s">
        <v>177</v>
      </c>
      <c r="B477" s="129" t="s">
        <v>1524</v>
      </c>
      <c r="C477" s="133" t="s">
        <v>1526</v>
      </c>
      <c r="D477" s="128" t="s">
        <v>1500</v>
      </c>
      <c r="E477" s="128" t="s">
        <v>545</v>
      </c>
    </row>
    <row r="478" spans="1:5">
      <c r="A478" s="132" t="s">
        <v>178</v>
      </c>
      <c r="B478" s="129" t="s">
        <v>1527</v>
      </c>
      <c r="C478" s="133" t="s">
        <v>1528</v>
      </c>
      <c r="D478" s="128" t="s">
        <v>1500</v>
      </c>
      <c r="E478" s="128" t="s">
        <v>545</v>
      </c>
    </row>
    <row r="479" spans="1:5">
      <c r="A479" s="132" t="s">
        <v>179</v>
      </c>
      <c r="B479" s="129" t="s">
        <v>1527</v>
      </c>
      <c r="C479" s="133" t="s">
        <v>1529</v>
      </c>
      <c r="D479" s="128" t="s">
        <v>1500</v>
      </c>
      <c r="E479" s="128" t="s">
        <v>545</v>
      </c>
    </row>
    <row r="480" spans="1:5">
      <c r="A480" s="128" t="s">
        <v>1530</v>
      </c>
      <c r="B480" s="136" t="s">
        <v>1531</v>
      </c>
      <c r="C480" s="133" t="s">
        <v>1532</v>
      </c>
      <c r="D480" s="128" t="s">
        <v>1500</v>
      </c>
      <c r="E480" s="128" t="s">
        <v>545</v>
      </c>
    </row>
    <row r="481" spans="1:5">
      <c r="A481" s="135" t="s">
        <v>180</v>
      </c>
      <c r="B481" s="136" t="s">
        <v>1531</v>
      </c>
      <c r="C481" s="133" t="s">
        <v>1533</v>
      </c>
      <c r="D481" s="128" t="s">
        <v>1500</v>
      </c>
      <c r="E481" s="128" t="s">
        <v>545</v>
      </c>
    </row>
    <row r="482" spans="1:5">
      <c r="A482" s="128" t="s">
        <v>1534</v>
      </c>
      <c r="B482" s="136" t="s">
        <v>1531</v>
      </c>
      <c r="C482" s="133" t="s">
        <v>1535</v>
      </c>
      <c r="D482" s="128" t="s">
        <v>1500</v>
      </c>
      <c r="E482" s="128" t="s">
        <v>545</v>
      </c>
    </row>
    <row r="483" spans="1:5">
      <c r="A483" s="132" t="s">
        <v>1536</v>
      </c>
      <c r="B483" s="129" t="s">
        <v>1537</v>
      </c>
      <c r="C483" s="133" t="s">
        <v>1538</v>
      </c>
      <c r="D483" s="128" t="s">
        <v>1500</v>
      </c>
      <c r="E483" s="128" t="s">
        <v>545</v>
      </c>
    </row>
    <row r="484" spans="1:5">
      <c r="A484" s="132" t="s">
        <v>181</v>
      </c>
      <c r="B484" s="129" t="s">
        <v>1539</v>
      </c>
      <c r="C484" s="133" t="s">
        <v>1540</v>
      </c>
      <c r="D484" s="128" t="s">
        <v>1500</v>
      </c>
      <c r="E484" s="128" t="s">
        <v>545</v>
      </c>
    </row>
    <row r="485" spans="1:5">
      <c r="A485" s="128" t="s">
        <v>1541</v>
      </c>
      <c r="B485" s="129" t="s">
        <v>1539</v>
      </c>
      <c r="C485" s="133" t="s">
        <v>1542</v>
      </c>
      <c r="D485" s="128" t="s">
        <v>1500</v>
      </c>
      <c r="E485" s="128" t="s">
        <v>545</v>
      </c>
    </row>
    <row r="486" spans="1:5">
      <c r="A486" s="128" t="s">
        <v>182</v>
      </c>
      <c r="B486" s="129" t="s">
        <v>1539</v>
      </c>
      <c r="C486" s="131" t="s">
        <v>1543</v>
      </c>
      <c r="D486" s="128" t="s">
        <v>1500</v>
      </c>
      <c r="E486" s="128" t="s">
        <v>545</v>
      </c>
    </row>
    <row r="487" spans="1:5">
      <c r="A487" s="132" t="s">
        <v>1544</v>
      </c>
      <c r="B487" s="129" t="s">
        <v>1545</v>
      </c>
      <c r="C487" s="133" t="s">
        <v>1546</v>
      </c>
      <c r="D487" s="128" t="s">
        <v>1500</v>
      </c>
      <c r="E487" s="128" t="s">
        <v>545</v>
      </c>
    </row>
    <row r="488" spans="1:5">
      <c r="A488" s="128" t="s">
        <v>183</v>
      </c>
      <c r="B488" s="129" t="s">
        <v>1545</v>
      </c>
      <c r="C488" s="130" t="s">
        <v>1547</v>
      </c>
      <c r="D488" s="128" t="s">
        <v>1500</v>
      </c>
      <c r="E488" s="128" t="s">
        <v>545</v>
      </c>
    </row>
    <row r="489" spans="1:5">
      <c r="A489" s="128" t="s">
        <v>1548</v>
      </c>
      <c r="B489" s="129" t="s">
        <v>1549</v>
      </c>
      <c r="C489" s="130" t="s">
        <v>1550</v>
      </c>
      <c r="D489" s="128" t="s">
        <v>601</v>
      </c>
      <c r="E489" s="128" t="s">
        <v>545</v>
      </c>
    </row>
    <row r="490" spans="1:5">
      <c r="A490" s="132" t="s">
        <v>184</v>
      </c>
      <c r="B490" s="129" t="s">
        <v>1549</v>
      </c>
      <c r="C490" s="133" t="s">
        <v>1551</v>
      </c>
      <c r="D490" s="128" t="s">
        <v>601</v>
      </c>
      <c r="E490" s="128" t="s">
        <v>545</v>
      </c>
    </row>
    <row r="491" spans="1:5">
      <c r="A491" s="133" t="s">
        <v>185</v>
      </c>
      <c r="B491" s="129" t="s">
        <v>1549</v>
      </c>
      <c r="C491" s="133" t="s">
        <v>1552</v>
      </c>
      <c r="D491" s="128" t="s">
        <v>601</v>
      </c>
      <c r="E491" s="128" t="s">
        <v>545</v>
      </c>
    </row>
    <row r="492" spans="1:5">
      <c r="A492" s="128" t="s">
        <v>1553</v>
      </c>
      <c r="B492" s="129" t="s">
        <v>1554</v>
      </c>
      <c r="C492" s="133" t="s">
        <v>1555</v>
      </c>
      <c r="D492" s="128" t="s">
        <v>1500</v>
      </c>
      <c r="E492" s="128" t="s">
        <v>545</v>
      </c>
    </row>
    <row r="493" spans="1:5">
      <c r="A493" s="132" t="s">
        <v>186</v>
      </c>
      <c r="B493" s="129" t="s">
        <v>1556</v>
      </c>
      <c r="C493" s="133" t="s">
        <v>1557</v>
      </c>
      <c r="D493" s="128" t="s">
        <v>601</v>
      </c>
      <c r="E493" s="128" t="s">
        <v>545</v>
      </c>
    </row>
    <row r="494" spans="1:5">
      <c r="A494" s="132" t="s">
        <v>187</v>
      </c>
      <c r="B494" s="129" t="s">
        <v>1558</v>
      </c>
      <c r="C494" s="133" t="s">
        <v>1559</v>
      </c>
      <c r="D494" s="128" t="s">
        <v>1500</v>
      </c>
      <c r="E494" s="128" t="s">
        <v>545</v>
      </c>
    </row>
    <row r="495" spans="1:5">
      <c r="A495" s="132" t="s">
        <v>188</v>
      </c>
      <c r="B495" s="129" t="s">
        <v>1558</v>
      </c>
      <c r="C495" s="133" t="s">
        <v>1560</v>
      </c>
      <c r="D495" s="128" t="s">
        <v>1500</v>
      </c>
      <c r="E495" s="128" t="s">
        <v>545</v>
      </c>
    </row>
    <row r="496" spans="1:5">
      <c r="A496" s="128" t="s">
        <v>189</v>
      </c>
      <c r="B496" s="129" t="s">
        <v>1561</v>
      </c>
      <c r="C496" s="129" t="s">
        <v>1562</v>
      </c>
      <c r="D496" s="128" t="s">
        <v>601</v>
      </c>
      <c r="E496" s="128" t="s">
        <v>545</v>
      </c>
    </row>
    <row r="497" spans="1:5">
      <c r="A497" s="132" t="s">
        <v>470</v>
      </c>
      <c r="B497" s="136" t="s">
        <v>1563</v>
      </c>
      <c r="C497" s="133" t="s">
        <v>1564</v>
      </c>
      <c r="D497" s="128" t="s">
        <v>695</v>
      </c>
      <c r="E497" s="128" t="s">
        <v>545</v>
      </c>
    </row>
    <row r="498" spans="1:5">
      <c r="A498" s="132" t="s">
        <v>471</v>
      </c>
      <c r="B498" s="136" t="s">
        <v>1565</v>
      </c>
      <c r="C498" s="133" t="s">
        <v>1566</v>
      </c>
      <c r="D498" s="128" t="s">
        <v>688</v>
      </c>
      <c r="E498" s="128" t="s">
        <v>545</v>
      </c>
    </row>
    <row r="499" spans="1:5">
      <c r="A499" s="135" t="s">
        <v>407</v>
      </c>
      <c r="B499" s="136" t="s">
        <v>1567</v>
      </c>
      <c r="C499" s="133" t="s">
        <v>1568</v>
      </c>
      <c r="D499" s="128" t="s">
        <v>688</v>
      </c>
      <c r="E499" s="128" t="s">
        <v>545</v>
      </c>
    </row>
    <row r="500" spans="1:5">
      <c r="A500" s="135" t="s">
        <v>409</v>
      </c>
      <c r="B500" s="136" t="s">
        <v>1569</v>
      </c>
      <c r="C500" s="133" t="s">
        <v>1570</v>
      </c>
      <c r="D500" s="128" t="s">
        <v>688</v>
      </c>
      <c r="E500" s="128" t="s">
        <v>545</v>
      </c>
    </row>
    <row r="501" spans="1:5">
      <c r="A501" s="132" t="s">
        <v>410</v>
      </c>
      <c r="B501" s="129" t="s">
        <v>1571</v>
      </c>
      <c r="C501" s="133" t="s">
        <v>1572</v>
      </c>
      <c r="D501" s="128" t="s">
        <v>688</v>
      </c>
      <c r="E501" s="128" t="s">
        <v>545</v>
      </c>
    </row>
    <row r="502" spans="1:5">
      <c r="A502" s="132" t="s">
        <v>411</v>
      </c>
      <c r="B502" s="129" t="s">
        <v>1573</v>
      </c>
      <c r="C502" s="133" t="s">
        <v>1574</v>
      </c>
      <c r="D502" s="128" t="s">
        <v>688</v>
      </c>
      <c r="E502" s="128" t="s">
        <v>545</v>
      </c>
    </row>
    <row r="503" spans="1:5">
      <c r="A503" s="132" t="s">
        <v>412</v>
      </c>
      <c r="B503" s="129" t="s">
        <v>1575</v>
      </c>
      <c r="C503" s="133" t="s">
        <v>1576</v>
      </c>
      <c r="D503" s="128" t="s">
        <v>688</v>
      </c>
      <c r="E503" s="128" t="s">
        <v>545</v>
      </c>
    </row>
    <row r="504" spans="1:5">
      <c r="A504" s="135" t="s">
        <v>413</v>
      </c>
      <c r="B504" s="136" t="s">
        <v>1577</v>
      </c>
      <c r="C504" s="133" t="s">
        <v>1578</v>
      </c>
      <c r="D504" s="128" t="s">
        <v>688</v>
      </c>
      <c r="E504" s="128" t="s">
        <v>545</v>
      </c>
    </row>
    <row r="505" spans="1:5">
      <c r="A505" s="132" t="s">
        <v>414</v>
      </c>
      <c r="B505" s="129" t="s">
        <v>1579</v>
      </c>
      <c r="C505" s="133" t="s">
        <v>1580</v>
      </c>
      <c r="D505" s="128" t="s">
        <v>688</v>
      </c>
      <c r="E505" s="128" t="s">
        <v>545</v>
      </c>
    </row>
    <row r="506" spans="1:5">
      <c r="A506" s="132" t="s">
        <v>415</v>
      </c>
      <c r="B506" s="129" t="s">
        <v>1581</v>
      </c>
      <c r="C506" s="133" t="s">
        <v>1582</v>
      </c>
      <c r="D506" s="128" t="s">
        <v>688</v>
      </c>
      <c r="E506" s="128" t="s">
        <v>545</v>
      </c>
    </row>
    <row r="507" spans="1:5">
      <c r="A507" s="132" t="s">
        <v>416</v>
      </c>
      <c r="B507" s="129" t="s">
        <v>1583</v>
      </c>
      <c r="C507" s="133" t="s">
        <v>1584</v>
      </c>
      <c r="D507" s="128" t="s">
        <v>688</v>
      </c>
      <c r="E507" s="128" t="s">
        <v>545</v>
      </c>
    </row>
    <row r="508" spans="1:5">
      <c r="A508" s="132" t="s">
        <v>417</v>
      </c>
      <c r="B508" s="129" t="s">
        <v>1585</v>
      </c>
      <c r="C508" s="133" t="s">
        <v>1586</v>
      </c>
      <c r="D508" s="128" t="s">
        <v>688</v>
      </c>
      <c r="E508" s="128" t="s">
        <v>545</v>
      </c>
    </row>
    <row r="509" spans="1:5">
      <c r="A509" s="132" t="s">
        <v>418</v>
      </c>
      <c r="B509" s="129" t="s">
        <v>1585</v>
      </c>
      <c r="C509" s="133" t="s">
        <v>1587</v>
      </c>
      <c r="D509" s="128" t="s">
        <v>688</v>
      </c>
      <c r="E509" s="128" t="s">
        <v>545</v>
      </c>
    </row>
    <row r="510" spans="1:5">
      <c r="A510" s="132" t="s">
        <v>419</v>
      </c>
      <c r="B510" s="129" t="s">
        <v>1588</v>
      </c>
      <c r="C510" s="133" t="s">
        <v>1589</v>
      </c>
      <c r="D510" s="128" t="s">
        <v>688</v>
      </c>
      <c r="E510" s="128" t="s">
        <v>545</v>
      </c>
    </row>
    <row r="511" spans="1:5">
      <c r="A511" s="132" t="s">
        <v>420</v>
      </c>
      <c r="B511" s="129" t="s">
        <v>1590</v>
      </c>
      <c r="C511" s="133" t="s">
        <v>1591</v>
      </c>
      <c r="D511" s="128" t="s">
        <v>688</v>
      </c>
      <c r="E511" s="128" t="s">
        <v>545</v>
      </c>
    </row>
    <row r="512" spans="1:5">
      <c r="A512" s="132" t="s">
        <v>421</v>
      </c>
      <c r="B512" s="129" t="s">
        <v>1592</v>
      </c>
      <c r="C512" s="133" t="s">
        <v>1593</v>
      </c>
      <c r="D512" s="128" t="s">
        <v>688</v>
      </c>
      <c r="E512" s="128" t="s">
        <v>545</v>
      </c>
    </row>
    <row r="513" spans="1:5">
      <c r="A513" s="132" t="s">
        <v>422</v>
      </c>
      <c r="B513" s="129" t="s">
        <v>1594</v>
      </c>
      <c r="C513" s="133" t="s">
        <v>1595</v>
      </c>
      <c r="D513" s="128" t="s">
        <v>688</v>
      </c>
      <c r="E513" s="128" t="s">
        <v>545</v>
      </c>
    </row>
    <row r="514" spans="1:5">
      <c r="A514" s="132" t="s">
        <v>426</v>
      </c>
      <c r="B514" s="129" t="s">
        <v>1596</v>
      </c>
      <c r="C514" s="133" t="s">
        <v>1597</v>
      </c>
      <c r="D514" s="128" t="s">
        <v>688</v>
      </c>
      <c r="E514" s="128" t="s">
        <v>545</v>
      </c>
    </row>
    <row r="515" spans="1:5">
      <c r="A515" s="132" t="s">
        <v>1598</v>
      </c>
      <c r="B515" s="129" t="s">
        <v>1596</v>
      </c>
      <c r="C515" s="133" t="s">
        <v>1599</v>
      </c>
      <c r="D515" s="128" t="s">
        <v>688</v>
      </c>
      <c r="E515" s="128" t="s">
        <v>545</v>
      </c>
    </row>
    <row r="516" spans="1:5">
      <c r="A516" s="132" t="s">
        <v>427</v>
      </c>
      <c r="B516" s="129" t="s">
        <v>1596</v>
      </c>
      <c r="C516" s="133" t="s">
        <v>1600</v>
      </c>
      <c r="D516" s="128" t="s">
        <v>688</v>
      </c>
      <c r="E516" s="128" t="s">
        <v>545</v>
      </c>
    </row>
    <row r="517" spans="1:5">
      <c r="A517" s="132" t="s">
        <v>428</v>
      </c>
      <c r="B517" s="129" t="s">
        <v>1601</v>
      </c>
      <c r="C517" s="133" t="s">
        <v>1602</v>
      </c>
      <c r="D517" s="128" t="s">
        <v>688</v>
      </c>
      <c r="E517" s="128" t="s">
        <v>545</v>
      </c>
    </row>
    <row r="518" spans="1:5">
      <c r="A518" s="132" t="s">
        <v>429</v>
      </c>
      <c r="B518" s="129" t="s">
        <v>1603</v>
      </c>
      <c r="C518" s="133" t="s">
        <v>1604</v>
      </c>
      <c r="D518" s="128" t="s">
        <v>688</v>
      </c>
      <c r="E518" s="128" t="s">
        <v>545</v>
      </c>
    </row>
    <row r="519" spans="1:5">
      <c r="A519" s="132" t="s">
        <v>430</v>
      </c>
      <c r="B519" s="129" t="s">
        <v>1605</v>
      </c>
      <c r="C519" s="133" t="s">
        <v>1606</v>
      </c>
      <c r="D519" s="128" t="s">
        <v>688</v>
      </c>
      <c r="E519" s="128" t="s">
        <v>545</v>
      </c>
    </row>
    <row r="520" spans="1:5">
      <c r="A520" s="135" t="s">
        <v>431</v>
      </c>
      <c r="B520" s="136" t="s">
        <v>1607</v>
      </c>
      <c r="C520" s="133" t="s">
        <v>1608</v>
      </c>
      <c r="D520" s="128" t="s">
        <v>688</v>
      </c>
      <c r="E520" s="128" t="s">
        <v>545</v>
      </c>
    </row>
    <row r="521" spans="1:5">
      <c r="A521" s="135" t="s">
        <v>432</v>
      </c>
      <c r="B521" s="136" t="s">
        <v>1609</v>
      </c>
      <c r="C521" s="133" t="s">
        <v>1610</v>
      </c>
      <c r="D521" s="128" t="s">
        <v>688</v>
      </c>
      <c r="E521" s="128" t="s">
        <v>545</v>
      </c>
    </row>
    <row r="522" spans="1:5">
      <c r="A522" s="132" t="s">
        <v>433</v>
      </c>
      <c r="B522" s="129" t="s">
        <v>1611</v>
      </c>
      <c r="C522" s="133" t="s">
        <v>1612</v>
      </c>
      <c r="D522" s="128" t="s">
        <v>688</v>
      </c>
      <c r="E522" s="128" t="s">
        <v>545</v>
      </c>
    </row>
    <row r="523" spans="1:5">
      <c r="A523" s="132" t="s">
        <v>1613</v>
      </c>
      <c r="B523" s="136" t="s">
        <v>1614</v>
      </c>
      <c r="C523" s="133" t="s">
        <v>1615</v>
      </c>
      <c r="D523" s="128" t="s">
        <v>695</v>
      </c>
      <c r="E523" s="128" t="s">
        <v>545</v>
      </c>
    </row>
    <row r="524" spans="1:5">
      <c r="A524" s="132" t="s">
        <v>1616</v>
      </c>
      <c r="B524" s="136" t="s">
        <v>1617</v>
      </c>
      <c r="C524" s="133" t="s">
        <v>1618</v>
      </c>
      <c r="D524" s="128" t="s">
        <v>695</v>
      </c>
      <c r="E524" s="128" t="s">
        <v>545</v>
      </c>
    </row>
    <row r="525" spans="1:5">
      <c r="A525" s="135" t="s">
        <v>462</v>
      </c>
      <c r="B525" s="136" t="s">
        <v>1619</v>
      </c>
      <c r="C525" s="133" t="s">
        <v>1620</v>
      </c>
      <c r="D525" s="128" t="s">
        <v>654</v>
      </c>
      <c r="E525" s="128" t="s">
        <v>545</v>
      </c>
    </row>
    <row r="526" spans="1:5">
      <c r="A526" s="135" t="s">
        <v>463</v>
      </c>
      <c r="B526" s="136" t="s">
        <v>1621</v>
      </c>
      <c r="C526" s="133" t="s">
        <v>1622</v>
      </c>
      <c r="D526" s="128" t="s">
        <v>654</v>
      </c>
      <c r="E526" s="128" t="s">
        <v>545</v>
      </c>
    </row>
    <row r="527" spans="1:5">
      <c r="A527" s="128" t="s">
        <v>1623</v>
      </c>
      <c r="B527" s="129" t="s">
        <v>1624</v>
      </c>
      <c r="C527" s="133" t="s">
        <v>1625</v>
      </c>
      <c r="D527" s="128" t="s">
        <v>1626</v>
      </c>
      <c r="E527" s="128" t="s">
        <v>545</v>
      </c>
    </row>
    <row r="528" spans="1:5">
      <c r="A528" s="132" t="s">
        <v>442</v>
      </c>
      <c r="B528" s="136" t="s">
        <v>1627</v>
      </c>
      <c r="C528" s="133" t="s">
        <v>1628</v>
      </c>
      <c r="D528" s="128" t="s">
        <v>1626</v>
      </c>
      <c r="E528" s="128" t="s">
        <v>545</v>
      </c>
    </row>
    <row r="529" spans="1:5">
      <c r="A529" s="132" t="s">
        <v>443</v>
      </c>
      <c r="B529" s="129" t="s">
        <v>1629</v>
      </c>
      <c r="C529" s="133" t="s">
        <v>1630</v>
      </c>
      <c r="D529" s="128" t="s">
        <v>1626</v>
      </c>
      <c r="E529" s="128" t="s">
        <v>545</v>
      </c>
    </row>
    <row r="530" spans="1:5">
      <c r="A530" s="135" t="s">
        <v>444</v>
      </c>
      <c r="B530" s="136" t="s">
        <v>1631</v>
      </c>
      <c r="C530" s="133" t="s">
        <v>1632</v>
      </c>
      <c r="D530" s="128" t="s">
        <v>1626</v>
      </c>
      <c r="E530" s="128" t="s">
        <v>545</v>
      </c>
    </row>
    <row r="531" spans="1:5">
      <c r="A531" s="132" t="s">
        <v>445</v>
      </c>
      <c r="B531" s="129" t="s">
        <v>1633</v>
      </c>
      <c r="C531" s="133" t="s">
        <v>1634</v>
      </c>
      <c r="D531" s="128" t="s">
        <v>1626</v>
      </c>
      <c r="E531" s="128" t="s">
        <v>545</v>
      </c>
    </row>
    <row r="532" spans="1:5">
      <c r="A532" s="135" t="s">
        <v>446</v>
      </c>
      <c r="B532" s="136" t="s">
        <v>1635</v>
      </c>
      <c r="C532" s="133" t="s">
        <v>1636</v>
      </c>
      <c r="D532" s="128" t="s">
        <v>1626</v>
      </c>
      <c r="E532" s="128" t="s">
        <v>545</v>
      </c>
    </row>
    <row r="533" spans="1:5">
      <c r="A533" s="132" t="s">
        <v>447</v>
      </c>
      <c r="B533" s="136" t="s">
        <v>1637</v>
      </c>
      <c r="C533" s="133" t="s">
        <v>1638</v>
      </c>
      <c r="D533" s="128" t="s">
        <v>1626</v>
      </c>
      <c r="E533" s="128" t="s">
        <v>545</v>
      </c>
    </row>
    <row r="534" spans="1:5">
      <c r="A534" s="135" t="s">
        <v>439</v>
      </c>
      <c r="B534" s="136" t="s">
        <v>1639</v>
      </c>
      <c r="C534" s="133" t="s">
        <v>1640</v>
      </c>
      <c r="D534" s="128" t="s">
        <v>1626</v>
      </c>
      <c r="E534" s="128" t="s">
        <v>545</v>
      </c>
    </row>
    <row r="535" spans="1:5">
      <c r="A535" s="135" t="s">
        <v>441</v>
      </c>
      <c r="B535" s="136" t="s">
        <v>1641</v>
      </c>
      <c r="C535" s="133" t="s">
        <v>1642</v>
      </c>
      <c r="D535" s="128" t="s">
        <v>1626</v>
      </c>
      <c r="E535" s="128" t="s">
        <v>545</v>
      </c>
    </row>
    <row r="536" spans="1:5">
      <c r="A536" s="135" t="s">
        <v>440</v>
      </c>
      <c r="B536" s="136" t="s">
        <v>1643</v>
      </c>
      <c r="C536" s="133" t="s">
        <v>1644</v>
      </c>
      <c r="D536" s="128" t="s">
        <v>1626</v>
      </c>
      <c r="E536" s="128" t="s">
        <v>545</v>
      </c>
    </row>
    <row r="537" spans="1:5">
      <c r="A537" s="135" t="s">
        <v>448</v>
      </c>
      <c r="B537" s="136" t="s">
        <v>1645</v>
      </c>
      <c r="C537" s="133" t="s">
        <v>1646</v>
      </c>
      <c r="D537" s="128" t="s">
        <v>1626</v>
      </c>
      <c r="E537" s="128" t="s">
        <v>545</v>
      </c>
    </row>
    <row r="538" spans="1:5">
      <c r="A538" s="132" t="s">
        <v>449</v>
      </c>
      <c r="B538" s="136" t="s">
        <v>1647</v>
      </c>
      <c r="C538" s="133" t="s">
        <v>1648</v>
      </c>
      <c r="D538" s="128" t="s">
        <v>1626</v>
      </c>
      <c r="E538" s="128" t="s">
        <v>545</v>
      </c>
    </row>
    <row r="539" spans="1:5">
      <c r="A539" s="132" t="s">
        <v>450</v>
      </c>
      <c r="B539" s="136" t="s">
        <v>1649</v>
      </c>
      <c r="C539" s="133" t="s">
        <v>1650</v>
      </c>
      <c r="D539" s="128" t="s">
        <v>1626</v>
      </c>
      <c r="E539" s="128" t="s">
        <v>545</v>
      </c>
    </row>
    <row r="540" spans="1:5">
      <c r="A540" s="132" t="s">
        <v>451</v>
      </c>
      <c r="B540" s="136" t="s">
        <v>1651</v>
      </c>
      <c r="C540" s="133" t="s">
        <v>1652</v>
      </c>
      <c r="D540" s="128" t="s">
        <v>1626</v>
      </c>
      <c r="E540" s="128" t="s">
        <v>545</v>
      </c>
    </row>
    <row r="541" spans="1:5">
      <c r="A541" s="132" t="s">
        <v>452</v>
      </c>
      <c r="B541" s="136" t="s">
        <v>1653</v>
      </c>
      <c r="C541" s="133" t="s">
        <v>1654</v>
      </c>
      <c r="D541" s="128" t="s">
        <v>1626</v>
      </c>
      <c r="E541" s="128" t="s">
        <v>545</v>
      </c>
    </row>
    <row r="542" spans="1:5">
      <c r="A542" s="135" t="s">
        <v>453</v>
      </c>
      <c r="B542" s="136" t="s">
        <v>1655</v>
      </c>
      <c r="C542" s="133" t="s">
        <v>1656</v>
      </c>
      <c r="D542" s="128" t="s">
        <v>1626</v>
      </c>
      <c r="E542" s="128" t="s">
        <v>545</v>
      </c>
    </row>
    <row r="543" spans="1:5">
      <c r="A543" s="132" t="s">
        <v>454</v>
      </c>
      <c r="B543" s="136" t="s">
        <v>1657</v>
      </c>
      <c r="C543" s="130" t="s">
        <v>1658</v>
      </c>
      <c r="D543" s="128" t="s">
        <v>1626</v>
      </c>
      <c r="E543" s="128" t="s">
        <v>545</v>
      </c>
    </row>
    <row r="544" spans="1:5">
      <c r="A544" s="135" t="s">
        <v>455</v>
      </c>
      <c r="B544" s="136" t="s">
        <v>1659</v>
      </c>
      <c r="C544" s="133" t="s">
        <v>1660</v>
      </c>
      <c r="D544" s="128" t="s">
        <v>1626</v>
      </c>
      <c r="E544" s="128" t="s">
        <v>545</v>
      </c>
    </row>
    <row r="545" spans="1:5">
      <c r="A545" s="128" t="s">
        <v>1661</v>
      </c>
      <c r="B545" s="136" t="s">
        <v>1662</v>
      </c>
      <c r="C545" s="130" t="s">
        <v>1663</v>
      </c>
      <c r="D545" s="128" t="s">
        <v>1626</v>
      </c>
      <c r="E545" s="128" t="s">
        <v>545</v>
      </c>
    </row>
    <row r="546" spans="1:5">
      <c r="A546" s="132" t="s">
        <v>466</v>
      </c>
      <c r="B546" s="136" t="s">
        <v>1664</v>
      </c>
      <c r="C546" s="133" t="s">
        <v>1665</v>
      </c>
      <c r="D546" s="128" t="s">
        <v>654</v>
      </c>
      <c r="E546" s="128" t="s">
        <v>545</v>
      </c>
    </row>
    <row r="547" spans="1:5">
      <c r="A547" s="135" t="s">
        <v>467</v>
      </c>
      <c r="B547" s="136" t="s">
        <v>1666</v>
      </c>
      <c r="C547" s="133" t="s">
        <v>1667</v>
      </c>
      <c r="D547" s="128" t="s">
        <v>654</v>
      </c>
      <c r="E547" s="128" t="s">
        <v>545</v>
      </c>
    </row>
    <row r="548" spans="1:5">
      <c r="A548" s="132" t="s">
        <v>1668</v>
      </c>
      <c r="B548" s="129" t="s">
        <v>1669</v>
      </c>
      <c r="C548" s="133" t="s">
        <v>1670</v>
      </c>
      <c r="D548" s="128" t="s">
        <v>1671</v>
      </c>
      <c r="E548" s="128" t="s">
        <v>545</v>
      </c>
    </row>
    <row r="549" spans="1:5">
      <c r="A549" s="135" t="s">
        <v>461</v>
      </c>
      <c r="B549" s="136" t="s">
        <v>1672</v>
      </c>
      <c r="C549" s="133" t="s">
        <v>1673</v>
      </c>
      <c r="D549" s="128" t="s">
        <v>705</v>
      </c>
      <c r="E549" s="128" t="s">
        <v>545</v>
      </c>
    </row>
    <row r="550" spans="1:5">
      <c r="A550" s="137" t="s">
        <v>1674</v>
      </c>
      <c r="B550" s="129" t="s">
        <v>1675</v>
      </c>
      <c r="C550" s="131" t="s">
        <v>1676</v>
      </c>
      <c r="D550" s="128" t="s">
        <v>1671</v>
      </c>
      <c r="E550" s="128" t="s">
        <v>545</v>
      </c>
    </row>
    <row r="551" spans="1:5">
      <c r="A551" s="132" t="s">
        <v>1677</v>
      </c>
      <c r="B551" s="129" t="s">
        <v>1678</v>
      </c>
      <c r="C551" s="133" t="s">
        <v>1679</v>
      </c>
      <c r="D551" s="128" t="s">
        <v>1671</v>
      </c>
      <c r="E551" s="128" t="s">
        <v>545</v>
      </c>
    </row>
    <row r="552" spans="1:5">
      <c r="A552" s="134" t="s">
        <v>1680</v>
      </c>
      <c r="B552" s="129" t="s">
        <v>1681</v>
      </c>
      <c r="C552" s="131" t="s">
        <v>1682</v>
      </c>
      <c r="D552" s="128" t="s">
        <v>1671</v>
      </c>
      <c r="E552" s="128" t="s">
        <v>545</v>
      </c>
    </row>
    <row r="553" spans="1:5">
      <c r="A553" s="128" t="s">
        <v>98</v>
      </c>
      <c r="B553" s="129" t="s">
        <v>1681</v>
      </c>
      <c r="C553" s="133" t="s">
        <v>1683</v>
      </c>
      <c r="D553" s="128" t="s">
        <v>1671</v>
      </c>
      <c r="E553" s="128" t="s">
        <v>545</v>
      </c>
    </row>
    <row r="554" spans="1:5">
      <c r="A554" s="135" t="s">
        <v>99</v>
      </c>
      <c r="B554" s="136" t="s">
        <v>1678</v>
      </c>
      <c r="C554" s="133" t="s">
        <v>1684</v>
      </c>
      <c r="D554" s="128" t="s">
        <v>1671</v>
      </c>
      <c r="E554" s="128" t="s">
        <v>545</v>
      </c>
    </row>
    <row r="555" spans="1:5">
      <c r="A555" s="128" t="s">
        <v>1685</v>
      </c>
      <c r="B555" s="136" t="s">
        <v>1678</v>
      </c>
      <c r="C555" s="133" t="s">
        <v>1686</v>
      </c>
      <c r="D555" s="128" t="s">
        <v>1671</v>
      </c>
      <c r="E555" s="128" t="s">
        <v>545</v>
      </c>
    </row>
    <row r="556" spans="1:5">
      <c r="A556" s="128" t="s">
        <v>1687</v>
      </c>
      <c r="B556" s="129" t="s">
        <v>1681</v>
      </c>
      <c r="C556" s="133" t="s">
        <v>1688</v>
      </c>
      <c r="D556" s="128" t="s">
        <v>1671</v>
      </c>
      <c r="E556" s="128" t="s">
        <v>545</v>
      </c>
    </row>
    <row r="557" spans="1:5">
      <c r="A557" s="135" t="s">
        <v>100</v>
      </c>
      <c r="B557" s="136" t="s">
        <v>1689</v>
      </c>
      <c r="C557" s="133" t="s">
        <v>1690</v>
      </c>
      <c r="D557" s="128" t="s">
        <v>1671</v>
      </c>
      <c r="E557" s="128" t="s">
        <v>545</v>
      </c>
    </row>
    <row r="558" spans="1:5">
      <c r="A558" s="135" t="s">
        <v>101</v>
      </c>
      <c r="B558" s="136" t="s">
        <v>1691</v>
      </c>
      <c r="C558" s="133" t="s">
        <v>1692</v>
      </c>
      <c r="D558" s="128" t="s">
        <v>1671</v>
      </c>
      <c r="E558" s="128" t="s">
        <v>545</v>
      </c>
    </row>
    <row r="559" spans="1:5">
      <c r="A559" s="137" t="s">
        <v>1693</v>
      </c>
      <c r="B559" s="129" t="s">
        <v>1694</v>
      </c>
      <c r="C559" s="131" t="s">
        <v>1695</v>
      </c>
      <c r="D559" s="128" t="s">
        <v>1671</v>
      </c>
      <c r="E559" s="128" t="s">
        <v>545</v>
      </c>
    </row>
    <row r="560" spans="1:5">
      <c r="A560" s="133" t="s">
        <v>1696</v>
      </c>
      <c r="B560" s="129" t="s">
        <v>1697</v>
      </c>
      <c r="C560" s="130" t="s">
        <v>1698</v>
      </c>
      <c r="D560" s="128" t="s">
        <v>1671</v>
      </c>
      <c r="E560" s="128" t="s">
        <v>545</v>
      </c>
    </row>
    <row r="561" spans="1:5">
      <c r="A561" s="128" t="s">
        <v>1699</v>
      </c>
      <c r="B561" s="129" t="s">
        <v>1700</v>
      </c>
      <c r="C561" s="131" t="s">
        <v>1701</v>
      </c>
      <c r="D561" s="128" t="s">
        <v>1671</v>
      </c>
      <c r="E561" s="128" t="s">
        <v>545</v>
      </c>
    </row>
    <row r="562" spans="1:5">
      <c r="A562" s="128" t="s">
        <v>1702</v>
      </c>
      <c r="B562" s="129" t="s">
        <v>1697</v>
      </c>
      <c r="C562" s="131" t="s">
        <v>1703</v>
      </c>
      <c r="D562" s="128" t="s">
        <v>1671</v>
      </c>
      <c r="E562" s="128" t="s">
        <v>545</v>
      </c>
    </row>
    <row r="563" spans="1:5">
      <c r="A563" s="132" t="s">
        <v>102</v>
      </c>
      <c r="B563" s="129" t="s">
        <v>1697</v>
      </c>
      <c r="C563" s="133" t="s">
        <v>1704</v>
      </c>
      <c r="D563" s="128" t="s">
        <v>1671</v>
      </c>
      <c r="E563" s="128" t="s">
        <v>545</v>
      </c>
    </row>
    <row r="564" spans="1:5">
      <c r="A564" s="132" t="s">
        <v>1705</v>
      </c>
      <c r="B564" s="129" t="s">
        <v>1706</v>
      </c>
      <c r="C564" s="133" t="s">
        <v>1707</v>
      </c>
      <c r="D564" s="128" t="s">
        <v>1671</v>
      </c>
      <c r="E564" s="128" t="s">
        <v>545</v>
      </c>
    </row>
    <row r="565" spans="1:5">
      <c r="A565" s="128" t="s">
        <v>1708</v>
      </c>
      <c r="B565" s="136" t="s">
        <v>1700</v>
      </c>
      <c r="C565" s="131" t="s">
        <v>1709</v>
      </c>
      <c r="D565" s="128" t="s">
        <v>1671</v>
      </c>
      <c r="E565" s="128" t="s">
        <v>545</v>
      </c>
    </row>
    <row r="566" spans="1:5">
      <c r="A566" s="140" t="s">
        <v>1710</v>
      </c>
      <c r="B566" s="129" t="s">
        <v>1711</v>
      </c>
      <c r="C566" s="133" t="s">
        <v>1712</v>
      </c>
      <c r="D566" s="128" t="s">
        <v>1671</v>
      </c>
      <c r="E566" s="128" t="s">
        <v>545</v>
      </c>
    </row>
    <row r="567" spans="1:5">
      <c r="A567" s="132" t="s">
        <v>103</v>
      </c>
      <c r="B567" s="129" t="s">
        <v>1713</v>
      </c>
      <c r="C567" s="133" t="s">
        <v>1714</v>
      </c>
      <c r="D567" s="128" t="s">
        <v>1671</v>
      </c>
      <c r="E567" s="128" t="s">
        <v>545</v>
      </c>
    </row>
    <row r="568" spans="1:5">
      <c r="A568" s="132" t="s">
        <v>104</v>
      </c>
      <c r="B568" s="129" t="s">
        <v>1694</v>
      </c>
      <c r="C568" s="133" t="s">
        <v>1715</v>
      </c>
      <c r="D568" s="128" t="s">
        <v>1671</v>
      </c>
      <c r="E568" s="128" t="s">
        <v>545</v>
      </c>
    </row>
    <row r="569" spans="1:5">
      <c r="A569" s="135" t="s">
        <v>105</v>
      </c>
      <c r="B569" s="136" t="s">
        <v>1716</v>
      </c>
      <c r="C569" s="133" t="s">
        <v>1717</v>
      </c>
      <c r="D569" s="128" t="s">
        <v>1671</v>
      </c>
      <c r="E569" s="128" t="s">
        <v>545</v>
      </c>
    </row>
    <row r="570" spans="1:5">
      <c r="A570" s="135" t="s">
        <v>106</v>
      </c>
      <c r="B570" s="129" t="s">
        <v>1716</v>
      </c>
      <c r="C570" s="133" t="s">
        <v>1718</v>
      </c>
      <c r="D570" s="128" t="s">
        <v>1671</v>
      </c>
      <c r="E570" s="128" t="s">
        <v>545</v>
      </c>
    </row>
    <row r="571" spans="1:5">
      <c r="A571" s="132" t="s">
        <v>107</v>
      </c>
      <c r="B571" s="129" t="s">
        <v>1669</v>
      </c>
      <c r="C571" s="133" t="s">
        <v>1719</v>
      </c>
      <c r="D571" s="128" t="s">
        <v>1671</v>
      </c>
      <c r="E571" s="128" t="s">
        <v>545</v>
      </c>
    </row>
    <row r="572" spans="1:5">
      <c r="A572" s="132" t="s">
        <v>108</v>
      </c>
      <c r="B572" s="129" t="s">
        <v>1669</v>
      </c>
      <c r="C572" s="133" t="s">
        <v>1720</v>
      </c>
      <c r="D572" s="128" t="s">
        <v>1671</v>
      </c>
      <c r="E572" s="128" t="s">
        <v>545</v>
      </c>
    </row>
    <row r="573" spans="1:5">
      <c r="A573" s="128" t="s">
        <v>1721</v>
      </c>
      <c r="B573" s="129" t="s">
        <v>1722</v>
      </c>
      <c r="C573" s="133" t="s">
        <v>1723</v>
      </c>
      <c r="D573" s="128" t="s">
        <v>1671</v>
      </c>
      <c r="E573" s="128" t="s">
        <v>545</v>
      </c>
    </row>
    <row r="574" spans="1:5">
      <c r="A574" s="128" t="s">
        <v>109</v>
      </c>
      <c r="B574" s="136" t="s">
        <v>1724</v>
      </c>
      <c r="C574" s="133" t="s">
        <v>1725</v>
      </c>
      <c r="D574" s="128" t="s">
        <v>1671</v>
      </c>
      <c r="E574" s="128" t="s">
        <v>545</v>
      </c>
    </row>
    <row r="575" spans="1:5">
      <c r="A575" s="132" t="s">
        <v>110</v>
      </c>
      <c r="B575" s="129" t="s">
        <v>1722</v>
      </c>
      <c r="C575" s="133" t="s">
        <v>1726</v>
      </c>
      <c r="D575" s="128" t="s">
        <v>1671</v>
      </c>
      <c r="E575" s="128" t="s">
        <v>545</v>
      </c>
    </row>
    <row r="576" spans="1:5">
      <c r="A576" s="135" t="s">
        <v>111</v>
      </c>
      <c r="B576" s="136" t="s">
        <v>1724</v>
      </c>
      <c r="C576" s="133" t="s">
        <v>1727</v>
      </c>
      <c r="D576" s="128" t="s">
        <v>1671</v>
      </c>
      <c r="E576" s="128" t="s">
        <v>545</v>
      </c>
    </row>
    <row r="577" spans="1:5">
      <c r="A577" s="135" t="s">
        <v>112</v>
      </c>
      <c r="B577" s="129" t="s">
        <v>1724</v>
      </c>
      <c r="C577" s="133" t="s">
        <v>1728</v>
      </c>
      <c r="D577" s="128" t="s">
        <v>1671</v>
      </c>
      <c r="E577" s="128" t="s">
        <v>545</v>
      </c>
    </row>
    <row r="578" spans="1:5">
      <c r="A578" s="135" t="s">
        <v>113</v>
      </c>
      <c r="B578" s="136" t="s">
        <v>1729</v>
      </c>
      <c r="C578" s="133" t="s">
        <v>1730</v>
      </c>
      <c r="D578" s="128" t="s">
        <v>1671</v>
      </c>
      <c r="E578" s="128" t="s">
        <v>545</v>
      </c>
    </row>
    <row r="579" spans="1:5">
      <c r="A579" s="135" t="s">
        <v>114</v>
      </c>
      <c r="B579" s="136" t="s">
        <v>1729</v>
      </c>
      <c r="C579" s="133" t="s">
        <v>1731</v>
      </c>
      <c r="D579" s="128" t="s">
        <v>1671</v>
      </c>
      <c r="E579" s="128" t="s">
        <v>545</v>
      </c>
    </row>
    <row r="580" spans="1:5">
      <c r="A580" s="128" t="s">
        <v>1732</v>
      </c>
      <c r="B580" s="129" t="s">
        <v>1733</v>
      </c>
      <c r="C580" s="133" t="s">
        <v>1734</v>
      </c>
      <c r="D580" s="128" t="s">
        <v>1671</v>
      </c>
      <c r="E580" s="128" t="s">
        <v>545</v>
      </c>
    </row>
    <row r="581" spans="1:5">
      <c r="A581" s="132" t="s">
        <v>115</v>
      </c>
      <c r="B581" s="129" t="s">
        <v>1733</v>
      </c>
      <c r="C581" s="133" t="s">
        <v>1735</v>
      </c>
      <c r="D581" s="128" t="s">
        <v>1671</v>
      </c>
      <c r="E581" s="128" t="s">
        <v>545</v>
      </c>
    </row>
    <row r="582" spans="1:5">
      <c r="A582" s="128" t="s">
        <v>1736</v>
      </c>
      <c r="B582" s="136" t="s">
        <v>1737</v>
      </c>
      <c r="C582" s="133" t="s">
        <v>1738</v>
      </c>
      <c r="D582" s="128" t="s">
        <v>1671</v>
      </c>
      <c r="E582" s="128" t="s">
        <v>545</v>
      </c>
    </row>
    <row r="583" spans="1:5">
      <c r="A583" s="135" t="s">
        <v>117</v>
      </c>
      <c r="B583" s="136" t="s">
        <v>1737</v>
      </c>
      <c r="C583" s="133" t="s">
        <v>1739</v>
      </c>
      <c r="D583" s="128" t="s">
        <v>1671</v>
      </c>
      <c r="E583" s="128" t="s">
        <v>545</v>
      </c>
    </row>
    <row r="584" spans="1:5">
      <c r="A584" s="135" t="s">
        <v>1740</v>
      </c>
      <c r="B584" s="136" t="s">
        <v>1741</v>
      </c>
      <c r="C584" s="133" t="s">
        <v>1742</v>
      </c>
      <c r="D584" s="128" t="s">
        <v>1671</v>
      </c>
      <c r="E584" s="128" t="s">
        <v>545</v>
      </c>
    </row>
    <row r="585" spans="1:5">
      <c r="A585" s="128" t="s">
        <v>118</v>
      </c>
      <c r="B585" s="136" t="s">
        <v>1741</v>
      </c>
      <c r="C585" s="133" t="s">
        <v>1743</v>
      </c>
      <c r="D585" s="128" t="s">
        <v>1671</v>
      </c>
      <c r="E585" s="128" t="s">
        <v>545</v>
      </c>
    </row>
    <row r="586" spans="1:5">
      <c r="A586" s="128" t="s">
        <v>119</v>
      </c>
      <c r="B586" s="129" t="s">
        <v>1744</v>
      </c>
      <c r="C586" s="133" t="s">
        <v>1745</v>
      </c>
      <c r="D586" s="128" t="s">
        <v>1671</v>
      </c>
      <c r="E586" s="128" t="s">
        <v>545</v>
      </c>
    </row>
    <row r="587" spans="1:5">
      <c r="A587" s="135" t="s">
        <v>122</v>
      </c>
      <c r="B587" s="136" t="s">
        <v>1746</v>
      </c>
      <c r="C587" s="133" t="s">
        <v>1747</v>
      </c>
      <c r="D587" s="128" t="s">
        <v>1671</v>
      </c>
      <c r="E587" s="128" t="s">
        <v>545</v>
      </c>
    </row>
    <row r="588" spans="1:5">
      <c r="A588" s="128" t="s">
        <v>123</v>
      </c>
      <c r="B588" s="129" t="s">
        <v>1746</v>
      </c>
      <c r="C588" s="133" t="s">
        <v>1748</v>
      </c>
      <c r="D588" s="128" t="s">
        <v>1671</v>
      </c>
      <c r="E588" s="128" t="s">
        <v>545</v>
      </c>
    </row>
    <row r="589" spans="1:5">
      <c r="A589" s="135" t="s">
        <v>124</v>
      </c>
      <c r="B589" s="136" t="s">
        <v>1749</v>
      </c>
      <c r="C589" s="133" t="s">
        <v>1750</v>
      </c>
      <c r="D589" s="128" t="s">
        <v>1671</v>
      </c>
      <c r="E589" s="128" t="s">
        <v>545</v>
      </c>
    </row>
    <row r="590" spans="1:5">
      <c r="A590" s="135" t="s">
        <v>125</v>
      </c>
      <c r="B590" s="136" t="s">
        <v>1751</v>
      </c>
      <c r="C590" s="133" t="s">
        <v>1752</v>
      </c>
      <c r="D590" s="128" t="s">
        <v>1671</v>
      </c>
      <c r="E590" s="128" t="s">
        <v>545</v>
      </c>
    </row>
    <row r="591" spans="1:5">
      <c r="A591" s="128" t="s">
        <v>1753</v>
      </c>
      <c r="B591" s="129" t="s">
        <v>1754</v>
      </c>
      <c r="C591" s="133" t="s">
        <v>1755</v>
      </c>
      <c r="D591" s="128" t="s">
        <v>1671</v>
      </c>
      <c r="E591" s="128" t="s">
        <v>545</v>
      </c>
    </row>
    <row r="592" spans="1:5">
      <c r="A592" s="132" t="s">
        <v>1756</v>
      </c>
      <c r="B592" s="129" t="s">
        <v>1678</v>
      </c>
      <c r="C592" s="133" t="s">
        <v>1757</v>
      </c>
      <c r="D592" s="128" t="s">
        <v>1671</v>
      </c>
      <c r="E592" s="128" t="s">
        <v>545</v>
      </c>
    </row>
    <row r="593" spans="1:5">
      <c r="A593" s="132" t="s">
        <v>126</v>
      </c>
      <c r="B593" s="129" t="s">
        <v>1758</v>
      </c>
      <c r="C593" s="133" t="s">
        <v>1759</v>
      </c>
      <c r="D593" s="128" t="s">
        <v>1671</v>
      </c>
      <c r="E593" s="128" t="s">
        <v>545</v>
      </c>
    </row>
    <row r="594" spans="1:5">
      <c r="A594" s="128" t="s">
        <v>1760</v>
      </c>
      <c r="B594" s="129" t="s">
        <v>1713</v>
      </c>
      <c r="C594" s="133" t="s">
        <v>1761</v>
      </c>
      <c r="D594" s="128" t="s">
        <v>1671</v>
      </c>
      <c r="E594" s="128" t="s">
        <v>545</v>
      </c>
    </row>
    <row r="595" spans="1:5">
      <c r="A595" s="132" t="s">
        <v>127</v>
      </c>
      <c r="B595" s="129" t="s">
        <v>1737</v>
      </c>
      <c r="C595" s="133" t="s">
        <v>1762</v>
      </c>
      <c r="D595" s="128" t="s">
        <v>1671</v>
      </c>
      <c r="E595" s="128" t="s">
        <v>545</v>
      </c>
    </row>
    <row r="596" spans="1:5">
      <c r="A596" s="128" t="s">
        <v>1763</v>
      </c>
      <c r="B596" s="129" t="s">
        <v>1764</v>
      </c>
      <c r="C596" s="130" t="s">
        <v>1765</v>
      </c>
      <c r="D596" s="128" t="s">
        <v>1671</v>
      </c>
      <c r="E596" s="128" t="s">
        <v>545</v>
      </c>
    </row>
    <row r="597" spans="1:5">
      <c r="A597" s="132" t="s">
        <v>128</v>
      </c>
      <c r="B597" s="129" t="s">
        <v>1766</v>
      </c>
      <c r="C597" s="133" t="s">
        <v>1767</v>
      </c>
      <c r="D597" s="128" t="s">
        <v>1671</v>
      </c>
      <c r="E597" s="128" t="s">
        <v>545</v>
      </c>
    </row>
    <row r="598" spans="1:5">
      <c r="A598" s="128" t="s">
        <v>1768</v>
      </c>
      <c r="B598" s="136" t="s">
        <v>1769</v>
      </c>
      <c r="C598" s="133" t="s">
        <v>1770</v>
      </c>
      <c r="D598" s="128" t="s">
        <v>1771</v>
      </c>
      <c r="E598" s="128" t="s">
        <v>545</v>
      </c>
    </row>
    <row r="599" spans="1:5">
      <c r="A599" s="135" t="s">
        <v>130</v>
      </c>
      <c r="B599" s="136" t="s">
        <v>1772</v>
      </c>
      <c r="C599" s="130" t="s">
        <v>1773</v>
      </c>
      <c r="D599" s="128" t="s">
        <v>1771</v>
      </c>
      <c r="E599" s="128" t="s">
        <v>545</v>
      </c>
    </row>
    <row r="600" spans="1:5">
      <c r="A600" s="132" t="s">
        <v>1774</v>
      </c>
      <c r="B600" s="129" t="s">
        <v>1775</v>
      </c>
      <c r="C600" s="133" t="s">
        <v>1776</v>
      </c>
      <c r="D600" s="128" t="s">
        <v>1771</v>
      </c>
      <c r="E600" s="128" t="s">
        <v>545</v>
      </c>
    </row>
    <row r="601" spans="1:5">
      <c r="A601" s="135" t="s">
        <v>131</v>
      </c>
      <c r="B601" s="136" t="s">
        <v>1769</v>
      </c>
      <c r="C601" s="133" t="s">
        <v>1777</v>
      </c>
      <c r="D601" s="128" t="s">
        <v>1771</v>
      </c>
      <c r="E601" s="128" t="s">
        <v>545</v>
      </c>
    </row>
    <row r="602" spans="1:5">
      <c r="A602" s="128" t="s">
        <v>1778</v>
      </c>
      <c r="B602" s="136" t="s">
        <v>1779</v>
      </c>
      <c r="C602" s="133" t="s">
        <v>1780</v>
      </c>
      <c r="D602" s="128" t="s">
        <v>1771</v>
      </c>
      <c r="E602" s="128" t="s">
        <v>545</v>
      </c>
    </row>
    <row r="603" spans="1:5">
      <c r="A603" s="135" t="s">
        <v>132</v>
      </c>
      <c r="B603" s="136" t="s">
        <v>1775</v>
      </c>
      <c r="C603" s="133" t="s">
        <v>1781</v>
      </c>
      <c r="D603" s="128" t="s">
        <v>1771</v>
      </c>
      <c r="E603" s="128" t="s">
        <v>545</v>
      </c>
    </row>
    <row r="604" spans="1:5">
      <c r="A604" s="138" t="s">
        <v>133</v>
      </c>
      <c r="B604" s="136" t="s">
        <v>1782</v>
      </c>
      <c r="C604" s="131" t="s">
        <v>1783</v>
      </c>
      <c r="D604" s="128" t="s">
        <v>1771</v>
      </c>
      <c r="E604" s="128" t="s">
        <v>545</v>
      </c>
    </row>
    <row r="605" spans="1:5">
      <c r="A605" s="135" t="s">
        <v>134</v>
      </c>
      <c r="B605" s="136" t="s">
        <v>1775</v>
      </c>
      <c r="C605" s="133" t="s">
        <v>1784</v>
      </c>
      <c r="D605" s="128" t="s">
        <v>1771</v>
      </c>
      <c r="E605" s="128" t="s">
        <v>545</v>
      </c>
    </row>
    <row r="606" spans="1:5">
      <c r="A606" s="135" t="s">
        <v>135</v>
      </c>
      <c r="B606" s="136" t="s">
        <v>1785</v>
      </c>
      <c r="C606" s="133" t="s">
        <v>1786</v>
      </c>
      <c r="D606" s="128" t="s">
        <v>1771</v>
      </c>
      <c r="E606" s="128" t="s">
        <v>545</v>
      </c>
    </row>
    <row r="607" spans="1:5">
      <c r="A607" s="135" t="s">
        <v>1787</v>
      </c>
      <c r="B607" s="136" t="s">
        <v>1788</v>
      </c>
      <c r="C607" s="133" t="s">
        <v>1789</v>
      </c>
      <c r="D607" s="128" t="s">
        <v>1771</v>
      </c>
      <c r="E607" s="128" t="s">
        <v>545</v>
      </c>
    </row>
    <row r="608" spans="1:5">
      <c r="A608" s="135" t="s">
        <v>136</v>
      </c>
      <c r="B608" s="136" t="s">
        <v>1790</v>
      </c>
      <c r="C608" s="133" t="s">
        <v>1791</v>
      </c>
      <c r="D608" s="128" t="s">
        <v>1771</v>
      </c>
      <c r="E608" s="128" t="s">
        <v>545</v>
      </c>
    </row>
    <row r="609" spans="1:5">
      <c r="A609" s="135" t="s">
        <v>137</v>
      </c>
      <c r="B609" s="136" t="s">
        <v>1792</v>
      </c>
      <c r="C609" s="133" t="s">
        <v>1793</v>
      </c>
      <c r="D609" s="128" t="s">
        <v>1771</v>
      </c>
      <c r="E609" s="128" t="s">
        <v>545</v>
      </c>
    </row>
    <row r="610" spans="1:5">
      <c r="A610" s="135" t="s">
        <v>1794</v>
      </c>
      <c r="B610" s="136" t="s">
        <v>1795</v>
      </c>
      <c r="C610" s="133" t="s">
        <v>1796</v>
      </c>
      <c r="D610" s="128" t="s">
        <v>1771</v>
      </c>
      <c r="E610" s="128" t="s">
        <v>545</v>
      </c>
    </row>
    <row r="611" spans="1:5">
      <c r="A611" s="132" t="s">
        <v>138</v>
      </c>
      <c r="B611" s="129" t="s">
        <v>1795</v>
      </c>
      <c r="C611" s="133" t="s">
        <v>1797</v>
      </c>
      <c r="D611" s="128" t="s">
        <v>1771</v>
      </c>
      <c r="E611" s="128" t="s">
        <v>545</v>
      </c>
    </row>
    <row r="612" spans="1:5">
      <c r="A612" s="135" t="s">
        <v>139</v>
      </c>
      <c r="B612" s="136" t="s">
        <v>1798</v>
      </c>
      <c r="C612" s="133" t="s">
        <v>1799</v>
      </c>
      <c r="D612" s="128" t="s">
        <v>1771</v>
      </c>
      <c r="E612" s="128" t="s">
        <v>545</v>
      </c>
    </row>
    <row r="613" spans="1:5">
      <c r="A613" s="135" t="s">
        <v>140</v>
      </c>
      <c r="B613" s="136" t="s">
        <v>1800</v>
      </c>
      <c r="C613" s="133" t="s">
        <v>1801</v>
      </c>
      <c r="D613" s="128" t="s">
        <v>1771</v>
      </c>
      <c r="E613" s="128" t="s">
        <v>545</v>
      </c>
    </row>
    <row r="614" spans="1:5">
      <c r="A614" s="128" t="s">
        <v>1802</v>
      </c>
      <c r="B614" s="136" t="s">
        <v>1803</v>
      </c>
      <c r="C614" s="133" t="s">
        <v>1804</v>
      </c>
      <c r="D614" s="128" t="s">
        <v>1771</v>
      </c>
      <c r="E614" s="128" t="s">
        <v>545</v>
      </c>
    </row>
    <row r="615" spans="1:5">
      <c r="A615" s="135" t="s">
        <v>141</v>
      </c>
      <c r="B615" s="136" t="s">
        <v>1803</v>
      </c>
      <c r="C615" s="133" t="s">
        <v>1805</v>
      </c>
      <c r="D615" s="128" t="s">
        <v>1771</v>
      </c>
      <c r="E615" s="128" t="s">
        <v>545</v>
      </c>
    </row>
    <row r="616" spans="1:5">
      <c r="A616" s="128" t="s">
        <v>1806</v>
      </c>
      <c r="B616" s="136" t="s">
        <v>1807</v>
      </c>
      <c r="C616" s="133" t="s">
        <v>1808</v>
      </c>
      <c r="D616" s="128" t="s">
        <v>1771</v>
      </c>
      <c r="E616" s="128" t="s">
        <v>545</v>
      </c>
    </row>
    <row r="617" spans="1:5">
      <c r="A617" s="131" t="s">
        <v>1809</v>
      </c>
      <c r="B617" s="129" t="s">
        <v>1785</v>
      </c>
      <c r="C617" s="129" t="s">
        <v>1810</v>
      </c>
      <c r="D617" s="128" t="s">
        <v>1771</v>
      </c>
      <c r="E617" s="128" t="s">
        <v>545</v>
      </c>
    </row>
    <row r="618" spans="1:5">
      <c r="A618" s="128" t="s">
        <v>1811</v>
      </c>
      <c r="B618" s="136" t="s">
        <v>1790</v>
      </c>
      <c r="C618" s="133" t="s">
        <v>1812</v>
      </c>
      <c r="D618" s="128" t="s">
        <v>1771</v>
      </c>
      <c r="E618" s="128" t="s">
        <v>545</v>
      </c>
    </row>
    <row r="619" spans="1:5">
      <c r="A619" s="134" t="s">
        <v>1813</v>
      </c>
      <c r="B619" s="136" t="s">
        <v>1790</v>
      </c>
      <c r="C619" s="130" t="s">
        <v>1814</v>
      </c>
      <c r="D619" s="128" t="s">
        <v>1771</v>
      </c>
      <c r="E619" s="128" t="s">
        <v>545</v>
      </c>
    </row>
    <row r="620" spans="1:5">
      <c r="A620" s="128" t="s">
        <v>121</v>
      </c>
      <c r="B620" s="141" t="s">
        <v>1815</v>
      </c>
      <c r="C620" s="131" t="s">
        <v>1816</v>
      </c>
      <c r="D620" s="128" t="s">
        <v>1671</v>
      </c>
      <c r="E620" s="128" t="s">
        <v>545</v>
      </c>
    </row>
    <row r="621" spans="1:5">
      <c r="A621" s="128" t="s">
        <v>120</v>
      </c>
      <c r="B621" s="141" t="s">
        <v>1817</v>
      </c>
      <c r="C621" s="131" t="s">
        <v>1818</v>
      </c>
      <c r="D621" s="128" t="s">
        <v>1671</v>
      </c>
      <c r="E621" s="128" t="s">
        <v>545</v>
      </c>
    </row>
    <row r="622" spans="1:5">
      <c r="A622" s="128" t="s">
        <v>45</v>
      </c>
      <c r="B622" s="18" t="s">
        <v>1181</v>
      </c>
      <c r="C622" s="131" t="s">
        <v>1819</v>
      </c>
      <c r="D622" s="128" t="s">
        <v>1115</v>
      </c>
      <c r="E622" s="128" t="s">
        <v>545</v>
      </c>
    </row>
    <row r="623" spans="1:5">
      <c r="A623" s="128" t="s">
        <v>47</v>
      </c>
      <c r="B623" s="18" t="s">
        <v>1820</v>
      </c>
      <c r="C623" s="131" t="s">
        <v>1821</v>
      </c>
      <c r="D623" s="128" t="s">
        <v>1115</v>
      </c>
      <c r="E623" s="128" t="s">
        <v>545</v>
      </c>
    </row>
    <row r="624" spans="1:5">
      <c r="A624" s="128" t="s">
        <v>46</v>
      </c>
      <c r="B624" s="18" t="s">
        <v>1183</v>
      </c>
      <c r="C624" s="131" t="s">
        <v>1822</v>
      </c>
      <c r="D624" s="128" t="s">
        <v>1115</v>
      </c>
      <c r="E624" s="128" t="s">
        <v>545</v>
      </c>
    </row>
    <row r="625" spans="1:5">
      <c r="A625" s="128" t="s">
        <v>116</v>
      </c>
      <c r="B625" s="141" t="s">
        <v>1823</v>
      </c>
      <c r="C625" s="131" t="s">
        <v>1824</v>
      </c>
      <c r="D625" s="128" t="s">
        <v>1671</v>
      </c>
      <c r="E625" s="128" t="s">
        <v>545</v>
      </c>
    </row>
    <row r="626" spans="1:5">
      <c r="A626" s="128" t="s">
        <v>36</v>
      </c>
      <c r="B626" s="18" t="s">
        <v>1141</v>
      </c>
      <c r="C626" s="131" t="s">
        <v>1825</v>
      </c>
      <c r="D626" s="128" t="s">
        <v>1115</v>
      </c>
      <c r="E626" s="128" t="s">
        <v>545</v>
      </c>
    </row>
    <row r="627" spans="1:5">
      <c r="A627" s="128" t="s">
        <v>390</v>
      </c>
      <c r="B627" s="18" t="s">
        <v>914</v>
      </c>
      <c r="C627" s="142" t="s">
        <v>1826</v>
      </c>
      <c r="D627" s="128" t="s">
        <v>715</v>
      </c>
      <c r="E627" s="128" t="s">
        <v>545</v>
      </c>
    </row>
    <row r="628" spans="1:5">
      <c r="A628" s="128" t="s">
        <v>94</v>
      </c>
      <c r="B628" s="18" t="s">
        <v>1116</v>
      </c>
      <c r="C628" s="131" t="s">
        <v>1827</v>
      </c>
      <c r="D628" s="128" t="s">
        <v>671</v>
      </c>
      <c r="E628" s="128" t="s">
        <v>545</v>
      </c>
    </row>
    <row r="629" spans="1:5">
      <c r="A629" s="128" t="s">
        <v>312</v>
      </c>
      <c r="B629" s="18" t="s">
        <v>1828</v>
      </c>
      <c r="C629" s="131" t="s">
        <v>1829</v>
      </c>
      <c r="D629" s="128" t="s">
        <v>715</v>
      </c>
      <c r="E629" s="128" t="s">
        <v>545</v>
      </c>
    </row>
    <row r="630" spans="1:5">
      <c r="A630" s="128" t="s">
        <v>313</v>
      </c>
      <c r="B630" s="18" t="s">
        <v>875</v>
      </c>
      <c r="C630" s="131" t="s">
        <v>1830</v>
      </c>
      <c r="D630" s="128" t="s">
        <v>715</v>
      </c>
      <c r="E630" s="128" t="s">
        <v>545</v>
      </c>
    </row>
    <row r="631" spans="1:5">
      <c r="A631" s="128" t="s">
        <v>314</v>
      </c>
      <c r="B631" s="18" t="s">
        <v>877</v>
      </c>
      <c r="C631" s="131" t="s">
        <v>1831</v>
      </c>
      <c r="D631" s="128" t="s">
        <v>715</v>
      </c>
      <c r="E631" s="128" t="s">
        <v>545</v>
      </c>
    </row>
    <row r="632" spans="1:5">
      <c r="A632" s="128" t="s">
        <v>315</v>
      </c>
      <c r="B632" s="18" t="s">
        <v>1832</v>
      </c>
      <c r="C632" s="131" t="s">
        <v>1833</v>
      </c>
      <c r="D632" s="128" t="s">
        <v>715</v>
      </c>
      <c r="E632" s="128" t="s">
        <v>545</v>
      </c>
    </row>
    <row r="633" spans="1:5">
      <c r="A633" s="128" t="s">
        <v>316</v>
      </c>
      <c r="B633" s="18" t="s">
        <v>849</v>
      </c>
      <c r="C633" s="131" t="s">
        <v>1834</v>
      </c>
      <c r="D633" s="128" t="s">
        <v>715</v>
      </c>
      <c r="E633" s="128" t="s">
        <v>545</v>
      </c>
    </row>
    <row r="634" spans="1:5">
      <c r="A634" s="128" t="s">
        <v>424</v>
      </c>
      <c r="B634" t="s">
        <v>1835</v>
      </c>
      <c r="D634" s="128" t="s">
        <v>688</v>
      </c>
      <c r="E634" s="128" t="s">
        <v>545</v>
      </c>
    </row>
    <row r="635" spans="1:5">
      <c r="A635" s="128" t="s">
        <v>425</v>
      </c>
      <c r="B635" s="18" t="s">
        <v>1836</v>
      </c>
      <c r="C635" s="131" t="s">
        <v>1837</v>
      </c>
      <c r="D635" s="128" t="s">
        <v>688</v>
      </c>
      <c r="E635" s="128" t="s">
        <v>545</v>
      </c>
    </row>
    <row r="636" spans="1:5">
      <c r="A636" s="128" t="s">
        <v>423</v>
      </c>
      <c r="B636" s="18" t="s">
        <v>1838</v>
      </c>
      <c r="C636" s="131" t="s">
        <v>1839</v>
      </c>
      <c r="D636" s="128" t="s">
        <v>688</v>
      </c>
      <c r="E636" s="128" t="s">
        <v>545</v>
      </c>
    </row>
    <row r="637" spans="1:5">
      <c r="A637" s="128" t="s">
        <v>402</v>
      </c>
      <c r="B637" t="s">
        <v>1840</v>
      </c>
      <c r="D637" s="128" t="s">
        <v>688</v>
      </c>
      <c r="E637" s="128" t="s">
        <v>545</v>
      </c>
    </row>
    <row r="638" spans="1:5">
      <c r="A638" s="128" t="s">
        <v>403</v>
      </c>
      <c r="B638" t="s">
        <v>1840</v>
      </c>
      <c r="D638" s="128" t="s">
        <v>688</v>
      </c>
      <c r="E638" s="128" t="s">
        <v>545</v>
      </c>
    </row>
    <row r="639" spans="1:5">
      <c r="A639" s="128" t="s">
        <v>1841</v>
      </c>
      <c r="B639" s="18" t="s">
        <v>1842</v>
      </c>
      <c r="C639" s="131" t="s">
        <v>1843</v>
      </c>
      <c r="D639" s="128" t="s">
        <v>1115</v>
      </c>
      <c r="E639" s="128" t="s">
        <v>545</v>
      </c>
    </row>
    <row r="640" spans="1:5">
      <c r="A640" s="128" t="s">
        <v>1844</v>
      </c>
      <c r="B640" s="18" t="s">
        <v>1845</v>
      </c>
      <c r="C640" s="131" t="s">
        <v>1846</v>
      </c>
      <c r="D640" s="128" t="s">
        <v>1115</v>
      </c>
      <c r="E640" s="128" t="s">
        <v>545</v>
      </c>
    </row>
    <row r="641" spans="1:5">
      <c r="A641" s="143" t="s">
        <v>1847</v>
      </c>
      <c r="B641" s="18" t="s">
        <v>860</v>
      </c>
      <c r="C641" s="131" t="s">
        <v>1848</v>
      </c>
      <c r="D641" s="128" t="s">
        <v>715</v>
      </c>
      <c r="E641" s="128" t="s">
        <v>545</v>
      </c>
    </row>
    <row r="642" spans="1:5">
      <c r="A642" s="143" t="s">
        <v>1849</v>
      </c>
      <c r="B642" s="18" t="s">
        <v>1850</v>
      </c>
      <c r="C642" s="131" t="s">
        <v>1851</v>
      </c>
      <c r="D642" s="128" t="s">
        <v>1233</v>
      </c>
      <c r="E642" s="128" t="s">
        <v>545</v>
      </c>
    </row>
    <row r="643" spans="1:5">
      <c r="A643" s="143" t="s">
        <v>1852</v>
      </c>
      <c r="B643" s="18" t="s">
        <v>1775</v>
      </c>
      <c r="C643" s="131" t="s">
        <v>1853</v>
      </c>
      <c r="D643" s="128" t="s">
        <v>1771</v>
      </c>
      <c r="E643" s="128" t="s">
        <v>545</v>
      </c>
    </row>
    <row r="644" spans="1:5">
      <c r="A644" s="143" t="s">
        <v>1854</v>
      </c>
      <c r="B644" s="18" t="s">
        <v>1166</v>
      </c>
      <c r="C644" s="131" t="s">
        <v>1855</v>
      </c>
      <c r="D644" s="128" t="s">
        <v>1115</v>
      </c>
      <c r="E644" s="128" t="s">
        <v>545</v>
      </c>
    </row>
    <row r="645" spans="1:5">
      <c r="A645" s="143" t="s">
        <v>1856</v>
      </c>
      <c r="B645" s="18" t="s">
        <v>1857</v>
      </c>
      <c r="C645" s="131" t="s">
        <v>1858</v>
      </c>
      <c r="D645" s="128" t="s">
        <v>930</v>
      </c>
      <c r="E645" s="128" t="s">
        <v>545</v>
      </c>
    </row>
    <row r="646" spans="1:5">
      <c r="A646" s="143" t="s">
        <v>1859</v>
      </c>
      <c r="B646" s="18" t="s">
        <v>817</v>
      </c>
      <c r="C646" s="131" t="s">
        <v>1860</v>
      </c>
      <c r="D646" s="128" t="s">
        <v>715</v>
      </c>
      <c r="E646" s="128" t="s">
        <v>545</v>
      </c>
    </row>
    <row r="647" spans="1:5">
      <c r="A647" s="143" t="s">
        <v>1861</v>
      </c>
      <c r="B647" s="18" t="s">
        <v>1164</v>
      </c>
      <c r="C647" s="131" t="s">
        <v>1862</v>
      </c>
      <c r="D647" s="128" t="s">
        <v>1115</v>
      </c>
      <c r="E647" s="128" t="s">
        <v>545</v>
      </c>
    </row>
    <row r="648" spans="1:5">
      <c r="A648" s="144" t="s">
        <v>1863</v>
      </c>
      <c r="B648" s="18" t="s">
        <v>831</v>
      </c>
      <c r="C648" s="131" t="s">
        <v>1864</v>
      </c>
      <c r="D648" s="128" t="s">
        <v>715</v>
      </c>
      <c r="E648" s="128" t="s">
        <v>545</v>
      </c>
    </row>
    <row r="649" spans="1:5">
      <c r="A649" s="144" t="s">
        <v>1865</v>
      </c>
      <c r="B649" s="18" t="s">
        <v>821</v>
      </c>
      <c r="C649" s="131" t="s">
        <v>1866</v>
      </c>
      <c r="D649" s="128" t="s">
        <v>715</v>
      </c>
      <c r="E649" s="128" t="s">
        <v>545</v>
      </c>
    </row>
    <row r="650" spans="1:5">
      <c r="A650" s="128" t="s">
        <v>1867</v>
      </c>
      <c r="B650" s="141" t="s">
        <v>1868</v>
      </c>
      <c r="C650" s="131" t="s">
        <v>1869</v>
      </c>
      <c r="D650" s="128" t="s">
        <v>1437</v>
      </c>
      <c r="E650" s="128" t="s">
        <v>545</v>
      </c>
    </row>
    <row r="651" spans="1:5">
      <c r="A651" s="128" t="s">
        <v>1870</v>
      </c>
      <c r="B651" s="141" t="s">
        <v>1871</v>
      </c>
      <c r="C651" s="131" t="s">
        <v>1872</v>
      </c>
      <c r="D651" s="128" t="s">
        <v>1437</v>
      </c>
      <c r="E651" s="128" t="s">
        <v>545</v>
      </c>
    </row>
    <row r="652" spans="1:5">
      <c r="A652" s="128" t="s">
        <v>1873</v>
      </c>
      <c r="B652" s="141" t="s">
        <v>1871</v>
      </c>
      <c r="C652" s="131" t="s">
        <v>1874</v>
      </c>
      <c r="D652" s="128" t="s">
        <v>1437</v>
      </c>
      <c r="E652" s="128" t="s">
        <v>545</v>
      </c>
    </row>
    <row r="653" spans="1:5">
      <c r="A653" s="128" t="s">
        <v>1875</v>
      </c>
      <c r="B653" s="141" t="s">
        <v>1449</v>
      </c>
      <c r="C653" s="131" t="s">
        <v>1876</v>
      </c>
      <c r="D653" s="128" t="s">
        <v>1437</v>
      </c>
      <c r="E653" s="128" t="s">
        <v>545</v>
      </c>
    </row>
    <row r="654" spans="1:5">
      <c r="A654" s="128" t="s">
        <v>1877</v>
      </c>
      <c r="B654" s="141" t="s">
        <v>1475</v>
      </c>
      <c r="C654" s="131" t="s">
        <v>1878</v>
      </c>
      <c r="D654" s="128" t="s">
        <v>1437</v>
      </c>
      <c r="E654" s="128" t="s">
        <v>545</v>
      </c>
    </row>
    <row r="655" spans="1:5">
      <c r="A655" s="51" t="s">
        <v>511</v>
      </c>
      <c r="B655" s="18" t="s">
        <v>1879</v>
      </c>
      <c r="C655" s="142" t="s">
        <v>1880</v>
      </c>
      <c r="D655" s="128" t="s">
        <v>538</v>
      </c>
      <c r="E655" s="128" t="s">
        <v>545</v>
      </c>
    </row>
    <row r="656" spans="1:5">
      <c r="A656" s="51" t="s">
        <v>515</v>
      </c>
      <c r="B656" s="18" t="s">
        <v>1881</v>
      </c>
      <c r="C656" s="142" t="s">
        <v>1882</v>
      </c>
      <c r="D656" s="128" t="s">
        <v>538</v>
      </c>
      <c r="E656" s="128" t="s">
        <v>545</v>
      </c>
    </row>
  </sheetData>
  <conditionalFormatting sqref="A1:A526 A533:A546 A549:A568 A572:A598 A600:A608">
    <cfRule type="duplicateValues" dxfId="19" priority="12"/>
  </conditionalFormatting>
  <conditionalFormatting sqref="A1:A568 A572:A598 A600:A608">
    <cfRule type="duplicateValues" dxfId="18" priority="10"/>
  </conditionalFormatting>
  <conditionalFormatting sqref="A1:A598 A600:A608">
    <cfRule type="duplicateValues" dxfId="17" priority="7"/>
  </conditionalFormatting>
  <conditionalFormatting sqref="A1:A654 A657:A1048576">
    <cfRule type="duplicateValues" dxfId="16" priority="3"/>
  </conditionalFormatting>
  <conditionalFormatting sqref="A475">
    <cfRule type="duplicateValues" dxfId="15" priority="14"/>
  </conditionalFormatting>
  <conditionalFormatting sqref="A526">
    <cfRule type="duplicateValues" dxfId="14" priority="13"/>
  </conditionalFormatting>
  <conditionalFormatting sqref="A548">
    <cfRule type="duplicateValues" dxfId="13" priority="11"/>
  </conditionalFormatting>
  <conditionalFormatting sqref="A569:A571">
    <cfRule type="duplicateValues" dxfId="12" priority="8"/>
    <cfRule type="duplicateValues" dxfId="11" priority="9"/>
  </conditionalFormatting>
  <conditionalFormatting sqref="A611">
    <cfRule type="duplicateValues" dxfId="10" priority="6"/>
  </conditionalFormatting>
  <conditionalFormatting sqref="A612">
    <cfRule type="duplicateValues" dxfId="9" priority="5"/>
  </conditionalFormatting>
  <conditionalFormatting sqref="A613:A617">
    <cfRule type="duplicateValues" dxfId="8" priority="4"/>
  </conditionalFormatting>
  <conditionalFormatting sqref="A650:A654 A609:A610 A629:A640 A618:A627 A657:A1048576">
    <cfRule type="duplicateValues" dxfId="7" priority="15"/>
    <cfRule type="duplicateValues" dxfId="6" priority="16"/>
    <cfRule type="duplicateValues" dxfId="5" priority="17"/>
  </conditionalFormatting>
  <conditionalFormatting sqref="A655">
    <cfRule type="duplicateValues" dxfId="4" priority="2"/>
  </conditionalFormatting>
  <conditionalFormatting sqref="A656">
    <cfRule type="duplicateValues" dxfId="3" priority="1"/>
  </conditionalFormatting>
  <hyperlinks>
    <hyperlink ref="B2" r:id="rId1" xr:uid="{E0F6A2E4-ADB4-45FB-9AFE-E7C4A667B41F}"/>
    <hyperlink ref="C2" r:id="rId2" xr:uid="{BFCA147C-7F40-44D7-B0D5-EFA02AD8D260}"/>
    <hyperlink ref="B3" r:id="rId3" xr:uid="{C13BCE1A-391B-4EFB-8211-A192229F408F}"/>
    <hyperlink ref="B4" r:id="rId4" xr:uid="{F6E7FBCA-041E-43B8-B99A-A4EA7F9FF87A}"/>
    <hyperlink ref="B5" r:id="rId5" xr:uid="{8F47BB39-184E-4ED6-A356-423413D8A4D1}"/>
    <hyperlink ref="B6" r:id="rId6" xr:uid="{FB5AD91C-E230-4C0C-A13A-B902AB151B76}"/>
    <hyperlink ref="B7" r:id="rId7" xr:uid="{8B458315-DBC7-4DD8-9397-541F9CA40458}"/>
    <hyperlink ref="B8" r:id="rId8" xr:uid="{62C2FB4E-F2F3-4859-92EA-806F077E3187}"/>
    <hyperlink ref="B9" r:id="rId9" xr:uid="{4C96CB5E-F851-4F87-87B6-40FFAB73AF08}"/>
    <hyperlink ref="B10" r:id="rId10" xr:uid="{D46C4EAD-2A02-46F0-9B03-BA2362DEC531}"/>
    <hyperlink ref="B11" r:id="rId11" xr:uid="{189C0945-FB2C-45B0-A175-B10A327E6BB4}"/>
    <hyperlink ref="B12" r:id="rId12" xr:uid="{65B9D191-8649-430F-ACD6-6074384B5AAA}"/>
    <hyperlink ref="B14" r:id="rId13" xr:uid="{27566852-5115-42B8-AEEA-A01E826C776A}"/>
    <hyperlink ref="B15" r:id="rId14" xr:uid="{B5CD57B8-A0C1-4169-8048-CFFAE24EE8DA}"/>
    <hyperlink ref="B17" r:id="rId15" xr:uid="{4B23D30D-4AAC-48DD-9C77-4FF0266AD543}"/>
    <hyperlink ref="B18" r:id="rId16" xr:uid="{F5579B18-B416-4293-AB16-E87641C72705}"/>
    <hyperlink ref="B19" r:id="rId17" xr:uid="{8CEE9315-6AED-40EE-B0AF-C4D50ED656E6}"/>
    <hyperlink ref="B20" r:id="rId18" xr:uid="{FD62DF73-DD2B-42D6-A701-5A3CF849D6D7}"/>
    <hyperlink ref="B21" r:id="rId19" xr:uid="{DB9EA497-1725-4563-8A39-106BB4C93939}"/>
    <hyperlink ref="B22" r:id="rId20" xr:uid="{4BA65027-1D50-4AA3-B0B9-B375AE36F4F1}"/>
    <hyperlink ref="B23" r:id="rId21" xr:uid="{7B1DDCE0-3751-4097-A539-3718AA38F707}"/>
    <hyperlink ref="B24" r:id="rId22" xr:uid="{839755DA-9D81-414F-87B2-6F2F5919A17E}"/>
    <hyperlink ref="B25" r:id="rId23" xr:uid="{048A98A1-9CB3-4404-AE28-CD51D636A9F2}"/>
    <hyperlink ref="B26" r:id="rId24" xr:uid="{0CC18A87-6172-4EDD-864D-2B01526304E7}"/>
    <hyperlink ref="B27" r:id="rId25" xr:uid="{1C433E05-7ACE-49EA-96DC-1DC3B254E310}"/>
    <hyperlink ref="B28" r:id="rId26" xr:uid="{3DF864B1-3BD0-4C26-80BF-2382C59D6397}"/>
    <hyperlink ref="B29" r:id="rId27" xr:uid="{A87BF82B-B582-447C-9CC8-B1B9ED36089E}"/>
    <hyperlink ref="B30" r:id="rId28" location="/Tabs=section-spareparts/" xr:uid="{86C34619-2F57-4232-8D37-7A7458948945}"/>
    <hyperlink ref="B31" r:id="rId29" xr:uid="{78BF665B-573E-475A-BD99-B4D56C3FFA46}"/>
    <hyperlink ref="B32" r:id="rId30" xr:uid="{5A9F3D9D-DD3D-4D4A-8510-C7B12E84E377}"/>
    <hyperlink ref="B33" r:id="rId31" xr:uid="{6080221F-43B8-4DB5-B020-08C718E18197}"/>
    <hyperlink ref="B34" r:id="rId32" xr:uid="{E17A8D94-F22D-4F2E-A11F-50DED64A98A9}"/>
    <hyperlink ref="B35" r:id="rId33" xr:uid="{460F6C56-6482-49FA-A599-CDF137F3E114}"/>
    <hyperlink ref="B36" r:id="rId34" xr:uid="{ED5B6A74-C9D1-422F-96D5-1DE712AAABC7}"/>
    <hyperlink ref="B37" r:id="rId35" xr:uid="{EF3BAB56-8D09-4E49-B5CF-9E33C8794F49}"/>
    <hyperlink ref="B38" r:id="rId36" xr:uid="{1610292B-BE8A-4F0F-AC6D-7048681A4C17}"/>
    <hyperlink ref="B39" r:id="rId37" xr:uid="{6C65FF98-832C-4F24-AADB-A6A6611BFF8F}"/>
    <hyperlink ref="B40" r:id="rId38" xr:uid="{90EB3C18-0A4C-4574-BD99-F266D9C31552}"/>
    <hyperlink ref="B41" r:id="rId39" xr:uid="{0492FC97-D7DA-415C-B6C7-E997183580A9}"/>
    <hyperlink ref="B42" r:id="rId40" xr:uid="{D2BDCF53-AF49-4842-B44E-174D0694C8BB}"/>
    <hyperlink ref="B43" r:id="rId41" xr:uid="{AE2242AD-88AD-4959-8E73-9F3DCF12013A}"/>
    <hyperlink ref="B44" r:id="rId42" xr:uid="{727595E3-C60D-44AD-9C28-68680ADCB86E}"/>
    <hyperlink ref="B45" r:id="rId43" xr:uid="{6DDFA36C-3AFB-43FC-9FA6-28F553B94BD3}"/>
    <hyperlink ref="B46" r:id="rId44" xr:uid="{C4A21858-1354-4F67-B763-45FCF309EED9}"/>
    <hyperlink ref="B47" r:id="rId45" xr:uid="{2AA83B10-2753-4209-B7A8-BEC4E2364AEB}"/>
    <hyperlink ref="B48" r:id="rId46" xr:uid="{A196F9F6-6EF6-4F7E-B7B9-FF88BA4AB210}"/>
    <hyperlink ref="B49" r:id="rId47" xr:uid="{7939971F-3A77-48F0-B3D2-C8882C7CDE82}"/>
    <hyperlink ref="B50" r:id="rId48" xr:uid="{90649D72-A5F7-4BED-8949-26F432C4AF0A}"/>
    <hyperlink ref="B51" r:id="rId49" xr:uid="{4DDD07AA-0654-429A-898E-4E148FBA0301}"/>
    <hyperlink ref="B52" r:id="rId50" xr:uid="{BD198DD4-74EA-46CD-8406-648D13E4326D}"/>
    <hyperlink ref="B53" r:id="rId51" xr:uid="{EF190901-760F-468C-84B3-DEEA18CDCFF4}"/>
    <hyperlink ref="B54" r:id="rId52" xr:uid="{2FBED029-9BC9-44CA-805E-1A70CC6B43E1}"/>
    <hyperlink ref="B55" r:id="rId53" xr:uid="{689515E9-7AD2-4F53-81EB-BAB10CE2E4AA}"/>
    <hyperlink ref="B56" r:id="rId54" xr:uid="{6AE6A37D-48E5-4C6D-935E-F4ECB229727D}"/>
    <hyperlink ref="B57" r:id="rId55" xr:uid="{1FE8DDA7-F7CA-401C-9F3E-A0360E56B587}"/>
    <hyperlink ref="B58" r:id="rId56" xr:uid="{755748B6-7B73-41A9-B4BA-83D0A28DA2FA}"/>
    <hyperlink ref="B59" r:id="rId57" xr:uid="{63A9D90A-A87A-4B1A-A9CF-5B54569EC4F5}"/>
    <hyperlink ref="B60" r:id="rId58" xr:uid="{767003B5-FE07-4AAA-A3A9-5C8E73409352}"/>
    <hyperlink ref="B61" r:id="rId59" xr:uid="{86013122-7CBB-4BAD-ADC9-FAD440CE065F}"/>
    <hyperlink ref="B62" r:id="rId60" xr:uid="{35EF0CF9-4EC1-4F0E-A11A-F6256D2574FD}"/>
    <hyperlink ref="B63" r:id="rId61" xr:uid="{67B859C7-5A00-4CAA-80FF-02EF99FC5CB5}"/>
    <hyperlink ref="B64" r:id="rId62" xr:uid="{316724AF-83E4-49CD-85CB-B50427243AA0}"/>
    <hyperlink ref="B65" r:id="rId63" location="/Tabs=section-spareparts/" xr:uid="{6D0E6DC8-7843-4AE8-8365-B3D42C2219B6}"/>
    <hyperlink ref="B66" r:id="rId64" xr:uid="{B1AC1AD1-8788-4CC5-A6D4-8F115F890D0F}"/>
    <hyperlink ref="B67" r:id="rId65" xr:uid="{EA1DFE11-7850-4A1C-BBC3-7A39728B81E0}"/>
    <hyperlink ref="B68" r:id="rId66" xr:uid="{39004517-6C79-43A5-9EFF-7B9DD1538276}"/>
    <hyperlink ref="B69" r:id="rId67" xr:uid="{75FA84AE-B7F6-4C7E-8DFC-61FF374D1838}"/>
    <hyperlink ref="B70" r:id="rId68" xr:uid="{2C92C139-2C5E-44AA-9D8C-7307594E26D7}"/>
    <hyperlink ref="B72" r:id="rId69" xr:uid="{80867575-EED7-421D-B5AD-179720A2DD3C}"/>
    <hyperlink ref="B73" r:id="rId70" xr:uid="{DCCA94CF-EF46-4E56-A8CB-94DAED9B27F9}"/>
    <hyperlink ref="B74" r:id="rId71" xr:uid="{6912D1F1-7FC2-4F4E-BBEF-3CACFEF5C171}"/>
    <hyperlink ref="B75" r:id="rId72" xr:uid="{D4E8BFF2-F20A-4878-AFB7-86B8C668364B}"/>
    <hyperlink ref="B76" r:id="rId73" xr:uid="{C163496C-650D-4973-B2DC-A2347A0A134A}"/>
    <hyperlink ref="B77" r:id="rId74" xr:uid="{DBFC69BA-B66C-4FF3-8520-CA106D47FA45}"/>
    <hyperlink ref="B78" r:id="rId75" xr:uid="{E0EC6C23-B484-48F5-89BE-957A0A8564A9}"/>
    <hyperlink ref="B81" r:id="rId76" xr:uid="{9514755B-AB79-40C4-B073-B407D0D6DD9B}"/>
    <hyperlink ref="B82" r:id="rId77" xr:uid="{0A8E3F7A-D28A-448D-8165-D16AC1871429}"/>
    <hyperlink ref="B83" r:id="rId78" xr:uid="{88060B77-3252-4977-A8D7-F0AEFB8F315C}"/>
    <hyperlink ref="B84" r:id="rId79" xr:uid="{B3EE0725-99FA-4E89-9194-96A486B51588}"/>
    <hyperlink ref="B85" r:id="rId80" xr:uid="{64D1CCD4-1C10-4334-9E13-62C99457F80A}"/>
    <hyperlink ref="B86" r:id="rId81" xr:uid="{E466FA0B-D4FE-4CE4-9004-C703B8CAE2EE}"/>
    <hyperlink ref="C86" r:id="rId82" xr:uid="{72EEAE54-9C83-4E79-9787-E221345BBAD7}"/>
    <hyperlink ref="B87" r:id="rId83" xr:uid="{B79ECA13-3790-4534-9418-2CCF0880FE9E}"/>
    <hyperlink ref="B89" r:id="rId84" xr:uid="{1FE51C3B-7306-4BEC-8FD4-99BD385FB718}"/>
    <hyperlink ref="B91" r:id="rId85" xr:uid="{FF500BC0-22CB-4637-8E7F-EB9B0EE8E494}"/>
    <hyperlink ref="B93" r:id="rId86" xr:uid="{9AA1ABD4-10F8-4B0B-830C-58E740244882}"/>
    <hyperlink ref="B94" r:id="rId87" xr:uid="{004F34C7-37DD-4DF4-98EE-6B2B2919132A}"/>
    <hyperlink ref="B95" r:id="rId88" xr:uid="{97A09ACB-9000-4B7F-B50F-6D0D661D48B2}"/>
    <hyperlink ref="B96" r:id="rId89" xr:uid="{20298006-02F8-49E6-8127-8E70BE5A9BC4}"/>
    <hyperlink ref="B97" r:id="rId90" xr:uid="{35CFBC57-F0E5-4CBD-B3AB-219A8C0B1060}"/>
    <hyperlink ref="C97" r:id="rId91" xr:uid="{FE395E42-0FE6-409F-9A74-9281BD54B400}"/>
    <hyperlink ref="B98" r:id="rId92" xr:uid="{BC657205-B858-4895-8DBA-0FE5231CF6E5}"/>
    <hyperlink ref="B99" r:id="rId93" xr:uid="{A33146B4-5A66-4D2E-8492-47BD363E7F9C}"/>
    <hyperlink ref="B100" r:id="rId94" xr:uid="{1821C01B-E3CB-4481-911B-875C5DCF1BDD}"/>
    <hyperlink ref="B101" r:id="rId95" xr:uid="{08DB721A-C92D-46E6-AE62-AA187ACA9EE1}"/>
    <hyperlink ref="B102" r:id="rId96" xr:uid="{9B08F3AF-A8AF-494D-A53E-2D9BB1002122}"/>
    <hyperlink ref="B103" r:id="rId97" xr:uid="{F6E81AF5-3879-42A0-BB7B-3F3179D72A10}"/>
    <hyperlink ref="B104" r:id="rId98" xr:uid="{64E5E528-FB52-420A-B70E-3514B4CBDB61}"/>
    <hyperlink ref="B105" r:id="rId99" xr:uid="{899CEF5E-1875-4D63-BE72-13B6D683FF57}"/>
    <hyperlink ref="B106" r:id="rId100" xr:uid="{44BFB382-2E5A-46CD-8782-B2C479C1A694}"/>
    <hyperlink ref="B107" r:id="rId101" xr:uid="{C710E2C7-94BC-4C1B-8B69-66E2D3E2F3FB}"/>
    <hyperlink ref="B109" r:id="rId102" xr:uid="{0A050D08-2024-4587-BD06-A79EDBAE67FF}"/>
    <hyperlink ref="C109" r:id="rId103" xr:uid="{CFE639AA-2A4B-446D-B04A-C1D81C1F2BE7}"/>
    <hyperlink ref="B110" r:id="rId104" xr:uid="{71F6A826-8354-4023-84FD-9D2BB670A53E}"/>
    <hyperlink ref="B111" r:id="rId105" xr:uid="{4349C516-9DD2-4032-B9B9-61F48505ED39}"/>
    <hyperlink ref="B112" r:id="rId106" xr:uid="{E8AB7ADB-AD89-4F7B-86F0-4E0EF16B13A3}"/>
    <hyperlink ref="B113" r:id="rId107" xr:uid="{D3217151-E194-441A-B8D4-9FA80AB42E57}"/>
    <hyperlink ref="B114" r:id="rId108" xr:uid="{01490381-C754-4A69-A6E5-0CFF352EACD7}"/>
    <hyperlink ref="B115" r:id="rId109" xr:uid="{4B105F9F-3199-4537-B5E1-047FFAA18CEB}"/>
    <hyperlink ref="B116" r:id="rId110" xr:uid="{433FCB6B-BFFD-41E8-A7D2-11ED7D4A90D8}"/>
    <hyperlink ref="B117" r:id="rId111" xr:uid="{40D6E539-813A-4790-93F5-61ED6E73FE7D}"/>
    <hyperlink ref="B118" r:id="rId112" xr:uid="{82508973-42B4-456C-A597-6307C90E8427}"/>
    <hyperlink ref="B119" r:id="rId113" xr:uid="{0C844539-F8E6-4AE5-B717-91A4D58BB6B1}"/>
    <hyperlink ref="B120" r:id="rId114" xr:uid="{8CD82399-3B75-4251-B280-DF427486DF8A}"/>
    <hyperlink ref="B122" r:id="rId115" xr:uid="{79A097F8-E239-40ED-AB14-3E7DAE9A163D}"/>
    <hyperlink ref="B123" r:id="rId116" xr:uid="{6C5A8FFC-5AE4-4B66-9B0C-FD2E905F4819}"/>
    <hyperlink ref="B124" r:id="rId117" xr:uid="{01F57AB8-7C3A-40E4-85EA-3956FD620E08}"/>
    <hyperlink ref="B126" r:id="rId118" xr:uid="{FCA35530-EF1B-4ABA-BB31-771F1AA96483}"/>
    <hyperlink ref="B127" r:id="rId119" xr:uid="{A6011ADC-8835-4DF8-AA76-7E395293E8A1}"/>
    <hyperlink ref="B128" r:id="rId120" xr:uid="{9F8CC5B8-95A8-4CB4-9B3A-286B13F58969}"/>
    <hyperlink ref="B129" r:id="rId121" xr:uid="{E771E31F-1CB0-4A99-AD21-D133AEB7EC1C}"/>
    <hyperlink ref="B130" r:id="rId122" xr:uid="{27930379-EC4A-4157-BC17-54FA09595419}"/>
    <hyperlink ref="B131" r:id="rId123" xr:uid="{4783FC6A-CF0D-4A2A-AB84-45CDFF0D51DF}"/>
    <hyperlink ref="B132" r:id="rId124" xr:uid="{04DBCCE6-5769-4D6C-9C1D-3792EA2590AA}"/>
    <hyperlink ref="B133" r:id="rId125" xr:uid="{72F130D8-0CDA-4835-A1D7-1A3480792490}"/>
    <hyperlink ref="B134" r:id="rId126" xr:uid="{CB90B088-0608-4383-B29C-F0EE03682DD1}"/>
    <hyperlink ref="B135" r:id="rId127" xr:uid="{758654DD-FDEA-4516-A607-00C23B780FCC}"/>
    <hyperlink ref="B136" r:id="rId128" xr:uid="{27F7FF47-ABDA-4514-AE8B-73043C4BF398}"/>
    <hyperlink ref="B137" r:id="rId129" xr:uid="{82F5320C-70AB-40B7-89D1-AF5B8C2248B8}"/>
    <hyperlink ref="B138" r:id="rId130" xr:uid="{667888D6-9636-4052-B933-817791A9483A}"/>
    <hyperlink ref="B139" r:id="rId131" xr:uid="{48B9BBC7-D5AC-4635-809B-4745CB570D11}"/>
    <hyperlink ref="B140" r:id="rId132" xr:uid="{29B027B2-326A-4E03-B7BF-862B82B72199}"/>
    <hyperlink ref="B142" r:id="rId133" xr:uid="{73D34FDB-A982-4404-8286-2F35D7BCF4F8}"/>
    <hyperlink ref="B143" r:id="rId134" xr:uid="{AFF9BC73-6D08-4496-9ACE-4F4CE2A284E2}"/>
    <hyperlink ref="B144" r:id="rId135" xr:uid="{E41D86E4-B3B4-407C-80C0-5C5135462BC0}"/>
    <hyperlink ref="B146" r:id="rId136" xr:uid="{7681B639-FC7D-4485-AC27-E3EC23E86CA1}"/>
    <hyperlink ref="B147" r:id="rId137" xr:uid="{0C014BC0-31F7-4C84-9E67-57263DF57DD4}"/>
    <hyperlink ref="B148" r:id="rId138" xr:uid="{9078D300-B078-4C2F-978E-A6EFF3986329}"/>
    <hyperlink ref="B149" r:id="rId139" xr:uid="{06CA9611-35F8-48BA-8D74-C65728AF5D71}"/>
    <hyperlink ref="B150" r:id="rId140" xr:uid="{C4EEFC33-A558-4DE3-862C-6467E5FEE23B}"/>
    <hyperlink ref="B151" r:id="rId141" xr:uid="{D94E0185-FD44-4542-ACEF-55F14E284F3D}"/>
    <hyperlink ref="B152" r:id="rId142" xr:uid="{B8CEAD1C-4CA3-4158-9D8E-55BC1FB7A685}"/>
    <hyperlink ref="B153" r:id="rId143" xr:uid="{9AE04438-55EE-4FAB-ADD8-DC5A588C66BB}"/>
    <hyperlink ref="B154" r:id="rId144" xr:uid="{A4E8BA00-9F0B-409A-A08D-E55346B88BE3}"/>
    <hyperlink ref="B155" r:id="rId145" xr:uid="{46175F2A-BA60-4C8F-B51A-C34FFF86348B}"/>
    <hyperlink ref="B156" r:id="rId146" xr:uid="{16528DC4-E0E7-4F08-9231-9760EDE261A7}"/>
    <hyperlink ref="B157" r:id="rId147" xr:uid="{8B61AA2E-C25A-42D2-AD5A-D0DFAA8653CA}"/>
    <hyperlink ref="B158" r:id="rId148" xr:uid="{30ECE0DE-779C-4BD3-9E26-9F23D4BBE64D}"/>
    <hyperlink ref="B159" r:id="rId149" xr:uid="{D4FE351E-8F59-4542-90C0-E6713C25FD8F}"/>
    <hyperlink ref="B160" r:id="rId150" xr:uid="{43C2834D-B1DA-4FEE-85A2-4F0B2573B3E4}"/>
    <hyperlink ref="B161" r:id="rId151" xr:uid="{6CBAA55E-6436-427A-8BAE-BC2D18335719}"/>
    <hyperlink ref="B162" r:id="rId152" xr:uid="{F4991171-EAE9-4F14-9356-FD714BD74030}"/>
    <hyperlink ref="B163" r:id="rId153" xr:uid="{D0825D32-5D01-4870-88DC-13EDADB16E58}"/>
    <hyperlink ref="B164" r:id="rId154" xr:uid="{07BE11D8-F14A-43D8-A417-2B3E16B2615D}"/>
    <hyperlink ref="B165" r:id="rId155" xr:uid="{A434575D-8463-4C2D-965C-C665A9FC0006}"/>
    <hyperlink ref="B166" r:id="rId156" xr:uid="{EED30A6A-AD1D-4A14-ACB4-381242A08076}"/>
    <hyperlink ref="B167" r:id="rId157" display="iQ700 Gazlı Ocak, 90cm, 5 Gözlü, Sert Cam, Siyah, Döküm, Wok" xr:uid="{7AC803FB-7DD3-4AB1-B03D-824F3767B0F7}"/>
    <hyperlink ref="C167" r:id="rId158" xr:uid="{DE23D668-B616-4496-9144-7BC2D870C475}"/>
    <hyperlink ref="B169" r:id="rId159" xr:uid="{E4E1BED8-52AE-4BE0-AB03-880AD5C1447E}"/>
    <hyperlink ref="B170" r:id="rId160" xr:uid="{1688301E-700A-4611-90AB-4293980814CC}"/>
    <hyperlink ref="B171" r:id="rId161" xr:uid="{2B4774FF-EA9E-4CF9-8D52-459058AA1528}"/>
    <hyperlink ref="B172" r:id="rId162" xr:uid="{B224D98D-2477-433C-9835-B18DD2A83486}"/>
    <hyperlink ref="B173" r:id="rId163" xr:uid="{9D57A0B8-289B-431E-882C-4B217813CED5}"/>
    <hyperlink ref="B174" r:id="rId164" xr:uid="{4E3081BA-4164-47FC-9C19-C98C54CD0CB2}"/>
    <hyperlink ref="B175" r:id="rId165" xr:uid="{277248A9-757A-46E6-B562-50E5F55C546C}"/>
    <hyperlink ref="C175" r:id="rId166" xr:uid="{A96F2933-C461-475F-825D-BA6C08CF298D}"/>
    <hyperlink ref="B176" r:id="rId167" xr:uid="{340BAE98-D7BC-472B-945C-B3872D48C533}"/>
    <hyperlink ref="B177" r:id="rId168" xr:uid="{6B7BB14D-B583-4355-B903-0B221D6EB230}"/>
    <hyperlink ref="B178" r:id="rId169" xr:uid="{7BFDE77A-5A75-49BC-BEEA-53A5846B7692}"/>
    <hyperlink ref="B179" r:id="rId170" xr:uid="{35B06291-CF3D-40B8-8E6E-8C58C4DF25B5}"/>
    <hyperlink ref="B180" r:id="rId171" xr:uid="{41217B94-F018-446E-A011-D8ED01104900}"/>
    <hyperlink ref="B181" r:id="rId172" xr:uid="{82B91EC7-A4AB-436A-A620-DFA814761C46}"/>
    <hyperlink ref="B182" r:id="rId173" xr:uid="{3310E8A7-4635-487D-B9FF-D5ADF7F8A01B}"/>
    <hyperlink ref="B183" r:id="rId174" xr:uid="{4EFA3950-8397-451B-9B9F-FB31FBFAF98E}"/>
    <hyperlink ref="B185" r:id="rId175" xr:uid="{3C666BFC-87B0-4EDA-8F3A-638248035DD9}"/>
    <hyperlink ref="B186" r:id="rId176" xr:uid="{E6D45348-CEBA-41A4-AE1F-2BE122796A98}"/>
    <hyperlink ref="B187" r:id="rId177" xr:uid="{38690FA7-B1AE-41E4-9ED7-F5B2052F202A}"/>
    <hyperlink ref="B188" r:id="rId178" xr:uid="{44D312F5-EA8E-4C2D-896B-3CF7BEF555BE}"/>
    <hyperlink ref="B189" r:id="rId179" xr:uid="{9B36CFA1-1183-414A-B198-D1BB11640D62}"/>
    <hyperlink ref="B190" r:id="rId180" xr:uid="{00712B62-7EDF-4968-9CF6-DC9BD4756488}"/>
    <hyperlink ref="B191" r:id="rId181" xr:uid="{91A2ED5C-FAE3-4BCC-B287-03A15D5357FA}"/>
    <hyperlink ref="B192" r:id="rId182" xr:uid="{EE727B58-1314-47EF-8B00-E22ACF7DEC14}"/>
    <hyperlink ref="B193" r:id="rId183" xr:uid="{F4E9007F-2872-4D33-A9B2-4E7BBE6055E8}"/>
    <hyperlink ref="B194" r:id="rId184" xr:uid="{CF43649B-F19A-4F15-B79A-D67F0CE08444}"/>
    <hyperlink ref="B195" r:id="rId185" xr:uid="{9864B520-8D76-4A5B-BFEF-8BF0B235F175}"/>
    <hyperlink ref="B196" r:id="rId186" xr:uid="{3B3EF817-9270-4242-BA61-AE3D177C6115}"/>
    <hyperlink ref="B197" r:id="rId187" xr:uid="{E9C718E9-FD7B-4DF9-A166-851223F569AA}"/>
    <hyperlink ref="B198" r:id="rId188" xr:uid="{641B9623-070A-4EB4-B3A9-8B4AE9BE040F}"/>
    <hyperlink ref="B199" r:id="rId189" xr:uid="{497D9C43-85C8-483A-87AE-9372AA8C5DE7}"/>
    <hyperlink ref="B200" r:id="rId190" xr:uid="{4FB1C067-1E27-4FBA-BC1D-B1040AB46F8E}"/>
    <hyperlink ref="B201" r:id="rId191" xr:uid="{09C63E3C-CD09-452E-9185-4F405C4642B6}"/>
    <hyperlink ref="B202" r:id="rId192" xr:uid="{B352DC8C-5045-4BAF-A12D-498122344368}"/>
    <hyperlink ref="B203" r:id="rId193" xr:uid="{0E6D2D03-D3B2-49F9-8B40-8543BFBB36F3}"/>
    <hyperlink ref="B204" r:id="rId194" xr:uid="{25E601B9-A802-48FE-B9B7-F7CF4288F75C}"/>
    <hyperlink ref="B205" r:id="rId195" xr:uid="{4ED03599-C75A-4931-ABA3-B26202C86E88}"/>
    <hyperlink ref="B206" r:id="rId196" xr:uid="{FBEE867C-5CCE-4BCA-84C5-C1EC8435D21D}"/>
    <hyperlink ref="B207" r:id="rId197" xr:uid="{A0404C5E-6DF1-46E8-8012-05CF7B9889AA}"/>
    <hyperlink ref="B209" r:id="rId198" xr:uid="{2340D7C7-BE24-4839-916F-352CC77AED5A}"/>
    <hyperlink ref="B210" r:id="rId199" xr:uid="{EBCA6D81-2E0A-4C93-AFCD-3525470E744A}"/>
    <hyperlink ref="B211" r:id="rId200" xr:uid="{2D70A060-A38B-495B-ACF0-F8B6DEBEFDC8}"/>
    <hyperlink ref="B212" r:id="rId201" xr:uid="{F82E2B29-EC86-4450-BB53-8007AFC85F9E}"/>
    <hyperlink ref="B213" r:id="rId202" xr:uid="{CD7BDB97-3DFE-41FB-AE8F-8D32EA0CDE97}"/>
    <hyperlink ref="B214" r:id="rId203" xr:uid="{ABAC34CE-05D1-4885-9274-06DAE9DCA7D8}"/>
    <hyperlink ref="B216" r:id="rId204" xr:uid="{85807860-A4B1-4DB6-823B-192C28454EE5}"/>
    <hyperlink ref="B217" r:id="rId205" xr:uid="{8C72C9B2-C21A-4622-9376-9D3C7DDDA9F2}"/>
    <hyperlink ref="B218" r:id="rId206" xr:uid="{7D95DABE-AD95-4013-B2D2-750FD35715F9}"/>
    <hyperlink ref="B219" r:id="rId207" xr:uid="{D60AB9F3-9AF2-4373-BD05-8EC0E3ECE9F1}"/>
    <hyperlink ref="B220" r:id="rId208" xr:uid="{ACEAD30E-1EDB-4F64-B533-CD5096638506}"/>
    <hyperlink ref="B221" r:id="rId209" xr:uid="{36522F3F-B388-4ECB-9C94-83AF46B62980}"/>
    <hyperlink ref="B222" r:id="rId210" xr:uid="{7F68494B-5495-47C1-A7A8-2094DAA45A4A}"/>
    <hyperlink ref="C222" r:id="rId211" xr:uid="{7B1ED05A-8212-46AE-9265-E5C320B39333}"/>
    <hyperlink ref="B223" r:id="rId212" xr:uid="{BADECCBC-1AD4-4EA3-BAF3-F8DD64975D93}"/>
    <hyperlink ref="C223" r:id="rId213" xr:uid="{75535D00-4792-4110-BC51-2DBD8F91FC6B}"/>
    <hyperlink ref="B224" r:id="rId214" xr:uid="{275735D0-32C0-4A58-A203-BD84ACA84BCA}"/>
    <hyperlink ref="B225" r:id="rId215" xr:uid="{946C10F7-7F35-49AA-942E-63F1D8D670C1}"/>
    <hyperlink ref="B226" r:id="rId216" xr:uid="{F0C3A7FD-C0B1-4988-B692-6AEC0FEC9494}"/>
    <hyperlink ref="B227" r:id="rId217" xr:uid="{62D591E6-98ED-46AC-A6AB-DAFB187BD039}"/>
    <hyperlink ref="B228" r:id="rId218" xr:uid="{63507312-D547-4977-9703-CAC6AF486672}"/>
    <hyperlink ref="B229" r:id="rId219" xr:uid="{DA240864-8FFB-44DF-B340-B91160C3B01C}"/>
    <hyperlink ref="B230" r:id="rId220" xr:uid="{656BC153-C1DF-4922-8E5D-C58524EDC050}"/>
    <hyperlink ref="B232" r:id="rId221" xr:uid="{A11BAB8F-9C1B-494D-B3A6-76F5DC1A534A}"/>
    <hyperlink ref="B233" r:id="rId222" xr:uid="{DBB11937-1958-46C4-8B54-7E735BDA2838}"/>
    <hyperlink ref="B234" r:id="rId223" xr:uid="{249098CD-3909-4EA5-A065-C74343868D9D}"/>
    <hyperlink ref="B235" r:id="rId224" xr:uid="{0F9BE918-8BE3-4CD8-9593-30CA9C2B5652}"/>
    <hyperlink ref="B236" r:id="rId225" xr:uid="{D4F51E06-A917-4B56-B0A2-DC2EA0CE2655}"/>
    <hyperlink ref="B237" r:id="rId226" xr:uid="{0614DA1D-7055-40CA-8A32-32E32CAB7200}"/>
    <hyperlink ref="B238" r:id="rId227" xr:uid="{D1CCF61C-5BB1-4A8A-8628-1DF7F416DD68}"/>
    <hyperlink ref="B239" r:id="rId228" xr:uid="{9C85EF55-6469-4EFB-BD18-D5CE5A9B4F9B}"/>
    <hyperlink ref="B241" r:id="rId229" xr:uid="{C417E826-D9B7-4D24-864A-587BB2EFCE8E}"/>
    <hyperlink ref="B242" r:id="rId230" xr:uid="{633E769C-5656-42C3-865E-5925C7D8448A}"/>
    <hyperlink ref="C242" r:id="rId231" xr:uid="{26817D54-4AE7-448D-AE68-92A0415A7F94}"/>
    <hyperlink ref="B243" r:id="rId232" xr:uid="{CF1C900B-E708-46A2-A5CF-3FDD72B5F75C}"/>
    <hyperlink ref="B244" r:id="rId233" xr:uid="{DCE42387-2A66-44A8-92B8-CBD90981113B}"/>
    <hyperlink ref="B245" r:id="rId234" xr:uid="{051D31E6-1705-4ADB-9F98-7E05BC58F0FB}"/>
    <hyperlink ref="B246" r:id="rId235" xr:uid="{7BD7C582-04E7-4B4F-9D61-0DD642E319DF}"/>
    <hyperlink ref="B247" r:id="rId236" xr:uid="{5813A1DC-9E7B-41B9-B664-24495C812E90}"/>
    <hyperlink ref="B248" r:id="rId237" xr:uid="{E01C306D-960D-4AE5-997E-FCF1B74302B9}"/>
    <hyperlink ref="B249" r:id="rId238" xr:uid="{D0AE12ED-9E8C-47D9-BD3B-0447A3D1D0E7}"/>
    <hyperlink ref="B250" r:id="rId239" xr:uid="{D3D18994-BD9C-44AE-BEBD-E3FA676D6004}"/>
    <hyperlink ref="B251" r:id="rId240" xr:uid="{14C02CCC-5F57-4166-8153-46A6FF597948}"/>
    <hyperlink ref="B252" r:id="rId241" xr:uid="{A35F06BC-3B1C-4F8B-AC8D-FBC7CFA7D332}"/>
    <hyperlink ref="B253" r:id="rId242" xr:uid="{D8771FD5-EA69-4E5F-B3E7-2CFCDB8544CB}"/>
    <hyperlink ref="B254" r:id="rId243" xr:uid="{CDC7008F-7020-48F8-A48A-EF34D7EC5E3A}"/>
    <hyperlink ref="C254" r:id="rId244" xr:uid="{AE8E0C3A-D324-4BD3-B864-F688B93E1982}"/>
    <hyperlink ref="B255" r:id="rId245" xr:uid="{3252094A-2B0D-4876-856D-B1F9534DE05E}"/>
    <hyperlink ref="B256" r:id="rId246" xr:uid="{BB9B10B3-53A5-4A57-94D1-D9BD9AE8B100}"/>
    <hyperlink ref="B257" r:id="rId247" xr:uid="{E1BD67BB-049C-4254-8765-EED21AC99329}"/>
    <hyperlink ref="B258" r:id="rId248" xr:uid="{B13E3EC2-75EC-48BC-9C93-7BBE10265992}"/>
    <hyperlink ref="B259" r:id="rId249" xr:uid="{D612BA6B-DD87-45DC-A2C4-DDA28896BB39}"/>
    <hyperlink ref="B260" r:id="rId250" xr:uid="{136E0B17-6876-41D9-835E-B5BBA84CE5A9}"/>
    <hyperlink ref="B261" r:id="rId251" xr:uid="{C84C1FAE-7E13-4144-A61B-17F0871335CE}"/>
    <hyperlink ref="B262" r:id="rId252" xr:uid="{22F1BD1B-F818-442F-BFCE-90480BC080B4}"/>
    <hyperlink ref="B263" r:id="rId253" xr:uid="{7564FF62-835B-4427-A3C2-01D6410432EB}"/>
    <hyperlink ref="B264" r:id="rId254" xr:uid="{5992A2E3-924B-47B0-9AEB-6AD9853B8673}"/>
    <hyperlink ref="B266" r:id="rId255" xr:uid="{B33AD5EF-DBC4-4F8D-B210-BB07A6B29BFA}"/>
    <hyperlink ref="B267" r:id="rId256" xr:uid="{73B39461-EAE7-4D7D-B879-92AB7977412D}"/>
    <hyperlink ref="B268" r:id="rId257" xr:uid="{30D7294E-EDC9-4651-A56F-5627202FD2BE}"/>
    <hyperlink ref="B269" r:id="rId258" xr:uid="{DC206AE2-FB59-4FC3-BDAF-F049D4392F67}"/>
    <hyperlink ref="B270" r:id="rId259" xr:uid="{C53CED8D-7F75-4BC6-A01F-D8F46445D4D8}"/>
    <hyperlink ref="B271" r:id="rId260" xr:uid="{21C792F4-EFFD-4180-968A-916D946B39C0}"/>
    <hyperlink ref="B272" r:id="rId261" xr:uid="{7A6FA7FA-F81A-4457-B779-0718D7E96528}"/>
    <hyperlink ref="B273" r:id="rId262" xr:uid="{183609AC-7972-40A1-BCDF-2E6B60CE2BC8}"/>
    <hyperlink ref="B274" r:id="rId263" xr:uid="{70E36F41-D94B-42E6-81B7-C8C953F8CF30}"/>
    <hyperlink ref="B276" r:id="rId264" xr:uid="{A1975CFD-DC61-4964-A482-B852D696C3CC}"/>
    <hyperlink ref="B277" r:id="rId265" xr:uid="{1FC9A901-D84C-4F2F-9D57-E1D4A959378C}"/>
    <hyperlink ref="B278" r:id="rId266" xr:uid="{B2085858-F4A5-4798-A253-C09BCD60BE9B}"/>
    <hyperlink ref="B279" r:id="rId267" xr:uid="{FD8C865A-7620-4995-AA4E-CE4EDC60D2E8}"/>
    <hyperlink ref="B280" r:id="rId268" xr:uid="{34886077-B6BD-4183-BABA-0DFE9A2F3F68}"/>
    <hyperlink ref="B281" r:id="rId269" xr:uid="{BC8C50C6-6DA4-4543-8198-E2358F2836D0}"/>
    <hyperlink ref="B283" r:id="rId270" xr:uid="{CFDE5F9A-B308-4155-86CB-39B09427C1BF}"/>
    <hyperlink ref="B284" r:id="rId271" xr:uid="{7E2C252A-1D3E-40D5-91FF-6713C314E14A}"/>
    <hyperlink ref="B285" r:id="rId272" xr:uid="{479DE5AA-EB13-4536-A2E6-AF6994B05E9E}"/>
    <hyperlink ref="B286" r:id="rId273" xr:uid="{973EEE25-5566-40A7-9723-A6A76A18B2DB}"/>
    <hyperlink ref="B287" r:id="rId274" xr:uid="{4E942903-58FC-4B82-BFE7-7A56A0015C58}"/>
    <hyperlink ref="B288" r:id="rId275" xr:uid="{CB74F8D2-BFB4-4CDA-B766-AFE6499762F9}"/>
    <hyperlink ref="B289" r:id="rId276" xr:uid="{BC8CD449-F9A4-478D-90B2-AC3B93547880}"/>
    <hyperlink ref="B290" r:id="rId277" xr:uid="{1C5E8661-6EF2-4E91-8188-2E2A0B405176}"/>
    <hyperlink ref="B291" r:id="rId278" xr:uid="{4C5889E5-0406-4E49-80C6-9EA0692E656C}"/>
    <hyperlink ref="B292" r:id="rId279" xr:uid="{49FACAFD-3E48-4FF3-AF8C-24EBA79178CA}"/>
    <hyperlink ref="B293" r:id="rId280" xr:uid="{7B089A0A-5902-4059-A299-BB99E54E30B6}"/>
    <hyperlink ref="B294" r:id="rId281" xr:uid="{2481835B-655C-455A-8ACC-BB49AAEF0A2E}"/>
    <hyperlink ref="B295" r:id="rId282" xr:uid="{BD2957B6-138E-4B48-8962-482BACC1B4AE}"/>
    <hyperlink ref="B296" r:id="rId283" xr:uid="{702E0141-9D01-4277-8DDF-FD37774A083C}"/>
    <hyperlink ref="B298" r:id="rId284" xr:uid="{B720578E-2B8A-4329-BAFD-5FAA0A3A73E8}"/>
    <hyperlink ref="B299" r:id="rId285" xr:uid="{5625EF5B-1B6C-4639-A1F9-EAABB4291EA0}"/>
    <hyperlink ref="B300" r:id="rId286" xr:uid="{C99B1E1E-0F60-4081-BDF4-4DDC95251A57}"/>
    <hyperlink ref="B301" r:id="rId287" xr:uid="{287022A9-C921-4727-9775-1C3FA16D59AB}"/>
    <hyperlink ref="B302" r:id="rId288" xr:uid="{DAAE5174-CD4D-4596-93D3-D8DDF53C54DE}"/>
    <hyperlink ref="B303" r:id="rId289" xr:uid="{93F03A3F-228E-43E4-A21B-DDA9445DF24B}"/>
    <hyperlink ref="B304" r:id="rId290" xr:uid="{EDEA5F81-E9DE-41BD-AC65-96E468653617}"/>
    <hyperlink ref="B305" r:id="rId291" xr:uid="{F6BF7038-4ACA-416B-8240-7DAE099AAA44}"/>
    <hyperlink ref="B306" r:id="rId292" xr:uid="{E898BB08-BA12-4D1C-B69F-23C719F58D20}"/>
    <hyperlink ref="B308" r:id="rId293" xr:uid="{ADDC240E-A473-4331-97E7-B52681645505}"/>
    <hyperlink ref="B310" r:id="rId294" xr:uid="{40008E6F-EDB8-4680-AAD6-98B2260BB06C}"/>
    <hyperlink ref="B311" r:id="rId295" xr:uid="{1F90798B-EF60-41C6-997C-41662326AA48}"/>
    <hyperlink ref="B312" r:id="rId296" xr:uid="{1D994CD5-AAEF-4E73-BA74-AD847FAC1AB6}"/>
    <hyperlink ref="B315" r:id="rId297" xr:uid="{DEC73497-8E4F-48A1-A07D-965002A424E4}"/>
    <hyperlink ref="B309" r:id="rId298" xr:uid="{5085CC90-E4AA-44CB-AC82-A1EFF6D7B60F}"/>
    <hyperlink ref="C309" r:id="rId299" xr:uid="{2074EE5E-F2FE-4161-B065-C907DCF5CFB4}"/>
    <hyperlink ref="B314" r:id="rId300" xr:uid="{052D4A7E-B0EE-4A81-913C-339C382511C3}"/>
    <hyperlink ref="C314" r:id="rId301" xr:uid="{4C8B9DEF-A274-4330-942C-1DD04A0C99AE}"/>
    <hyperlink ref="B313" r:id="rId302" xr:uid="{A4516F9B-602D-4910-B18A-BBCEF27FF0B4}"/>
    <hyperlink ref="B316" r:id="rId303" xr:uid="{67E2EFE0-F933-41EA-924A-10CB42E4385A}"/>
    <hyperlink ref="B317" r:id="rId304" xr:uid="{D6957E40-951D-4760-9B9E-DC189B211A54}"/>
    <hyperlink ref="B318" r:id="rId305" xr:uid="{01C9FFE8-9DBD-40C6-B885-010ECA0A33D7}"/>
    <hyperlink ref="B319" r:id="rId306" xr:uid="{4AC01521-425D-4FB3-A7AF-E17702F23C9F}"/>
    <hyperlink ref="B320" r:id="rId307" xr:uid="{ACA9754B-C33B-4C14-A5D1-E3F2A10070C7}"/>
    <hyperlink ref="B321" r:id="rId308" xr:uid="{EF2C35D9-5CF7-4980-B9C6-14C7348A1579}"/>
    <hyperlink ref="B322" r:id="rId309" xr:uid="{4EFB079F-3729-4ECF-8ECB-81C60D2D7F3C}"/>
    <hyperlink ref="B323" r:id="rId310" xr:uid="{9DFE64F0-EFAA-4F09-B34A-C2C5153DAE30}"/>
    <hyperlink ref="B324" r:id="rId311" xr:uid="{1703B694-5094-45F8-AC81-279E03875B03}"/>
    <hyperlink ref="B326" r:id="rId312" xr:uid="{F3388BA7-4DE1-4EB4-83D6-AB334D41E570}"/>
    <hyperlink ref="B327" r:id="rId313" xr:uid="{4A662BE7-7005-4178-86E4-84AE9A67BDDC}"/>
    <hyperlink ref="B328" r:id="rId314" xr:uid="{C5219FAC-80BE-40EB-AE39-41245CAEE53F}"/>
    <hyperlink ref="B329" r:id="rId315" xr:uid="{50B61E5F-745E-40BB-BBFD-74841521BFA1}"/>
    <hyperlink ref="B330" r:id="rId316" xr:uid="{D6FB654B-51C9-4C0B-827E-224410FD0406}"/>
    <hyperlink ref="B331" r:id="rId317" xr:uid="{E0C30861-4EFD-4CF6-A6A1-06A4690F6C52}"/>
    <hyperlink ref="B332" r:id="rId318" xr:uid="{33AC7E08-15B9-4875-ADB9-85641C7772FA}"/>
    <hyperlink ref="B333" r:id="rId319" xr:uid="{2B200A44-BFB6-40F3-A91A-9B94B24055B4}"/>
    <hyperlink ref="B335" r:id="rId320" xr:uid="{AD9A8644-08E8-44E3-B3D0-1B1B0DAFCF9B}"/>
    <hyperlink ref="B336" r:id="rId321" xr:uid="{6C408CEE-0734-4387-BB91-0C2BB33F26AA}"/>
    <hyperlink ref="B337" r:id="rId322" xr:uid="{9268D9C1-935C-4F70-8159-9C5D2904A886}"/>
    <hyperlink ref="B338" r:id="rId323" xr:uid="{E32CC786-5A6F-4427-9A0E-CFA00489A4F8}"/>
    <hyperlink ref="B339" r:id="rId324" xr:uid="{90B63FE9-C342-4DF4-9E07-83171B50BC3C}"/>
    <hyperlink ref="B341" r:id="rId325" xr:uid="{81D8F476-FC60-444D-86C6-BEAFB767AD61}"/>
    <hyperlink ref="B344" r:id="rId326" xr:uid="{4A642B15-FAF9-41DC-ACD8-C6D52B6FD9B4}"/>
    <hyperlink ref="C344" r:id="rId327" xr:uid="{832BC73E-5ADE-49EE-949C-FCB0D1940C7D}"/>
    <hyperlink ref="B345" r:id="rId328" xr:uid="{63382D49-DBEE-44DD-BA6C-920D84E22196}"/>
    <hyperlink ref="B347" r:id="rId329" xr:uid="{48137928-7D15-4738-A5D1-8782EABAA8E8}"/>
    <hyperlink ref="B348" r:id="rId330" xr:uid="{2C85DE19-B9C4-483A-9EE3-4E9B6BC3B43E}"/>
    <hyperlink ref="B349" r:id="rId331" xr:uid="{09106286-A092-490E-A7C4-C86B06E6F811}"/>
    <hyperlink ref="B350" r:id="rId332" xr:uid="{5EA84CFD-2C7B-40D7-AC58-86D54C81CDE3}"/>
    <hyperlink ref="B351" r:id="rId333" xr:uid="{5180B591-F76D-4865-A4C9-40040CB57891}"/>
    <hyperlink ref="B352" r:id="rId334" xr:uid="{BD0F9941-52F4-499D-BEE4-A261EFC869B0}"/>
    <hyperlink ref="B353" r:id="rId335" xr:uid="{D112B93D-F06A-43BA-89AB-1A3E937F0644}"/>
    <hyperlink ref="B354" r:id="rId336" xr:uid="{5D988AFC-52D4-433B-9EDD-3F0D1E7359A0}"/>
    <hyperlink ref="B355" r:id="rId337" xr:uid="{B4096BB1-BAB0-44B7-99D9-A586A3D14289}"/>
    <hyperlink ref="B356" r:id="rId338" xr:uid="{96775613-CBC8-4B74-A377-9C13721C2501}"/>
    <hyperlink ref="B357" r:id="rId339" xr:uid="{64D5CE52-7397-43C3-B379-88AB51E575DA}"/>
    <hyperlink ref="B358" r:id="rId340" xr:uid="{878FEF06-95FA-43E0-B825-5C2A42B56A50}"/>
    <hyperlink ref="B359" r:id="rId341" xr:uid="{8D6878C8-C4DD-4049-84D7-306BDB4CD9EC}"/>
    <hyperlink ref="B360" r:id="rId342" xr:uid="{145CD7BA-1CE6-4148-AD3A-131F6CB47BBF}"/>
    <hyperlink ref="B362" r:id="rId343" xr:uid="{384DD33E-E222-4B68-BD65-CE643E8D5110}"/>
    <hyperlink ref="B365" r:id="rId344" xr:uid="{A69202A6-4042-4C06-A072-A5FBF882EE76}"/>
    <hyperlink ref="B366" r:id="rId345" xr:uid="{0D2DB35C-A4AE-4F07-8EB0-88F593508F7C}"/>
    <hyperlink ref="B367" r:id="rId346" xr:uid="{CCF1852E-B7AE-4812-B110-E06A90554501}"/>
    <hyperlink ref="B369" r:id="rId347" xr:uid="{C0E5C24B-5EAD-47D2-9BF7-72BF4D3BC621}"/>
    <hyperlink ref="B370" r:id="rId348" xr:uid="{25BF5F22-FF35-40CD-A31F-ED12C5F22557}"/>
    <hyperlink ref="B371" r:id="rId349" xr:uid="{AC204954-220B-458A-8AA1-69251AE6218E}"/>
    <hyperlink ref="B373" r:id="rId350" xr:uid="{4ABECA9C-E4EC-4B94-9B6E-B058F3180C9B}"/>
    <hyperlink ref="B374" r:id="rId351" xr:uid="{C2D34CEA-296C-4802-B01B-F1340EF46A4B}"/>
    <hyperlink ref="B375" r:id="rId352" xr:uid="{49C7BC46-4A9A-4468-890C-139FE2E08437}"/>
    <hyperlink ref="B377" r:id="rId353" xr:uid="{8B3324F5-8964-40EB-A10E-315DD7DAF2A6}"/>
    <hyperlink ref="B378" r:id="rId354" xr:uid="{DF82C9B2-9EA6-4DF7-A91B-F62FB6E29C23}"/>
    <hyperlink ref="B379" r:id="rId355" xr:uid="{430829FB-F4DA-41C0-A032-485C4EF18556}"/>
    <hyperlink ref="B380" r:id="rId356" xr:uid="{29762AEB-EFC5-40E8-B672-68B838E9B566}"/>
    <hyperlink ref="B381" r:id="rId357" xr:uid="{63E06810-8CA4-4EB2-A916-D3C2630B1070}"/>
    <hyperlink ref="B382" r:id="rId358" xr:uid="{7B90575E-CB65-4F8A-A32F-88B549EEF905}"/>
    <hyperlink ref="B383" r:id="rId359" xr:uid="{1FE876FD-7D51-472D-9D8B-4A0E1CD9808E}"/>
    <hyperlink ref="B384" r:id="rId360" xr:uid="{EB6613AB-2E0D-4DE9-A84E-6CB545F5DEC5}"/>
    <hyperlink ref="B385" r:id="rId361" xr:uid="{E734E3B2-EA38-4C49-A8BF-0DC077B11C4A}"/>
    <hyperlink ref="B386" r:id="rId362" xr:uid="{767BF92B-84D3-4CDD-8FC0-D5E196FF77BA}"/>
    <hyperlink ref="B387" r:id="rId363" xr:uid="{D2394926-D969-4713-9B0E-4FF36265DE89}"/>
    <hyperlink ref="B388" r:id="rId364" xr:uid="{72918D8D-7F52-4B29-9237-B5F6692498F8}"/>
    <hyperlink ref="B389" r:id="rId365" xr:uid="{7F81CC83-2FF3-420C-A98A-AC5EF16D7567}"/>
    <hyperlink ref="B390" r:id="rId366" xr:uid="{85C7104F-DC92-4ACB-BF73-C060F348823C}"/>
    <hyperlink ref="B391" r:id="rId367" xr:uid="{859D34FA-2391-4B1D-8E91-3C9583359863}"/>
    <hyperlink ref="B392" r:id="rId368" xr:uid="{F79CD70C-1FD4-4690-B34B-3817E1667609}"/>
    <hyperlink ref="B393" r:id="rId369" xr:uid="{10197AF4-1C2C-4BC0-BB1B-4925E42F2148}"/>
    <hyperlink ref="B394" r:id="rId370" xr:uid="{3E0E2720-80EC-4402-A587-D4F9A0688060}"/>
    <hyperlink ref="B395" r:id="rId371" xr:uid="{7E9EEF71-D006-430E-B799-0E0FF2C40A20}"/>
    <hyperlink ref="B396" r:id="rId372" xr:uid="{1A79B003-022B-4419-9739-5CB87B90053F}"/>
    <hyperlink ref="B397" r:id="rId373" xr:uid="{8315CBE7-CBDB-47D0-9705-C17F0B2E18E3}"/>
    <hyperlink ref="B398" r:id="rId374" xr:uid="{5B35EC64-034B-4458-BA3F-BC0AEB67D39F}"/>
    <hyperlink ref="B399" r:id="rId375" xr:uid="{AB13D2D5-A940-40E5-BB5B-3079DBC5E5BD}"/>
    <hyperlink ref="B400" r:id="rId376" xr:uid="{7427E556-12A7-40D3-BBED-CF13427B031C}"/>
    <hyperlink ref="B401" r:id="rId377" xr:uid="{5D146AE3-A135-4067-83BC-69CD7D657301}"/>
    <hyperlink ref="B402" r:id="rId378" xr:uid="{055E3A9F-DD36-4800-A532-36E6FE543E01}"/>
    <hyperlink ref="B403" r:id="rId379" xr:uid="{F8B4C690-7EA3-4F4D-B0D4-F16908B540A2}"/>
    <hyperlink ref="B404" r:id="rId380" xr:uid="{C95B7EAB-7B89-496A-9EB9-72BFDA3DE8AE}"/>
    <hyperlink ref="B405" r:id="rId381" xr:uid="{996F1026-778A-4801-A660-7535B962E74F}"/>
    <hyperlink ref="B406" r:id="rId382" xr:uid="{1E17CDD5-5769-497D-9990-9210077A363D}"/>
    <hyperlink ref="B407" r:id="rId383" xr:uid="{452EFE0D-0435-47A7-A8A0-B3ADD6A91A72}"/>
    <hyperlink ref="B408" r:id="rId384" xr:uid="{FA2A7345-3ED0-49E6-85B3-1073632DE3C7}"/>
    <hyperlink ref="B409" r:id="rId385" xr:uid="{B6B915C2-587E-4A88-A98B-AC796573F880}"/>
    <hyperlink ref="B410" r:id="rId386" xr:uid="{45637753-38F3-4E78-8858-B0102F293E90}"/>
    <hyperlink ref="B414" r:id="rId387" xr:uid="{41E8B2B7-62F3-45AD-9C2D-6B98371C08C5}"/>
    <hyperlink ref="B415" r:id="rId388" xr:uid="{E6531826-0685-4689-B712-8BAFC10B271C}"/>
    <hyperlink ref="B416" r:id="rId389" xr:uid="{35827397-4BB2-4DDC-914F-A0964A1233CD}"/>
    <hyperlink ref="B417" r:id="rId390" xr:uid="{FCFE5A43-F6A4-44EF-81C4-48FAD109A737}"/>
    <hyperlink ref="B418" r:id="rId391" xr:uid="{7BE63A8D-6140-4E66-9CEA-369D2195ECE4}"/>
    <hyperlink ref="B419" r:id="rId392" xr:uid="{593A18A4-3840-4C5E-88BA-6350CB4EE1D7}"/>
    <hyperlink ref="B420" r:id="rId393" xr:uid="{52260B79-B510-4676-9296-7159252C193C}"/>
    <hyperlink ref="B421" r:id="rId394" xr:uid="{CEC16D21-89E0-46C8-8ABA-AFB528119ED3}"/>
    <hyperlink ref="B422" r:id="rId395" xr:uid="{BC88B4F5-08BD-4748-BB59-E5865CAE1A58}"/>
    <hyperlink ref="B423" r:id="rId396" xr:uid="{E1A02A50-CC25-4B10-AAE9-6D07FBDBC9BE}"/>
    <hyperlink ref="C423" r:id="rId397" xr:uid="{5457060A-7D26-4ACC-B29D-755FFB0A64CA}"/>
    <hyperlink ref="B424" r:id="rId398" xr:uid="{1D931103-1FE5-4F50-8BBF-7C72298B30E2}"/>
    <hyperlink ref="B425" r:id="rId399" xr:uid="{C75F5735-FABB-4EEB-83B8-DDEFC96643A6}"/>
    <hyperlink ref="C425" r:id="rId400" xr:uid="{31BA90D7-3327-4A1F-89EE-B02B09012930}"/>
    <hyperlink ref="B426" r:id="rId401" xr:uid="{E3C405C3-99F8-40AB-91E0-3E225122C9E1}"/>
    <hyperlink ref="C426" r:id="rId402" xr:uid="{571ECBCD-0C87-4371-AFA5-ACE9F420773E}"/>
    <hyperlink ref="B427" r:id="rId403" xr:uid="{7EFC9576-89EA-4D05-B7CD-CE92F0616739}"/>
    <hyperlink ref="C427" r:id="rId404" xr:uid="{E109824E-7032-40B1-9F34-AAE737A322E3}"/>
    <hyperlink ref="B428" r:id="rId405" xr:uid="{2DEB40B9-E164-4EEE-9228-87E4C1EAED7A}"/>
    <hyperlink ref="B429" r:id="rId406" xr:uid="{64154044-A38F-4194-BD5D-29558389E99F}"/>
    <hyperlink ref="B430" r:id="rId407" xr:uid="{5EDC1A20-4B05-4FFE-8C22-26A8D97D4848}"/>
    <hyperlink ref="B431" r:id="rId408" xr:uid="{D9AD87E1-4813-4EEC-B237-CB15C6B3B8EE}"/>
    <hyperlink ref="C431" r:id="rId409" xr:uid="{DCF7ED40-C4A5-4740-86EB-AC1394D0DA5A}"/>
    <hyperlink ref="B432" r:id="rId410" xr:uid="{98AFD684-D8C3-4E51-A133-23575CA6AC2E}"/>
    <hyperlink ref="B433" r:id="rId411" xr:uid="{5A49E44F-393F-474B-A9B3-A269F88260F7}"/>
    <hyperlink ref="B434" r:id="rId412" xr:uid="{2DBA4DA5-B7FE-4704-9D37-6D5F14677350}"/>
    <hyperlink ref="B435" r:id="rId413" xr:uid="{062BBE6F-526B-4E64-8365-5D13E89BE490}"/>
    <hyperlink ref="B436" r:id="rId414" xr:uid="{7297A84B-E9C3-42B5-8906-60CACCDA300C}"/>
    <hyperlink ref="B437" r:id="rId415" xr:uid="{15DC8C02-48F4-4121-AD3A-2C6113DF4E54}"/>
    <hyperlink ref="B438" r:id="rId416" xr:uid="{F3229B8C-C4E1-4781-8B39-6A85EAC8F485}"/>
    <hyperlink ref="B439" r:id="rId417" xr:uid="{51837B3B-144F-4580-8014-D06F6C574267}"/>
    <hyperlink ref="B440" r:id="rId418" xr:uid="{8F3AD622-51B2-45EC-A303-9B4790FDD4C3}"/>
    <hyperlink ref="B441" r:id="rId419" xr:uid="{D72B5D51-887E-420C-B3CB-4E8F938A6A61}"/>
    <hyperlink ref="B442" r:id="rId420" xr:uid="{6401D855-925D-48AC-8A2B-A4F0DFA611C8}"/>
    <hyperlink ref="B443" r:id="rId421" xr:uid="{1164AE6A-4D5F-4E08-938B-6B6C15F46C3F}"/>
    <hyperlink ref="B444" r:id="rId422" xr:uid="{C2434163-7C52-4326-85C6-DB5FC7F362D5}"/>
    <hyperlink ref="B445" r:id="rId423" xr:uid="{4959BDA0-B7E8-47B0-A2ED-671C5B3359FD}"/>
    <hyperlink ref="B446" r:id="rId424" xr:uid="{91221721-D250-49F6-A56F-5168783B2370}"/>
    <hyperlink ref="B447" r:id="rId425" xr:uid="{FBD93ED6-662D-4CCB-9659-6550BCEA8740}"/>
    <hyperlink ref="B448" r:id="rId426" xr:uid="{F05D25FF-57EF-45D8-B36D-134B49DFBAC0}"/>
    <hyperlink ref="B449" r:id="rId427" xr:uid="{5628B5E4-A870-4B19-AA7F-8EDE76C4EBED}"/>
    <hyperlink ref="B451" r:id="rId428" xr:uid="{8F982EB9-F035-4F48-BDB8-DC4BD79C7D46}"/>
    <hyperlink ref="B452" r:id="rId429" xr:uid="{A7E58BCE-0D5D-4F5A-A5EB-362B85DC7DF4}"/>
    <hyperlink ref="B453" r:id="rId430" xr:uid="{8B6EFC1D-07BC-41C6-B1F7-4BAFBE5FF30C}"/>
    <hyperlink ref="B454" r:id="rId431" xr:uid="{9F7294F1-BC65-4DDB-B6B9-9B93CCEEB31C}"/>
    <hyperlink ref="B455" r:id="rId432" xr:uid="{6DDB9397-04C6-4F34-B422-B02CA58FCA50}"/>
    <hyperlink ref="B457" r:id="rId433" xr:uid="{417CA958-5F4B-4F96-AD99-1AB3497BE554}"/>
    <hyperlink ref="B458" r:id="rId434" xr:uid="{FC240270-8BED-470C-8582-B5313983344F}"/>
    <hyperlink ref="B459" r:id="rId435" xr:uid="{F386CDD5-EE58-4630-AD77-2EA00BB73312}"/>
    <hyperlink ref="B460" r:id="rId436" xr:uid="{B6CB4FD5-5165-45D4-A1C3-4B5FA57227E4}"/>
    <hyperlink ref="B462" r:id="rId437" xr:uid="{6B393C68-1E80-4D9C-BA26-39B81E13964A}"/>
    <hyperlink ref="B463" r:id="rId438" xr:uid="{F6680D3B-EF68-4CFD-9331-7B018D0E55AD}"/>
    <hyperlink ref="B464" r:id="rId439" xr:uid="{F5C527FC-8294-45CF-9161-C34CCBA9FA02}"/>
    <hyperlink ref="C464" r:id="rId440" xr:uid="{3B2873C8-4D05-47A6-B73D-EA35E918DB7E}"/>
    <hyperlink ref="B465" r:id="rId441" xr:uid="{A4EDE76E-7642-41C1-8CA1-BF784B8BE61F}"/>
    <hyperlink ref="C465" r:id="rId442" xr:uid="{72B73161-0AA5-40E0-A8E8-28E751F7EC63}"/>
    <hyperlink ref="B467" r:id="rId443" xr:uid="{B4249D82-27A3-4E55-BBCB-2960FB042844}"/>
    <hyperlink ref="B468" r:id="rId444" xr:uid="{5EF55393-9289-4DD2-AD79-A9D4A1D3164D}"/>
    <hyperlink ref="B469" r:id="rId445" xr:uid="{5B1F388D-20CA-49C4-A6F3-66B05D13DDD0}"/>
    <hyperlink ref="B470" r:id="rId446" xr:uid="{D8A73C3A-7D64-4E23-8CDF-E2C2035B21A3}"/>
    <hyperlink ref="B472" r:id="rId447" xr:uid="{673E42B0-5FF3-46F3-B8CE-7861737F1443}"/>
    <hyperlink ref="B474" r:id="rId448" xr:uid="{149CE582-E566-4261-89F3-F2F672845313}"/>
    <hyperlink ref="B475" r:id="rId449" xr:uid="{B76368DC-4A05-4195-89A4-BA2BCE9B88B7}"/>
    <hyperlink ref="B476" r:id="rId450" xr:uid="{2DB85E3C-0D00-4029-93F3-F62D21596BB9}"/>
    <hyperlink ref="B477" r:id="rId451" xr:uid="{138D2511-877C-4E2C-814E-AFE08CE94BFD}"/>
    <hyperlink ref="B478" r:id="rId452" xr:uid="{B1EA6C04-E13B-46AD-B913-2B739B78A725}"/>
    <hyperlink ref="B479" r:id="rId453" xr:uid="{C502C523-9557-4ADC-8777-6040BFEAC66B}"/>
    <hyperlink ref="B480" r:id="rId454" xr:uid="{CAE027E2-561D-4256-949F-8E2CC40571E3}"/>
    <hyperlink ref="B481" r:id="rId455" xr:uid="{8A52B708-92DB-4FFE-B8F4-FBCCB5563475}"/>
    <hyperlink ref="B482" r:id="rId456" xr:uid="{927B6A29-5D74-4BE0-9691-216063BF422F}"/>
    <hyperlink ref="B483" r:id="rId457" xr:uid="{138EA4FD-61C2-4AE9-84E4-9ECFC67744C0}"/>
    <hyperlink ref="B484" r:id="rId458" xr:uid="{DD2BB222-E78D-4308-B6F8-561FB52869D6}"/>
    <hyperlink ref="B485" r:id="rId459" xr:uid="{CC57B16D-92E9-487E-912D-2BA2347D645F}"/>
    <hyperlink ref="B487" r:id="rId460" xr:uid="{AE73D4C9-519A-4699-B815-6E43B06066D0}"/>
    <hyperlink ref="B488" r:id="rId461" xr:uid="{4EA833DE-4255-4479-9B21-F3C2D8B79C7C}"/>
    <hyperlink ref="C488" r:id="rId462" xr:uid="{B13F076F-C7DE-4E48-B389-CF3FD69DDC05}"/>
    <hyperlink ref="B489" r:id="rId463" xr:uid="{59CECB98-7CA0-4F52-A65A-9B14A134E85E}"/>
    <hyperlink ref="C489" r:id="rId464" xr:uid="{60E7BA58-3401-4558-844E-3AB39B223E8F}"/>
    <hyperlink ref="B490" r:id="rId465" xr:uid="{0143796E-8381-4B45-B745-AD9A8C5E2935}"/>
    <hyperlink ref="B491" r:id="rId466" xr:uid="{1F3594C3-2AC0-4242-8EA8-FA3635CA5EB2}"/>
    <hyperlink ref="B492" r:id="rId467" xr:uid="{2FD954BF-4D68-4666-B001-DCC9A9204C9C}"/>
    <hyperlink ref="B493" r:id="rId468" xr:uid="{E1CA1303-161B-4196-881E-F9142F0EF3CF}"/>
    <hyperlink ref="B494" r:id="rId469" xr:uid="{551D73C4-7FAA-4074-ABE9-E03C3CBAD114}"/>
    <hyperlink ref="B495" r:id="rId470" xr:uid="{F7653A58-62C0-4125-88D6-34AD23FA9D9F}"/>
    <hyperlink ref="B496" r:id="rId471" xr:uid="{34E49F69-21CE-4FCA-B06F-F03291E259C2}"/>
    <hyperlink ref="C496" r:id="rId472" xr:uid="{BE1DBEC2-5E2B-42B0-99EF-FDB696DE6650}"/>
    <hyperlink ref="B497" r:id="rId473" xr:uid="{A6C05C2D-0197-4DAF-8D10-98E0EF8BA051}"/>
    <hyperlink ref="B498" r:id="rId474" xr:uid="{E8ACE227-9239-4A8C-85D9-877520929ACA}"/>
    <hyperlink ref="B499" r:id="rId475" xr:uid="{C6A23996-28E9-480F-BA4B-3B15E1CD4A62}"/>
    <hyperlink ref="B500" r:id="rId476" xr:uid="{67E608EF-8EF1-4A68-BEA8-DE1DC99F9E9D}"/>
    <hyperlink ref="B501" r:id="rId477" xr:uid="{70AC9F84-E197-4A66-BCB1-A2D3DC860B8F}"/>
    <hyperlink ref="B502" r:id="rId478" xr:uid="{FE38611C-C023-45B7-829E-27F80D366C37}"/>
    <hyperlink ref="B503" r:id="rId479" xr:uid="{FF337CCA-FAFF-44EB-94D5-71BA5AC0CDCB}"/>
    <hyperlink ref="B504" r:id="rId480" xr:uid="{F8FC8587-066D-4719-8830-A5889E7301AB}"/>
    <hyperlink ref="B505" r:id="rId481" xr:uid="{970538EF-A158-4B9F-88E5-192F7BC2C392}"/>
    <hyperlink ref="B506" r:id="rId482" xr:uid="{71AA53FA-7B4F-4EA2-AE8E-72639D3DCF0C}"/>
    <hyperlink ref="B507" r:id="rId483" xr:uid="{21CEFEF6-2562-4C8C-A5EF-AD18E0C48D1F}"/>
    <hyperlink ref="B508" r:id="rId484" xr:uid="{116A26D4-B86F-45BB-9D47-2F13B96055BD}"/>
    <hyperlink ref="B509" r:id="rId485" xr:uid="{3505C00E-9084-4CCB-BD77-99BDBE8C297D}"/>
    <hyperlink ref="B510" r:id="rId486" xr:uid="{204FC481-D6DF-4A7A-96F5-E7D7E67386D8}"/>
    <hyperlink ref="B511" r:id="rId487" xr:uid="{1A455377-9DEB-4F31-B759-C029289F78C7}"/>
    <hyperlink ref="B512" r:id="rId488" xr:uid="{24E830FC-8DCB-43BB-ABC7-0AE2BB66EB3C}"/>
    <hyperlink ref="B513" r:id="rId489" xr:uid="{5914C339-CA7A-4550-B614-653714CECEB0}"/>
    <hyperlink ref="B514" r:id="rId490" xr:uid="{9DD72201-46DC-4F08-AC0B-02293CF37D0D}"/>
    <hyperlink ref="B515" r:id="rId491" xr:uid="{540F1E7D-A610-446A-A83F-B5020CCE7472}"/>
    <hyperlink ref="B516" r:id="rId492" xr:uid="{0C7E78AB-2C76-4752-94B5-BFEF54872393}"/>
    <hyperlink ref="B517" r:id="rId493" xr:uid="{DA7BD32E-87B5-4EE7-8B2C-53F360F26218}"/>
    <hyperlink ref="B518" r:id="rId494" xr:uid="{5C0D8CD1-B7DB-4020-A3C8-27BAB4C4A587}"/>
    <hyperlink ref="B519" r:id="rId495" xr:uid="{1C846094-3A55-409E-9C71-44E0432AE756}"/>
    <hyperlink ref="B520" r:id="rId496" xr:uid="{3D0848D0-1C93-475B-AD0D-4FC67505B606}"/>
    <hyperlink ref="B521" r:id="rId497" xr:uid="{75735DE9-82F0-4DD9-85B6-C5EC49C651B2}"/>
    <hyperlink ref="B522" r:id="rId498" xr:uid="{3EAE2DAA-DB46-41FC-9BD1-68F30BC9724D}"/>
    <hyperlink ref="B523" r:id="rId499" xr:uid="{1AFE6361-DCAC-4937-9560-1F15BE1F60B0}"/>
    <hyperlink ref="B524" r:id="rId500" xr:uid="{2AEF6086-E251-434E-ABBC-6836F541B187}"/>
    <hyperlink ref="B525" r:id="rId501" xr:uid="{F8FAE540-0150-44BA-AEF7-4E895E8B50AF}"/>
    <hyperlink ref="B526" r:id="rId502" xr:uid="{515787EE-B6C5-4E8F-819C-1B2353FF8CE3}"/>
    <hyperlink ref="B527" r:id="rId503" xr:uid="{57259AB4-E2BC-417E-B5AF-C80051BAD566}"/>
    <hyperlink ref="B528" r:id="rId504" xr:uid="{74C711CA-2B1E-4CA7-B3D0-F161AFD6516C}"/>
    <hyperlink ref="B529" r:id="rId505" xr:uid="{A3306CFC-B285-4E4A-AE2F-83F2ADCAC9B6}"/>
    <hyperlink ref="B530" r:id="rId506" xr:uid="{A30E3FE9-1A91-484F-980D-F95D80F3E076}"/>
    <hyperlink ref="B531" r:id="rId507" xr:uid="{1F003247-0907-4B79-9F66-B04BD1F6B452}"/>
    <hyperlink ref="B532" r:id="rId508" xr:uid="{B04259B8-3668-42C0-9B71-6941F7ABE45E}"/>
    <hyperlink ref="B533" r:id="rId509" xr:uid="{2DBA206A-69BB-49B2-BE61-9C193B8B0A2B}"/>
    <hyperlink ref="B534" r:id="rId510" xr:uid="{9E9B79C1-DFA2-4D29-ADAE-F4DF906CF875}"/>
    <hyperlink ref="B535" r:id="rId511" xr:uid="{5C3A0547-6FBF-4CA1-B641-83F0DF7D008C}"/>
    <hyperlink ref="B536" r:id="rId512" xr:uid="{BE74023C-054C-4952-A57E-1F2A5FC5217B}"/>
    <hyperlink ref="B537" r:id="rId513" xr:uid="{EBA40EAE-6A07-4B0D-9029-111E56E785D9}"/>
    <hyperlink ref="B538" r:id="rId514" xr:uid="{BB4A76AE-3FF1-4DAA-BC56-CF8C1B1E5F8C}"/>
    <hyperlink ref="B539" r:id="rId515" xr:uid="{AEB0F77D-275B-4CD2-BDAF-0CFFB2F9264B}"/>
    <hyperlink ref="B540" r:id="rId516" xr:uid="{3F61EC2E-D0C3-4D09-BC03-8B1C1D9529F9}"/>
    <hyperlink ref="B541" r:id="rId517" xr:uid="{3E10BFDB-DEEB-4447-8F36-F76E14F64A56}"/>
    <hyperlink ref="B542" r:id="rId518" xr:uid="{C42EF526-63AF-4629-B219-A49D53980790}"/>
    <hyperlink ref="B543" r:id="rId519" xr:uid="{9B08FD95-038B-46D2-88CF-D578085DA3A7}"/>
    <hyperlink ref="C543" r:id="rId520" xr:uid="{6265641A-FFBC-44DB-83EC-03CF25A168C0}"/>
    <hyperlink ref="B544" r:id="rId521" xr:uid="{89F76EEB-04F0-4E89-9E36-C47432A59786}"/>
    <hyperlink ref="B545" r:id="rId522" xr:uid="{162ECD8D-3CD6-4191-B78B-5C3D34682176}"/>
    <hyperlink ref="C545" r:id="rId523" xr:uid="{6770AF4B-D28E-4F04-8C7F-F7E23CDA0812}"/>
    <hyperlink ref="B546" r:id="rId524" xr:uid="{8856CBFD-B1A2-4C27-94A6-394592598926}"/>
    <hyperlink ref="B547" r:id="rId525" xr:uid="{75C4718D-E868-48C8-B26D-6F725E9592A8}"/>
    <hyperlink ref="B548" r:id="rId526" xr:uid="{6A6C2190-AD6E-4875-B0F0-B09538706C7D}"/>
    <hyperlink ref="B549" r:id="rId527" xr:uid="{4DAD7544-8081-4EA4-AAE8-F0674DAC8BD3}"/>
    <hyperlink ref="B551" r:id="rId528" xr:uid="{ADE1FC0F-8C76-4E77-9A65-D0D15B2AEA7D}"/>
    <hyperlink ref="B553" r:id="rId529" xr:uid="{61A1DCA8-8261-4596-80BA-C2A42E50D1D3}"/>
    <hyperlink ref="B554" r:id="rId530" xr:uid="{B3C08EAF-B7BB-45C2-80AF-1FB3C46D7A03}"/>
    <hyperlink ref="B555" r:id="rId531" xr:uid="{59F71A68-6AD2-4F19-A828-EA46E03F5F17}"/>
    <hyperlink ref="B556" r:id="rId532" xr:uid="{9BD7CDCF-D755-4660-BBE5-08D9D958925A}"/>
    <hyperlink ref="B557" r:id="rId533" xr:uid="{1378F093-90B4-40C3-8757-2FF14789EB7C}"/>
    <hyperlink ref="B558" r:id="rId534" xr:uid="{FCA5927C-E32A-41A1-9B7D-9EEB33DF2583}"/>
    <hyperlink ref="B560" r:id="rId535" xr:uid="{D76A24A1-6FD1-4771-AB2F-B8F047433F67}"/>
    <hyperlink ref="C560" r:id="rId536" xr:uid="{EC83B1AE-EF90-4BED-A358-75B185B09079}"/>
    <hyperlink ref="B562" r:id="rId537" xr:uid="{85B1B762-E4C3-498A-AA62-4856B486C1A1}"/>
    <hyperlink ref="B563" r:id="rId538" xr:uid="{9F5E5A5C-01DB-46D4-B165-5FD0D30BDA98}"/>
    <hyperlink ref="B564" r:id="rId539" xr:uid="{6C7AFEF0-E5AB-4BDD-9A38-E8D95A44186C}"/>
    <hyperlink ref="B565" r:id="rId540" xr:uid="{47D5350D-F0A5-4133-BA8C-D6723864BB8F}"/>
    <hyperlink ref="B566" r:id="rId541" xr:uid="{301F01CB-9695-4CC0-81C3-3D236D36442F}"/>
    <hyperlink ref="B567" r:id="rId542" xr:uid="{F6FA9513-A578-4E7B-BC43-A10ADAA8FC01}"/>
    <hyperlink ref="B568" r:id="rId543" xr:uid="{27B3109E-311A-401A-91BF-8170BCCE5371}"/>
    <hyperlink ref="B569" r:id="rId544" xr:uid="{1C4168BA-E801-42AA-84C6-B69965CE8119}"/>
    <hyperlink ref="B570" r:id="rId545" xr:uid="{B0A387CC-215F-49EF-B1B0-D72D30F0AE6D}"/>
    <hyperlink ref="B571" r:id="rId546" xr:uid="{D75062A9-2EFD-4D1A-B9BF-8BBE6301BE8D}"/>
    <hyperlink ref="B572" r:id="rId547" xr:uid="{0E20BE3F-BC98-4C37-B700-778F26C7B48D}"/>
    <hyperlink ref="B573" r:id="rId548" xr:uid="{7D1D1105-9693-4FFF-9353-0394E7751E02}"/>
    <hyperlink ref="B574" r:id="rId549" xr:uid="{83F331E2-F542-449F-A408-B3066DED53A2}"/>
    <hyperlink ref="B575" r:id="rId550" xr:uid="{941D0927-2100-4E28-87FD-A1FE61B94C9E}"/>
    <hyperlink ref="B576" r:id="rId551" xr:uid="{82985753-4304-442D-99F3-F86574F22D90}"/>
    <hyperlink ref="B577" r:id="rId552" xr:uid="{313F9715-F815-48D3-805F-62CE66DEE17F}"/>
    <hyperlink ref="B578" r:id="rId553" xr:uid="{BA41A406-2533-49C9-9FEF-1E8B69B1317D}"/>
    <hyperlink ref="B579" r:id="rId554" xr:uid="{23EF66C6-866C-4937-BA7A-AD2554FB5E50}"/>
    <hyperlink ref="B580" r:id="rId555" xr:uid="{E166EC84-68D4-412A-B39F-6AE46BBA2F7B}"/>
    <hyperlink ref="B581" r:id="rId556" xr:uid="{A91742A2-75B3-4FA9-AB5F-427C075417DA}"/>
    <hyperlink ref="B582" r:id="rId557" xr:uid="{A8355608-0D59-419A-A3BF-F0B84D8F20A4}"/>
    <hyperlink ref="B583" r:id="rId558" xr:uid="{ABFC3ED4-9019-4989-85C1-5F7310B52C94}"/>
    <hyperlink ref="B584" r:id="rId559" xr:uid="{2407735A-8DD2-4C34-AC14-717A22F67A41}"/>
    <hyperlink ref="B585" r:id="rId560" xr:uid="{664570C2-0B64-434A-9EDC-6ECA8891D711}"/>
    <hyperlink ref="B586" r:id="rId561" xr:uid="{496E0729-29DC-45C2-9614-F68138EB82CB}"/>
    <hyperlink ref="B587" r:id="rId562" xr:uid="{80F22F34-0717-49BD-83C2-495E1CBE7893}"/>
    <hyperlink ref="B588" r:id="rId563" xr:uid="{7D46CCD1-6AD7-442A-9B6D-F7E51D43E72E}"/>
    <hyperlink ref="B589" r:id="rId564" xr:uid="{BDEB74AF-A250-4FF5-B414-03A5D8BC41F2}"/>
    <hyperlink ref="B590" r:id="rId565" xr:uid="{A6A5A487-1BA2-4188-AF40-875F265B7033}"/>
    <hyperlink ref="B591" r:id="rId566" xr:uid="{4AC90FBC-C9F3-4766-B6DD-EA25ACA078AA}"/>
    <hyperlink ref="B592" r:id="rId567" xr:uid="{EAB059BD-55E3-4359-999C-E20A29F3DE9C}"/>
    <hyperlink ref="B593" r:id="rId568" xr:uid="{FE81EA20-203E-4CEA-B455-9719935F06A0}"/>
    <hyperlink ref="B594" r:id="rId569" xr:uid="{133A0DAA-3AD9-4FEA-9121-0DBFBB02A03C}"/>
    <hyperlink ref="B595" r:id="rId570" xr:uid="{EEABA7B6-C903-4E6B-B0D3-04BB01E1A2C7}"/>
    <hyperlink ref="B596" r:id="rId571" xr:uid="{2E233CB4-1E47-4B74-B0C0-CA1F78DBDB7D}"/>
    <hyperlink ref="C596" r:id="rId572" xr:uid="{C24CC4E8-174A-41B2-A703-0667D12FAC49}"/>
    <hyperlink ref="B597" r:id="rId573" xr:uid="{12D269BD-65AC-4543-B885-8F6B2D37152B}"/>
    <hyperlink ref="B598" r:id="rId574" xr:uid="{55C9597C-95FB-46F2-BBBC-7539DE12AA36}"/>
    <hyperlink ref="B599" r:id="rId575" xr:uid="{8AA5B7EE-ACFE-43C9-AD6B-57B89905D213}"/>
    <hyperlink ref="C599" r:id="rId576" xr:uid="{082B6060-002A-46D9-AA84-A345327FEC49}"/>
    <hyperlink ref="B600" r:id="rId577" xr:uid="{793207CF-8C2C-47D3-8C90-8413B03C59C1}"/>
    <hyperlink ref="B601" r:id="rId578" xr:uid="{BF8D2841-996E-4D8E-81B8-92309491C1F2}"/>
    <hyperlink ref="B602" r:id="rId579" xr:uid="{430C33FE-E6DE-4F17-AB22-57A87FF195DC}"/>
    <hyperlink ref="B603" r:id="rId580" xr:uid="{4925CD3F-13F0-46DD-AF00-3456D8BEE5F3}"/>
    <hyperlink ref="B604" r:id="rId581" xr:uid="{591ABEB4-2973-4FD2-9158-F17F532BC756}"/>
    <hyperlink ref="B605" r:id="rId582" xr:uid="{B864ED21-205A-470C-8715-980EF094C053}"/>
    <hyperlink ref="B606" r:id="rId583" xr:uid="{03ED8B4C-DD2B-43E2-930B-6CBDD3DB4776}"/>
    <hyperlink ref="B607" r:id="rId584" xr:uid="{36AAD1CF-4E54-4804-BAD4-381FFFB8FCCF}"/>
    <hyperlink ref="B608" r:id="rId585" xr:uid="{EFB39B1C-68C7-433D-9338-09D6E230951E}"/>
    <hyperlink ref="B609" r:id="rId586" xr:uid="{DD2651D4-BC48-47B6-B01A-E15A4064CEAC}"/>
    <hyperlink ref="B610" r:id="rId587" xr:uid="{E0733898-98D4-4215-992C-7F588289D0F8}"/>
    <hyperlink ref="B611" r:id="rId588" xr:uid="{20E69F7B-BF18-4FEE-A42B-73D69B112468}"/>
    <hyperlink ref="C612" r:id="rId589" xr:uid="{BA131432-24B9-4CE4-84CF-C660AEA9F694}"/>
    <hyperlink ref="B613" r:id="rId590" xr:uid="{8940C50C-77BF-46CD-82E4-82BE00B9AA13}"/>
    <hyperlink ref="B614" r:id="rId591" xr:uid="{8009F16E-9544-44D8-BDAD-A3112599AEE7}"/>
    <hyperlink ref="B615" r:id="rId592" xr:uid="{5BDF4954-B3DA-45A3-A58F-FC5D5C0E60DD}"/>
    <hyperlink ref="B616" r:id="rId593" xr:uid="{1B7DB345-C9B1-470F-8F19-3CE4F90DB881}"/>
    <hyperlink ref="B618" r:id="rId594" xr:uid="{CE2AF912-2EC2-44C6-B391-5430B43DA797}"/>
    <hyperlink ref="B88" r:id="rId595" xr:uid="{77B2F03E-B916-4718-BFB7-D151E7ECE172}"/>
    <hyperlink ref="B108" r:id="rId596" xr:uid="{F229A450-845A-4D8C-911C-57A8FAB70A60}"/>
    <hyperlink ref="B125" r:id="rId597" xr:uid="{EA1E8A04-4EDD-419E-B09F-CC32B114C755}"/>
    <hyperlink ref="B343" r:id="rId598" xr:uid="{798DE016-3A80-4B63-848D-8B599A646BAE}"/>
    <hyperlink ref="B372" r:id="rId599" xr:uid="{BA826E09-C596-47FF-9358-AFB5B0AA1068}"/>
    <hyperlink ref="B208" r:id="rId600" xr:uid="{B734E870-BC83-4A08-86DD-FCA47184A5C0}"/>
    <hyperlink ref="B215" r:id="rId601" xr:uid="{8AB47431-E14D-429E-BC1C-4C8960D354C5}"/>
    <hyperlink ref="B561" r:id="rId602" xr:uid="{15733EE5-FDAC-4C57-BF32-1DBE33E5BEB3}"/>
    <hyperlink ref="B617" r:id="rId603" xr:uid="{AB4E0168-5C67-44D5-B340-E13878455671}"/>
    <hyperlink ref="C617" r:id="rId604" xr:uid="{74C1F2AD-C14E-402F-89AB-0F3A4404C7F2}"/>
    <hyperlink ref="B559" r:id="rId605" xr:uid="{DC89B534-2F1F-4A9C-9045-0435D5D97CB9}"/>
    <hyperlink ref="B265" r:id="rId606" xr:uid="{86A463DC-EB86-4464-AEF1-AA89E594C26A}"/>
    <hyperlink ref="B340" r:id="rId607" xr:uid="{FC6D2027-4ACB-4D6E-AD4C-260B58C26D43}"/>
    <hyperlink ref="B325" r:id="rId608" xr:uid="{E690A713-4EB2-41F4-BEAF-AC6D8BA9E175}"/>
    <hyperlink ref="B456" r:id="rId609" xr:uid="{6631DF71-59EE-4B81-B3BB-54647CB69C91}"/>
    <hyperlink ref="B90" r:id="rId610" xr:uid="{047758E9-A24E-4D9D-B5DA-07719C739820}"/>
    <hyperlink ref="B473" r:id="rId611" xr:uid="{604EDCE2-174A-4C14-BD0F-D3ECBD4CA9F1}"/>
    <hyperlink ref="B376" r:id="rId612" xr:uid="{876B613A-3D40-400C-A13A-889C3D51E08D}"/>
    <hyperlink ref="B334" r:id="rId613" xr:uid="{9CA71C60-0FB9-46FB-B0F1-03D29966874A}"/>
    <hyperlink ref="B168" r:id="rId614" xr:uid="{56C17E4C-8D20-4B92-BD52-957BAC5D9BBF}"/>
    <hyperlink ref="B79" r:id="rId615" xr:uid="{38699A8B-E702-4212-8FCC-9A6D1266B7D0}"/>
    <hyperlink ref="B92" r:id="rId616" xr:uid="{60DFB136-29CD-456A-8AB2-690F8AF9E9A4}"/>
    <hyperlink ref="B364" r:id="rId617" xr:uid="{4DEE4111-E034-4F61-B615-D5319C0374EF}"/>
    <hyperlink ref="B297" r:id="rId618" xr:uid="{261F5F11-8B65-47CC-B294-35739400D87A}"/>
    <hyperlink ref="B361" r:id="rId619" xr:uid="{02C4A462-A16F-4845-9C57-827AC6BA9209}"/>
    <hyperlink ref="B363" r:id="rId620" xr:uid="{B6299041-FE54-43FE-9762-CA10919FBECC}"/>
    <hyperlink ref="B550" r:id="rId621" xr:uid="{1A2002CA-8783-4AB8-914E-F420C0EE74EE}"/>
    <hyperlink ref="B450" r:id="rId622" xr:uid="{4EBD4B48-51A4-4673-B45A-63695C0E2805}"/>
    <hyperlink ref="B282" r:id="rId623" xr:uid="{38078FB8-E467-42DF-9141-29E11AAB4F6D}"/>
    <hyperlink ref="B466" r:id="rId624" xr:uid="{1A249DB3-E328-4F28-A298-876381217B41}"/>
    <hyperlink ref="B346" r:id="rId625" xr:uid="{DFF4D52A-D360-43AC-B5CB-F55D09D7E7F2}"/>
    <hyperlink ref="B461" r:id="rId626" xr:uid="{B42C57C6-0C09-4D28-A08D-300315FAC597}"/>
    <hyperlink ref="B342" r:id="rId627" xr:uid="{BBAD38A8-B35E-42A0-8E4C-E7AF665E5E88}"/>
    <hyperlink ref="B71" r:id="rId628" xr:uid="{A56A07B4-DB31-4E84-A201-A694D8D299FC}"/>
    <hyperlink ref="B80" r:id="rId629" xr:uid="{0A6AEF74-84D9-40B2-B889-6C7E0F448D19}"/>
    <hyperlink ref="B275" r:id="rId630" xr:uid="{56923B14-19CC-4446-97E1-EBB954A171F2}"/>
    <hyperlink ref="B240" r:id="rId631" xr:uid="{96BD6C16-C60E-49A0-A5DE-82E485AE173C}"/>
    <hyperlink ref="B231" r:id="rId632" xr:uid="{0C9140F5-E0D6-405F-9DFA-17AB980272E4}"/>
    <hyperlink ref="B411" r:id="rId633" display="iQ300 Düz Davlumbaz, 60cm, 649m3, Siyah Cam" xr:uid="{6F217D16-9735-4B4A-BB5C-504E7B6C13D9}"/>
    <hyperlink ref="B412" r:id="rId634" xr:uid="{F034BCCE-3F35-4FBB-AE3F-586E993D124D}"/>
    <hyperlink ref="B413" r:id="rId635" xr:uid="{7F428413-AC40-4A3F-A9C7-FA42A862FAEC}"/>
    <hyperlink ref="C184" r:id="rId636" xr:uid="{AF4C2948-F8F7-4D76-8E67-3A05A11ED4D4}"/>
    <hyperlink ref="B184" r:id="rId637" xr:uid="{C7AEC35B-020F-4C6C-A71B-AF44E9DAE100}"/>
    <hyperlink ref="C313" r:id="rId638" xr:uid="{168BBC46-2800-4B55-865B-D829A9FA8BE2}"/>
    <hyperlink ref="B121" r:id="rId639" xr:uid="{18D243D2-66C1-487E-AC87-D7983549799B}"/>
    <hyperlink ref="B13" r:id="rId640" xr:uid="{6105E34F-E27A-4299-8A4C-F1036B884267}"/>
    <hyperlink ref="B16" r:id="rId641" xr:uid="{78464F6F-7361-40AF-90E7-B0893E73DD5B}"/>
    <hyperlink ref="B619" r:id="rId642" xr:uid="{A9B1C0C8-898D-4002-B9D2-0DD86DC33366}"/>
    <hyperlink ref="C619" r:id="rId643" xr:uid="{EBC35EDC-534A-4B42-A3E8-B221362445F8}"/>
    <hyperlink ref="B141" r:id="rId644" xr:uid="{19891B40-712F-40E6-9AE9-827A9742C1BE}"/>
    <hyperlink ref="B145" r:id="rId645" xr:uid="{CCEDBFE0-2959-4DD4-902F-3BAD75365C2F}"/>
    <hyperlink ref="B307" r:id="rId646" xr:uid="{2A7F5820-EDD6-476B-B4D1-B0D3D86972AD}"/>
    <hyperlink ref="B368" r:id="rId647" display="iQ300 Düz Davlumbaz, 60cm, 368m3, Inox" xr:uid="{E9CC5A58-513B-4D99-8256-496F613E3E1E}"/>
    <hyperlink ref="B552" r:id="rId648" xr:uid="{6B262B92-146C-4524-95DC-2570D1D5D101}"/>
    <hyperlink ref="B471" r:id="rId649" xr:uid="{06B72E95-FF19-4A59-9EFC-DAEC411538AF}"/>
    <hyperlink ref="B486" r:id="rId650" xr:uid="{23778D36-98C3-4DC2-A0AF-6F764AAB7E3A}"/>
    <hyperlink ref="B625" r:id="rId651" xr:uid="{0A4F9639-1826-4DD1-9BE0-5BB17E315E9C}"/>
    <hyperlink ref="B620" r:id="rId652" display="iQ700 Çamaşır Makinesi, 11kg/1400devir, intelligentDosing, Gümüş" xr:uid="{1C13204B-F6AE-4465-A439-F47E77C9D1FF}"/>
    <hyperlink ref="B621" r:id="rId653" xr:uid="{8C3E8D8B-6D51-45CD-AE59-6F511020C612}"/>
    <hyperlink ref="B626" r:id="rId654" xr:uid="{F0C45BAA-7F4F-4290-AB9E-85554CB74E40}"/>
    <hyperlink ref="B627" r:id="rId655" xr:uid="{EDC2E7DB-88AD-414E-914C-3AD134B84219}"/>
    <hyperlink ref="C627" r:id="rId656" xr:uid="{68ACDECF-BB21-461E-A646-7A85DE13E6A7}"/>
    <hyperlink ref="B628" r:id="rId657" xr:uid="{15CF72C4-9611-49FF-8313-AA434CEE8166}"/>
    <hyperlink ref="B629" r:id="rId658" display="iQ700 Gazlı Ocak, 60cm, Seramik, Siyah, Döküm" xr:uid="{F7578550-25FE-44D3-81B0-D63E6FDD24E2}"/>
    <hyperlink ref="B630" r:id="rId659" xr:uid="{30F4A496-3F57-493C-97A0-B9117B82D750}"/>
    <hyperlink ref="B631" r:id="rId660" xr:uid="{0D58422C-AA58-4F67-93BB-625826B117E7}"/>
    <hyperlink ref="B632" r:id="rId661" xr:uid="{0DEEB5B8-D2D2-49B3-93D8-81809C61D1BD}"/>
    <hyperlink ref="B633" r:id="rId662" xr:uid="{AF6865C3-B2BA-4309-A2B2-F26A342E6426}"/>
    <hyperlink ref="B622" r:id="rId663" xr:uid="{063699BA-80D0-4EA1-BF1B-4A535E3E1013}"/>
    <hyperlink ref="B623" r:id="rId664" xr:uid="{D0C7ACD4-0A80-4AF7-BEAD-1918523D8EE2}"/>
    <hyperlink ref="B624" r:id="rId665" xr:uid="{CEB28068-A8A5-434C-82B4-4028819559B6}"/>
    <hyperlink ref="B635" r:id="rId666" xr:uid="{AB728F5D-BE47-4663-9F9E-08743FFBF606}"/>
    <hyperlink ref="B636" r:id="rId667" xr:uid="{F2FE8174-4816-4FC3-9922-AE7B34F7B460}"/>
    <hyperlink ref="B640" r:id="rId668" xr:uid="{9B0054A2-A382-4EF4-8B7C-855A32C09E41}"/>
    <hyperlink ref="B641" r:id="rId669" xr:uid="{2F7CC196-12F7-4082-BD37-58776FE27802}"/>
    <hyperlink ref="B642" r:id="rId670" xr:uid="{E6C94C44-E835-4B3C-9A0D-886A52139622}"/>
    <hyperlink ref="B643" r:id="rId671" xr:uid="{0D163824-A8ED-4580-ABA2-64A8CD8C68E9}"/>
    <hyperlink ref="B644" r:id="rId672" xr:uid="{79D13419-58C2-496F-A3E5-1006E4F37FBB}"/>
    <hyperlink ref="B645" r:id="rId673" xr:uid="{3535DD00-68B0-44C3-B983-62B9CC29BEC8}"/>
    <hyperlink ref="B646" r:id="rId674" xr:uid="{AEA11234-4F7C-481C-A146-8B1947020CAE}"/>
    <hyperlink ref="B647" r:id="rId675" xr:uid="{88DFDBA8-7451-454E-8FEA-E398E7898D40}"/>
    <hyperlink ref="B648" r:id="rId676" xr:uid="{8974567A-0E07-460A-9C06-EB3028C92A70}"/>
    <hyperlink ref="B649" r:id="rId677" xr:uid="{87D6459F-9B37-44D2-AB70-A9914FCD7D31}"/>
    <hyperlink ref="B639" r:id="rId678" xr:uid="{3B9831B4-4A4B-4873-AA48-0D9596556B1F}"/>
    <hyperlink ref="B650" r:id="rId679" display="iQ300 Solo Bulaşık Makinesi, autoOpen dry, Beyaz" xr:uid="{145FADF0-2F56-4C29-867A-82EBE992FA6D}"/>
    <hyperlink ref="B651" r:id="rId680" xr:uid="{A6E276FE-B9B8-46AC-AB74-5BE461F145A8}"/>
    <hyperlink ref="B652" r:id="rId681" xr:uid="{1648187A-8868-45C8-BCD4-0267A09D73D3}"/>
    <hyperlink ref="B653" r:id="rId682" xr:uid="{261F5AA2-6654-4F61-B1CC-D5BBB1303E1A}"/>
    <hyperlink ref="B654" r:id="rId683" display="iQ300 Solo Bulaşık Makinesi, Inox" xr:uid="{16B2888C-533C-4397-8E5F-3ED2D33C674E}"/>
    <hyperlink ref="B655" r:id="rId684" xr:uid="{A503AAE1-C994-496F-9899-AF47A5B47448}"/>
    <hyperlink ref="B656" r:id="rId685" xr:uid="{CAC8A873-FCAE-4B31-B64D-92F9417AF483}"/>
    <hyperlink ref="C655" r:id="rId686" xr:uid="{432C7A59-87E9-4EBD-99DF-77FC4CC120A1}"/>
    <hyperlink ref="C656" r:id="rId687" xr:uid="{47FABF1F-AAAA-45A3-9DBC-254EC386743E}"/>
  </hyperlinks>
  <pageMargins left="0.7" right="0.7" top="0.75" bottom="0.75" header="0.3" footer="0.3"/>
  <pageSetup paperSize="9" orientation="portrait" verticalDpi="0" r:id="rId6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Gökdemir</dc:creator>
  <cp:lastModifiedBy>Kaan Gökdemir</cp:lastModifiedBy>
  <dcterms:created xsi:type="dcterms:W3CDTF">2026-10-16T09:43:09Z</dcterms:created>
  <dcterms:modified xsi:type="dcterms:W3CDTF">2026-10-21T14:41:20Z</dcterms:modified>
</cp:coreProperties>
</file>