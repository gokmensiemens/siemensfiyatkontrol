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30" documentId="8_{04D112BD-6BD0-48D2-BCD0-B02DB0158664}" xr6:coauthVersionLast="47" xr6:coauthVersionMax="47" xr10:uidLastSave="{E2F7780D-F399-4797-AE2F-DE234205D158}"/>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2" i="1"/>
  <c r="N490" i="1"/>
  <c r="N489" i="1"/>
  <c r="N488" i="1"/>
  <c r="N487" i="1"/>
  <c r="N486" i="1"/>
  <c r="N485" i="1"/>
  <c r="N484" i="1"/>
  <c r="N483" i="1"/>
  <c r="N482" i="1"/>
  <c r="N481" i="1"/>
  <c r="N480" i="1"/>
  <c r="N479" i="1"/>
  <c r="N478" i="1"/>
  <c r="N477" i="1"/>
  <c r="N476" i="1"/>
  <c r="N475" i="1"/>
  <c r="N474" i="1"/>
  <c r="N473"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7" i="1"/>
  <c r="N436" i="1"/>
  <c r="N435" i="1"/>
  <c r="N434" i="1"/>
  <c r="N433" i="1"/>
  <c r="N432" i="1"/>
  <c r="N431" i="1"/>
  <c r="N430" i="1"/>
  <c r="N429" i="1"/>
  <c r="N428" i="1"/>
  <c r="N427" i="1"/>
  <c r="N426" i="1"/>
  <c r="N425" i="1"/>
  <c r="N424" i="1"/>
  <c r="N423" i="1"/>
  <c r="N422" i="1"/>
  <c r="N421" i="1"/>
  <c r="N438" i="1" s="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420" i="1" s="1"/>
  <c r="N393" i="1"/>
  <c r="N392" i="1"/>
  <c r="N391" i="1"/>
  <c r="N390" i="1"/>
  <c r="N388" i="1"/>
  <c r="N387" i="1"/>
  <c r="N386" i="1"/>
  <c r="N385" i="1"/>
  <c r="N383" i="1"/>
  <c r="N382" i="1"/>
  <c r="N381" i="1"/>
  <c r="N380" i="1"/>
  <c r="N379" i="1"/>
  <c r="N378" i="1"/>
  <c r="N377" i="1"/>
  <c r="N376" i="1"/>
  <c r="N374" i="1"/>
  <c r="N373" i="1"/>
  <c r="N372" i="1"/>
  <c r="N371" i="1"/>
  <c r="N370"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69" i="1" s="1"/>
  <c r="N302" i="1"/>
  <c r="N301" i="1"/>
  <c r="N300" i="1"/>
  <c r="O299" i="1"/>
  <c r="N298" i="1"/>
  <c r="N297" i="1"/>
  <c r="N296"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88" i="1" s="1"/>
  <c r="N239" i="1"/>
  <c r="N238" i="1"/>
  <c r="N237" i="1"/>
  <c r="N236" i="1"/>
  <c r="N235" i="1"/>
  <c r="N233" i="1"/>
  <c r="N232" i="1"/>
  <c r="N231" i="1"/>
  <c r="N230" i="1"/>
  <c r="N229" i="1"/>
  <c r="N228" i="1"/>
  <c r="N227" i="1"/>
  <c r="N226" i="1"/>
  <c r="N225" i="1"/>
  <c r="N224" i="1"/>
  <c r="N223" i="1"/>
  <c r="N222" i="1"/>
  <c r="N221" i="1"/>
  <c r="N220" i="1"/>
  <c r="N219" i="1"/>
  <c r="N218" i="1"/>
  <c r="N217" i="1"/>
  <c r="N216" i="1"/>
  <c r="N234" i="1" s="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215" i="1" s="1"/>
  <c r="N162" i="1"/>
  <c r="N161" i="1"/>
  <c r="N160" i="1"/>
  <c r="N159" i="1"/>
  <c r="N158" i="1"/>
  <c r="N157" i="1"/>
  <c r="N156" i="1"/>
  <c r="N155" i="1"/>
  <c r="N154" i="1"/>
  <c r="N153" i="1"/>
  <c r="N152" i="1"/>
  <c r="N151" i="1"/>
  <c r="N150" i="1"/>
  <c r="N149" i="1"/>
  <c r="N148" i="1"/>
  <c r="N147" i="1"/>
  <c r="N146" i="1"/>
  <c r="N145" i="1"/>
  <c r="N144" i="1"/>
  <c r="N143" i="1"/>
  <c r="N142" i="1"/>
  <c r="N141" i="1"/>
  <c r="N163" i="1" s="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40" i="1" s="1"/>
  <c r="N113" i="1"/>
  <c r="N112" i="1"/>
  <c r="N111" i="1"/>
  <c r="N110" i="1"/>
  <c r="N109" i="1"/>
  <c r="N108" i="1"/>
  <c r="N107" i="1"/>
  <c r="N106" i="1"/>
  <c r="N105" i="1"/>
  <c r="N104" i="1"/>
  <c r="N114" i="1" s="1"/>
  <c r="N103" i="1"/>
  <c r="N102" i="1"/>
  <c r="N101"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100" i="1" s="1"/>
  <c r="N69" i="1"/>
  <c r="N68" i="1"/>
  <c r="N67" i="1"/>
  <c r="N66" i="1"/>
  <c r="N65" i="1"/>
  <c r="N64" i="1"/>
  <c r="N63" i="1"/>
  <c r="N62" i="1"/>
  <c r="N61" i="1"/>
  <c r="N60" i="1"/>
  <c r="N59" i="1"/>
  <c r="N58" i="1"/>
  <c r="N57" i="1"/>
  <c r="N70" i="1" s="1"/>
  <c r="N55" i="1"/>
  <c r="N54" i="1"/>
  <c r="N53" i="1"/>
  <c r="N52" i="1"/>
  <c r="N51" i="1"/>
  <c r="N50" i="1"/>
  <c r="N49" i="1"/>
  <c r="N48" i="1"/>
  <c r="N56" i="1" s="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N299" i="1" l="1"/>
  <c r="L3" i="2"/>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4" authorId="0" shapeId="0" xr:uid="{D104CFF1-CAF6-4EB2-B984-3E596B9061B0}">
      <text>
        <r>
          <rPr>
            <b/>
            <sz val="9"/>
            <color indexed="81"/>
            <rFont val="Tahoma"/>
            <family val="2"/>
            <charset val="162"/>
          </rPr>
          <t>Sedat:</t>
        </r>
        <r>
          <rPr>
            <sz val="9"/>
            <color indexed="81"/>
            <rFont val="Tahoma"/>
            <family val="2"/>
            <charset val="162"/>
          </rPr>
          <t xml:space="preserve">
kapalı kutu 
</t>
        </r>
      </text>
    </comment>
    <comment ref="F373" authorId="0" shapeId="0" xr:uid="{8401E26F-0F67-49D6-A169-CC449B85A247}">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<sst xmlns="http://schemas.openxmlformats.org/spreadsheetml/2006/main" count="3189" uniqueCount="1786">
  <si>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</si>
  <si>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</si>
  <si>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</si>
  <si>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</si>
  <si>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</si>
  <si>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</si>
  <si>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</si>
  <si>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</si>
  <si>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</si>
  <si>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</si>
  <si>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</si>
  <si>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</si>
  <si>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</si>
  <si>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</si>
  <si>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</si>
  <si>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</si>
  <si>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</si>
  <si>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</si>
  <si>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</si>
  <si>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</si>
  <si>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</si>
  <si>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</si>
  <si>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</si>
  <si>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</si>
  <si>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</si>
  <si>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</si>
  <si>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</si>
  <si>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</si>
  <si>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</si>
  <si>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</si>
  <si>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</si>
  <si>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</si>
  <si>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</si>
  <si>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</si>
  <si>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</si>
  <si>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</si>
  <si>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</si>
  <si>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</si>
  <si>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</si>
  <si>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</si>
  <si>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</si>
  <si>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</si>
  <si>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</si>
  <si>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</si>
  <si>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</si>
  <si>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</si>
  <si>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</si>
  <si>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</si>
  <si>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</si>
  <si>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</si>
  <si>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</si>
  <si>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</si>
  <si>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</si>
  <si>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</si>
  <si>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</si>
  <si>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</si>
  <si>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</si>
  <si>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</si>
  <si>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</si>
  <si>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</si>
  <si>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</si>
  <si>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</si>
  <si>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</si>
  <si>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</si>
  <si>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</si>
  <si>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</si>
  <si>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</si>
  <si>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</si>
  <si>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</si>
  <si>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</si>
  <si>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</si>
  <si>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</si>
  <si>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</si>
  <si>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</si>
  <si>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</si>
  <si>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</si>
  <si>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</si>
  <si>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</si>
  <si>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</si>
  <si>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</si>
  <si>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</si>
  <si>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</si>
  <si>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</si>
  <si>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</si>
  <si>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</si>
  <si>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</si>
  <si>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</si>
  <si>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</si>
  <si>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</si>
  <si>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</si>
  <si>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</si>
  <si>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</si>
  <si>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</si>
  <si>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</si>
  <si>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</si>
  <si>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</si>
  <si>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</si>
  <si>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</si>
  <si>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</si>
  <si>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</si>
  <si>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</si>
  <si>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</si>
  <si>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</si>
  <si>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</si>
  <si>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</si>
  <si>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</si>
  <si>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</si>
  <si>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</si>
  <si>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</si>
  <si>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</si>
  <si>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</si>
  <si>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</si>
  <si>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</si>
  <si>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</si>
  <si>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</si>
  <si>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</si>
  <si>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</si>
  <si>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</si>
  <si>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</si>
  <si>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</si>
  <si>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</si>
  <si>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</si>
  <si>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</si>
  <si>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</si>
  <si>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</si>
  <si>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</si>
  <si>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</si>
  <si>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</si>
  <si>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</si>
  <si>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</si>
  <si>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</si>
  <si>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</si>
  <si>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</si>
  <si>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</si>
  <si>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</si>
  <si>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</si>
  <si>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</si>
  <si>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</si>
  <si>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</si>
  <si>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</si>
  <si>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</si>
  <si>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</si>
  <si>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</si>
  <si>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</si>
  <si>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</si>
  <si>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</si>
  <si>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</si>
  <si>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</si>
  <si>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</si>
  <si>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</si>
  <si>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</si>
  <si>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</si>
  <si>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</si>
  <si>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</si>
  <si>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</si>
  <si>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</si>
  <si>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</si>
  <si>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</si>
  <si>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</si>
  <si>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</si>
  <si>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</si>
  <si>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</si>
  <si>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</si>
  <si>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</si>
  <si>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</si>
  <si>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</si>
  <si>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</si>
  <si>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</si>
  <si>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</si>
  <si>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</si>
  <si>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</si>
  <si>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</si>
  <si>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</si>
  <si>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</si>
  <si>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</si>
  <si>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</si>
  <si>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</si>
  <si>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</si>
  <si>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</si>
  <si>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</si>
  <si>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</si>
  <si>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</si>
  <si>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</si>
  <si>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</si>
  <si>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</si>
  <si>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</si>
  <si>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</si>
  <si>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</si>
  <si>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</si>
  <si>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</si>
  <si>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</si>
  <si>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</si>
  <si>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</si>
  <si>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</si>
  <si>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</si>
  <si>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</si>
  <si>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</si>
  <si>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</si>
  <si>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</si>
  <si>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</si>
  <si>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</si>
  <si>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</si>
  <si>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</si>
  <si>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</si>
  <si>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</si>
  <si>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</si>
  <si>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</si>
  <si>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</si>
  <si>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</si>
  <si>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</si>
  <si>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</si>
  <si>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</si>
  <si>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</si>
  <si>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</si>
  <si>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</si>
  <si>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</si>
  <si>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</si>
  <si>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</si>
  <si>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</si>
  <si>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</si>
  <si>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</si>
  <si>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</si>
  <si>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</si>
  <si>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</si>
  <si>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</si>
  <si>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</si>
  <si>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</si>
  <si>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</si>
  <si>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</si>
  <si>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</si>
  <si>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</si>
  <si>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</si>
  <si>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</si>
  <si>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</si>
  <si>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</si>
  <si>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</si>
  <si>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</si>
  <si>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</si>
  <si>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</si>
  <si>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</si>
  <si>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</si>
  <si>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</si>
  <si>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</si>
  <si>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</si>
  <si>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</si>
  <si>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</si>
  <si>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</si>
  <si>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</si>
  <si>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</si>
  <si>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</si>
  <si>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</si>
  <si>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</si>
  <si>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</si>
  <si>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</si>
  <si>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</si>
  <si>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</si>
  <si>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</si>
  <si>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</si>
  <si>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</si>
  <si>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</si>
  <si>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</si>
  <si>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</si>
  <si>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</si>
  <si>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</si>
  <si>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</si>
  <si>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</si>
  <si>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</si>
  <si>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</si>
  <si>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</si>
  <si>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</si>
  <si>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</si>
  <si>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</si>
  <si>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</si>
  <si>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</si>
  <si>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</si>
  <si>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</si>
  <si>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</si>
  <si>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</si>
  <si>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</si>
  <si>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</si>
  <si>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</si>
  <si>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</si>
  <si>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</si>
  <si>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</si>
  <si>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</si>
  <si>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</si>
  <si>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</si>
  <si>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</si>
  <si>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</si>
  <si>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</si>
  <si>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</si>
  <si>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</si>
  <si>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</si>
  <si>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</si>
  <si>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</si>
  <si>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</si>
  <si>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</si>
  <si>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</si>
  <si>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</si>
  <si>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</si>
  <si>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</si>
  <si>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</si>
  <si>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</si>
  <si>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</si>
  <si>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</si>
  <si>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</si>
  <si>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</si>
  <si>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</si>
  <si>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</si>
  <si>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</si>
  <si>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</si>
  <si>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</si>
  <si>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</si>
  <si>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</si>
  <si>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</si>
  <si>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</si>
  <si>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</si>
  <si>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</si>
  <si>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</si>
  <si>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</si>
  <si>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</si>
  <si>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</si>
  <si>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</si>
  <si>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</si>
  <si>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</si>
  <si>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</si>
  <si>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</si>
  <si>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</si>
  <si>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</si>
  <si>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</si>
  <si>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</si>
  <si>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</si>
  <si>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</si>
  <si>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</si>
  <si>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</si>
  <si>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</si>
  <si>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</si>
  <si>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</si>
  <si>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</si>
  <si>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</si>
  <si>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</si>
  <si>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</si>
  <si>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</si>
  <si>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</si>
  <si>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</si>
  <si>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</si>
  <si>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</si>
  <si>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</si>
  <si>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</si>
  <si>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</si>
  <si>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</si>
  <si>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</si>
  <si>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</si>
  <si>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</si>
  <si>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</si>
  <si>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</si>
  <si>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</si>
  <si>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</si>
  <si>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</si>
  <si>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</si>
  <si>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</si>
  <si>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</si>
  <si>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</si>
  <si>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</si>
  <si>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</si>
  <si>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</si>
  <si>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</si>
  <si>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</si>
  <si>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</si>
  <si>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</si>
  <si>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</si>
  <si>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</si>
  <si>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</si>
  <si>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</si>
  <si>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</si>
  <si>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</si>
  <si>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</si>
  <si>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</si>
  <si>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</si>
  <si>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</si>
  <si>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</si>
  <si>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</si>
  <si>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</si>
  <si>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</si>
  <si>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</si>
  <si>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</si>
  <si>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</si>
  <si>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</si>
  <si>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</si>
  <si>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</si>
  <si>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</si>
  <si>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</si>
  <si>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</si>
  <si>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</si>
  <si>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</si>
  <si>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</si>
  <si>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</si>
  <si>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</si>
  <si>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</si>
  <si>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</si>
  <si>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</si>
  <si>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</si>
  <si>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</si>
  <si>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</si>
  <si>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</si>
  <si>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</si>
  <si>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</si>
  <si>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</si>
  <si>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</si>
  <si>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</si>
  <si>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</si>
  <si>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</si>
  <si>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</si>
  <si>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</si>
  <si>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</si>
  <si>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</si>
  <si>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</si>
  <si>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</si>
  <si>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</si>
  <si>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</si>
  <si>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</si>
  <si>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</si>
  <si>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</si>
  <si>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</si>
  <si>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</si>
  <si>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</si>
  <si>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</si>
  <si>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</si>
  <si>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</si>
  <si>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</si>
  <si>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</si>
  <si>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</si>
  <si>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</si>
  <si>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</si>
  <si>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</si>
  <si>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</si>
  <si>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</si>
  <si>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</si>
  <si>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</si>
  <si>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</si>
  <si>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</si>
  <si>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</si>
  <si>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</si>
  <si>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</si>
  <si>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</si>
  <si>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</si>
  <si>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</si>
  <si>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</si>
  <si>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</si>
  <si>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</si>
  <si>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</si>
  <si>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</si>
  <si>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</si>
  <si>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</si>
  <si>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</si>
  <si>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</si>
  <si>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</si>
  <si>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</si>
  <si>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</si>
  <si>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</si>
  <si>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</si>
  <si>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</si>
  <si>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</si>
  <si>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</si>
  <si>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</si>
  <si>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</si>
  <si>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</si>
  <si>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</si>
  <si>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</si>
  <si>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</si>
  <si>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</si>
  <si>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</si>
  <si>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</si>
  <si>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</si>
  <si>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</si>
  <si>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</si>
  <si>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</si>
  <si>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</si>
  <si>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</si>
  <si>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</si>
  <si>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</si>
  <si>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</si>
  <si>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</si>
  <si>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</si>
  <si>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</si>
  <si>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</si>
  <si>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</si>
  <si>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</si>
  <si>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</si>
  <si>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</si>
  <si>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</si>
  <si>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</si>
  <si>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</si>
  <si>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</si>
  <si>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</si>
  <si>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</si>
  <si>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</si>
  <si>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</si>
  <si>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</si>
  <si>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</si>
  <si>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</si>
  <si>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</si>
  <si>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</si>
  <si>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</si>
  <si>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</si>
  <si>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</si>
  <si>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</si>
  <si>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</si>
  <si>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</si>
  <si>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</si>
  <si>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</si>
  <si>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</si>
  <si>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</si>
  <si>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</si>
  <si>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</si>
  <si>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</si>
  <si>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</si>
  <si>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</si>
  <si>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</si>
  <si>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</si>
  <si>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</si>
  <si>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</si>
  <si>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</si>
  <si>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</si>
  <si>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</si>
  <si>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</si>
  <si>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</si>
  <si>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</si>
  <si>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</si>
  <si>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</si>
  <si>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</si>
  <si>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</si>
  <si>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</si>
  <si>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</si>
  <si>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</si>
  <si>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</si>
  <si>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</si>
  <si>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</si>
  <si>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</si>
  <si>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</si>
  <si>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</si>
  <si>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</si>
  <si>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</si>
  <si>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</si>
  <si>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</si>
  <si>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</si>
  <si>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</si>
  <si>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</si>
  <si>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</si>
  <si>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</si>
  <si>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</si>
  <si>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</si>
  <si>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</si>
  <si>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</si>
  <si>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</si>
  <si>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</si>
  <si>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</si>
  <si>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</si>
  <si>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</si>
  <si>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</si>
  <si>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</si>
  <si>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</si>
  <si>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</si>
  <si>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</si>
  <si>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</si>
  <si>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</si>
  <si>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</si>
  <si>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</si>
  <si>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</si>
  <si>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</si>
  <si>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</si>
  <si>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</si>
  <si>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</si>
  <si>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</si>
  <si>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</si>
  <si>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</si>
  <si>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</si>
  <si>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</si>
  <si>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</si>
  <si>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</si>
  <si>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</si>
  <si>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</si>
  <si>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</si>
  <si>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</si>
  <si>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</si>
  <si>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</si>
  <si>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</si>
  <si>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</si>
  <si>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</si>
  <si>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</si>
  <si>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</si>
  <si>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</si>
  <si>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</si>
  <si>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</si>
  <si>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</si>
  <si>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</si>
  <si>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</si>
  <si>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</si>
  <si>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</si>
  <si>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</si>
  <si>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</si>
  <si>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</si>
  <si>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</si>
  <si>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</si>
  <si>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</si>
  <si>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</si>
  <si>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</si>
  <si>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</si>
  <si>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</si>
  <si>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</si>
  <si>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</si>
  <si>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</si>
  <si>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</si>
  <si>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</si>
  <si>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</si>
  <si>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</si>
  <si>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</si>
  <si>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</si>
  <si>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</si>
  <si>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</si>
  <si>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</si>
  <si>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</si>
  <si>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</si>
  <si>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</si>
  <si>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</si>
  <si>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</si>
  <si>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</si>
  <si>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</si>
  <si>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</si>
  <si>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</si>
  <si>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</si>
  <si>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</si>
  <si>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</si>
  <si>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</si>
  <si>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</si>
  <si>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</si>
  <si>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</si>
  <si>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</si>
  <si>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</si>
  <si>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</si>
  <si>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</si>
  <si>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</si>
  <si>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</si>
  <si>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</si>
  <si>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</si>
  <si>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</si>
  <si>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</si>
  <si>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</si>
  <si>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</si>
  <si>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</si>
  <si>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</si>
  <si>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</si>
  <si>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</si>
  <si>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</si>
  <si>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</si>
  <si>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</si>
  <si>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</si>
  <si>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</si>
  <si>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</si>
  <si>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</si>
  <si>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</si>
  <si>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</si>
  <si>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</si>
  <si>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</si>
  <si>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</si>
  <si>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</si>
  <si>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</si>
  <si>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</si>
  <si>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</si>
  <si>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</si>
  <si>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</si>
  <si>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</si>
  <si>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</si>
  <si>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</si>
  <si>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</si>
  <si>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</si>
  <si>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</si>
  <si>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</si>
  <si>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</si>
  <si>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</si>
  <si>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</si>
  <si>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</si>
  <si>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</si>
  <si>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</si>
  <si>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</si>
  <si>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</si>
  <si>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</si>
  <si>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</si>
  <si>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</si>
  <si>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</si>
  <si>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</si>
  <si>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</si>
  <si>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</si>
  <si>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</si>
  <si>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</si>
  <si>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</si>
  <si>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</si>
  <si>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</si>
  <si>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</si>
  <si>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</si>
  <si>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</si>
  <si>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</si>
  <si>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</si>
  <si>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</si>
  <si>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</si>
  <si>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</si>
  <si>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</si>
  <si>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</si>
  <si>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</si>
  <si>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</si>
  <si>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</si>
  <si>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</si>
  <si>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</si>
  <si>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</si>
  <si>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</si>
  <si>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</si>
  <si>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</si>
  <si>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</si>
  <si>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</si>
  <si>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</si>
  <si>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</si>
  <si>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</si>
  <si>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</si>
  <si>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</si>
  <si>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</si>
  <si>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</si>
  <si>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</si>
  <si>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</si>
  <si>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</si>
  <si>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</si>
  <si>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</si>
  <si>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</si>
  <si>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</si>
  <si>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</si>
  <si>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</si>
  <si>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</si>
  <si>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</si>
  <si>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</si>
  <si>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</si>
  <si>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</si>
  <si>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</si>
  <si>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</si>
  <si>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</si>
  <si>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</si>
  <si>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</si>
  <si>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</si>
  <si>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</si>
  <si>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</si>
  <si>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</si>
  <si>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</si>
  <si>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</si>
  <si>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</si>
  <si>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</si>
  <si>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</si>
  <si>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</si>
  <si>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</si>
  <si>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</si>
  <si>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</si>
  <si>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</si>
  <si>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</si>
  <si>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</si>
  <si>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</si>
  <si>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</si>
  <si>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</si>
  <si>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</si>
  <si>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</si>
  <si>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</si>
  <si>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</si>
  <si>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</si>
  <si>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</si>
  <si>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</si>
  <si>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</si>
  <si>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</si>
  <si>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</si>
  <si>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</si>
  <si>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</si>
  <si>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</si>
  <si>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</si>
  <si>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</si>
  <si>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</si>
  <si>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</si>
  <si>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</si>
  <si>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</si>
  <si>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</si>
  <si>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</si>
  <si>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</si>
  <si>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</si>
  <si>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</si>
  <si>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</si>
  <si>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</si>
  <si>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</si>
  <si>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</si>
  <si>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</si>
  <si>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</si>
  <si>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</si>
  <si>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</si>
  <si>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</si>
  <si>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</si>
  <si>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</si>
  <si>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</si>
  <si>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</si>
  <si>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</si>
  <si>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</si>
  <si>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</si>
  <si>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</si>
  <si>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</si>
  <si>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</si>
  <si>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</si>
  <si>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</si>
  <si>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</si>
  <si>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</si>
  <si>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</si>
  <si>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</si>
  <si>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</si>
  <si>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</si>
  <si>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</si>
  <si>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</si>
  <si>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</si>
  <si>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</si>
  <si>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</si>
  <si>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</si>
  <si>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</si>
  <si>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</si>
  <si>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</si>
  <si>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</si>
  <si>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</si>
  <si>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</si>
  <si>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</si>
  <si>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</si>
  <si>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</si>
  <si>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</si>
  <si>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</si>
  <si>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</si>
  <si>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</si>
  <si>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</si>
  <si>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</si>
  <si>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</si>
  <si>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</si>
  <si>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</si>
  <si>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</si>
  <si>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</si>
  <si>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</si>
  <si>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</si>
  <si>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</si>
  <si>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</si>
  <si>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</si>
  <si>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</si>
  <si>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</si>
  <si>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</si>
  <si>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</si>
  <si>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</si>
  <si>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</si>
  <si>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</si>
  <si>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</si>
  <si>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</si>
  <si>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</si>
  <si>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</si>
  <si>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</si>
  <si>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</si>
  <si>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</si>
  <si>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</si>
  <si>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</si>
  <si>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</si>
  <si>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</si>
  <si>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</si>
  <si>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</si>
  <si>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</si>
  <si>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</si>
  <si>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</si>
  <si>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</si>
  <si>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</si>
  <si>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</si>
  <si>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</si>
  <si>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</si>
  <si>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</si>
  <si>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</si>
  <si>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</si>
  <si>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</si>
  <si>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</si>
  <si>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</si>
  <si>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</si>
  <si>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</si>
  <si>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</si>
  <si>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</si>
  <si>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</si>
  <si>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</si>
  <si>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</si>
  <si>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</si>
  <si>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</si>
  <si>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</si>
  <si>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</si>
  <si>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</si>
  <si>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</si>
  <si>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</si>
  <si>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</si>
  <si>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</si>
  <si>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</si>
  <si>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</si>
  <si>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</si>
  <si>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</si>
  <si>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</si>
  <si>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</si>
  <si>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</si>
  <si>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</si>
  <si>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</si>
  <si>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</si>
  <si>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</si>
  <si>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</si>
  <si>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</si>
  <si>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</si>
  <si>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</si>
  <si>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</si>
  <si>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</si>
  <si>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</si>
  <si>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</si>
  <si>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</si>
  <si>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</si>
  <si>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</si>
  <si>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</si>
  <si>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</si>
  <si>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</si>
  <si>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</si>
  <si>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</si>
  <si>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</si>
  <si>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</si>
  <si>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</si>
  <si>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</si>
  <si>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</si>
  <si>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</si>
  <si>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</si>
  <si>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</si>
  <si>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</si>
  <si>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</si>
  <si>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</si>
  <si>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</si>
  <si>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</si>
  <si>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</si>
  <si>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</si>
  <si>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</si>
  <si>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</si>
  <si>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</si>
  <si>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</si>
  <si>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</si>
  <si>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</si>
  <si>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</si>
  <si>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</si>
  <si>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</si>
  <si>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</si>
  <si>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</si>
  <si>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</si>
  <si>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</si>
  <si>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</si>
  <si>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</si>
  <si>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</si>
  <si>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</si>
  <si>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</si>
  <si>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</si>
  <si>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</si>
  <si>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</si>
  <si>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</si>
  <si>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</si>
  <si>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</si>
  <si>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</si>
  <si>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</si>
  <si>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</si>
  <si>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</si>
  <si>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</si>
  <si>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</si>
  <si>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</si>
  <si>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</si>
  <si>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</si>
  <si>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</si>
  <si>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</si>
  <si>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</si>
  <si>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</si>
  <si>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</si>
  <si>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</si>
  <si>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</si>
  <si>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</si>
  <si>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</si>
  <si>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</si>
  <si>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</si>
  <si>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</si>
  <si>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</si>
  <si>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</si>
  <si>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</si>
  <si>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</si>
  <si>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</si>
  <si>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</si>
  <si>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</si>
  <si>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</si>
  <si>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</si>
  <si>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</si>
  <si>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</si>
  <si>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</si>
  <si>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</si>
  <si>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</si>
  <si>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</si>
  <si>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</si>
  <si>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</si>
  <si>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</si>
  <si>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</si>
  <si>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</si>
  <si>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</si>
  <si>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</si>
  <si>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</si>
  <si>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</si>
  <si>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</si>
  <si>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</si>
  <si>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</si>
  <si>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</si>
  <si>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</si>
  <si>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</si>
  <si>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</si>
  <si>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</si>
  <si>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</si>
  <si>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</si>
  <si>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</si>
  <si>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</si>
  <si>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</si>
  <si>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</si>
  <si>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</si>
  <si>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</si>
  <si>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</si>
  <si>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</si>
  <si>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</si>
  <si>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</si>
  <si>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</si>
  <si>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</si>
  <si>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</si>
  <si>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</si>
  <si>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</si>
  <si>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</si>
  <si>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</si>
  <si>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</si>
  <si>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</si>
  <si>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</si>
  <si>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</si>
  <si>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</si>
  <si>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</si>
  <si>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</si>
  <si>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</si>
  <si>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</si>
  <si>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</si>
  <si>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</si>
  <si>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</si>
  <si>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</si>
  <si>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</si>
  <si>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</si>
  <si>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</si>
  <si>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</si>
  <si>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</si>
  <si>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</si>
  <si>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</si>
  <si>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</si>
  <si>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</si>
  <si>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</si>
  <si>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</si>
  <si>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</si>
  <si>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</si>
  <si>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</si>
  <si>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</si>
  <si>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</si>
  <si>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</si>
  <si>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</si>
  <si>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</si>
  <si>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</si>
  <si>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</si>
  <si>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</si>
  <si>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</si>
  <si>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</si>
  <si>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</si>
  <si>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</si>
  <si>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</si>
  <si>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</si>
  <si>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</si>
  <si>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</si>
  <si>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</si>
  <si>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</si>
  <si>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</si>
  <si>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</si>
  <si>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</si>
  <si>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</si>
  <si>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</si>
  <si>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</si>
  <si>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</si>
  <si>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</si>
  <si>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</si>
  <si>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</si>
  <si>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</si>
  <si>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</si>
  <si>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</si>
  <si>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</si>
  <si>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</si>
  <si>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</si>
  <si>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</si>
  <si>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</si>
  <si>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</si>
  <si>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</si>
  <si>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</si>
  <si>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</si>
  <si>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</si>
  <si>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</si>
  <si>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</si>
  <si>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</si>
  <si>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</si>
  <si>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</si>
  <si>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</si>
  <si>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</si>
  <si>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</si>
  <si>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</si>
  <si>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</si>
  <si>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</si>
  <si>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</si>
  <si>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</si>
  <si>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</si>
  <si>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</si>
  <si>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</si>
  <si>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</si>
  <si>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</si>
  <si>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</si>
  <si>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</si>
  <si>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</si>
  <si>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</si>
  <si>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</si>
  <si>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</si>
  <si>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</si>
  <si>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</si>
  <si>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</si>
  <si>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</si>
  <si>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</si>
  <si>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</si>
  <si>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</si>
  <si>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</si>
  <si>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</si>
  <si>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</si>
  <si>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</si>
  <si>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</si>
  <si>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</si>
  <si>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</si>
  <si>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</si>
  <si>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</si>
  <si>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</si>
  <si>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</si>
  <si>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</si>
  <si>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</si>
  <si>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</si>
  <si>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</si>
  <si>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</si>
  <si>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</si>
  <si>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</si>
  <si>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</si>
  <si>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</si>
  <si>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</si>
  <si>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</si>
  <si>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</si>
  <si>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</si>
  <si>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</si>
  <si>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</si>
  <si>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</si>
  <si>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</si>
  <si>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</si>
  <si>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</si>
  <si>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</si>
  <si>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</si>
  <si>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</si>
  <si>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</si>
  <si>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</si>
  <si>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</si>
  <si>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</si>
  <si>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</si>
  <si>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</si>
  <si>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</si>
  <si>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</si>
  <si>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</si>
  <si>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</si>
  <si>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</si>
  <si>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</si>
  <si>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</si>
  <si>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</si>
  <si>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</si>
  <si>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</si>
  <si>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</si>
  <si>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</si>
  <si>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</si>
  <si>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</si>
  <si>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</si>
  <si>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</si>
  <si>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</si>
  <si>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</si>
  <si>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</si>
  <si>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</si>
  <si>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</si>
  <si>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</si>
  <si>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</si>
  <si>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</si>
  <si>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</si>
  <si>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</si>
  <si>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</si>
  <si>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</si>
  <si>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</si>
  <si>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</si>
  <si>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</si>
  <si>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</si>
  <si>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</si>
  <si>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</si>
  <si>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</si>
  <si>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</si>
  <si>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</si>
  <si>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</si>
  <si>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</si>
  <si>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</si>
  <si>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</si>
  <si>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</si>
  <si>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</si>
  <si>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</si>
  <si>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</si>
  <si>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</si>
  <si>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</si>
  <si>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</si>
  <si>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</si>
  <si>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</si>
  <si>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</si>
  <si>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</si>
  <si>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</si>
  <si>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</si>
  <si>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</si>
  <si>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</si>
  <si>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</si>
  <si>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</si>
  <si>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</si>
  <si>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</si>
  <si>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</si>
  <si>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</si>
  <si>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</si>
  <si>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</si>
  <si>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</si>
  <si>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</si>
  <si>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</si>
  <si>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</si>
  <si>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</si>
  <si>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</si>
  <si>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</si>
  <si>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</si>
  <si>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</si>
  <si>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</si>
  <si>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</si>
  <si>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</si>
  <si>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</si>
  <si>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</si>
  <si>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</si>
  <si>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</si>
  <si>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</si>
  <si>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</si>
  <si>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</si>
  <si>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</si>
  <si>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</si>
  <si>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</si>
  <si>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</si>
  <si>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</si>
  <si>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</si>
  <si>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</si>
  <si>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</si>
  <si>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</si>
  <si>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</si>
  <si>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</si>
  <si>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</si>
  <si>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</si>
  <si>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</si>
  <si>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</si>
  <si>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</si>
  <si>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</si>
  <si>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</si>
  <si>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</si>
  <si>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</si>
  <si>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</si>
  <si>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</si>
  <si>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</si>
  <si>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</si>
  <si>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</si>
  <si>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</si>
  <si>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</si>
  <si>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</si>
  <si>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</si>
  <si>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</si>
  <si>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</si>
  <si>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</si>
  <si>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</si>
  <si>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</si>
  <si>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</si>
  <si>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</si>
  <si>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</si>
  <si>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</si>
  <si>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</si>
  <si>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</si>
  <si>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</si>
  <si>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</si>
  <si>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</si>
  <si>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</si>
  <si>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</si>
  <si>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</si>
  <si>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</si>
  <si>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</si>
  <si>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</si>
  <si>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</si>
  <si>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</si>
  <si>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</si>
  <si>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</si>
  <si>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</si>
  <si>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</si>
  <si>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</si>
  <si>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</si>
  <si>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</si>
  <si>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</si>
  <si>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</si>
  <si>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</si>
  <si>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</si>
  <si>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</si>
  <si>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</si>
  <si>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</si>
  <si>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</si>
  <si>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</si>
  <si>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</si>
  <si>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</si>
  <si>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</si>
  <si>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</si>
  <si>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</si>
  <si>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</si>
  <si>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</si>
  <si>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</si>
  <si>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</si>
  <si>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</si>
  <si>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</si>
  <si>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</si>
  <si>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</si>
  <si>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</si>
  <si>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</si>
  <si>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</si>
  <si>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</si>
  <si>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</si>
  <si>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</si>
  <si>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</si>
  <si>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</si>
  <si>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</si>
  <si>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</si>
  <si>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</si>
  <si>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</si>
  <si>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</si>
  <si>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</si>
  <si>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</si>
  <si>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</si>
  <si>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</si>
  <si>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</si>
  <si>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</si>
  <si>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</si>
  <si>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</si>
  <si>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</si>
  <si>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</si>
  <si>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</si>
  <si>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</si>
  <si>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</si>
  <si>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</si>
  <si>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</si>
  <si>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</si>
  <si>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</si>
  <si>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</si>
  <si>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</si>
  <si>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</si>
  <si>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</si>
  <si>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</si>
  <si>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</si>
  <si>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</si>
  <si>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</si>
  <si>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</si>
  <si>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</si>
  <si>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</si>
  <si>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</si>
  <si>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</si>
  <si>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</si>
  <si>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</si>
  <si>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</si>
  <si>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</si>
  <si>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</si>
  <si>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</si>
  <si>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</si>
  <si>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</si>
  <si>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</si>
  <si>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</si>
  <si>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</si>
  <si>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</si>
  <si>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</si>
  <si>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</si>
  <si>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</si>
  <si>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</si>
  <si>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</si>
  <si>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</si>
  <si>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</si>
  <si>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</si>
  <si>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</si>
  <si>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</si>
  <si>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</si>
  <si>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</si>
  <si>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</si>
  <si>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</si>
  <si>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</si>
  <si>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</si>
  <si>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</si>
  <si>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</si>
  <si>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</si>
  <si>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</si>
  <si>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</si>
  <si>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</si>
  <si>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</si>
  <si>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</si>
  <si>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</si>
  <si>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</si>
  <si>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</si>
  <si>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</si>
  <si>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</si>
  <si>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</si>
  <si>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</si>
  <si>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</si>
  <si>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</si>
  <si>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</si>
  <si>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</si>
  <si>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</si>
  <si>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</si>
  <si>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</si>
  <si>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</si>
  <si>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</si>
  <si>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</si>
  <si>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</si>
  <si>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</si>
  <si>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</si>
  <si>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</si>
  <si>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</si>
  <si>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</si>
  <si>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</si>
  <si>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</si>
  <si>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</si>
  <si>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</si>
  <si>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</si>
  <si>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</si>
  <si>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</si>
  <si>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</si>
  <si>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</si>
  <si>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</si>
  <si>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</si>
  <si>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</si>
  <si>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</si>
  <si>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</si>
  <si>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</si>
  <si>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</si>
  <si>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</si>
  <si>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</si>
  <si>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</si>
  <si>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</si>
  <si>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</si>
  <si>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</si>
  <si>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</si>
  <si>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</si>
  <si>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</si>
  <si>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</si>
  <si>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</si>
  <si>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</si>
  <si>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</si>
  <si>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</si>
  <si>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</si>
  <si>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</si>
  <si>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</si>
  <si>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</si>
  <si>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</si>
  <si>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</si>
  <si>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</si>
  <si>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</si>
  <si>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</si>
  <si>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</si>
  <si>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</si>
  <si>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</si>
  <si>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</si>
  <si>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</si>
  <si>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</si>
  <si>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</si>
  <si>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</si>
  <si>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</si>
  <si>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</si>
  <si>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</si>
  <si>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</si>
  <si>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</si>
  <si>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</si>
  <si>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</si>
  <si>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</si>
  <si>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</si>
  <si>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</si>
  <si>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</si>
  <si>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</si>
  <si>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</si>
  <si>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</si>
  <si>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</si>
  <si>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</si>
  <si>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</si>
  <si>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</si>
  <si>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</si>
  <si>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</si>
  <si>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</si>
  <si>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</si>
  <si>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</si>
  <si>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</si>
  <si>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</si>
  <si>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</si>
  <si>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</si>
  <si>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</si>
  <si>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</si>
  <si>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</si>
  <si>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</si>
  <si>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</si>
  <si>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</si>
  <si>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</si>
  <si>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</si>
  <si>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</si>
  <si>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</si>
  <si>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</si>
  <si>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</si>
  <si>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</si>
  <si>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</si>
  <si>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</si>
  <si>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</si>
  <si>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</si>
  <si>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</si>
  <si>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</si>
  <si>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</si>
  <si>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</si>
  <si>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</si>
  <si>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</si>
  <si>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</si>
  <si>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</si>
  <si>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</si>
  <si>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</si>
  <si>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</si>
  <si>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</si>
  <si>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</si>
  <si>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</si>
  <si>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</si>
  <si>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</si>
  <si>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</si>
  <si>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</si>
  <si>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</si>
  <si>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</si>
  <si>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</si>
  <si>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</si>
  <si>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</si>
  <si>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</si>
  <si>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</si>
  <si>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</si>
  <si>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</si>
  <si>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</si>
  <si>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</si>
  <si>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</si>
  <si>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</si>
  <si>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</si>
  <si>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</si>
  <si>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</si>
  <si>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</si>
  <si>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</si>
  <si>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</si>
  <si>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</si>
  <si>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</si>
  <si>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</si>
  <si>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</si>
  <si>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</si>
  <si>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</si>
  <si>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</si>
  <si>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</si>
  <si>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</si>
  <si>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</si>
  <si>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</si>
  <si>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</si>
  <si>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</si>
  <si>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</si>
  <si>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</si>
  <si>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</si>
  <si>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</si>
  <si>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</si>
  <si>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</si>
  <si>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</si>
  <si>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</si>
  <si>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</si>
  <si>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</si>
  <si>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</si>
  <si>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</si>
  <si>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</si>
  <si>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</si>
  <si>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</si>
  <si>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</si>
  <si>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</si>
  <si>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</si>
  <si>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</si>
  <si>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</si>
  <si>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</si>
  <si>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</si>
  <si>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</si>
  <si>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</si>
  <si>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</si>
  <si>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</si>
  <si>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</si>
  <si>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</si>
  <si>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</si>
  <si>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</si>
  <si>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</si>
  <si>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</si>
  <si>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</si>
  <si>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</si>
  <si>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</si>
  <si>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</si>
  <si>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</si>
  <si>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</si>
  <si>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</si>
  <si>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</si>
  <si>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</si>
  <si>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</si>
  <si>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</si>
  <si>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</si>
  <si>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</si>
  <si>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</si>
  <si>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</si>
  <si>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</si>
  <si>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</si>
  <si>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</si>
  <si>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</si>
  <si>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</si>
  <si>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</si>
  <si>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</si>
  <si>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</si>
  <si>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</si>
  <si>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</si>
  <si>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</si>
  <si>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</si>
  <si>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</si>
  <si>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</si>
  <si>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</si>
  <si>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</si>
  <si>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</si>
  <si>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</si>
  <si>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</si>
  <si>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</si>
  <si>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</si>
  <si>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</si>
  <si>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</si>
  <si>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</si>
  <si>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</si>
  <si>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</si>
  <si>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</si>
  <si>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</si>
  <si>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</si>
  <si>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</si>
  <si>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</si>
  <si>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</si>
  <si>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</si>
  <si>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</si>
  <si>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</si>
  <si>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</si>
  <si>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</si>
  <si>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</si>
  <si>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</si>
  <si>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</si>
  <si>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</si>
  <si>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</si>
  <si>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</si>
  <si>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</si>
  <si>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</si>
  <si>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</si>
  <si>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</si>
  <si>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</si>
  <si>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</si>
  <si>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</si>
  <si>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</si>
  <si>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</si>
  <si>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</si>
  <si>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</si>
  <si>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</si>
  <si>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</si>
  <si>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</si>
  <si>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</si>
  <si>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</si>
  <si>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</si>
  <si>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</si>
  <si>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</si>
  <si>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</si>
  <si>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</si>
  <si>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</si>
  <si>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</si>
  <si>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</si>
  <si>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</si>
  <si>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</si>
  <si>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</si>
  <si>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</si>
  <si>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</si>
  <si>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</si>
  <si>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</si>
  <si>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</si>
  <si>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</si>
  <si>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</si>
  <si>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</si>
  <si>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</si>
  <si>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</si>
  <si>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</si>
  <si>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</si>
  <si>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</si>
  <si>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</si>
  <si>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</si>
  <si>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</si>
  <si>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</si>
  <si>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</si>
  <si>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</si>
  <si>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</si>
  <si>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</si>
  <si>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</si>
  <si>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</si>
  <si>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</si>
  <si>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</si>
  <si>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</si>
  <si>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</si>
  <si>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</si>
  <si>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</si>
  <si>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</si>
  <si>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</si>
  <si>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</si>
  <si>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</si>
  <si>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</si>
  <si>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</si>
  <si>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</si>
  <si>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</si>
  <si>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</si>
  <si>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</si>
  <si>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</si>
  <si>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</si>
  <si>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</si>
  <si>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</si>
  <si>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</si>
  <si>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</si>
  <si>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</si>
  <si>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</si>
  <si>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</si>
  <si>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</si>
  <si>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</si>
  <si>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</si>
  <si>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</si>
  <si>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</si>
  <si>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</si>
  <si>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</si>
  <si>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</si>
  <si>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</si>
  <si>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</si>
  <si>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</si>
  <si>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</si>
  <si>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</si>
  <si>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</si>
  <si>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</si>
  <si>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</si>
  <si>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</si>
  <si>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</si>
  <si>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</si>
  <si>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</si>
  <si>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</si>
  <si>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</si>
  <si>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</si>
  <si>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</si>
  <si>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</si>
  <si>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</si>
  <si>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</si>
  <si>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</si>
  <si>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</si>
  <si>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</si>
  <si>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</si>
  <si>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</si>
  <si>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</si>
  <si>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</si>
  <si>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</si>
  <si>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</si>
  <si>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</si>
  <si>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</si>
  <si>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9 HAZİRAN YILDIZ DEPO</t>
  </si>
  <si>
    <t>OPTIMUM TEŞHİR</t>
  </si>
  <si>
    <t>23 HAZİRAN BEKLEYEN</t>
  </si>
  <si>
    <t>25 HAZİRAN HOROZ</t>
  </si>
  <si>
    <t>OPTIMUM HOROZ STOK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</si>
</sst>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40">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0"/>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69"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9.28515625" style="127" customWidth="1"/>
    <col min="16" max="16" width="8.5703125" style="112" customWidth="1"/>
    <col min="17" max="17" width="12.5703125" style="51" bestFit="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7.5703125" style="39" customWidth="1"/>
  </cols>
  <sheetData>
    <row r="1" spans="1:29" s="7" customFormat="1" ht="69" customHeight="1">
      <c r="A1" s="104" t="s">
        <v>0</v>
      </c>
      <c r="B1" s="104" t="s">
        <v>1</v>
      </c>
      <c r="C1" s="2" t="s">
        <v>1784</v>
      </c>
      <c r="D1" s="45" t="s">
        <v>1780</v>
      </c>
      <c r="E1" s="3" t="s">
        <v>1781</v>
      </c>
      <c r="F1" s="96" t="s">
        <v>1341</v>
      </c>
      <c r="G1" s="4" t="s">
        <v>2</v>
      </c>
      <c r="H1" s="4" t="s">
        <v>3</v>
      </c>
      <c r="I1" s="5" t="s">
        <v>1310</v>
      </c>
      <c r="J1" s="5" t="s">
        <v>4</v>
      </c>
      <c r="K1" s="93" t="s">
        <v>5</v>
      </c>
      <c r="L1" s="5" t="s">
        <v>6</v>
      </c>
      <c r="M1" s="6" t="s">
        <v>1782</v>
      </c>
      <c r="N1" s="6" t="s">
        <v>7</v>
      </c>
      <c r="O1" s="123" t="s">
        <v>1783</v>
      </c>
      <c r="P1" s="108" t="s">
        <v>1546</v>
      </c>
      <c r="Q1" s="165" t="s">
        <v>1690</v>
      </c>
      <c r="R1" s="73" t="s">
        <v>8</v>
      </c>
      <c r="S1" s="43" t="s">
        <v>9</v>
      </c>
      <c r="T1" s="43" t="s">
        <v>1689</v>
      </c>
      <c r="U1" s="173" t="s">
        <v>1659</v>
      </c>
      <c r="V1" s="165" t="s">
        <v>1658</v>
      </c>
      <c r="W1" s="174" t="s">
        <v>1779</v>
      </c>
      <c r="X1" s="101" t="s">
        <v>466</v>
      </c>
      <c r="Y1" s="181" t="s">
        <v>1785</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12</v>
      </c>
      <c r="D4" s="8"/>
      <c r="E4" s="9"/>
      <c r="F4" s="9"/>
      <c r="G4" s="10"/>
      <c r="H4" s="10"/>
      <c r="I4" s="11">
        <v>1</v>
      </c>
      <c r="J4" s="11">
        <v>1</v>
      </c>
      <c r="K4" s="10">
        <v>2</v>
      </c>
      <c r="L4" s="11">
        <v>1</v>
      </c>
      <c r="M4" s="170">
        <v>1</v>
      </c>
      <c r="N4" s="124">
        <f t="shared" si="0"/>
        <v>18</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16</v>
      </c>
      <c r="D5" s="8"/>
      <c r="E5" s="9"/>
      <c r="F5" s="9"/>
      <c r="G5" s="10"/>
      <c r="H5" s="10"/>
      <c r="I5" s="11">
        <v>1</v>
      </c>
      <c r="J5" s="11"/>
      <c r="K5" s="10">
        <v>2</v>
      </c>
      <c r="L5" s="11"/>
      <c r="M5" s="170"/>
      <c r="N5" s="124">
        <f t="shared" si="0"/>
        <v>19</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v>5</v>
      </c>
      <c r="D8" s="8"/>
      <c r="E8" s="9"/>
      <c r="F8" s="9"/>
      <c r="G8" s="10"/>
      <c r="H8" s="10"/>
      <c r="I8" s="11"/>
      <c r="J8" s="11"/>
      <c r="K8" s="10"/>
      <c r="L8" s="11"/>
      <c r="M8" s="170"/>
      <c r="N8" s="124">
        <f t="shared" si="0"/>
        <v>5</v>
      </c>
      <c r="O8" s="125"/>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8</v>
      </c>
      <c r="D11" s="8"/>
      <c r="E11" s="9"/>
      <c r="F11" s="9"/>
      <c r="G11" s="10"/>
      <c r="H11" s="10"/>
      <c r="I11" s="11"/>
      <c r="J11" s="11"/>
      <c r="K11" s="10"/>
      <c r="L11" s="11"/>
      <c r="M11" s="170"/>
      <c r="N11" s="124">
        <f t="shared" si="0"/>
        <v>8</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1</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55000</v>
      </c>
      <c r="S15" s="12">
        <v>57200</v>
      </c>
      <c r="T15" s="12">
        <v>59400</v>
      </c>
      <c r="U15" s="12">
        <v>60225</v>
      </c>
      <c r="V15" s="13"/>
      <c r="W15" s="175"/>
      <c r="X15" s="14">
        <v>250</v>
      </c>
      <c r="Y15" s="10"/>
    </row>
    <row r="16" spans="1:29">
      <c r="A16" s="22" t="s">
        <v>22</v>
      </c>
      <c r="B16" s="50" t="str">
        <f>IFERROR(HYPERLINK(VLOOKUP(A16,ÜRÜNLER!A:C,3,FALSE),VLOOKUP(A16,ÜRÜNLER!A:B,2,FALSE)),"")</f>
        <v>iQ500 Üstten Donduruculu Kulplu Buzdolabı, 86cm, Inox</v>
      </c>
      <c r="C16" s="8">
        <v>4</v>
      </c>
      <c r="D16" s="8"/>
      <c r="E16" s="9">
        <v>1</v>
      </c>
      <c r="F16" s="9"/>
      <c r="G16" s="10"/>
      <c r="H16" s="10"/>
      <c r="I16" s="11">
        <v>1</v>
      </c>
      <c r="J16" s="11">
        <v>1</v>
      </c>
      <c r="K16" s="10"/>
      <c r="L16" s="11"/>
      <c r="M16" s="170"/>
      <c r="N16" s="124">
        <f t="shared" si="0"/>
        <v>7</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5</v>
      </c>
      <c r="D17" s="8"/>
      <c r="E17" s="9"/>
      <c r="F17" s="9"/>
      <c r="G17" s="10"/>
      <c r="H17" s="10"/>
      <c r="I17" s="11"/>
      <c r="J17" s="11"/>
      <c r="K17" s="10"/>
      <c r="L17" s="11"/>
      <c r="M17" s="170"/>
      <c r="N17" s="124">
        <f t="shared" si="0"/>
        <v>5</v>
      </c>
      <c r="O17" s="125"/>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94</v>
      </c>
      <c r="D20" s="8"/>
      <c r="E20" s="9">
        <v>4</v>
      </c>
      <c r="F20" s="9">
        <v>1</v>
      </c>
      <c r="G20" s="10"/>
      <c r="H20" s="10"/>
      <c r="I20" s="11">
        <v>1</v>
      </c>
      <c r="J20" s="11">
        <v>1</v>
      </c>
      <c r="K20" s="10">
        <v>1</v>
      </c>
      <c r="L20" s="11">
        <v>1</v>
      </c>
      <c r="M20" s="170"/>
      <c r="N20" s="124">
        <f t="shared" si="0"/>
        <v>103</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82</v>
      </c>
      <c r="D21" s="8"/>
      <c r="E21" s="9"/>
      <c r="F21" s="9"/>
      <c r="G21" s="10"/>
      <c r="H21" s="10"/>
      <c r="I21" s="11">
        <v>1</v>
      </c>
      <c r="J21" s="11"/>
      <c r="K21" s="10">
        <v>2</v>
      </c>
      <c r="L21" s="11"/>
      <c r="M21" s="170">
        <v>1</v>
      </c>
      <c r="N21" s="124">
        <f t="shared" si="0"/>
        <v>86</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1561</v>
      </c>
      <c r="R27" s="19">
        <v>48000</v>
      </c>
      <c r="S27" s="12">
        <v>49920</v>
      </c>
      <c r="T27" s="12">
        <v>51840</v>
      </c>
      <c r="U27" s="12">
        <v>52560</v>
      </c>
      <c r="V27" s="13"/>
      <c r="W27" s="175"/>
      <c r="X27" s="102">
        <v>500</v>
      </c>
      <c r="Y27" s="10"/>
    </row>
    <row r="28" spans="1:29">
      <c r="A28" s="22" t="s">
        <v>1679</v>
      </c>
      <c r="B28" s="50" t="str">
        <f>IFERROR(HYPERLINK(VLOOKUP(A28,ÜRÜNLER!A:C,3,FALSE),VLOOKUP(A28,ÜRÜNLER!A:B,2,FALSE)),"")</f>
        <v>iQ300 Alttan Donduruculu Kulpsuz Buzdolabı, 70cm, Inox (Wi-Fi)</v>
      </c>
      <c r="C28" s="8">
        <v>3</v>
      </c>
      <c r="D28" s="8"/>
      <c r="E28" s="9"/>
      <c r="F28" s="9"/>
      <c r="G28" s="10"/>
      <c r="H28" s="10"/>
      <c r="I28" s="11">
        <v>1</v>
      </c>
      <c r="J28" s="11"/>
      <c r="K28" s="10"/>
      <c r="L28" s="11"/>
      <c r="M28" s="170"/>
      <c r="N28" s="124">
        <f t="shared" si="0"/>
        <v>4</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1676</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43</v>
      </c>
      <c r="D31" s="8"/>
      <c r="E31" s="9"/>
      <c r="F31" s="9"/>
      <c r="G31" s="10"/>
      <c r="H31" s="10"/>
      <c r="I31" s="11">
        <v>1</v>
      </c>
      <c r="J31" s="11">
        <v>1</v>
      </c>
      <c r="K31" s="10">
        <v>3</v>
      </c>
      <c r="L31" s="11">
        <v>1</v>
      </c>
      <c r="M31" s="170">
        <v>1</v>
      </c>
      <c r="N31" s="124">
        <f t="shared" si="0"/>
        <v>50</v>
      </c>
      <c r="O31" s="125">
        <v>1</v>
      </c>
      <c r="P31" s="109"/>
      <c r="Q31" s="51">
        <v>84280.725891198905</v>
      </c>
      <c r="R31" s="18">
        <v>80066.689596638957</v>
      </c>
      <c r="S31" s="12">
        <v>83269.357180504521</v>
      </c>
      <c r="T31" s="12">
        <v>86472.024764370071</v>
      </c>
      <c r="U31" s="12">
        <v>87673.025108319664</v>
      </c>
      <c r="V31" s="13">
        <v>14850.493333059392</v>
      </c>
      <c r="W31" s="175"/>
      <c r="X31" s="14"/>
      <c r="Y31" s="10">
        <v>0</v>
      </c>
      <c r="Z31" s="20"/>
    </row>
    <row r="32" spans="1:29" s="20" customFormat="1">
      <c r="A32" s="22" t="s">
        <v>39</v>
      </c>
      <c r="B32" s="50" t="str">
        <f>IFERROR(HYPERLINK(VLOOKUP(A32,ÜRÜNLER!A:C,3,FALSE),VLOOKUP(A32,ÜRÜNLER!A:B,2,FALSE)),"")</f>
        <v>iQ500 Alttan Donduruculu Kulplu Buzdolabı, 75cm, Beyaz</v>
      </c>
      <c r="C32" s="8">
        <v>49</v>
      </c>
      <c r="D32" s="8"/>
      <c r="E32" s="9"/>
      <c r="F32" s="9"/>
      <c r="G32" s="10"/>
      <c r="H32" s="10"/>
      <c r="I32" s="11">
        <v>1</v>
      </c>
      <c r="J32" s="11"/>
      <c r="K32" s="10">
        <v>1</v>
      </c>
      <c r="L32" s="11"/>
      <c r="M32" s="170"/>
      <c r="N32" s="124">
        <f t="shared" si="0"/>
        <v>51</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39</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33</v>
      </c>
      <c r="D34" s="8"/>
      <c r="E34" s="9"/>
      <c r="F34" s="9">
        <v>1</v>
      </c>
      <c r="G34" s="10"/>
      <c r="H34" s="10"/>
      <c r="I34" s="11">
        <v>1</v>
      </c>
      <c r="J34" s="11"/>
      <c r="K34" s="10">
        <v>2</v>
      </c>
      <c r="L34" s="11"/>
      <c r="M34" s="170"/>
      <c r="N34" s="124">
        <f t="shared" si="0"/>
        <v>37</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42</v>
      </c>
      <c r="D35" s="8"/>
      <c r="E35" s="9"/>
      <c r="F35" s="9"/>
      <c r="G35" s="10"/>
      <c r="H35" s="10"/>
      <c r="I35" s="11">
        <v>1</v>
      </c>
      <c r="J35" s="11">
        <v>1</v>
      </c>
      <c r="K35" s="10"/>
      <c r="L35" s="11">
        <v>1</v>
      </c>
      <c r="M35" s="170"/>
      <c r="N35" s="124">
        <f t="shared" si="0"/>
        <v>45</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40</v>
      </c>
      <c r="D36" s="8"/>
      <c r="E36" s="9">
        <v>2</v>
      </c>
      <c r="F36" s="9">
        <v>1</v>
      </c>
      <c r="G36" s="10"/>
      <c r="H36" s="10"/>
      <c r="I36" s="11">
        <v>1</v>
      </c>
      <c r="J36" s="11">
        <v>1</v>
      </c>
      <c r="K36" s="10"/>
      <c r="L36" s="11">
        <v>1</v>
      </c>
      <c r="M36" s="170"/>
      <c r="N36" s="124">
        <f t="shared" si="0"/>
        <v>46</v>
      </c>
      <c r="O36" s="125">
        <v>1</v>
      </c>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20</v>
      </c>
      <c r="D37" s="8"/>
      <c r="E37" s="9">
        <v>1</v>
      </c>
      <c r="F37" s="9"/>
      <c r="G37" s="10"/>
      <c r="H37" s="10"/>
      <c r="I37" s="11">
        <v>1</v>
      </c>
      <c r="J37" s="11"/>
      <c r="K37" s="10">
        <v>3</v>
      </c>
      <c r="L37" s="11"/>
      <c r="M37" s="170">
        <v>1</v>
      </c>
      <c r="N37" s="124">
        <f t="shared" si="0"/>
        <v>26</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164</v>
      </c>
      <c r="D38" s="8"/>
      <c r="E38" s="9">
        <v>1</v>
      </c>
      <c r="F38" s="9">
        <v>2</v>
      </c>
      <c r="G38" s="10"/>
      <c r="H38" s="10"/>
      <c r="I38" s="11">
        <v>1</v>
      </c>
      <c r="J38" s="11">
        <v>1</v>
      </c>
      <c r="K38" s="10">
        <v>1</v>
      </c>
      <c r="L38" s="11">
        <v>1</v>
      </c>
      <c r="M38" s="170">
        <v>1</v>
      </c>
      <c r="N38" s="124">
        <f t="shared" si="0"/>
        <v>172</v>
      </c>
      <c r="O38" s="125"/>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14</v>
      </c>
      <c r="D39" s="8"/>
      <c r="E39" s="9"/>
      <c r="F39" s="9">
        <v>1</v>
      </c>
      <c r="G39" s="10"/>
      <c r="H39" s="10"/>
      <c r="I39" s="11">
        <v>1</v>
      </c>
      <c r="J39" s="11"/>
      <c r="K39" s="10"/>
      <c r="L39" s="11"/>
      <c r="M39" s="170">
        <v>1</v>
      </c>
      <c r="N39" s="124">
        <f t="shared" si="0"/>
        <v>17</v>
      </c>
      <c r="O39" s="125"/>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20</v>
      </c>
      <c r="D40" s="8"/>
      <c r="E40" s="9"/>
      <c r="F40" s="9">
        <v>1</v>
      </c>
      <c r="G40" s="10"/>
      <c r="H40" s="10"/>
      <c r="I40" s="11"/>
      <c r="J40" s="11">
        <v>1</v>
      </c>
      <c r="K40" s="10"/>
      <c r="L40" s="11"/>
      <c r="M40" s="170"/>
      <c r="N40" s="124">
        <f t="shared" si="0"/>
        <v>22</v>
      </c>
      <c r="O40" s="125">
        <v>1</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78</v>
      </c>
      <c r="D41" s="8"/>
      <c r="E41" s="9"/>
      <c r="F41" s="9"/>
      <c r="G41" s="10"/>
      <c r="H41" s="10"/>
      <c r="I41" s="11">
        <v>1</v>
      </c>
      <c r="J41" s="11"/>
      <c r="K41" s="10"/>
      <c r="L41" s="11">
        <v>1</v>
      </c>
      <c r="M41" s="170"/>
      <c r="N41" s="124">
        <f t="shared" si="0"/>
        <v>80</v>
      </c>
      <c r="O41" s="125">
        <v>2</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174</v>
      </c>
      <c r="D43" s="8"/>
      <c r="E43" s="9"/>
      <c r="F43" s="9">
        <v>1</v>
      </c>
      <c r="G43" s="10"/>
      <c r="H43" s="10"/>
      <c r="I43" s="11">
        <v>1</v>
      </c>
      <c r="J43" s="11"/>
      <c r="K43" s="10">
        <v>1</v>
      </c>
      <c r="L43" s="11">
        <v>1</v>
      </c>
      <c r="M43" s="170">
        <v>1</v>
      </c>
      <c r="N43" s="124">
        <f t="shared" si="0"/>
        <v>179</v>
      </c>
      <c r="O43" s="125">
        <v>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55</v>
      </c>
      <c r="D44" s="8"/>
      <c r="E44" s="9"/>
      <c r="F44" s="9">
        <v>1</v>
      </c>
      <c r="G44" s="10"/>
      <c r="H44" s="10"/>
      <c r="I44" s="11">
        <v>1</v>
      </c>
      <c r="J44" s="11">
        <v>1</v>
      </c>
      <c r="K44" s="10"/>
      <c r="L44" s="11"/>
      <c r="M44" s="170"/>
      <c r="N44" s="124">
        <f t="shared" si="0"/>
        <v>58</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1144</v>
      </c>
      <c r="O45" s="125">
        <f>SUM(O2:O44)</f>
        <v>65</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95</v>
      </c>
      <c r="D46" s="8"/>
      <c r="E46" s="9"/>
      <c r="F46" s="9"/>
      <c r="G46" s="10"/>
      <c r="H46" s="10"/>
      <c r="I46" s="11"/>
      <c r="J46" s="11">
        <v>1</v>
      </c>
      <c r="K46" s="10"/>
      <c r="L46" s="11"/>
      <c r="M46" s="170"/>
      <c r="N46" s="124">
        <f t="shared" ref="N46:N55" si="1">L46+M46+K46+J46+I46+H46+G46+F46+E46+D46+C46</f>
        <v>96</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92</v>
      </c>
      <c r="D49" s="8"/>
      <c r="E49" s="9"/>
      <c r="F49" s="9">
        <v>1</v>
      </c>
      <c r="G49" s="10"/>
      <c r="H49" s="10"/>
      <c r="I49" s="11">
        <v>1</v>
      </c>
      <c r="J49" s="11">
        <v>1</v>
      </c>
      <c r="K49" s="10"/>
      <c r="L49" s="11"/>
      <c r="M49" s="170">
        <v>1</v>
      </c>
      <c r="N49" s="124">
        <f t="shared" si="1"/>
        <v>96</v>
      </c>
      <c r="O49" s="125"/>
      <c r="P49" s="109" t="s">
        <v>1547</v>
      </c>
      <c r="Q49" s="51">
        <v>25437.803391758665</v>
      </c>
      <c r="R49" s="46">
        <v>25500</v>
      </c>
      <c r="S49" s="12">
        <v>26520</v>
      </c>
      <c r="T49" s="12">
        <v>27540</v>
      </c>
      <c r="U49" s="12">
        <v>27922.5</v>
      </c>
      <c r="V49" s="13">
        <v>1147.5141355603191</v>
      </c>
      <c r="W49" s="175"/>
      <c r="X49" s="14"/>
      <c r="Y49" s="182">
        <v>20</v>
      </c>
    </row>
    <row r="50" spans="1:25">
      <c r="A50" s="130" t="s">
        <v>56</v>
      </c>
      <c r="B50" s="50" t="str">
        <f>IFERROR(HYPERLINK(VLOOKUP(A50,ÜRÜNLER!A:C,3,FALSE),VLOOKUP(A50,ÜRÜNLER!A:B,2,FALSE)),"")</f>
        <v>iQ300 Derin Dondurucu, 176x60cm, Statik, Inox</v>
      </c>
      <c r="C50" s="8">
        <v>75</v>
      </c>
      <c r="D50" s="8"/>
      <c r="E50" s="9">
        <v>2</v>
      </c>
      <c r="F50" s="9">
        <v>3</v>
      </c>
      <c r="G50" s="10"/>
      <c r="H50" s="10"/>
      <c r="I50" s="11">
        <v>1</v>
      </c>
      <c r="J50" s="11"/>
      <c r="K50" s="10">
        <v>1</v>
      </c>
      <c r="L50" s="11">
        <v>1</v>
      </c>
      <c r="M50" s="170"/>
      <c r="N50" s="124">
        <f t="shared" si="1"/>
        <v>83</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93</v>
      </c>
      <c r="D51" s="8"/>
      <c r="E51" s="9">
        <v>5</v>
      </c>
      <c r="F51" s="9"/>
      <c r="G51" s="10"/>
      <c r="H51" s="10"/>
      <c r="I51" s="11">
        <v>1</v>
      </c>
      <c r="J51" s="11">
        <v>1</v>
      </c>
      <c r="K51" s="10"/>
      <c r="L51" s="11"/>
      <c r="M51" s="170">
        <v>1</v>
      </c>
      <c r="N51" s="124">
        <f t="shared" si="1"/>
        <v>101</v>
      </c>
      <c r="O51" s="125"/>
      <c r="P51" s="109" t="s">
        <v>1547</v>
      </c>
      <c r="Q51" s="51">
        <v>28432.702244249125</v>
      </c>
      <c r="R51" s="18">
        <v>28717.029266691618</v>
      </c>
      <c r="S51" s="12">
        <v>29865.710437359281</v>
      </c>
      <c r="T51" s="12">
        <v>31014.391608026948</v>
      </c>
      <c r="U51" s="12">
        <v>31445.14704702732</v>
      </c>
      <c r="V51" s="13">
        <v>1206.4625748276376</v>
      </c>
      <c r="W51" s="175"/>
      <c r="X51" s="27"/>
      <c r="Y51" s="182">
        <v>14</v>
      </c>
    </row>
    <row r="52" spans="1:25">
      <c r="A52" s="130" t="s">
        <v>1334</v>
      </c>
      <c r="B52" s="50" t="str">
        <f>IFERROR(HYPERLINK(VLOOKUP(A52,ÜRÜNLER!A:C,3,FALSE),VLOOKUP(A52,ÜRÜNLER!A:B,2,FALSE)),"")</f>
        <v>iQ300 Derin Dondurucu, 186x60cm, No-Frost, Inox</v>
      </c>
      <c r="C52" s="8">
        <v>2</v>
      </c>
      <c r="D52" s="8"/>
      <c r="E52" s="9"/>
      <c r="F52" s="9"/>
      <c r="G52" s="10"/>
      <c r="H52" s="10"/>
      <c r="I52" s="11"/>
      <c r="J52" s="11"/>
      <c r="K52" s="10"/>
      <c r="L52" s="11"/>
      <c r="M52" s="170"/>
      <c r="N52" s="124">
        <f t="shared" si="1"/>
        <v>2</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84</v>
      </c>
      <c r="D55" s="8"/>
      <c r="E55" s="9">
        <v>3</v>
      </c>
      <c r="F55" s="9"/>
      <c r="G55" s="10"/>
      <c r="H55" s="10"/>
      <c r="I55" s="11"/>
      <c r="J55" s="11"/>
      <c r="K55" s="10"/>
      <c r="L55" s="11"/>
      <c r="M55" s="170"/>
      <c r="N55" s="124">
        <f t="shared" si="1"/>
        <v>87</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476</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2</v>
      </c>
      <c r="D64" s="8"/>
      <c r="E64" s="9"/>
      <c r="F64" s="9"/>
      <c r="G64" s="10"/>
      <c r="H64" s="10"/>
      <c r="I64" s="11"/>
      <c r="J64" s="11">
        <v>1</v>
      </c>
      <c r="K64" s="10"/>
      <c r="L64" s="11">
        <v>1</v>
      </c>
      <c r="M64" s="170"/>
      <c r="N64" s="124">
        <f t="shared" si="2"/>
        <v>4</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10</v>
      </c>
      <c r="D67" s="8"/>
      <c r="E67" s="9">
        <v>2</v>
      </c>
      <c r="F67" s="9">
        <v>1</v>
      </c>
      <c r="G67" s="10"/>
      <c r="H67" s="10"/>
      <c r="I67" s="11"/>
      <c r="J67" s="11"/>
      <c r="K67" s="10">
        <v>1</v>
      </c>
      <c r="L67" s="11"/>
      <c r="M67" s="170"/>
      <c r="N67" s="124">
        <f t="shared" si="2"/>
        <v>14</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65</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32</v>
      </c>
      <c r="D71" s="8"/>
      <c r="E71" s="9"/>
      <c r="F71" s="9">
        <v>6</v>
      </c>
      <c r="G71" s="10"/>
      <c r="H71" s="10"/>
      <c r="I71" s="11">
        <v>1</v>
      </c>
      <c r="J71" s="11">
        <v>1</v>
      </c>
      <c r="K71" s="10"/>
      <c r="L71" s="11">
        <v>1</v>
      </c>
      <c r="M71" s="170">
        <v>1</v>
      </c>
      <c r="N71" s="124">
        <f t="shared" ref="N71:N99" si="3">L71+M71+K71+J71+I71+H71+G71+F71+E71+D71+C71</f>
        <v>42</v>
      </c>
      <c r="O71" s="125">
        <v>47</v>
      </c>
      <c r="P71" s="110"/>
      <c r="Q71" s="51">
        <v>30359.538520147162</v>
      </c>
      <c r="R71" s="52">
        <v>29448.752364542746</v>
      </c>
      <c r="S71" s="12">
        <v>30626.702459124455</v>
      </c>
      <c r="T71" s="12">
        <v>31804.652553706168</v>
      </c>
      <c r="U71" s="12">
        <v>32246.383839174308</v>
      </c>
      <c r="V71" s="13"/>
      <c r="W71" s="175"/>
      <c r="X71" s="27"/>
      <c r="Y71" s="10">
        <v>0</v>
      </c>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18">
        <v>35363.673499354911</v>
      </c>
      <c r="S72" s="12">
        <v>36778.22043932911</v>
      </c>
      <c r="T72" s="12">
        <v>38192.767379303303</v>
      </c>
      <c r="U72" s="12">
        <v>38723.222481793629</v>
      </c>
      <c r="V72" s="13"/>
      <c r="W72" s="175"/>
      <c r="X72" s="27"/>
      <c r="Y72" s="182">
        <v>6</v>
      </c>
    </row>
    <row r="73" spans="1:26">
      <c r="A73" s="86" t="s">
        <v>78</v>
      </c>
      <c r="B73" s="50" t="str">
        <f>IFERROR(HYPERLINK(VLOOKUP(A73,ÜRÜNLER!A:C,3,FALSE),VLOOKUP(A73,ÜRÜNLER!A:B,2,FALSE)),"")</f>
        <v>iQ500 Çamaşır Makinesi, 9kg/1200devir, Gümüş</v>
      </c>
      <c r="C73" s="8">
        <v>26</v>
      </c>
      <c r="D73" s="8"/>
      <c r="E73" s="9"/>
      <c r="F73" s="9"/>
      <c r="G73" s="10"/>
      <c r="H73" s="10"/>
      <c r="I73" s="11">
        <v>1</v>
      </c>
      <c r="J73" s="11">
        <v>1</v>
      </c>
      <c r="K73" s="10"/>
      <c r="L73" s="11">
        <v>1</v>
      </c>
      <c r="M73" s="170"/>
      <c r="N73" s="124">
        <f t="shared" si="3"/>
        <v>29</v>
      </c>
      <c r="O73" s="125">
        <v>51</v>
      </c>
      <c r="P73" s="110"/>
      <c r="Q73" s="51">
        <v>39866.402307730656</v>
      </c>
      <c r="R73" s="18">
        <v>37873.082192344125</v>
      </c>
      <c r="S73" s="19">
        <v>39388.005480037893</v>
      </c>
      <c r="T73" s="12">
        <v>40902.928767731653</v>
      </c>
      <c r="U73" s="12">
        <v>41471.025000616821</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1474</v>
      </c>
      <c r="B77" s="50" t="str">
        <f>IFERROR(HYPERLINK(VLOOKUP(A77,ÜRÜNLER!A:C,3,FALSE),VLOOKUP(A77,ÜRÜNLER!A:B,2,FALSE)),"")</f>
        <v>iQ700 Çamaşır Makinesi, 9kg/1400devir, Beyaz</v>
      </c>
      <c r="C77" s="8"/>
      <c r="D77" s="8"/>
      <c r="E77" s="9"/>
      <c r="F77" s="9"/>
      <c r="G77" s="10"/>
      <c r="H77" s="10"/>
      <c r="I77" s="11">
        <v>1</v>
      </c>
      <c r="J77" s="11"/>
      <c r="K77" s="10"/>
      <c r="L77" s="11"/>
      <c r="M77" s="170"/>
      <c r="N77" s="124">
        <f t="shared" si="3"/>
        <v>1</v>
      </c>
      <c r="O77" s="125"/>
      <c r="P77" s="109"/>
      <c r="Q77" s="72" t="s">
        <v>1561</v>
      </c>
      <c r="R77" s="52">
        <v>46000</v>
      </c>
      <c r="S77" s="12">
        <v>47840</v>
      </c>
      <c r="T77" s="12">
        <v>49680</v>
      </c>
      <c r="U77" s="12">
        <v>50370</v>
      </c>
      <c r="V77" s="13"/>
      <c r="W77" s="175"/>
      <c r="X77" s="14"/>
      <c r="Y77" s="10"/>
    </row>
    <row r="78" spans="1:26">
      <c r="A78" s="22" t="s">
        <v>82</v>
      </c>
      <c r="B78" s="50" t="str">
        <f>IFERROR(HYPERLINK(VLOOKUP(A78,ÜRÜNLER!A:C,3,FALSE),VLOOKUP(A78,ÜRÜNLER!A:B,2,FALSE)),"")</f>
        <v>iQ500 Çamaşır Makinesi, 9kg/1400devir, Beyaz</v>
      </c>
      <c r="C78" s="8">
        <v>12</v>
      </c>
      <c r="D78" s="8"/>
      <c r="E78" s="9"/>
      <c r="F78" s="9"/>
      <c r="G78" s="10"/>
      <c r="H78" s="10"/>
      <c r="I78" s="11"/>
      <c r="J78" s="11">
        <v>1</v>
      </c>
      <c r="K78" s="10"/>
      <c r="L78" s="11"/>
      <c r="M78" s="170"/>
      <c r="N78" s="124">
        <f t="shared" si="3"/>
        <v>13</v>
      </c>
      <c r="O78" s="125"/>
      <c r="P78" s="109"/>
      <c r="Q78" s="51">
        <v>40815.965271312692</v>
      </c>
      <c r="R78" s="18">
        <v>38775.167007747055</v>
      </c>
      <c r="S78" s="12">
        <v>40326.173688056937</v>
      </c>
      <c r="T78" s="12">
        <v>41877.180368366819</v>
      </c>
      <c r="U78" s="12">
        <v>42458.807873483027</v>
      </c>
      <c r="V78" s="13">
        <v>2120.6164341033873</v>
      </c>
      <c r="W78" s="175"/>
      <c r="X78" s="14"/>
      <c r="Y78" s="182">
        <v>12</v>
      </c>
    </row>
    <row r="79" spans="1:26" s="28" customFormat="1">
      <c r="A79" s="22" t="s">
        <v>83</v>
      </c>
      <c r="B79" s="50" t="str">
        <f>IFERROR(HYPERLINK(VLOOKUP(A79,ÜRÜNLER!A:C,3,FALSE),VLOOKUP(A79,ÜRÜNLER!A:B,2,FALSE)),"")</f>
        <v>iQ300 Çamaşır Makinesi, 10kg/1200devir, Beyaz</v>
      </c>
      <c r="C79" s="8">
        <v>10</v>
      </c>
      <c r="D79" s="8"/>
      <c r="E79" s="9"/>
      <c r="F79" s="9"/>
      <c r="G79" s="10"/>
      <c r="H79" s="10"/>
      <c r="I79" s="11">
        <v>1</v>
      </c>
      <c r="J79" s="11">
        <v>1</v>
      </c>
      <c r="K79" s="10">
        <v>1</v>
      </c>
      <c r="L79" s="11"/>
      <c r="M79" s="170"/>
      <c r="N79" s="124">
        <f t="shared" si="3"/>
        <v>13</v>
      </c>
      <c r="O79" s="125"/>
      <c r="P79" s="109"/>
      <c r="Q79" s="72" t="s">
        <v>1561</v>
      </c>
      <c r="R79" s="46">
        <v>35189</v>
      </c>
      <c r="S79" s="12">
        <v>36596.559999999998</v>
      </c>
      <c r="T79" s="12">
        <v>38004.120000000003</v>
      </c>
      <c r="U79" s="12">
        <v>38531.955000000002</v>
      </c>
      <c r="V79" s="13">
        <v>3189.2282693877714</v>
      </c>
      <c r="W79" s="175"/>
      <c r="X79" s="27"/>
      <c r="Y79" s="10"/>
      <c r="Z79"/>
    </row>
    <row r="80" spans="1:26" s="28" customFormat="1">
      <c r="A80" s="22" t="s">
        <v>1439</v>
      </c>
      <c r="B80" s="50" t="str">
        <f>IFERROR(HYPERLINK(VLOOKUP(A80,ÜRÜNLER!A:C,3,FALSE),VLOOKUP(A80,ÜRÜNLER!A:B,2,FALSE)),"")</f>
        <v>iQ300 Çamaşır Makinesi, 10kg/1200devir, Beyaz</v>
      </c>
      <c r="C80" s="8"/>
      <c r="D80" s="8"/>
      <c r="E80" s="9"/>
      <c r="F80" s="9"/>
      <c r="G80" s="10"/>
      <c r="H80" s="10"/>
      <c r="I80" s="11"/>
      <c r="J80" s="11"/>
      <c r="K80" s="10"/>
      <c r="L80" s="11"/>
      <c r="M80" s="170"/>
      <c r="N80" s="124">
        <f t="shared" si="3"/>
        <v>0</v>
      </c>
      <c r="O80" s="125">
        <v>50</v>
      </c>
      <c r="P80" s="109"/>
      <c r="Q80" s="51">
        <v>34090.952564120402</v>
      </c>
      <c r="R80" s="25">
        <v>34090.952564120402</v>
      </c>
      <c r="S80" s="12">
        <v>35454.590666685217</v>
      </c>
      <c r="T80" s="12">
        <v>36818.228769250032</v>
      </c>
      <c r="U80" s="12">
        <v>37329.593057711842</v>
      </c>
      <c r="V80" s="13">
        <v>881.65023853900493</v>
      </c>
      <c r="W80" s="175"/>
      <c r="X80" s="27"/>
      <c r="Y80" s="10"/>
      <c r="Z80"/>
    </row>
    <row r="81" spans="1:26" s="28" customFormat="1">
      <c r="A81" s="86" t="s">
        <v>1544</v>
      </c>
      <c r="B81" s="50" t="str">
        <f>IFERROR(HYPERLINK(VLOOKUP(A81,ÜRÜNLER!A:C,3,FALSE),VLOOKUP(A81,ÜRÜNLER!A:B,2,FALSE)),"")</f>
        <v>iQ500 Çamaşır Makinesi, 10kg/1200devir, Gümüş</v>
      </c>
      <c r="C81" s="8"/>
      <c r="D81" s="8"/>
      <c r="E81" s="9"/>
      <c r="F81" s="9"/>
      <c r="G81" s="10"/>
      <c r="H81" s="10"/>
      <c r="I81" s="11">
        <v>1</v>
      </c>
      <c r="J81" s="11"/>
      <c r="K81" s="10"/>
      <c r="L81" s="11"/>
      <c r="M81" s="170"/>
      <c r="N81" s="124">
        <f t="shared" si="3"/>
        <v>1</v>
      </c>
      <c r="O81" s="125"/>
      <c r="P81" s="109"/>
      <c r="Q81" s="51">
        <v>40527.282115833987</v>
      </c>
      <c r="R81" s="25">
        <v>40527.282115833987</v>
      </c>
      <c r="S81" s="12">
        <v>42148.373400467346</v>
      </c>
      <c r="T81" s="12">
        <v>43769.464685100706</v>
      </c>
      <c r="U81" s="12">
        <v>44377.373916838216</v>
      </c>
      <c r="V81" s="13"/>
      <c r="W81" s="175"/>
      <c r="X81" s="27"/>
      <c r="Y81" s="10"/>
      <c r="Z81"/>
    </row>
    <row r="82" spans="1:26">
      <c r="A82" s="130" t="s">
        <v>84</v>
      </c>
      <c r="B82" s="50" t="str">
        <f>IFERROR(HYPERLINK(VLOOKUP(A82,ÜRÜNLER!A:C,3,FALSE),VLOOKUP(A82,ÜRÜNLER!A:B,2,FALSE)),"")</f>
        <v>iQ500 Çamaşır Makinesi, 10kg/1200devir, i-dos, Beyaz</v>
      </c>
      <c r="C82" s="8"/>
      <c r="D82" s="8"/>
      <c r="E82" s="9"/>
      <c r="F82" s="9"/>
      <c r="G82" s="10"/>
      <c r="H82" s="10"/>
      <c r="I82" s="11"/>
      <c r="J82" s="11"/>
      <c r="K82" s="10">
        <v>1</v>
      </c>
      <c r="L82" s="11"/>
      <c r="M82" s="170"/>
      <c r="N82" s="124">
        <f t="shared" si="3"/>
        <v>1</v>
      </c>
      <c r="O82" s="125"/>
      <c r="P82" s="109"/>
      <c r="Q82" s="72" t="s">
        <v>1561</v>
      </c>
      <c r="R82" s="19">
        <v>27000</v>
      </c>
      <c r="S82" s="12">
        <v>28080</v>
      </c>
      <c r="T82" s="12">
        <v>29160</v>
      </c>
      <c r="U82" s="12">
        <v>29565</v>
      </c>
      <c r="V82" s="13"/>
      <c r="W82" s="175"/>
      <c r="X82" s="102">
        <v>500</v>
      </c>
      <c r="Y82" s="10"/>
    </row>
    <row r="83" spans="1:26">
      <c r="A83" s="130" t="s">
        <v>85</v>
      </c>
      <c r="B83" s="50" t="str">
        <f>IFERROR(HYPERLINK(VLOOKUP(A83,ÜRÜNLER!A:C,3,FALSE),VLOOKUP(A83,ÜRÜNLER!A:B,2,FALSE)),"")</f>
        <v>iQ500 Çamaşır Makinesi, 10kg/1200devir, i-dos, Beyaz</v>
      </c>
      <c r="C83" s="8"/>
      <c r="D83" s="8"/>
      <c r="E83" s="9">
        <v>1</v>
      </c>
      <c r="F83" s="9"/>
      <c r="G83" s="10"/>
      <c r="H83" s="10"/>
      <c r="I83" s="11">
        <v>1</v>
      </c>
      <c r="J83" s="11">
        <v>1</v>
      </c>
      <c r="K83" s="10">
        <v>2</v>
      </c>
      <c r="L83" s="11">
        <v>1</v>
      </c>
      <c r="M83" s="170"/>
      <c r="N83" s="124">
        <f t="shared" si="3"/>
        <v>6</v>
      </c>
      <c r="O83" s="125"/>
      <c r="P83" s="109"/>
      <c r="Q83" s="72" t="s">
        <v>1561</v>
      </c>
      <c r="R83" s="15">
        <v>35000</v>
      </c>
      <c r="S83" s="12">
        <v>36400</v>
      </c>
      <c r="T83" s="12">
        <v>37800</v>
      </c>
      <c r="U83" s="12">
        <v>38325</v>
      </c>
      <c r="V83" s="13"/>
      <c r="W83" s="175"/>
      <c r="X83" s="102">
        <v>500</v>
      </c>
      <c r="Y83" s="10"/>
    </row>
    <row r="84" spans="1:26">
      <c r="A84" s="86" t="s">
        <v>86</v>
      </c>
      <c r="B84" s="50" t="str">
        <f>IFERROR(HYPERLINK(VLOOKUP(A84,ÜRÜNLER!A:C,3,FALSE),VLOOKUP(A84,ÜRÜNLER!A:B,2,FALSE)),"")</f>
        <v>iQ300 Çamaşır Makinesi, 10kg/1200devir, Gümüş</v>
      </c>
      <c r="C84" s="8"/>
      <c r="D84" s="8"/>
      <c r="E84" s="9">
        <v>1</v>
      </c>
      <c r="F84" s="9"/>
      <c r="G84" s="10"/>
      <c r="H84" s="10"/>
      <c r="I84" s="11">
        <v>1</v>
      </c>
      <c r="J84" s="11"/>
      <c r="K84" s="10"/>
      <c r="L84" s="11"/>
      <c r="M84" s="170"/>
      <c r="N84" s="124">
        <f t="shared" si="3"/>
        <v>2</v>
      </c>
      <c r="O84" s="125"/>
      <c r="P84" s="109"/>
      <c r="Q84" s="72" t="s">
        <v>1561</v>
      </c>
      <c r="R84" s="15">
        <v>35000</v>
      </c>
      <c r="S84" s="12">
        <v>36400</v>
      </c>
      <c r="T84" s="12">
        <v>37800</v>
      </c>
      <c r="U84" s="12">
        <v>38325</v>
      </c>
      <c r="V84" s="13"/>
      <c r="W84" s="175">
        <v>4049.59</v>
      </c>
      <c r="X84" s="102">
        <v>500</v>
      </c>
      <c r="Y84" s="10"/>
    </row>
    <row r="85" spans="1:26">
      <c r="A85" s="87" t="s">
        <v>87</v>
      </c>
      <c r="B85" s="50" t="str">
        <f>IFERROR(HYPERLINK(VLOOKUP(A85,ÜRÜNLER!A:C,3,FALSE),VLOOKUP(A85,ÜRÜNLER!A:B,2,FALSE)),"")</f>
        <v>iQ500 Çamaşır Makinesi, 10kg/1200devir, Beyaz</v>
      </c>
      <c r="C85" s="8">
        <v>8</v>
      </c>
      <c r="D85" s="8"/>
      <c r="E85" s="9"/>
      <c r="F85" s="9"/>
      <c r="G85" s="10"/>
      <c r="H85" s="10"/>
      <c r="I85" s="11">
        <v>1</v>
      </c>
      <c r="J85" s="11"/>
      <c r="K85" s="10"/>
      <c r="L85" s="11"/>
      <c r="M85" s="170"/>
      <c r="N85" s="124">
        <f t="shared" si="3"/>
        <v>9</v>
      </c>
      <c r="O85" s="125"/>
      <c r="P85" s="109"/>
      <c r="Q85" s="72" t="s">
        <v>1561</v>
      </c>
      <c r="R85" s="18">
        <v>37000</v>
      </c>
      <c r="S85" s="12">
        <v>38480</v>
      </c>
      <c r="T85" s="12">
        <v>39960</v>
      </c>
      <c r="U85" s="12">
        <v>40515</v>
      </c>
      <c r="V85" s="13"/>
      <c r="W85" s="175"/>
      <c r="X85" s="14"/>
      <c r="Y85" s="10"/>
    </row>
    <row r="86" spans="1:26">
      <c r="A86" s="86" t="s">
        <v>88</v>
      </c>
      <c r="B86" s="50" t="str">
        <f>IFERROR(HYPERLINK(VLOOKUP(A86,ÜRÜNLER!A:C,3,FALSE),VLOOKUP(A86,ÜRÜNLER!A:B,2,FALSE)),"")</f>
        <v>iQ500 Çamaşır Makinesi, 10kg/1200devir, Gümüş</v>
      </c>
      <c r="C86" s="8"/>
      <c r="D86" s="8"/>
      <c r="E86" s="9"/>
      <c r="F86" s="9"/>
      <c r="G86" s="10"/>
      <c r="H86" s="10"/>
      <c r="I86" s="11"/>
      <c r="J86" s="11">
        <v>1</v>
      </c>
      <c r="K86" s="10"/>
      <c r="L86" s="11"/>
      <c r="M86" s="170"/>
      <c r="N86" s="124">
        <f t="shared" si="3"/>
        <v>1</v>
      </c>
      <c r="O86" s="125"/>
      <c r="P86" s="109"/>
      <c r="Q86" s="72" t="s">
        <v>1561</v>
      </c>
      <c r="R86" s="18">
        <v>39000</v>
      </c>
      <c r="S86" s="12">
        <v>40560</v>
      </c>
      <c r="T86" s="12">
        <v>42120</v>
      </c>
      <c r="U86" s="12">
        <v>42705</v>
      </c>
      <c r="V86" s="13"/>
      <c r="W86" s="175"/>
      <c r="X86" s="14"/>
      <c r="Y86" s="10"/>
    </row>
    <row r="87" spans="1:26">
      <c r="A87" s="22" t="s">
        <v>89</v>
      </c>
      <c r="B87" s="50" t="str">
        <f>IFERROR(HYPERLINK(VLOOKUP(A87,ÜRÜNLER!A:C,3,FALSE),VLOOKUP(A87,ÜRÜNLER!A:B,2,FALSE)),"")</f>
        <v>iQ300 Çamaşır Makinesi, 10kg/1400devir, Beyaz</v>
      </c>
      <c r="C87" s="8"/>
      <c r="D87" s="8"/>
      <c r="E87" s="9"/>
      <c r="F87" s="9"/>
      <c r="G87" s="10"/>
      <c r="H87" s="10"/>
      <c r="I87" s="11"/>
      <c r="J87" s="11"/>
      <c r="K87" s="10">
        <v>1</v>
      </c>
      <c r="L87" s="11"/>
      <c r="M87" s="170"/>
      <c r="N87" s="124">
        <f t="shared" si="3"/>
        <v>1</v>
      </c>
      <c r="O87" s="125"/>
      <c r="P87" s="109"/>
      <c r="Q87" s="72" t="s">
        <v>1561</v>
      </c>
      <c r="R87" s="15">
        <v>35000</v>
      </c>
      <c r="S87" s="12">
        <v>36400</v>
      </c>
      <c r="T87" s="12">
        <v>37800</v>
      </c>
      <c r="U87" s="12">
        <v>38325</v>
      </c>
      <c r="V87" s="13"/>
      <c r="W87" s="175"/>
      <c r="X87" s="14">
        <v>250</v>
      </c>
      <c r="Y87" s="10"/>
    </row>
    <row r="88" spans="1:26">
      <c r="A88" s="22" t="s">
        <v>90</v>
      </c>
      <c r="B88" s="50" t="str">
        <f>IFERROR(HYPERLINK(VLOOKUP(A88,ÜRÜNLER!A:C,3,FALSE),VLOOKUP(A88,ÜRÜNLER!A:B,2,FALSE)),"")</f>
        <v>iQ700 Çamaşır Makinesi, 10kg/1400devir, i-dos, Beyaz</v>
      </c>
      <c r="C88" s="8"/>
      <c r="D88" s="8"/>
      <c r="E88" s="9"/>
      <c r="F88" s="9"/>
      <c r="G88" s="10"/>
      <c r="H88" s="10"/>
      <c r="I88" s="11">
        <v>2</v>
      </c>
      <c r="J88" s="11">
        <v>1</v>
      </c>
      <c r="K88" s="10">
        <v>2</v>
      </c>
      <c r="L88" s="11"/>
      <c r="M88" s="170"/>
      <c r="N88" s="124">
        <f t="shared" si="3"/>
        <v>5</v>
      </c>
      <c r="O88" s="125">
        <v>1</v>
      </c>
      <c r="P88" s="109"/>
      <c r="Q88" s="72" t="s">
        <v>1561</v>
      </c>
      <c r="R88" s="193">
        <v>53000</v>
      </c>
      <c r="S88" s="171">
        <v>55120</v>
      </c>
      <c r="T88" s="171">
        <v>57240</v>
      </c>
      <c r="U88" s="171">
        <v>58035</v>
      </c>
      <c r="V88" s="13"/>
      <c r="W88" s="175"/>
      <c r="X88" s="194">
        <v>1000</v>
      </c>
      <c r="Y88" s="10"/>
    </row>
    <row r="89" spans="1:26">
      <c r="A89" s="86" t="s">
        <v>91</v>
      </c>
      <c r="B89" s="50" t="str">
        <f>IFERROR(HYPERLINK(VLOOKUP(A89,ÜRÜNLER!A:C,3,FALSE),VLOOKUP(A89,ÜRÜNLER!A:B,2,FALSE)),"")</f>
        <v>iQ700 Çamaşır Makinesi, 10kg/1400devir, i-dos, Gümüş</v>
      </c>
      <c r="C89" s="8"/>
      <c r="D89" s="8"/>
      <c r="E89" s="9"/>
      <c r="F89" s="9"/>
      <c r="G89" s="10"/>
      <c r="H89" s="10"/>
      <c r="I89" s="11"/>
      <c r="J89" s="11"/>
      <c r="K89" s="10"/>
      <c r="L89" s="11">
        <v>1</v>
      </c>
      <c r="M89" s="170"/>
      <c r="N89" s="124">
        <f t="shared" si="3"/>
        <v>1</v>
      </c>
      <c r="O89" s="125">
        <v>1</v>
      </c>
      <c r="P89" s="109"/>
      <c r="Q89" s="72" t="s">
        <v>1561</v>
      </c>
      <c r="R89" s="103">
        <v>56000</v>
      </c>
      <c r="S89" s="171">
        <v>58240</v>
      </c>
      <c r="T89" s="171">
        <v>60480</v>
      </c>
      <c r="U89" s="171">
        <v>61320</v>
      </c>
      <c r="V89" s="13"/>
      <c r="W89" s="175"/>
      <c r="X89" s="194">
        <v>1000</v>
      </c>
      <c r="Y89" s="10"/>
    </row>
    <row r="90" spans="1:26">
      <c r="A90" s="134" t="s">
        <v>1444</v>
      </c>
      <c r="B90" s="50" t="str">
        <f>IFERROR(HYPERLINK(VLOOKUP(A90,ÜRÜNLER!A:C,3,FALSE),VLOOKUP(A90,ÜRÜNLER!A:B,2,FALSE)),"")</f>
        <v>iQ500 Çamaşır Makinesi, 10kg/1200devir, Beyaz</v>
      </c>
      <c r="C90" s="8">
        <v>22</v>
      </c>
      <c r="D90" s="8"/>
      <c r="E90" s="9"/>
      <c r="F90" s="9"/>
      <c r="G90" s="10"/>
      <c r="H90" s="10"/>
      <c r="I90" s="11"/>
      <c r="J90" s="11">
        <v>1</v>
      </c>
      <c r="K90" s="10"/>
      <c r="L90" s="11"/>
      <c r="M90" s="170"/>
      <c r="N90" s="124">
        <f t="shared" si="3"/>
        <v>23</v>
      </c>
      <c r="O90" s="125"/>
      <c r="P90" s="109"/>
      <c r="Q90" s="51">
        <v>38936.926581450993</v>
      </c>
      <c r="R90" s="46">
        <v>36990.080252378444</v>
      </c>
      <c r="S90" s="12">
        <v>38469.683462473578</v>
      </c>
      <c r="T90" s="12">
        <v>39949.28667256872</v>
      </c>
      <c r="U90" s="12">
        <v>40504.137876354398</v>
      </c>
      <c r="V90" s="13"/>
      <c r="W90" s="175"/>
      <c r="X90" s="14"/>
      <c r="Y90" s="10"/>
    </row>
    <row r="91" spans="1:26">
      <c r="A91" s="134" t="s">
        <v>1451</v>
      </c>
      <c r="B91" s="50" t="str">
        <f>IFERROR(HYPERLINK(VLOOKUP(A91,ÜRÜNLER!A:C,3,FALSE),VLOOKUP(A91,ÜRÜNLER!A:B,2,FALSE)),"")</f>
        <v>iQ500 Çamaşır Makinesi, 10kg/1400devir, i-dos, Beyaz</v>
      </c>
      <c r="C91" s="8">
        <v>3</v>
      </c>
      <c r="D91" s="8"/>
      <c r="E91" s="9"/>
      <c r="F91" s="9"/>
      <c r="G91" s="10"/>
      <c r="H91" s="10"/>
      <c r="I91" s="11">
        <v>1</v>
      </c>
      <c r="J91" s="11"/>
      <c r="K91" s="10"/>
      <c r="L91" s="11"/>
      <c r="M91" s="170"/>
      <c r="N91" s="124">
        <f t="shared" si="3"/>
        <v>4</v>
      </c>
      <c r="O91" s="125">
        <v>1</v>
      </c>
      <c r="P91" s="109"/>
      <c r="Q91" s="51">
        <v>39429.576749749642</v>
      </c>
      <c r="R91" s="25">
        <v>39429.576749749642</v>
      </c>
      <c r="S91" s="12">
        <v>41006.759819739629</v>
      </c>
      <c r="T91" s="12">
        <v>42583.942889729617</v>
      </c>
      <c r="U91" s="12">
        <v>43175.386540975858</v>
      </c>
      <c r="V91" s="13"/>
      <c r="W91" s="175"/>
      <c r="X91" s="14"/>
      <c r="Y91" s="10"/>
    </row>
    <row r="92" spans="1:26">
      <c r="A92" s="134" t="s">
        <v>1453</v>
      </c>
      <c r="B92" s="50" t="str">
        <f>IFERROR(HYPERLINK(VLOOKUP(A92,ÜRÜNLER!A:C,3,FALSE),VLOOKUP(A92,ÜRÜNLER!A:B,2,FALSE)),"")</f>
        <v>iQ500 Çamaşır Makinesi, 11kg/1400devir, i-dos, Beyaz</v>
      </c>
      <c r="C92" s="8"/>
      <c r="D92" s="8"/>
      <c r="E92" s="9"/>
      <c r="F92" s="9"/>
      <c r="G92" s="10"/>
      <c r="H92" s="10"/>
      <c r="I92" s="11"/>
      <c r="J92" s="11"/>
      <c r="K92" s="10"/>
      <c r="L92" s="11"/>
      <c r="M92" s="170"/>
      <c r="N92" s="124">
        <f t="shared" si="3"/>
        <v>0</v>
      </c>
      <c r="O92" s="125">
        <v>9</v>
      </c>
      <c r="P92" s="109"/>
      <c r="Q92" s="51">
        <v>42323</v>
      </c>
      <c r="R92" s="46">
        <v>40206.85</v>
      </c>
      <c r="S92" s="12">
        <v>41815.123999999996</v>
      </c>
      <c r="T92" s="12">
        <v>43423.398000000001</v>
      </c>
      <c r="U92" s="12">
        <v>44026.500749999999</v>
      </c>
      <c r="V92" s="13"/>
      <c r="W92" s="175"/>
      <c r="X92" s="14"/>
      <c r="Y92" s="10"/>
    </row>
    <row r="93" spans="1:26">
      <c r="A93" s="130" t="s">
        <v>92</v>
      </c>
      <c r="B93" s="50" t="str">
        <f>IFERROR(HYPERLINK(VLOOKUP(A93,ÜRÜNLER!A:C,3,FALSE),VLOOKUP(A93,ÜRÜNLER!A:B,2,FALSE)),"")</f>
        <v>iQ500 Çamaşır Makinesi, 11kg/1400devir, i-dos, Beyaz</v>
      </c>
      <c r="C93" s="8"/>
      <c r="D93" s="8"/>
      <c r="E93" s="9"/>
      <c r="F93" s="9"/>
      <c r="G93" s="10"/>
      <c r="H93" s="10"/>
      <c r="I93" s="11">
        <v>1</v>
      </c>
      <c r="J93" s="11"/>
      <c r="K93" s="10">
        <v>1</v>
      </c>
      <c r="L93" s="11"/>
      <c r="M93" s="170"/>
      <c r="N93" s="124">
        <f t="shared" si="3"/>
        <v>2</v>
      </c>
      <c r="O93" s="125"/>
      <c r="P93" s="109"/>
      <c r="Q93" s="72" t="s">
        <v>1561</v>
      </c>
      <c r="R93" s="18">
        <v>37000</v>
      </c>
      <c r="S93" s="12">
        <v>38480</v>
      </c>
      <c r="T93" s="12">
        <v>39960</v>
      </c>
      <c r="U93" s="12">
        <v>40515</v>
      </c>
      <c r="V93" s="13"/>
      <c r="W93" s="175"/>
      <c r="X93" s="14"/>
      <c r="Y93" s="10"/>
    </row>
    <row r="94" spans="1:26">
      <c r="A94" s="130" t="s">
        <v>93</v>
      </c>
      <c r="B94" s="50" t="str">
        <f>IFERROR(HYPERLINK(VLOOKUP(A94,ÜRÜNLER!A:C,3,FALSE),VLOOKUP(A94,ÜRÜNLER!A:B,2,FALSE)),"")</f>
        <v>iQ500 Çamaşır Makinesi, 11kg/1400devir, Beyaz</v>
      </c>
      <c r="C94" s="8">
        <v>1</v>
      </c>
      <c r="D94" s="8"/>
      <c r="E94" s="9"/>
      <c r="F94" s="9">
        <v>1</v>
      </c>
      <c r="G94" s="10"/>
      <c r="H94" s="10"/>
      <c r="I94" s="11">
        <v>1</v>
      </c>
      <c r="J94" s="11">
        <v>1</v>
      </c>
      <c r="K94" s="10">
        <v>1</v>
      </c>
      <c r="L94" s="11">
        <v>1</v>
      </c>
      <c r="M94" s="170">
        <v>1</v>
      </c>
      <c r="N94" s="124">
        <f t="shared" si="3"/>
        <v>7</v>
      </c>
      <c r="O94" s="125">
        <v>15</v>
      </c>
      <c r="P94" s="109"/>
      <c r="Q94" s="51">
        <v>41167.863830660477</v>
      </c>
      <c r="R94" s="46">
        <v>39109.470639127452</v>
      </c>
      <c r="S94" s="12">
        <v>40673.849464692554</v>
      </c>
      <c r="T94" s="12">
        <v>42238.228290257648</v>
      </c>
      <c r="U94" s="12">
        <v>42824.870349844561</v>
      </c>
      <c r="V94" s="13"/>
      <c r="W94" s="175"/>
      <c r="X94" s="14"/>
      <c r="Y94" s="10">
        <v>0</v>
      </c>
    </row>
    <row r="95" spans="1:26">
      <c r="A95" s="129" t="s">
        <v>94</v>
      </c>
      <c r="B95" s="50" t="str">
        <f>IFERROR(HYPERLINK(VLOOKUP(A95,ÜRÜNLER!A:C,3,FALSE),VLOOKUP(A95,ÜRÜNLER!A:B,2,FALSE)),"")</f>
        <v>iQ500 Çamaşır Makinesi, 11kg/1400devir, Antrasit/Dark</v>
      </c>
      <c r="C95" s="8">
        <v>30</v>
      </c>
      <c r="D95" s="8"/>
      <c r="E95" s="9"/>
      <c r="F95" s="9"/>
      <c r="G95" s="10"/>
      <c r="H95" s="10"/>
      <c r="I95" s="11">
        <v>1</v>
      </c>
      <c r="J95" s="11">
        <v>1</v>
      </c>
      <c r="K95" s="10"/>
      <c r="L95" s="11">
        <v>1</v>
      </c>
      <c r="M95" s="170"/>
      <c r="N95" s="124">
        <f t="shared" si="3"/>
        <v>33</v>
      </c>
      <c r="O95" s="125">
        <v>73</v>
      </c>
      <c r="P95" s="109"/>
      <c r="Q95" s="51">
        <v>45341.832531892345</v>
      </c>
      <c r="R95" s="46">
        <v>43074.740905297731</v>
      </c>
      <c r="S95" s="12">
        <v>44797.730541509642</v>
      </c>
      <c r="T95" s="12">
        <v>46520.720177721552</v>
      </c>
      <c r="U95" s="12">
        <v>47166.841291301018</v>
      </c>
      <c r="V95" s="13"/>
      <c r="W95" s="175"/>
      <c r="X95" s="14"/>
      <c r="Y95" s="182">
        <v>25</v>
      </c>
    </row>
    <row r="96" spans="1:26">
      <c r="A96" s="22" t="s">
        <v>95</v>
      </c>
      <c r="B96" s="50" t="str">
        <f>IFERROR(HYPERLINK(VLOOKUP(A96,ÜRÜNLER!A:C,3,FALSE),VLOOKUP(A96,ÜRÜNLER!A:B,2,FALSE)),"")</f>
        <v>iQ300 Çamaşır Makinesi, 9kg/1200devir, Beyaz</v>
      </c>
      <c r="C96" s="8"/>
      <c r="D96" s="8"/>
      <c r="E96" s="9"/>
      <c r="F96" s="9"/>
      <c r="G96" s="10"/>
      <c r="H96" s="10"/>
      <c r="I96" s="11"/>
      <c r="J96" s="11"/>
      <c r="K96" s="10">
        <v>1</v>
      </c>
      <c r="L96" s="11"/>
      <c r="M96" s="170">
        <v>1</v>
      </c>
      <c r="N96" s="124">
        <f t="shared" si="3"/>
        <v>2</v>
      </c>
      <c r="O96" s="125"/>
      <c r="P96" s="111" t="s">
        <v>1547</v>
      </c>
      <c r="Q96" s="72" t="s">
        <v>1561</v>
      </c>
      <c r="R96" s="19">
        <v>29000</v>
      </c>
      <c r="S96" s="12">
        <v>30160</v>
      </c>
      <c r="T96" s="12">
        <v>31320</v>
      </c>
      <c r="U96" s="12">
        <v>31755</v>
      </c>
      <c r="V96" s="13"/>
      <c r="W96" s="175"/>
      <c r="X96" s="102">
        <v>500</v>
      </c>
      <c r="Y96" s="10"/>
    </row>
    <row r="97" spans="1:25">
      <c r="A97" s="130" t="s">
        <v>96</v>
      </c>
      <c r="B97" s="50" t="str">
        <f>IFERROR(HYPERLINK(VLOOKUP(A97,ÜRÜNLER!A:C,3,FALSE),VLOOKUP(A97,ÜRÜNLER!A:B,2,FALSE)),"")</f>
        <v>iQ500 Çamaşır Makinesi, 9kg/1400devir, i-dos, Beyaz</v>
      </c>
      <c r="C97" s="8"/>
      <c r="D97" s="8"/>
      <c r="E97" s="9"/>
      <c r="F97" s="9"/>
      <c r="G97" s="10"/>
      <c r="H97" s="10"/>
      <c r="I97" s="11">
        <v>1</v>
      </c>
      <c r="J97" s="11"/>
      <c r="K97" s="10">
        <v>1</v>
      </c>
      <c r="L97" s="11"/>
      <c r="M97" s="170"/>
      <c r="N97" s="124">
        <f t="shared" si="3"/>
        <v>2</v>
      </c>
      <c r="O97" s="125"/>
      <c r="P97" s="109"/>
      <c r="Q97" s="72" t="s">
        <v>1561</v>
      </c>
      <c r="R97" s="19">
        <v>35000</v>
      </c>
      <c r="S97" s="12">
        <v>36400</v>
      </c>
      <c r="T97" s="12">
        <v>37800</v>
      </c>
      <c r="U97" s="12">
        <v>38325</v>
      </c>
      <c r="V97" s="13"/>
      <c r="W97" s="175"/>
      <c r="X97" s="102">
        <v>500</v>
      </c>
      <c r="Y97" s="10"/>
    </row>
    <row r="98" spans="1:25">
      <c r="A98" s="130" t="s">
        <v>97</v>
      </c>
      <c r="B98" s="50" t="str">
        <f>IFERROR(HYPERLINK(VLOOKUP(A98,ÜRÜNLER!A:C,3,FALSE),VLOOKUP(A98,ÜRÜNLER!A:B,2,FALSE)),"")</f>
        <v>iQ700 Çamaşır Makinesi, 10kg/1400devir, i-dos, Beyaz</v>
      </c>
      <c r="C98" s="8"/>
      <c r="D98" s="8"/>
      <c r="E98" s="9"/>
      <c r="F98" s="9"/>
      <c r="G98" s="10"/>
      <c r="H98" s="10"/>
      <c r="I98" s="11">
        <v>1</v>
      </c>
      <c r="J98" s="11"/>
      <c r="K98" s="10"/>
      <c r="L98" s="11"/>
      <c r="M98" s="170"/>
      <c r="N98" s="124">
        <f t="shared" si="3"/>
        <v>1</v>
      </c>
      <c r="O98" s="125"/>
      <c r="P98" s="109"/>
      <c r="Q98" s="72" t="s">
        <v>1561</v>
      </c>
      <c r="R98" s="19">
        <v>40000</v>
      </c>
      <c r="S98" s="12">
        <v>41600</v>
      </c>
      <c r="T98" s="12">
        <v>43200</v>
      </c>
      <c r="U98" s="12">
        <v>43800</v>
      </c>
      <c r="V98" s="13"/>
      <c r="W98" s="175"/>
      <c r="X98" s="102">
        <v>500</v>
      </c>
      <c r="Y98" s="10"/>
    </row>
    <row r="99" spans="1:25">
      <c r="A99" s="130" t="s">
        <v>98</v>
      </c>
      <c r="B99" s="50" t="str">
        <f>IFERROR(HYPERLINK(VLOOKUP(A99,ÜRÜNLER!A:C,3,FALSE),VLOOKUP(A99,ÜRÜNLER!A:B,2,FALSE)),"")</f>
        <v>iQ700 Kurutmalı Çamaşır Makinesi, 10.5kg/6kg/1400devir, i-dos, Beyaz</v>
      </c>
      <c r="C99" s="8">
        <v>2</v>
      </c>
      <c r="D99" s="8"/>
      <c r="E99" s="9"/>
      <c r="F99" s="9"/>
      <c r="G99" s="10"/>
      <c r="H99" s="10"/>
      <c r="I99" s="11">
        <v>1</v>
      </c>
      <c r="J99" s="11"/>
      <c r="K99" s="10"/>
      <c r="L99" s="11"/>
      <c r="M99" s="170">
        <v>1</v>
      </c>
      <c r="N99" s="124">
        <f t="shared" si="3"/>
        <v>4</v>
      </c>
      <c r="O99" s="125"/>
      <c r="P99" s="109"/>
      <c r="Q99" s="51">
        <v>76859.439835869358</v>
      </c>
      <c r="R99" s="46">
        <v>73016.467844075887</v>
      </c>
      <c r="S99" s="12">
        <v>75937.126557838928</v>
      </c>
      <c r="T99" s="12">
        <v>78857.785271601955</v>
      </c>
      <c r="U99" s="12">
        <v>79953.032289263094</v>
      </c>
      <c r="V99" s="13"/>
      <c r="W99" s="175"/>
      <c r="X99" s="14"/>
      <c r="Y99" s="10">
        <v>0</v>
      </c>
    </row>
    <row r="100" spans="1:25" ht="30">
      <c r="A100" s="99" t="s">
        <v>99</v>
      </c>
      <c r="B100" s="50" t="str">
        <f>IFERROR(HYPERLINK(VLOOKUP(A100,ÜRÜNLER!A:C,3,FALSE),VLOOKUP(A100,ÜRÜNLER!A:B,2,FALSE)),"")</f>
        <v/>
      </c>
      <c r="C100" s="8"/>
      <c r="D100" s="8"/>
      <c r="E100" s="9"/>
      <c r="F100" s="9"/>
      <c r="G100" s="10"/>
      <c r="H100" s="10"/>
      <c r="I100" s="11"/>
      <c r="J100" s="11"/>
      <c r="K100" s="10"/>
      <c r="L100" s="11"/>
      <c r="M100" s="170"/>
      <c r="N100" s="124">
        <f>SUM(N71:N99)</f>
        <v>231</v>
      </c>
      <c r="O100" s="125"/>
      <c r="Q100" s="72"/>
      <c r="R100" s="14"/>
      <c r="S100" s="12"/>
      <c r="T100" s="12"/>
      <c r="U100" s="12"/>
      <c r="V100" s="13"/>
      <c r="W100" s="175"/>
      <c r="X100" s="14"/>
      <c r="Y100" s="10"/>
    </row>
    <row r="101" spans="1:25">
      <c r="A101" s="22" t="s">
        <v>103</v>
      </c>
      <c r="B101" s="50" t="str">
        <f>IFERROR(HYPERLINK(VLOOKUP(A101,ÜRÜNLER!A:C,3,FALSE),VLOOKUP(A101,ÜRÜNLER!A:B,2,FALSE)),"")</f>
        <v>iQ500 Isı Pompalı Kurutma Makinesi, 9kg, Beyaz</v>
      </c>
      <c r="C101" s="8"/>
      <c r="D101" s="8"/>
      <c r="E101" s="9"/>
      <c r="F101" s="9"/>
      <c r="G101" s="10"/>
      <c r="H101" s="10"/>
      <c r="I101" s="11">
        <v>1</v>
      </c>
      <c r="J101" s="11"/>
      <c r="K101" s="10"/>
      <c r="L101" s="11"/>
      <c r="M101" s="170"/>
      <c r="N101" s="124">
        <f t="shared" ref="N101:N113" si="4">L101+M101+K101+J101+I101+H101+G101+F101+E101+D101+C101</f>
        <v>1</v>
      </c>
      <c r="O101" s="125"/>
      <c r="P101" s="109"/>
      <c r="Q101" s="72" t="s">
        <v>1561</v>
      </c>
      <c r="R101" s="88">
        <v>35000</v>
      </c>
      <c r="S101" s="12">
        <v>36400</v>
      </c>
      <c r="T101" s="12">
        <v>37800</v>
      </c>
      <c r="U101" s="12">
        <v>38325</v>
      </c>
      <c r="V101" s="13"/>
      <c r="W101" s="175"/>
      <c r="X101" s="102">
        <v>500</v>
      </c>
      <c r="Y101" s="10"/>
    </row>
    <row r="102" spans="1:25">
      <c r="A102" s="76" t="s">
        <v>1314</v>
      </c>
      <c r="B102" s="50" t="str">
        <f>IFERROR(HYPERLINK(VLOOKUP(A102,ÜRÜNLER!A:C,3,FALSE),VLOOKUP(A102,ÜRÜNLER!A:B,2,FALSE)),"")</f>
        <v>iQ300 Isı Pompalı Kurutma Makinesi, 9kg, Gümüş</v>
      </c>
      <c r="C102" s="8"/>
      <c r="D102" s="8"/>
      <c r="E102" s="9"/>
      <c r="F102" s="9"/>
      <c r="G102" s="10"/>
      <c r="H102" s="10"/>
      <c r="I102" s="11"/>
      <c r="J102" s="11">
        <v>1</v>
      </c>
      <c r="K102" s="10"/>
      <c r="L102" s="11"/>
      <c r="M102" s="170"/>
      <c r="N102" s="124">
        <f t="shared" si="4"/>
        <v>1</v>
      </c>
      <c r="O102" s="125"/>
      <c r="P102" s="109"/>
      <c r="Q102" s="72" t="s">
        <v>1561</v>
      </c>
      <c r="R102" s="88">
        <v>36000</v>
      </c>
      <c r="S102" s="12">
        <v>37440</v>
      </c>
      <c r="T102" s="12">
        <v>38880</v>
      </c>
      <c r="U102" s="12">
        <v>39420</v>
      </c>
      <c r="V102" s="13"/>
      <c r="W102" s="175"/>
      <c r="X102" s="102">
        <v>500</v>
      </c>
      <c r="Y102" s="10"/>
    </row>
    <row r="103" spans="1:25">
      <c r="A103" s="22" t="s">
        <v>104</v>
      </c>
      <c r="B103" s="50" t="str">
        <f>IFERROR(HYPERLINK(VLOOKUP(A103,ÜRÜNLER!A:C,3,FALSE),VLOOKUP(A103,ÜRÜNLER!A:B,2,FALSE)),"")</f>
        <v>iQ300 Isı Pompalı Kurutma Makinesi, 9kg, Beyaz</v>
      </c>
      <c r="C103" s="8">
        <v>104</v>
      </c>
      <c r="D103" s="8"/>
      <c r="E103" s="9"/>
      <c r="F103" s="9"/>
      <c r="G103" s="10"/>
      <c r="H103" s="10"/>
      <c r="I103" s="11">
        <v>1</v>
      </c>
      <c r="J103" s="11">
        <v>1</v>
      </c>
      <c r="K103" s="10">
        <v>1</v>
      </c>
      <c r="L103" s="11">
        <v>1</v>
      </c>
      <c r="M103" s="170"/>
      <c r="N103" s="124">
        <f t="shared" si="4"/>
        <v>108</v>
      </c>
      <c r="O103" s="125">
        <v>337</v>
      </c>
      <c r="P103" s="109"/>
      <c r="Q103" s="51">
        <v>39552.883298190849</v>
      </c>
      <c r="R103" s="18">
        <v>37575.239133281306</v>
      </c>
      <c r="S103" s="12">
        <v>39078.248698612559</v>
      </c>
      <c r="T103" s="12">
        <v>40581.258263943811</v>
      </c>
      <c r="U103" s="12">
        <v>41144.886850943032</v>
      </c>
      <c r="V103" s="13">
        <v>1508.6972516792157</v>
      </c>
      <c r="W103" s="175"/>
      <c r="X103" s="14"/>
      <c r="Y103" s="182">
        <v>25</v>
      </c>
    </row>
    <row r="104" spans="1:25">
      <c r="A104" s="135" t="s">
        <v>100</v>
      </c>
      <c r="B104" s="50" t="str">
        <f>IFERROR(HYPERLINK(VLOOKUP(A104,ÜRÜNLER!A:C,3,FALSE),VLOOKUP(A104,ÜRÜNLER!A:B,2,FALSE)),"")</f>
        <v>iQ500 Isı Pompalı Kurutma Makinesi, 9kg, Beyaz</v>
      </c>
      <c r="C104" s="8">
        <v>44</v>
      </c>
      <c r="D104" s="8"/>
      <c r="E104" s="9"/>
      <c r="F104" s="9"/>
      <c r="G104" s="10"/>
      <c r="H104" s="10"/>
      <c r="I104" s="11"/>
      <c r="J104" s="11">
        <v>1</v>
      </c>
      <c r="K104" s="10"/>
      <c r="L104" s="11"/>
      <c r="M104" s="170"/>
      <c r="N104" s="124">
        <f t="shared" si="4"/>
        <v>45</v>
      </c>
      <c r="O104" s="125">
        <v>21</v>
      </c>
      <c r="P104" s="109"/>
      <c r="Q104" s="51">
        <v>43183.847091032105</v>
      </c>
      <c r="R104" s="18">
        <v>41024.654736480501</v>
      </c>
      <c r="S104" s="12">
        <v>42665.640925939719</v>
      </c>
      <c r="T104" s="12">
        <v>44306.627115398944</v>
      </c>
      <c r="U104" s="12">
        <v>44921.99693644615</v>
      </c>
      <c r="V104" s="13">
        <v>1330.3587189390819</v>
      </c>
      <c r="W104" s="175"/>
      <c r="X104" s="27"/>
      <c r="Y104" s="182">
        <v>30</v>
      </c>
    </row>
    <row r="105" spans="1:25">
      <c r="A105" s="76" t="s">
        <v>1342</v>
      </c>
      <c r="B105" s="50" t="str">
        <f>IFERROR(HYPERLINK(VLOOKUP(A105,ÜRÜNLER!A:C,3,FALSE),VLOOKUP(A105,ÜRÜNLER!A:B,2,FALSE)),"")</f>
        <v>iQ500 Isı Pompalı Kurutma Makinesi, 9kg, Gümüş</v>
      </c>
      <c r="C105" s="8">
        <v>52</v>
      </c>
      <c r="D105" s="8"/>
      <c r="E105" s="9"/>
      <c r="F105" s="9"/>
      <c r="G105" s="10"/>
      <c r="H105" s="10"/>
      <c r="I105" s="11">
        <v>2</v>
      </c>
      <c r="J105" s="11"/>
      <c r="K105" s="10"/>
      <c r="L105" s="11"/>
      <c r="M105" s="170"/>
      <c r="N105" s="124">
        <f t="shared" si="4"/>
        <v>54</v>
      </c>
      <c r="O105" s="125">
        <v>174</v>
      </c>
      <c r="P105" s="109"/>
      <c r="Q105" s="51">
        <v>43404.733782129748</v>
      </c>
      <c r="R105" s="18">
        <v>41234.497093023259</v>
      </c>
      <c r="S105" s="12">
        <v>42883.876976744192</v>
      </c>
      <c r="T105" s="12">
        <v>44533.256860465117</v>
      </c>
      <c r="U105" s="12">
        <v>45151.774316860472</v>
      </c>
      <c r="V105" s="13"/>
      <c r="W105" s="175"/>
      <c r="X105" s="27"/>
      <c r="Y105" s="182">
        <v>10</v>
      </c>
    </row>
    <row r="106" spans="1:25">
      <c r="A106" s="136" t="s">
        <v>101</v>
      </c>
      <c r="B106" s="50" t="str">
        <f>IFERROR(HYPERLINK(VLOOKUP(A106,ÜRÜNLER!A:C,3,FALSE),VLOOKUP(A106,ÜRÜNLER!A:B,2,FALSE)),"")</f>
        <v>iQ500 Isı Pompalı Kurutma Makinesi, 9kg, Beyaz</v>
      </c>
      <c r="C106" s="8">
        <v>92</v>
      </c>
      <c r="D106" s="8"/>
      <c r="E106" s="9"/>
      <c r="F106" s="9"/>
      <c r="G106" s="10"/>
      <c r="H106" s="10"/>
      <c r="I106" s="11">
        <v>1</v>
      </c>
      <c r="J106" s="11"/>
      <c r="K106" s="10"/>
      <c r="L106" s="11">
        <v>1</v>
      </c>
      <c r="M106" s="170">
        <v>1</v>
      </c>
      <c r="N106" s="124">
        <f t="shared" si="4"/>
        <v>95</v>
      </c>
      <c r="O106" s="125">
        <v>51</v>
      </c>
      <c r="P106" s="110"/>
      <c r="Q106" s="51">
        <v>46206.703389937567</v>
      </c>
      <c r="R106" s="18">
        <v>43896.368220440687</v>
      </c>
      <c r="S106" s="12">
        <v>45652.222949258314</v>
      </c>
      <c r="T106" s="12">
        <v>47408.077678075941</v>
      </c>
      <c r="U106" s="12">
        <v>48066.523201382552</v>
      </c>
      <c r="V106" s="13">
        <v>1642.7499015654757</v>
      </c>
      <c r="W106" s="175"/>
      <c r="X106" s="29"/>
      <c r="Y106" s="182">
        <v>20</v>
      </c>
    </row>
    <row r="107" spans="1:25">
      <c r="A107" s="22" t="s">
        <v>105</v>
      </c>
      <c r="B107" s="50" t="str">
        <f>IFERROR(HYPERLINK(VLOOKUP(A107,ÜRÜNLER!A:C,3,FALSE),VLOOKUP(A107,ÜRÜNLER!A:B,2,FALSE)),"")</f>
        <v>iQ500 Isı Pompalı Kurutma Makinesi, 9kg, SelfClean, Beyaz</v>
      </c>
      <c r="C107" s="8">
        <v>47</v>
      </c>
      <c r="D107" s="8"/>
      <c r="E107" s="9"/>
      <c r="F107" s="9">
        <v>1</v>
      </c>
      <c r="G107" s="10"/>
      <c r="H107" s="10"/>
      <c r="I107" s="11">
        <v>1</v>
      </c>
      <c r="J107" s="11">
        <v>1</v>
      </c>
      <c r="K107" s="10">
        <v>1</v>
      </c>
      <c r="L107" s="11">
        <v>1</v>
      </c>
      <c r="M107" s="170"/>
      <c r="N107" s="124">
        <f t="shared" si="4"/>
        <v>52</v>
      </c>
      <c r="O107" s="125"/>
      <c r="P107" s="109"/>
      <c r="Q107" s="72" t="s">
        <v>1561</v>
      </c>
      <c r="R107" s="46">
        <v>40000</v>
      </c>
      <c r="S107" s="12">
        <v>41600</v>
      </c>
      <c r="T107" s="12">
        <v>43200</v>
      </c>
      <c r="U107" s="12">
        <v>43800</v>
      </c>
      <c r="V107" s="13"/>
      <c r="W107" s="175"/>
      <c r="X107" s="78">
        <v>250</v>
      </c>
      <c r="Y107" s="10"/>
    </row>
    <row r="108" spans="1:25">
      <c r="A108" s="22" t="s">
        <v>106</v>
      </c>
      <c r="B108" s="50" t="str">
        <f>IFERROR(HYPERLINK(VLOOKUP(A108,ÜRÜNLER!A:C,3,FALSE),VLOOKUP(A108,ÜRÜNLER!A:B,2,FALSE)),"")</f>
        <v>iQ700 Isı Pompalı Kurutma Makinesi, 9kg, Beyaz</v>
      </c>
      <c r="C108" s="8">
        <v>140</v>
      </c>
      <c r="D108" s="8"/>
      <c r="E108" s="9"/>
      <c r="F108" s="9"/>
      <c r="G108" s="10"/>
      <c r="H108" s="10"/>
      <c r="I108" s="11">
        <v>2</v>
      </c>
      <c r="J108" s="11"/>
      <c r="K108" s="10">
        <v>1</v>
      </c>
      <c r="L108" s="11"/>
      <c r="M108" s="170"/>
      <c r="N108" s="124">
        <f t="shared" si="4"/>
        <v>143</v>
      </c>
      <c r="O108" s="125">
        <v>9</v>
      </c>
      <c r="P108" s="109"/>
      <c r="Q108" s="51">
        <v>61286.692413916055</v>
      </c>
      <c r="R108" s="18">
        <v>58222.357793220253</v>
      </c>
      <c r="S108" s="12">
        <v>60551.252104949061</v>
      </c>
      <c r="T108" s="12">
        <v>62880.146416677875</v>
      </c>
      <c r="U108" s="12">
        <v>63753.481783576179</v>
      </c>
      <c r="V108" s="13"/>
      <c r="W108" s="175"/>
      <c r="X108" s="14"/>
      <c r="Y108" s="182">
        <v>19</v>
      </c>
    </row>
    <row r="109" spans="1:25">
      <c r="A109" s="76" t="s">
        <v>107</v>
      </c>
      <c r="B109" s="50" t="str">
        <f>IFERROR(HYPERLINK(VLOOKUP(A109,ÜRÜNLER!A:C,3,FALSE),VLOOKUP(A109,ÜRÜNLER!A:B,2,FALSE)),"")</f>
        <v>iQ700 Isı Pompalı Kurutma Makinesi, 9kg, Gümüş</v>
      </c>
      <c r="C109" s="8">
        <v>102</v>
      </c>
      <c r="D109" s="8"/>
      <c r="E109" s="9"/>
      <c r="F109" s="9"/>
      <c r="G109" s="10"/>
      <c r="H109" s="10"/>
      <c r="I109" s="11">
        <v>1</v>
      </c>
      <c r="J109" s="11">
        <v>1</v>
      </c>
      <c r="K109" s="10"/>
      <c r="L109" s="11">
        <v>1</v>
      </c>
      <c r="M109" s="170">
        <v>1</v>
      </c>
      <c r="N109" s="124">
        <f t="shared" si="4"/>
        <v>106</v>
      </c>
      <c r="O109" s="125">
        <v>10</v>
      </c>
      <c r="P109" s="109"/>
      <c r="Q109" s="51">
        <v>62304.674762486175</v>
      </c>
      <c r="R109" s="18">
        <v>59189.441024361862</v>
      </c>
      <c r="S109" s="12">
        <v>61557.018665336334</v>
      </c>
      <c r="T109" s="12">
        <v>63924.596306310814</v>
      </c>
      <c r="U109" s="12">
        <v>64812.437921676239</v>
      </c>
      <c r="V109" s="13"/>
      <c r="W109" s="175"/>
      <c r="X109" s="14"/>
      <c r="Y109" s="182">
        <v>12</v>
      </c>
    </row>
    <row r="110" spans="1:25">
      <c r="A110" s="22" t="s">
        <v>471</v>
      </c>
      <c r="B110" s="50" t="str">
        <f>IFERROR(HYPERLINK(VLOOKUP(A110,ÜRÜNLER!A:C,3,FALSE),VLOOKUP(A110,ÜRÜNLER!A:B,2,FALSE)),"")</f>
        <v>iQ300 Isı Pompalı Kurutma Makinesi, 10kg, Beyaz</v>
      </c>
      <c r="C110" s="8">
        <v>202</v>
      </c>
      <c r="D110" s="8"/>
      <c r="E110" s="9"/>
      <c r="F110" s="9"/>
      <c r="G110" s="10"/>
      <c r="H110" s="10"/>
      <c r="I110" s="11"/>
      <c r="J110" s="11"/>
      <c r="K110" s="10"/>
      <c r="L110" s="11">
        <v>1</v>
      </c>
      <c r="M110" s="170"/>
      <c r="N110" s="124">
        <f t="shared" si="4"/>
        <v>203</v>
      </c>
      <c r="O110" s="125">
        <v>118</v>
      </c>
      <c r="P110" s="109"/>
      <c r="Q110" s="51">
        <v>42717.122969696531</v>
      </c>
      <c r="R110" s="18">
        <v>40581.266821211706</v>
      </c>
      <c r="S110" s="12">
        <v>42204.517494060172</v>
      </c>
      <c r="T110" s="12">
        <v>43827.768166908645</v>
      </c>
      <c r="U110" s="12">
        <v>44436.487169226821</v>
      </c>
      <c r="V110" s="13">
        <v>904.3322720221114</v>
      </c>
      <c r="W110" s="175"/>
      <c r="X110" s="12"/>
      <c r="Y110" s="182">
        <v>30</v>
      </c>
    </row>
    <row r="111" spans="1:25">
      <c r="A111" s="129" t="s">
        <v>1311</v>
      </c>
      <c r="B111" s="50" t="str">
        <f>IFERROR(HYPERLINK(VLOOKUP(A111,ÜRÜNLER!A:C,3,FALSE),VLOOKUP(A111,ÜRÜNLER!A:B,2,FALSE)),"")</f>
        <v>iQ500 Isı Pompalı Kurutma Makinesi, 10kg, Antrasit/Dark</v>
      </c>
      <c r="C111" s="8">
        <v>67</v>
      </c>
      <c r="D111" s="8"/>
      <c r="E111" s="9"/>
      <c r="F111" s="9"/>
      <c r="G111" s="10"/>
      <c r="H111" s="10"/>
      <c r="I111" s="11">
        <v>1</v>
      </c>
      <c r="J111" s="11">
        <v>1</v>
      </c>
      <c r="K111" s="10"/>
      <c r="L111" s="11">
        <v>1</v>
      </c>
      <c r="M111" s="170"/>
      <c r="N111" s="124">
        <f t="shared" si="4"/>
        <v>70</v>
      </c>
      <c r="O111" s="125">
        <v>100</v>
      </c>
      <c r="P111" s="109"/>
      <c r="Q111" s="51">
        <v>45281.496328029381</v>
      </c>
      <c r="R111" s="18">
        <v>43017.421511627916</v>
      </c>
      <c r="S111" s="12">
        <v>44738.118372093035</v>
      </c>
      <c r="T111" s="12">
        <v>46458.815232558147</v>
      </c>
      <c r="U111" s="12">
        <v>47104.076555232568</v>
      </c>
      <c r="V111" s="13"/>
      <c r="W111" s="175"/>
      <c r="X111" s="12"/>
      <c r="Y111" s="182">
        <v>15</v>
      </c>
    </row>
    <row r="112" spans="1:25">
      <c r="A112" s="22" t="s">
        <v>109</v>
      </c>
      <c r="B112" s="50" t="str">
        <f>IFERROR(HYPERLINK(VLOOKUP(A112,ÜRÜNLER!A:C,3,FALSE),VLOOKUP(A112,ÜRÜNLER!A:B,2,FALSE)),"")</f>
        <v>iQ500 Isı Pompalı Kurutma Makinesi, 10kg, Beyaz</v>
      </c>
      <c r="C112" s="8">
        <v>2</v>
      </c>
      <c r="D112" s="8"/>
      <c r="E112" s="9"/>
      <c r="F112" s="9"/>
      <c r="G112" s="10"/>
      <c r="H112" s="10"/>
      <c r="I112" s="11"/>
      <c r="J112" s="11">
        <v>1</v>
      </c>
      <c r="K112" s="10"/>
      <c r="L112" s="11"/>
      <c r="M112" s="170">
        <v>1</v>
      </c>
      <c r="N112" s="124">
        <f t="shared" si="4"/>
        <v>4</v>
      </c>
      <c r="O112" s="125">
        <v>31</v>
      </c>
      <c r="P112" s="109"/>
      <c r="Q112" s="51">
        <v>45280.150347878327</v>
      </c>
      <c r="R112" s="18">
        <v>43016.142830484408</v>
      </c>
      <c r="S112" s="12">
        <v>44736.788543703784</v>
      </c>
      <c r="T112" s="12">
        <v>46457.434256923159</v>
      </c>
      <c r="U112" s="12">
        <v>47102.676399380427</v>
      </c>
      <c r="V112" s="13"/>
      <c r="W112" s="175"/>
      <c r="X112" s="14"/>
      <c r="Y112" s="182">
        <v>30</v>
      </c>
    </row>
    <row r="113" spans="1:25">
      <c r="A113" s="22" t="s">
        <v>102</v>
      </c>
      <c r="B113" s="50" t="str">
        <f>IFERROR(HYPERLINK(VLOOKUP(A113,ÜRÜNLER!A:C,3,FALSE),VLOOKUP(A113,ÜRÜNLER!A:B,2,FALSE)),"")</f>
        <v>iQ300 Isı Pompalı Kurutma Makinesi, 8kg, Beyaz</v>
      </c>
      <c r="C113" s="8"/>
      <c r="D113" s="8"/>
      <c r="E113" s="9"/>
      <c r="F113" s="9">
        <v>1</v>
      </c>
      <c r="G113" s="10"/>
      <c r="H113" s="10"/>
      <c r="I113" s="11">
        <v>1</v>
      </c>
      <c r="J113" s="11"/>
      <c r="K113" s="10">
        <v>1</v>
      </c>
      <c r="L113" s="11">
        <v>1</v>
      </c>
      <c r="M113" s="170"/>
      <c r="N113" s="124">
        <f t="shared" si="4"/>
        <v>4</v>
      </c>
      <c r="O113" s="125"/>
      <c r="P113" s="109"/>
      <c r="Q113" s="72" t="s">
        <v>1561</v>
      </c>
      <c r="R113" s="88">
        <v>34000</v>
      </c>
      <c r="S113" s="12">
        <v>35360</v>
      </c>
      <c r="T113" s="12">
        <v>36720</v>
      </c>
      <c r="U113" s="12">
        <v>37230</v>
      </c>
      <c r="V113" s="13"/>
      <c r="W113" s="175"/>
      <c r="X113" s="78">
        <v>500</v>
      </c>
      <c r="Y113" s="10"/>
    </row>
    <row r="114" spans="1:25" s="26" customFormat="1" ht="29.25" customHeight="1">
      <c r="A114" s="119" t="s">
        <v>110</v>
      </c>
      <c r="B114" s="50" t="str">
        <f>IFERROR(HYPERLINK(VLOOKUP(A114,ÜRÜNLER!A:C,3,FALSE),VLOOKUP(A114,ÜRÜNLER!A:B,2,FALSE)),"")</f>
        <v/>
      </c>
      <c r="C114" s="8"/>
      <c r="D114" s="8"/>
      <c r="E114" s="9"/>
      <c r="F114" s="9"/>
      <c r="G114" s="10"/>
      <c r="H114" s="10"/>
      <c r="I114" s="11"/>
      <c r="J114" s="11"/>
      <c r="K114" s="10"/>
      <c r="L114" s="11"/>
      <c r="M114" s="170"/>
      <c r="N114" s="124">
        <f>SUM(N101:N113)</f>
        <v>886</v>
      </c>
      <c r="O114" s="125"/>
      <c r="P114" s="109"/>
      <c r="Q114" s="72"/>
      <c r="R114" s="25"/>
      <c r="S114" s="12"/>
      <c r="T114" s="12"/>
      <c r="U114" s="12"/>
      <c r="V114" s="13"/>
      <c r="W114" s="175"/>
      <c r="X114" s="25"/>
      <c r="Y114" s="10"/>
    </row>
    <row r="115" spans="1:25">
      <c r="A115" s="22" t="s">
        <v>113</v>
      </c>
      <c r="B115" s="50" t="str">
        <f>IFERROR(HYPERLINK(VLOOKUP(A115,ÜRÜNLER!A:C,3,FALSE),VLOOKUP(A115,ÜRÜNLER!A:B,2,FALSE)),"")</f>
        <v>iQ500 Solo Bulaşık Makinesi, autoOpen dry, glassZone, Inox</v>
      </c>
      <c r="C115" s="8">
        <v>39</v>
      </c>
      <c r="D115" s="8"/>
      <c r="E115" s="9"/>
      <c r="F115" s="9"/>
      <c r="G115" s="10"/>
      <c r="H115" s="10"/>
      <c r="I115" s="11"/>
      <c r="J115" s="11"/>
      <c r="K115" s="10"/>
      <c r="L115" s="11"/>
      <c r="M115" s="170"/>
      <c r="N115" s="124">
        <f t="shared" ref="N115:N139" si="5">L115+M115+K115+J115+I115+H115+G115+F115+E115+D115+C115</f>
        <v>39</v>
      </c>
      <c r="O115" s="125">
        <v>3</v>
      </c>
      <c r="P115" s="109"/>
      <c r="Q115" s="51">
        <v>35917.014061511349</v>
      </c>
      <c r="R115" s="18">
        <v>34121.163358435784</v>
      </c>
      <c r="S115" s="12">
        <v>35486.009892773218</v>
      </c>
      <c r="T115" s="12">
        <v>36850.856427110644</v>
      </c>
      <c r="U115" s="12">
        <v>37362.673877487185</v>
      </c>
      <c r="V115" s="13"/>
      <c r="W115" s="175"/>
      <c r="X115" s="14"/>
      <c r="Y115" s="10"/>
    </row>
    <row r="116" spans="1:25">
      <c r="A116" s="137" t="s">
        <v>114</v>
      </c>
      <c r="B116" s="50" t="str">
        <f>IFERROR(HYPERLINK(VLOOKUP(A116,ÜRÜNLER!A:C,3,FALSE),VLOOKUP(A116,ÜRÜNLER!A:B,2,FALSE)),"")</f>
        <v>iQ500 Solo Bulaşık Makinesi, autoOpen dry, glassZone, darkSteel</v>
      </c>
      <c r="C116" s="8">
        <v>43</v>
      </c>
      <c r="D116" s="8"/>
      <c r="E116" s="9"/>
      <c r="F116" s="9"/>
      <c r="G116" s="10"/>
      <c r="H116" s="10"/>
      <c r="I116" s="11">
        <v>1</v>
      </c>
      <c r="J116" s="11">
        <v>1</v>
      </c>
      <c r="K116" s="10"/>
      <c r="L116" s="11">
        <v>1</v>
      </c>
      <c r="M116" s="170"/>
      <c r="N116" s="124">
        <f t="shared" si="5"/>
        <v>46</v>
      </c>
      <c r="O116" s="125">
        <v>145</v>
      </c>
      <c r="P116" s="109"/>
      <c r="Q116" s="51">
        <v>37696.59859402696</v>
      </c>
      <c r="R116" s="18">
        <v>35811.768664325609</v>
      </c>
      <c r="S116" s="12">
        <v>37244.239410898634</v>
      </c>
      <c r="T116" s="12">
        <v>38676.710157471658</v>
      </c>
      <c r="U116" s="12">
        <v>39213.886687436541</v>
      </c>
      <c r="V116" s="13"/>
      <c r="W116" s="175"/>
      <c r="X116" s="14"/>
      <c r="Y116" s="10"/>
    </row>
    <row r="117" spans="1:25">
      <c r="A117" s="22" t="s">
        <v>112</v>
      </c>
      <c r="B117" s="50" t="str">
        <f>IFERROR(HYPERLINK(VLOOKUP(A117,ÜRÜNLER!A:C,3,FALSE),VLOOKUP(A117,ÜRÜNLER!A:B,2,FALSE)),"")</f>
        <v>iQ500 Solo Bulaşık Makinesi, autoOpen dry, glassZone, Beyaz</v>
      </c>
      <c r="C117" s="8">
        <v>54</v>
      </c>
      <c r="D117" s="8"/>
      <c r="E117" s="9"/>
      <c r="F117" s="9"/>
      <c r="G117" s="10"/>
      <c r="H117" s="10"/>
      <c r="I117" s="11"/>
      <c r="J117" s="11"/>
      <c r="K117" s="10"/>
      <c r="L117" s="11"/>
      <c r="M117" s="170"/>
      <c r="N117" s="124">
        <f t="shared" si="5"/>
        <v>54</v>
      </c>
      <c r="O117" s="125">
        <v>5</v>
      </c>
      <c r="P117" s="109"/>
      <c r="Q117" s="51">
        <v>34137.455082863948</v>
      </c>
      <c r="R117" s="18">
        <v>32430.58232872075</v>
      </c>
      <c r="S117" s="12">
        <v>33727.805621869578</v>
      </c>
      <c r="T117" s="12">
        <v>35025.028915018411</v>
      </c>
      <c r="U117" s="12">
        <v>35511.487649949224</v>
      </c>
      <c r="V117" s="13"/>
      <c r="W117" s="175"/>
      <c r="X117" s="14"/>
      <c r="Y117" s="182">
        <v>3</v>
      </c>
    </row>
    <row r="118" spans="1:25">
      <c r="A118" s="22" t="s">
        <v>115</v>
      </c>
      <c r="B118" s="50" t="str">
        <f>IFERROR(HYPERLINK(VLOOKUP(A118,ÜRÜNLER!A:C,3,FALSE),VLOOKUP(A118,ÜRÜNLER!A:B,2,FALSE)),"")</f>
        <v>iQ100 Solo Bulaşık Makinesi, Inox</v>
      </c>
      <c r="C118" s="8">
        <v>73</v>
      </c>
      <c r="D118" s="8"/>
      <c r="E118" s="9"/>
      <c r="F118" s="9">
        <v>2</v>
      </c>
      <c r="G118" s="10"/>
      <c r="H118" s="10"/>
      <c r="I118" s="11">
        <v>1</v>
      </c>
      <c r="J118" s="11">
        <v>1</v>
      </c>
      <c r="K118" s="10">
        <v>1</v>
      </c>
      <c r="L118" s="11">
        <v>1</v>
      </c>
      <c r="M118" s="170"/>
      <c r="N118" s="124">
        <f t="shared" si="5"/>
        <v>79</v>
      </c>
      <c r="O118" s="125"/>
      <c r="P118" s="113" t="s">
        <v>1547</v>
      </c>
      <c r="Q118" s="51">
        <v>26912.422161822386</v>
      </c>
      <c r="R118" s="122">
        <v>26000</v>
      </c>
      <c r="S118" s="171">
        <v>27040</v>
      </c>
      <c r="T118" s="171">
        <v>28080</v>
      </c>
      <c r="U118" s="12">
        <v>28470</v>
      </c>
      <c r="V118" s="13">
        <v>2396.1430920549428</v>
      </c>
      <c r="W118" s="175"/>
      <c r="X118" s="14"/>
      <c r="Y118" s="182">
        <v>12</v>
      </c>
    </row>
    <row r="119" spans="1:25">
      <c r="A119" s="22" t="s">
        <v>116</v>
      </c>
      <c r="B119" s="50" t="str">
        <f>IFERROR(HYPERLINK(VLOOKUP(A119,ÜRÜNLER!A:C,3,FALSE),VLOOKUP(A119,ÜRÜNLER!A:B,2,FALSE)),"")</f>
        <v>iQ100 Solo Bulaşık Makinesi, Beyaz</v>
      </c>
      <c r="C119" s="8">
        <v>30</v>
      </c>
      <c r="D119" s="8"/>
      <c r="E119" s="9"/>
      <c r="F119" s="9"/>
      <c r="G119" s="10"/>
      <c r="H119" s="10"/>
      <c r="I119" s="11">
        <v>1</v>
      </c>
      <c r="J119" s="11">
        <v>1</v>
      </c>
      <c r="K119" s="10">
        <v>2</v>
      </c>
      <c r="L119" s="11"/>
      <c r="M119" s="170">
        <v>1</v>
      </c>
      <c r="N119" s="124">
        <f t="shared" si="5"/>
        <v>35</v>
      </c>
      <c r="O119" s="125"/>
      <c r="P119" s="113" t="s">
        <v>1547</v>
      </c>
      <c r="Q119" s="51">
        <v>25739.691797415708</v>
      </c>
      <c r="R119" s="122">
        <v>25000</v>
      </c>
      <c r="S119" s="171">
        <v>26000</v>
      </c>
      <c r="T119" s="171">
        <v>27000</v>
      </c>
      <c r="U119" s="12">
        <v>27375</v>
      </c>
      <c r="V119" s="13">
        <v>3518.7615648575706</v>
      </c>
      <c r="W119" s="175"/>
      <c r="X119" s="14"/>
      <c r="Y119" s="182">
        <v>8</v>
      </c>
    </row>
    <row r="120" spans="1:25">
      <c r="A120" s="30" t="s">
        <v>126</v>
      </c>
      <c r="B120" s="50" t="str">
        <f>IFERROR(HYPERLINK(VLOOKUP(A120,ÜRÜNLER!A:C,3,FALSE),VLOOKUP(A120,ÜRÜNLER!A:B,2,FALSE)),"")</f>
        <v>iQ500 Solo Bulaşık Makinesi, autoOpen dry, Inox</v>
      </c>
      <c r="C120" s="8"/>
      <c r="D120" s="8"/>
      <c r="E120" s="9"/>
      <c r="F120" s="9"/>
      <c r="G120" s="10"/>
      <c r="H120" s="10"/>
      <c r="I120" s="11">
        <v>1</v>
      </c>
      <c r="J120" s="11"/>
      <c r="K120" s="10"/>
      <c r="L120" s="11"/>
      <c r="M120" s="170"/>
      <c r="N120" s="124">
        <f t="shared" si="5"/>
        <v>1</v>
      </c>
      <c r="O120" s="125"/>
      <c r="P120" s="109"/>
      <c r="Q120" s="72" t="s">
        <v>1561</v>
      </c>
      <c r="R120" s="120">
        <v>32000</v>
      </c>
      <c r="S120" s="12">
        <v>33280</v>
      </c>
      <c r="T120" s="12">
        <v>34560</v>
      </c>
      <c r="U120" s="12">
        <v>35040</v>
      </c>
      <c r="V120" s="13"/>
      <c r="W120" s="175">
        <v>7673.54</v>
      </c>
      <c r="X120" s="102">
        <v>500</v>
      </c>
      <c r="Y120" s="10"/>
    </row>
    <row r="121" spans="1:25">
      <c r="A121" s="22" t="s">
        <v>127</v>
      </c>
      <c r="B121" s="50" t="str">
        <f>IFERROR(HYPERLINK(VLOOKUP(A121,ÜRÜNLER!A:C,3,FALSE),VLOOKUP(A121,ÜRÜNLER!A:B,2,FALSE)),"")</f>
        <v>iQ500 Solo Bulaşık Makinesi, autoOpen dry, Beyaz</v>
      </c>
      <c r="C121" s="8"/>
      <c r="D121" s="8"/>
      <c r="E121" s="9"/>
      <c r="F121" s="9"/>
      <c r="G121" s="10"/>
      <c r="H121" s="10"/>
      <c r="I121" s="11">
        <v>1</v>
      </c>
      <c r="J121" s="11">
        <v>1</v>
      </c>
      <c r="K121" s="10">
        <v>2</v>
      </c>
      <c r="L121" s="11"/>
      <c r="M121" s="170"/>
      <c r="N121" s="124">
        <f t="shared" si="5"/>
        <v>4</v>
      </c>
      <c r="O121" s="125"/>
      <c r="P121" s="109"/>
      <c r="Q121" s="72" t="s">
        <v>1561</v>
      </c>
      <c r="R121" s="47">
        <v>33000</v>
      </c>
      <c r="S121" s="12">
        <v>34320</v>
      </c>
      <c r="T121" s="12">
        <v>35640</v>
      </c>
      <c r="U121" s="12">
        <v>36135</v>
      </c>
      <c r="V121" s="13"/>
      <c r="W121" s="175">
        <v>7385.22</v>
      </c>
      <c r="X121" s="102">
        <v>500</v>
      </c>
      <c r="Y121" s="10"/>
    </row>
    <row r="122" spans="1:25">
      <c r="A122" s="22" t="s">
        <v>117</v>
      </c>
      <c r="B122" s="50" t="str">
        <f>IFERROR(HYPERLINK(VLOOKUP(A122,ÜRÜNLER!A:C,3,FALSE),VLOOKUP(A122,ÜRÜNLER!A:B,2,FALSE)),"")</f>
        <v>iQ300 Solo Bulaşık Makinesi, autoOpen dry, Beyaz</v>
      </c>
      <c r="C122" s="8">
        <v>32</v>
      </c>
      <c r="D122" s="8"/>
      <c r="E122" s="9"/>
      <c r="F122" s="9"/>
      <c r="G122" s="10"/>
      <c r="H122" s="10"/>
      <c r="I122" s="11"/>
      <c r="J122" s="11"/>
      <c r="K122" s="10"/>
      <c r="L122" s="11"/>
      <c r="M122" s="170">
        <v>1</v>
      </c>
      <c r="N122" s="124">
        <f t="shared" si="5"/>
        <v>33</v>
      </c>
      <c r="O122" s="125">
        <v>6</v>
      </c>
      <c r="P122" s="109"/>
      <c r="Q122" s="51">
        <v>32345.602571936837</v>
      </c>
      <c r="R122" s="18">
        <v>30728.322443339996</v>
      </c>
      <c r="S122" s="12">
        <v>31957.455341073597</v>
      </c>
      <c r="T122" s="12">
        <v>33186.588238807191</v>
      </c>
      <c r="U122" s="12">
        <v>33647.513075457297</v>
      </c>
      <c r="V122" s="13">
        <v>6307.2304789135815</v>
      </c>
      <c r="W122" s="175"/>
      <c r="X122" s="14"/>
      <c r="Y122" s="10">
        <v>0</v>
      </c>
    </row>
    <row r="123" spans="1:25">
      <c r="A123" s="137" t="s">
        <v>118</v>
      </c>
      <c r="B123" s="50" t="str">
        <f>IFERROR(HYPERLINK(VLOOKUP(A123,ÜRÜNLER!A:C,3,FALSE),VLOOKUP(A123,ÜRÜNLER!A:B,2,FALSE)),"")</f>
        <v>iQ500 Solo Bulaşık Makinesi, Üstten Sepetli, Siyah Cam</v>
      </c>
      <c r="C123" s="8">
        <v>1</v>
      </c>
      <c r="D123" s="8"/>
      <c r="E123" s="9"/>
      <c r="F123" s="9"/>
      <c r="G123" s="10"/>
      <c r="H123" s="10"/>
      <c r="I123" s="11"/>
      <c r="J123" s="11"/>
      <c r="K123" s="10">
        <v>1</v>
      </c>
      <c r="L123" s="11"/>
      <c r="M123" s="170"/>
      <c r="N123" s="124">
        <f t="shared" si="5"/>
        <v>2</v>
      </c>
      <c r="O123" s="125"/>
      <c r="P123" s="109"/>
      <c r="Q123" s="72" t="s">
        <v>1561</v>
      </c>
      <c r="R123" s="44">
        <v>43883.733034453959</v>
      </c>
      <c r="S123" s="12">
        <v>45639.082355832114</v>
      </c>
      <c r="T123" s="12">
        <v>47394.431677210276</v>
      </c>
      <c r="U123" s="12">
        <v>48052.687672727086</v>
      </c>
      <c r="V123" s="13">
        <v>2914.3149744927505</v>
      </c>
      <c r="W123" s="175"/>
      <c r="X123" s="14">
        <v>250</v>
      </c>
      <c r="Y123" s="10"/>
    </row>
    <row r="124" spans="1:25">
      <c r="A124" s="30" t="s">
        <v>119</v>
      </c>
      <c r="B124" s="50" t="str">
        <f>IFERROR(HYPERLINK(VLOOKUP(A124,ÜRÜNLER!A:C,3,FALSE),VLOOKUP(A124,ÜRÜNLER!A:B,2,FALSE)),"")</f>
        <v>iQ500 Solo Bulaşık Makinesi, Üstten Sepetli, Beyaz Cam</v>
      </c>
      <c r="C124" s="8"/>
      <c r="D124" s="8"/>
      <c r="E124" s="9"/>
      <c r="F124" s="9"/>
      <c r="G124" s="10"/>
      <c r="H124" s="10"/>
      <c r="I124" s="11"/>
      <c r="J124" s="11">
        <v>1</v>
      </c>
      <c r="K124" s="10"/>
      <c r="L124" s="11"/>
      <c r="M124" s="170"/>
      <c r="N124" s="124">
        <f t="shared" si="5"/>
        <v>1</v>
      </c>
      <c r="O124" s="125"/>
      <c r="P124" s="109"/>
      <c r="Q124" s="72" t="s">
        <v>1561</v>
      </c>
      <c r="R124" s="44">
        <v>43000</v>
      </c>
      <c r="S124" s="12">
        <v>44720</v>
      </c>
      <c r="T124" s="12">
        <v>46440</v>
      </c>
      <c r="U124" s="12">
        <v>47085</v>
      </c>
      <c r="V124" s="13">
        <v>2914.3119723979325</v>
      </c>
      <c r="W124" s="175"/>
      <c r="X124" s="102">
        <v>500</v>
      </c>
      <c r="Y124" s="10"/>
    </row>
    <row r="125" spans="1:25">
      <c r="A125" s="77" t="s">
        <v>120</v>
      </c>
      <c r="B125" s="50" t="str">
        <f>IFERROR(HYPERLINK(VLOOKUP(A125,ÜRÜNLER!A:C,3,FALSE),VLOOKUP(A125,ÜRÜNLER!A:B,2,FALSE)),"")</f>
        <v>iQ500 Solo Bulaşık Makinesi, Üstten Sepetli, Antrasit Cam</v>
      </c>
      <c r="C125" s="8">
        <v>6</v>
      </c>
      <c r="D125" s="8"/>
      <c r="E125" s="9"/>
      <c r="F125" s="9"/>
      <c r="G125" s="10"/>
      <c r="H125" s="10"/>
      <c r="I125" s="11">
        <v>1</v>
      </c>
      <c r="J125" s="11"/>
      <c r="K125" s="10">
        <v>1</v>
      </c>
      <c r="L125" s="11"/>
      <c r="M125" s="170"/>
      <c r="N125" s="124">
        <f t="shared" si="5"/>
        <v>8</v>
      </c>
      <c r="O125" s="125"/>
      <c r="P125" s="109"/>
      <c r="Q125" s="51">
        <v>45858.498018909566</v>
      </c>
      <c r="R125" s="52">
        <v>44482.743078342282</v>
      </c>
      <c r="S125" s="12">
        <v>46262.052801475977</v>
      </c>
      <c r="T125" s="12">
        <v>48041.362524609664</v>
      </c>
      <c r="U125" s="12">
        <v>48708.603670784796</v>
      </c>
      <c r="V125" s="13">
        <v>2914.3119723979325</v>
      </c>
      <c r="W125" s="175"/>
      <c r="X125" s="14"/>
      <c r="Y125" s="10"/>
    </row>
    <row r="126" spans="1:25">
      <c r="A126" s="129" t="s">
        <v>121</v>
      </c>
      <c r="B126" s="50" t="str">
        <f>IFERROR(HYPERLINK(VLOOKUP(A126,ÜRÜNLER!A:C,3,FALSE),VLOOKUP(A126,ÜRÜNLER!A:B,2,FALSE)),"")</f>
        <v>iQ300 Solo Bulaşık Makinesi, Üstten Sepetli, darkSteel</v>
      </c>
      <c r="C126" s="8"/>
      <c r="D126" s="8"/>
      <c r="E126" s="9"/>
      <c r="F126" s="9"/>
      <c r="G126" s="10"/>
      <c r="H126" s="10"/>
      <c r="I126" s="11">
        <v>1</v>
      </c>
      <c r="J126" s="11">
        <v>1</v>
      </c>
      <c r="K126" s="10">
        <v>1</v>
      </c>
      <c r="L126" s="11">
        <v>1</v>
      </c>
      <c r="M126" s="170"/>
      <c r="N126" s="124">
        <f t="shared" si="5"/>
        <v>4</v>
      </c>
      <c r="O126" s="125"/>
      <c r="P126" s="109"/>
      <c r="Q126" s="72" t="s">
        <v>1561</v>
      </c>
      <c r="R126" s="44">
        <v>33250</v>
      </c>
      <c r="S126" s="12">
        <v>34580</v>
      </c>
      <c r="T126" s="12">
        <v>35910</v>
      </c>
      <c r="U126" s="12">
        <v>36408.75</v>
      </c>
      <c r="V126" s="13">
        <v>956.09410605521407</v>
      </c>
      <c r="W126" s="175"/>
      <c r="X126" s="14"/>
      <c r="Y126" s="10"/>
    </row>
    <row r="127" spans="1:25">
      <c r="A127" s="30" t="s">
        <v>122</v>
      </c>
      <c r="B127" s="50" t="str">
        <f>IFERROR(HYPERLINK(VLOOKUP(A127,ÜRÜNLER!A:C,3,FALSE),VLOOKUP(A127,ÜRÜNLER!A:B,2,FALSE)),"")</f>
        <v>iQ300 Solo Bulaşık Makinesi, Inox</v>
      </c>
      <c r="C127" s="8">
        <v>9</v>
      </c>
      <c r="D127" s="8"/>
      <c r="E127" s="9"/>
      <c r="F127" s="9"/>
      <c r="G127" s="10"/>
      <c r="H127" s="10"/>
      <c r="I127" s="11">
        <v>1</v>
      </c>
      <c r="J127" s="11">
        <v>1</v>
      </c>
      <c r="K127" s="10">
        <v>2</v>
      </c>
      <c r="L127" s="11"/>
      <c r="M127" s="170"/>
      <c r="N127" s="124">
        <f t="shared" si="5"/>
        <v>13</v>
      </c>
      <c r="O127" s="125">
        <v>109</v>
      </c>
      <c r="P127" s="110"/>
      <c r="Q127" s="51">
        <v>33869.608742468881</v>
      </c>
      <c r="R127" s="18">
        <v>32176.128305345439</v>
      </c>
      <c r="S127" s="12">
        <v>33463.173437559257</v>
      </c>
      <c r="T127" s="12">
        <v>34750.218569773075</v>
      </c>
      <c r="U127" s="12">
        <v>35232.860494353255</v>
      </c>
      <c r="V127" s="13">
        <v>6944.0273471200426</v>
      </c>
      <c r="W127" s="175"/>
      <c r="X127" s="14"/>
      <c r="Y127" s="10"/>
    </row>
    <row r="128" spans="1:25">
      <c r="A128" s="30" t="s">
        <v>124</v>
      </c>
      <c r="B128" s="50" t="str">
        <f>IFERROR(HYPERLINK(VLOOKUP(A128,ÜRÜNLER!A:C,3,FALSE),VLOOKUP(A128,ÜRÜNLER!A:B,2,FALSE)),"")</f>
        <v>iQ300 Solo Bulaşık Makinesi, Beyaz</v>
      </c>
      <c r="C128" s="8">
        <v>87</v>
      </c>
      <c r="D128" s="8"/>
      <c r="E128" s="9"/>
      <c r="F128" s="9"/>
      <c r="G128" s="10"/>
      <c r="H128" s="10"/>
      <c r="I128" s="11">
        <v>2</v>
      </c>
      <c r="J128" s="11">
        <v>1</v>
      </c>
      <c r="K128" s="10">
        <v>1</v>
      </c>
      <c r="L128" s="11">
        <v>1</v>
      </c>
      <c r="M128" s="170">
        <v>1</v>
      </c>
      <c r="N128" s="124">
        <f t="shared" si="5"/>
        <v>93</v>
      </c>
      <c r="O128" s="125">
        <v>86</v>
      </c>
      <c r="P128" s="110"/>
      <c r="Q128" s="51">
        <v>31727.44101962983</v>
      </c>
      <c r="R128" s="52">
        <v>30775.617789040934</v>
      </c>
      <c r="S128" s="12">
        <v>32006.642500602571</v>
      </c>
      <c r="T128" s="12">
        <v>33237.667212164211</v>
      </c>
      <c r="U128" s="12">
        <v>33699.30147899982</v>
      </c>
      <c r="V128" s="13">
        <v>6625.1154382344839</v>
      </c>
      <c r="W128" s="175"/>
      <c r="X128" s="14"/>
      <c r="Y128" s="10">
        <v>0</v>
      </c>
    </row>
    <row r="129" spans="1:25">
      <c r="A129" s="30" t="s">
        <v>123</v>
      </c>
      <c r="B129" s="50" t="str">
        <f>IFERROR(HYPERLINK(VLOOKUP(A129,ÜRÜNLER!A:C,3,FALSE),VLOOKUP(A129,ÜRÜNLER!A:B,2,FALSE)),"")</f>
        <v>iQ300 Solo Bulaşık Makinesi, Üstten Sepetli, Inox</v>
      </c>
      <c r="C129" s="8">
        <v>15</v>
      </c>
      <c r="D129" s="8"/>
      <c r="E129" s="9"/>
      <c r="F129" s="9"/>
      <c r="G129" s="10"/>
      <c r="H129" s="10"/>
      <c r="I129" s="11">
        <v>1</v>
      </c>
      <c r="J129" s="11">
        <v>1</v>
      </c>
      <c r="K129" s="10">
        <v>1</v>
      </c>
      <c r="L129" s="11"/>
      <c r="M129" s="170"/>
      <c r="N129" s="124">
        <f t="shared" si="5"/>
        <v>18</v>
      </c>
      <c r="O129" s="125">
        <v>6</v>
      </c>
      <c r="P129" s="109"/>
      <c r="Q129" s="51">
        <v>34092.320440763455</v>
      </c>
      <c r="R129" s="18">
        <v>32387.704418725283</v>
      </c>
      <c r="S129" s="12">
        <v>33683.212595474295</v>
      </c>
      <c r="T129" s="12">
        <v>34978.720772223307</v>
      </c>
      <c r="U129" s="12">
        <v>35464.536338504186</v>
      </c>
      <c r="V129" s="13">
        <v>2844.6460221587986</v>
      </c>
      <c r="W129" s="175"/>
      <c r="X129" s="14"/>
      <c r="Y129" s="10"/>
    </row>
    <row r="130" spans="1:25">
      <c r="A130" s="22" t="s">
        <v>125</v>
      </c>
      <c r="B130" s="50" t="str">
        <f>IFERROR(HYPERLINK(VLOOKUP(A130,ÜRÜNLER!A:C,3,FALSE),VLOOKUP(A130,ÜRÜNLER!A:B,2,FALSE)),"")</f>
        <v>iQ300 Solo Bulaşık Makinesi, Üstten Sepetli, Beyaz</v>
      </c>
      <c r="C130" s="8">
        <v>2</v>
      </c>
      <c r="D130" s="8"/>
      <c r="E130" s="9"/>
      <c r="F130" s="9"/>
      <c r="G130" s="10"/>
      <c r="H130" s="10"/>
      <c r="I130" s="11">
        <v>1</v>
      </c>
      <c r="J130" s="11"/>
      <c r="K130" s="10">
        <v>3</v>
      </c>
      <c r="L130" s="11"/>
      <c r="M130" s="170">
        <v>1</v>
      </c>
      <c r="N130" s="124">
        <f t="shared" si="5"/>
        <v>7</v>
      </c>
      <c r="O130" s="125"/>
      <c r="P130" s="109"/>
      <c r="Q130" s="51">
        <v>31969.828311913185</v>
      </c>
      <c r="R130" s="18">
        <v>30371.336896317523</v>
      </c>
      <c r="S130" s="12">
        <v>31586.190372170226</v>
      </c>
      <c r="T130" s="12">
        <v>32801.043848022928</v>
      </c>
      <c r="U130" s="12">
        <v>33256.613901467688</v>
      </c>
      <c r="V130" s="13">
        <v>3074.4794747038832</v>
      </c>
      <c r="W130" s="175"/>
      <c r="X130" s="14"/>
      <c r="Y130" s="182">
        <v>12</v>
      </c>
    </row>
    <row r="131" spans="1:25">
      <c r="A131" s="22" t="s">
        <v>128</v>
      </c>
      <c r="B131" s="50" t="str">
        <f>IFERROR(HYPERLINK(VLOOKUP(A131,ÜRÜNLER!A:C,3,FALSE),VLOOKUP(A131,ÜRÜNLER!A:B,2,FALSE)),"")</f>
        <v>iQ500 Solo Bulaşık Makinesi, autoOpen dry, Inox</v>
      </c>
      <c r="C131" s="8">
        <v>10</v>
      </c>
      <c r="D131" s="8"/>
      <c r="E131" s="9"/>
      <c r="F131" s="9"/>
      <c r="G131" s="10"/>
      <c r="H131" s="10"/>
      <c r="I131" s="11"/>
      <c r="J131" s="11">
        <v>1</v>
      </c>
      <c r="K131" s="10"/>
      <c r="L131" s="11"/>
      <c r="M131" s="170"/>
      <c r="N131" s="124">
        <f t="shared" si="5"/>
        <v>11</v>
      </c>
      <c r="O131" s="125">
        <v>1</v>
      </c>
      <c r="P131" s="109"/>
      <c r="Q131" s="51">
        <v>36784.46537578087</v>
      </c>
      <c r="R131" s="52">
        <v>35680.931414507446</v>
      </c>
      <c r="S131" s="12">
        <v>37108.16867108774</v>
      </c>
      <c r="T131" s="12">
        <v>38535.405927668042</v>
      </c>
      <c r="U131" s="12">
        <v>39070.619898885656</v>
      </c>
      <c r="V131" s="13">
        <v>1922.8374688041222</v>
      </c>
      <c r="W131" s="175"/>
      <c r="X131" s="27"/>
      <c r="Y131" s="10"/>
    </row>
    <row r="132" spans="1:25">
      <c r="A132" s="22" t="s">
        <v>111</v>
      </c>
      <c r="B132" s="50" t="str">
        <f>IFERROR(HYPERLINK(VLOOKUP(A132,ÜRÜNLER!A:C,3,FALSE),VLOOKUP(A132,ÜRÜNLER!A:B,2,FALSE)),"")</f>
        <v>iQ500 Solo Bulaşık Makinesi, autoOpen dry, Üstten Sepetli, Inox</v>
      </c>
      <c r="C132" s="8">
        <v>8</v>
      </c>
      <c r="D132" s="8"/>
      <c r="E132" s="9"/>
      <c r="F132" s="9"/>
      <c r="G132" s="10"/>
      <c r="H132" s="10"/>
      <c r="I132" s="11"/>
      <c r="J132" s="11"/>
      <c r="K132" s="10"/>
      <c r="L132" s="11"/>
      <c r="M132" s="170"/>
      <c r="N132" s="124">
        <f t="shared" si="5"/>
        <v>8</v>
      </c>
      <c r="O132" s="125"/>
      <c r="P132" s="109"/>
      <c r="Q132" s="51">
        <v>37152.326204304736</v>
      </c>
      <c r="R132" s="18">
        <v>35294.709894089501</v>
      </c>
      <c r="S132" s="12">
        <v>36706.49828985308</v>
      </c>
      <c r="T132" s="12">
        <v>38118.286685616658</v>
      </c>
      <c r="U132" s="12">
        <v>38647.707334028004</v>
      </c>
      <c r="V132" s="13"/>
      <c r="W132" s="175"/>
      <c r="X132" s="27"/>
      <c r="Y132" s="182">
        <v>2</v>
      </c>
    </row>
    <row r="133" spans="1:25">
      <c r="A133" s="30" t="s">
        <v>130</v>
      </c>
      <c r="B133" s="50" t="str">
        <f>IFERROR(HYPERLINK(VLOOKUP(A133,ÜRÜNLER!A:C,3,FALSE),VLOOKUP(A133,ÜRÜNLER!A:B,2,FALSE)),"")</f>
        <v>iQ500 Solo Bulaşık Makinesi, autoOpen dry, Üstten Sepetli, Inox</v>
      </c>
      <c r="C133" s="8"/>
      <c r="D133" s="8"/>
      <c r="E133" s="9"/>
      <c r="F133" s="9">
        <v>1</v>
      </c>
      <c r="G133" s="10"/>
      <c r="H133" s="10"/>
      <c r="I133" s="11">
        <v>1</v>
      </c>
      <c r="J133" s="11"/>
      <c r="K133" s="10">
        <v>1</v>
      </c>
      <c r="L133" s="11"/>
      <c r="M133" s="170"/>
      <c r="N133" s="124">
        <f t="shared" si="5"/>
        <v>3</v>
      </c>
      <c r="O133" s="125">
        <v>16</v>
      </c>
      <c r="P133" s="109"/>
      <c r="Q133" s="51">
        <v>44038.825961696479</v>
      </c>
      <c r="R133" s="25">
        <v>44038.825961696479</v>
      </c>
      <c r="S133" s="12">
        <v>45800.379000164336</v>
      </c>
      <c r="T133" s="12">
        <v>47561.9320386322</v>
      </c>
      <c r="U133" s="12">
        <v>48222.514428057642</v>
      </c>
      <c r="V133" s="13"/>
      <c r="W133" s="175"/>
      <c r="X133" s="14"/>
      <c r="Y133" s="182">
        <v>3</v>
      </c>
    </row>
    <row r="134" spans="1:25">
      <c r="A134" s="30" t="s">
        <v>131</v>
      </c>
      <c r="B134" s="50" t="str">
        <f>IFERROR(HYPERLINK(VLOOKUP(A134,ÜRÜNLER!A:C,3,FALSE),VLOOKUP(A134,ÜRÜNLER!A:B,2,FALSE)),"")</f>
        <v>iQ500 Solo Bulaşık Makinesi, autoOpen dry, glassZone, Inox</v>
      </c>
      <c r="C134" s="8"/>
      <c r="D134" s="8"/>
      <c r="E134" s="9"/>
      <c r="F134" s="9"/>
      <c r="G134" s="10"/>
      <c r="H134" s="10"/>
      <c r="I134" s="11">
        <v>1</v>
      </c>
      <c r="J134" s="11"/>
      <c r="K134" s="10"/>
      <c r="L134" s="11">
        <v>1</v>
      </c>
      <c r="M134" s="170"/>
      <c r="N134" s="124">
        <f t="shared" si="5"/>
        <v>2</v>
      </c>
      <c r="O134" s="125"/>
      <c r="P134" s="109"/>
      <c r="Q134" s="72" t="s">
        <v>1561</v>
      </c>
      <c r="R134" s="47">
        <v>41000</v>
      </c>
      <c r="S134" s="12">
        <v>42640</v>
      </c>
      <c r="T134" s="12">
        <v>44280</v>
      </c>
      <c r="U134" s="12">
        <v>44895</v>
      </c>
      <c r="V134" s="13"/>
      <c r="W134" s="175"/>
      <c r="X134" s="121">
        <v>500</v>
      </c>
      <c r="Y134" s="10"/>
    </row>
    <row r="135" spans="1:25">
      <c r="A135" s="22" t="s">
        <v>134</v>
      </c>
      <c r="B135" s="50" t="str">
        <f>IFERROR(HYPERLINK(VLOOKUP(A135,ÜRÜNLER!A:C,3,FALSE),VLOOKUP(A135,ÜRÜNLER!A:B,2,FALSE)),"")</f>
        <v>iQ500 Solo Bulaşık Makinesi, autoOpen dry, glassZone, Üstten Sepetli, Inox</v>
      </c>
      <c r="C135" s="8">
        <v>8</v>
      </c>
      <c r="D135" s="8"/>
      <c r="E135" s="9"/>
      <c r="F135" s="9"/>
      <c r="G135" s="10"/>
      <c r="H135" s="10"/>
      <c r="I135" s="11"/>
      <c r="J135" s="11"/>
      <c r="K135" s="10"/>
      <c r="L135" s="11"/>
      <c r="M135" s="170"/>
      <c r="N135" s="124">
        <f t="shared" si="5"/>
        <v>8</v>
      </c>
      <c r="O135" s="125"/>
      <c r="P135" s="109"/>
      <c r="Q135" s="51">
        <v>48790.291878140393</v>
      </c>
      <c r="R135" s="18">
        <v>46350.777284233372</v>
      </c>
      <c r="S135" s="12">
        <v>48204.808375602704</v>
      </c>
      <c r="T135" s="12">
        <v>50058.839466972044</v>
      </c>
      <c r="U135" s="12">
        <v>50754.101126235546</v>
      </c>
      <c r="V135" s="13"/>
      <c r="W135" s="175"/>
      <c r="X135" s="14"/>
      <c r="Y135" s="182">
        <v>3</v>
      </c>
    </row>
    <row r="136" spans="1:25">
      <c r="A136" s="22" t="s">
        <v>129</v>
      </c>
      <c r="B136" s="50" t="str">
        <f>IFERROR(HYPERLINK(VLOOKUP(A136,ÜRÜNLER!A:C,3,FALSE),VLOOKUP(A136,ÜRÜNLER!A:B,2,FALSE)),"")</f>
        <v>iQ500 Solo Bulaşık Makinesi, autoOpen dry, Beyaz</v>
      </c>
      <c r="C136" s="8">
        <v>7</v>
      </c>
      <c r="D136" s="8"/>
      <c r="E136" s="9"/>
      <c r="F136" s="9"/>
      <c r="G136" s="10"/>
      <c r="H136" s="10"/>
      <c r="I136" s="11">
        <v>1</v>
      </c>
      <c r="J136" s="11"/>
      <c r="K136" s="10"/>
      <c r="L136" s="11"/>
      <c r="M136" s="170"/>
      <c r="N136" s="124">
        <f t="shared" si="5"/>
        <v>8</v>
      </c>
      <c r="O136" s="125"/>
      <c r="P136" s="109"/>
      <c r="Q136" s="51">
        <v>35182.844355966678</v>
      </c>
      <c r="R136" s="18">
        <v>33423.702138168344</v>
      </c>
      <c r="S136" s="12">
        <v>34760.650223695076</v>
      </c>
      <c r="T136" s="12">
        <v>36097.598309221808</v>
      </c>
      <c r="U136" s="12">
        <v>36598.953841294337</v>
      </c>
      <c r="V136" s="13">
        <v>2307.262960617838</v>
      </c>
      <c r="W136" s="175"/>
      <c r="X136" s="27"/>
      <c r="Y136" s="10"/>
    </row>
    <row r="137" spans="1:25">
      <c r="A137" s="22" t="s">
        <v>132</v>
      </c>
      <c r="B137" s="50" t="str">
        <f>IFERROR(HYPERLINK(VLOOKUP(A137,ÜRÜNLER!A:C,3,FALSE),VLOOKUP(A137,ÜRÜNLER!A:B,2,FALSE)),"")</f>
        <v>iQ500 Solo Bulaşık Makinesi, autoOpen dry, Üstten Sepetli, Beyaz</v>
      </c>
      <c r="C137" s="8"/>
      <c r="D137" s="8"/>
      <c r="E137" s="9"/>
      <c r="F137" s="9">
        <v>1</v>
      </c>
      <c r="G137" s="10"/>
      <c r="H137" s="10"/>
      <c r="I137" s="11"/>
      <c r="J137" s="11"/>
      <c r="K137" s="10"/>
      <c r="L137" s="11"/>
      <c r="M137" s="170"/>
      <c r="N137" s="124">
        <f t="shared" si="5"/>
        <v>1</v>
      </c>
      <c r="O137" s="125"/>
      <c r="P137" s="109"/>
      <c r="Q137" s="72" t="s">
        <v>1561</v>
      </c>
      <c r="R137" s="47">
        <v>33000</v>
      </c>
      <c r="S137" s="12">
        <v>34320</v>
      </c>
      <c r="T137" s="12">
        <v>35640</v>
      </c>
      <c r="U137" s="12">
        <v>36135</v>
      </c>
      <c r="V137" s="13"/>
      <c r="W137" s="175"/>
      <c r="X137" s="17"/>
      <c r="Y137" s="10"/>
    </row>
    <row r="138" spans="1:25">
      <c r="A138" s="22" t="s">
        <v>133</v>
      </c>
      <c r="B138" s="50" t="str">
        <f>IFERROR(HYPERLINK(VLOOKUP(A138,ÜRÜNLER!A:C,3,FALSE),VLOOKUP(A138,ÜRÜNLER!A:B,2,FALSE)),"")</f>
        <v>iQ500 Solo Bulaşık Makinesi, Üstten Sepetli, Beyaz</v>
      </c>
      <c r="C138" s="8"/>
      <c r="D138" s="8"/>
      <c r="E138" s="9"/>
      <c r="F138" s="9"/>
      <c r="G138" s="10"/>
      <c r="H138" s="10"/>
      <c r="I138" s="11"/>
      <c r="J138" s="11">
        <v>1</v>
      </c>
      <c r="K138" s="10"/>
      <c r="L138" s="11"/>
      <c r="M138" s="170"/>
      <c r="N138" s="124">
        <f t="shared" si="5"/>
        <v>1</v>
      </c>
      <c r="O138" s="125"/>
      <c r="P138" s="109"/>
      <c r="Q138" s="72" t="s">
        <v>1561</v>
      </c>
      <c r="R138" s="46">
        <v>33000</v>
      </c>
      <c r="S138" s="12">
        <v>34320</v>
      </c>
      <c r="T138" s="12">
        <v>35640</v>
      </c>
      <c r="U138" s="12">
        <v>36135</v>
      </c>
      <c r="V138" s="13"/>
      <c r="W138" s="175"/>
      <c r="X138" s="121">
        <v>500</v>
      </c>
      <c r="Y138" s="10"/>
    </row>
    <row r="139" spans="1:25">
      <c r="A139" s="30" t="s">
        <v>135</v>
      </c>
      <c r="B139" s="50" t="str">
        <f>IFERROR(HYPERLINK(VLOOKUP(A139,ÜRÜNLER!A:C,3,FALSE),VLOOKUP(A139,ÜRÜNLER!A:B,2,FALSE)),"")</f>
        <v>iQ700 Solo Bulaşık Makinesi, Zeolith dry, glassZone, Inox</v>
      </c>
      <c r="C139" s="8">
        <v>44</v>
      </c>
      <c r="D139" s="8"/>
      <c r="E139" s="9"/>
      <c r="F139" s="9">
        <v>1</v>
      </c>
      <c r="G139" s="10"/>
      <c r="H139" s="10"/>
      <c r="I139" s="11">
        <v>1</v>
      </c>
      <c r="J139" s="11">
        <v>1</v>
      </c>
      <c r="K139" s="10">
        <v>1</v>
      </c>
      <c r="L139" s="11">
        <v>1</v>
      </c>
      <c r="M139" s="170">
        <v>1</v>
      </c>
      <c r="N139" s="124">
        <f t="shared" si="5"/>
        <v>50</v>
      </c>
      <c r="O139" s="125"/>
      <c r="P139" s="110"/>
      <c r="Q139" s="51">
        <v>52646.952042371733</v>
      </c>
      <c r="R139" s="18">
        <v>50014.604440253148</v>
      </c>
      <c r="S139" s="12">
        <v>52015.18861786327</v>
      </c>
      <c r="T139" s="12">
        <v>54015.7727954734</v>
      </c>
      <c r="U139" s="12">
        <v>54765.991862077193</v>
      </c>
      <c r="V139" s="13"/>
      <c r="W139" s="175"/>
      <c r="X139" s="17"/>
      <c r="Y139" s="10">
        <v>0</v>
      </c>
    </row>
    <row r="140" spans="1:25" s="32" customFormat="1" ht="34.5" customHeight="1">
      <c r="A140" s="31" t="s">
        <v>1550</v>
      </c>
      <c r="B140" s="50" t="str">
        <f>IFERROR(HYPERLINK(VLOOKUP(A140,ÜRÜNLER!A:C,3,FALSE),VLOOKUP(A140,ÜRÜNLER!A:B,2,FALSE)),"")</f>
        <v/>
      </c>
      <c r="C140" s="8"/>
      <c r="D140" s="8"/>
      <c r="E140" s="9"/>
      <c r="F140" s="9"/>
      <c r="G140" s="10"/>
      <c r="H140" s="10"/>
      <c r="I140" s="11"/>
      <c r="J140" s="11"/>
      <c r="K140" s="10"/>
      <c r="L140" s="11"/>
      <c r="M140" s="170"/>
      <c r="N140" s="124">
        <f>SUM(N115:N139)</f>
        <v>529</v>
      </c>
      <c r="O140" s="125"/>
      <c r="P140" s="109"/>
      <c r="Q140" s="72"/>
      <c r="R140" s="14"/>
      <c r="S140" s="12"/>
      <c r="T140" s="12"/>
      <c r="U140" s="12"/>
      <c r="V140" s="13"/>
      <c r="W140" s="175"/>
      <c r="X140" s="14"/>
      <c r="Y140" s="10"/>
    </row>
    <row r="141" spans="1:25">
      <c r="A141" s="133" t="s">
        <v>472</v>
      </c>
      <c r="B141" s="50" t="str">
        <f>IFERROR(HYPERLINK(VLOOKUP(A141,ÜRÜNLER!A:C,3,FALSE),VLOOKUP(A141,ÜRÜNLER!A:B,2,FALSE)),"")</f>
        <v>iQ500 Tezgah Altı Ankastre Kapaklı Bulaşık Makinesi, autoOpen dry, timeLight, 3 Sepetli, Siyah Cam</v>
      </c>
      <c r="C141" s="8">
        <v>25</v>
      </c>
      <c r="D141" s="8"/>
      <c r="E141" s="9"/>
      <c r="F141" s="9"/>
      <c r="G141" s="10"/>
      <c r="H141" s="10"/>
      <c r="I141" s="11">
        <v>1</v>
      </c>
      <c r="J141" s="11"/>
      <c r="K141" s="10"/>
      <c r="L141" s="11"/>
      <c r="M141" s="170"/>
      <c r="N141" s="124">
        <f t="shared" ref="N141:N162" si="6">L141+M141+K141+J141+I141+H141+G141+F141+E141+D141+C141</f>
        <v>26</v>
      </c>
      <c r="O141" s="125"/>
      <c r="P141" s="109"/>
      <c r="Q141" s="51">
        <v>41098.901791999997</v>
      </c>
      <c r="R141" s="52">
        <v>39865.934738239994</v>
      </c>
      <c r="S141" s="12">
        <v>41460.572127769592</v>
      </c>
      <c r="T141" s="12">
        <v>43055.20951729919</v>
      </c>
      <c r="U141" s="12">
        <v>43653.198538372795</v>
      </c>
      <c r="V141" s="13"/>
      <c r="W141" s="175"/>
      <c r="X141" s="14"/>
      <c r="Y141" s="10"/>
    </row>
    <row r="142" spans="1:25">
      <c r="A142" s="133" t="s">
        <v>473</v>
      </c>
      <c r="B142" s="50" t="str">
        <f>IFERROR(HYPERLINK(VLOOKUP(A142,ÜRÜNLER!A:C,3,FALSE),VLOOKUP(A142,ÜRÜNLER!A:B,2,FALSE)),"")</f>
        <v>iQ500 Tezgah Altı Ankastre Kapaklı Bulaşık Makinesi, autoOpen dry, timeLight, 3 Sepetli, Antrasit Cam</v>
      </c>
      <c r="C142" s="8">
        <v>2</v>
      </c>
      <c r="D142" s="8"/>
      <c r="E142" s="9"/>
      <c r="F142" s="9"/>
      <c r="G142" s="10"/>
      <c r="H142" s="10"/>
      <c r="I142" s="11"/>
      <c r="J142" s="11"/>
      <c r="K142" s="10"/>
      <c r="L142" s="11"/>
      <c r="M142" s="170"/>
      <c r="N142" s="124">
        <f t="shared" si="6"/>
        <v>2</v>
      </c>
      <c r="O142" s="125">
        <v>10</v>
      </c>
      <c r="P142" s="109"/>
      <c r="Q142" s="51">
        <v>41098.901791999997</v>
      </c>
      <c r="R142" s="52">
        <v>39865.934738239994</v>
      </c>
      <c r="S142" s="12">
        <v>41460.572127769592</v>
      </c>
      <c r="T142" s="12">
        <v>43055.20951729919</v>
      </c>
      <c r="U142" s="12">
        <v>43653.198538372795</v>
      </c>
      <c r="V142" s="13"/>
      <c r="W142" s="175"/>
      <c r="X142" s="14"/>
      <c r="Y142" s="10"/>
    </row>
    <row r="143" spans="1:25">
      <c r="A143" s="132" t="s">
        <v>138</v>
      </c>
      <c r="B143" s="50" t="str">
        <f>IFERROR(HYPERLINK(VLOOKUP(A143,ÜRÜNLER!A:C,3,FALSE),VLOOKUP(A143,ÜRÜNLER!A:B,2,FALSE)),"")</f>
        <v>iQ100 Yarı Ankastre Bulaşık Makinesi, Beyaz</v>
      </c>
      <c r="C143" s="8"/>
      <c r="D143" s="8"/>
      <c r="E143" s="9"/>
      <c r="F143" s="9"/>
      <c r="G143" s="10"/>
      <c r="H143" s="10"/>
      <c r="I143" s="11">
        <v>1</v>
      </c>
      <c r="J143" s="11"/>
      <c r="K143" s="10"/>
      <c r="L143" s="11"/>
      <c r="M143" s="170"/>
      <c r="N143" s="124">
        <f t="shared" si="6"/>
        <v>1</v>
      </c>
      <c r="O143" s="125"/>
      <c r="P143" s="109"/>
      <c r="Q143" s="72" t="s">
        <v>1561</v>
      </c>
      <c r="R143" s="19">
        <v>18000</v>
      </c>
      <c r="S143" s="12">
        <v>18720</v>
      </c>
      <c r="T143" s="12">
        <v>19440</v>
      </c>
      <c r="U143" s="12">
        <v>19710</v>
      </c>
      <c r="V143" s="13"/>
      <c r="W143" s="175"/>
      <c r="X143" s="102">
        <v>500</v>
      </c>
      <c r="Y143" s="10"/>
    </row>
    <row r="144" spans="1:25">
      <c r="A144" s="132" t="s">
        <v>137</v>
      </c>
      <c r="B144" s="50" t="str">
        <f>IFERROR(HYPERLINK(VLOOKUP(A144,ÜRÜNLER!A:C,3,FALSE),VLOOKUP(A144,ÜRÜNLER!A:B,2,FALSE)),"")</f>
        <v>iQ100 Yarı Ankastre Bulaşık Makinesi, Beyaz</v>
      </c>
      <c r="C144" s="8"/>
      <c r="D144" s="8"/>
      <c r="E144" s="9"/>
      <c r="F144" s="9">
        <v>2</v>
      </c>
      <c r="G144" s="10"/>
      <c r="H144" s="10"/>
      <c r="I144" s="11"/>
      <c r="J144" s="11"/>
      <c r="K144" s="10"/>
      <c r="L144" s="11"/>
      <c r="M144" s="170"/>
      <c r="N144" s="124">
        <f t="shared" si="6"/>
        <v>2</v>
      </c>
      <c r="O144" s="125"/>
      <c r="P144" s="109"/>
      <c r="Q144" s="72" t="s">
        <v>1561</v>
      </c>
      <c r="R144" s="19">
        <v>20000</v>
      </c>
      <c r="S144" s="12">
        <v>20800</v>
      </c>
      <c r="T144" s="12">
        <v>21600</v>
      </c>
      <c r="U144" s="12">
        <v>21900</v>
      </c>
      <c r="V144" s="13"/>
      <c r="W144" s="175">
        <v>2164.92</v>
      </c>
      <c r="X144" s="14">
        <v>250</v>
      </c>
      <c r="Y144" s="10"/>
    </row>
    <row r="145" spans="1:25">
      <c r="A145" s="132" t="s">
        <v>141</v>
      </c>
      <c r="B145" s="50" t="str">
        <f>IFERROR(HYPERLINK(VLOOKUP(A145,ÜRÜNLER!A:C,3,FALSE),VLOOKUP(A145,ÜRÜNLER!A:B,2,FALSE)),"")</f>
        <v>iQ300 Yarı Ankastre Bulaşık Makinesi, Siyah/Inox</v>
      </c>
      <c r="C145" s="8">
        <v>10</v>
      </c>
      <c r="D145" s="8"/>
      <c r="E145" s="9"/>
      <c r="F145" s="9"/>
      <c r="G145" s="10"/>
      <c r="H145" s="10"/>
      <c r="I145" s="11"/>
      <c r="J145" s="11"/>
      <c r="K145" s="10"/>
      <c r="L145" s="11">
        <v>1</v>
      </c>
      <c r="M145" s="170"/>
      <c r="N145" s="124">
        <f t="shared" si="6"/>
        <v>11</v>
      </c>
      <c r="O145" s="125"/>
      <c r="P145" s="109"/>
      <c r="Q145" s="51">
        <v>31218.890959957265</v>
      </c>
      <c r="R145" s="18">
        <v>29657.946411959401</v>
      </c>
      <c r="S145" s="12">
        <v>30844.264268437779</v>
      </c>
      <c r="T145" s="12">
        <v>32030.582124916153</v>
      </c>
      <c r="U145" s="12">
        <v>32475.451321095545</v>
      </c>
      <c r="V145" s="13"/>
      <c r="W145" s="175"/>
      <c r="X145" s="14"/>
      <c r="Y145" s="182">
        <v>4</v>
      </c>
    </row>
    <row r="146" spans="1:25">
      <c r="A146" s="21" t="s">
        <v>139</v>
      </c>
      <c r="B146" s="50" t="str">
        <f>IFERROR(HYPERLINK(VLOOKUP(A146,ÜRÜNLER!A:C,3,FALSE),VLOOKUP(A146,ÜRÜNLER!A:B,2,FALSE)),"")</f>
        <v>iQ500 Yarı Ankastre Bulaşık Makinesi, Üstten Sepetli, Inox</v>
      </c>
      <c r="C146" s="8">
        <v>1</v>
      </c>
      <c r="D146" s="8"/>
      <c r="E146" s="9"/>
      <c r="F146" s="9"/>
      <c r="G146" s="10"/>
      <c r="H146" s="10"/>
      <c r="I146" s="11">
        <v>1</v>
      </c>
      <c r="J146" s="11">
        <v>1</v>
      </c>
      <c r="K146" s="10">
        <v>1</v>
      </c>
      <c r="L146" s="11"/>
      <c r="M146" s="170"/>
      <c r="N146" s="124">
        <f t="shared" si="6"/>
        <v>4</v>
      </c>
      <c r="O146" s="125">
        <v>5</v>
      </c>
      <c r="P146" s="109"/>
      <c r="Q146" s="51">
        <v>32690.517040971317</v>
      </c>
      <c r="R146" s="18">
        <v>31055.991188922751</v>
      </c>
      <c r="S146" s="12">
        <v>32298.230836479663</v>
      </c>
      <c r="T146" s="12">
        <v>33540.470484036574</v>
      </c>
      <c r="U146" s="12">
        <v>34006.310351870416</v>
      </c>
      <c r="V146" s="13"/>
      <c r="W146" s="175"/>
      <c r="X146" s="14"/>
      <c r="Y146" s="10"/>
    </row>
    <row r="147" spans="1:25">
      <c r="A147" s="132" t="s">
        <v>140</v>
      </c>
      <c r="B147" s="50" t="str">
        <f>IFERROR(HYPERLINK(VLOOKUP(A147,ÜRÜNLER!A:C,3,FALSE),VLOOKUP(A147,ÜRÜNLER!A:B,2,FALSE)),"")</f>
        <v>iQ300 Yarı Ankastre Bulaşık Makinesi, Beyaz/Inox</v>
      </c>
      <c r="C147" s="8">
        <v>2</v>
      </c>
      <c r="D147" s="8"/>
      <c r="E147" s="9"/>
      <c r="F147" s="9"/>
      <c r="G147" s="10"/>
      <c r="H147" s="10"/>
      <c r="I147" s="11">
        <v>1</v>
      </c>
      <c r="J147" s="11">
        <v>1</v>
      </c>
      <c r="K147" s="10"/>
      <c r="L147" s="11"/>
      <c r="M147" s="170"/>
      <c r="N147" s="124">
        <f t="shared" si="6"/>
        <v>4</v>
      </c>
      <c r="O147" s="125"/>
      <c r="P147" s="109"/>
      <c r="Q147" s="72" t="s">
        <v>1561</v>
      </c>
      <c r="R147" s="44">
        <v>27756.046587678491</v>
      </c>
      <c r="S147" s="12">
        <v>28866.288451185632</v>
      </c>
      <c r="T147" s="12">
        <v>29976.530314692769</v>
      </c>
      <c r="U147" s="12">
        <v>30392.871013507949</v>
      </c>
      <c r="V147" s="13"/>
      <c r="W147" s="175"/>
      <c r="X147" s="14"/>
      <c r="Y147" s="10"/>
    </row>
    <row r="148" spans="1:25">
      <c r="A148" s="138" t="s">
        <v>143</v>
      </c>
      <c r="B148" s="50" t="str">
        <f>IFERROR(HYPERLINK(VLOOKUP(A148,ÜRÜNLER!A:C,3,FALSE),VLOOKUP(A148,ÜRÜNLER!A:B,2,FALSE)),"")</f>
        <v>iQ500 Yarı Ankastre Bulaşık Makinesi, autoOpen dry, Siyah/Inox</v>
      </c>
      <c r="C148" s="8">
        <v>9</v>
      </c>
      <c r="D148" s="8"/>
      <c r="E148" s="9"/>
      <c r="F148" s="9">
        <v>2</v>
      </c>
      <c r="G148" s="10"/>
      <c r="H148" s="10"/>
      <c r="I148" s="11"/>
      <c r="J148" s="11"/>
      <c r="K148" s="10">
        <v>1</v>
      </c>
      <c r="L148" s="11"/>
      <c r="M148" s="170"/>
      <c r="N148" s="124">
        <f t="shared" si="6"/>
        <v>12</v>
      </c>
      <c r="O148" s="125"/>
      <c r="P148" s="109"/>
      <c r="Q148" s="51">
        <v>51145.09185598667</v>
      </c>
      <c r="R148" s="25">
        <v>51145</v>
      </c>
      <c r="S148" s="12">
        <v>53190.8</v>
      </c>
      <c r="T148" s="12">
        <v>55236.6</v>
      </c>
      <c r="U148" s="12">
        <v>56003.775000000001</v>
      </c>
      <c r="V148" s="13"/>
      <c r="W148" s="175"/>
      <c r="X148" s="14"/>
      <c r="Y148" s="182">
        <v>5</v>
      </c>
    </row>
    <row r="149" spans="1:25">
      <c r="A149" s="132" t="s">
        <v>144</v>
      </c>
      <c r="B149" s="50" t="str">
        <f>IFERROR(HYPERLINK(VLOOKUP(A149,ÜRÜNLER!A:C,3,FALSE),VLOOKUP(A149,ÜRÜNLER!A:B,2,FALSE)),"")</f>
        <v>iQ700 Yarı Ankastre Bulaşık Makinesi, Zeolith dry, Siyah/Inox</v>
      </c>
      <c r="C149" s="8"/>
      <c r="D149" s="8"/>
      <c r="E149" s="9"/>
      <c r="F149" s="9">
        <v>2</v>
      </c>
      <c r="G149" s="10"/>
      <c r="H149" s="10"/>
      <c r="I149" s="11"/>
      <c r="J149" s="11"/>
      <c r="K149" s="10"/>
      <c r="L149" s="11"/>
      <c r="M149" s="170"/>
      <c r="N149" s="124">
        <f t="shared" si="6"/>
        <v>2</v>
      </c>
      <c r="O149" s="125"/>
      <c r="P149" s="109"/>
      <c r="Q149" s="72" t="s">
        <v>1561</v>
      </c>
      <c r="R149" s="120">
        <v>50000</v>
      </c>
      <c r="S149" s="12">
        <v>52000</v>
      </c>
      <c r="T149" s="12">
        <v>54000</v>
      </c>
      <c r="U149" s="12">
        <v>54750</v>
      </c>
      <c r="V149" s="13"/>
      <c r="W149" s="175"/>
      <c r="X149" s="102">
        <v>500</v>
      </c>
      <c r="Y149" s="10"/>
    </row>
    <row r="150" spans="1:25">
      <c r="A150" s="138" t="s">
        <v>145</v>
      </c>
      <c r="B150" s="50" t="str">
        <f>IFERROR(HYPERLINK(VLOOKUP(A150,ÜRÜNLER!A:C,3,FALSE),VLOOKUP(A150,ÜRÜNLER!A:B,2,FALSE)),"")</f>
        <v>iQ700 Yarı Ankastre Bulaşık Makinesi, Zeolith dry, Siyah/Inox</v>
      </c>
      <c r="C150" s="8">
        <v>3</v>
      </c>
      <c r="D150" s="8"/>
      <c r="E150" s="9"/>
      <c r="F150" s="9"/>
      <c r="G150" s="10"/>
      <c r="H150" s="10"/>
      <c r="I150" s="11"/>
      <c r="J150" s="11"/>
      <c r="K150" s="10"/>
      <c r="L150" s="11"/>
      <c r="M150" s="170"/>
      <c r="N150" s="124">
        <f t="shared" si="6"/>
        <v>3</v>
      </c>
      <c r="O150" s="125"/>
      <c r="P150" s="109"/>
      <c r="Q150" s="51">
        <v>66621.188700528393</v>
      </c>
      <c r="R150" s="18">
        <v>63290.129265501972</v>
      </c>
      <c r="S150" s="12">
        <v>65821.734436122046</v>
      </c>
      <c r="T150" s="12">
        <v>68353.339606742127</v>
      </c>
      <c r="U150" s="12">
        <v>69302.691545724665</v>
      </c>
      <c r="V150" s="13"/>
      <c r="W150" s="175"/>
      <c r="X150" s="14"/>
      <c r="Y150" s="182">
        <v>2</v>
      </c>
    </row>
    <row r="151" spans="1:25">
      <c r="A151" s="132" t="s">
        <v>146</v>
      </c>
      <c r="B151" s="50" t="str">
        <f>IFERROR(HYPERLINK(VLOOKUP(A151,ÜRÜNLER!A:C,3,FALSE),VLOOKUP(A151,ÜRÜNLER!A:B,2,FALSE)),"")</f>
        <v>iQ100 Tam Ankastre Bulaşık Makinesi</v>
      </c>
      <c r="C151" s="8">
        <v>11</v>
      </c>
      <c r="D151" s="8"/>
      <c r="E151" s="9"/>
      <c r="F151" s="9"/>
      <c r="G151" s="10"/>
      <c r="H151" s="10"/>
      <c r="I151" s="11">
        <v>1</v>
      </c>
      <c r="J151" s="11">
        <v>1</v>
      </c>
      <c r="K151" s="10"/>
      <c r="L151" s="11"/>
      <c r="M151" s="170"/>
      <c r="N151" s="124">
        <f t="shared" si="6"/>
        <v>13</v>
      </c>
      <c r="O151" s="125"/>
      <c r="P151" s="109"/>
      <c r="Q151" s="51">
        <v>32403.427590625</v>
      </c>
      <c r="R151" s="18">
        <v>30783.256211093751</v>
      </c>
      <c r="S151" s="12">
        <v>32014.586459537502</v>
      </c>
      <c r="T151" s="12">
        <v>33245.916707981247</v>
      </c>
      <c r="U151" s="12">
        <v>33707.665551147657</v>
      </c>
      <c r="V151" s="13"/>
      <c r="W151" s="175"/>
      <c r="X151" s="14"/>
      <c r="Y151" s="182">
        <v>10</v>
      </c>
    </row>
    <row r="152" spans="1:25">
      <c r="A152" s="30" t="s">
        <v>1422</v>
      </c>
      <c r="B152" s="50" t="str">
        <f>IFERROR(HYPERLINK(VLOOKUP(A152,ÜRÜNLER!A:C,3,FALSE),VLOOKUP(A152,ÜRÜNLER!A:B,2,FALSE)),"")</f>
        <v>iQ100 Tam Ankastre Bulaşık Makinesi</v>
      </c>
      <c r="C152" s="8"/>
      <c r="D152" s="8"/>
      <c r="E152" s="9"/>
      <c r="F152" s="9"/>
      <c r="G152" s="10"/>
      <c r="H152" s="10"/>
      <c r="I152" s="11"/>
      <c r="J152" s="11"/>
      <c r="K152" s="10"/>
      <c r="L152" s="11"/>
      <c r="M152" s="170"/>
      <c r="N152" s="124">
        <f t="shared" si="6"/>
        <v>0</v>
      </c>
      <c r="O152" s="125"/>
      <c r="P152" s="109"/>
      <c r="R152" s="25">
        <v>25000</v>
      </c>
      <c r="S152" s="12">
        <v>26000</v>
      </c>
      <c r="T152" s="12">
        <v>27000</v>
      </c>
      <c r="U152" s="12">
        <v>27375</v>
      </c>
      <c r="V152" s="13"/>
      <c r="W152" s="175">
        <v>2109.0700000000002</v>
      </c>
      <c r="X152" s="14">
        <v>500</v>
      </c>
      <c r="Y152" s="182">
        <v>2</v>
      </c>
    </row>
    <row r="153" spans="1:25">
      <c r="A153" s="21" t="s">
        <v>147</v>
      </c>
      <c r="B153" s="50" t="str">
        <f>IFERROR(HYPERLINK(VLOOKUP(A153,ÜRÜNLER!A:C,3,FALSE),VLOOKUP(A153,ÜRÜNLER!A:B,2,FALSE)),"")</f>
        <v>iQ300 Tam Ankastre Bulaşık Makinesi, Üstten Sepetli</v>
      </c>
      <c r="C153" s="8"/>
      <c r="D153" s="8"/>
      <c r="E153" s="9"/>
      <c r="F153" s="9"/>
      <c r="G153" s="10"/>
      <c r="H153" s="10"/>
      <c r="I153" s="11"/>
      <c r="J153" s="11">
        <v>1</v>
      </c>
      <c r="K153" s="10"/>
      <c r="L153" s="11"/>
      <c r="M153" s="170"/>
      <c r="N153" s="124">
        <f t="shared" si="6"/>
        <v>1</v>
      </c>
      <c r="O153" s="125"/>
      <c r="P153" s="109"/>
      <c r="Q153" s="72" t="s">
        <v>1561</v>
      </c>
      <c r="R153" s="19">
        <v>27000</v>
      </c>
      <c r="S153" s="12">
        <v>28080</v>
      </c>
      <c r="T153" s="12">
        <v>29160</v>
      </c>
      <c r="U153" s="12">
        <v>29565</v>
      </c>
      <c r="V153" s="13"/>
      <c r="W153" s="175"/>
      <c r="X153" s="14">
        <v>250</v>
      </c>
      <c r="Y153" s="10"/>
    </row>
    <row r="154" spans="1:25">
      <c r="A154" s="139" t="s">
        <v>148</v>
      </c>
      <c r="B154" s="50" t="str">
        <f>IFERROR(HYPERLINK(VLOOKUP(A154,ÜRÜNLER!A:C,3,FALSE),VLOOKUP(A154,ÜRÜNLER!A:B,2,FALSE)),"")</f>
        <v>iQ500 Tam Ankastre Bulaşık Makinesi, Üstten Sepetli</v>
      </c>
      <c r="C154" s="8"/>
      <c r="D154" s="8"/>
      <c r="E154" s="9"/>
      <c r="F154" s="9">
        <v>1</v>
      </c>
      <c r="G154" s="10"/>
      <c r="H154" s="10"/>
      <c r="I154" s="11"/>
      <c r="J154" s="11"/>
      <c r="K154" s="10"/>
      <c r="L154" s="11">
        <v>1</v>
      </c>
      <c r="M154" s="170"/>
      <c r="N154" s="124">
        <f t="shared" si="6"/>
        <v>2</v>
      </c>
      <c r="O154" s="125"/>
      <c r="P154" s="109"/>
      <c r="Q154" s="72" t="s">
        <v>1561</v>
      </c>
      <c r="R154" s="18">
        <v>41000</v>
      </c>
      <c r="S154" s="171">
        <v>42640</v>
      </c>
      <c r="T154" s="171">
        <v>44280</v>
      </c>
      <c r="U154" s="171">
        <v>44895</v>
      </c>
      <c r="V154" s="13"/>
      <c r="W154" s="175"/>
      <c r="X154" s="78">
        <v>1000</v>
      </c>
      <c r="Y154" s="182">
        <v>5</v>
      </c>
    </row>
    <row r="155" spans="1:25">
      <c r="A155" s="30" t="s">
        <v>149</v>
      </c>
      <c r="B155" s="50" t="str">
        <f>IFERROR(HYPERLINK(VLOOKUP(A155,ÜRÜNLER!A:C,3,FALSE),VLOOKUP(A155,ÜRÜNLER!A:B,2,FALSE)),"")</f>
        <v>iQ500 Tam Ankastre Bulaşık Makinesi, autoOpen dry, glassZone, Üstten Sepetli</v>
      </c>
      <c r="C155" s="8"/>
      <c r="D155" s="8"/>
      <c r="E155" s="9"/>
      <c r="F155" s="9"/>
      <c r="G155" s="10"/>
      <c r="H155" s="10"/>
      <c r="I155" s="11"/>
      <c r="J155" s="11"/>
      <c r="K155" s="10"/>
      <c r="L155" s="11"/>
      <c r="M155" s="170"/>
      <c r="N155" s="124">
        <f t="shared" si="6"/>
        <v>0</v>
      </c>
      <c r="O155" s="125"/>
      <c r="P155" s="109"/>
      <c r="R155" s="25">
        <v>40000</v>
      </c>
      <c r="S155" s="12">
        <v>41600</v>
      </c>
      <c r="T155" s="12">
        <v>43200</v>
      </c>
      <c r="U155" s="12">
        <v>43800</v>
      </c>
      <c r="V155" s="13"/>
      <c r="W155" s="175"/>
      <c r="X155" s="14">
        <v>500</v>
      </c>
      <c r="Y155" s="182">
        <v>1</v>
      </c>
    </row>
    <row r="156" spans="1:25">
      <c r="A156" s="30" t="s">
        <v>1555</v>
      </c>
      <c r="B156" s="50" t="str">
        <f>IFERROR(HYPERLINK(VLOOKUP(A156,ÜRÜNLER!A:C,3,FALSE),VLOOKUP(A156,ÜRÜNLER!A:B,2,FALSE)),"")</f>
        <v>iQ500 Tam Ankastre Bulaşık Makinesi, autoOpen dry, glassZone, Üstten Sepetli</v>
      </c>
      <c r="C156" s="8">
        <v>4</v>
      </c>
      <c r="D156" s="8"/>
      <c r="E156" s="9"/>
      <c r="F156" s="9"/>
      <c r="G156" s="10"/>
      <c r="H156" s="10"/>
      <c r="I156" s="11"/>
      <c r="J156" s="11"/>
      <c r="K156" s="10"/>
      <c r="L156" s="11"/>
      <c r="M156" s="170"/>
      <c r="N156" s="124">
        <f t="shared" si="6"/>
        <v>4</v>
      </c>
      <c r="O156" s="125">
        <v>7</v>
      </c>
      <c r="P156" s="109"/>
      <c r="Q156" s="51">
        <v>53430.341176470589</v>
      </c>
      <c r="R156" s="25">
        <v>53430.341176470589</v>
      </c>
      <c r="S156" s="12">
        <v>55567.554823529412</v>
      </c>
      <c r="T156" s="12">
        <v>57704.768470588235</v>
      </c>
      <c r="U156" s="12">
        <v>58506.223588235298</v>
      </c>
      <c r="V156" s="13"/>
      <c r="W156" s="175"/>
      <c r="X156" s="14"/>
      <c r="Y156" s="182">
        <v>4</v>
      </c>
    </row>
    <row r="157" spans="1:25">
      <c r="A157" s="21" t="s">
        <v>151</v>
      </c>
      <c r="B157" s="50" t="str">
        <f>IFERROR(HYPERLINK(VLOOKUP(A157,ÜRÜNLER!A:C,3,FALSE),VLOOKUP(A157,ÜRÜNLER!A:B,2,FALSE)),"")</f>
        <v>iQ500 studioLine Tam Ankastre Bulaşık Makinesi, autoOpen dry, glassZone</v>
      </c>
      <c r="C157" s="8"/>
      <c r="D157" s="8">
        <v>2</v>
      </c>
      <c r="E157" s="9"/>
      <c r="F157" s="9"/>
      <c r="G157" s="10"/>
      <c r="H157" s="10">
        <v>1</v>
      </c>
      <c r="I157" s="11"/>
      <c r="J157" s="11"/>
      <c r="K157" s="10"/>
      <c r="L157" s="11"/>
      <c r="M157" s="170"/>
      <c r="N157" s="124">
        <f t="shared" si="6"/>
        <v>3</v>
      </c>
      <c r="O157" s="125"/>
      <c r="P157" s="109"/>
      <c r="Q157" s="72" t="s">
        <v>1561</v>
      </c>
      <c r="R157" s="18">
        <v>71200</v>
      </c>
      <c r="S157" s="12">
        <v>74048</v>
      </c>
      <c r="T157" s="12">
        <v>76896</v>
      </c>
      <c r="U157" s="12">
        <v>77964</v>
      </c>
      <c r="V157" s="13"/>
      <c r="W157" s="175"/>
      <c r="X157" s="14">
        <v>500</v>
      </c>
      <c r="Y157" s="10"/>
    </row>
    <row r="158" spans="1:25">
      <c r="A158" s="21" t="s">
        <v>1505</v>
      </c>
      <c r="B158" s="50" t="str">
        <f>IFERROR(HYPERLINK(VLOOKUP(A158,ÜRÜNLER!A:C,3,FALSE),VLOOKUP(A158,ÜRÜNLER!A:B,2,FALSE)),"")</f>
        <v>iQ500 studioLine Tam Ankastre Bulaşık Makinesi, autoOpen dry, glassZone</v>
      </c>
      <c r="C158" s="8"/>
      <c r="D158" s="8"/>
      <c r="E158" s="9"/>
      <c r="F158" s="9"/>
      <c r="G158" s="10"/>
      <c r="H158" s="10"/>
      <c r="I158" s="11"/>
      <c r="J158" s="11"/>
      <c r="K158" s="10"/>
      <c r="L158" s="11"/>
      <c r="M158" s="170"/>
      <c r="N158" s="124">
        <f t="shared" si="6"/>
        <v>0</v>
      </c>
      <c r="O158" s="125"/>
      <c r="P158" s="109"/>
      <c r="Q158" s="180">
        <v>87573.371063033162</v>
      </c>
      <c r="R158" s="25">
        <v>87573.371063033162</v>
      </c>
      <c r="S158" s="12">
        <v>91076.305905554487</v>
      </c>
      <c r="T158" s="12">
        <v>94579.240748075812</v>
      </c>
      <c r="U158" s="12">
        <v>95892.841314021309</v>
      </c>
      <c r="V158" s="13"/>
      <c r="W158" s="175"/>
      <c r="X158" s="14"/>
      <c r="Y158" s="10"/>
    </row>
    <row r="159" spans="1:25">
      <c r="A159" s="21" t="s">
        <v>150</v>
      </c>
      <c r="B159" s="50" t="str">
        <f>IFERROR(HYPERLINK(VLOOKUP(A159,ÜRÜNLER!A:C,3,FALSE),VLOOKUP(A159,ÜRÜNLER!A:B,2,FALSE)),"")</f>
        <v>iQ700 studioLine Tam Ankastre Bulaşık Makinesi, Zeolith dry, glassZone</v>
      </c>
      <c r="C159" s="8"/>
      <c r="D159" s="8">
        <v>3</v>
      </c>
      <c r="E159" s="9"/>
      <c r="F159" s="9"/>
      <c r="G159" s="10"/>
      <c r="H159" s="10"/>
      <c r="I159" s="11"/>
      <c r="J159" s="11"/>
      <c r="K159" s="10"/>
      <c r="L159" s="11"/>
      <c r="M159" s="170"/>
      <c r="N159" s="124">
        <f t="shared" si="6"/>
        <v>3</v>
      </c>
      <c r="O159" s="125"/>
      <c r="P159" s="109"/>
      <c r="Q159" s="180">
        <v>102409.20846291253</v>
      </c>
      <c r="R159" s="18">
        <v>92168.287616621281</v>
      </c>
      <c r="S159" s="12">
        <v>95855.019121286139</v>
      </c>
      <c r="T159" s="12">
        <v>99541.750625950983</v>
      </c>
      <c r="U159" s="12">
        <v>100924.2749402003</v>
      </c>
      <c r="V159" s="13"/>
      <c r="W159" s="175"/>
      <c r="X159" s="14">
        <v>500</v>
      </c>
      <c r="Y159" s="10"/>
    </row>
    <row r="160" spans="1:25">
      <c r="A160" s="21" t="s">
        <v>152</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0"/>
      <c r="N160" s="124">
        <f t="shared" si="6"/>
        <v>1</v>
      </c>
      <c r="O160" s="125"/>
      <c r="P160" s="109"/>
      <c r="Q160" s="72" t="s">
        <v>1561</v>
      </c>
      <c r="R160" s="47">
        <v>47500</v>
      </c>
      <c r="S160" s="12">
        <v>49400</v>
      </c>
      <c r="T160" s="12">
        <v>51300</v>
      </c>
      <c r="U160" s="12">
        <v>52012.5</v>
      </c>
      <c r="V160" s="13"/>
      <c r="W160" s="175"/>
      <c r="X160" s="102">
        <v>500</v>
      </c>
      <c r="Y160" s="10"/>
    </row>
    <row r="161" spans="1:25">
      <c r="A161" s="21" t="s">
        <v>1534</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c r="L161" s="11"/>
      <c r="M161" s="170"/>
      <c r="N161" s="124">
        <f t="shared" si="6"/>
        <v>0</v>
      </c>
      <c r="O161" s="125">
        <v>4</v>
      </c>
      <c r="P161" s="109"/>
      <c r="Q161" s="51">
        <v>54702.694117647057</v>
      </c>
      <c r="R161" s="12">
        <v>54702.694117647057</v>
      </c>
      <c r="S161" s="12">
        <v>56890.801882352942</v>
      </c>
      <c r="T161" s="12">
        <v>59078.909647058819</v>
      </c>
      <c r="U161" s="12">
        <v>59899.450058823524</v>
      </c>
      <c r="V161" s="13"/>
      <c r="W161" s="175"/>
      <c r="X161" s="175"/>
      <c r="Y161" s="10"/>
    </row>
    <row r="162" spans="1:25">
      <c r="A162" s="21" t="s">
        <v>1489</v>
      </c>
      <c r="B162" s="50" t="str">
        <f>IFERROR(HYPERLINK(VLOOKUP(A162,ÜRÜNLER!A:C,3,FALSE),VLOOKUP(A162,ÜRÜNLER!A:B,2,FALSE)),"")</f>
        <v>Siemens Bulaşık Makinesi 3. Tepsi</v>
      </c>
      <c r="C162" s="8"/>
      <c r="D162" s="8">
        <v>12</v>
      </c>
      <c r="E162" s="9"/>
      <c r="F162" s="9"/>
      <c r="G162" s="10"/>
      <c r="H162" s="10"/>
      <c r="I162" s="11"/>
      <c r="J162" s="11"/>
      <c r="K162" s="10"/>
      <c r="L162" s="11"/>
      <c r="M162" s="170"/>
      <c r="N162" s="124">
        <f t="shared" si="6"/>
        <v>12</v>
      </c>
      <c r="O162" s="125"/>
      <c r="P162" s="109"/>
      <c r="Q162" s="72"/>
      <c r="R162" s="88">
        <v>1250</v>
      </c>
      <c r="S162" s="12">
        <v>1300</v>
      </c>
      <c r="T162" s="12">
        <v>1350</v>
      </c>
      <c r="U162" s="12">
        <v>1368.75</v>
      </c>
      <c r="V162" s="13"/>
      <c r="W162" s="175"/>
      <c r="X162" s="14"/>
      <c r="Y162" s="10"/>
    </row>
    <row r="163" spans="1:25" s="32" customFormat="1" ht="30">
      <c r="A163" s="55" t="s">
        <v>153</v>
      </c>
      <c r="B163" s="50" t="str">
        <f>IFERROR(HYPERLINK(VLOOKUP(A163,ÜRÜNLER!A:C,3,FALSE),VLOOKUP(A163,ÜRÜNLER!A:B,2,FALSE)),"")</f>
        <v/>
      </c>
      <c r="C163" s="8"/>
      <c r="D163" s="8"/>
      <c r="E163" s="9"/>
      <c r="F163" s="9"/>
      <c r="G163" s="10"/>
      <c r="H163" s="10"/>
      <c r="I163" s="11"/>
      <c r="J163" s="11"/>
      <c r="K163" s="10"/>
      <c r="L163" s="11"/>
      <c r="M163" s="170"/>
      <c r="N163" s="124">
        <f>SUM(N141:N162)</f>
        <v>106</v>
      </c>
      <c r="O163" s="125"/>
      <c r="P163" s="109"/>
      <c r="Q163" s="72"/>
      <c r="R163" s="14"/>
      <c r="S163" s="12"/>
      <c r="T163" s="12"/>
      <c r="U163" s="12"/>
      <c r="V163" s="13"/>
      <c r="W163" s="175"/>
      <c r="X163" s="14"/>
      <c r="Y163" s="10"/>
    </row>
    <row r="164" spans="1:25">
      <c r="A164" s="140" t="s">
        <v>199</v>
      </c>
      <c r="B164" s="50" t="str">
        <f>IFERROR(HYPERLINK(VLOOKUP(A164,ÜRÜNLER!A:C,3,FALSE),VLOOKUP(A164,ÜRÜNLER!A:B,2,FALSE)),"")</f>
        <v>iQ700 Buhar Destekli Kompakt Ankastre Fırın, Siyah/Inox</v>
      </c>
      <c r="C164" s="8"/>
      <c r="D164" s="8"/>
      <c r="E164" s="9"/>
      <c r="F164" s="9">
        <v>1</v>
      </c>
      <c r="G164" s="10"/>
      <c r="H164" s="10"/>
      <c r="I164" s="11"/>
      <c r="J164" s="11"/>
      <c r="K164" s="10"/>
      <c r="L164" s="11"/>
      <c r="M164" s="170"/>
      <c r="N164" s="124">
        <f t="shared" ref="N164:N214" si="7">L164+M164+K164+J164+I164+H164+G164+F164+E164+D164+C164</f>
        <v>1</v>
      </c>
      <c r="O164" s="125"/>
      <c r="P164" s="109"/>
      <c r="Q164" s="72" t="s">
        <v>1561</v>
      </c>
      <c r="R164" s="18">
        <v>65000</v>
      </c>
      <c r="S164" s="171">
        <v>67600</v>
      </c>
      <c r="T164" s="171">
        <v>70200</v>
      </c>
      <c r="U164" s="171">
        <v>71175</v>
      </c>
      <c r="V164" s="13"/>
      <c r="W164" s="175"/>
      <c r="X164" s="121">
        <v>1000</v>
      </c>
      <c r="Y164" s="10"/>
    </row>
    <row r="165" spans="1:25">
      <c r="A165" s="140" t="s">
        <v>200</v>
      </c>
      <c r="B165" s="50" t="str">
        <f>IFERROR(HYPERLINK(VLOOKUP(A165,ÜRÜNLER!A:C,3,FALSE),VLOOKUP(A165,ÜRÜNLER!A:B,2,FALSE)),"")</f>
        <v>iQ700 Buhar Destekli Kompakt Ankastre Fırın, Siyah</v>
      </c>
      <c r="C165" s="8">
        <v>4</v>
      </c>
      <c r="D165" s="8"/>
      <c r="E165" s="9"/>
      <c r="F165" s="9"/>
      <c r="G165" s="10"/>
      <c r="H165" s="10"/>
      <c r="I165" s="11"/>
      <c r="J165" s="11"/>
      <c r="K165" s="10"/>
      <c r="L165" s="11"/>
      <c r="M165" s="170"/>
      <c r="N165" s="124">
        <f t="shared" si="7"/>
        <v>4</v>
      </c>
      <c r="O165" s="125"/>
      <c r="P165" s="109"/>
      <c r="Q165" s="51">
        <v>77022.402951568409</v>
      </c>
      <c r="R165" s="52">
        <v>74711.730863021352</v>
      </c>
      <c r="S165" s="12">
        <v>77700.200097542212</v>
      </c>
      <c r="T165" s="12">
        <v>80688.669332063058</v>
      </c>
      <c r="U165" s="12">
        <v>81809.345295008388</v>
      </c>
      <c r="V165" s="13"/>
      <c r="W165" s="175"/>
      <c r="X165" s="14"/>
      <c r="Y165" s="10"/>
    </row>
    <row r="166" spans="1:25">
      <c r="A166" s="132" t="s">
        <v>198</v>
      </c>
      <c r="B166" s="50" t="str">
        <f>IFERROR(HYPERLINK(VLOOKUP(A166,ÜRÜNLER!A:C,3,FALSE),VLOOKUP(A166,ÜRÜNLER!A:B,2,FALSE)),"")</f>
        <v>iQ700 studioLine Mikrodalga Fonksiyonlu Kompakt Ankastre Fırın, Komple Kendini Temizler, Siyah</v>
      </c>
      <c r="C166" s="8"/>
      <c r="D166" s="8">
        <v>2</v>
      </c>
      <c r="E166" s="9"/>
      <c r="F166" s="9"/>
      <c r="G166" s="10"/>
      <c r="H166" s="10"/>
      <c r="I166" s="11"/>
      <c r="J166" s="11"/>
      <c r="K166" s="10"/>
      <c r="L166" s="11"/>
      <c r="M166" s="170"/>
      <c r="N166" s="124">
        <f t="shared" si="7"/>
        <v>2</v>
      </c>
      <c r="O166" s="125"/>
      <c r="P166" s="109"/>
      <c r="Q166" s="180">
        <v>172552.6583569324</v>
      </c>
      <c r="R166" s="18">
        <v>155297.39252123915</v>
      </c>
      <c r="S166" s="12">
        <v>161509.28822208871</v>
      </c>
      <c r="T166" s="12">
        <v>167721.18392293827</v>
      </c>
      <c r="U166" s="12">
        <v>170050.64481075687</v>
      </c>
      <c r="V166" s="13"/>
      <c r="W166" s="175"/>
      <c r="X166" s="14">
        <v>500</v>
      </c>
      <c r="Y166" s="10"/>
    </row>
    <row r="167" spans="1:25">
      <c r="A167" s="132" t="s">
        <v>201</v>
      </c>
      <c r="B167" s="50" t="str">
        <f>IFERROR(HYPERLINK(VLOOKUP(A167,ÜRÜNLER!A:C,3,FALSE),VLOOKUP(A167,ÜRÜNLER!A:B,2,FALSE)),"")</f>
        <v>iQ700 studioLine Mikrodalga Fonksiyonlu Kompakt Ankastre Fırın, Arkası Kendini Temizler, Siyah</v>
      </c>
      <c r="C167" s="8"/>
      <c r="D167" s="8">
        <v>3</v>
      </c>
      <c r="E167" s="9"/>
      <c r="F167" s="9"/>
      <c r="G167" s="10"/>
      <c r="H167" s="10">
        <v>1</v>
      </c>
      <c r="I167" s="11"/>
      <c r="J167" s="11"/>
      <c r="K167" s="10"/>
      <c r="L167" s="11"/>
      <c r="M167" s="170"/>
      <c r="N167" s="124">
        <f t="shared" si="7"/>
        <v>4</v>
      </c>
      <c r="O167" s="125"/>
      <c r="P167" s="109"/>
      <c r="Q167" s="72" t="s">
        <v>1561</v>
      </c>
      <c r="R167" s="18">
        <v>120000</v>
      </c>
      <c r="S167" s="12">
        <v>124800</v>
      </c>
      <c r="T167" s="12">
        <v>129600</v>
      </c>
      <c r="U167" s="12">
        <v>131400</v>
      </c>
      <c r="V167" s="13"/>
      <c r="W167" s="175"/>
      <c r="X167" s="14">
        <v>500</v>
      </c>
      <c r="Y167" s="10"/>
    </row>
    <row r="168" spans="1:25">
      <c r="A168" s="138" t="s">
        <v>165</v>
      </c>
      <c r="B168" s="50" t="str">
        <f>IFERROR(HYPERLINK(VLOOKUP(A168,ÜRÜNLER!A:C,3,FALSE),VLOOKUP(A168,ÜRÜNLER!A:B,2,FALSE)),"")</f>
        <v>iQ100 Ankastre Fırın, Siyah</v>
      </c>
      <c r="C168" s="8">
        <v>9</v>
      </c>
      <c r="D168" s="8"/>
      <c r="E168" s="9"/>
      <c r="F168" s="9"/>
      <c r="G168" s="10"/>
      <c r="H168" s="10"/>
      <c r="I168" s="11"/>
      <c r="J168" s="11"/>
      <c r="K168" s="10"/>
      <c r="L168" s="11"/>
      <c r="M168" s="170"/>
      <c r="N168" s="124">
        <f t="shared" si="7"/>
        <v>9</v>
      </c>
      <c r="O168" s="125"/>
      <c r="P168" s="114"/>
      <c r="Q168" s="51">
        <v>20325.723091687996</v>
      </c>
      <c r="R168" s="25">
        <v>20325.723091687996</v>
      </c>
      <c r="S168" s="12">
        <v>21138.752015355516</v>
      </c>
      <c r="T168" s="12">
        <v>21951.780939023036</v>
      </c>
      <c r="U168" s="12">
        <v>22256.666785398356</v>
      </c>
      <c r="V168" s="13"/>
      <c r="W168" s="175"/>
      <c r="X168" s="14"/>
      <c r="Y168" s="182">
        <v>15</v>
      </c>
    </row>
    <row r="169" spans="1:25">
      <c r="A169" s="141" t="s">
        <v>166</v>
      </c>
      <c r="B169" s="50" t="str">
        <f>IFERROR(HYPERLINK(VLOOKUP(A169,ÜRÜNLER!A:C,3,FALSE),VLOOKUP(A169,ÜRÜNLER!A:B,2,FALSE)),"")</f>
        <v>iQ100 Ankastre Fırın, Antrasit</v>
      </c>
      <c r="C169" s="8">
        <v>41</v>
      </c>
      <c r="D169" s="8"/>
      <c r="E169" s="9"/>
      <c r="F169" s="9"/>
      <c r="G169" s="10"/>
      <c r="H169" s="10"/>
      <c r="I169" s="11">
        <v>1</v>
      </c>
      <c r="J169" s="11"/>
      <c r="K169" s="10"/>
      <c r="L169" s="11">
        <v>1</v>
      </c>
      <c r="M169" s="170"/>
      <c r="N169" s="124">
        <f t="shared" si="7"/>
        <v>43</v>
      </c>
      <c r="O169" s="125"/>
      <c r="P169" s="114"/>
      <c r="Q169" s="51">
        <v>20325.723091687996</v>
      </c>
      <c r="R169" s="195">
        <v>18466.154559424849</v>
      </c>
      <c r="S169" s="196">
        <v>19204.800741801842</v>
      </c>
      <c r="T169" s="196">
        <v>19943.446924178836</v>
      </c>
      <c r="U169" s="196">
        <v>20220.43924257021</v>
      </c>
      <c r="V169" s="13"/>
      <c r="W169" s="175"/>
      <c r="X169" s="14"/>
      <c r="Y169" s="182">
        <v>7</v>
      </c>
    </row>
    <row r="170" spans="1:25">
      <c r="A170" s="132" t="s">
        <v>167</v>
      </c>
      <c r="B170" s="50" t="str">
        <f>IFERROR(HYPERLINK(VLOOKUP(A170,ÜRÜNLER!A:C,3,FALSE),VLOOKUP(A170,ÜRÜNLER!A:B,2,FALSE)),"")</f>
        <v>iQ100 Ankastre Fırın, Beyaz</v>
      </c>
      <c r="C170" s="8">
        <v>22</v>
      </c>
      <c r="D170" s="8"/>
      <c r="E170" s="9"/>
      <c r="F170" s="9"/>
      <c r="G170" s="10"/>
      <c r="H170" s="10"/>
      <c r="I170" s="11">
        <v>1</v>
      </c>
      <c r="J170" s="11">
        <v>1</v>
      </c>
      <c r="K170" s="10"/>
      <c r="L170" s="11">
        <v>1</v>
      </c>
      <c r="M170" s="170"/>
      <c r="N170" s="124">
        <f t="shared" si="7"/>
        <v>25</v>
      </c>
      <c r="O170" s="125"/>
      <c r="P170" s="114"/>
      <c r="Q170" s="51">
        <v>20325.723091687996</v>
      </c>
      <c r="R170" s="195">
        <v>18466.154559424849</v>
      </c>
      <c r="S170" s="196">
        <v>19204.800741801842</v>
      </c>
      <c r="T170" s="196">
        <v>19943.446924178836</v>
      </c>
      <c r="U170" s="196">
        <v>20220.43924257021</v>
      </c>
      <c r="V170" s="13"/>
      <c r="W170" s="175"/>
      <c r="X170" s="14"/>
      <c r="Y170" s="182">
        <v>2</v>
      </c>
    </row>
    <row r="171" spans="1:25">
      <c r="A171" s="21" t="s">
        <v>1344</v>
      </c>
      <c r="B171" s="50" t="str">
        <f>IFERROR(HYPERLINK(VLOOKUP(A171,ÜRÜNLER!A:C,3,FALSE),VLOOKUP(A171,ÜRÜNLER!A:B,2,FALSE)),"")</f>
        <v>iQ100 Ankastre Fırın, Siyah</v>
      </c>
      <c r="C171" s="8"/>
      <c r="D171" s="8"/>
      <c r="E171" s="9"/>
      <c r="F171" s="9"/>
      <c r="G171" s="10"/>
      <c r="H171" s="10"/>
      <c r="I171" s="11"/>
      <c r="J171" s="11"/>
      <c r="K171" s="10"/>
      <c r="L171" s="11"/>
      <c r="M171" s="170">
        <v>1</v>
      </c>
      <c r="N171" s="124">
        <f t="shared" si="7"/>
        <v>1</v>
      </c>
      <c r="O171" s="125"/>
      <c r="P171" s="109"/>
      <c r="Q171" s="72" t="s">
        <v>1561</v>
      </c>
      <c r="R171" s="19">
        <v>16814</v>
      </c>
      <c r="S171" s="12">
        <v>17486.560000000001</v>
      </c>
      <c r="T171" s="12">
        <v>18159.12</v>
      </c>
      <c r="U171" s="12">
        <v>18411.330000000002</v>
      </c>
      <c r="V171" s="13"/>
      <c r="W171" s="175">
        <v>2813.96</v>
      </c>
      <c r="X171" s="78">
        <v>500</v>
      </c>
      <c r="Y171" s="182">
        <v>3</v>
      </c>
    </row>
    <row r="172" spans="1:25">
      <c r="A172" s="142" t="s">
        <v>169</v>
      </c>
      <c r="B172" s="50" t="str">
        <f>IFERROR(HYPERLINK(VLOOKUP(A172,ÜRÜNLER!A:C,3,FALSE),VLOOKUP(A172,ÜRÜNLER!A:B,2,FALSE)),"")</f>
        <v>iQ300 Ankastre Fırın, Siyah/Inox</v>
      </c>
      <c r="C172" s="8"/>
      <c r="D172" s="8"/>
      <c r="E172" s="9"/>
      <c r="F172" s="9"/>
      <c r="G172" s="10"/>
      <c r="H172" s="10"/>
      <c r="I172" s="11">
        <v>1</v>
      </c>
      <c r="J172" s="11"/>
      <c r="K172" s="10"/>
      <c r="L172" s="11"/>
      <c r="M172" s="170"/>
      <c r="N172" s="124">
        <f t="shared" si="7"/>
        <v>1</v>
      </c>
      <c r="O172" s="125"/>
      <c r="P172" s="109"/>
      <c r="Q172" s="72" t="s">
        <v>1561</v>
      </c>
      <c r="R172" s="19">
        <v>16000</v>
      </c>
      <c r="S172" s="12">
        <v>16640</v>
      </c>
      <c r="T172" s="12">
        <v>17280</v>
      </c>
      <c r="U172" s="12">
        <v>17520</v>
      </c>
      <c r="V172" s="13"/>
      <c r="W172" s="175"/>
      <c r="X172" s="102">
        <v>500</v>
      </c>
      <c r="Y172" s="10"/>
    </row>
    <row r="173" spans="1:25">
      <c r="A173" s="141" t="s">
        <v>171</v>
      </c>
      <c r="B173" s="50" t="str">
        <f>IFERROR(HYPERLINK(VLOOKUP(A173,ÜRÜNLER!A:C,3,FALSE),VLOOKUP(A173,ÜRÜNLER!A:B,2,FALSE)),"")</f>
        <v>iQ300 Ankastre Fırın, 1 Teleskopik Ray, Arkası Kendini Temizler, Antrasit</v>
      </c>
      <c r="C173" s="8"/>
      <c r="D173" s="8"/>
      <c r="E173" s="9"/>
      <c r="F173" s="9"/>
      <c r="G173" s="10">
        <v>1</v>
      </c>
      <c r="H173" s="10"/>
      <c r="I173" s="11"/>
      <c r="J173" s="11"/>
      <c r="K173" s="10"/>
      <c r="L173" s="11"/>
      <c r="M173" s="170"/>
      <c r="N173" s="124">
        <f t="shared" si="7"/>
        <v>1</v>
      </c>
      <c r="O173" s="125"/>
      <c r="P173" s="109"/>
      <c r="Q173" s="72" t="s">
        <v>1561</v>
      </c>
      <c r="R173" s="19">
        <v>16000</v>
      </c>
      <c r="S173" s="12">
        <v>16640</v>
      </c>
      <c r="T173" s="12">
        <v>17280</v>
      </c>
      <c r="U173" s="12">
        <v>17520</v>
      </c>
      <c r="V173" s="13"/>
      <c r="W173" s="175"/>
      <c r="X173" s="14">
        <v>250</v>
      </c>
      <c r="Y173" s="10"/>
    </row>
    <row r="174" spans="1:25">
      <c r="A174" s="141" t="s">
        <v>172</v>
      </c>
      <c r="B174" s="50" t="str">
        <f>IFERROR(HYPERLINK(VLOOKUP(A174,ÜRÜNLER!A:C,3,FALSE),VLOOKUP(A174,ÜRÜNLER!A:B,2,FALSE)),"")</f>
        <v>iQ300 Ankastre Fırın, 1 Teleskopik Ray, Arkası Kendini Temizler, Gri</v>
      </c>
      <c r="C174" s="8"/>
      <c r="D174" s="8"/>
      <c r="E174" s="9"/>
      <c r="F174" s="9"/>
      <c r="G174" s="10"/>
      <c r="H174" s="10"/>
      <c r="I174" s="11">
        <v>1</v>
      </c>
      <c r="J174" s="11"/>
      <c r="K174" s="10"/>
      <c r="L174" s="11"/>
      <c r="M174" s="170">
        <v>1</v>
      </c>
      <c r="N174" s="124">
        <f t="shared" si="7"/>
        <v>2</v>
      </c>
      <c r="O174" s="125"/>
      <c r="P174" s="109"/>
      <c r="Q174" s="72" t="s">
        <v>1561</v>
      </c>
      <c r="R174" s="19">
        <v>24115</v>
      </c>
      <c r="S174" s="12">
        <v>25079.599999999999</v>
      </c>
      <c r="T174" s="12">
        <v>26044.2</v>
      </c>
      <c r="U174" s="12">
        <v>26405.924999999999</v>
      </c>
      <c r="V174" s="13"/>
      <c r="W174" s="175">
        <v>3115.14</v>
      </c>
      <c r="X174" s="14">
        <v>500</v>
      </c>
      <c r="Y174" s="10">
        <v>0</v>
      </c>
    </row>
    <row r="175" spans="1:25">
      <c r="A175" s="138" t="s">
        <v>173</v>
      </c>
      <c r="B175" s="50" t="str">
        <f>IFERROR(HYPERLINK(VLOOKUP(A175,ÜRÜNLER!A:C,3,FALSE),VLOOKUP(A175,ÜRÜNLER!A:B,2,FALSE)),"")</f>
        <v>iQ500 Ankastre Fırın, 1 Teleskopik Ray, Arkası Kendini Temizler, darkSteel Line</v>
      </c>
      <c r="C175" s="8">
        <v>1</v>
      </c>
      <c r="D175" s="8"/>
      <c r="E175" s="9"/>
      <c r="F175" s="9"/>
      <c r="G175" s="10"/>
      <c r="H175" s="10"/>
      <c r="I175" s="11">
        <v>1</v>
      </c>
      <c r="J175" s="11"/>
      <c r="K175" s="10"/>
      <c r="L175" s="11"/>
      <c r="M175" s="170"/>
      <c r="N175" s="124">
        <f t="shared" si="7"/>
        <v>2</v>
      </c>
      <c r="O175" s="125"/>
      <c r="P175" s="109"/>
      <c r="Q175" s="72" t="s">
        <v>1561</v>
      </c>
      <c r="R175" s="19">
        <v>20000</v>
      </c>
      <c r="S175" s="12">
        <v>20800</v>
      </c>
      <c r="T175" s="12">
        <v>21600</v>
      </c>
      <c r="U175" s="12">
        <v>21900</v>
      </c>
      <c r="V175" s="13"/>
      <c r="W175" s="175"/>
      <c r="X175" s="14"/>
      <c r="Y175" s="10"/>
    </row>
    <row r="176" spans="1:25">
      <c r="A176" s="138" t="s">
        <v>174</v>
      </c>
      <c r="B176" s="50" t="str">
        <f>IFERROR(HYPERLINK(VLOOKUP(A176,ÜRÜNLER!A:C,3,FALSE),VLOOKUP(A176,ÜRÜNLER!A:B,2,FALSE)),"")</f>
        <v>iQ500 studioLine Ankastre Fırın, 1 Teleskopik Ray, Komple Kendini Temizler, Siyah</v>
      </c>
      <c r="C176" s="8"/>
      <c r="D176" s="8">
        <v>2</v>
      </c>
      <c r="E176" s="9"/>
      <c r="F176" s="9"/>
      <c r="G176" s="10"/>
      <c r="H176" s="10">
        <v>1</v>
      </c>
      <c r="I176" s="11"/>
      <c r="J176" s="11"/>
      <c r="K176" s="10"/>
      <c r="L176" s="11"/>
      <c r="M176" s="170"/>
      <c r="N176" s="124">
        <f t="shared" si="7"/>
        <v>3</v>
      </c>
      <c r="O176" s="125"/>
      <c r="P176" s="109"/>
      <c r="Q176" s="72" t="s">
        <v>1561</v>
      </c>
      <c r="R176" s="18">
        <v>85000</v>
      </c>
      <c r="S176" s="12">
        <v>88400</v>
      </c>
      <c r="T176" s="12">
        <v>91800</v>
      </c>
      <c r="U176" s="12">
        <v>93075</v>
      </c>
      <c r="V176" s="13"/>
      <c r="W176" s="175"/>
      <c r="X176" s="102">
        <v>500</v>
      </c>
      <c r="Y176" s="10"/>
    </row>
    <row r="177" spans="1:25">
      <c r="A177" s="21" t="s">
        <v>1021</v>
      </c>
      <c r="B177" s="50" t="str">
        <f>IFERROR(HYPERLINK(VLOOKUP(A177,ÜRÜNLER!A:C,3,FALSE),VLOOKUP(A177,ÜRÜNLER!A:B,2,FALSE)),"")</f>
        <v>iQ300 Ankastre Fırın, Titanyum Gri</v>
      </c>
      <c r="C177" s="8"/>
      <c r="D177" s="8"/>
      <c r="E177" s="9">
        <v>1</v>
      </c>
      <c r="F177" s="9"/>
      <c r="G177" s="10"/>
      <c r="H177" s="10"/>
      <c r="I177" s="11"/>
      <c r="J177" s="11"/>
      <c r="K177" s="10"/>
      <c r="L177" s="11"/>
      <c r="M177" s="170">
        <v>1</v>
      </c>
      <c r="N177" s="124">
        <f t="shared" si="7"/>
        <v>2</v>
      </c>
      <c r="O177" s="125"/>
      <c r="P177" s="109"/>
      <c r="Q177" s="72" t="s">
        <v>1561</v>
      </c>
      <c r="R177" s="19">
        <v>16498</v>
      </c>
      <c r="S177" s="12">
        <v>17157.919999999998</v>
      </c>
      <c r="T177" s="12">
        <v>17817.84</v>
      </c>
      <c r="U177" s="12">
        <v>18065.310000000001</v>
      </c>
      <c r="V177" s="13"/>
      <c r="W177" s="175">
        <v>1497.55</v>
      </c>
      <c r="X177" s="78">
        <v>500</v>
      </c>
      <c r="Y177" s="182">
        <v>2</v>
      </c>
    </row>
    <row r="178" spans="1:25">
      <c r="A178" s="21" t="s">
        <v>176</v>
      </c>
      <c r="B178" s="50" t="str">
        <f>IFERROR(HYPERLINK(VLOOKUP(A178,ÜRÜNLER!A:C,3,FALSE),VLOOKUP(A178,ÜRÜNLER!A:B,2,FALSE)),"")</f>
        <v>iQ300 Ankastre Fırın, Siyah/Inox</v>
      </c>
      <c r="C178" s="8"/>
      <c r="D178" s="8"/>
      <c r="E178" s="9"/>
      <c r="F178" s="9"/>
      <c r="G178" s="10"/>
      <c r="H178" s="10"/>
      <c r="I178" s="11">
        <v>1</v>
      </c>
      <c r="J178" s="11"/>
      <c r="K178" s="10"/>
      <c r="L178" s="11"/>
      <c r="M178" s="170"/>
      <c r="N178" s="124">
        <f t="shared" si="7"/>
        <v>1</v>
      </c>
      <c r="O178" s="125"/>
      <c r="P178" s="109"/>
      <c r="Q178" s="72" t="s">
        <v>1561</v>
      </c>
      <c r="R178" s="19">
        <v>18692</v>
      </c>
      <c r="S178" s="12">
        <v>19439.68</v>
      </c>
      <c r="T178" s="12">
        <v>20187.36</v>
      </c>
      <c r="U178" s="12">
        <v>20467.740000000002</v>
      </c>
      <c r="V178" s="13"/>
      <c r="W178" s="175">
        <v>3692.27</v>
      </c>
      <c r="X178" s="78">
        <v>500</v>
      </c>
      <c r="Y178" s="182">
        <v>7</v>
      </c>
    </row>
    <row r="179" spans="1:25">
      <c r="A179" s="138" t="s">
        <v>177</v>
      </c>
      <c r="B179" s="50" t="str">
        <f>IFERROR(HYPERLINK(VLOOKUP(A179,ÜRÜNLER!A:C,3,FALSE),VLOOKUP(A179,ÜRÜNLER!A:B,2,FALSE)),"")</f>
        <v>iQ300 Ankastre Fırın, 1 Teleskopik Ray, Arkası Kendini Temizler, Siyah/Inox</v>
      </c>
      <c r="C179" s="8"/>
      <c r="D179" s="8"/>
      <c r="E179" s="9">
        <v>1</v>
      </c>
      <c r="F179" s="9"/>
      <c r="G179" s="10"/>
      <c r="H179" s="10"/>
      <c r="I179" s="11"/>
      <c r="J179" s="11"/>
      <c r="K179" s="10"/>
      <c r="L179" s="11">
        <v>1</v>
      </c>
      <c r="M179" s="170"/>
      <c r="N179" s="124">
        <f t="shared" si="7"/>
        <v>2</v>
      </c>
      <c r="O179" s="125"/>
      <c r="P179" s="109"/>
      <c r="Q179" s="72" t="s">
        <v>1561</v>
      </c>
      <c r="R179" s="19">
        <v>18000</v>
      </c>
      <c r="S179" s="12">
        <v>18720</v>
      </c>
      <c r="T179" s="12">
        <v>19440</v>
      </c>
      <c r="U179" s="12">
        <v>19710</v>
      </c>
      <c r="V179" s="13"/>
      <c r="W179" s="175">
        <v>1656.58</v>
      </c>
      <c r="X179" s="14">
        <v>250</v>
      </c>
      <c r="Y179" s="10">
        <v>0</v>
      </c>
    </row>
    <row r="180" spans="1:25">
      <c r="A180" s="138" t="s">
        <v>178</v>
      </c>
      <c r="B180" s="50" t="str">
        <f>IFERROR(HYPERLINK(VLOOKUP(A180,ÜRÜNLER!A:C,3,FALSE),VLOOKUP(A180,ÜRÜNLER!A:B,2,FALSE)),"")</f>
        <v>iQ500 Ankastre Fırın, 1 Teleskopik Ray, Komple Kendini Temizler, Siyah</v>
      </c>
      <c r="C180" s="8">
        <v>6</v>
      </c>
      <c r="D180" s="8"/>
      <c r="E180" s="9"/>
      <c r="F180" s="9"/>
      <c r="G180" s="10"/>
      <c r="H180" s="10"/>
      <c r="I180" s="11">
        <v>1</v>
      </c>
      <c r="J180" s="11">
        <v>1</v>
      </c>
      <c r="K180" s="10"/>
      <c r="L180" s="11"/>
      <c r="M180" s="170"/>
      <c r="N180" s="124">
        <f t="shared" si="7"/>
        <v>8</v>
      </c>
      <c r="O180" s="125"/>
      <c r="P180" s="109"/>
      <c r="Q180" s="51">
        <v>32289.56502589825</v>
      </c>
      <c r="R180" s="46">
        <v>30675.086774603336</v>
      </c>
      <c r="S180" s="12">
        <v>31902.090245587471</v>
      </c>
      <c r="T180" s="12">
        <v>33129.093716571602</v>
      </c>
      <c r="U180" s="12">
        <v>33589.220018190652</v>
      </c>
      <c r="V180" s="13"/>
      <c r="W180" s="175"/>
      <c r="X180" s="14"/>
      <c r="Y180" s="182">
        <v>2</v>
      </c>
    </row>
    <row r="181" spans="1:25">
      <c r="A181" s="141" t="s">
        <v>179</v>
      </c>
      <c r="B181" s="50" t="str">
        <f>IFERROR(HYPERLINK(VLOOKUP(A181,ÜRÜNLER!A:C,3,FALSE),VLOOKUP(A181,ÜRÜNLER!A:B,2,FALSE)),"")</f>
        <v>iQ500 Ankastre Fırın, 2 Teleskopik Ray, Komple Kendini Temizler, Titanyum Gri</v>
      </c>
      <c r="C181" s="8"/>
      <c r="D181" s="8"/>
      <c r="E181" s="9">
        <v>2</v>
      </c>
      <c r="F181" s="9"/>
      <c r="G181" s="10"/>
      <c r="H181" s="10"/>
      <c r="I181" s="11"/>
      <c r="J181" s="11"/>
      <c r="K181" s="10">
        <v>1</v>
      </c>
      <c r="L181" s="11"/>
      <c r="M181" s="170"/>
      <c r="N181" s="124">
        <f t="shared" si="7"/>
        <v>3</v>
      </c>
      <c r="O181" s="125"/>
      <c r="P181" s="109"/>
      <c r="Q181" s="72" t="s">
        <v>1561</v>
      </c>
      <c r="R181" s="19">
        <v>20000</v>
      </c>
      <c r="S181" s="12">
        <v>20800</v>
      </c>
      <c r="T181" s="12">
        <v>21600</v>
      </c>
      <c r="U181" s="12">
        <v>21900</v>
      </c>
      <c r="V181" s="13"/>
      <c r="W181" s="175"/>
      <c r="X181" s="102">
        <v>500</v>
      </c>
      <c r="Y181" s="10"/>
    </row>
    <row r="182" spans="1:25">
      <c r="A182" s="176" t="s">
        <v>1384</v>
      </c>
      <c r="B182" s="50" t="str">
        <f>IFERROR(HYPERLINK(VLOOKUP(A182,ÜRÜNLER!A:C,3,FALSE),VLOOKUP(A182,ÜRÜNLER!A:B,2,FALSE)),"")</f>
        <v>iQ100 Ankastre Fırın, Siyah/Inox</v>
      </c>
      <c r="C182" s="8"/>
      <c r="D182" s="8"/>
      <c r="E182" s="9"/>
      <c r="F182" s="9"/>
      <c r="G182" s="10"/>
      <c r="H182" s="10"/>
      <c r="I182" s="11"/>
      <c r="J182" s="11"/>
      <c r="K182" s="10"/>
      <c r="L182" s="11"/>
      <c r="M182" s="170">
        <v>1</v>
      </c>
      <c r="N182" s="124">
        <f t="shared" si="7"/>
        <v>1</v>
      </c>
      <c r="O182" s="125"/>
      <c r="P182" s="109"/>
      <c r="Q182" s="72" t="s">
        <v>1561</v>
      </c>
      <c r="R182" s="19">
        <v>11000</v>
      </c>
      <c r="S182" s="12">
        <v>11440</v>
      </c>
      <c r="T182" s="12">
        <v>11880</v>
      </c>
      <c r="U182" s="12">
        <v>12045</v>
      </c>
      <c r="V182" s="13"/>
      <c r="W182" s="175">
        <v>194.09</v>
      </c>
      <c r="X182" s="14">
        <v>500</v>
      </c>
      <c r="Y182" s="10">
        <v>0</v>
      </c>
    </row>
    <row r="183" spans="1:25">
      <c r="A183" s="176" t="s">
        <v>1661</v>
      </c>
      <c r="B183" s="50" t="str">
        <f>IFERROR(HYPERLINK(VLOOKUP(A183,ÜRÜNLER!A:C,3,FALSE),VLOOKUP(A183,ÜRÜNLER!A:B,2,FALSE)),"")</f>
        <v>iQ100 Ankastre Fırın, Siyah</v>
      </c>
      <c r="C183" s="8"/>
      <c r="D183" s="8"/>
      <c r="E183" s="9"/>
      <c r="F183" s="9"/>
      <c r="G183" s="10"/>
      <c r="H183" s="10"/>
      <c r="I183" s="11"/>
      <c r="J183" s="11"/>
      <c r="K183" s="10"/>
      <c r="L183" s="11"/>
      <c r="M183" s="170"/>
      <c r="N183" s="124">
        <f t="shared" si="7"/>
        <v>0</v>
      </c>
      <c r="O183" s="125"/>
      <c r="P183" s="109"/>
      <c r="Q183" s="51">
        <v>14441.186135917185</v>
      </c>
      <c r="R183" s="19">
        <v>14441</v>
      </c>
      <c r="S183" s="12">
        <v>15018.64</v>
      </c>
      <c r="T183" s="12">
        <v>15596.28</v>
      </c>
      <c r="U183" s="12">
        <v>15812.895</v>
      </c>
      <c r="V183" s="13"/>
      <c r="W183" s="175"/>
      <c r="X183" s="14">
        <v>500</v>
      </c>
      <c r="Y183" s="182">
        <v>5</v>
      </c>
    </row>
    <row r="184" spans="1:25">
      <c r="A184" s="176" t="s">
        <v>1662</v>
      </c>
      <c r="B184" s="50"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0"/>
      <c r="N184" s="124">
        <f t="shared" si="7"/>
        <v>0</v>
      </c>
      <c r="O184" s="125"/>
      <c r="P184" s="109"/>
      <c r="Q184" s="72" t="s">
        <v>1561</v>
      </c>
      <c r="R184" s="19">
        <v>19445</v>
      </c>
      <c r="S184" s="12">
        <v>20222.8</v>
      </c>
      <c r="T184" s="12">
        <v>21000.6</v>
      </c>
      <c r="U184" s="12">
        <v>21292.275000000001</v>
      </c>
      <c r="V184" s="13"/>
      <c r="W184" s="175">
        <v>4444.58</v>
      </c>
      <c r="X184" s="78">
        <v>500</v>
      </c>
      <c r="Y184" s="182">
        <v>4</v>
      </c>
    </row>
    <row r="185" spans="1:25">
      <c r="A185" s="176" t="s">
        <v>1018</v>
      </c>
      <c r="B185" s="50" t="str">
        <f>IFERROR(HYPERLINK(VLOOKUP(A185,ÜRÜNLER!A:C,3,FALSE),VLOOKUP(A185,ÜRÜNLER!A:B,2,FALSE)),"")</f>
        <v>iQ500 Ankastre Fırın, 1 Teleskopik Ray, darkSteel</v>
      </c>
      <c r="C185" s="8"/>
      <c r="D185" s="8"/>
      <c r="E185" s="9"/>
      <c r="F185" s="9"/>
      <c r="G185" s="10"/>
      <c r="H185" s="10"/>
      <c r="I185" s="11"/>
      <c r="J185" s="11"/>
      <c r="K185" s="10"/>
      <c r="L185" s="11"/>
      <c r="M185" s="170"/>
      <c r="N185" s="124">
        <f t="shared" si="7"/>
        <v>0</v>
      </c>
      <c r="O185" s="125"/>
      <c r="P185" s="109"/>
      <c r="Q185" s="72" t="s">
        <v>1561</v>
      </c>
      <c r="R185" s="19">
        <v>21205</v>
      </c>
      <c r="S185" s="12">
        <v>22053.200000000001</v>
      </c>
      <c r="T185" s="12">
        <v>22901.4</v>
      </c>
      <c r="U185" s="12">
        <v>23219.474999999999</v>
      </c>
      <c r="V185" s="13"/>
      <c r="W185" s="175">
        <v>3204.62</v>
      </c>
      <c r="X185" s="78">
        <v>500</v>
      </c>
      <c r="Y185" s="182">
        <v>5</v>
      </c>
    </row>
    <row r="186" spans="1:25">
      <c r="A186" s="176" t="s">
        <v>175</v>
      </c>
      <c r="B186" s="50"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0"/>
      <c r="N186" s="124">
        <f t="shared" si="7"/>
        <v>0</v>
      </c>
      <c r="O186" s="125"/>
      <c r="P186" s="109"/>
      <c r="Q186" s="72" t="s">
        <v>1561</v>
      </c>
      <c r="R186" s="19">
        <v>20293</v>
      </c>
      <c r="S186" s="12">
        <v>21104.720000000001</v>
      </c>
      <c r="T186" s="12">
        <v>21916.44</v>
      </c>
      <c r="U186" s="12">
        <v>22220.834999999999</v>
      </c>
      <c r="V186" s="13"/>
      <c r="W186" s="175">
        <v>5292.89</v>
      </c>
      <c r="X186" s="78">
        <v>500</v>
      </c>
      <c r="Y186" s="182">
        <v>15</v>
      </c>
    </row>
    <row r="187" spans="1:25">
      <c r="A187" s="176" t="s">
        <v>1391</v>
      </c>
      <c r="B187" s="50" t="str">
        <f>IFERROR(HYPERLINK(VLOOKUP(A187,ÜRÜNLER!A:C,3,FALSE),VLOOKUP(A187,ÜRÜNLER!A:B,2,FALSE)),"")</f>
        <v>iQ300 Ankastre Fırın, Titanyum Gri</v>
      </c>
      <c r="C187" s="8"/>
      <c r="D187" s="8"/>
      <c r="E187" s="9"/>
      <c r="F187" s="9"/>
      <c r="G187" s="10"/>
      <c r="H187" s="10"/>
      <c r="I187" s="11"/>
      <c r="J187" s="11"/>
      <c r="K187" s="10"/>
      <c r="L187" s="11"/>
      <c r="M187" s="170"/>
      <c r="N187" s="124">
        <f t="shared" si="7"/>
        <v>0</v>
      </c>
      <c r="O187" s="125"/>
      <c r="P187" s="109"/>
      <c r="Q187" s="72" t="s">
        <v>1561</v>
      </c>
      <c r="R187" s="19">
        <v>17000</v>
      </c>
      <c r="S187" s="12">
        <v>17680</v>
      </c>
      <c r="T187" s="12">
        <v>18360</v>
      </c>
      <c r="U187" s="12">
        <v>18615</v>
      </c>
      <c r="V187" s="13"/>
      <c r="W187" s="175">
        <v>1480.88</v>
      </c>
      <c r="X187" s="78">
        <v>500</v>
      </c>
      <c r="Y187" s="182">
        <v>2</v>
      </c>
    </row>
    <row r="188" spans="1:25">
      <c r="A188" s="176" t="s">
        <v>1024</v>
      </c>
      <c r="B188" s="50"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0"/>
      <c r="N188" s="124">
        <f t="shared" si="7"/>
        <v>0</v>
      </c>
      <c r="O188" s="125"/>
      <c r="P188" s="109"/>
      <c r="Q188" s="72" t="s">
        <v>1561</v>
      </c>
      <c r="R188" s="19">
        <v>17983</v>
      </c>
      <c r="S188" s="12">
        <v>18702.32</v>
      </c>
      <c r="T188" s="12">
        <v>19421.64</v>
      </c>
      <c r="U188" s="12">
        <v>19691.384999999998</v>
      </c>
      <c r="V188" s="13"/>
      <c r="W188" s="175">
        <v>2983.37</v>
      </c>
      <c r="X188" s="78">
        <v>500</v>
      </c>
      <c r="Y188" s="182">
        <v>5</v>
      </c>
    </row>
    <row r="189" spans="1:25">
      <c r="A189" s="176" t="s">
        <v>181</v>
      </c>
      <c r="B189" s="50" t="str">
        <f>IFERROR(HYPERLINK(VLOOKUP(A189,ÜRÜNLER!A:C,3,FALSE),VLOOKUP(A189,ÜRÜNLER!A:B,2,FALSE)),"")</f>
        <v>iQ500 Ankastre Fırın, 2 Teleskopik Ray, Siyah/Inox</v>
      </c>
      <c r="C189" s="8"/>
      <c r="D189" s="8"/>
      <c r="E189" s="9"/>
      <c r="F189" s="9"/>
      <c r="G189" s="10"/>
      <c r="H189" s="10"/>
      <c r="I189" s="11"/>
      <c r="J189" s="11"/>
      <c r="K189" s="10"/>
      <c r="L189" s="11"/>
      <c r="M189" s="170"/>
      <c r="N189" s="124">
        <f t="shared" si="7"/>
        <v>0</v>
      </c>
      <c r="O189" s="125"/>
      <c r="P189" s="109"/>
      <c r="Q189" s="72" t="s">
        <v>1561</v>
      </c>
      <c r="R189" s="13">
        <v>23164</v>
      </c>
      <c r="S189" s="12">
        <v>24090.560000000001</v>
      </c>
      <c r="T189" s="12">
        <v>25017.119999999999</v>
      </c>
      <c r="U189" s="12">
        <v>25364.58</v>
      </c>
      <c r="V189" s="13"/>
      <c r="W189" s="175">
        <v>4000.57</v>
      </c>
      <c r="X189" s="14">
        <v>500</v>
      </c>
      <c r="Y189" s="10">
        <v>0</v>
      </c>
    </row>
    <row r="190" spans="1:25">
      <c r="A190" s="21" t="s">
        <v>1346</v>
      </c>
      <c r="B190" s="50" t="str">
        <f>IFERROR(HYPERLINK(VLOOKUP(A190,ÜRÜNLER!A:C,3,FALSE),VLOOKUP(A190,ÜRÜNLER!A:B,2,FALSE)),"")</f>
        <v>iQ700 Ankastre Fırın, Siyah</v>
      </c>
      <c r="C190" s="8"/>
      <c r="D190" s="8"/>
      <c r="E190" s="9"/>
      <c r="F190" s="9"/>
      <c r="G190" s="10"/>
      <c r="H190" s="10"/>
      <c r="I190" s="11"/>
      <c r="J190" s="11"/>
      <c r="K190" s="10">
        <v>1</v>
      </c>
      <c r="L190" s="11"/>
      <c r="M190" s="170"/>
      <c r="N190" s="124">
        <f t="shared" si="7"/>
        <v>1</v>
      </c>
      <c r="O190" s="125"/>
      <c r="P190" s="109"/>
      <c r="Q190" s="72" t="s">
        <v>1561</v>
      </c>
      <c r="R190" s="19">
        <v>45000</v>
      </c>
      <c r="S190" s="12">
        <v>46800</v>
      </c>
      <c r="T190" s="12">
        <v>48600</v>
      </c>
      <c r="U190" s="12">
        <v>49275</v>
      </c>
      <c r="V190" s="13"/>
      <c r="W190" s="175"/>
      <c r="X190" s="102">
        <v>500</v>
      </c>
      <c r="Y190" s="10"/>
    </row>
    <row r="191" spans="1:25">
      <c r="A191" s="21" t="s">
        <v>1347</v>
      </c>
      <c r="B191" s="50"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132" t="s">
        <v>185</v>
      </c>
      <c r="B192" s="50" t="str">
        <f>IFERROR(HYPERLINK(VLOOKUP(A192,ÜRÜNLER!A:C,3,FALSE),VLOOKUP(A192,ÜRÜNLER!A:B,2,FALSE)),"")</f>
        <v>iQ700 Ankastre Fırın, Arkası Kendini Temizler, Siyah</v>
      </c>
      <c r="C192" s="8"/>
      <c r="D192" s="8"/>
      <c r="E192" s="9"/>
      <c r="F192" s="9"/>
      <c r="G192" s="10"/>
      <c r="H192" s="10"/>
      <c r="I192" s="11">
        <v>1</v>
      </c>
      <c r="J192" s="11">
        <v>1</v>
      </c>
      <c r="K192" s="10">
        <v>1</v>
      </c>
      <c r="L192" s="11"/>
      <c r="M192" s="170"/>
      <c r="N192" s="124">
        <f t="shared" si="7"/>
        <v>3</v>
      </c>
      <c r="O192" s="125"/>
      <c r="P192" s="109"/>
      <c r="Q192" s="51">
        <v>52805.504424502549</v>
      </c>
      <c r="R192" s="25">
        <v>52805.504424502549</v>
      </c>
      <c r="S192" s="12">
        <v>54917.724601482652</v>
      </c>
      <c r="T192" s="12">
        <v>57029.944778462755</v>
      </c>
      <c r="U192" s="12">
        <v>57822.027344830291</v>
      </c>
      <c r="V192" s="13"/>
      <c r="W192" s="175"/>
      <c r="X192" s="102">
        <v>500</v>
      </c>
      <c r="Y192" s="182">
        <v>4</v>
      </c>
    </row>
    <row r="193" spans="1:25">
      <c r="A193" s="132" t="s">
        <v>186</v>
      </c>
      <c r="B193" s="50" t="str">
        <f>IFERROR(HYPERLINK(VLOOKUP(A193,ÜRÜNLER!A:C,3,FALSE),VLOOKUP(A193,ÜRÜNLER!A:B,2,FALSE)),"")</f>
        <v>iQ700 Ankastre Fırın, Arkası Kendini Temizler, Beyaz</v>
      </c>
      <c r="C193" s="8">
        <v>3</v>
      </c>
      <c r="D193" s="8"/>
      <c r="E193" s="9"/>
      <c r="F193" s="9"/>
      <c r="G193" s="10"/>
      <c r="H193" s="10"/>
      <c r="I193" s="11">
        <v>1</v>
      </c>
      <c r="J193" s="11"/>
      <c r="K193" s="10"/>
      <c r="L193" s="11"/>
      <c r="M193" s="170"/>
      <c r="N193" s="124">
        <f t="shared" si="7"/>
        <v>4</v>
      </c>
      <c r="O193" s="125"/>
      <c r="P193" s="109"/>
      <c r="Q193" s="72" t="s">
        <v>1561</v>
      </c>
      <c r="R193" s="19">
        <v>60000</v>
      </c>
      <c r="S193" s="12">
        <v>62400</v>
      </c>
      <c r="T193" s="12">
        <v>64800</v>
      </c>
      <c r="U193" s="12">
        <v>65700</v>
      </c>
      <c r="V193" s="13"/>
      <c r="W193" s="175"/>
      <c r="X193" s="102">
        <v>500</v>
      </c>
      <c r="Y193" s="10"/>
    </row>
    <row r="194" spans="1:25">
      <c r="A194" s="138" t="s">
        <v>187</v>
      </c>
      <c r="B194" s="50" t="str">
        <f>IFERROR(HYPERLINK(VLOOKUP(A194,ÜRÜNLER!A:C,3,FALSE),VLOOKUP(A194,ÜRÜNLER!A:B,2,FALSE)),"")</f>
        <v>iQ700 Ankastre Fırın, Siyah</v>
      </c>
      <c r="C194" s="8">
        <v>5</v>
      </c>
      <c r="D194" s="8"/>
      <c r="E194" s="9"/>
      <c r="F194" s="9"/>
      <c r="G194" s="10"/>
      <c r="H194" s="10"/>
      <c r="I194" s="11"/>
      <c r="J194" s="11">
        <v>1</v>
      </c>
      <c r="K194" s="10"/>
      <c r="L194" s="11">
        <v>1</v>
      </c>
      <c r="M194" s="170"/>
      <c r="N194" s="124">
        <f t="shared" si="7"/>
        <v>7</v>
      </c>
      <c r="O194" s="125"/>
      <c r="P194" s="109"/>
      <c r="Q194" s="51">
        <v>67147.740194120503</v>
      </c>
      <c r="R194" s="46">
        <v>65133.307988296889</v>
      </c>
      <c r="S194" s="12">
        <v>67738.640307828769</v>
      </c>
      <c r="T194" s="12">
        <v>70343.972627360636</v>
      </c>
      <c r="U194" s="12">
        <v>71320.972247185098</v>
      </c>
      <c r="V194" s="13"/>
      <c r="W194" s="175"/>
      <c r="X194" s="102">
        <v>500</v>
      </c>
      <c r="Y194" s="182">
        <v>4</v>
      </c>
    </row>
    <row r="195" spans="1:25">
      <c r="A195" s="138" t="s">
        <v>188</v>
      </c>
      <c r="B195" s="50" t="str">
        <f>IFERROR(HYPERLINK(VLOOKUP(A195,ÜRÜNLER!A:C,3,FALSE),VLOOKUP(A195,ÜRÜNLER!A:B,2,FALSE)),"")</f>
        <v>iQ700 Ankastre Fırın, Komple Kendini Temizler, Siyah</v>
      </c>
      <c r="C195" s="8"/>
      <c r="D195" s="8"/>
      <c r="E195" s="9"/>
      <c r="F195" s="9"/>
      <c r="G195" s="10"/>
      <c r="H195" s="10"/>
      <c r="I195" s="11"/>
      <c r="J195" s="11"/>
      <c r="K195" s="10"/>
      <c r="L195" s="11"/>
      <c r="M195" s="170"/>
      <c r="N195" s="124">
        <f t="shared" si="7"/>
        <v>0</v>
      </c>
      <c r="O195" s="125">
        <v>9</v>
      </c>
      <c r="P195" s="109"/>
      <c r="Q195" s="51">
        <v>80750.403072639005</v>
      </c>
      <c r="R195" s="19">
        <v>80750.403072639005</v>
      </c>
      <c r="S195" s="12">
        <v>83980.419195544571</v>
      </c>
      <c r="T195" s="12">
        <v>87210.435318450123</v>
      </c>
      <c r="U195" s="12">
        <v>88421.691364539714</v>
      </c>
      <c r="V195" s="13"/>
      <c r="W195" s="175"/>
      <c r="X195" s="102">
        <v>500</v>
      </c>
      <c r="Y195" s="10"/>
    </row>
    <row r="196" spans="1:25">
      <c r="A196" s="138" t="s">
        <v>189</v>
      </c>
      <c r="B196" s="50" t="str">
        <f>IFERROR(HYPERLINK(VLOOKUP(A196,ÜRÜNLER!A:C,3,FALSE),VLOOKUP(A196,ÜRÜNLER!A:B,2,FALSE)),"")</f>
        <v>iQ700 studioLine Ankastre Fırın, 3 Teleskopik Ray, Komple Kendini Temizler, Siyah</v>
      </c>
      <c r="C196" s="8"/>
      <c r="D196" s="8">
        <v>2</v>
      </c>
      <c r="E196" s="9"/>
      <c r="F196" s="9"/>
      <c r="G196" s="10"/>
      <c r="H196" s="10">
        <v>1</v>
      </c>
      <c r="I196" s="11"/>
      <c r="J196" s="11"/>
      <c r="K196" s="10"/>
      <c r="L196" s="11"/>
      <c r="M196" s="170"/>
      <c r="N196" s="124">
        <f t="shared" si="7"/>
        <v>3</v>
      </c>
      <c r="O196" s="125"/>
      <c r="P196" s="109"/>
      <c r="Q196" s="72" t="s">
        <v>1561</v>
      </c>
      <c r="R196" s="18">
        <v>90000</v>
      </c>
      <c r="S196" s="12">
        <v>93600</v>
      </c>
      <c r="T196" s="12">
        <v>97200</v>
      </c>
      <c r="U196" s="12">
        <v>98550</v>
      </c>
      <c r="V196" s="13"/>
      <c r="W196" s="175"/>
      <c r="X196" s="102">
        <v>500</v>
      </c>
      <c r="Y196" s="10"/>
    </row>
    <row r="197" spans="1:25">
      <c r="A197" s="138" t="s">
        <v>196</v>
      </c>
      <c r="B197" s="50" t="str">
        <f>IFERROR(HYPERLINK(VLOOKUP(A197,ÜRÜNLER!A:C,3,FALSE),VLOOKUP(A197,ÜRÜNLER!A:B,2,FALSE)),"")</f>
        <v>iQ700 studioLine Ankastre Fırın, 1 Teleskopik Ray, Komple Kendini Temizler, Siyah</v>
      </c>
      <c r="C197" s="8"/>
      <c r="D197" s="8">
        <v>3</v>
      </c>
      <c r="E197" s="9"/>
      <c r="F197" s="9"/>
      <c r="G197" s="10"/>
      <c r="H197" s="10"/>
      <c r="I197" s="11"/>
      <c r="J197" s="11"/>
      <c r="K197" s="10"/>
      <c r="L197" s="11"/>
      <c r="M197" s="170"/>
      <c r="N197" s="124">
        <f t="shared" si="7"/>
        <v>3</v>
      </c>
      <c r="O197" s="125"/>
      <c r="P197" s="109"/>
      <c r="Q197" s="180">
        <v>127688.96718412994</v>
      </c>
      <c r="R197" s="18">
        <v>114920.07046571694</v>
      </c>
      <c r="S197" s="12">
        <v>119516.87328434562</v>
      </c>
      <c r="T197" s="12">
        <v>124113.67610297429</v>
      </c>
      <c r="U197" s="12">
        <v>125837.47715996005</v>
      </c>
      <c r="V197" s="13"/>
      <c r="W197" s="175"/>
      <c r="X197" s="102">
        <v>500</v>
      </c>
      <c r="Y197" s="10"/>
    </row>
    <row r="198" spans="1:25">
      <c r="A198" s="140" t="s">
        <v>1315</v>
      </c>
      <c r="B198" s="50" t="str">
        <f>IFERROR(HYPERLINK(VLOOKUP(A198,ÜRÜNLER!A:C,3,FALSE),VLOOKUP(A198,ÜRÜNLER!A:B,2,FALSE)),"")</f>
        <v>iQ300 Ankastre Fırın, 1 Teleskopik Ray, Arkası Kendini Temizler, Beyaz</v>
      </c>
      <c r="C198" s="8"/>
      <c r="D198" s="8"/>
      <c r="E198" s="9"/>
      <c r="F198" s="9"/>
      <c r="G198" s="10"/>
      <c r="H198" s="10"/>
      <c r="I198" s="11">
        <v>1</v>
      </c>
      <c r="J198" s="11"/>
      <c r="K198" s="10"/>
      <c r="L198" s="11"/>
      <c r="M198" s="170"/>
      <c r="N198" s="124">
        <f t="shared" si="7"/>
        <v>1</v>
      </c>
      <c r="O198" s="125"/>
      <c r="P198" s="109"/>
      <c r="Q198" s="72" t="s">
        <v>1561</v>
      </c>
      <c r="R198" s="46">
        <v>17000</v>
      </c>
      <c r="S198" s="12">
        <v>17680</v>
      </c>
      <c r="T198" s="12">
        <v>18360</v>
      </c>
      <c r="U198" s="12">
        <v>18615</v>
      </c>
      <c r="V198" s="13"/>
      <c r="W198" s="175"/>
      <c r="X198" s="102">
        <v>500</v>
      </c>
      <c r="Y198" s="10"/>
    </row>
    <row r="199" spans="1:25">
      <c r="A199" s="142" t="s">
        <v>155</v>
      </c>
      <c r="B199" s="50" t="str">
        <f>IFERROR(HYPERLINK(VLOOKUP(A199,ÜRÜNLER!A:C,3,FALSE),VLOOKUP(A199,ÜRÜNLER!A:B,2,FALSE)),"")</f>
        <v>iQ500 Ankastre Fırın, 2 Teleskopik Ray, Komple Kendini Temizler, Siyah</v>
      </c>
      <c r="C199" s="8">
        <v>51</v>
      </c>
      <c r="D199" s="8"/>
      <c r="E199" s="9"/>
      <c r="F199" s="9"/>
      <c r="G199" s="10"/>
      <c r="H199" s="10"/>
      <c r="I199" s="11">
        <v>1</v>
      </c>
      <c r="J199" s="11"/>
      <c r="K199" s="10">
        <v>1</v>
      </c>
      <c r="L199" s="11">
        <v>1</v>
      </c>
      <c r="M199" s="170"/>
      <c r="N199" s="124">
        <f t="shared" si="7"/>
        <v>54</v>
      </c>
      <c r="O199" s="125">
        <v>55</v>
      </c>
      <c r="P199" s="114"/>
      <c r="Q199" s="51">
        <v>31367.745926880842</v>
      </c>
      <c r="R199" s="18">
        <v>29799.358630536801</v>
      </c>
      <c r="S199" s="171">
        <v>30991.332975758272</v>
      </c>
      <c r="T199" s="171">
        <v>32183.307320979744</v>
      </c>
      <c r="U199" s="171">
        <v>32630.297700437797</v>
      </c>
      <c r="V199" s="13"/>
      <c r="W199" s="175"/>
      <c r="X199" s="14"/>
      <c r="Y199" s="10"/>
    </row>
    <row r="200" spans="1:25">
      <c r="A200" s="141" t="s">
        <v>157</v>
      </c>
      <c r="B200" s="50" t="str">
        <f>IFERROR(HYPERLINK(VLOOKUP(A200,ÜRÜNLER!A:C,3,FALSE),VLOOKUP(A200,ÜRÜNLER!A:B,2,FALSE)),"")</f>
        <v>iQ500 Ankastre Fırın, 2 Teleskopik Ray, Komple Kendini Temizler, Antrasit</v>
      </c>
      <c r="C200" s="8">
        <v>36</v>
      </c>
      <c r="D200" s="8"/>
      <c r="E200" s="9"/>
      <c r="F200" s="9"/>
      <c r="G200" s="10"/>
      <c r="H200" s="10"/>
      <c r="I200" s="11"/>
      <c r="J200" s="11">
        <v>1</v>
      </c>
      <c r="K200" s="10"/>
      <c r="L200" s="11"/>
      <c r="M200" s="170"/>
      <c r="N200" s="124">
        <f t="shared" si="7"/>
        <v>37</v>
      </c>
      <c r="O200" s="125">
        <v>13</v>
      </c>
      <c r="P200" s="114"/>
      <c r="Q200" s="51">
        <v>31367.745926880842</v>
      </c>
      <c r="R200" s="46">
        <v>30426.713549074415</v>
      </c>
      <c r="S200" s="12">
        <v>31643.782091037392</v>
      </c>
      <c r="T200" s="12">
        <v>32860.850633000366</v>
      </c>
      <c r="U200" s="12">
        <v>33317.251336236484</v>
      </c>
      <c r="V200" s="13"/>
      <c r="W200" s="175"/>
      <c r="X200" s="14"/>
      <c r="Y200" s="10"/>
    </row>
    <row r="201" spans="1:25">
      <c r="A201" s="132" t="s">
        <v>156</v>
      </c>
      <c r="B201" s="50" t="str">
        <f>IFERROR(HYPERLINK(VLOOKUP(A201,ÜRÜNLER!A:C,3,FALSE),VLOOKUP(A201,ÜRÜNLER!A:B,2,FALSE)),"")</f>
        <v>iQ500 Ankastre Fırın, 2 Teleskopik Ray, Komple Kendini Temizler, Beyaz</v>
      </c>
      <c r="C201" s="8">
        <v>28</v>
      </c>
      <c r="D201" s="8"/>
      <c r="E201" s="9"/>
      <c r="F201" s="9">
        <v>1</v>
      </c>
      <c r="G201" s="10"/>
      <c r="H201" s="10"/>
      <c r="I201" s="11"/>
      <c r="J201" s="11">
        <v>1</v>
      </c>
      <c r="K201" s="10"/>
      <c r="L201" s="11"/>
      <c r="M201" s="170">
        <v>1</v>
      </c>
      <c r="N201" s="124">
        <f t="shared" si="7"/>
        <v>31</v>
      </c>
      <c r="O201" s="125">
        <v>5</v>
      </c>
      <c r="P201" s="114"/>
      <c r="Q201" s="51">
        <v>31367.745926880842</v>
      </c>
      <c r="R201" s="46">
        <v>30426.713549074415</v>
      </c>
      <c r="S201" s="12">
        <v>31643.782091037392</v>
      </c>
      <c r="T201" s="12">
        <v>32860.850633000366</v>
      </c>
      <c r="U201" s="12">
        <v>33317.251336236484</v>
      </c>
      <c r="V201" s="13"/>
      <c r="W201" s="175"/>
      <c r="X201" s="14"/>
      <c r="Y201" s="10">
        <v>0</v>
      </c>
    </row>
    <row r="202" spans="1:25">
      <c r="A202" s="132" t="s">
        <v>197</v>
      </c>
      <c r="B202" s="50" t="str">
        <f>IFERROR(HYPERLINK(VLOOKUP(A202,ÜRÜNLER!A:C,3,FALSE),VLOOKUP(A202,ÜRÜNLER!A:B,2,FALSE)),"")</f>
        <v>iQ700 studioLine Buhar ve Mikrodalga Fonksiyonlu Ankastre Fırın, Komple Kendini Temizler, Siyah</v>
      </c>
      <c r="C202" s="8"/>
      <c r="D202" s="8"/>
      <c r="E202" s="9"/>
      <c r="F202" s="9"/>
      <c r="G202" s="10"/>
      <c r="H202" s="10"/>
      <c r="I202" s="11"/>
      <c r="J202" s="11"/>
      <c r="K202" s="10"/>
      <c r="L202" s="11"/>
      <c r="M202" s="170"/>
      <c r="N202" s="124">
        <f t="shared" si="7"/>
        <v>0</v>
      </c>
      <c r="O202" s="125"/>
      <c r="P202" s="109"/>
      <c r="Q202" s="180">
        <v>221273.4089518309</v>
      </c>
      <c r="R202" s="25">
        <v>221273</v>
      </c>
      <c r="S202" s="12">
        <v>230123.92</v>
      </c>
      <c r="T202" s="12">
        <v>238974.84</v>
      </c>
      <c r="U202" s="12">
        <v>242293.935</v>
      </c>
      <c r="V202" s="13"/>
      <c r="W202" s="175"/>
      <c r="X202" s="14">
        <v>500</v>
      </c>
      <c r="Y202" s="10"/>
    </row>
    <row r="203" spans="1:25">
      <c r="A203" s="142" t="s">
        <v>154</v>
      </c>
      <c r="B203" s="50" t="str">
        <f>IFERROR(HYPERLINK(VLOOKUP(A203,ÜRÜNLER!A:C,3,FALSE),VLOOKUP(A203,ÜRÜNLER!A:B,2,FALSE)),"")</f>
        <v>iQ300 Buhar Destekli Ankastre Fırın, 1 Teleskopik Ray, Arkası Kendini Temizler, Siyah/Dark Inox</v>
      </c>
      <c r="C203" s="8">
        <v>1</v>
      </c>
      <c r="D203" s="8"/>
      <c r="E203" s="9"/>
      <c r="F203" s="9"/>
      <c r="G203" s="10"/>
      <c r="H203" s="10"/>
      <c r="I203" s="11">
        <v>1</v>
      </c>
      <c r="J203" s="11"/>
      <c r="K203" s="10"/>
      <c r="L203" s="11"/>
      <c r="M203" s="170"/>
      <c r="N203" s="124">
        <f t="shared" si="7"/>
        <v>2</v>
      </c>
      <c r="O203" s="125">
        <v>1</v>
      </c>
      <c r="P203" s="109"/>
      <c r="Q203" s="51">
        <v>34400.663622885215</v>
      </c>
      <c r="R203" s="46">
        <v>33368.643714198661</v>
      </c>
      <c r="S203" s="12">
        <v>34703.389462766609</v>
      </c>
      <c r="T203" s="12">
        <v>36038.135211334557</v>
      </c>
      <c r="U203" s="12">
        <v>36538.664867047533</v>
      </c>
      <c r="V203" s="13"/>
      <c r="W203" s="175"/>
      <c r="X203" s="14"/>
      <c r="Y203" s="10"/>
    </row>
    <row r="204" spans="1:25">
      <c r="A204" s="138" t="s">
        <v>192</v>
      </c>
      <c r="B204" s="50" t="str">
        <f>IFERROR(HYPERLINK(VLOOKUP(A204,ÜRÜNLER!A:C,3,FALSE),VLOOKUP(A204,ÜRÜNLER!A:B,2,FALSE)),"")</f>
        <v>iQ500 Buhar Destekli Ankastre Fırın, Arkası Kendini Temizler, Siyah/Inox</v>
      </c>
      <c r="C204" s="8"/>
      <c r="D204" s="8"/>
      <c r="E204" s="9"/>
      <c r="F204" s="9"/>
      <c r="G204" s="10"/>
      <c r="H204" s="10"/>
      <c r="I204" s="11">
        <v>1</v>
      </c>
      <c r="J204" s="11">
        <v>1</v>
      </c>
      <c r="K204" s="10">
        <v>1</v>
      </c>
      <c r="L204" s="11">
        <v>1</v>
      </c>
      <c r="M204" s="170"/>
      <c r="N204" s="124">
        <f t="shared" si="7"/>
        <v>4</v>
      </c>
      <c r="O204" s="125"/>
      <c r="P204" s="109"/>
      <c r="Q204" s="72" t="s">
        <v>1561</v>
      </c>
      <c r="R204" s="18">
        <v>26144</v>
      </c>
      <c r="S204" s="171">
        <v>27189.759999999998</v>
      </c>
      <c r="T204" s="171">
        <v>28235.52</v>
      </c>
      <c r="U204" s="171">
        <v>28627.68</v>
      </c>
      <c r="V204" s="13"/>
      <c r="W204" s="175">
        <v>1144.25</v>
      </c>
      <c r="X204" s="78">
        <v>500</v>
      </c>
      <c r="Y204" s="182">
        <v>8</v>
      </c>
    </row>
    <row r="205" spans="1:25">
      <c r="A205" s="132" t="s">
        <v>193</v>
      </c>
      <c r="B205" s="50" t="str">
        <f>IFERROR(HYPERLINK(VLOOKUP(A205,ÜRÜNLER!A:C,3,FALSE),VLOOKUP(A205,ÜRÜNLER!A:B,2,FALSE)),"")</f>
        <v>iQ700 Ankastre Fırın, Siyah</v>
      </c>
      <c r="C205" s="8"/>
      <c r="D205" s="8"/>
      <c r="E205" s="9"/>
      <c r="F205" s="9"/>
      <c r="G205" s="10"/>
      <c r="H205" s="10"/>
      <c r="I205" s="11">
        <v>1</v>
      </c>
      <c r="J205" s="11">
        <v>1</v>
      </c>
      <c r="K205" s="10">
        <v>1</v>
      </c>
      <c r="L205" s="11">
        <v>1</v>
      </c>
      <c r="M205" s="170"/>
      <c r="N205" s="124">
        <f t="shared" si="7"/>
        <v>4</v>
      </c>
      <c r="O205" s="125">
        <v>6</v>
      </c>
      <c r="P205" s="109"/>
      <c r="Q205" s="51">
        <v>80281.048202676408</v>
      </c>
      <c r="R205" s="19">
        <v>80281.048202676408</v>
      </c>
      <c r="S205" s="12">
        <v>83492.290130783469</v>
      </c>
      <c r="T205" s="12">
        <v>86703.532058890516</v>
      </c>
      <c r="U205" s="12">
        <v>87907.747781930666</v>
      </c>
      <c r="V205" s="13"/>
      <c r="W205" s="175"/>
      <c r="X205" s="17">
        <v>250</v>
      </c>
      <c r="Y205" s="10"/>
    </row>
    <row r="206" spans="1:25">
      <c r="A206" s="140" t="s">
        <v>194</v>
      </c>
      <c r="B206" s="50" t="str">
        <f>IFERROR(HYPERLINK(VLOOKUP(A206,ÜRÜNLER!A:C,3,FALSE),VLOOKUP(A206,ÜRÜNLER!A:B,2,FALSE)),"")</f>
        <v>iQ700 Buhar Destekli Ankastre Fırın, Arkası Kendini Temizler, Siyah/Inox</v>
      </c>
      <c r="C206" s="8">
        <v>1</v>
      </c>
      <c r="D206" s="8"/>
      <c r="E206" s="9"/>
      <c r="F206" s="9"/>
      <c r="G206" s="10"/>
      <c r="H206" s="10"/>
      <c r="I206" s="11">
        <v>1</v>
      </c>
      <c r="J206" s="11"/>
      <c r="K206" s="10"/>
      <c r="L206" s="11"/>
      <c r="M206" s="170"/>
      <c r="N206" s="124">
        <f t="shared" si="7"/>
        <v>2</v>
      </c>
      <c r="O206" s="125"/>
      <c r="P206" s="109"/>
      <c r="Q206" s="72" t="s">
        <v>1561</v>
      </c>
      <c r="R206" s="19">
        <v>66000</v>
      </c>
      <c r="S206" s="12">
        <v>68640</v>
      </c>
      <c r="T206" s="12">
        <v>71280</v>
      </c>
      <c r="U206" s="12">
        <v>72270</v>
      </c>
      <c r="V206" s="13"/>
      <c r="W206" s="175"/>
      <c r="X206" s="121">
        <v>500</v>
      </c>
      <c r="Y206" s="10"/>
    </row>
    <row r="207" spans="1:25">
      <c r="A207" s="138" t="s">
        <v>195</v>
      </c>
      <c r="B207" s="50" t="str">
        <f>IFERROR(HYPERLINK(VLOOKUP(A207,ÜRÜNLER!A:C,3,FALSE),VLOOKUP(A207,ÜRÜNLER!A:B,2,FALSE)),"")</f>
        <v>iQ700 studioLine Buhar Destekli Ankastre Fırın, 3 Teleskopik Ray, Komple Kendini Temizler, Siyah</v>
      </c>
      <c r="C207" s="8"/>
      <c r="D207" s="8"/>
      <c r="E207" s="9"/>
      <c r="F207" s="9"/>
      <c r="G207" s="10"/>
      <c r="H207" s="10">
        <v>1</v>
      </c>
      <c r="I207" s="11"/>
      <c r="J207" s="11"/>
      <c r="K207" s="10"/>
      <c r="L207" s="11"/>
      <c r="M207" s="170"/>
      <c r="N207" s="124">
        <f t="shared" si="7"/>
        <v>1</v>
      </c>
      <c r="O207" s="125"/>
      <c r="P207" s="109"/>
      <c r="Q207" s="72" t="s">
        <v>1561</v>
      </c>
      <c r="R207" s="19">
        <v>75000</v>
      </c>
      <c r="S207" s="12">
        <v>78000</v>
      </c>
      <c r="T207" s="12">
        <v>81000</v>
      </c>
      <c r="U207" s="12">
        <v>82125</v>
      </c>
      <c r="V207" s="13"/>
      <c r="W207" s="175"/>
      <c r="X207" s="121">
        <v>500</v>
      </c>
      <c r="Y207" s="10"/>
    </row>
    <row r="208" spans="1:25">
      <c r="A208" s="142" t="s">
        <v>159</v>
      </c>
      <c r="B208" s="50" t="str">
        <f>IFERROR(HYPERLINK(VLOOKUP(A208,ÜRÜNLER!A:C,3,FALSE),VLOOKUP(A208,ÜRÜNLER!A:B,2,FALSE)),"")</f>
        <v>iQ300 Buhar Destekli Ankastre Fırın, Siyah</v>
      </c>
      <c r="C208" s="8">
        <v>36</v>
      </c>
      <c r="D208" s="8"/>
      <c r="E208" s="9"/>
      <c r="F208" s="9"/>
      <c r="G208" s="10"/>
      <c r="H208" s="10"/>
      <c r="I208" s="11"/>
      <c r="J208" s="11">
        <v>1</v>
      </c>
      <c r="K208" s="10"/>
      <c r="L208" s="11"/>
      <c r="M208" s="170"/>
      <c r="N208" s="124">
        <f t="shared" si="7"/>
        <v>37</v>
      </c>
      <c r="O208" s="125">
        <v>10</v>
      </c>
      <c r="P208" s="114"/>
      <c r="Q208" s="51">
        <v>22619.55312518081</v>
      </c>
      <c r="R208" s="18">
        <v>20510</v>
      </c>
      <c r="S208" s="171">
        <v>21330.400000000001</v>
      </c>
      <c r="T208" s="171">
        <v>22150.799999999999</v>
      </c>
      <c r="U208" s="171">
        <v>22458.45</v>
      </c>
      <c r="V208" s="13"/>
      <c r="W208" s="175"/>
      <c r="X208" s="14"/>
      <c r="Y208" s="182">
        <v>3</v>
      </c>
    </row>
    <row r="209" spans="1:25">
      <c r="A209" s="141" t="s">
        <v>160</v>
      </c>
      <c r="B209" s="50" t="str">
        <f>IFERROR(HYPERLINK(VLOOKUP(A209,ÜRÜNLER!A:C,3,FALSE),VLOOKUP(A209,ÜRÜNLER!A:B,2,FALSE)),"")</f>
        <v>iQ300 Buhar Destekli Ankastre Fırın, Antrasit</v>
      </c>
      <c r="C209" s="8">
        <v>17</v>
      </c>
      <c r="D209" s="8"/>
      <c r="E209" s="9"/>
      <c r="F209" s="9"/>
      <c r="G209" s="10"/>
      <c r="H209" s="10"/>
      <c r="I209" s="11">
        <v>1</v>
      </c>
      <c r="J209" s="11">
        <v>1</v>
      </c>
      <c r="K209" s="10"/>
      <c r="L209" s="11">
        <v>1</v>
      </c>
      <c r="M209" s="170"/>
      <c r="N209" s="124">
        <f t="shared" si="7"/>
        <v>20</v>
      </c>
      <c r="O209" s="125"/>
      <c r="P209" s="114"/>
      <c r="Q209" s="51">
        <v>22619.55312518081</v>
      </c>
      <c r="R209" s="18">
        <v>20510</v>
      </c>
      <c r="S209" s="171">
        <v>21330.400000000001</v>
      </c>
      <c r="T209" s="171">
        <v>22150.799999999999</v>
      </c>
      <c r="U209" s="171">
        <v>22458.45</v>
      </c>
      <c r="V209" s="13"/>
      <c r="W209" s="175"/>
      <c r="X209" s="14"/>
      <c r="Y209" s="182">
        <v>1</v>
      </c>
    </row>
    <row r="210" spans="1:25">
      <c r="A210" s="132" t="s">
        <v>158</v>
      </c>
      <c r="B210" s="50" t="str">
        <f>IFERROR(HYPERLINK(VLOOKUP(A210,ÜRÜNLER!A:C,3,FALSE),VLOOKUP(A210,ÜRÜNLER!A:B,2,FALSE)),"")</f>
        <v>iQ300 Buhar Destekli Ankastre Fırın, Beyaz</v>
      </c>
      <c r="C210" s="8">
        <v>10</v>
      </c>
      <c r="D210" s="8"/>
      <c r="E210" s="9"/>
      <c r="F210" s="9"/>
      <c r="G210" s="10"/>
      <c r="H210" s="10"/>
      <c r="I210" s="11">
        <v>1</v>
      </c>
      <c r="J210" s="11">
        <v>1</v>
      </c>
      <c r="K210" s="10"/>
      <c r="L210" s="11"/>
      <c r="M210" s="170"/>
      <c r="N210" s="124">
        <f t="shared" si="7"/>
        <v>12</v>
      </c>
      <c r="O210" s="125">
        <v>10</v>
      </c>
      <c r="P210" s="114"/>
      <c r="Q210" s="51">
        <v>22619.55312518081</v>
      </c>
      <c r="R210" s="18">
        <v>20510</v>
      </c>
      <c r="S210" s="171">
        <v>21330.400000000001</v>
      </c>
      <c r="T210" s="171">
        <v>22150.799999999999</v>
      </c>
      <c r="U210" s="171">
        <v>22458.45</v>
      </c>
      <c r="V210" s="13"/>
      <c r="W210" s="175"/>
      <c r="X210" s="14"/>
      <c r="Y210" s="10"/>
    </row>
    <row r="211" spans="1:25">
      <c r="A211" s="142" t="s">
        <v>161</v>
      </c>
      <c r="B211" s="50" t="str">
        <f>IFERROR(HYPERLINK(VLOOKUP(A211,ÜRÜNLER!A:C,3,FALSE),VLOOKUP(A211,ÜRÜNLER!A:B,2,FALSE)),"")</f>
        <v>iQ300 Ankastre Fırın, 1 Teleskopik Ray, Arkası Kendini Temizler, Siyah</v>
      </c>
      <c r="C211" s="8">
        <v>29</v>
      </c>
      <c r="D211" s="8"/>
      <c r="E211" s="9"/>
      <c r="F211" s="9"/>
      <c r="G211" s="10"/>
      <c r="H211" s="10"/>
      <c r="I211" s="11"/>
      <c r="J211" s="11"/>
      <c r="K211" s="10"/>
      <c r="L211" s="11">
        <v>1</v>
      </c>
      <c r="M211" s="170"/>
      <c r="N211" s="124">
        <f t="shared" si="7"/>
        <v>30</v>
      </c>
      <c r="O211" s="125"/>
      <c r="P211" s="114"/>
      <c r="Q211" s="51">
        <v>25968.572660509617</v>
      </c>
      <c r="R211" s="18">
        <v>24000</v>
      </c>
      <c r="S211" s="171">
        <v>24960</v>
      </c>
      <c r="T211" s="171">
        <v>25920</v>
      </c>
      <c r="U211" s="171">
        <v>26280</v>
      </c>
      <c r="V211" s="13"/>
      <c r="W211" s="175"/>
      <c r="X211" s="14"/>
      <c r="Y211" s="10"/>
    </row>
    <row r="212" spans="1:25">
      <c r="A212" s="142" t="s">
        <v>162</v>
      </c>
      <c r="B212" s="50" t="str">
        <f>IFERROR(HYPERLINK(VLOOKUP(A212,ÜRÜNLER!A:C,3,FALSE),VLOOKUP(A212,ÜRÜNLER!A:B,2,FALSE)),"")</f>
        <v>iQ300 Buhar Destekli Ankastre Fırın, 1 Teleskopik Ray, Arkası Kendini Temizler, darkSteel Line</v>
      </c>
      <c r="C212" s="8">
        <v>23</v>
      </c>
      <c r="D212" s="8"/>
      <c r="E212" s="9"/>
      <c r="F212" s="9"/>
      <c r="G212" s="10"/>
      <c r="H212" s="10"/>
      <c r="I212" s="11">
        <v>1</v>
      </c>
      <c r="J212" s="11"/>
      <c r="K212" s="10"/>
      <c r="L212" s="11"/>
      <c r="M212" s="170"/>
      <c r="N212" s="124">
        <f t="shared" si="7"/>
        <v>24</v>
      </c>
      <c r="O212" s="125"/>
      <c r="P212" s="114"/>
      <c r="Q212" s="51">
        <v>25968.572660509617</v>
      </c>
      <c r="R212" s="18">
        <v>24000</v>
      </c>
      <c r="S212" s="171">
        <v>24960</v>
      </c>
      <c r="T212" s="171">
        <v>25920</v>
      </c>
      <c r="U212" s="171">
        <v>26280</v>
      </c>
      <c r="V212" s="13"/>
      <c r="W212" s="175"/>
      <c r="X212" s="14"/>
      <c r="Y212" s="182">
        <v>3</v>
      </c>
    </row>
    <row r="213" spans="1:25">
      <c r="A213" s="141" t="s">
        <v>163</v>
      </c>
      <c r="B213" s="50" t="str">
        <f>IFERROR(HYPERLINK(VLOOKUP(A213,ÜRÜNLER!A:C,3,FALSE),VLOOKUP(A213,ÜRÜNLER!A:B,2,FALSE)),"")</f>
        <v>iQ300 Ankastre Fırın, 1 Teleskopik Ray, Arkası Kendini Temizler, Antrasit</v>
      </c>
      <c r="C213" s="8">
        <v>31</v>
      </c>
      <c r="D213" s="8"/>
      <c r="E213" s="9"/>
      <c r="F213" s="9"/>
      <c r="G213" s="10"/>
      <c r="H213" s="10"/>
      <c r="I213" s="11"/>
      <c r="J213" s="11">
        <v>1</v>
      </c>
      <c r="K213" s="10"/>
      <c r="L213" s="11">
        <v>1</v>
      </c>
      <c r="M213" s="170">
        <v>1</v>
      </c>
      <c r="N213" s="124">
        <f t="shared" si="7"/>
        <v>34</v>
      </c>
      <c r="O213" s="125"/>
      <c r="P213" s="114"/>
      <c r="Q213" s="51">
        <v>25968.572660509617</v>
      </c>
      <c r="R213" s="18">
        <v>24000</v>
      </c>
      <c r="S213" s="171">
        <v>24960</v>
      </c>
      <c r="T213" s="171">
        <v>25920</v>
      </c>
      <c r="U213" s="171">
        <v>26280</v>
      </c>
      <c r="V213" s="13"/>
      <c r="W213" s="175"/>
      <c r="X213" s="14"/>
      <c r="Y213" s="10">
        <v>0</v>
      </c>
    </row>
    <row r="214" spans="1:25">
      <c r="A214" s="132" t="s">
        <v>164</v>
      </c>
      <c r="B214" s="50" t="str">
        <f>IFERROR(HYPERLINK(VLOOKUP(A214,ÜRÜNLER!A:C,3,FALSE),VLOOKUP(A214,ÜRÜNLER!A:B,2,FALSE)),"")</f>
        <v>iQ300 Buhar Destekli Ankastre Fırın, 1 Teleskopik Ray, Arkası Kendini Temizler, Beyaz</v>
      </c>
      <c r="C214" s="8">
        <v>14</v>
      </c>
      <c r="D214" s="8"/>
      <c r="E214" s="9"/>
      <c r="F214" s="9"/>
      <c r="G214" s="10"/>
      <c r="H214" s="10"/>
      <c r="I214" s="11">
        <v>1</v>
      </c>
      <c r="J214" s="11">
        <v>1</v>
      </c>
      <c r="K214" s="10"/>
      <c r="L214" s="11"/>
      <c r="M214" s="170"/>
      <c r="N214" s="124">
        <f t="shared" si="7"/>
        <v>16</v>
      </c>
      <c r="O214" s="125"/>
      <c r="P214" s="114"/>
      <c r="Q214" s="51">
        <v>25968.572660509617</v>
      </c>
      <c r="R214" s="18">
        <v>24000</v>
      </c>
      <c r="S214" s="171">
        <v>24960</v>
      </c>
      <c r="T214" s="171">
        <v>25920</v>
      </c>
      <c r="U214" s="171">
        <v>26280</v>
      </c>
      <c r="V214" s="13"/>
      <c r="W214" s="175"/>
      <c r="X214" s="14"/>
      <c r="Y214" s="182">
        <v>1</v>
      </c>
    </row>
    <row r="215" spans="1:25" s="32" customFormat="1" ht="36" customHeight="1">
      <c r="A215" s="34" t="s">
        <v>204</v>
      </c>
      <c r="B215" s="50" t="str">
        <f>IFERROR(HYPERLINK(VLOOKUP(A215,ÜRÜNLER!A:C,3,FALSE),VLOOKUP(A215,ÜRÜNLER!A:B,2,FALSE)),"")</f>
        <v/>
      </c>
      <c r="C215" s="8"/>
      <c r="D215" s="8"/>
      <c r="E215" s="9"/>
      <c r="F215" s="9"/>
      <c r="G215" s="10"/>
      <c r="H215" s="10"/>
      <c r="I215" s="11"/>
      <c r="J215" s="11"/>
      <c r="K215" s="10"/>
      <c r="L215" s="11"/>
      <c r="M215" s="170"/>
      <c r="N215" s="124">
        <f>SUM(N164:N214)</f>
        <v>446</v>
      </c>
      <c r="O215" s="125"/>
      <c r="P215" s="109"/>
      <c r="Q215" s="72"/>
      <c r="R215" s="72"/>
      <c r="S215" s="12"/>
      <c r="T215" s="12"/>
      <c r="U215" s="12"/>
      <c r="V215" s="13"/>
      <c r="W215" s="175"/>
      <c r="X215" s="17"/>
      <c r="Y215" s="10"/>
    </row>
    <row r="216" spans="1:25">
      <c r="A216" s="139" t="s">
        <v>205</v>
      </c>
      <c r="B216" s="50" t="str">
        <f>IFERROR(HYPERLINK(VLOOKUP(A216,ÜRÜNLER!A:C,3,FALSE),VLOOKUP(A216,ÜRÜNLER!A:B,2,FALSE)),"")</f>
        <v>iQ500 Ankastre Mikrodalga, Izgaralı, Siyah</v>
      </c>
      <c r="C216" s="8"/>
      <c r="D216" s="8"/>
      <c r="E216" s="9"/>
      <c r="F216" s="9"/>
      <c r="G216" s="10"/>
      <c r="H216" s="10"/>
      <c r="I216" s="11"/>
      <c r="J216" s="11"/>
      <c r="K216" s="10"/>
      <c r="L216" s="11"/>
      <c r="M216" s="170"/>
      <c r="N216" s="124">
        <f t="shared" ref="N216:N233" si="8">L216+M216+K216+J216+I216+H216+G216+F216+E216+D216+C216</f>
        <v>0</v>
      </c>
      <c r="O216" s="125">
        <v>20</v>
      </c>
      <c r="P216" s="109"/>
      <c r="Q216" s="51">
        <v>19739.675205571719</v>
      </c>
      <c r="R216" s="23">
        <v>19344.881701460283</v>
      </c>
      <c r="S216" s="12">
        <v>20118.676969518696</v>
      </c>
      <c r="T216" s="12">
        <v>20892.472237577105</v>
      </c>
      <c r="U216" s="12">
        <v>21182.645463099008</v>
      </c>
      <c r="V216" s="13"/>
      <c r="W216" s="175"/>
      <c r="X216" s="17"/>
      <c r="Y216" s="10"/>
    </row>
    <row r="217" spans="1:25">
      <c r="A217" s="143" t="s">
        <v>206</v>
      </c>
      <c r="B217" s="50" t="str">
        <f>IFERROR(HYPERLINK(VLOOKUP(A217,ÜRÜNLER!A:C,3,FALSE),VLOOKUP(A217,ÜRÜNLER!A:B,2,FALSE)),"")</f>
        <v>iQ500 Ankastre Mikrodalga, Izgara Fonksiyonlu, 20L, Siyah/darkSteel</v>
      </c>
      <c r="C217" s="8"/>
      <c r="D217" s="8"/>
      <c r="E217" s="9"/>
      <c r="F217" s="9"/>
      <c r="G217" s="10"/>
      <c r="H217" s="10"/>
      <c r="I217" s="11"/>
      <c r="J217" s="11"/>
      <c r="K217" s="10">
        <v>1</v>
      </c>
      <c r="L217" s="11"/>
      <c r="M217" s="170"/>
      <c r="N217" s="124">
        <f t="shared" si="8"/>
        <v>1</v>
      </c>
      <c r="O217" s="125">
        <v>11</v>
      </c>
      <c r="P217" s="109"/>
      <c r="Q217" s="51">
        <v>19739.675205571719</v>
      </c>
      <c r="R217" s="23">
        <v>19344.881701460283</v>
      </c>
      <c r="S217" s="12">
        <v>20118.676969518696</v>
      </c>
      <c r="T217" s="12">
        <v>20892.472237577105</v>
      </c>
      <c r="U217" s="12">
        <v>21182.645463099008</v>
      </c>
      <c r="V217" s="13"/>
      <c r="W217" s="175"/>
      <c r="X217" s="14"/>
      <c r="Y217" s="182">
        <v>3</v>
      </c>
    </row>
    <row r="218" spans="1:25">
      <c r="A218" s="141" t="s">
        <v>207</v>
      </c>
      <c r="B218" s="50" t="str">
        <f>IFERROR(HYPERLINK(VLOOKUP(A218,ÜRÜNLER!A:C,3,FALSE),VLOOKUP(A218,ÜRÜNLER!A:B,2,FALSE)),"")</f>
        <v>iQ500 Ankastre Mikrodalga, Izgaralı, Anstrasit</v>
      </c>
      <c r="C218" s="8"/>
      <c r="D218" s="8"/>
      <c r="E218" s="9"/>
      <c r="F218" s="9"/>
      <c r="G218" s="10"/>
      <c r="H218" s="10"/>
      <c r="I218" s="11"/>
      <c r="J218" s="11"/>
      <c r="K218" s="10"/>
      <c r="L218" s="11"/>
      <c r="M218" s="170"/>
      <c r="N218" s="124">
        <f t="shared" si="8"/>
        <v>0</v>
      </c>
      <c r="O218" s="125">
        <v>5</v>
      </c>
      <c r="P218" s="109"/>
      <c r="Q218" s="51">
        <v>19739.675205571719</v>
      </c>
      <c r="R218" s="23">
        <v>19344.881701460283</v>
      </c>
      <c r="S218" s="12">
        <v>20118.676969518696</v>
      </c>
      <c r="T218" s="12">
        <v>20892.472237577105</v>
      </c>
      <c r="U218" s="12">
        <v>21182.645463099008</v>
      </c>
      <c r="V218" s="13"/>
      <c r="W218" s="175"/>
      <c r="X218" s="14"/>
      <c r="Y218" s="10"/>
    </row>
    <row r="219" spans="1:25">
      <c r="A219" s="21" t="s">
        <v>208</v>
      </c>
      <c r="B219" s="50" t="str">
        <f>IFERROR(HYPERLINK(VLOOKUP(A219,ÜRÜNLER!A:C,3,FALSE),VLOOKUP(A219,ÜRÜNLER!A:B,2,FALSE)),"")</f>
        <v>iQ500 Ankastre Mikrodalga, Izgara Fonksiyonlu, 20L, Beyaz</v>
      </c>
      <c r="C219" s="8">
        <v>5</v>
      </c>
      <c r="D219" s="8"/>
      <c r="E219" s="9"/>
      <c r="F219" s="9"/>
      <c r="G219" s="10"/>
      <c r="H219" s="10"/>
      <c r="I219" s="11"/>
      <c r="J219" s="11"/>
      <c r="K219" s="10"/>
      <c r="L219" s="11"/>
      <c r="M219" s="170"/>
      <c r="N219" s="124">
        <f t="shared" si="8"/>
        <v>5</v>
      </c>
      <c r="O219" s="125"/>
      <c r="P219" s="109"/>
      <c r="Q219" s="51">
        <v>19739.675205571719</v>
      </c>
      <c r="R219" s="23">
        <v>19344.881701460283</v>
      </c>
      <c r="S219" s="12">
        <v>20118.676969518696</v>
      </c>
      <c r="T219" s="12">
        <v>20892.472237577105</v>
      </c>
      <c r="U219" s="12">
        <v>21182.645463099008</v>
      </c>
      <c r="V219" s="13"/>
      <c r="W219" s="175"/>
      <c r="X219" s="14"/>
      <c r="Y219" s="182">
        <v>2</v>
      </c>
    </row>
    <row r="220" spans="1:25">
      <c r="A220" s="21" t="s">
        <v>209</v>
      </c>
      <c r="B220" s="50" t="str">
        <f>IFERROR(HYPERLINK(VLOOKUP(A220,ÜRÜNLER!A:C,3,FALSE),VLOOKUP(A220,ÜRÜNLER!A:B,2,FALSE)),"")</f>
        <v>iQ500 Ankastre Mikrodalga, Izgara Fonksiyonlu, 20L, Siyah/Inox</v>
      </c>
      <c r="C220" s="8"/>
      <c r="D220" s="8"/>
      <c r="E220" s="9"/>
      <c r="F220" s="9"/>
      <c r="G220" s="10"/>
      <c r="H220" s="10"/>
      <c r="I220" s="11"/>
      <c r="J220" s="11"/>
      <c r="K220" s="10"/>
      <c r="L220" s="11">
        <v>1</v>
      </c>
      <c r="M220" s="170"/>
      <c r="N220" s="124">
        <f t="shared" si="8"/>
        <v>1</v>
      </c>
      <c r="O220" s="125"/>
      <c r="P220" s="109"/>
      <c r="Q220" s="72" t="s">
        <v>1561</v>
      </c>
      <c r="R220" s="24">
        <v>15000</v>
      </c>
      <c r="S220" s="12">
        <v>15600</v>
      </c>
      <c r="T220" s="12">
        <v>16200</v>
      </c>
      <c r="U220" s="12">
        <v>16425</v>
      </c>
      <c r="V220" s="13"/>
      <c r="W220" s="175"/>
      <c r="X220" s="17"/>
      <c r="Y220" s="10"/>
    </row>
    <row r="221" spans="1:25">
      <c r="A221" s="139" t="s">
        <v>211</v>
      </c>
      <c r="B221" s="50" t="str">
        <f>IFERROR(HYPERLINK(VLOOKUP(A221,ÜRÜNLER!A:C,3,FALSE),VLOOKUP(A221,ÜRÜNLER!A:B,2,FALSE)),"")</f>
        <v>iQ500 Ankastre Mikrodalga, Izgaralı, Siyah</v>
      </c>
      <c r="C221" s="8">
        <v>6</v>
      </c>
      <c r="D221" s="8"/>
      <c r="E221" s="9"/>
      <c r="F221" s="9"/>
      <c r="G221" s="10"/>
      <c r="H221" s="10"/>
      <c r="I221" s="11">
        <v>1</v>
      </c>
      <c r="J221" s="11"/>
      <c r="K221" s="10"/>
      <c r="L221" s="11"/>
      <c r="M221" s="170"/>
      <c r="N221" s="124">
        <f t="shared" si="8"/>
        <v>7</v>
      </c>
      <c r="O221" s="125">
        <v>11</v>
      </c>
      <c r="P221" s="109"/>
      <c r="Q221" s="51">
        <v>22336.236962041476</v>
      </c>
      <c r="R221" s="23">
        <v>21889.512222800648</v>
      </c>
      <c r="S221" s="12">
        <v>22765.092711712674</v>
      </c>
      <c r="T221" s="12">
        <v>23640.6732006247</v>
      </c>
      <c r="U221" s="12">
        <v>23969.015883966709</v>
      </c>
      <c r="V221" s="13"/>
      <c r="W221" s="175"/>
      <c r="X221" s="17"/>
      <c r="Y221" s="10"/>
    </row>
    <row r="222" spans="1:25">
      <c r="A222" s="21" t="s">
        <v>212</v>
      </c>
      <c r="B222" s="50" t="str">
        <f>IFERROR(HYPERLINK(VLOOKUP(A222,ÜRÜNLER!A:C,3,FALSE),VLOOKUP(A222,ÜRÜNLER!A:B,2,FALSE)),"")</f>
        <v>iQ700 Ankastre Mikrodalga, Izgara Fonksiyonlu, 21L, Siyah</v>
      </c>
      <c r="C222" s="8">
        <v>1</v>
      </c>
      <c r="D222" s="8"/>
      <c r="E222" s="9"/>
      <c r="F222" s="9">
        <v>2</v>
      </c>
      <c r="G222" s="10"/>
      <c r="H222" s="10"/>
      <c r="I222" s="11"/>
      <c r="J222" s="11"/>
      <c r="K222" s="10"/>
      <c r="L222" s="11"/>
      <c r="M222" s="170"/>
      <c r="N222" s="124">
        <f t="shared" si="8"/>
        <v>3</v>
      </c>
      <c r="O222" s="125"/>
      <c r="P222" s="109"/>
      <c r="Q222" s="51">
        <v>33355.540883853551</v>
      </c>
      <c r="R222" s="23">
        <v>32688.430066176479</v>
      </c>
      <c r="S222" s="12">
        <v>33995.967268823537</v>
      </c>
      <c r="T222" s="12">
        <v>35303.504471470595</v>
      </c>
      <c r="U222" s="12">
        <v>35793.830922463247</v>
      </c>
      <c r="V222" s="13"/>
      <c r="W222" s="175"/>
      <c r="X222" s="17"/>
      <c r="Y222" s="182">
        <v>1</v>
      </c>
    </row>
    <row r="223" spans="1:25">
      <c r="A223" s="139" t="s">
        <v>213</v>
      </c>
      <c r="B223" s="50" t="str">
        <f>IFERROR(HYPERLINK(VLOOKUP(A223,ÜRÜNLER!A:C,3,FALSE),VLOOKUP(A223,ÜRÜNLER!A:B,2,FALSE)),"")</f>
        <v>iQ300 Ankastre Mikrodalga, 20L, Siyah</v>
      </c>
      <c r="C223" s="8">
        <v>1</v>
      </c>
      <c r="D223" s="8"/>
      <c r="E223" s="9"/>
      <c r="F223" s="9"/>
      <c r="G223" s="10"/>
      <c r="H223" s="10"/>
      <c r="I223" s="11"/>
      <c r="J223" s="11"/>
      <c r="K223" s="10"/>
      <c r="L223" s="11"/>
      <c r="M223" s="170"/>
      <c r="N223" s="124">
        <f t="shared" si="8"/>
        <v>1</v>
      </c>
      <c r="O223" s="125"/>
      <c r="P223" s="109"/>
      <c r="Q223" s="51">
        <v>16590.740473933653</v>
      </c>
      <c r="R223" s="23">
        <v>16258.925664454979</v>
      </c>
      <c r="S223" s="12">
        <v>16909.282691033179</v>
      </c>
      <c r="T223" s="12">
        <v>17559.639717611375</v>
      </c>
      <c r="U223" s="12">
        <v>17803.5236025782</v>
      </c>
      <c r="V223" s="13"/>
      <c r="W223" s="175"/>
      <c r="X223" s="17"/>
      <c r="Y223" s="10"/>
    </row>
    <row r="224" spans="1:25">
      <c r="A224" s="21" t="s">
        <v>214</v>
      </c>
      <c r="B224" s="50" t="str">
        <f>IFERROR(HYPERLINK(VLOOKUP(A224,ÜRÜNLER!A:C,3,FALSE),VLOOKUP(A224,ÜRÜNLER!A:B,2,FALSE)),"")</f>
        <v>iQ300 Ankastre Mikrodalga, 20L, Siyah/Inox</v>
      </c>
      <c r="C224" s="8"/>
      <c r="D224" s="8"/>
      <c r="E224" s="9"/>
      <c r="F224" s="9"/>
      <c r="G224" s="10"/>
      <c r="H224" s="10"/>
      <c r="I224" s="11">
        <v>1</v>
      </c>
      <c r="J224" s="11">
        <v>1</v>
      </c>
      <c r="K224" s="10"/>
      <c r="L224" s="11"/>
      <c r="M224" s="170"/>
      <c r="N224" s="124">
        <f t="shared" si="8"/>
        <v>2</v>
      </c>
      <c r="O224" s="125"/>
      <c r="P224" s="109"/>
      <c r="Q224" s="72" t="s">
        <v>1561</v>
      </c>
      <c r="R224" s="19">
        <v>15500</v>
      </c>
      <c r="S224" s="12">
        <v>16120</v>
      </c>
      <c r="T224" s="12">
        <v>16740</v>
      </c>
      <c r="U224" s="12">
        <v>16972.5</v>
      </c>
      <c r="V224" s="13"/>
      <c r="W224" s="175"/>
      <c r="X224" s="17">
        <v>100</v>
      </c>
      <c r="Y224" s="10"/>
    </row>
    <row r="225" spans="1:25">
      <c r="A225" s="21" t="s">
        <v>216</v>
      </c>
      <c r="B225" s="50" t="str">
        <f>IFERROR(HYPERLINK(VLOOKUP(A225,ÜRÜNLER!A:C,3,FALSE),VLOOKUP(A225,ÜRÜNLER!A:B,2,FALSE)),"")</f>
        <v>iQ500 Ankastre Mikrodalga, 20L, Beyaz/Inox</v>
      </c>
      <c r="C225" s="8"/>
      <c r="D225" s="8"/>
      <c r="E225" s="9"/>
      <c r="F225" s="9"/>
      <c r="G225" s="10"/>
      <c r="H225" s="10"/>
      <c r="I225" s="11">
        <v>1</v>
      </c>
      <c r="J225" s="11">
        <v>1</v>
      </c>
      <c r="K225" s="10">
        <v>2</v>
      </c>
      <c r="L225" s="11"/>
      <c r="M225" s="170">
        <v>1</v>
      </c>
      <c r="N225" s="124">
        <f t="shared" si="8"/>
        <v>5</v>
      </c>
      <c r="O225" s="125"/>
      <c r="P225" s="109"/>
      <c r="Q225" s="72" t="s">
        <v>1561</v>
      </c>
      <c r="R225" s="19">
        <v>17000</v>
      </c>
      <c r="S225" s="12">
        <v>17680</v>
      </c>
      <c r="T225" s="12">
        <v>18360</v>
      </c>
      <c r="U225" s="12">
        <v>18615</v>
      </c>
      <c r="V225" s="13"/>
      <c r="W225" s="175"/>
      <c r="X225" s="17">
        <v>100</v>
      </c>
      <c r="Y225" s="10"/>
    </row>
    <row r="226" spans="1:25">
      <c r="A226" s="141" t="s">
        <v>217</v>
      </c>
      <c r="B226" s="50" t="str">
        <f>IFERROR(HYPERLINK(VLOOKUP(A226,ÜRÜNLER!A:C,3,FALSE),VLOOKUP(A226,ÜRÜNLER!A:B,2,FALSE)),"")</f>
        <v>iQ300 Ankastre Mikrodalga, 20L, Antrasit/Titanyum Gri</v>
      </c>
      <c r="C226" s="8">
        <v>9</v>
      </c>
      <c r="D226" s="8"/>
      <c r="E226" s="9"/>
      <c r="F226" s="9"/>
      <c r="G226" s="10"/>
      <c r="H226" s="10"/>
      <c r="I226" s="11">
        <v>1</v>
      </c>
      <c r="J226" s="11">
        <v>1</v>
      </c>
      <c r="K226" s="10"/>
      <c r="L226" s="11"/>
      <c r="M226" s="170"/>
      <c r="N226" s="124">
        <f t="shared" si="8"/>
        <v>11</v>
      </c>
      <c r="O226" s="125"/>
      <c r="P226" s="109"/>
      <c r="Q226" s="51">
        <v>15190.354319564625</v>
      </c>
      <c r="R226" s="52">
        <v>14886.547233173333</v>
      </c>
      <c r="S226" s="12">
        <v>15482.009122500265</v>
      </c>
      <c r="T226" s="12">
        <v>16077.4710118272</v>
      </c>
      <c r="U226" s="12">
        <v>16300.769220324799</v>
      </c>
      <c r="V226" s="13"/>
      <c r="W226" s="175"/>
      <c r="X226" s="17"/>
      <c r="Y226" s="10"/>
    </row>
    <row r="227" spans="1:25">
      <c r="A227" s="21" t="s">
        <v>218</v>
      </c>
      <c r="B227" s="50" t="str">
        <f>IFERROR(HYPERLINK(VLOOKUP(A227,ÜRÜNLER!A:C,3,FALSE),VLOOKUP(A227,ÜRÜNLER!A:B,2,FALSE)),"")</f>
        <v>iQ300 Ankastre Mikrodalga, Inox</v>
      </c>
      <c r="C227" s="8">
        <v>7</v>
      </c>
      <c r="D227" s="8"/>
      <c r="E227" s="9"/>
      <c r="F227" s="9">
        <v>1</v>
      </c>
      <c r="G227" s="10"/>
      <c r="H227" s="10"/>
      <c r="I227" s="11">
        <v>1</v>
      </c>
      <c r="J227" s="11"/>
      <c r="K227" s="10"/>
      <c r="L227" s="11">
        <v>1</v>
      </c>
      <c r="M227" s="170">
        <v>1</v>
      </c>
      <c r="N227" s="124">
        <f t="shared" si="8"/>
        <v>11</v>
      </c>
      <c r="O227" s="125">
        <v>1</v>
      </c>
      <c r="P227" s="109"/>
      <c r="Q227" s="51">
        <v>15187.301368709039</v>
      </c>
      <c r="R227" s="52">
        <v>14883.555341334859</v>
      </c>
      <c r="S227" s="12">
        <v>15478.897554988253</v>
      </c>
      <c r="T227" s="12">
        <v>16074.239768641648</v>
      </c>
      <c r="U227" s="12">
        <v>16297.49309876167</v>
      </c>
      <c r="V227" s="13"/>
      <c r="W227" s="175"/>
      <c r="X227" s="14"/>
      <c r="Y227" s="182">
        <v>2</v>
      </c>
    </row>
    <row r="228" spans="1:25">
      <c r="A228" s="21" t="s">
        <v>219</v>
      </c>
      <c r="B228" s="50" t="str">
        <f>IFERROR(HYPERLINK(VLOOKUP(A228,ÜRÜNLER!A:C,3,FALSE),VLOOKUP(A228,ÜRÜNLER!A:B,2,FALSE)),"")</f>
        <v>iQ300 Ankastre Mikrodalga, 20L, Beyaz</v>
      </c>
      <c r="C228" s="8">
        <v>4</v>
      </c>
      <c r="D228" s="8"/>
      <c r="E228" s="9"/>
      <c r="F228" s="9">
        <v>1</v>
      </c>
      <c r="G228" s="10"/>
      <c r="H228" s="10"/>
      <c r="I228" s="11">
        <v>1</v>
      </c>
      <c r="J228" s="11"/>
      <c r="K228" s="10"/>
      <c r="L228" s="11"/>
      <c r="M228" s="170"/>
      <c r="N228" s="124">
        <f t="shared" si="8"/>
        <v>6</v>
      </c>
      <c r="O228" s="125"/>
      <c r="P228" s="109"/>
      <c r="Q228" s="51">
        <v>15187.301368709039</v>
      </c>
      <c r="R228" s="52">
        <v>14883.555341334859</v>
      </c>
      <c r="S228" s="12">
        <v>15478.897554988253</v>
      </c>
      <c r="T228" s="12">
        <v>16074.239768641648</v>
      </c>
      <c r="U228" s="12">
        <v>16297.49309876167</v>
      </c>
      <c r="V228" s="13"/>
      <c r="W228" s="175"/>
      <c r="X228" s="14"/>
      <c r="Y228" s="182">
        <v>5</v>
      </c>
    </row>
    <row r="229" spans="1:25">
      <c r="A229" s="21" t="s">
        <v>220</v>
      </c>
      <c r="B229" s="50" t="str">
        <f>IFERROR(HYPERLINK(VLOOKUP(A229,ÜRÜNLER!A:C,3,FALSE),VLOOKUP(A229,ÜRÜNLER!A:B,2,FALSE)),"")</f>
        <v>iQ700 studioLine Ankastre Mikrodalga, 21L, Siyah</v>
      </c>
      <c r="C229" s="8"/>
      <c r="D229" s="8">
        <v>2</v>
      </c>
      <c r="E229" s="9"/>
      <c r="F229" s="9"/>
      <c r="G229" s="10"/>
      <c r="H229" s="10">
        <v>1</v>
      </c>
      <c r="I229" s="11"/>
      <c r="J229" s="11"/>
      <c r="K229" s="10"/>
      <c r="L229" s="11"/>
      <c r="M229" s="170"/>
      <c r="N229" s="124">
        <f t="shared" si="8"/>
        <v>3</v>
      </c>
      <c r="O229" s="125"/>
      <c r="P229" s="109"/>
      <c r="Q229" s="72" t="s">
        <v>1561</v>
      </c>
      <c r="R229" s="18">
        <v>45000</v>
      </c>
      <c r="S229" s="12">
        <v>46800</v>
      </c>
      <c r="T229" s="12">
        <v>48600</v>
      </c>
      <c r="U229" s="12">
        <v>49275</v>
      </c>
      <c r="V229" s="13"/>
      <c r="W229" s="175"/>
      <c r="X229" s="14">
        <v>500</v>
      </c>
      <c r="Y229" s="10"/>
    </row>
    <row r="230" spans="1:25">
      <c r="A230" s="139" t="s">
        <v>221</v>
      </c>
      <c r="B230" s="50" t="str">
        <f>IFERROR(HYPERLINK(VLOOKUP(A230,ÜRÜNLER!A:C,3,FALSE),VLOOKUP(A230,ÜRÜNLER!A:B,2,FALSE)),"")</f>
        <v>iQ700 studioLine Ankastre Mikrodalga, 21L, Siyah</v>
      </c>
      <c r="C230" s="8"/>
      <c r="D230" s="8"/>
      <c r="E230" s="9"/>
      <c r="F230" s="9"/>
      <c r="G230" s="10"/>
      <c r="H230" s="10"/>
      <c r="I230" s="11"/>
      <c r="J230" s="11"/>
      <c r="K230" s="10"/>
      <c r="L230" s="11"/>
      <c r="M230" s="170"/>
      <c r="N230" s="124">
        <f t="shared" si="8"/>
        <v>0</v>
      </c>
      <c r="O230" s="125"/>
      <c r="P230" s="109"/>
      <c r="Q230" s="180">
        <v>50934.759963721684</v>
      </c>
      <c r="R230" s="25">
        <v>50935</v>
      </c>
      <c r="S230" s="12">
        <v>52972.4</v>
      </c>
      <c r="T230" s="12">
        <v>55009.8</v>
      </c>
      <c r="U230" s="12">
        <v>55773.824999999997</v>
      </c>
      <c r="V230" s="13"/>
      <c r="W230" s="175"/>
      <c r="X230" s="14">
        <v>500</v>
      </c>
      <c r="Y230" s="10"/>
    </row>
    <row r="231" spans="1:25">
      <c r="A231" s="130" t="s">
        <v>222</v>
      </c>
      <c r="B231" s="50" t="str">
        <f>IFERROR(HYPERLINK(VLOOKUP(A231,ÜRÜNLER!A:C,3,FALSE),VLOOKUP(A231,ÜRÜNLER!A:B,2,FALSE)),"")</f>
        <v>iQ300 Solo Mikrodalga, 20L, Siyah</v>
      </c>
      <c r="C231" s="8">
        <v>1</v>
      </c>
      <c r="D231" s="8"/>
      <c r="E231" s="9"/>
      <c r="F231" s="9"/>
      <c r="G231" s="10"/>
      <c r="H231" s="10"/>
      <c r="I231" s="11">
        <v>1</v>
      </c>
      <c r="J231" s="11">
        <v>1</v>
      </c>
      <c r="K231" s="10">
        <v>1</v>
      </c>
      <c r="L231" s="11">
        <v>1</v>
      </c>
      <c r="M231" s="170"/>
      <c r="N231" s="124">
        <f t="shared" si="8"/>
        <v>5</v>
      </c>
      <c r="O231" s="125">
        <v>10</v>
      </c>
      <c r="P231" s="109"/>
      <c r="Q231" s="51">
        <v>6816.4107720283891</v>
      </c>
      <c r="R231" s="52">
        <v>6680.0825565878213</v>
      </c>
      <c r="S231" s="12">
        <v>6947.2858588513345</v>
      </c>
      <c r="T231" s="12">
        <v>7214.4891611148469</v>
      </c>
      <c r="U231" s="12">
        <v>7314.6903994636641</v>
      </c>
      <c r="V231" s="13"/>
      <c r="W231" s="175"/>
      <c r="X231" s="17"/>
      <c r="Y231" s="10"/>
    </row>
    <row r="232" spans="1:25">
      <c r="A232" s="130" t="s">
        <v>223</v>
      </c>
      <c r="B232" s="50" t="str">
        <f>IFERROR(HYPERLINK(VLOOKUP(A232,ÜRÜNLER!A:C,3,FALSE),VLOOKUP(A232,ÜRÜNLER!A:B,2,FALSE)),"")</f>
        <v>iQ300 Solo Mikrodalga, 20L, Beyaz</v>
      </c>
      <c r="C232" s="8">
        <v>15</v>
      </c>
      <c r="D232" s="8"/>
      <c r="E232" s="9"/>
      <c r="F232" s="9"/>
      <c r="G232" s="10"/>
      <c r="H232" s="10"/>
      <c r="I232" s="11">
        <v>1</v>
      </c>
      <c r="J232" s="11">
        <v>1</v>
      </c>
      <c r="K232" s="10"/>
      <c r="L232" s="11">
        <v>1</v>
      </c>
      <c r="M232" s="170"/>
      <c r="N232" s="124">
        <f t="shared" si="8"/>
        <v>18</v>
      </c>
      <c r="O232" s="125">
        <v>1</v>
      </c>
      <c r="P232" s="109"/>
      <c r="Q232" s="51">
        <v>6324.110532126926</v>
      </c>
      <c r="R232" s="52">
        <v>6197.6283214843879</v>
      </c>
      <c r="S232" s="12">
        <v>6445.5334543437639</v>
      </c>
      <c r="T232" s="12">
        <v>6693.4385872031389</v>
      </c>
      <c r="U232" s="12">
        <v>6786.4030120254047</v>
      </c>
      <c r="V232" s="13"/>
      <c r="W232" s="175"/>
      <c r="X232" s="17"/>
      <c r="Y232" s="10"/>
    </row>
    <row r="233" spans="1:25">
      <c r="A233" s="130" t="s">
        <v>224</v>
      </c>
      <c r="B233" s="50" t="str">
        <f>IFERROR(HYPERLINK(VLOOKUP(A233,ÜRÜNLER!A:C,3,FALSE),VLOOKUP(A233,ÜRÜNLER!A:B,2,FALSE)),"")</f>
        <v>iQ300 Solo Mikrodalga, 20L, Siyah/Inox</v>
      </c>
      <c r="C233" s="8">
        <v>5</v>
      </c>
      <c r="D233" s="8"/>
      <c r="E233" s="9"/>
      <c r="F233" s="9">
        <v>1</v>
      </c>
      <c r="G233" s="10"/>
      <c r="H233" s="10"/>
      <c r="I233" s="11">
        <v>1</v>
      </c>
      <c r="J233" s="11"/>
      <c r="K233" s="10"/>
      <c r="L233" s="11">
        <v>1</v>
      </c>
      <c r="M233" s="170"/>
      <c r="N233" s="124">
        <f t="shared" si="8"/>
        <v>8</v>
      </c>
      <c r="O233" s="125">
        <v>10</v>
      </c>
      <c r="P233" s="109"/>
      <c r="Q233" s="51">
        <v>7553.6510668519368</v>
      </c>
      <c r="R233" s="52">
        <v>7402.5780455148979</v>
      </c>
      <c r="S233" s="12">
        <v>7698.6811673354941</v>
      </c>
      <c r="T233" s="12">
        <v>7994.7842891560895</v>
      </c>
      <c r="U233" s="12">
        <v>8105.8229598388134</v>
      </c>
      <c r="V233" s="13"/>
      <c r="W233" s="175"/>
      <c r="X233" s="17"/>
      <c r="Y233" s="10"/>
    </row>
    <row r="234" spans="1:25" ht="33.75" customHeight="1">
      <c r="A234" s="31" t="s">
        <v>225</v>
      </c>
      <c r="B234" s="50" t="str">
        <f>IFERROR(HYPERLINK(VLOOKUP(A234,ÜRÜNLER!A:C,3,FALSE),VLOOKUP(A234,ÜRÜNLER!A:B,2,FALSE)),"")</f>
        <v/>
      </c>
      <c r="C234" s="8"/>
      <c r="D234" s="8"/>
      <c r="E234" s="9"/>
      <c r="F234" s="9"/>
      <c r="G234" s="10"/>
      <c r="H234" s="10"/>
      <c r="I234" s="11"/>
      <c r="J234" s="11"/>
      <c r="K234" s="10"/>
      <c r="L234" s="11"/>
      <c r="M234" s="170"/>
      <c r="N234" s="124">
        <f>SUM(N216:N233)</f>
        <v>87</v>
      </c>
      <c r="O234" s="125"/>
      <c r="P234" s="109"/>
      <c r="Q234" s="72"/>
      <c r="R234" s="72"/>
      <c r="S234" s="12"/>
      <c r="T234" s="12"/>
      <c r="U234" s="12"/>
      <c r="V234" s="13"/>
      <c r="W234" s="175"/>
      <c r="X234" s="17"/>
      <c r="Y234" s="10"/>
    </row>
    <row r="235" spans="1:25">
      <c r="A235" s="132" t="s">
        <v>226</v>
      </c>
      <c r="B235" s="50" t="str">
        <f>IFERROR(HYPERLINK(VLOOKUP(A235,ÜRÜNLER!A:C,3,FALSE),VLOOKUP(A235,ÜRÜNLER!A:B,2,FALSE)),"")</f>
        <v>iQ100 Düz Davlumbaz, 60cm, 380m3, Beyaz</v>
      </c>
      <c r="C235" s="8"/>
      <c r="D235" s="8"/>
      <c r="E235" s="9"/>
      <c r="F235" s="9"/>
      <c r="G235" s="10"/>
      <c r="H235" s="10"/>
      <c r="I235" s="11">
        <v>1</v>
      </c>
      <c r="J235" s="11"/>
      <c r="K235" s="10">
        <v>1</v>
      </c>
      <c r="L235" s="11"/>
      <c r="M235" s="170"/>
      <c r="N235" s="124">
        <f t="shared" ref="N235:N287" si="9">L235+M235+K235+J235+I235+H235+G235+F235+E235+D235+C235</f>
        <v>2</v>
      </c>
      <c r="O235" s="125"/>
      <c r="P235" s="109"/>
      <c r="Q235" s="72" t="s">
        <v>1561</v>
      </c>
      <c r="R235" s="19">
        <v>7500</v>
      </c>
      <c r="S235" s="12">
        <v>7800</v>
      </c>
      <c r="T235" s="12">
        <v>8100</v>
      </c>
      <c r="U235" s="12">
        <v>8212.5</v>
      </c>
      <c r="V235" s="13"/>
      <c r="W235" s="175"/>
      <c r="X235" s="79">
        <v>500</v>
      </c>
      <c r="Y235" s="182">
        <v>3</v>
      </c>
    </row>
    <row r="236" spans="1:25">
      <c r="A236" s="177" t="s">
        <v>1663</v>
      </c>
      <c r="B236" s="50" t="str">
        <f>IFERROR(HYPERLINK(VLOOKUP(A236,ÜRÜNLER!A:C,3,FALSE),VLOOKUP(A236,ÜRÜNLER!A:B,2,FALSE)),"")</f>
        <v>iQ300 Düz Davlumbaz, 60cm, 582m3, Magnet Silver</v>
      </c>
      <c r="C236" s="8"/>
      <c r="D236" s="8"/>
      <c r="E236" s="9"/>
      <c r="F236" s="9"/>
      <c r="G236" s="10"/>
      <c r="H236" s="10"/>
      <c r="I236" s="11"/>
      <c r="J236" s="11"/>
      <c r="K236" s="10"/>
      <c r="L236" s="11"/>
      <c r="M236" s="170"/>
      <c r="N236" s="124">
        <f t="shared" si="9"/>
        <v>0</v>
      </c>
      <c r="O236" s="125"/>
      <c r="P236" s="109"/>
      <c r="Q236" s="72"/>
      <c r="R236" s="19">
        <v>17000</v>
      </c>
      <c r="S236" s="12">
        <v>17680</v>
      </c>
      <c r="T236" s="12">
        <v>18360</v>
      </c>
      <c r="U236" s="12">
        <v>18615</v>
      </c>
      <c r="V236" s="13"/>
      <c r="W236" s="175"/>
      <c r="X236" s="121"/>
      <c r="Y236" s="182">
        <v>1</v>
      </c>
    </row>
    <row r="237" spans="1:25">
      <c r="A237" s="177" t="s">
        <v>1405</v>
      </c>
      <c r="B237" s="50" t="str">
        <f>IFERROR(HYPERLINK(VLOOKUP(A237,ÜRÜNLER!A:C,3,FALSE),VLOOKUP(A237,ÜRÜNLER!A:B,2,FALSE)),"")</f>
        <v>iQ300 Düz Davlumbaz, 60cm, 582m3, Titanyum Gri/Inox</v>
      </c>
      <c r="C237" s="8"/>
      <c r="D237" s="8"/>
      <c r="E237" s="9"/>
      <c r="F237" s="9"/>
      <c r="G237" s="10"/>
      <c r="H237" s="10"/>
      <c r="I237" s="11"/>
      <c r="J237" s="11"/>
      <c r="K237" s="10"/>
      <c r="L237" s="11"/>
      <c r="M237" s="170"/>
      <c r="N237" s="124">
        <f t="shared" si="9"/>
        <v>0</v>
      </c>
      <c r="O237" s="125"/>
      <c r="P237" s="109"/>
      <c r="Q237" s="72"/>
      <c r="R237" s="19">
        <v>16000</v>
      </c>
      <c r="S237" s="12">
        <v>16640</v>
      </c>
      <c r="T237" s="12">
        <v>17280</v>
      </c>
      <c r="U237" s="12">
        <v>17520</v>
      </c>
      <c r="V237" s="13"/>
      <c r="W237" s="175"/>
      <c r="X237" s="121"/>
      <c r="Y237" s="182">
        <v>2</v>
      </c>
    </row>
    <row r="238" spans="1:25">
      <c r="A238" s="177" t="s">
        <v>1524</v>
      </c>
      <c r="B238" s="50" t="str">
        <f>IFERROR(HYPERLINK(VLOOKUP(A238,ÜRÜNLER!A:C,3,FALSE),VLOOKUP(A238,ÜRÜNLER!A:B,2,FALSE)),"")</f>
        <v>iQ300 Düz Davlumbaz, 90cm, 649m3, Beyaz Cam</v>
      </c>
      <c r="C238" s="8"/>
      <c r="D238" s="8"/>
      <c r="E238" s="9"/>
      <c r="F238" s="9"/>
      <c r="G238" s="10"/>
      <c r="H238" s="10"/>
      <c r="I238" s="11"/>
      <c r="J238" s="11"/>
      <c r="K238" s="10"/>
      <c r="L238" s="11"/>
      <c r="M238" s="170"/>
      <c r="N238" s="124">
        <f t="shared" si="9"/>
        <v>0</v>
      </c>
      <c r="O238" s="125"/>
      <c r="P238" s="109"/>
      <c r="Q238" s="72"/>
      <c r="R238" s="19">
        <v>23000</v>
      </c>
      <c r="S238" s="12">
        <v>23920</v>
      </c>
      <c r="T238" s="12">
        <v>24840</v>
      </c>
      <c r="U238" s="12">
        <v>25185</v>
      </c>
      <c r="V238" s="13"/>
      <c r="W238" s="175"/>
      <c r="X238" s="121"/>
      <c r="Y238" s="182">
        <v>1</v>
      </c>
    </row>
    <row r="239" spans="1:25">
      <c r="A239" s="177" t="s">
        <v>1411</v>
      </c>
      <c r="B239" s="50" t="str">
        <f>IFERROR(HYPERLINK(VLOOKUP(A239,ÜRÜNLER!A:C,3,FALSE),VLOOKUP(A239,ÜRÜNLER!A:B,2,FALSE)),"")</f>
        <v>iQ300 Eğimli Davlumbaz, 90cm, 629m3, Siyah Cam</v>
      </c>
      <c r="C239" s="8"/>
      <c r="D239" s="8"/>
      <c r="E239" s="9"/>
      <c r="F239" s="9"/>
      <c r="G239" s="10"/>
      <c r="H239" s="10"/>
      <c r="I239" s="11"/>
      <c r="J239" s="11"/>
      <c r="K239" s="10"/>
      <c r="L239" s="11"/>
      <c r="M239" s="170">
        <v>1</v>
      </c>
      <c r="N239" s="124">
        <f t="shared" si="9"/>
        <v>1</v>
      </c>
      <c r="O239" s="125"/>
      <c r="P239" s="109"/>
      <c r="Q239" s="72"/>
      <c r="R239" s="19">
        <v>25000</v>
      </c>
      <c r="S239" s="12">
        <v>26000</v>
      </c>
      <c r="T239" s="12">
        <v>27000</v>
      </c>
      <c r="U239" s="12">
        <v>27375</v>
      </c>
      <c r="V239" s="13"/>
      <c r="W239" s="175"/>
      <c r="X239" s="121"/>
      <c r="Y239" s="10">
        <v>0</v>
      </c>
    </row>
    <row r="240" spans="1:25">
      <c r="A240" s="132" t="s">
        <v>227</v>
      </c>
      <c r="B240" s="50" t="str">
        <f>IFERROR(HYPERLINK(VLOOKUP(A240,ÜRÜNLER!A:C,3,FALSE),VLOOKUP(A240,ÜRÜNLER!A:B,2,FALSE)),"")</f>
        <v>iQ100 Düz Davlumbaz, 60cm, 380m3, Inox</v>
      </c>
      <c r="C240" s="8"/>
      <c r="D240" s="8"/>
      <c r="E240" s="9"/>
      <c r="F240" s="9"/>
      <c r="G240" s="10"/>
      <c r="H240" s="10"/>
      <c r="I240" s="11"/>
      <c r="J240" s="11"/>
      <c r="K240" s="10"/>
      <c r="L240" s="11"/>
      <c r="M240" s="170">
        <v>1</v>
      </c>
      <c r="N240" s="124">
        <f t="shared" si="9"/>
        <v>1</v>
      </c>
      <c r="O240" s="125"/>
      <c r="P240" s="115" t="s">
        <v>1548</v>
      </c>
      <c r="Q240" s="72" t="s">
        <v>1561</v>
      </c>
      <c r="R240" s="18">
        <v>9000</v>
      </c>
      <c r="S240" s="12">
        <v>9360</v>
      </c>
      <c r="T240" s="12">
        <v>9720</v>
      </c>
      <c r="U240" s="12">
        <v>9855</v>
      </c>
      <c r="V240" s="13"/>
      <c r="W240" s="175"/>
      <c r="X240" s="79">
        <v>750</v>
      </c>
      <c r="Y240" s="182">
        <v>7</v>
      </c>
    </row>
    <row r="241" spans="1:25">
      <c r="A241" s="132" t="s">
        <v>228</v>
      </c>
      <c r="B241" s="50" t="str">
        <f>IFERROR(HYPERLINK(VLOOKUP(A241,ÜRÜNLER!A:C,3,FALSE),VLOOKUP(A241,ÜRÜNLER!A:B,2,FALSE)),"")</f>
        <v>iQ100 Düz Davlumbaz, 60cm, 380m3, Siyah</v>
      </c>
      <c r="C241" s="8">
        <v>2</v>
      </c>
      <c r="D241" s="8"/>
      <c r="E241" s="9"/>
      <c r="F241" s="9">
        <v>1</v>
      </c>
      <c r="G241" s="10"/>
      <c r="H241" s="10"/>
      <c r="I241" s="11"/>
      <c r="J241" s="11"/>
      <c r="K241" s="10">
        <v>2</v>
      </c>
      <c r="L241" s="11"/>
      <c r="M241" s="170"/>
      <c r="N241" s="124">
        <f t="shared" si="9"/>
        <v>5</v>
      </c>
      <c r="O241" s="125"/>
      <c r="P241" s="109"/>
      <c r="Q241" s="72" t="s">
        <v>1561</v>
      </c>
      <c r="R241" s="18">
        <v>9000</v>
      </c>
      <c r="S241" s="12">
        <v>9360</v>
      </c>
      <c r="T241" s="12">
        <v>9720</v>
      </c>
      <c r="U241" s="12">
        <v>9855</v>
      </c>
      <c r="V241" s="13"/>
      <c r="W241" s="175"/>
      <c r="X241" s="79">
        <v>750</v>
      </c>
      <c r="Y241" s="182">
        <v>1</v>
      </c>
    </row>
    <row r="242" spans="1:25">
      <c r="A242" s="132" t="s">
        <v>229</v>
      </c>
      <c r="B242" s="50" t="str">
        <f>IFERROR(HYPERLINK(VLOOKUP(A242,ÜRÜNLER!A:C,3,FALSE),VLOOKUP(A242,ÜRÜNLER!A:B,2,FALSE)),"")</f>
        <v>iQ100 Eğimli Davlumbaz, 59cm, 360m3, Beyaz Cam</v>
      </c>
      <c r="C242" s="8"/>
      <c r="D242" s="8"/>
      <c r="E242" s="9"/>
      <c r="F242" s="9">
        <v>1</v>
      </c>
      <c r="G242" s="10"/>
      <c r="H242" s="10"/>
      <c r="I242" s="11"/>
      <c r="J242" s="11"/>
      <c r="K242" s="10"/>
      <c r="L242" s="11"/>
      <c r="M242" s="170"/>
      <c r="N242" s="124">
        <f t="shared" si="9"/>
        <v>1</v>
      </c>
      <c r="O242" s="125"/>
      <c r="P242" s="109" t="s">
        <v>1547</v>
      </c>
      <c r="Q242" s="51">
        <v>9025.6807122329337</v>
      </c>
      <c r="R242" s="19">
        <v>10000</v>
      </c>
      <c r="S242" s="12">
        <v>10400</v>
      </c>
      <c r="T242" s="12">
        <v>10800</v>
      </c>
      <c r="U242" s="12">
        <v>10950</v>
      </c>
      <c r="V242" s="13"/>
      <c r="W242" s="175"/>
      <c r="X242" s="17"/>
      <c r="Y242" s="10"/>
    </row>
    <row r="243" spans="1:25">
      <c r="A243" s="132" t="s">
        <v>230</v>
      </c>
      <c r="B243" s="50" t="str">
        <f>IFERROR(HYPERLINK(VLOOKUP(A243,ÜRÜNLER!A:C,3,FALSE),VLOOKUP(A243,ÜRÜNLER!A:B,2,FALSE)),"")</f>
        <v>iQ100 Eğimli Davlumbaz, 59cm, 360m3, Siyah Cam</v>
      </c>
      <c r="C243" s="8"/>
      <c r="D243" s="8"/>
      <c r="E243" s="9"/>
      <c r="F243" s="9"/>
      <c r="G243" s="10"/>
      <c r="H243" s="10"/>
      <c r="I243" s="11"/>
      <c r="J243" s="11"/>
      <c r="K243" s="10"/>
      <c r="L243" s="11">
        <v>1</v>
      </c>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231</v>
      </c>
      <c r="B244" s="50" t="str">
        <f>IFERROR(HYPERLINK(VLOOKUP(A244,ÜRÜNLER!A:C,3,FALSE),VLOOKUP(A244,ÜRÜNLER!A:B,2,FALSE)),"")</f>
        <v>iQ100 Eğimli Davlumbaz, 59cm, 360m3, Siyah Cam</v>
      </c>
      <c r="C244" s="8"/>
      <c r="D244" s="8"/>
      <c r="E244" s="9"/>
      <c r="F244" s="9"/>
      <c r="G244" s="10"/>
      <c r="H244" s="10"/>
      <c r="I244" s="11"/>
      <c r="J244" s="11">
        <v>1</v>
      </c>
      <c r="K244" s="10">
        <v>1</v>
      </c>
      <c r="L244" s="11"/>
      <c r="M244" s="170"/>
      <c r="N244" s="124">
        <f t="shared" si="9"/>
        <v>2</v>
      </c>
      <c r="O244" s="125"/>
      <c r="P244" s="109" t="s">
        <v>1547</v>
      </c>
      <c r="Q244" s="51">
        <v>9025.6807122329337</v>
      </c>
      <c r="R244" s="19">
        <v>10000</v>
      </c>
      <c r="S244" s="12">
        <v>10400</v>
      </c>
      <c r="T244" s="12">
        <v>10800</v>
      </c>
      <c r="U244" s="12">
        <v>10950</v>
      </c>
      <c r="V244" s="13"/>
      <c r="W244" s="175"/>
      <c r="X244" s="17"/>
      <c r="Y244" s="182">
        <v>4</v>
      </c>
    </row>
    <row r="245" spans="1:25">
      <c r="A245" s="132" t="s">
        <v>232</v>
      </c>
      <c r="B245" s="50" t="str">
        <f>IFERROR(HYPERLINK(VLOOKUP(A245,ÜRÜNLER!A:C,3,FALSE),VLOOKUP(A245,ÜRÜNLER!A:B,2,FALSE)),"")</f>
        <v>iQ100 Düz Davlumbaz, 60cm, 612m3, Paslanmaz Çelik</v>
      </c>
      <c r="C245" s="8">
        <v>1</v>
      </c>
      <c r="D245" s="8"/>
      <c r="E245" s="9"/>
      <c r="F245" s="9">
        <v>1</v>
      </c>
      <c r="G245" s="10"/>
      <c r="H245" s="10"/>
      <c r="I245" s="11">
        <v>1</v>
      </c>
      <c r="J245" s="11"/>
      <c r="K245" s="10"/>
      <c r="L245" s="11"/>
      <c r="M245" s="170"/>
      <c r="N245" s="124">
        <f t="shared" si="9"/>
        <v>3</v>
      </c>
      <c r="O245" s="125"/>
      <c r="P245" s="109"/>
      <c r="Q245" s="51">
        <v>15855.135884847572</v>
      </c>
      <c r="R245" s="46">
        <v>15062.379090605193</v>
      </c>
      <c r="S245" s="12">
        <v>15664.8742542294</v>
      </c>
      <c r="T245" s="12">
        <v>16267.369417853608</v>
      </c>
      <c r="U245" s="12">
        <v>16493.305104212686</v>
      </c>
      <c r="V245" s="13"/>
      <c r="W245" s="175"/>
      <c r="X245" s="17"/>
      <c r="Y245" s="182">
        <v>4</v>
      </c>
    </row>
    <row r="246" spans="1:25">
      <c r="A246" s="132" t="s">
        <v>234</v>
      </c>
      <c r="B246" s="50" t="str">
        <f>IFERROR(HYPERLINK(VLOOKUP(A246,ÜRÜNLER!A:C,3,FALSE),VLOOKUP(A246,ÜRÜNLER!A:B,2,FALSE)),"")</f>
        <v>iQ300 Düz Davlumbaz, 60cm, 649m3, Beyaz Cam</v>
      </c>
      <c r="C246" s="8">
        <v>8</v>
      </c>
      <c r="D246" s="8"/>
      <c r="E246" s="9"/>
      <c r="F246" s="9"/>
      <c r="G246" s="10"/>
      <c r="H246" s="10"/>
      <c r="I246" s="11"/>
      <c r="J246" s="11">
        <v>1</v>
      </c>
      <c r="K246" s="10">
        <v>1</v>
      </c>
      <c r="L246" s="11"/>
      <c r="M246" s="170"/>
      <c r="N246" s="124">
        <f t="shared" si="9"/>
        <v>10</v>
      </c>
      <c r="O246" s="125"/>
      <c r="P246" s="109"/>
      <c r="Q246" s="51">
        <v>18686.314734455249</v>
      </c>
      <c r="R246" s="46">
        <v>17751.998997732488</v>
      </c>
      <c r="S246" s="12">
        <v>18462.078957641788</v>
      </c>
      <c r="T246" s="12">
        <v>19172.158917551085</v>
      </c>
      <c r="U246" s="12">
        <v>19438.438902517075</v>
      </c>
      <c r="V246" s="13"/>
      <c r="W246" s="175"/>
      <c r="X246" s="17"/>
      <c r="Y246" s="182">
        <v>4</v>
      </c>
    </row>
    <row r="247" spans="1:25">
      <c r="A247" s="132" t="s">
        <v>235</v>
      </c>
      <c r="B247" s="50" t="str">
        <f>IFERROR(HYPERLINK(VLOOKUP(A247,ÜRÜNLER!A:C,3,FALSE),VLOOKUP(A247,ÜRÜNLER!A:B,2,FALSE)),"")</f>
        <v>iQ300 Düz Davlumbaz, 60cm, 649m3, Siyah Cam</v>
      </c>
      <c r="C247" s="8">
        <v>3</v>
      </c>
      <c r="D247" s="8"/>
      <c r="E247" s="9"/>
      <c r="F247" s="9"/>
      <c r="G247" s="10"/>
      <c r="H247" s="10"/>
      <c r="I247" s="11">
        <v>2</v>
      </c>
      <c r="J247" s="11"/>
      <c r="K247" s="10">
        <v>1</v>
      </c>
      <c r="L247" s="11"/>
      <c r="M247" s="170"/>
      <c r="N247" s="124">
        <f t="shared" si="9"/>
        <v>6</v>
      </c>
      <c r="O247" s="125"/>
      <c r="P247" s="109"/>
      <c r="Q247" s="51">
        <v>18686.314734455249</v>
      </c>
      <c r="R247" s="46">
        <v>17751.998997732488</v>
      </c>
      <c r="S247" s="12">
        <v>18462.078957641788</v>
      </c>
      <c r="T247" s="12">
        <v>19172.158917551085</v>
      </c>
      <c r="U247" s="12">
        <v>19438.438902517075</v>
      </c>
      <c r="V247" s="13"/>
      <c r="W247" s="175"/>
      <c r="X247" s="17"/>
      <c r="Y247" s="182">
        <v>1</v>
      </c>
    </row>
    <row r="248" spans="1:25">
      <c r="A248" s="139" t="s">
        <v>236</v>
      </c>
      <c r="B248" s="50" t="str">
        <f>IFERROR(HYPERLINK(VLOOKUP(A248,ÜRÜNLER!A:C,3,FALSE),VLOOKUP(A248,ÜRÜNLER!A:B,2,FALSE)),"")</f>
        <v>iQ300 Eğimli Davlumbaz, 60cm, 593m3, Siyah Cam</v>
      </c>
      <c r="C248" s="8"/>
      <c r="D248" s="8"/>
      <c r="E248" s="9"/>
      <c r="F248" s="9">
        <v>1</v>
      </c>
      <c r="G248" s="10"/>
      <c r="H248" s="10"/>
      <c r="I248" s="11">
        <v>1</v>
      </c>
      <c r="J248" s="11"/>
      <c r="K248" s="10"/>
      <c r="L248" s="11"/>
      <c r="M248" s="170"/>
      <c r="N248" s="124">
        <f t="shared" si="9"/>
        <v>2</v>
      </c>
      <c r="O248" s="125"/>
      <c r="P248" s="109"/>
      <c r="Q248" s="72" t="s">
        <v>1561</v>
      </c>
      <c r="R248" s="19">
        <v>13000</v>
      </c>
      <c r="S248" s="12">
        <v>13520</v>
      </c>
      <c r="T248" s="12">
        <v>14040</v>
      </c>
      <c r="U248" s="12">
        <v>14235</v>
      </c>
      <c r="V248" s="13"/>
      <c r="W248" s="175"/>
      <c r="X248" s="17">
        <v>250</v>
      </c>
      <c r="Y248" s="10">
        <v>0</v>
      </c>
    </row>
    <row r="249" spans="1:25">
      <c r="A249" s="21" t="s">
        <v>238</v>
      </c>
      <c r="B249" s="50" t="str">
        <f>IFERROR(HYPERLINK(VLOOKUP(A249,ÜRÜNLER!A:C,3,FALSE),VLOOKUP(A249,ÜRÜNLER!A:B,2,FALSE)),"")</f>
        <v>iQ100 Eğimli Davlumbaz, 60cm, 400m3, Beyaz Cam</v>
      </c>
      <c r="C249" s="8">
        <v>9</v>
      </c>
      <c r="D249" s="8"/>
      <c r="E249" s="9"/>
      <c r="F249" s="9"/>
      <c r="G249" s="10"/>
      <c r="H249" s="10"/>
      <c r="I249" s="11">
        <v>1</v>
      </c>
      <c r="J249" s="11"/>
      <c r="K249" s="10"/>
      <c r="L249" s="11"/>
      <c r="M249" s="170"/>
      <c r="N249" s="124">
        <f t="shared" si="9"/>
        <v>10</v>
      </c>
      <c r="O249" s="125">
        <v>1</v>
      </c>
      <c r="P249" s="109"/>
      <c r="Q249" s="51">
        <v>13478.829294008212</v>
      </c>
      <c r="R249" s="46">
        <v>12804.887829307801</v>
      </c>
      <c r="S249" s="12">
        <v>13317.083342480113</v>
      </c>
      <c r="T249" s="12">
        <v>13829.278855652425</v>
      </c>
      <c r="U249" s="12">
        <v>14021.352173092042</v>
      </c>
      <c r="V249" s="13"/>
      <c r="W249" s="175"/>
      <c r="X249" s="17"/>
      <c r="Y249" s="10"/>
    </row>
    <row r="250" spans="1:25">
      <c r="A250" s="21" t="s">
        <v>239</v>
      </c>
      <c r="B250" s="50" t="str">
        <f>IFERROR(HYPERLINK(VLOOKUP(A250,ÜRÜNLER!A:C,3,FALSE),VLOOKUP(A250,ÜRÜNLER!A:B,2,FALSE)),"")</f>
        <v>iQ100 Eğimli Davlumbaz, 60cm, 400m3, Siyah Cam</v>
      </c>
      <c r="C250" s="8">
        <v>14</v>
      </c>
      <c r="D250" s="8"/>
      <c r="E250" s="9"/>
      <c r="F250" s="9"/>
      <c r="G250" s="10"/>
      <c r="H250" s="10"/>
      <c r="I250" s="11"/>
      <c r="J250" s="11"/>
      <c r="K250" s="10"/>
      <c r="L250" s="11"/>
      <c r="M250" s="170"/>
      <c r="N250" s="124">
        <f t="shared" si="9"/>
        <v>14</v>
      </c>
      <c r="O250" s="125">
        <v>1</v>
      </c>
      <c r="P250" s="109"/>
      <c r="Q250" s="51">
        <v>13478.829294008212</v>
      </c>
      <c r="R250" s="46">
        <v>12804.887829307801</v>
      </c>
      <c r="S250" s="12">
        <v>13317.083342480113</v>
      </c>
      <c r="T250" s="12">
        <v>13829.278855652425</v>
      </c>
      <c r="U250" s="12">
        <v>14021.352173092042</v>
      </c>
      <c r="V250" s="13"/>
      <c r="W250" s="175"/>
      <c r="X250" s="17"/>
      <c r="Y250" s="182">
        <v>2</v>
      </c>
    </row>
    <row r="251" spans="1:25">
      <c r="A251" s="141" t="s">
        <v>240</v>
      </c>
      <c r="B251" s="50" t="str">
        <f>IFERROR(HYPERLINK(VLOOKUP(A251,ÜRÜNLER!A:C,3,FALSE),VLOOKUP(A251,ÜRÜNLER!A:B,2,FALSE)),"")</f>
        <v>iQ100 Eğimli Davlumbaz, 60cm, 400m3, Antrasit Gri Cam</v>
      </c>
      <c r="C251" s="8">
        <v>18</v>
      </c>
      <c r="D251" s="8"/>
      <c r="E251" s="9"/>
      <c r="F251" s="9">
        <v>1</v>
      </c>
      <c r="G251" s="10"/>
      <c r="H251" s="10"/>
      <c r="I251" s="11">
        <v>2</v>
      </c>
      <c r="J251" s="11"/>
      <c r="K251" s="10"/>
      <c r="L251" s="11">
        <v>1</v>
      </c>
      <c r="M251" s="170"/>
      <c r="N251" s="124">
        <f t="shared" si="9"/>
        <v>22</v>
      </c>
      <c r="O251" s="125">
        <v>1</v>
      </c>
      <c r="P251" s="109"/>
      <c r="Q251" s="51">
        <v>13478.829294008212</v>
      </c>
      <c r="R251" s="46">
        <v>12804.887829307801</v>
      </c>
      <c r="S251" s="12">
        <v>13317.083342480113</v>
      </c>
      <c r="T251" s="12">
        <v>13829.278855652425</v>
      </c>
      <c r="U251" s="12">
        <v>14021.352173092042</v>
      </c>
      <c r="V251" s="13"/>
      <c r="W251" s="175"/>
      <c r="X251" s="17"/>
      <c r="Y251" s="10"/>
    </row>
    <row r="252" spans="1:25">
      <c r="A252" s="21" t="s">
        <v>241</v>
      </c>
      <c r="B252" s="50" t="str">
        <f>IFERROR(HYPERLINK(VLOOKUP(A252,ÜRÜNLER!A:C,3,FALSE),VLOOKUP(A252,ÜRÜNLER!A:B,2,FALSE)),"")</f>
        <v>iQ300 Eğimli Davlumbaz, 60cm, 510m3, Beyaz Cam</v>
      </c>
      <c r="C252" s="8">
        <v>6</v>
      </c>
      <c r="D252" s="8"/>
      <c r="E252" s="9"/>
      <c r="F252" s="9"/>
      <c r="G252" s="10"/>
      <c r="H252" s="10"/>
      <c r="I252" s="11">
        <v>1</v>
      </c>
      <c r="J252" s="11"/>
      <c r="K252" s="10"/>
      <c r="L252" s="11">
        <v>1</v>
      </c>
      <c r="M252" s="170"/>
      <c r="N252" s="124">
        <f t="shared" si="9"/>
        <v>8</v>
      </c>
      <c r="O252" s="125">
        <v>20</v>
      </c>
      <c r="P252" s="109"/>
      <c r="Q252" s="51">
        <v>16710.211972849673</v>
      </c>
      <c r="R252" s="46">
        <v>15874.701374207189</v>
      </c>
      <c r="S252" s="12">
        <v>16509.689429175476</v>
      </c>
      <c r="T252" s="12">
        <v>17144.677484143765</v>
      </c>
      <c r="U252" s="12">
        <v>17382.798004756871</v>
      </c>
      <c r="V252" s="13"/>
      <c r="W252" s="175"/>
      <c r="X252" s="17"/>
      <c r="Y252" s="182">
        <v>1</v>
      </c>
    </row>
    <row r="253" spans="1:25">
      <c r="A253" s="139" t="s">
        <v>242</v>
      </c>
      <c r="B253" s="50" t="str">
        <f>IFERROR(HYPERLINK(VLOOKUP(A253,ÜRÜNLER!A:C,3,FALSE),VLOOKUP(A253,ÜRÜNLER!A:B,2,FALSE)),"")</f>
        <v>iQ300 Eğimli Davlumbaz, 60cm, 510m3, Siyah Cam</v>
      </c>
      <c r="C253" s="8">
        <v>7</v>
      </c>
      <c r="D253" s="8"/>
      <c r="E253" s="9"/>
      <c r="F253" s="9">
        <v>1</v>
      </c>
      <c r="G253" s="10"/>
      <c r="H253" s="10"/>
      <c r="I253" s="11"/>
      <c r="J253" s="11"/>
      <c r="K253" s="10">
        <v>1</v>
      </c>
      <c r="L253" s="11"/>
      <c r="M253" s="170"/>
      <c r="N253" s="124">
        <f t="shared" si="9"/>
        <v>9</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41" t="s">
        <v>243</v>
      </c>
      <c r="B254" s="50" t="str">
        <f>IFERROR(HYPERLINK(VLOOKUP(A254,ÜRÜNLER!A:C,3,FALSE),VLOOKUP(A254,ÜRÜNLER!A:B,2,FALSE)),"")</f>
        <v>iQ300 Eğimli Davlumbaz, 60cm, 510m3, Antrasit Gri Cam</v>
      </c>
      <c r="C254" s="8"/>
      <c r="D254" s="8"/>
      <c r="E254" s="9"/>
      <c r="F254" s="9"/>
      <c r="G254" s="10"/>
      <c r="H254" s="10"/>
      <c r="I254" s="11"/>
      <c r="J254" s="11"/>
      <c r="K254" s="10"/>
      <c r="L254" s="11"/>
      <c r="M254" s="170"/>
      <c r="N254" s="124">
        <f t="shared" si="9"/>
        <v>0</v>
      </c>
      <c r="O254" s="125">
        <v>51</v>
      </c>
      <c r="P254" s="109"/>
      <c r="Q254" s="51">
        <v>16710.211972849673</v>
      </c>
      <c r="R254" s="51">
        <v>17500</v>
      </c>
      <c r="S254" s="12">
        <v>18200</v>
      </c>
      <c r="T254" s="12">
        <v>18900</v>
      </c>
      <c r="U254" s="12">
        <v>19162.5</v>
      </c>
      <c r="V254" s="13"/>
      <c r="W254" s="175"/>
      <c r="X254" s="17"/>
      <c r="Y254" s="10"/>
    </row>
    <row r="255" spans="1:25">
      <c r="A255" s="132" t="s">
        <v>244</v>
      </c>
      <c r="B255" s="50" t="str">
        <f>IFERROR(HYPERLINK(VLOOKUP(A255,ÜRÜNLER!A:C,3,FALSE),VLOOKUP(A255,ÜRÜNLER!A:B,2,FALSE)),"")</f>
        <v>iQ300 Düz Davlumbaz, 60cm, 582m3, Beyaz/Inox</v>
      </c>
      <c r="C255" s="8">
        <v>21</v>
      </c>
      <c r="D255" s="8"/>
      <c r="E255" s="9"/>
      <c r="F255" s="9"/>
      <c r="G255" s="10"/>
      <c r="H255" s="10"/>
      <c r="I255" s="11"/>
      <c r="J255" s="11">
        <v>1</v>
      </c>
      <c r="K255" s="10"/>
      <c r="L255" s="11"/>
      <c r="M255" s="170"/>
      <c r="N255" s="124">
        <f t="shared" si="9"/>
        <v>22</v>
      </c>
      <c r="O255" s="125">
        <v>1</v>
      </c>
      <c r="P255" s="109"/>
      <c r="Q255" s="51">
        <v>17260.7081710983</v>
      </c>
      <c r="R255" s="46">
        <v>16397.672762543385</v>
      </c>
      <c r="S255" s="171">
        <v>17053.579673045122</v>
      </c>
      <c r="T255" s="171">
        <v>17709.486583546855</v>
      </c>
      <c r="U255" s="12">
        <v>17955.451674985008</v>
      </c>
      <c r="V255" s="13"/>
      <c r="W255" s="175"/>
      <c r="X255" s="121">
        <v>500</v>
      </c>
      <c r="Y255" s="182">
        <v>1</v>
      </c>
    </row>
    <row r="256" spans="1:25">
      <c r="A256" s="138" t="s">
        <v>245</v>
      </c>
      <c r="B256" s="50" t="str">
        <f>IFERROR(HYPERLINK(VLOOKUP(A256,ÜRÜNLER!A:C,3,FALSE),VLOOKUP(A256,ÜRÜNLER!A:B,2,FALSE)),"")</f>
        <v>iQ300 Düz Davlumbaz, 60cm, 582m3, Siyah/Inox</v>
      </c>
      <c r="C256" s="8">
        <v>1</v>
      </c>
      <c r="D256" s="8"/>
      <c r="E256" s="9"/>
      <c r="F256" s="9"/>
      <c r="G256" s="10"/>
      <c r="H256" s="10"/>
      <c r="I256" s="11"/>
      <c r="J256" s="11">
        <v>1</v>
      </c>
      <c r="K256" s="10">
        <v>3</v>
      </c>
      <c r="L256" s="11">
        <v>1</v>
      </c>
      <c r="M256" s="170"/>
      <c r="N256" s="124">
        <f t="shared" si="9"/>
        <v>6</v>
      </c>
      <c r="O256" s="125">
        <v>36</v>
      </c>
      <c r="P256" s="109"/>
      <c r="Q256" s="51">
        <v>17260.7081710983</v>
      </c>
      <c r="R256" s="46">
        <v>16397.672762543385</v>
      </c>
      <c r="S256" s="12">
        <v>17053.579673045122</v>
      </c>
      <c r="T256" s="12">
        <v>17709.486583546855</v>
      </c>
      <c r="U256" s="12">
        <v>17955.451674985008</v>
      </c>
      <c r="V256" s="13"/>
      <c r="W256" s="175"/>
      <c r="X256" s="17"/>
      <c r="Y256" s="182">
        <v>1</v>
      </c>
    </row>
    <row r="257" spans="1:25">
      <c r="A257" s="141" t="s">
        <v>246</v>
      </c>
      <c r="B257" s="50" t="str">
        <f>IFERROR(HYPERLINK(VLOOKUP(A257,ÜRÜNLER!A:C,3,FALSE),VLOOKUP(A257,ÜRÜNLER!A:B,2,FALSE)),"")</f>
        <v>iQ300 Düz Davlumbaz, 60cm, 649m3, Antrasit Gri Cam</v>
      </c>
      <c r="C257" s="8">
        <v>5</v>
      </c>
      <c r="D257" s="8"/>
      <c r="E257" s="9"/>
      <c r="F257" s="9"/>
      <c r="G257" s="10"/>
      <c r="H257" s="10"/>
      <c r="I257" s="11"/>
      <c r="J257" s="11"/>
      <c r="K257" s="10">
        <v>1</v>
      </c>
      <c r="L257" s="11"/>
      <c r="M257" s="170">
        <v>1</v>
      </c>
      <c r="N257" s="124">
        <f t="shared" si="9"/>
        <v>7</v>
      </c>
      <c r="O257" s="125">
        <v>1</v>
      </c>
      <c r="P257" s="109"/>
      <c r="Q257" s="51">
        <v>18686.314734455249</v>
      </c>
      <c r="R257" s="46">
        <v>17751.998997732488</v>
      </c>
      <c r="S257" s="12">
        <v>18462.078957641788</v>
      </c>
      <c r="T257" s="12">
        <v>19172.158917551085</v>
      </c>
      <c r="U257" s="12">
        <v>19438.438902517075</v>
      </c>
      <c r="V257" s="13"/>
      <c r="W257" s="175"/>
      <c r="X257" s="17"/>
      <c r="Y257" s="182">
        <v>1</v>
      </c>
    </row>
    <row r="258" spans="1:25">
      <c r="A258" s="132" t="s">
        <v>247</v>
      </c>
      <c r="B258" s="50" t="str">
        <f>IFERROR(HYPERLINK(VLOOKUP(A258,ÜRÜNLER!A:C,3,FALSE),VLOOKUP(A258,ÜRÜNLER!A:B,2,FALSE)),"")</f>
        <v>iQ500 Düz Davlumbaz, 60cm, 645m3, Beyaz Cam</v>
      </c>
      <c r="C258" s="8">
        <v>15</v>
      </c>
      <c r="D258" s="8"/>
      <c r="E258" s="9"/>
      <c r="F258" s="9"/>
      <c r="G258" s="10"/>
      <c r="H258" s="10"/>
      <c r="I258" s="11"/>
      <c r="J258" s="11"/>
      <c r="K258" s="10"/>
      <c r="L258" s="11"/>
      <c r="M258" s="170"/>
      <c r="N258" s="124">
        <f t="shared" si="9"/>
        <v>15</v>
      </c>
      <c r="O258" s="125"/>
      <c r="P258" s="109"/>
      <c r="Q258" s="72" t="s">
        <v>1561</v>
      </c>
      <c r="R258" s="19">
        <v>18000</v>
      </c>
      <c r="S258" s="12">
        <v>18720</v>
      </c>
      <c r="T258" s="12">
        <v>19440</v>
      </c>
      <c r="U258" s="12">
        <v>19710</v>
      </c>
      <c r="V258" s="13"/>
      <c r="W258" s="175"/>
      <c r="X258" s="17"/>
      <c r="Y258" s="10"/>
    </row>
    <row r="259" spans="1:25">
      <c r="A259" s="138" t="s">
        <v>248</v>
      </c>
      <c r="B259" s="50" t="str">
        <f>IFERROR(HYPERLINK(VLOOKUP(A259,ÜRÜNLER!A:C,3,FALSE),VLOOKUP(A259,ÜRÜNLER!A:B,2,FALSE)),"")</f>
        <v>iQ500 Düz Davlumbaz, 60cm, 645m3, Siyah Cam</v>
      </c>
      <c r="C259" s="8"/>
      <c r="D259" s="8"/>
      <c r="E259" s="9"/>
      <c r="F259" s="9">
        <v>1</v>
      </c>
      <c r="G259" s="10"/>
      <c r="H259" s="10"/>
      <c r="I259" s="11"/>
      <c r="J259" s="11"/>
      <c r="K259" s="10"/>
      <c r="L259" s="11"/>
      <c r="M259" s="170"/>
      <c r="N259" s="124">
        <f t="shared" si="9"/>
        <v>1</v>
      </c>
      <c r="O259" s="125"/>
      <c r="P259" s="109"/>
      <c r="Q259" s="72" t="s">
        <v>1561</v>
      </c>
      <c r="R259" s="19">
        <v>16000</v>
      </c>
      <c r="S259" s="12">
        <v>16640</v>
      </c>
      <c r="T259" s="12">
        <v>17280</v>
      </c>
      <c r="U259" s="12">
        <v>17520</v>
      </c>
      <c r="V259" s="13"/>
      <c r="W259" s="175"/>
      <c r="X259" s="17">
        <v>250</v>
      </c>
      <c r="Y259" s="10"/>
    </row>
    <row r="260" spans="1:25">
      <c r="A260" s="138" t="s">
        <v>249</v>
      </c>
      <c r="B260" s="50" t="str">
        <f>IFERROR(HYPERLINK(VLOOKUP(A260,ÜRÜNLER!A:C,3,FALSE),VLOOKUP(A260,ÜRÜNLER!A:B,2,FALSE)),"")</f>
        <v>iQ500 Eğimli Davlumbaz, 60cm, 510m3, Siyah Cam</v>
      </c>
      <c r="C260" s="8"/>
      <c r="D260" s="8"/>
      <c r="E260" s="9"/>
      <c r="F260" s="9"/>
      <c r="G260" s="10"/>
      <c r="H260" s="10"/>
      <c r="I260" s="11"/>
      <c r="J260" s="11"/>
      <c r="K260" s="10"/>
      <c r="L260" s="11">
        <v>1</v>
      </c>
      <c r="M260" s="170"/>
      <c r="N260" s="124">
        <f t="shared" si="9"/>
        <v>1</v>
      </c>
      <c r="O260" s="125">
        <v>21</v>
      </c>
      <c r="P260" s="109"/>
      <c r="Q260" s="51">
        <v>19017.71769325525</v>
      </c>
      <c r="R260" s="25">
        <v>19000</v>
      </c>
      <c r="S260" s="12">
        <v>19760</v>
      </c>
      <c r="T260" s="12">
        <v>20520</v>
      </c>
      <c r="U260" s="12">
        <v>20805</v>
      </c>
      <c r="V260" s="13"/>
      <c r="W260" s="175"/>
      <c r="X260" s="17"/>
      <c r="Y260" s="10"/>
    </row>
    <row r="261" spans="1:25">
      <c r="A261" s="141" t="s">
        <v>250</v>
      </c>
      <c r="B261" s="50" t="str">
        <f>IFERROR(HYPERLINK(VLOOKUP(A261,ÜRÜNLER!A:C,3,FALSE),VLOOKUP(A261,ÜRÜNLER!A:B,2,FALSE)),"")</f>
        <v>iQ500 Eğimli Davlumbaz, 60cm, 510m3, Antrasit Gri Cam</v>
      </c>
      <c r="C261" s="8"/>
      <c r="D261" s="8"/>
      <c r="E261" s="9"/>
      <c r="F261" s="9"/>
      <c r="G261" s="10"/>
      <c r="H261" s="10"/>
      <c r="I261" s="11"/>
      <c r="J261" s="11">
        <v>1</v>
      </c>
      <c r="K261" s="10">
        <v>1</v>
      </c>
      <c r="L261" s="11"/>
      <c r="M261" s="170"/>
      <c r="N261" s="124">
        <f t="shared" si="9"/>
        <v>2</v>
      </c>
      <c r="O261" s="125">
        <v>21</v>
      </c>
      <c r="P261" s="109"/>
      <c r="Q261" s="51">
        <v>19017.71769325525</v>
      </c>
      <c r="R261" s="25">
        <v>19000</v>
      </c>
      <c r="S261" s="12">
        <v>19760</v>
      </c>
      <c r="T261" s="12">
        <v>20520</v>
      </c>
      <c r="U261" s="12">
        <v>20805</v>
      </c>
      <c r="V261" s="13"/>
      <c r="W261" s="175"/>
      <c r="X261" s="17"/>
      <c r="Y261" s="10"/>
    </row>
    <row r="262" spans="1:25">
      <c r="A262" s="132" t="s">
        <v>251</v>
      </c>
      <c r="B262" s="50" t="str">
        <f>IFERROR(HYPERLINK(VLOOKUP(A262,ÜRÜNLER!A:C,3,FALSE),VLOOKUP(A262,ÜRÜNLER!A:B,2,FALSE)),"")</f>
        <v>iQ500 Eğimli Davlumbaz, 60cm, 578m3, Siyah Cam</v>
      </c>
      <c r="C262" s="8"/>
      <c r="D262" s="8"/>
      <c r="E262" s="9"/>
      <c r="F262" s="9"/>
      <c r="G262" s="10"/>
      <c r="H262" s="10"/>
      <c r="I262" s="11"/>
      <c r="J262" s="11">
        <v>1</v>
      </c>
      <c r="K262" s="10">
        <v>1</v>
      </c>
      <c r="L262" s="11">
        <v>1</v>
      </c>
      <c r="M262" s="170"/>
      <c r="N262" s="124">
        <f t="shared" si="9"/>
        <v>3</v>
      </c>
      <c r="O262" s="125"/>
      <c r="P262" s="109"/>
      <c r="Q262" s="72" t="s">
        <v>1561</v>
      </c>
      <c r="R262" s="19">
        <v>17000</v>
      </c>
      <c r="S262" s="12">
        <v>17680</v>
      </c>
      <c r="T262" s="12">
        <v>18360</v>
      </c>
      <c r="U262" s="12">
        <v>18615</v>
      </c>
      <c r="V262" s="13"/>
      <c r="W262" s="175"/>
      <c r="X262" s="17">
        <v>250</v>
      </c>
      <c r="Y262" s="10"/>
    </row>
    <row r="263" spans="1:25">
      <c r="A263" s="144" t="s">
        <v>252</v>
      </c>
      <c r="B263" s="50" t="str">
        <f>IFERROR(HYPERLINK(VLOOKUP(A263,ÜRÜNLER!A:C,3,FALSE),VLOOKUP(A263,ÜRÜNLER!A:B,2,FALSE)),"")</f>
        <v>iQ500 Eğimli Davlumbaz, 60cm, 510m3, Beyaz Cam</v>
      </c>
      <c r="C263" s="8">
        <v>11</v>
      </c>
      <c r="D263" s="8"/>
      <c r="E263" s="9"/>
      <c r="F263" s="9"/>
      <c r="G263" s="10"/>
      <c r="H263" s="10"/>
      <c r="I263" s="11"/>
      <c r="J263" s="11"/>
      <c r="K263" s="10"/>
      <c r="L263" s="11"/>
      <c r="M263" s="170">
        <v>1</v>
      </c>
      <c r="N263" s="124">
        <f t="shared" si="9"/>
        <v>12</v>
      </c>
      <c r="O263" s="125">
        <v>1</v>
      </c>
      <c r="P263" s="109"/>
      <c r="Q263" s="51">
        <v>19017.71769325525</v>
      </c>
      <c r="R263" s="25">
        <v>19000</v>
      </c>
      <c r="S263" s="12">
        <v>19760</v>
      </c>
      <c r="T263" s="12">
        <v>20520</v>
      </c>
      <c r="U263" s="12">
        <v>20805</v>
      </c>
      <c r="V263" s="13"/>
      <c r="W263" s="175"/>
      <c r="X263" s="17"/>
      <c r="Y263" s="10">
        <v>0</v>
      </c>
    </row>
    <row r="264" spans="1:25">
      <c r="A264" s="138" t="s">
        <v>253</v>
      </c>
      <c r="B264" s="50" t="str">
        <f>IFERROR(HYPERLINK(VLOOKUP(A264,ÜRÜNLER!A:C,3,FALSE),VLOOKUP(A264,ÜRÜNLER!A:B,2,FALSE)),"")</f>
        <v>iQ500 Eğimli Davlumbaz, 60cm, 700m3, Siyah Cam</v>
      </c>
      <c r="C264" s="8">
        <v>2</v>
      </c>
      <c r="D264" s="8"/>
      <c r="E264" s="9"/>
      <c r="F264" s="9"/>
      <c r="G264" s="10"/>
      <c r="H264" s="10"/>
      <c r="I264" s="11"/>
      <c r="J264" s="11"/>
      <c r="K264" s="10">
        <v>1</v>
      </c>
      <c r="L264" s="11"/>
      <c r="M264" s="170"/>
      <c r="N264" s="124">
        <f t="shared" si="9"/>
        <v>3</v>
      </c>
      <c r="O264" s="125">
        <v>11</v>
      </c>
      <c r="P264" s="109"/>
      <c r="Q264" s="51">
        <v>19017.71769325525</v>
      </c>
      <c r="R264" s="46">
        <v>18066.831808592488</v>
      </c>
      <c r="S264" s="12">
        <v>18789.505080936186</v>
      </c>
      <c r="T264" s="12">
        <v>19512.178353279887</v>
      </c>
      <c r="U264" s="12">
        <v>19783.180830408775</v>
      </c>
      <c r="V264" s="13"/>
      <c r="W264" s="175"/>
      <c r="X264" s="17"/>
      <c r="Y264" s="182">
        <v>3</v>
      </c>
    </row>
    <row r="265" spans="1:25">
      <c r="A265" s="138" t="s">
        <v>1506</v>
      </c>
      <c r="B265" s="50" t="str">
        <f>IFERROR(HYPERLINK(VLOOKUP(A265,ÜRÜNLER!A:C,3,FALSE),VLOOKUP(A265,ÜRÜNLER!A:B,2,FALSE)),"")</f>
        <v>iQ700 Eğimli Davlumbaz, 60cm, 616m3, Siyah Cam</v>
      </c>
      <c r="C265" s="8">
        <v>12</v>
      </c>
      <c r="D265" s="8"/>
      <c r="E265" s="9"/>
      <c r="F265" s="9"/>
      <c r="G265" s="10"/>
      <c r="H265" s="10"/>
      <c r="I265" s="11"/>
      <c r="J265" s="11"/>
      <c r="K265" s="10"/>
      <c r="L265" s="11"/>
      <c r="M265" s="170"/>
      <c r="N265" s="124">
        <f t="shared" si="9"/>
        <v>12</v>
      </c>
      <c r="O265" s="125"/>
      <c r="P265" s="109"/>
      <c r="Q265" s="51">
        <v>32031.24046800239</v>
      </c>
      <c r="R265" s="46">
        <v>30429.678444602272</v>
      </c>
      <c r="S265" s="12">
        <v>31646.865582386363</v>
      </c>
      <c r="T265" s="12">
        <v>32864.052720170454</v>
      </c>
      <c r="U265" s="12">
        <v>33320.497896839486</v>
      </c>
      <c r="V265" s="13"/>
      <c r="W265" s="175"/>
      <c r="X265" s="17"/>
      <c r="Y265" s="10"/>
    </row>
    <row r="266" spans="1:25">
      <c r="A266" s="145" t="s">
        <v>254</v>
      </c>
      <c r="B266" s="50" t="str">
        <f>IFERROR(HYPERLINK(VLOOKUP(A266,ÜRÜNLER!A:C,3,FALSE),VLOOKUP(A266,ÜRÜNLER!A:B,2,FALSE)),"")</f>
        <v>iQ300 Düz Davlumbaz, 75cm, 454m3, Siyah/Inox</v>
      </c>
      <c r="C266" s="8"/>
      <c r="D266" s="8"/>
      <c r="E266" s="9"/>
      <c r="F266" s="9"/>
      <c r="G266" s="10"/>
      <c r="H266" s="10"/>
      <c r="I266" s="11"/>
      <c r="J266" s="11"/>
      <c r="K266" s="10"/>
      <c r="L266" s="11"/>
      <c r="M266" s="170"/>
      <c r="N266" s="124">
        <f t="shared" si="9"/>
        <v>0</v>
      </c>
      <c r="O266" s="125"/>
      <c r="P266" s="109"/>
      <c r="Q266" s="72" t="s">
        <v>1561</v>
      </c>
      <c r="R266" s="19">
        <v>45000</v>
      </c>
      <c r="S266" s="12">
        <v>46800</v>
      </c>
      <c r="T266" s="12">
        <v>48600</v>
      </c>
      <c r="U266" s="12">
        <v>49275</v>
      </c>
      <c r="V266" s="13"/>
      <c r="W266" s="175"/>
      <c r="X266" s="17"/>
      <c r="Y266" s="10"/>
    </row>
    <row r="267" spans="1:25">
      <c r="A267" s="132" t="s">
        <v>255</v>
      </c>
      <c r="B267" s="50" t="str">
        <f>IFERROR(HYPERLINK(VLOOKUP(A267,ÜRÜNLER!A:C,3,FALSE),VLOOKUP(A267,ÜRÜNLER!A:B,2,FALSE)),"")</f>
        <v>iQ700 Eğimli Davlumbaz, 90cm, 441m3, Siyah Cam</v>
      </c>
      <c r="C267" s="8">
        <v>1</v>
      </c>
      <c r="D267" s="8"/>
      <c r="E267" s="9"/>
      <c r="F267" s="9"/>
      <c r="G267" s="10"/>
      <c r="H267" s="10"/>
      <c r="I267" s="11"/>
      <c r="J267" s="11"/>
      <c r="K267" s="10"/>
      <c r="L267" s="11"/>
      <c r="M267" s="170"/>
      <c r="N267" s="124">
        <f t="shared" si="9"/>
        <v>1</v>
      </c>
      <c r="O267" s="125">
        <v>1</v>
      </c>
      <c r="P267" s="109"/>
      <c r="Q267" s="51">
        <v>56922.542782601296</v>
      </c>
      <c r="R267" s="25">
        <v>54733.214214039705</v>
      </c>
      <c r="S267" s="12">
        <v>56922.542782601289</v>
      </c>
      <c r="T267" s="12">
        <v>59111.871351162881</v>
      </c>
      <c r="U267" s="12">
        <v>59932.869564373475</v>
      </c>
      <c r="V267" s="13"/>
      <c r="W267" s="175"/>
      <c r="X267" s="17"/>
      <c r="Y267" s="10"/>
    </row>
    <row r="268" spans="1:25">
      <c r="A268" s="132" t="s">
        <v>256</v>
      </c>
      <c r="B268" s="50" t="str">
        <f>IFERROR(HYPERLINK(VLOOKUP(A268,ÜRÜNLER!A:C,3,FALSE),VLOOKUP(A268,ÜRÜNLER!A:B,2,FALSE)),"")</f>
        <v>iQ700 studioLine Eğimli Davlumbaz, 90cm, 441m3, Siyah Cam</v>
      </c>
      <c r="C268" s="8"/>
      <c r="D268" s="8">
        <v>1</v>
      </c>
      <c r="E268" s="9"/>
      <c r="F268" s="9"/>
      <c r="G268" s="10"/>
      <c r="H268" s="10"/>
      <c r="I268" s="11"/>
      <c r="J268" s="11"/>
      <c r="K268" s="10">
        <v>1</v>
      </c>
      <c r="L268" s="11"/>
      <c r="M268" s="170"/>
      <c r="N268" s="124">
        <f t="shared" si="9"/>
        <v>2</v>
      </c>
      <c r="O268" s="125"/>
      <c r="P268" s="109"/>
      <c r="Q268" s="180">
        <v>86164.737606286217</v>
      </c>
      <c r="R268" s="18">
        <v>77548.263845657595</v>
      </c>
      <c r="S268" s="12">
        <v>80650.194399483895</v>
      </c>
      <c r="T268" s="12">
        <v>83752.124953310209</v>
      </c>
      <c r="U268" s="12">
        <v>84915.348910995061</v>
      </c>
      <c r="V268" s="13"/>
      <c r="W268" s="175"/>
      <c r="X268" s="78">
        <v>500</v>
      </c>
      <c r="Y268" s="10"/>
    </row>
    <row r="269" spans="1:25">
      <c r="A269" s="132" t="s">
        <v>257</v>
      </c>
      <c r="B269" s="50" t="str">
        <f>IFERROR(HYPERLINK(VLOOKUP(A269,ÜRÜNLER!A:C,3,FALSE),VLOOKUP(A269,ÜRÜNLER!A:B,2,FALSE)),"")</f>
        <v>iQ100 Düz Davlumbaz, 90cm, 616m3, Inox</v>
      </c>
      <c r="C269" s="8">
        <v>1</v>
      </c>
      <c r="D269" s="8"/>
      <c r="E269" s="9"/>
      <c r="F269" s="9"/>
      <c r="G269" s="10"/>
      <c r="H269" s="10"/>
      <c r="I269" s="11"/>
      <c r="J269" s="11">
        <v>1</v>
      </c>
      <c r="K269" s="10"/>
      <c r="L269" s="11"/>
      <c r="M269" s="170"/>
      <c r="N269" s="124">
        <f t="shared" si="9"/>
        <v>2</v>
      </c>
      <c r="O269" s="125"/>
      <c r="P269" s="109"/>
      <c r="Q269" s="51">
        <v>23614.90554617624</v>
      </c>
      <c r="R269" s="164">
        <v>23142.607435252714</v>
      </c>
      <c r="S269" s="12">
        <v>24068.311732662823</v>
      </c>
      <c r="T269" s="12">
        <v>24994.016030072929</v>
      </c>
      <c r="U269" s="12">
        <v>25341.155141601721</v>
      </c>
      <c r="V269" s="13"/>
      <c r="W269" s="175"/>
      <c r="X269" s="17"/>
      <c r="Y269" s="10"/>
    </row>
    <row r="270" spans="1:25">
      <c r="A270" s="146" t="s">
        <v>258</v>
      </c>
      <c r="B270" s="50" t="str">
        <f>IFERROR(HYPERLINK(VLOOKUP(A270,ÜRÜNLER!A:C,3,FALSE),VLOOKUP(A270,ÜRÜNLER!A:B,2,FALSE)),"")</f>
        <v>iQ300 Düz Davlumbaz, 90cm, 649m3, Antrasit Gri Cam</v>
      </c>
      <c r="C270" s="8">
        <v>3</v>
      </c>
      <c r="D270" s="8"/>
      <c r="E270" s="9"/>
      <c r="F270" s="9"/>
      <c r="G270" s="10"/>
      <c r="H270" s="10"/>
      <c r="I270" s="11"/>
      <c r="J270" s="11"/>
      <c r="K270" s="10"/>
      <c r="L270" s="11"/>
      <c r="M270" s="170"/>
      <c r="N270" s="124">
        <f t="shared" si="9"/>
        <v>3</v>
      </c>
      <c r="O270" s="125"/>
      <c r="P270" s="109"/>
      <c r="Q270" s="51">
        <v>24665.912789064958</v>
      </c>
      <c r="R270" s="164">
        <v>24172.59453328366</v>
      </c>
      <c r="S270" s="12">
        <v>25139.498314615008</v>
      </c>
      <c r="T270" s="12">
        <v>26106.402095946352</v>
      </c>
      <c r="U270" s="12">
        <v>26468.991013945608</v>
      </c>
      <c r="V270" s="13"/>
      <c r="W270" s="175"/>
      <c r="X270" s="17"/>
      <c r="Y270" s="182">
        <v>1</v>
      </c>
    </row>
    <row r="271" spans="1:25">
      <c r="A271" s="143" t="s">
        <v>259</v>
      </c>
      <c r="B271" s="50" t="str">
        <f>IFERROR(HYPERLINK(VLOOKUP(A271,ÜRÜNLER!A:C,3,FALSE),VLOOKUP(A271,ÜRÜNLER!A:B,2,FALSE)),"")</f>
        <v>iQ300 Düz Davlumbaz, 90cm, 649m3, Beyaz Cam</v>
      </c>
      <c r="C271" s="8">
        <v>15</v>
      </c>
      <c r="D271" s="8"/>
      <c r="E271" s="9"/>
      <c r="F271" s="9"/>
      <c r="G271" s="10"/>
      <c r="H271" s="10"/>
      <c r="I271" s="11"/>
      <c r="J271" s="11"/>
      <c r="K271" s="10"/>
      <c r="L271" s="11"/>
      <c r="M271" s="170"/>
      <c r="N271" s="124">
        <f t="shared" si="9"/>
        <v>15</v>
      </c>
      <c r="O271" s="125"/>
      <c r="P271" s="109"/>
      <c r="Q271" s="51">
        <v>24665.912789064958</v>
      </c>
      <c r="R271" s="46">
        <v>23432.617149611709</v>
      </c>
      <c r="S271" s="12">
        <v>24369.921835596178</v>
      </c>
      <c r="T271" s="12">
        <v>25307.226521580647</v>
      </c>
      <c r="U271" s="12">
        <v>25658.715778824822</v>
      </c>
      <c r="V271" s="13"/>
      <c r="W271" s="175"/>
      <c r="X271" s="17"/>
      <c r="Y271" s="182">
        <v>3</v>
      </c>
    </row>
    <row r="272" spans="1:25">
      <c r="A272" s="141" t="s">
        <v>260</v>
      </c>
      <c r="B272" s="50" t="str">
        <f>IFERROR(HYPERLINK(VLOOKUP(A272,ÜRÜNLER!A:C,3,FALSE),VLOOKUP(A272,ÜRÜNLER!A:B,2,FALSE)),"")</f>
        <v>iQ300 Düz Davlumbaz, 90cm, 649m3, Titanyum Gri Cam</v>
      </c>
      <c r="C272" s="8">
        <v>3</v>
      </c>
      <c r="D272" s="8"/>
      <c r="E272" s="9"/>
      <c r="F272" s="9"/>
      <c r="G272" s="10"/>
      <c r="H272" s="10"/>
      <c r="I272" s="11">
        <v>1</v>
      </c>
      <c r="J272" s="11"/>
      <c r="K272" s="10"/>
      <c r="L272" s="11"/>
      <c r="M272" s="170"/>
      <c r="N272" s="124">
        <f t="shared" si="9"/>
        <v>4</v>
      </c>
      <c r="O272" s="125"/>
      <c r="P272" s="109"/>
      <c r="Q272" s="72" t="s">
        <v>1561</v>
      </c>
      <c r="R272" s="19">
        <v>29999</v>
      </c>
      <c r="S272" s="12">
        <v>31198.959999999999</v>
      </c>
      <c r="T272" s="12">
        <v>32398.92</v>
      </c>
      <c r="U272" s="12">
        <v>32848.904999999999</v>
      </c>
      <c r="V272" s="13"/>
      <c r="W272" s="175"/>
      <c r="X272" s="17"/>
      <c r="Y272" s="10"/>
    </row>
    <row r="273" spans="1:25">
      <c r="A273" s="132" t="s">
        <v>261</v>
      </c>
      <c r="B273" s="50" t="str">
        <f>IFERROR(HYPERLINK(VLOOKUP(A273,ÜRÜNLER!A:C,3,FALSE),VLOOKUP(A273,ÜRÜNLER!A:B,2,FALSE)),"")</f>
        <v>iQ300 Eğimli Davlumbaz, 90cm, 629m3, Beyaz Cam</v>
      </c>
      <c r="C273" s="8">
        <v>20</v>
      </c>
      <c r="D273" s="8"/>
      <c r="E273" s="9"/>
      <c r="F273" s="9">
        <v>1</v>
      </c>
      <c r="G273" s="10"/>
      <c r="H273" s="10"/>
      <c r="I273" s="11">
        <v>1</v>
      </c>
      <c r="J273" s="11">
        <v>1</v>
      </c>
      <c r="K273" s="10">
        <v>1</v>
      </c>
      <c r="L273" s="11"/>
      <c r="M273" s="170"/>
      <c r="N273" s="124">
        <f t="shared" si="9"/>
        <v>24</v>
      </c>
      <c r="O273" s="125"/>
      <c r="P273" s="109"/>
      <c r="Q273" s="72" t="s">
        <v>1561</v>
      </c>
      <c r="R273" s="46">
        <v>25000</v>
      </c>
      <c r="S273" s="12">
        <v>26000</v>
      </c>
      <c r="T273" s="12">
        <v>27000</v>
      </c>
      <c r="U273" s="12">
        <v>27375</v>
      </c>
      <c r="V273" s="13"/>
      <c r="W273" s="175"/>
      <c r="X273" s="79">
        <v>500</v>
      </c>
      <c r="Y273" s="10"/>
    </row>
    <row r="274" spans="1:25">
      <c r="A274" s="132" t="s">
        <v>262</v>
      </c>
      <c r="B274" s="50" t="str">
        <f>IFERROR(HYPERLINK(VLOOKUP(A274,ÜRÜNLER!A:C,3,FALSE),VLOOKUP(A274,ÜRÜNLER!A:B,2,FALSE)),"")</f>
        <v>iQ300 Düz Davlumbaz, 90cm, 468m3, Inox</v>
      </c>
      <c r="C274" s="8">
        <v>5</v>
      </c>
      <c r="D274" s="8"/>
      <c r="E274" s="9"/>
      <c r="F274" s="9"/>
      <c r="G274" s="10"/>
      <c r="H274" s="10"/>
      <c r="I274" s="11"/>
      <c r="J274" s="11"/>
      <c r="K274" s="10"/>
      <c r="L274" s="11"/>
      <c r="M274" s="170"/>
      <c r="N274" s="124">
        <f t="shared" si="9"/>
        <v>5</v>
      </c>
      <c r="O274" s="125"/>
      <c r="P274" s="109"/>
      <c r="Q274" s="51">
        <v>36977.088761237021</v>
      </c>
      <c r="R274" s="164">
        <v>36237.546986012283</v>
      </c>
      <c r="S274" s="12">
        <v>37687.048865452773</v>
      </c>
      <c r="T274" s="12">
        <v>39136.550744893262</v>
      </c>
      <c r="U274" s="12">
        <v>39680.113949683451</v>
      </c>
      <c r="V274" s="13"/>
      <c r="W274" s="175"/>
      <c r="X274" s="17"/>
      <c r="Y274" s="10"/>
    </row>
    <row r="275" spans="1:25">
      <c r="A275" s="132" t="s">
        <v>263</v>
      </c>
      <c r="B275" s="50" t="str">
        <f>IFERROR(HYPERLINK(VLOOKUP(A275,ÜRÜNLER!A:C,3,FALSE),VLOOKUP(A275,ÜRÜNLER!A:B,2,FALSE)),"")</f>
        <v>iQ500 Düz Davlumbaz, 90cm, 394m3, Siyah Cam</v>
      </c>
      <c r="C275" s="8">
        <v>4</v>
      </c>
      <c r="D275" s="8"/>
      <c r="E275" s="9"/>
      <c r="F275" s="9"/>
      <c r="G275" s="10"/>
      <c r="H275" s="10"/>
      <c r="I275" s="11"/>
      <c r="J275" s="11"/>
      <c r="K275" s="10"/>
      <c r="L275" s="11"/>
      <c r="M275" s="170"/>
      <c r="N275" s="124">
        <f t="shared" si="9"/>
        <v>4</v>
      </c>
      <c r="O275" s="125"/>
      <c r="P275" s="109"/>
      <c r="Q275" s="72" t="s">
        <v>1561</v>
      </c>
      <c r="R275" s="19">
        <v>51000</v>
      </c>
      <c r="S275" s="12">
        <v>53040</v>
      </c>
      <c r="T275" s="12">
        <v>55080</v>
      </c>
      <c r="U275" s="12">
        <v>55845</v>
      </c>
      <c r="V275" s="13"/>
      <c r="W275" s="175"/>
      <c r="X275" s="79">
        <v>1000</v>
      </c>
      <c r="Y275" s="10"/>
    </row>
    <row r="276" spans="1:25">
      <c r="A276" s="132" t="s">
        <v>264</v>
      </c>
      <c r="B276" s="50" t="str">
        <f>IFERROR(HYPERLINK(VLOOKUP(A276,ÜRÜNLER!A:C,3,FALSE),VLOOKUP(A276,ÜRÜNLER!A:B,2,FALSE)),"")</f>
        <v>iQ700 Düz Davlumbaz, 90cm, 394m3, Siyah Cam</v>
      </c>
      <c r="C276" s="8">
        <v>3</v>
      </c>
      <c r="D276" s="8"/>
      <c r="E276" s="9"/>
      <c r="F276" s="9"/>
      <c r="G276" s="10"/>
      <c r="H276" s="10"/>
      <c r="I276" s="11"/>
      <c r="J276" s="11"/>
      <c r="K276" s="10"/>
      <c r="L276" s="11"/>
      <c r="M276" s="170"/>
      <c r="N276" s="124">
        <f t="shared" si="9"/>
        <v>3</v>
      </c>
      <c r="O276" s="125"/>
      <c r="P276" s="109"/>
      <c r="Q276" s="72" t="s">
        <v>1561</v>
      </c>
      <c r="R276" s="19">
        <v>51000</v>
      </c>
      <c r="S276" s="12">
        <v>53040</v>
      </c>
      <c r="T276" s="12">
        <v>55080</v>
      </c>
      <c r="U276" s="12">
        <v>55845</v>
      </c>
      <c r="V276" s="13"/>
      <c r="W276" s="175"/>
      <c r="X276" s="79">
        <v>1000</v>
      </c>
      <c r="Y276" s="10"/>
    </row>
    <row r="277" spans="1:25">
      <c r="A277" s="132" t="s">
        <v>265</v>
      </c>
      <c r="B277" s="50" t="str">
        <f>IFERROR(HYPERLINK(VLOOKUP(A277,ÜRÜNLER!A:C,3,FALSE),VLOOKUP(A277,ÜRÜNLER!A:B,2,FALSE)),"")</f>
        <v>iQ700 Düz Davlumbaz, 90cm, 394m3, Siyah Cam</v>
      </c>
      <c r="C277" s="8"/>
      <c r="D277" s="8"/>
      <c r="E277" s="9"/>
      <c r="F277" s="9"/>
      <c r="G277" s="10"/>
      <c r="H277" s="10"/>
      <c r="I277" s="11"/>
      <c r="J277" s="11">
        <v>1</v>
      </c>
      <c r="K277" s="10"/>
      <c r="L277" s="11"/>
      <c r="M277" s="170"/>
      <c r="N277" s="124">
        <f t="shared" si="9"/>
        <v>1</v>
      </c>
      <c r="O277" s="125"/>
      <c r="P277" s="109"/>
      <c r="Q277" s="72" t="s">
        <v>1561</v>
      </c>
      <c r="R277" s="19">
        <v>51000</v>
      </c>
      <c r="S277" s="12">
        <v>53040</v>
      </c>
      <c r="T277" s="12">
        <v>55080</v>
      </c>
      <c r="U277" s="12">
        <v>55845</v>
      </c>
      <c r="V277" s="13"/>
      <c r="W277" s="175"/>
      <c r="X277" s="79">
        <v>1000</v>
      </c>
      <c r="Y277" s="10"/>
    </row>
    <row r="278" spans="1:25">
      <c r="A278" s="144" t="s">
        <v>266</v>
      </c>
      <c r="B278" s="50" t="str">
        <f>IFERROR(HYPERLINK(VLOOKUP(A278,ÜRÜNLER!A:C,3,FALSE),VLOOKUP(A278,ÜRÜNLER!A:B,2,FALSE)),"")</f>
        <v>iQ500 Eğimli Davlumbaz, 90cm, 510m3, Beyaz Cam</v>
      </c>
      <c r="C278" s="8">
        <v>5</v>
      </c>
      <c r="D278" s="8"/>
      <c r="E278" s="9"/>
      <c r="F278" s="9"/>
      <c r="G278" s="10"/>
      <c r="H278" s="10"/>
      <c r="I278" s="11"/>
      <c r="J278" s="11"/>
      <c r="K278" s="10"/>
      <c r="L278" s="11"/>
      <c r="M278" s="170"/>
      <c r="N278" s="124">
        <f t="shared" si="9"/>
        <v>5</v>
      </c>
      <c r="O278" s="125"/>
      <c r="P278" s="109"/>
      <c r="Q278" s="51">
        <v>28674.134474198447</v>
      </c>
      <c r="R278" s="46">
        <v>27240.427750488525</v>
      </c>
      <c r="S278" s="12">
        <v>28330.044860508067</v>
      </c>
      <c r="T278" s="12">
        <v>29419.661970527606</v>
      </c>
      <c r="U278" s="12">
        <v>29828.268386784934</v>
      </c>
      <c r="V278" s="13"/>
      <c r="W278" s="175"/>
      <c r="X278" s="17"/>
      <c r="Y278" s="182">
        <v>2</v>
      </c>
    </row>
    <row r="279" spans="1:25">
      <c r="A279" s="138" t="s">
        <v>267</v>
      </c>
      <c r="B279" s="50" t="str">
        <f>IFERROR(HYPERLINK(VLOOKUP(A279,ÜRÜNLER!A:C,3,FALSE),VLOOKUP(A279,ÜRÜNLER!A:B,2,FALSE)),"")</f>
        <v>iQ500 Eğimli Davlumbaz, 90cm, 510m3, Siyah Cam</v>
      </c>
      <c r="C279" s="8"/>
      <c r="D279" s="8"/>
      <c r="E279" s="9"/>
      <c r="F279" s="9"/>
      <c r="G279" s="10"/>
      <c r="H279" s="10"/>
      <c r="I279" s="11"/>
      <c r="J279" s="11"/>
      <c r="K279" s="10"/>
      <c r="L279" s="11"/>
      <c r="M279" s="170"/>
      <c r="N279" s="124">
        <f t="shared" si="9"/>
        <v>0</v>
      </c>
      <c r="O279" s="125">
        <v>6</v>
      </c>
      <c r="P279" s="109"/>
      <c r="Q279" s="51">
        <v>28674.134474198447</v>
      </c>
      <c r="R279" s="25">
        <v>27571.283148267736</v>
      </c>
      <c r="S279" s="12">
        <v>28674.134474198447</v>
      </c>
      <c r="T279" s="12">
        <v>29776.985800129154</v>
      </c>
      <c r="U279" s="12">
        <v>30190.555047353169</v>
      </c>
      <c r="V279" s="13"/>
      <c r="W279" s="175"/>
      <c r="X279" s="17"/>
      <c r="Y279" s="10"/>
    </row>
    <row r="280" spans="1:25">
      <c r="A280" s="141" t="s">
        <v>268</v>
      </c>
      <c r="B280" s="50" t="str">
        <f>IFERROR(HYPERLINK(VLOOKUP(A280,ÜRÜNLER!A:C,3,FALSE),VLOOKUP(A280,ÜRÜNLER!A:B,2,FALSE)),"")</f>
        <v>iQ500 Eğimli Davlumbaz, 90cm, 510m3, Antrasit Gri Cam</v>
      </c>
      <c r="C280" s="8">
        <v>5</v>
      </c>
      <c r="D280" s="8"/>
      <c r="E280" s="9"/>
      <c r="F280" s="9"/>
      <c r="G280" s="10"/>
      <c r="H280" s="10"/>
      <c r="I280" s="11"/>
      <c r="J280" s="11"/>
      <c r="K280" s="10"/>
      <c r="L280" s="11"/>
      <c r="M280" s="170"/>
      <c r="N280" s="124">
        <f t="shared" si="9"/>
        <v>5</v>
      </c>
      <c r="O280" s="125">
        <v>1</v>
      </c>
      <c r="P280" s="109"/>
      <c r="Q280" s="51">
        <v>28674.134474198447</v>
      </c>
      <c r="R280" s="46">
        <v>27240.427750488525</v>
      </c>
      <c r="S280" s="12">
        <v>28330.044860508067</v>
      </c>
      <c r="T280" s="12">
        <v>29419.661970527606</v>
      </c>
      <c r="U280" s="12">
        <v>29828.268386784934</v>
      </c>
      <c r="V280" s="13"/>
      <c r="W280" s="175"/>
      <c r="X280" s="17"/>
      <c r="Y280" s="182">
        <v>1</v>
      </c>
    </row>
    <row r="281" spans="1:25">
      <c r="A281" s="132" t="s">
        <v>269</v>
      </c>
      <c r="B281" s="50" t="str">
        <f>IFERROR(HYPERLINK(VLOOKUP(A281,ÜRÜNLER!A:C,3,FALSE),VLOOKUP(A281,ÜRÜNLER!A:B,2,FALSE)),"")</f>
        <v>iQ500 Düz Davlumbaz, 90cm, 430m3, Inox</v>
      </c>
      <c r="C281" s="8">
        <v>2</v>
      </c>
      <c r="D281" s="8"/>
      <c r="E281" s="9"/>
      <c r="F281" s="9"/>
      <c r="G281" s="10"/>
      <c r="H281" s="10"/>
      <c r="I281" s="11"/>
      <c r="J281" s="11"/>
      <c r="K281" s="10"/>
      <c r="L281" s="11"/>
      <c r="M281" s="170"/>
      <c r="N281" s="124">
        <f t="shared" si="9"/>
        <v>2</v>
      </c>
      <c r="O281" s="125"/>
      <c r="P281" s="109"/>
      <c r="Q281" s="72" t="s">
        <v>1561</v>
      </c>
      <c r="R281" s="19">
        <v>26000</v>
      </c>
      <c r="S281" s="12">
        <v>27040</v>
      </c>
      <c r="T281" s="12">
        <v>28080</v>
      </c>
      <c r="U281" s="12">
        <v>28470</v>
      </c>
      <c r="V281" s="13"/>
      <c r="W281" s="175"/>
      <c r="X281" s="102">
        <v>500</v>
      </c>
      <c r="Y281" s="10"/>
    </row>
    <row r="282" spans="1:25">
      <c r="A282" s="132" t="s">
        <v>270</v>
      </c>
      <c r="B282" s="50" t="str">
        <f>IFERROR(HYPERLINK(VLOOKUP(A282,ÜRÜNLER!A:C,3,FALSE),VLOOKUP(A282,ÜRÜNLER!A:B,2,FALSE)),"")</f>
        <v>iQ500 Eğimli Davlumbaz, 90cm, 370m3, Cam Dekorlu Inox</v>
      </c>
      <c r="C282" s="8">
        <v>7</v>
      </c>
      <c r="D282" s="8"/>
      <c r="E282" s="9"/>
      <c r="F282" s="9"/>
      <c r="G282" s="10"/>
      <c r="H282" s="10"/>
      <c r="I282" s="11"/>
      <c r="J282" s="11"/>
      <c r="K282" s="10"/>
      <c r="L282" s="11"/>
      <c r="M282" s="170"/>
      <c r="N282" s="124">
        <f t="shared" si="9"/>
        <v>7</v>
      </c>
      <c r="O282" s="125"/>
      <c r="P282" s="109"/>
      <c r="Q282" s="72" t="s">
        <v>1561</v>
      </c>
      <c r="R282" s="19">
        <v>26000</v>
      </c>
      <c r="S282" s="12">
        <v>27040</v>
      </c>
      <c r="T282" s="12">
        <v>28080</v>
      </c>
      <c r="U282" s="12">
        <v>28470</v>
      </c>
      <c r="V282" s="13"/>
      <c r="W282" s="175"/>
      <c r="X282" s="102">
        <v>500</v>
      </c>
      <c r="Y282" s="10"/>
    </row>
    <row r="283" spans="1:25">
      <c r="A283" s="132" t="s">
        <v>271</v>
      </c>
      <c r="B283" s="50" t="str">
        <f>IFERROR(HYPERLINK(VLOOKUP(A283,ÜRÜNLER!A:C,3,FALSE),VLOOKUP(A283,ÜRÜNLER!A:B,2,FALSE)),"")</f>
        <v>iQ500 Eğimli Davlumbaz, 90cm, 468m3, Siyah Cam</v>
      </c>
      <c r="C283" s="8"/>
      <c r="D283" s="8"/>
      <c r="E283" s="9"/>
      <c r="F283" s="9"/>
      <c r="G283" s="10"/>
      <c r="H283" s="10">
        <v>1</v>
      </c>
      <c r="I283" s="11"/>
      <c r="J283" s="11"/>
      <c r="K283" s="10"/>
      <c r="L283" s="11"/>
      <c r="M283" s="170"/>
      <c r="N283" s="124">
        <f t="shared" si="9"/>
        <v>1</v>
      </c>
      <c r="O283" s="125"/>
      <c r="P283" s="109"/>
      <c r="Q283" s="72" t="s">
        <v>1561</v>
      </c>
      <c r="R283" s="18">
        <v>55000</v>
      </c>
      <c r="S283" s="12">
        <v>57200</v>
      </c>
      <c r="T283" s="12">
        <v>59400</v>
      </c>
      <c r="U283" s="12">
        <v>60225</v>
      </c>
      <c r="V283" s="13"/>
      <c r="W283" s="175"/>
      <c r="X283" s="102">
        <v>500</v>
      </c>
      <c r="Y283" s="10"/>
    </row>
    <row r="284" spans="1:25">
      <c r="A284" s="132" t="s">
        <v>272</v>
      </c>
      <c r="B284" s="50" t="str">
        <f>IFERROR(HYPERLINK(VLOOKUP(A284,ÜRÜNLER!A:C,3,FALSE),VLOOKUP(A284,ÜRÜNLER!A:B,2,FALSE)),"")</f>
        <v>iQ700 studioLine Tavan Tipi Davlumbaz, 105cm, Siyah</v>
      </c>
      <c r="C284" s="8"/>
      <c r="D284" s="8">
        <v>7</v>
      </c>
      <c r="E284" s="9"/>
      <c r="F284" s="9"/>
      <c r="G284" s="10"/>
      <c r="H284" s="10">
        <v>1</v>
      </c>
      <c r="I284" s="11"/>
      <c r="J284" s="11"/>
      <c r="K284" s="10"/>
      <c r="L284" s="11"/>
      <c r="M284" s="170"/>
      <c r="N284" s="124">
        <f t="shared" si="9"/>
        <v>8</v>
      </c>
      <c r="O284" s="125"/>
      <c r="P284" s="109"/>
      <c r="Q284" s="180">
        <v>269627.34965865395</v>
      </c>
      <c r="R284" s="18">
        <v>242664.61469278857</v>
      </c>
      <c r="S284" s="12">
        <v>252371.19928050012</v>
      </c>
      <c r="T284" s="12">
        <v>262077.78386821167</v>
      </c>
      <c r="U284" s="12">
        <v>265717.75308860349</v>
      </c>
      <c r="V284" s="13"/>
      <c r="W284" s="175"/>
      <c r="X284" s="102">
        <v>500</v>
      </c>
      <c r="Y284" s="10"/>
    </row>
    <row r="285" spans="1:25">
      <c r="A285" s="132" t="s">
        <v>273</v>
      </c>
      <c r="B285" s="50" t="str">
        <f>IFERROR(HYPERLINK(VLOOKUP(A285,ÜRÜNLER!A:C,3,FALSE),VLOOKUP(A285,ÜRÜNLER!A:B,2,FALSE)),"")</f>
        <v>iQ700 studioLine Tezgaha Entegre Davlumbaz, 80cm, Siyah/Cam</v>
      </c>
      <c r="C285" s="8"/>
      <c r="D285" s="8">
        <v>2</v>
      </c>
      <c r="E285" s="9"/>
      <c r="F285" s="9"/>
      <c r="G285" s="10"/>
      <c r="H285" s="10">
        <v>1</v>
      </c>
      <c r="I285" s="11"/>
      <c r="J285" s="11"/>
      <c r="K285" s="10"/>
      <c r="L285" s="11"/>
      <c r="M285" s="170"/>
      <c r="N285" s="124">
        <f t="shared" si="9"/>
        <v>3</v>
      </c>
      <c r="O285" s="125"/>
      <c r="P285" s="109"/>
      <c r="Q285" s="180">
        <v>152703.40361477379</v>
      </c>
      <c r="R285" s="18">
        <v>137433.06325329642</v>
      </c>
      <c r="S285" s="12">
        <v>142930.38578342827</v>
      </c>
      <c r="T285" s="12">
        <v>148427.70831356014</v>
      </c>
      <c r="U285" s="12">
        <v>150489.20426235959</v>
      </c>
      <c r="V285" s="13"/>
      <c r="W285" s="175"/>
      <c r="X285" s="102">
        <v>500</v>
      </c>
      <c r="Y285" s="10"/>
    </row>
    <row r="286" spans="1:25">
      <c r="A286" s="132" t="s">
        <v>275</v>
      </c>
      <c r="B286" s="50" t="str">
        <f>IFERROR(HYPERLINK(VLOOKUP(A286,ÜRÜNLER!A:C,3,FALSE),VLOOKUP(A286,ÜRÜNLER!A:B,2,FALSE)),"")</f>
        <v>iQ500 studioLine Ada Tipi Davlumbaz, 90cm, Inox</v>
      </c>
      <c r="C286" s="8"/>
      <c r="D286" s="8">
        <v>2</v>
      </c>
      <c r="E286" s="9"/>
      <c r="F286" s="9"/>
      <c r="G286" s="10"/>
      <c r="H286" s="10">
        <v>1</v>
      </c>
      <c r="I286" s="11"/>
      <c r="J286" s="11"/>
      <c r="K286" s="10"/>
      <c r="L286" s="11"/>
      <c r="M286" s="170"/>
      <c r="N286" s="124">
        <f t="shared" si="9"/>
        <v>3</v>
      </c>
      <c r="O286" s="125"/>
      <c r="P286" s="109"/>
      <c r="Q286" s="180">
        <v>91338.158029057871</v>
      </c>
      <c r="R286" s="18">
        <v>82204.342226152075</v>
      </c>
      <c r="S286" s="12">
        <v>85492.515915198164</v>
      </c>
      <c r="T286" s="12">
        <v>88780.689604244239</v>
      </c>
      <c r="U286" s="12">
        <v>90013.754737636526</v>
      </c>
      <c r="V286" s="13"/>
      <c r="W286" s="175"/>
      <c r="X286" s="102">
        <v>500</v>
      </c>
      <c r="Y286" s="10"/>
    </row>
    <row r="287" spans="1:25">
      <c r="A287" s="132" t="s">
        <v>274</v>
      </c>
      <c r="B287" s="50" t="str">
        <f>IFERROR(HYPERLINK(VLOOKUP(A287,ÜRÜNLER!A:C,3,FALSE),VLOOKUP(A287,ÜRÜNLER!A:B,2,FALSE)),"")</f>
        <v>iQ300 Ada Tipi Davlumbaz, 90cm, 438m3, Inox</v>
      </c>
      <c r="C287" s="8">
        <v>2</v>
      </c>
      <c r="D287" s="8"/>
      <c r="E287" s="9"/>
      <c r="F287" s="9"/>
      <c r="G287" s="10"/>
      <c r="H287" s="10"/>
      <c r="I287" s="11">
        <v>1</v>
      </c>
      <c r="J287" s="11"/>
      <c r="K287" s="10">
        <v>2</v>
      </c>
      <c r="L287" s="11"/>
      <c r="M287" s="170"/>
      <c r="N287" s="124">
        <f t="shared" si="9"/>
        <v>5</v>
      </c>
      <c r="O287" s="125">
        <v>1</v>
      </c>
      <c r="P287" s="109"/>
      <c r="Q287" s="51">
        <v>54349.375223304269</v>
      </c>
      <c r="R287" s="46">
        <v>51631.906462139057</v>
      </c>
      <c r="S287" s="12">
        <v>53697.182720624616</v>
      </c>
      <c r="T287" s="12">
        <v>55762.458979110183</v>
      </c>
      <c r="U287" s="12">
        <v>56536.93757604227</v>
      </c>
      <c r="V287" s="13"/>
      <c r="W287" s="175"/>
      <c r="X287" s="17"/>
      <c r="Y287" s="10"/>
    </row>
    <row r="288" spans="1:25" ht="42" customHeight="1">
      <c r="A288" s="31" t="s">
        <v>1778</v>
      </c>
      <c r="B288" s="50" t="str">
        <f>IFERROR(HYPERLINK(VLOOKUP(A288,ÜRÜNLER!A:C,3,FALSE),VLOOKUP(A288,ÜRÜNLER!A:B,2,FALSE)),"")</f>
        <v/>
      </c>
      <c r="C288" s="8"/>
      <c r="D288" s="8"/>
      <c r="E288" s="9"/>
      <c r="F288" s="9"/>
      <c r="G288" s="10"/>
      <c r="H288" s="10"/>
      <c r="I288" s="11"/>
      <c r="J288" s="11"/>
      <c r="K288" s="10"/>
      <c r="L288" s="11"/>
      <c r="M288" s="170"/>
      <c r="N288" s="124">
        <f>SUM(N235:N287)</f>
        <v>284</v>
      </c>
      <c r="O288" s="125"/>
      <c r="P288" s="9"/>
      <c r="Q288" s="72"/>
      <c r="R288" s="19"/>
      <c r="S288" s="12"/>
      <c r="T288" s="12"/>
      <c r="U288" s="12"/>
      <c r="V288" s="13"/>
      <c r="W288" s="175"/>
      <c r="X288" s="17"/>
      <c r="Y288" s="10"/>
    </row>
    <row r="289" spans="1:25">
      <c r="A289" s="21" t="s">
        <v>279</v>
      </c>
      <c r="B289" s="50" t="str">
        <f>IFERROR(HYPERLINK(VLOOKUP(A289,ÜRÜNLER!A:C,3,FALSE),VLOOKUP(A289,ÜRÜNLER!A:B,2,FALSE)),"")</f>
        <v>iQ100 Gömme Aspiratör, 53cm, 302m3, Gri</v>
      </c>
      <c r="C289" s="8">
        <v>5</v>
      </c>
      <c r="D289" s="8"/>
      <c r="E289" s="9"/>
      <c r="F289" s="9"/>
      <c r="G289" s="10"/>
      <c r="H289" s="10"/>
      <c r="I289" s="11"/>
      <c r="J289" s="11"/>
      <c r="K289" s="10"/>
      <c r="L289" s="11"/>
      <c r="M289" s="170"/>
      <c r="N289" s="124">
        <f t="shared" ref="N289:N298" si="10">L289+M289+K289+J289+I289+H289+G289+F289+E289+D289+C289</f>
        <v>5</v>
      </c>
      <c r="O289" s="125"/>
      <c r="P289" s="109"/>
      <c r="Q289" s="51">
        <v>10932.088518722876</v>
      </c>
      <c r="R289" s="164">
        <v>10713.446748348419</v>
      </c>
      <c r="S289" s="12">
        <v>11141.984618282355</v>
      </c>
      <c r="T289" s="12">
        <v>11570.522488216293</v>
      </c>
      <c r="U289" s="12">
        <v>11731.224189441518</v>
      </c>
      <c r="V289" s="13"/>
      <c r="W289" s="175"/>
      <c r="X289" s="17"/>
      <c r="Y289" s="182">
        <v>4</v>
      </c>
    </row>
    <row r="290" spans="1:25">
      <c r="A290" s="22" t="s">
        <v>278</v>
      </c>
      <c r="B290" s="50" t="str">
        <f>IFERROR(HYPERLINK(VLOOKUP(A290,ÜRÜNLER!A:C,3,FALSE),VLOOKUP(A290,ÜRÜNLER!A:B,2,FALSE)),"")</f>
        <v>iQ500 Gömme Aspiratör, 52cm, 570m3, Inox</v>
      </c>
      <c r="C290" s="8"/>
      <c r="D290" s="8"/>
      <c r="E290" s="9"/>
      <c r="F290" s="9"/>
      <c r="G290" s="10"/>
      <c r="H290" s="10"/>
      <c r="I290" s="11"/>
      <c r="J290" s="11"/>
      <c r="K290" s="10"/>
      <c r="L290" s="11"/>
      <c r="M290" s="170"/>
      <c r="N290" s="124">
        <f t="shared" si="10"/>
        <v>0</v>
      </c>
      <c r="O290" s="125">
        <v>5</v>
      </c>
      <c r="P290" s="109"/>
      <c r="Q290" s="51">
        <v>27584.363653341046</v>
      </c>
      <c r="R290" s="164">
        <v>27032.676380274224</v>
      </c>
      <c r="S290" s="12">
        <v>28113.983435485192</v>
      </c>
      <c r="T290" s="12">
        <v>29195.290490696163</v>
      </c>
      <c r="U290" s="12">
        <v>29600.780636400275</v>
      </c>
      <c r="V290" s="13"/>
      <c r="W290" s="175"/>
      <c r="X290" s="17"/>
      <c r="Y290" s="10"/>
    </row>
    <row r="291" spans="1:25">
      <c r="A291" s="21" t="s">
        <v>1664</v>
      </c>
      <c r="B291" s="50" t="str">
        <f>IFERROR(HYPERLINK(VLOOKUP(A291,ÜRÜNLER!A:C,3,FALSE),VLOOKUP(A291,ÜRÜNLER!A:B,2,FALSE)),"")</f>
        <v>iQ100 Gömme Aspiratör, 73cm, 302m3, Gri</v>
      </c>
      <c r="C291" s="8"/>
      <c r="D291" s="8"/>
      <c r="E291" s="9"/>
      <c r="F291" s="9"/>
      <c r="G291" s="10"/>
      <c r="H291" s="10"/>
      <c r="I291" s="11"/>
      <c r="J291" s="11"/>
      <c r="K291" s="10"/>
      <c r="L291" s="11"/>
      <c r="M291" s="170"/>
      <c r="N291" s="124">
        <f t="shared" si="10"/>
        <v>0</v>
      </c>
      <c r="O291" s="125"/>
      <c r="P291" s="109"/>
      <c r="Q291" s="51">
        <v>12035</v>
      </c>
      <c r="R291" s="164">
        <v>11794.3</v>
      </c>
      <c r="S291" s="12">
        <v>12266.072</v>
      </c>
      <c r="T291" s="12">
        <v>12737.843999999999</v>
      </c>
      <c r="U291" s="12">
        <v>12914.7585</v>
      </c>
      <c r="V291" s="13"/>
      <c r="W291" s="175"/>
      <c r="X291" s="17"/>
      <c r="Y291" s="182">
        <v>3</v>
      </c>
    </row>
    <row r="292" spans="1:25">
      <c r="A292" s="21" t="s">
        <v>281</v>
      </c>
      <c r="B292" s="50" t="str">
        <f>IFERROR(HYPERLINK(VLOOKUP(A292,ÜRÜNLER!A:C,3,FALSE),VLOOKUP(A292,ÜRÜNLER!A:B,2,FALSE)),"")</f>
        <v>iQ500 Gömme Aspiratör, 86cm, 600m3, Inox</v>
      </c>
      <c r="C292" s="8"/>
      <c r="D292" s="8"/>
      <c r="E292" s="9"/>
      <c r="F292" s="9"/>
      <c r="G292" s="10"/>
      <c r="H292" s="10"/>
      <c r="I292" s="11"/>
      <c r="J292" s="11"/>
      <c r="K292" s="10"/>
      <c r="L292" s="11"/>
      <c r="M292" s="170"/>
      <c r="N292" s="124">
        <f t="shared" si="10"/>
        <v>0</v>
      </c>
      <c r="O292" s="125">
        <v>5</v>
      </c>
      <c r="P292" s="109"/>
      <c r="Q292" s="51">
        <v>37514.734568543827</v>
      </c>
      <c r="R292" s="164">
        <v>36764.439877172947</v>
      </c>
      <c r="S292" s="12">
        <v>38235.017472259868</v>
      </c>
      <c r="T292" s="12">
        <v>39705.595067346781</v>
      </c>
      <c r="U292" s="12">
        <v>40257.061665504378</v>
      </c>
      <c r="V292" s="13"/>
      <c r="W292" s="175"/>
      <c r="X292" s="17"/>
      <c r="Y292" s="10"/>
    </row>
    <row r="293" spans="1:25">
      <c r="A293" s="139" t="s">
        <v>280</v>
      </c>
      <c r="B293" s="50" t="str">
        <f>IFERROR(HYPERLINK(VLOOKUP(A293,ÜRÜNLER!A:C,3,FALSE),VLOOKUP(A293,ÜRÜNLER!A:B,2,FALSE)),"")</f>
        <v>iQ700 Gömme Aspiratör, 86cm, 595m3, Siyah</v>
      </c>
      <c r="C293" s="8"/>
      <c r="D293" s="8"/>
      <c r="E293" s="9"/>
      <c r="F293" s="9"/>
      <c r="G293" s="10"/>
      <c r="H293" s="10"/>
      <c r="I293" s="11"/>
      <c r="J293" s="11"/>
      <c r="K293" s="10"/>
      <c r="L293" s="11"/>
      <c r="M293" s="170"/>
      <c r="N293" s="124">
        <f t="shared" si="10"/>
        <v>0</v>
      </c>
      <c r="O293" s="125">
        <v>6</v>
      </c>
      <c r="P293" s="109"/>
      <c r="Q293" s="51">
        <v>42013.306024158781</v>
      </c>
      <c r="R293" s="164">
        <v>41173.039903675606</v>
      </c>
      <c r="S293" s="12">
        <v>42819.961499822632</v>
      </c>
      <c r="T293" s="12">
        <v>44466.883095969657</v>
      </c>
      <c r="U293" s="12">
        <v>45084.478694524791</v>
      </c>
      <c r="V293" s="13"/>
      <c r="W293" s="175"/>
      <c r="X293" s="17"/>
      <c r="Y293" s="10"/>
    </row>
    <row r="294" spans="1:25">
      <c r="A294" s="21" t="s">
        <v>276</v>
      </c>
      <c r="B294" s="50" t="str">
        <f>IFERROR(HYPERLINK(VLOOKUP(A294,ÜRÜNLER!A:C,3,FALSE),VLOOKUP(A294,ÜRÜNLER!A:B,2,FALSE)),"")</f>
        <v>iQ100 Teleskopik Aspiratör, 60cm, 310m3, Gümüş</v>
      </c>
      <c r="C294" s="8">
        <v>5</v>
      </c>
      <c r="D294" s="8"/>
      <c r="E294" s="9"/>
      <c r="F294" s="9">
        <v>1</v>
      </c>
      <c r="G294" s="10"/>
      <c r="H294" s="10"/>
      <c r="I294" s="11"/>
      <c r="J294" s="11"/>
      <c r="K294" s="10"/>
      <c r="L294" s="11"/>
      <c r="M294" s="170"/>
      <c r="N294" s="124">
        <f t="shared" si="10"/>
        <v>6</v>
      </c>
      <c r="O294" s="125">
        <v>1</v>
      </c>
      <c r="P294" s="109"/>
      <c r="Q294" s="51">
        <v>7274.5374075206228</v>
      </c>
      <c r="R294" s="164">
        <v>7129.0466593702104</v>
      </c>
      <c r="S294" s="12">
        <v>7414.208525745019</v>
      </c>
      <c r="T294" s="12">
        <v>7699.3703921198276</v>
      </c>
      <c r="U294" s="12">
        <v>7806.3060920103799</v>
      </c>
      <c r="V294" s="13"/>
      <c r="W294" s="175"/>
      <c r="X294" s="17"/>
      <c r="Y294" s="10"/>
    </row>
    <row r="295" spans="1:25">
      <c r="A295" s="21" t="s">
        <v>277</v>
      </c>
      <c r="B295" s="50" t="str">
        <f>IFERROR(HYPERLINK(VLOOKUP(A295,ÜRÜNLER!A:C,3,FALSE),VLOOKUP(A295,ÜRÜNLER!A:B,2,FALSE)),"")</f>
        <v>iQ100 Teleskopik Aspiratör, 60cm, 310m3, Beyaz</v>
      </c>
      <c r="C295" s="8">
        <v>10</v>
      </c>
      <c r="D295" s="8"/>
      <c r="E295" s="9"/>
      <c r="F295" s="9"/>
      <c r="G295" s="10"/>
      <c r="H295" s="10"/>
      <c r="I295" s="11"/>
      <c r="J295" s="11"/>
      <c r="K295" s="10"/>
      <c r="L295" s="11"/>
      <c r="M295" s="170"/>
      <c r="N295" s="124">
        <f t="shared" si="10"/>
        <v>10</v>
      </c>
      <c r="O295" s="125">
        <v>1</v>
      </c>
      <c r="P295" s="109"/>
      <c r="Q295" s="51">
        <v>7276.5836452721769</v>
      </c>
      <c r="R295" s="164">
        <v>7131.051972366733</v>
      </c>
      <c r="S295" s="12">
        <v>7416.2940512614023</v>
      </c>
      <c r="T295" s="12">
        <v>7701.5361301560715</v>
      </c>
      <c r="U295" s="12">
        <v>7808.5019097415725</v>
      </c>
      <c r="V295" s="13"/>
      <c r="W295" s="175"/>
      <c r="X295" s="17"/>
      <c r="Y295" s="10"/>
    </row>
    <row r="296" spans="1:25">
      <c r="A296" s="21" t="s">
        <v>1769</v>
      </c>
      <c r="B296" s="50" t="str">
        <f>IFERROR(HYPERLINK(VLOOKUP(A296,ÜRÜNLER!A:C,3,FALSE),VLOOKUP(A296,ÜRÜNLER!A:B,2,FALSE)),"")</f>
        <v>iQ300 Tam Entegre Davlumbaz, 60cm, 582m3, Cam Dekor, Mat Siyah</v>
      </c>
      <c r="C296" s="8"/>
      <c r="D296" s="8"/>
      <c r="E296" s="9"/>
      <c r="F296" s="9"/>
      <c r="G296" s="10"/>
      <c r="H296" s="10"/>
      <c r="I296" s="11"/>
      <c r="J296" s="11"/>
      <c r="K296" s="10"/>
      <c r="L296" s="11"/>
      <c r="M296" s="170"/>
      <c r="N296" s="124">
        <f t="shared" si="10"/>
        <v>0</v>
      </c>
      <c r="O296" s="125">
        <v>4</v>
      </c>
      <c r="P296" s="109"/>
      <c r="Q296" s="51">
        <v>20605.581506620674</v>
      </c>
      <c r="R296" s="164">
        <v>20193.46987648826</v>
      </c>
      <c r="S296" s="12">
        <v>21001.208671547789</v>
      </c>
      <c r="T296" s="12">
        <v>21808.947466607322</v>
      </c>
      <c r="U296" s="12">
        <v>22111.849514754645</v>
      </c>
      <c r="V296" s="13"/>
      <c r="W296" s="175"/>
      <c r="X296" s="17"/>
      <c r="Y296" s="10"/>
    </row>
    <row r="297" spans="1:25">
      <c r="A297" s="21" t="s">
        <v>1772</v>
      </c>
      <c r="B297" s="50" t="str">
        <f>IFERROR(HYPERLINK(VLOOKUP(A297,ÜRÜNLER!A:C,3,FALSE),VLOOKUP(A297,ÜRÜNLER!A:B,2,FALSE)),"")</f>
        <v>iQ500 Tam Entegre Davlumbaz, 60cm, 433m3, Cam Dekor, Mat Siyah</v>
      </c>
      <c r="C297" s="8"/>
      <c r="D297" s="8"/>
      <c r="E297" s="9"/>
      <c r="F297" s="9"/>
      <c r="G297" s="10"/>
      <c r="H297" s="10"/>
      <c r="I297" s="11"/>
      <c r="J297" s="11"/>
      <c r="K297" s="10"/>
      <c r="L297" s="11"/>
      <c r="M297" s="170"/>
      <c r="N297" s="124">
        <f t="shared" si="10"/>
        <v>0</v>
      </c>
      <c r="O297" s="125">
        <v>4</v>
      </c>
      <c r="P297" s="109"/>
      <c r="Q297" s="51">
        <v>31657.600000000002</v>
      </c>
      <c r="R297" s="164">
        <v>31024.448000000004</v>
      </c>
      <c r="S297" s="12">
        <v>32265.425920000005</v>
      </c>
      <c r="T297" s="12">
        <v>33506.403840000006</v>
      </c>
      <c r="U297" s="12">
        <v>33971.770560000004</v>
      </c>
      <c r="V297" s="13"/>
      <c r="W297" s="175"/>
      <c r="X297" s="17"/>
      <c r="Y297" s="10"/>
    </row>
    <row r="298" spans="1:25">
      <c r="A298" s="21" t="s">
        <v>1775</v>
      </c>
      <c r="B298" s="50" t="str">
        <f>IFERROR(HYPERLINK(VLOOKUP(A298,ÜRÜNLER!A:C,3,FALSE),VLOOKUP(A298,ÜRÜNLER!A:B,2,FALSE)),"")</f>
        <v>iQ300 Tam Entegre Davlumbaz, 80cm, 582m3, Cam Dekor, Mat Siyah</v>
      </c>
      <c r="C298" s="8"/>
      <c r="D298" s="8"/>
      <c r="E298" s="9"/>
      <c r="F298" s="9"/>
      <c r="G298" s="10"/>
      <c r="H298" s="10"/>
      <c r="I298" s="11"/>
      <c r="J298" s="11"/>
      <c r="K298" s="10"/>
      <c r="L298" s="11"/>
      <c r="M298" s="170"/>
      <c r="N298" s="124">
        <f t="shared" si="10"/>
        <v>0</v>
      </c>
      <c r="O298" s="125">
        <v>4</v>
      </c>
      <c r="P298" s="109"/>
      <c r="Q298" s="51">
        <v>27616.176143318127</v>
      </c>
      <c r="R298" s="164">
        <v>27063.852620451766</v>
      </c>
      <c r="S298" s="12">
        <v>28146.406725269837</v>
      </c>
      <c r="T298" s="12">
        <v>29228.960830087908</v>
      </c>
      <c r="U298" s="12">
        <v>29634.918619394684</v>
      </c>
      <c r="V298" s="13"/>
      <c r="W298" s="175"/>
      <c r="X298" s="17"/>
      <c r="Y298" s="10"/>
    </row>
    <row r="299" spans="1:25" ht="30">
      <c r="A299" s="31" t="s">
        <v>282</v>
      </c>
      <c r="B299" s="50" t="str">
        <f>IFERROR(HYPERLINK(VLOOKUP(A299,ÜRÜNLER!A:C,3,FALSE),VLOOKUP(A299,ÜRÜNLER!A:B,2,FALSE)),"")</f>
        <v/>
      </c>
      <c r="C299" s="8"/>
      <c r="D299" s="8"/>
      <c r="E299" s="9"/>
      <c r="F299" s="9"/>
      <c r="G299" s="10"/>
      <c r="H299" s="10"/>
      <c r="I299" s="11"/>
      <c r="J299" s="11"/>
      <c r="K299" s="10"/>
      <c r="L299" s="11"/>
      <c r="M299" s="170"/>
      <c r="N299" s="124">
        <f>SUM(N216:N298)</f>
        <v>763</v>
      </c>
      <c r="O299" s="125">
        <f>SUM(O216:O298)</f>
        <v>294</v>
      </c>
      <c r="P299" s="9"/>
      <c r="Q299" s="72"/>
      <c r="R299" s="19"/>
      <c r="S299" s="12"/>
      <c r="T299" s="12"/>
      <c r="U299" s="12"/>
      <c r="V299" s="13"/>
      <c r="W299" s="175"/>
      <c r="X299" s="17"/>
      <c r="Y299" s="10"/>
    </row>
    <row r="300" spans="1:25">
      <c r="A300" s="94" t="s">
        <v>1492</v>
      </c>
      <c r="B300" s="50" t="str">
        <f>IFERROR(HYPERLINK(VLOOKUP(A300,ÜRÜNLER!A:C,3,FALSE),VLOOKUP(A300,ÜRÜNLER!A:B,2,FALSE)),"")</f>
        <v>iQ300 Gazlı Ocak, 67cm, Sert Cam, Beyaz</v>
      </c>
      <c r="C300" s="8">
        <v>2</v>
      </c>
      <c r="D300" s="8"/>
      <c r="E300" s="9"/>
      <c r="F300" s="9"/>
      <c r="G300" s="10"/>
      <c r="H300" s="10"/>
      <c r="I300" s="11"/>
      <c r="J300" s="11"/>
      <c r="K300" s="10"/>
      <c r="L300" s="11"/>
      <c r="M300" s="170"/>
      <c r="N300" s="124">
        <f t="shared" ref="N300:N363" si="11">L300+M300+K300+J300+I300+H300+G300+F300+E300+D300+C300</f>
        <v>2</v>
      </c>
      <c r="O300" s="125"/>
      <c r="P300" s="9"/>
      <c r="Q300" s="51">
        <v>14241.943235037676</v>
      </c>
      <c r="R300" s="19">
        <v>13694.176187536226</v>
      </c>
      <c r="S300" s="12">
        <v>14241.943235037676</v>
      </c>
      <c r="T300" s="12">
        <v>14789.710282539125</v>
      </c>
      <c r="U300" s="12">
        <v>14995.122925352167</v>
      </c>
      <c r="V300" s="13"/>
      <c r="W300" s="175"/>
      <c r="X300" s="17"/>
      <c r="Y300" s="10"/>
    </row>
    <row r="301" spans="1:25">
      <c r="A301" s="147" t="s">
        <v>283</v>
      </c>
      <c r="B301" s="50" t="str">
        <f>IFERROR(HYPERLINK(VLOOKUP(A301,ÜRÜNLER!A:C,3,FALSE),VLOOKUP(A301,ÜRÜNLER!A:B,2,FALSE)),"")</f>
        <v>iQ100 Set Üstü Gazlı Ocak, 60cm, Beyaz</v>
      </c>
      <c r="C301" s="8"/>
      <c r="D301" s="8"/>
      <c r="E301" s="9"/>
      <c r="F301" s="9"/>
      <c r="G301" s="10"/>
      <c r="H301" s="10"/>
      <c r="I301" s="11"/>
      <c r="J301" s="11"/>
      <c r="K301" s="10">
        <v>1</v>
      </c>
      <c r="L301" s="11"/>
      <c r="M301" s="170"/>
      <c r="N301" s="124">
        <f t="shared" si="11"/>
        <v>1</v>
      </c>
      <c r="O301" s="125"/>
      <c r="P301" s="109"/>
      <c r="Q301" s="72" t="s">
        <v>1561</v>
      </c>
      <c r="R301" s="19">
        <v>9000</v>
      </c>
      <c r="S301" s="12">
        <v>9360</v>
      </c>
      <c r="T301" s="12">
        <v>9720</v>
      </c>
      <c r="U301" s="12">
        <v>9855</v>
      </c>
      <c r="V301" s="13"/>
      <c r="W301" s="175"/>
      <c r="X301" s="29">
        <v>500</v>
      </c>
      <c r="Y301" s="10"/>
    </row>
    <row r="302" spans="1:25">
      <c r="A302" s="147" t="s">
        <v>284</v>
      </c>
      <c r="B302" s="50" t="str">
        <f>IFERROR(HYPERLINK(VLOOKUP(A302,ÜRÜNLER!A:C,3,FALSE),VLOOKUP(A302,ÜRÜNLER!A:B,2,FALSE)),"")</f>
        <v>iQ100 Set Üstü Gazlı Ocak, 60cm, Inox</v>
      </c>
      <c r="C302" s="8"/>
      <c r="D302" s="8"/>
      <c r="E302" s="9"/>
      <c r="F302" s="9"/>
      <c r="G302" s="10"/>
      <c r="H302" s="10"/>
      <c r="I302" s="11">
        <v>2</v>
      </c>
      <c r="J302" s="11"/>
      <c r="K302" s="10">
        <v>1</v>
      </c>
      <c r="L302" s="11"/>
      <c r="M302" s="170"/>
      <c r="N302" s="124">
        <f t="shared" si="11"/>
        <v>3</v>
      </c>
      <c r="O302" s="125"/>
      <c r="P302" s="109"/>
      <c r="Q302" s="72" t="s">
        <v>1561</v>
      </c>
      <c r="R302" s="19">
        <v>9000</v>
      </c>
      <c r="S302" s="12">
        <v>9360</v>
      </c>
      <c r="T302" s="12">
        <v>9720</v>
      </c>
      <c r="U302" s="12">
        <v>9855</v>
      </c>
      <c r="V302" s="13"/>
      <c r="W302" s="175"/>
      <c r="X302" s="29">
        <v>500</v>
      </c>
      <c r="Y302" s="10"/>
    </row>
    <row r="303" spans="1:25">
      <c r="A303" s="178" t="s">
        <v>1665</v>
      </c>
      <c r="B303" s="50" t="str">
        <f>IFERROR(HYPERLINK(VLOOKUP(A303,ÜRÜNLER!A:C,3,FALSE),VLOOKUP(A303,ÜRÜNLER!A:B,2,FALSE)),"")</f>
        <v>iQ100 Ankastre Gazlı Ocak, 60cm, Emaye, Beyaz</v>
      </c>
      <c r="C303" s="8"/>
      <c r="D303" s="8"/>
      <c r="E303" s="9"/>
      <c r="F303" s="9"/>
      <c r="G303" s="10"/>
      <c r="H303" s="10"/>
      <c r="I303" s="11"/>
      <c r="J303" s="11"/>
      <c r="K303" s="10"/>
      <c r="L303" s="11"/>
      <c r="M303" s="170">
        <v>1</v>
      </c>
      <c r="N303" s="124">
        <f t="shared" si="11"/>
        <v>1</v>
      </c>
      <c r="O303" s="125"/>
      <c r="P303" s="109"/>
      <c r="Q303" s="72"/>
      <c r="R303" s="19">
        <v>6000</v>
      </c>
      <c r="S303" s="12">
        <v>6240</v>
      </c>
      <c r="T303" s="12">
        <v>6480</v>
      </c>
      <c r="U303" s="12">
        <v>6570</v>
      </c>
      <c r="V303" s="13"/>
      <c r="W303" s="175"/>
      <c r="X303" s="29"/>
      <c r="Y303" s="10">
        <v>0</v>
      </c>
    </row>
    <row r="304" spans="1:25">
      <c r="A304" s="178" t="s">
        <v>1509</v>
      </c>
      <c r="B304" s="50" t="str">
        <f>IFERROR(HYPERLINK(VLOOKUP(A304,ÜRÜNLER!A:C,3,FALSE),VLOOKUP(A304,ÜRÜNLER!A:B,2,FALSE)),"")</f>
        <v>iQ300 Gazlı Ocak, 60cm, Sert Cam, Siyah</v>
      </c>
      <c r="C304" s="8"/>
      <c r="D304" s="8"/>
      <c r="E304" s="9"/>
      <c r="F304" s="9"/>
      <c r="G304" s="10"/>
      <c r="H304" s="10"/>
      <c r="I304" s="11"/>
      <c r="J304" s="11"/>
      <c r="K304" s="10"/>
      <c r="L304" s="11"/>
      <c r="M304" s="170">
        <v>1</v>
      </c>
      <c r="N304" s="124">
        <f t="shared" si="11"/>
        <v>1</v>
      </c>
      <c r="O304" s="125"/>
      <c r="P304" s="109"/>
      <c r="Q304" s="72"/>
      <c r="R304" s="19">
        <v>15000</v>
      </c>
      <c r="S304" s="12">
        <v>15600</v>
      </c>
      <c r="T304" s="12">
        <v>16200</v>
      </c>
      <c r="U304" s="12">
        <v>16425</v>
      </c>
      <c r="V304" s="13"/>
      <c r="W304" s="175"/>
      <c r="X304" s="29"/>
      <c r="Y304" s="10">
        <v>0</v>
      </c>
    </row>
    <row r="305" spans="1:25">
      <c r="A305" s="178" t="s">
        <v>292</v>
      </c>
      <c r="B305" s="50" t="str">
        <f>IFERROR(HYPERLINK(VLOOKUP(A305,ÜRÜNLER!A:C,3,FALSE),VLOOKUP(A305,ÜRÜNLER!A:B,2,FALSE)),"")</f>
        <v>iQ300 Gazlı Ocak, 60cm, Sert Cam, Antrasit Gri, Döküm</v>
      </c>
      <c r="C305" s="8"/>
      <c r="D305" s="8"/>
      <c r="E305" s="9"/>
      <c r="F305" s="9"/>
      <c r="G305" s="10"/>
      <c r="H305" s="10"/>
      <c r="I305" s="11"/>
      <c r="J305" s="11"/>
      <c r="K305" s="10"/>
      <c r="L305" s="11"/>
      <c r="M305" s="170"/>
      <c r="N305" s="124">
        <f t="shared" si="11"/>
        <v>0</v>
      </c>
      <c r="O305" s="125"/>
      <c r="P305" s="109"/>
      <c r="Q305" s="51">
        <v>20185</v>
      </c>
      <c r="R305" s="19">
        <v>20185</v>
      </c>
      <c r="S305" s="12">
        <v>20992.400000000001</v>
      </c>
      <c r="T305" s="12">
        <v>21799.8</v>
      </c>
      <c r="U305" s="12">
        <v>22102.575000000001</v>
      </c>
      <c r="V305" s="13"/>
      <c r="W305" s="175"/>
      <c r="X305" s="29"/>
      <c r="Y305" s="182">
        <v>2</v>
      </c>
    </row>
    <row r="306" spans="1:25">
      <c r="A306" s="178" t="s">
        <v>1666</v>
      </c>
      <c r="B306" s="50" t="str">
        <f>IFERROR(HYPERLINK(VLOOKUP(A306,ÜRÜNLER!A:C,3,FALSE),VLOOKUP(A306,ÜRÜNLER!A:B,2,FALSE)),"")</f>
        <v>iQ100 Ankastre Gazlı Ocak, 60cm, Sert Cam, Beyaz</v>
      </c>
      <c r="C306" s="8"/>
      <c r="D306" s="8"/>
      <c r="E306" s="9"/>
      <c r="F306" s="9"/>
      <c r="G306" s="10"/>
      <c r="H306" s="10"/>
      <c r="I306" s="11"/>
      <c r="J306" s="11"/>
      <c r="K306" s="10"/>
      <c r="L306" s="11"/>
      <c r="M306" s="170"/>
      <c r="N306" s="124">
        <f t="shared" si="11"/>
        <v>0</v>
      </c>
      <c r="O306" s="125"/>
      <c r="P306" s="109"/>
      <c r="Q306" s="72"/>
      <c r="R306" s="19">
        <v>12500</v>
      </c>
      <c r="S306" s="12">
        <v>13000</v>
      </c>
      <c r="T306" s="12">
        <v>13500</v>
      </c>
      <c r="U306" s="12">
        <v>13687.5</v>
      </c>
      <c r="V306" s="13"/>
      <c r="W306" s="175"/>
      <c r="X306" s="29"/>
      <c r="Y306" s="182">
        <v>4</v>
      </c>
    </row>
    <row r="307" spans="1:25">
      <c r="A307" s="178" t="s">
        <v>1368</v>
      </c>
      <c r="B307" s="50" t="str">
        <f>IFERROR(HYPERLINK(VLOOKUP(A307,ÜRÜNLER!A:C,3,FALSE),VLOOKUP(A307,ÜRÜNLER!A:B,2,FALSE)),"")</f>
        <v>iQ100 Gazlı Ocak, 60cm, Sert Cam, Beyaz, Döküm</v>
      </c>
      <c r="C307" s="8"/>
      <c r="D307" s="8"/>
      <c r="E307" s="9"/>
      <c r="F307" s="9"/>
      <c r="G307" s="10"/>
      <c r="H307" s="10"/>
      <c r="I307" s="11">
        <v>1</v>
      </c>
      <c r="J307" s="11"/>
      <c r="K307" s="10"/>
      <c r="L307" s="11"/>
      <c r="M307" s="170"/>
      <c r="N307" s="124">
        <f t="shared" si="11"/>
        <v>1</v>
      </c>
      <c r="O307" s="125"/>
      <c r="P307" s="109"/>
      <c r="Q307" s="72"/>
      <c r="R307" s="19">
        <v>13000</v>
      </c>
      <c r="S307" s="12">
        <v>13520</v>
      </c>
      <c r="T307" s="12">
        <v>14040</v>
      </c>
      <c r="U307" s="12">
        <v>14235</v>
      </c>
      <c r="V307" s="13"/>
      <c r="W307" s="175"/>
      <c r="X307" s="29"/>
      <c r="Y307" s="182">
        <v>5</v>
      </c>
    </row>
    <row r="308" spans="1:25">
      <c r="A308" s="178" t="s">
        <v>1667</v>
      </c>
      <c r="B308" s="50" t="str">
        <f>IFERROR(HYPERLINK(VLOOKUP(A308,ÜRÜNLER!A:C,3,FALSE),VLOOKUP(A308,ÜRÜNLER!A:B,2,FALSE)),"")</f>
        <v>iQ100 Gazlı Ocak, 60cm, Sert Cam, Siyah, Wok</v>
      </c>
      <c r="C308" s="8"/>
      <c r="D308" s="8"/>
      <c r="E308" s="9"/>
      <c r="F308" s="9"/>
      <c r="G308" s="10"/>
      <c r="H308" s="10"/>
      <c r="I308" s="11"/>
      <c r="J308" s="11"/>
      <c r="K308" s="10"/>
      <c r="L308" s="11"/>
      <c r="M308" s="170"/>
      <c r="N308" s="124">
        <f t="shared" si="11"/>
        <v>0</v>
      </c>
      <c r="O308" s="125"/>
      <c r="P308" s="109"/>
      <c r="Q308" s="72"/>
      <c r="R308" s="19">
        <v>12500</v>
      </c>
      <c r="S308" s="12">
        <v>13000</v>
      </c>
      <c r="T308" s="12">
        <v>13500</v>
      </c>
      <c r="U308" s="12">
        <v>13687.5</v>
      </c>
      <c r="V308" s="13"/>
      <c r="W308" s="175"/>
      <c r="X308" s="29"/>
      <c r="Y308" s="182">
        <v>4</v>
      </c>
    </row>
    <row r="309" spans="1:25">
      <c r="A309" s="131" t="s">
        <v>285</v>
      </c>
      <c r="B309" s="50" t="str">
        <f>IFERROR(HYPERLINK(VLOOKUP(A309,ÜRÜNLER!A:C,3,FALSE),VLOOKUP(A309,ÜRÜNLER!A:B,2,FALSE)),"")</f>
        <v>iQ100 Gazlı Ocak, 60cm, Emaye, Beyaz</v>
      </c>
      <c r="C309" s="8"/>
      <c r="D309" s="8"/>
      <c r="E309" s="9"/>
      <c r="F309" s="9">
        <v>1</v>
      </c>
      <c r="G309" s="10"/>
      <c r="H309" s="10"/>
      <c r="I309" s="11">
        <v>1</v>
      </c>
      <c r="J309" s="11"/>
      <c r="K309" s="10">
        <v>1</v>
      </c>
      <c r="L309" s="11"/>
      <c r="M309" s="170"/>
      <c r="N309" s="124">
        <f t="shared" si="11"/>
        <v>3</v>
      </c>
      <c r="O309" s="125"/>
      <c r="P309" s="109"/>
      <c r="Q309" s="72" t="s">
        <v>1561</v>
      </c>
      <c r="R309" s="19">
        <v>7500</v>
      </c>
      <c r="S309" s="12">
        <v>7800</v>
      </c>
      <c r="T309" s="12">
        <v>8100</v>
      </c>
      <c r="U309" s="12">
        <v>8212.5</v>
      </c>
      <c r="V309" s="13"/>
      <c r="W309" s="175"/>
      <c r="X309" s="190">
        <v>500</v>
      </c>
      <c r="Y309" s="182">
        <v>3</v>
      </c>
    </row>
    <row r="310" spans="1:25">
      <c r="A310" s="131" t="s">
        <v>286</v>
      </c>
      <c r="B310" s="50" t="str">
        <f>IFERROR(HYPERLINK(VLOOKUP(A310,ÜRÜNLER!A:C,3,FALSE),VLOOKUP(A310,ÜRÜNLER!A:B,2,FALSE)),"")</f>
        <v>iQ100 Gazlı/Elektrikli Ocak, 60cm, Inox</v>
      </c>
      <c r="C310" s="8">
        <v>3</v>
      </c>
      <c r="D310" s="8"/>
      <c r="E310" s="9"/>
      <c r="F310" s="9"/>
      <c r="G310" s="10"/>
      <c r="H310" s="10"/>
      <c r="I310" s="11"/>
      <c r="J310" s="11"/>
      <c r="K310" s="10"/>
      <c r="L310" s="11"/>
      <c r="M310" s="170"/>
      <c r="N310" s="124">
        <f t="shared" si="11"/>
        <v>3</v>
      </c>
      <c r="O310" s="125"/>
      <c r="P310" s="109"/>
      <c r="Q310" s="72" t="s">
        <v>1561</v>
      </c>
      <c r="R310" s="19">
        <v>9000</v>
      </c>
      <c r="S310" s="12">
        <v>9360</v>
      </c>
      <c r="T310" s="12">
        <v>9720</v>
      </c>
      <c r="U310" s="12">
        <v>9855</v>
      </c>
      <c r="V310" s="13"/>
      <c r="W310" s="175"/>
      <c r="X310" s="29">
        <v>500</v>
      </c>
      <c r="Y310" s="10"/>
    </row>
    <row r="311" spans="1:25">
      <c r="A311" s="131" t="s">
        <v>287</v>
      </c>
      <c r="B311" s="50" t="str">
        <f>IFERROR(HYPERLINK(VLOOKUP(A311,ÜRÜNLER!A:C,3,FALSE),VLOOKUP(A311,ÜRÜNLER!A:B,2,FALSE)),"")</f>
        <v>iQ100 Gazlı Ocak, 60cm, Emaye, Siyah</v>
      </c>
      <c r="C311" s="8"/>
      <c r="D311" s="8"/>
      <c r="E311" s="9"/>
      <c r="F311" s="9"/>
      <c r="G311" s="10"/>
      <c r="H311" s="10"/>
      <c r="I311" s="11"/>
      <c r="J311" s="11"/>
      <c r="K311" s="10">
        <v>1</v>
      </c>
      <c r="L311" s="11"/>
      <c r="M311" s="170"/>
      <c r="N311" s="124">
        <f t="shared" si="11"/>
        <v>1</v>
      </c>
      <c r="O311" s="125"/>
      <c r="P311" s="109"/>
      <c r="Q311" s="72" t="s">
        <v>1561</v>
      </c>
      <c r="R311" s="19">
        <v>7500</v>
      </c>
      <c r="S311" s="12">
        <v>7800</v>
      </c>
      <c r="T311" s="12">
        <v>8100</v>
      </c>
      <c r="U311" s="12">
        <v>8212.5</v>
      </c>
      <c r="V311" s="13"/>
      <c r="W311" s="175"/>
      <c r="X311" s="190">
        <v>500</v>
      </c>
      <c r="Y311" s="182">
        <v>6</v>
      </c>
    </row>
    <row r="312" spans="1:25">
      <c r="A312" s="147" t="s">
        <v>288</v>
      </c>
      <c r="B312" s="50" t="str">
        <f>IFERROR(HYPERLINK(VLOOKUP(A312,ÜRÜNLER!A:C,3,FALSE),VLOOKUP(A312,ÜRÜNLER!A:B,2,FALSE)),"")</f>
        <v>iQ500 Gazlı Ocak, 60cm, Inox, Döküm</v>
      </c>
      <c r="C312" s="8"/>
      <c r="D312" s="8"/>
      <c r="E312" s="9"/>
      <c r="F312" s="9"/>
      <c r="G312" s="10"/>
      <c r="H312" s="10"/>
      <c r="I312" s="11"/>
      <c r="J312" s="11"/>
      <c r="K312" s="10">
        <v>1</v>
      </c>
      <c r="L312" s="11"/>
      <c r="M312" s="170"/>
      <c r="N312" s="124">
        <f t="shared" si="11"/>
        <v>1</v>
      </c>
      <c r="O312" s="125"/>
      <c r="P312" s="109"/>
      <c r="Q312" s="72" t="s">
        <v>1561</v>
      </c>
      <c r="R312" s="19">
        <v>32000</v>
      </c>
      <c r="S312" s="12">
        <v>33280</v>
      </c>
      <c r="T312" s="12">
        <v>34560</v>
      </c>
      <c r="U312" s="12">
        <v>35040</v>
      </c>
      <c r="V312" s="13"/>
      <c r="W312" s="175"/>
      <c r="X312" s="29">
        <v>500</v>
      </c>
      <c r="Y312" s="10"/>
    </row>
    <row r="313" spans="1:25">
      <c r="A313" s="132" t="s">
        <v>290</v>
      </c>
      <c r="B313" s="50" t="str">
        <f>IFERROR(HYPERLINK(VLOOKUP(A313,ÜRÜNLER!A:C,3,FALSE),VLOOKUP(A313,ÜRÜNLER!A:B,2,FALSE)),"")</f>
        <v>iQ300 Gazlı Ocak, 60cm, Inox, Döküm</v>
      </c>
      <c r="C313" s="8"/>
      <c r="D313" s="8"/>
      <c r="E313" s="9"/>
      <c r="F313" s="9"/>
      <c r="G313" s="10"/>
      <c r="H313" s="10"/>
      <c r="I313" s="11">
        <v>1</v>
      </c>
      <c r="J313" s="11"/>
      <c r="K313" s="10"/>
      <c r="L313" s="11"/>
      <c r="M313" s="170"/>
      <c r="N313" s="124">
        <f t="shared" si="11"/>
        <v>1</v>
      </c>
      <c r="O313" s="125"/>
      <c r="P313" s="109"/>
      <c r="Q313" s="72" t="s">
        <v>1561</v>
      </c>
      <c r="R313" s="19">
        <v>20000</v>
      </c>
      <c r="S313" s="12">
        <v>20800</v>
      </c>
      <c r="T313" s="12">
        <v>21600</v>
      </c>
      <c r="U313" s="12">
        <v>21900</v>
      </c>
      <c r="V313" s="13"/>
      <c r="W313" s="175"/>
      <c r="X313" s="29">
        <v>500</v>
      </c>
      <c r="Y313" s="10"/>
    </row>
    <row r="314" spans="1:25">
      <c r="A314" s="132" t="s">
        <v>291</v>
      </c>
      <c r="B314" s="50" t="str">
        <f>IFERROR(HYPERLINK(VLOOKUP(A314,ÜRÜNLER!A:C,3,FALSE),VLOOKUP(A314,ÜRÜNLER!A:B,2,FALSE)),"")</f>
        <v>iQ300 Gazlı Ocak, 60cm, Sert Cam, Beyaz, Döküm</v>
      </c>
      <c r="C314" s="8">
        <v>4</v>
      </c>
      <c r="D314" s="8"/>
      <c r="E314" s="9"/>
      <c r="F314" s="9"/>
      <c r="G314" s="10"/>
      <c r="H314" s="10"/>
      <c r="I314" s="11"/>
      <c r="J314" s="11"/>
      <c r="K314" s="10"/>
      <c r="L314" s="11"/>
      <c r="M314" s="170"/>
      <c r="N314" s="124">
        <f t="shared" si="11"/>
        <v>4</v>
      </c>
      <c r="O314" s="125"/>
      <c r="P314" s="109"/>
      <c r="Q314" s="51">
        <v>20185.337301466021</v>
      </c>
      <c r="R314" s="46">
        <v>19176.070436392722</v>
      </c>
      <c r="S314" s="12">
        <v>19943.113253848431</v>
      </c>
      <c r="T314" s="12">
        <v>20710.15607130414</v>
      </c>
      <c r="U314" s="12">
        <v>20997.79712785003</v>
      </c>
      <c r="V314" s="13"/>
      <c r="W314" s="175"/>
      <c r="X314" s="17"/>
      <c r="Y314" s="182">
        <v>2</v>
      </c>
    </row>
    <row r="315" spans="1:25">
      <c r="A315" s="138" t="s">
        <v>293</v>
      </c>
      <c r="B315" s="50" t="str">
        <f>IFERROR(HYPERLINK(VLOOKUP(A315,ÜRÜNLER!A:C,3,FALSE),VLOOKUP(A315,ÜRÜNLER!A:B,2,FALSE)),"")</f>
        <v>iQ100 Gazlı Ocak, 60cm, Sert Cam, Siyah, Wok</v>
      </c>
      <c r="C315" s="8"/>
      <c r="D315" s="8"/>
      <c r="E315" s="9"/>
      <c r="F315" s="9"/>
      <c r="G315" s="10"/>
      <c r="H315" s="10"/>
      <c r="I315" s="11"/>
      <c r="J315" s="11">
        <v>1</v>
      </c>
      <c r="K315" s="10"/>
      <c r="L315" s="11"/>
      <c r="M315" s="170"/>
      <c r="N315" s="124">
        <f t="shared" si="11"/>
        <v>1</v>
      </c>
      <c r="O315" s="125"/>
      <c r="P315" s="109"/>
      <c r="Q315" s="72" t="s">
        <v>1561</v>
      </c>
      <c r="R315" s="19">
        <v>20000</v>
      </c>
      <c r="S315" s="12">
        <v>20800</v>
      </c>
      <c r="T315" s="12">
        <v>21600</v>
      </c>
      <c r="U315" s="12">
        <v>21900</v>
      </c>
      <c r="V315" s="13"/>
      <c r="W315" s="175"/>
      <c r="X315" s="29">
        <v>500</v>
      </c>
      <c r="Y315" s="10"/>
    </row>
    <row r="316" spans="1:25">
      <c r="A316" s="141" t="s">
        <v>294</v>
      </c>
      <c r="B316" s="50" t="str">
        <f>IFERROR(HYPERLINK(VLOOKUP(A316,ÜRÜNLER!A:C,3,FALSE),VLOOKUP(A316,ÜRÜNLER!A:B,2,FALSE)),"")</f>
        <v>iQ100 Gazlı Ocak, 60cm, Sert Cam, Titanyum Gri</v>
      </c>
      <c r="C316" s="8"/>
      <c r="D316" s="8"/>
      <c r="E316" s="9"/>
      <c r="F316" s="9"/>
      <c r="G316" s="10"/>
      <c r="H316" s="10"/>
      <c r="I316" s="11"/>
      <c r="J316" s="11">
        <v>1</v>
      </c>
      <c r="K316" s="10"/>
      <c r="L316" s="11"/>
      <c r="M316" s="170"/>
      <c r="N316" s="124">
        <f t="shared" si="11"/>
        <v>1</v>
      </c>
      <c r="O316" s="125"/>
      <c r="P316" s="109"/>
      <c r="Q316" s="72" t="s">
        <v>1561</v>
      </c>
      <c r="R316" s="191">
        <v>17000</v>
      </c>
      <c r="S316" s="12">
        <v>17680</v>
      </c>
      <c r="T316" s="12">
        <v>18360</v>
      </c>
      <c r="U316" s="12">
        <v>18615</v>
      </c>
      <c r="V316" s="13"/>
      <c r="W316" s="175"/>
      <c r="X316" s="190">
        <v>500</v>
      </c>
      <c r="Y316" s="182">
        <v>2</v>
      </c>
    </row>
    <row r="317" spans="1:25">
      <c r="A317" s="141" t="s">
        <v>295</v>
      </c>
      <c r="B317" s="50" t="str">
        <f>IFERROR(HYPERLINK(VLOOKUP(A317,ÜRÜNLER!A:C,3,FALSE),VLOOKUP(A317,ÜRÜNLER!A:B,2,FALSE)),"")</f>
        <v>iQ100 Gazlı Ocak, 60cm, Sert Cam, Antrasit Gri</v>
      </c>
      <c r="C317" s="8">
        <v>18</v>
      </c>
      <c r="D317" s="8"/>
      <c r="E317" s="9"/>
      <c r="F317" s="9"/>
      <c r="G317" s="10"/>
      <c r="H317" s="10"/>
      <c r="I317" s="11">
        <v>1</v>
      </c>
      <c r="J317" s="11">
        <v>1</v>
      </c>
      <c r="K317" s="10">
        <v>2</v>
      </c>
      <c r="L317" s="11"/>
      <c r="M317" s="170"/>
      <c r="N317" s="124">
        <f t="shared" si="11"/>
        <v>22</v>
      </c>
      <c r="O317" s="125"/>
      <c r="P317" s="109"/>
      <c r="Q317" s="166" t="s">
        <v>1561</v>
      </c>
      <c r="R317" s="18">
        <v>16500</v>
      </c>
      <c r="S317" s="12">
        <v>17160</v>
      </c>
      <c r="T317" s="12">
        <v>17820</v>
      </c>
      <c r="U317" s="12">
        <v>18067.5</v>
      </c>
      <c r="V317" s="13"/>
      <c r="W317" s="175"/>
      <c r="X317" s="79">
        <v>500</v>
      </c>
      <c r="Y317" s="182">
        <v>4</v>
      </c>
    </row>
    <row r="318" spans="1:25">
      <c r="A318" s="148" t="s">
        <v>296</v>
      </c>
      <c r="B318" s="50" t="str">
        <f>IFERROR(HYPERLINK(VLOOKUP(A318,ÜRÜNLER!A:C,3,FALSE),VLOOKUP(A318,ÜRÜNLER!A:B,2,FALSE)),"")</f>
        <v>iQ300 Gazlı Ocak, 60cm, Sert Cam, Beyaz</v>
      </c>
      <c r="C318" s="8">
        <v>8</v>
      </c>
      <c r="D318" s="8"/>
      <c r="E318" s="9"/>
      <c r="F318" s="9"/>
      <c r="G318" s="10"/>
      <c r="H318" s="10"/>
      <c r="I318" s="11"/>
      <c r="J318" s="11"/>
      <c r="K318" s="10"/>
      <c r="L318" s="11">
        <v>1</v>
      </c>
      <c r="M318" s="170"/>
      <c r="N318" s="124">
        <f t="shared" si="11"/>
        <v>9</v>
      </c>
      <c r="O318" s="125"/>
      <c r="P318" s="109"/>
      <c r="Q318" s="72" t="s">
        <v>1561</v>
      </c>
      <c r="R318" s="19">
        <v>12000</v>
      </c>
      <c r="S318" s="12">
        <v>12480</v>
      </c>
      <c r="T318" s="12">
        <v>12960</v>
      </c>
      <c r="U318" s="12">
        <v>13140</v>
      </c>
      <c r="V318" s="13"/>
      <c r="W318" s="175"/>
      <c r="X318" s="17"/>
      <c r="Y318" s="10"/>
    </row>
    <row r="319" spans="1:25">
      <c r="A319" s="132" t="s">
        <v>297</v>
      </c>
      <c r="B319" s="50" t="str">
        <f>IFERROR(HYPERLINK(VLOOKUP(A319,ÜRÜNLER!A:C,3,FALSE),VLOOKUP(A319,ÜRÜNLER!A:B,2,FALSE)),"")</f>
        <v>iQ300 Gazlı Ocak, 60cm, Sert Cam, Beyaz</v>
      </c>
      <c r="C319" s="8"/>
      <c r="D319" s="8"/>
      <c r="E319" s="9"/>
      <c r="F319" s="9"/>
      <c r="G319" s="10"/>
      <c r="H319" s="10"/>
      <c r="I319" s="11"/>
      <c r="J319" s="11"/>
      <c r="K319" s="10"/>
      <c r="L319" s="11"/>
      <c r="M319" s="170"/>
      <c r="N319" s="124">
        <f t="shared" si="11"/>
        <v>0</v>
      </c>
      <c r="O319" s="125">
        <v>15</v>
      </c>
      <c r="P319" s="109"/>
      <c r="Q319" s="51">
        <v>12738.716620309586</v>
      </c>
      <c r="R319" s="25">
        <v>12248.765981066908</v>
      </c>
      <c r="S319" s="12">
        <v>12738.716620309584</v>
      </c>
      <c r="T319" s="12">
        <v>13228.667259552261</v>
      </c>
      <c r="U319" s="12">
        <v>13412.398749268265</v>
      </c>
      <c r="V319" s="13"/>
      <c r="W319" s="175"/>
      <c r="X319" s="17"/>
      <c r="Y319" s="10"/>
    </row>
    <row r="320" spans="1:25">
      <c r="A320" s="149" t="s">
        <v>298</v>
      </c>
      <c r="B320" s="50" t="str">
        <f>IFERROR(HYPERLINK(VLOOKUP(A320,ÜRÜNLER!A:C,3,FALSE),VLOOKUP(A320,ÜRÜNLER!A:B,2,FALSE)),"")</f>
        <v>iQ300 Gazlı Ocak, 60cm, Sert Cam, Siyah</v>
      </c>
      <c r="C320" s="8"/>
      <c r="D320" s="8"/>
      <c r="E320" s="9"/>
      <c r="F320" s="9"/>
      <c r="G320" s="10"/>
      <c r="H320" s="10"/>
      <c r="I320" s="11"/>
      <c r="J320" s="11"/>
      <c r="K320" s="10"/>
      <c r="L320" s="11"/>
      <c r="M320" s="170">
        <v>1</v>
      </c>
      <c r="N320" s="124">
        <f t="shared" si="11"/>
        <v>1</v>
      </c>
      <c r="O320" s="125"/>
      <c r="P320" s="109"/>
      <c r="Q320" s="72" t="s">
        <v>1561</v>
      </c>
      <c r="R320" s="19">
        <v>10000</v>
      </c>
      <c r="S320" s="12">
        <v>10400</v>
      </c>
      <c r="T320" s="12">
        <v>10800</v>
      </c>
      <c r="U320" s="12">
        <v>10950</v>
      </c>
      <c r="V320" s="13"/>
      <c r="W320" s="175"/>
      <c r="X320" s="17">
        <v>250</v>
      </c>
      <c r="Y320" s="10">
        <v>0</v>
      </c>
    </row>
    <row r="321" spans="1:25">
      <c r="A321" s="132" t="s">
        <v>299</v>
      </c>
      <c r="B321" s="50" t="str">
        <f>IFERROR(HYPERLINK(VLOOKUP(A321,ÜRÜNLER!A:C,3,FALSE),VLOOKUP(A321,ÜRÜNLER!A:B,2,FALSE)),"")</f>
        <v>iQ100 Gazlı Ocak, 60cm, Sert Cam, Siyah, Döküm</v>
      </c>
      <c r="C321" s="8"/>
      <c r="D321" s="8"/>
      <c r="E321" s="9"/>
      <c r="F321" s="9"/>
      <c r="G321" s="10"/>
      <c r="H321" s="10"/>
      <c r="I321" s="11"/>
      <c r="J321" s="11"/>
      <c r="K321" s="10"/>
      <c r="L321" s="11"/>
      <c r="M321" s="170"/>
      <c r="N321" s="124">
        <f t="shared" si="11"/>
        <v>0</v>
      </c>
      <c r="O321" s="125"/>
      <c r="P321" s="109"/>
      <c r="Q321" s="72" t="s">
        <v>1561</v>
      </c>
      <c r="R321" s="19">
        <v>10000</v>
      </c>
      <c r="S321" s="12">
        <v>10400</v>
      </c>
      <c r="T321" s="12">
        <v>10800</v>
      </c>
      <c r="U321" s="12">
        <v>10950</v>
      </c>
      <c r="V321" s="13"/>
      <c r="W321" s="175"/>
      <c r="X321" s="79">
        <v>250</v>
      </c>
      <c r="Y321" s="182">
        <v>2</v>
      </c>
    </row>
    <row r="322" spans="1:25">
      <c r="A322" s="132" t="s">
        <v>300</v>
      </c>
      <c r="B322" s="50" t="str">
        <f>IFERROR(HYPERLINK(VLOOKUP(A322,ÜRÜNLER!A:C,3,FALSE),VLOOKUP(A322,ÜRÜNLER!A:B,2,FALSE)),"")</f>
        <v>iQ100 Gazlı Ocak, 60cm, Sert Cam, Siyah, Döküm</v>
      </c>
      <c r="C322" s="8"/>
      <c r="D322" s="8"/>
      <c r="E322" s="9"/>
      <c r="F322" s="9"/>
      <c r="G322" s="10"/>
      <c r="H322" s="10"/>
      <c r="I322" s="11"/>
      <c r="J322" s="11"/>
      <c r="K322" s="10">
        <v>1</v>
      </c>
      <c r="L322" s="11"/>
      <c r="M322" s="170"/>
      <c r="N322" s="124">
        <f t="shared" si="11"/>
        <v>1</v>
      </c>
      <c r="O322" s="125"/>
      <c r="P322" s="109"/>
      <c r="Q322" s="72" t="s">
        <v>1561</v>
      </c>
      <c r="R322" s="19">
        <v>10000</v>
      </c>
      <c r="S322" s="12">
        <v>10400</v>
      </c>
      <c r="T322" s="12">
        <v>10800</v>
      </c>
      <c r="U322" s="12">
        <v>10950</v>
      </c>
      <c r="V322" s="13"/>
      <c r="W322" s="175"/>
      <c r="X322" s="17">
        <v>250</v>
      </c>
      <c r="Y322" s="10"/>
    </row>
    <row r="323" spans="1:25">
      <c r="A323" s="138" t="s">
        <v>301</v>
      </c>
      <c r="B323" s="50" t="str">
        <f>IFERROR(HYPERLINK(VLOOKUP(A323,ÜRÜNLER!A:C,3,FALSE),VLOOKUP(A323,ÜRÜNLER!A:B,2,FALSE)),"")</f>
        <v>iQ300 Gazlı Ocak, 60cm, Sert Cam, Siyah</v>
      </c>
      <c r="C323" s="8">
        <v>24</v>
      </c>
      <c r="D323" s="8"/>
      <c r="E323" s="9"/>
      <c r="F323" s="9"/>
      <c r="G323" s="10"/>
      <c r="H323" s="10"/>
      <c r="I323" s="11">
        <v>1</v>
      </c>
      <c r="J323" s="11"/>
      <c r="K323" s="10"/>
      <c r="L323" s="11">
        <v>1</v>
      </c>
      <c r="M323" s="170"/>
      <c r="N323" s="124">
        <f t="shared" si="11"/>
        <v>26</v>
      </c>
      <c r="O323" s="125"/>
      <c r="P323" s="109"/>
      <c r="Q323" s="51">
        <v>12738.716620309586</v>
      </c>
      <c r="R323" s="46">
        <v>12101.780789294107</v>
      </c>
      <c r="S323" s="12">
        <v>12585.852020865872</v>
      </c>
      <c r="T323" s="12">
        <v>13069.923252437637</v>
      </c>
      <c r="U323" s="12">
        <v>13251.449964277048</v>
      </c>
      <c r="V323" s="13"/>
      <c r="W323" s="175"/>
      <c r="X323" s="17"/>
      <c r="Y323" s="10"/>
    </row>
    <row r="324" spans="1:25">
      <c r="A324" s="141" t="s">
        <v>302</v>
      </c>
      <c r="B324" s="50" t="str">
        <f>IFERROR(HYPERLINK(VLOOKUP(A324,ÜRÜNLER!A:C,3,FALSE),VLOOKUP(A324,ÜRÜNLER!A:B,2,FALSE)),"")</f>
        <v>iQ100 Gazlı Ocak, 60cm, Sert Cam, Titanyum Gri</v>
      </c>
      <c r="C324" s="8"/>
      <c r="D324" s="8"/>
      <c r="E324" s="9"/>
      <c r="F324" s="9"/>
      <c r="G324" s="10"/>
      <c r="H324" s="10"/>
      <c r="I324" s="11"/>
      <c r="J324" s="11"/>
      <c r="K324" s="10">
        <v>1</v>
      </c>
      <c r="L324" s="11"/>
      <c r="M324" s="170"/>
      <c r="N324" s="124">
        <f t="shared" si="11"/>
        <v>1</v>
      </c>
      <c r="O324" s="125"/>
      <c r="P324" s="109"/>
      <c r="Q324" s="72" t="s">
        <v>1561</v>
      </c>
      <c r="R324" s="19">
        <v>12000</v>
      </c>
      <c r="S324" s="12">
        <v>12480</v>
      </c>
      <c r="T324" s="12">
        <v>12960</v>
      </c>
      <c r="U324" s="12">
        <v>13140</v>
      </c>
      <c r="V324" s="13"/>
      <c r="W324" s="175"/>
      <c r="X324" s="17">
        <v>250</v>
      </c>
      <c r="Y324" s="10"/>
    </row>
    <row r="325" spans="1:25">
      <c r="A325" s="141" t="s">
        <v>303</v>
      </c>
      <c r="B325" s="50" t="str">
        <f>IFERROR(HYPERLINK(VLOOKUP(A325,ÜRÜNLER!A:C,3,FALSE),VLOOKUP(A325,ÜRÜNLER!A:B,2,FALSE)),"")</f>
        <v>iQ100 Gazlı Ocak, 60cm, Sert Cam, Titanyum Gri, Döküm</v>
      </c>
      <c r="C325" s="8">
        <v>4</v>
      </c>
      <c r="D325" s="8"/>
      <c r="E325" s="9"/>
      <c r="F325" s="9"/>
      <c r="G325" s="10"/>
      <c r="H325" s="10"/>
      <c r="I325" s="11"/>
      <c r="J325" s="11"/>
      <c r="K325" s="10"/>
      <c r="L325" s="11"/>
      <c r="M325" s="170"/>
      <c r="N325" s="124">
        <f t="shared" si="11"/>
        <v>4</v>
      </c>
      <c r="O325" s="125"/>
      <c r="P325" s="109"/>
      <c r="Q325" s="72" t="s">
        <v>1561</v>
      </c>
      <c r="R325" s="19">
        <v>17999</v>
      </c>
      <c r="S325" s="12">
        <v>18718.96</v>
      </c>
      <c r="T325" s="12">
        <v>19438.919999999998</v>
      </c>
      <c r="U325" s="12">
        <v>19708.904999999999</v>
      </c>
      <c r="V325" s="13"/>
      <c r="W325" s="175"/>
      <c r="X325" s="17">
        <v>250</v>
      </c>
      <c r="Y325" s="10"/>
    </row>
    <row r="326" spans="1:25">
      <c r="A326" s="141" t="s">
        <v>304</v>
      </c>
      <c r="B326" s="50" t="str">
        <f>IFERROR(HYPERLINK(VLOOKUP(A326,ÜRÜNLER!A:C,3,FALSE),VLOOKUP(A326,ÜRÜNLER!A:B,2,FALSE)),"")</f>
        <v>iQ300 Gazlı Ocak, 60cm, Sert Cam, Antrasit</v>
      </c>
      <c r="C326" s="8">
        <v>9</v>
      </c>
      <c r="D326" s="8"/>
      <c r="E326" s="9"/>
      <c r="F326" s="9"/>
      <c r="G326" s="10"/>
      <c r="H326" s="10"/>
      <c r="I326" s="11">
        <v>1</v>
      </c>
      <c r="J326" s="11">
        <v>2</v>
      </c>
      <c r="K326" s="10"/>
      <c r="L326" s="11"/>
      <c r="M326" s="170"/>
      <c r="N326" s="124">
        <f t="shared" si="11"/>
        <v>12</v>
      </c>
      <c r="O326" s="125"/>
      <c r="P326" s="109"/>
      <c r="Q326" s="51">
        <v>12738.716620309586</v>
      </c>
      <c r="R326" s="46">
        <v>12101.780789294107</v>
      </c>
      <c r="S326" s="12">
        <v>12585.852020865872</v>
      </c>
      <c r="T326" s="12">
        <v>13069.923252437637</v>
      </c>
      <c r="U326" s="12">
        <v>13251.449964277048</v>
      </c>
      <c r="V326" s="13"/>
      <c r="W326" s="175"/>
      <c r="X326" s="17"/>
      <c r="Y326" s="10"/>
    </row>
    <row r="327" spans="1:25">
      <c r="A327" s="141" t="s">
        <v>305</v>
      </c>
      <c r="B327" s="50" t="str">
        <f>IFERROR(HYPERLINK(VLOOKUP(A327,ÜRÜNLER!A:C,3,FALSE),VLOOKUP(A327,ÜRÜNLER!A:B,2,FALSE)),"")</f>
        <v>iQ300 Gazlı Ocak, 60cm, Sert Cam, Antrasit Gri</v>
      </c>
      <c r="C327" s="8">
        <v>14</v>
      </c>
      <c r="D327" s="8"/>
      <c r="E327" s="9"/>
      <c r="F327" s="9">
        <v>1</v>
      </c>
      <c r="G327" s="10"/>
      <c r="H327" s="10"/>
      <c r="I327" s="11">
        <v>1</v>
      </c>
      <c r="J327" s="11"/>
      <c r="K327" s="10"/>
      <c r="L327" s="11">
        <v>1</v>
      </c>
      <c r="M327" s="170"/>
      <c r="N327" s="124">
        <f t="shared" si="11"/>
        <v>17</v>
      </c>
      <c r="O327" s="125"/>
      <c r="P327" s="109"/>
      <c r="Q327" s="166" t="s">
        <v>1561</v>
      </c>
      <c r="R327" s="18">
        <v>12000</v>
      </c>
      <c r="S327" s="12">
        <v>12480</v>
      </c>
      <c r="T327" s="12">
        <v>12960</v>
      </c>
      <c r="U327" s="12">
        <v>13140</v>
      </c>
      <c r="V327" s="13"/>
      <c r="W327" s="175"/>
      <c r="X327" s="79">
        <v>500</v>
      </c>
      <c r="Y327" s="10"/>
    </row>
    <row r="328" spans="1:25">
      <c r="A328" s="21" t="s">
        <v>306</v>
      </c>
      <c r="B328" s="50" t="str">
        <f>IFERROR(HYPERLINK(VLOOKUP(A328,ÜRÜNLER!A:C,3,FALSE),VLOOKUP(A328,ÜRÜNLER!A:B,2,FALSE)),"")</f>
        <v>iQ300 Gazlı Ocak, 67cm, Sert Cam, Beyaz, Wok</v>
      </c>
      <c r="C328" s="8">
        <v>6</v>
      </c>
      <c r="D328" s="8"/>
      <c r="E328" s="9"/>
      <c r="F328" s="9"/>
      <c r="G328" s="10"/>
      <c r="H328" s="10"/>
      <c r="I328" s="11">
        <v>1</v>
      </c>
      <c r="J328" s="11">
        <v>1</v>
      </c>
      <c r="K328" s="10"/>
      <c r="L328" s="11"/>
      <c r="M328" s="170"/>
      <c r="N328" s="124">
        <f t="shared" si="11"/>
        <v>8</v>
      </c>
      <c r="O328" s="125">
        <v>10</v>
      </c>
      <c r="P328" s="109"/>
      <c r="Q328" s="51">
        <v>17811.958959147938</v>
      </c>
      <c r="R328" s="46">
        <v>16921.36101119054</v>
      </c>
      <c r="S328" s="12">
        <v>17598.215451638163</v>
      </c>
      <c r="T328" s="12">
        <v>18275.069892085783</v>
      </c>
      <c r="U328" s="12">
        <v>18528.890307253641</v>
      </c>
      <c r="V328" s="13"/>
      <c r="W328" s="175"/>
      <c r="X328" s="17"/>
      <c r="Y328" s="182">
        <v>2</v>
      </c>
    </row>
    <row r="329" spans="1:25">
      <c r="A329" s="21" t="s">
        <v>307</v>
      </c>
      <c r="B329" s="50" t="str">
        <f>IFERROR(HYPERLINK(VLOOKUP(A329,ÜRÜNLER!A:C,3,FALSE),VLOOKUP(A329,ÜRÜNLER!A:B,2,FALSE)),"")</f>
        <v>iQ300 Gazlı Ocak, 67cm, Sert Cam, Beyaz</v>
      </c>
      <c r="C329" s="8"/>
      <c r="D329" s="8"/>
      <c r="E329" s="9"/>
      <c r="F329" s="9"/>
      <c r="G329" s="10"/>
      <c r="H329" s="10"/>
      <c r="I329" s="11"/>
      <c r="J329" s="11"/>
      <c r="K329" s="10"/>
      <c r="L329" s="11"/>
      <c r="M329" s="170"/>
      <c r="N329" s="124">
        <f t="shared" si="11"/>
        <v>0</v>
      </c>
      <c r="O329" s="125">
        <v>10</v>
      </c>
      <c r="P329" s="109"/>
      <c r="Q329" s="51">
        <v>14241.943235037676</v>
      </c>
      <c r="R329" s="46">
        <v>13529.846073285791</v>
      </c>
      <c r="S329" s="12">
        <v>14071.039916217223</v>
      </c>
      <c r="T329" s="12">
        <v>14612.233759148654</v>
      </c>
      <c r="U329" s="12">
        <v>14815.181450247941</v>
      </c>
      <c r="V329" s="13"/>
      <c r="W329" s="175"/>
      <c r="X329" s="17"/>
      <c r="Y329" s="10"/>
    </row>
    <row r="330" spans="1:25">
      <c r="A330" s="21" t="s">
        <v>308</v>
      </c>
      <c r="B330" s="50" t="str">
        <f>IFERROR(HYPERLINK(VLOOKUP(A330,ÜRÜNLER!A:C,3,FALSE),VLOOKUP(A330,ÜRÜNLER!A:B,2,FALSE)),"")</f>
        <v>iQ100 Gazlı Ocak, 67cm, Sert Cam, Beyaz</v>
      </c>
      <c r="C330" s="8"/>
      <c r="D330" s="8"/>
      <c r="E330" s="9"/>
      <c r="F330" s="9"/>
      <c r="G330" s="10"/>
      <c r="H330" s="10"/>
      <c r="I330" s="11"/>
      <c r="J330" s="11"/>
      <c r="K330" s="10">
        <v>1</v>
      </c>
      <c r="L330" s="11"/>
      <c r="M330" s="170"/>
      <c r="N330" s="124">
        <f t="shared" si="11"/>
        <v>1</v>
      </c>
      <c r="O330" s="125"/>
      <c r="P330" s="109"/>
      <c r="Q330" s="72" t="s">
        <v>1561</v>
      </c>
      <c r="R330" s="19">
        <v>15000</v>
      </c>
      <c r="S330" s="12">
        <v>15600</v>
      </c>
      <c r="T330" s="12">
        <v>16200</v>
      </c>
      <c r="U330" s="12">
        <v>16425</v>
      </c>
      <c r="V330" s="13"/>
      <c r="W330" s="175"/>
      <c r="X330" s="29">
        <v>500</v>
      </c>
      <c r="Y330" s="10"/>
    </row>
    <row r="331" spans="1:25">
      <c r="A331" s="150" t="s">
        <v>309</v>
      </c>
      <c r="B331" s="50" t="str">
        <f>IFERROR(HYPERLINK(VLOOKUP(A331,ÜRÜNLER!A:C,3,FALSE),VLOOKUP(A331,ÜRÜNLER!A:B,2,FALSE)),"")</f>
        <v>iQ300 Gazlı Ocak, 67cm, Sert Cam, Beyaz</v>
      </c>
      <c r="C331" s="8"/>
      <c r="D331" s="8"/>
      <c r="E331" s="9"/>
      <c r="F331" s="9"/>
      <c r="G331" s="10">
        <v>1</v>
      </c>
      <c r="H331" s="10"/>
      <c r="I331" s="11">
        <v>1</v>
      </c>
      <c r="J331" s="11"/>
      <c r="K331" s="10">
        <v>5</v>
      </c>
      <c r="L331" s="11"/>
      <c r="M331" s="170">
        <v>1</v>
      </c>
      <c r="N331" s="124">
        <f t="shared" si="11"/>
        <v>8</v>
      </c>
      <c r="O331" s="125"/>
      <c r="P331" s="109"/>
      <c r="Q331" s="72" t="s">
        <v>1561</v>
      </c>
      <c r="R331" s="19">
        <v>16000</v>
      </c>
      <c r="S331" s="12">
        <v>16640</v>
      </c>
      <c r="T331" s="12">
        <v>17280</v>
      </c>
      <c r="U331" s="12">
        <v>17520</v>
      </c>
      <c r="V331" s="13"/>
      <c r="W331" s="175"/>
      <c r="X331" s="29">
        <v>500</v>
      </c>
      <c r="Y331" s="10">
        <v>0</v>
      </c>
    </row>
    <row r="332" spans="1:25">
      <c r="A332" s="21" t="s">
        <v>310</v>
      </c>
      <c r="B332" s="50" t="str">
        <f>IFERROR(HYPERLINK(VLOOKUP(A332,ÜRÜNLER!A:C,3,FALSE),VLOOKUP(A332,ÜRÜNLER!A:B,2,FALSE)),"")</f>
        <v>iQ300 Gazlı Ocak, 67cm, Sert Cam, Siyah, Wok</v>
      </c>
      <c r="C332" s="8"/>
      <c r="D332" s="8"/>
      <c r="E332" s="9"/>
      <c r="F332" s="9"/>
      <c r="G332" s="10"/>
      <c r="H332" s="10"/>
      <c r="I332" s="11"/>
      <c r="J332" s="11"/>
      <c r="K332" s="10"/>
      <c r="L332" s="11"/>
      <c r="M332" s="170">
        <v>1</v>
      </c>
      <c r="N332" s="124">
        <f t="shared" si="11"/>
        <v>1</v>
      </c>
      <c r="O332" s="125"/>
      <c r="P332" s="109"/>
      <c r="Q332" s="72" t="s">
        <v>1561</v>
      </c>
      <c r="R332" s="19">
        <v>18000</v>
      </c>
      <c r="S332" s="12">
        <v>18720</v>
      </c>
      <c r="T332" s="12">
        <v>19440</v>
      </c>
      <c r="U332" s="12">
        <v>19710</v>
      </c>
      <c r="V332" s="13"/>
      <c r="W332" s="175"/>
      <c r="X332" s="29">
        <v>500</v>
      </c>
      <c r="Y332" s="10"/>
    </row>
    <row r="333" spans="1:25">
      <c r="A333" s="21" t="s">
        <v>311</v>
      </c>
      <c r="B333" s="50" t="str">
        <f>IFERROR(HYPERLINK(VLOOKUP(A333,ÜRÜNLER!A:C,3,FALSE),VLOOKUP(A333,ÜRÜNLER!A:B,2,FALSE)),"")</f>
        <v>iQ300 Gazlı Ocak, 67cm, Sert Cam, Siyah, Wok</v>
      </c>
      <c r="C333" s="8">
        <v>11</v>
      </c>
      <c r="D333" s="8"/>
      <c r="E333" s="9"/>
      <c r="F333" s="9"/>
      <c r="G333" s="10"/>
      <c r="H333" s="10"/>
      <c r="I333" s="11"/>
      <c r="J333" s="11"/>
      <c r="K333" s="10"/>
      <c r="L333" s="11"/>
      <c r="M333" s="170"/>
      <c r="N333" s="124">
        <f t="shared" si="11"/>
        <v>11</v>
      </c>
      <c r="O333" s="125">
        <v>3</v>
      </c>
      <c r="P333" s="109"/>
      <c r="Q333" s="51">
        <v>17811.958959147938</v>
      </c>
      <c r="R333" s="46">
        <v>16921.36101119054</v>
      </c>
      <c r="S333" s="12">
        <v>17598.215451638163</v>
      </c>
      <c r="T333" s="12">
        <v>18275.069892085783</v>
      </c>
      <c r="U333" s="12">
        <v>18528.890307253641</v>
      </c>
      <c r="V333" s="13"/>
      <c r="W333" s="175"/>
      <c r="X333" s="17"/>
      <c r="Y333" s="182">
        <v>4</v>
      </c>
    </row>
    <row r="334" spans="1:25">
      <c r="A334" s="21" t="s">
        <v>312</v>
      </c>
      <c r="B334" s="50" t="str">
        <f>IFERROR(HYPERLINK(VLOOKUP(A334,ÜRÜNLER!A:C,3,FALSE),VLOOKUP(A334,ÜRÜNLER!A:B,2,FALSE)),"")</f>
        <v>iQ300 Gazlı Ocak, 67cm, Sert Cam, Siyah</v>
      </c>
      <c r="C334" s="8"/>
      <c r="D334" s="8"/>
      <c r="E334" s="9"/>
      <c r="F334" s="9"/>
      <c r="G334" s="10"/>
      <c r="H334" s="10"/>
      <c r="I334" s="11"/>
      <c r="J334" s="11">
        <v>2</v>
      </c>
      <c r="K334" s="10">
        <v>3</v>
      </c>
      <c r="L334" s="11"/>
      <c r="M334" s="170"/>
      <c r="N334" s="124">
        <f t="shared" si="11"/>
        <v>5</v>
      </c>
      <c r="O334" s="125"/>
      <c r="P334" s="109"/>
      <c r="Q334" s="72" t="s">
        <v>1561</v>
      </c>
      <c r="R334" s="19">
        <v>14000</v>
      </c>
      <c r="S334" s="12">
        <v>14560</v>
      </c>
      <c r="T334" s="12">
        <v>15120</v>
      </c>
      <c r="U334" s="12">
        <v>15330</v>
      </c>
      <c r="V334" s="13"/>
      <c r="W334" s="175"/>
      <c r="X334" s="29">
        <v>500</v>
      </c>
      <c r="Y334" s="10"/>
    </row>
    <row r="335" spans="1:25">
      <c r="A335" s="21" t="s">
        <v>313</v>
      </c>
      <c r="B335" s="50" t="str">
        <f>IFERROR(HYPERLINK(VLOOKUP(A335,ÜRÜNLER!A:C,3,FALSE),VLOOKUP(A335,ÜRÜNLER!A:B,2,FALSE)),"")</f>
        <v>iQ300 Gazlı Ocak, 67cm, Sert Cam, Siyah</v>
      </c>
      <c r="C335" s="8">
        <v>15</v>
      </c>
      <c r="D335" s="8"/>
      <c r="E335" s="9"/>
      <c r="F335" s="9"/>
      <c r="G335" s="10"/>
      <c r="H335" s="10"/>
      <c r="I335" s="11">
        <v>1</v>
      </c>
      <c r="J335" s="11"/>
      <c r="K335" s="10">
        <v>1</v>
      </c>
      <c r="L335" s="11">
        <v>1</v>
      </c>
      <c r="M335" s="170"/>
      <c r="N335" s="124">
        <f t="shared" si="11"/>
        <v>18</v>
      </c>
      <c r="O335" s="125"/>
      <c r="P335" s="109"/>
      <c r="Q335" s="51">
        <v>14241.943235037676</v>
      </c>
      <c r="R335" s="46">
        <v>13529.846073285791</v>
      </c>
      <c r="S335" s="12">
        <v>14071.039916217223</v>
      </c>
      <c r="T335" s="12">
        <v>14612.233759148654</v>
      </c>
      <c r="U335" s="12">
        <v>14815.181450247941</v>
      </c>
      <c r="V335" s="13"/>
      <c r="W335" s="175"/>
      <c r="X335" s="17"/>
      <c r="Y335" s="182">
        <v>3</v>
      </c>
    </row>
    <row r="336" spans="1:25">
      <c r="A336" s="141" t="s">
        <v>314</v>
      </c>
      <c r="B336" s="50" t="str">
        <f>IFERROR(HYPERLINK(VLOOKUP(A336,ÜRÜNLER!A:C,3,FALSE),VLOOKUP(A336,ÜRÜNLER!A:B,2,FALSE)),"")</f>
        <v>iQ300 Gazlı Ocak, 67cm, Sert Cam, Antrasit Gri, Wok</v>
      </c>
      <c r="C336" s="8">
        <v>11</v>
      </c>
      <c r="D336" s="8"/>
      <c r="E336" s="9"/>
      <c r="F336" s="9"/>
      <c r="G336" s="10"/>
      <c r="H336" s="10"/>
      <c r="I336" s="11"/>
      <c r="J336" s="11"/>
      <c r="K336" s="10"/>
      <c r="L336" s="11"/>
      <c r="M336" s="170"/>
      <c r="N336" s="124">
        <f t="shared" si="11"/>
        <v>11</v>
      </c>
      <c r="O336" s="125">
        <v>6</v>
      </c>
      <c r="P336" s="109"/>
      <c r="Q336" s="51">
        <v>17811.958959147938</v>
      </c>
      <c r="R336" s="46">
        <v>16921.36101119054</v>
      </c>
      <c r="S336" s="12">
        <v>17598.215451638163</v>
      </c>
      <c r="T336" s="12">
        <v>18275.069892085783</v>
      </c>
      <c r="U336" s="12">
        <v>18528.890307253641</v>
      </c>
      <c r="V336" s="13"/>
      <c r="W336" s="175"/>
      <c r="X336" s="17"/>
      <c r="Y336" s="182">
        <v>2</v>
      </c>
    </row>
    <row r="337" spans="1:25">
      <c r="A337" s="141" t="s">
        <v>315</v>
      </c>
      <c r="B337" s="50" t="str">
        <f>IFERROR(HYPERLINK(VLOOKUP(A337,ÜRÜNLER!A:C,3,FALSE),VLOOKUP(A337,ÜRÜNLER!A:B,2,FALSE)),"")</f>
        <v>iQ100 Gazlı Ocak, 67cm, Sert Cam, Titanyum Gri</v>
      </c>
      <c r="C337" s="8">
        <v>13</v>
      </c>
      <c r="D337" s="8"/>
      <c r="E337" s="9"/>
      <c r="F337" s="9"/>
      <c r="G337" s="10"/>
      <c r="H337" s="10"/>
      <c r="I337" s="11"/>
      <c r="J337" s="11"/>
      <c r="K337" s="10">
        <v>2</v>
      </c>
      <c r="L337" s="11"/>
      <c r="M337" s="170"/>
      <c r="N337" s="124">
        <f t="shared" si="11"/>
        <v>15</v>
      </c>
      <c r="O337" s="125"/>
      <c r="P337" s="109"/>
      <c r="Q337" s="72" t="s">
        <v>1561</v>
      </c>
      <c r="R337" s="19">
        <v>12500</v>
      </c>
      <c r="S337" s="12">
        <v>13000</v>
      </c>
      <c r="T337" s="12">
        <v>13500</v>
      </c>
      <c r="U337" s="12">
        <v>13687.5</v>
      </c>
      <c r="V337" s="13"/>
      <c r="W337" s="175"/>
      <c r="X337" s="29">
        <v>500</v>
      </c>
      <c r="Y337" s="10"/>
    </row>
    <row r="338" spans="1:25">
      <c r="A338" s="141" t="s">
        <v>316</v>
      </c>
      <c r="B338" s="50" t="str">
        <f>IFERROR(HYPERLINK(VLOOKUP(A338,ÜRÜNLER!A:C,3,FALSE),VLOOKUP(A338,ÜRÜNLER!A:B,2,FALSE)),"")</f>
        <v>iQ300 Gazlı Ocak, 67cm, Sert Cam, Antrasit Gri</v>
      </c>
      <c r="C338" s="8">
        <v>12</v>
      </c>
      <c r="D338" s="8"/>
      <c r="E338" s="9"/>
      <c r="F338" s="9"/>
      <c r="G338" s="10"/>
      <c r="H338" s="10"/>
      <c r="I338" s="11">
        <v>3</v>
      </c>
      <c r="J338" s="11"/>
      <c r="K338" s="10"/>
      <c r="L338" s="11"/>
      <c r="M338" s="170"/>
      <c r="N338" s="124">
        <f t="shared" si="11"/>
        <v>15</v>
      </c>
      <c r="O338" s="125"/>
      <c r="P338" s="109"/>
      <c r="Q338" s="51">
        <v>14241.943235037676</v>
      </c>
      <c r="R338" s="46">
        <v>13529.846073285791</v>
      </c>
      <c r="S338" s="12">
        <v>14071.039916217223</v>
      </c>
      <c r="T338" s="12">
        <v>14612.233759148654</v>
      </c>
      <c r="U338" s="12">
        <v>14815.181450247941</v>
      </c>
      <c r="V338" s="13"/>
      <c r="W338" s="175"/>
      <c r="X338" s="17"/>
      <c r="Y338" s="10"/>
    </row>
    <row r="339" spans="1:25">
      <c r="A339" s="141" t="s">
        <v>317</v>
      </c>
      <c r="B339" s="50" t="str">
        <f>IFERROR(HYPERLINK(VLOOKUP(A339,ÜRÜNLER!A:C,3,FALSE),VLOOKUP(A339,ÜRÜNLER!A:B,2,FALSE)),"")</f>
        <v>iQ300 Gazlı Ocak, 67cm, Sert Cam, Dark Silver</v>
      </c>
      <c r="C339" s="8"/>
      <c r="D339" s="8"/>
      <c r="E339" s="9"/>
      <c r="F339" s="9"/>
      <c r="G339" s="10"/>
      <c r="H339" s="10"/>
      <c r="I339" s="11"/>
      <c r="J339" s="11"/>
      <c r="K339" s="10">
        <v>1</v>
      </c>
      <c r="L339" s="11">
        <v>1</v>
      </c>
      <c r="M339" s="170"/>
      <c r="N339" s="124">
        <f t="shared" si="11"/>
        <v>2</v>
      </c>
      <c r="O339" s="125"/>
      <c r="P339" s="109"/>
      <c r="Q339" s="72" t="s">
        <v>1561</v>
      </c>
      <c r="R339" s="19">
        <v>15000</v>
      </c>
      <c r="S339" s="12">
        <v>15600</v>
      </c>
      <c r="T339" s="12">
        <v>16200</v>
      </c>
      <c r="U339" s="12">
        <v>16425</v>
      </c>
      <c r="V339" s="13"/>
      <c r="W339" s="175"/>
      <c r="X339" s="17"/>
      <c r="Y339" s="10"/>
    </row>
    <row r="340" spans="1:25">
      <c r="A340" s="139" t="s">
        <v>318</v>
      </c>
      <c r="B340" s="50" t="str">
        <f>IFERROR(HYPERLINK(VLOOKUP(A340,ÜRÜNLER!A:C,3,FALSE),VLOOKUP(A340,ÜRÜNLER!A:B,2,FALSE)),"")</f>
        <v>iQ500 Gazlı Ocak, 60cm, Sert Cam, Siyah, Döküm, Wok</v>
      </c>
      <c r="C340" s="8">
        <v>2</v>
      </c>
      <c r="D340" s="8"/>
      <c r="E340" s="9"/>
      <c r="F340" s="9"/>
      <c r="G340" s="10"/>
      <c r="H340" s="10"/>
      <c r="I340" s="11"/>
      <c r="J340" s="11"/>
      <c r="K340" s="10"/>
      <c r="L340" s="11"/>
      <c r="M340" s="170"/>
      <c r="N340" s="124">
        <f t="shared" si="11"/>
        <v>2</v>
      </c>
      <c r="O340" s="125"/>
      <c r="P340" s="109"/>
      <c r="Q340" s="51">
        <v>36294.261432379979</v>
      </c>
      <c r="R340" s="46">
        <v>34479.548360760979</v>
      </c>
      <c r="S340" s="12">
        <v>35858.730295191417</v>
      </c>
      <c r="T340" s="12">
        <v>37237.912229621856</v>
      </c>
      <c r="U340" s="12">
        <v>37755.10545503327</v>
      </c>
      <c r="V340" s="13"/>
      <c r="W340" s="175"/>
      <c r="X340" s="29"/>
      <c r="Y340" s="10"/>
    </row>
    <row r="341" spans="1:25">
      <c r="A341" s="139" t="s">
        <v>319</v>
      </c>
      <c r="B341" s="50" t="str">
        <f>IFERROR(HYPERLINK(VLOOKUP(A341,ÜRÜNLER!A:C,3,FALSE),VLOOKUP(A341,ÜRÜNLER!A:B,2,FALSE)),"")</f>
        <v>iQ500 Gazlı Ocak, 60cm, Sert Cam, Siyah, Döküm</v>
      </c>
      <c r="C341" s="8">
        <v>2</v>
      </c>
      <c r="D341" s="8"/>
      <c r="E341" s="9"/>
      <c r="F341" s="9"/>
      <c r="G341" s="10"/>
      <c r="H341" s="10"/>
      <c r="I341" s="11"/>
      <c r="J341" s="11"/>
      <c r="K341" s="10"/>
      <c r="L341" s="11">
        <v>1</v>
      </c>
      <c r="M341" s="170"/>
      <c r="N341" s="124">
        <f t="shared" si="11"/>
        <v>3</v>
      </c>
      <c r="O341" s="125"/>
      <c r="P341" s="109"/>
      <c r="Q341" s="51">
        <v>34638.807244644398</v>
      </c>
      <c r="R341" s="46">
        <v>32906.866882412178</v>
      </c>
      <c r="S341" s="12">
        <v>34223.141557708666</v>
      </c>
      <c r="T341" s="12">
        <v>35539.416233005155</v>
      </c>
      <c r="U341" s="12">
        <v>36033.019236241336</v>
      </c>
      <c r="V341" s="13"/>
      <c r="W341" s="175"/>
      <c r="X341" s="29"/>
      <c r="Y341" s="10"/>
    </row>
    <row r="342" spans="1:25">
      <c r="A342" s="132" t="s">
        <v>320</v>
      </c>
      <c r="B342" s="50" t="str">
        <f>IFERROR(HYPERLINK(VLOOKUP(A342,ÜRÜNLER!A:C,3,FALSE),VLOOKUP(A342,ÜRÜNLER!A:B,2,FALSE)),"")</f>
        <v>iQ500 Gazlı Ocak, 60cm, Sert Cam, Beyaz, Döküm</v>
      </c>
      <c r="C342" s="8">
        <v>3</v>
      </c>
      <c r="D342" s="8"/>
      <c r="E342" s="9"/>
      <c r="F342" s="9"/>
      <c r="G342" s="10"/>
      <c r="H342" s="10"/>
      <c r="I342" s="11"/>
      <c r="J342" s="11">
        <v>1</v>
      </c>
      <c r="K342" s="10">
        <v>2</v>
      </c>
      <c r="L342" s="11"/>
      <c r="M342" s="170">
        <v>1</v>
      </c>
      <c r="N342" s="124">
        <f t="shared" si="11"/>
        <v>7</v>
      </c>
      <c r="O342" s="125"/>
      <c r="P342" s="109"/>
      <c r="Q342" s="72" t="s">
        <v>1561</v>
      </c>
      <c r="R342" s="19">
        <v>30000</v>
      </c>
      <c r="S342" s="12">
        <v>31200</v>
      </c>
      <c r="T342" s="12">
        <v>32400</v>
      </c>
      <c r="U342" s="12">
        <v>32850</v>
      </c>
      <c r="V342" s="13"/>
      <c r="W342" s="175"/>
      <c r="X342" s="190">
        <v>500</v>
      </c>
      <c r="Y342" s="182">
        <v>1</v>
      </c>
    </row>
    <row r="343" spans="1:25">
      <c r="A343" s="132" t="s">
        <v>321</v>
      </c>
      <c r="B343" s="50" t="str">
        <f>IFERROR(HYPERLINK(VLOOKUP(A343,ÜRÜNLER!A:C,3,FALSE),VLOOKUP(A343,ÜRÜNLER!A:B,2,FALSE)),"")</f>
        <v>iQ500 Gazlı Ocak, 60cm, Sert Cam, Siyah, Döküm, Wok</v>
      </c>
      <c r="C343" s="8"/>
      <c r="D343" s="8"/>
      <c r="E343" s="9"/>
      <c r="F343" s="9">
        <v>2</v>
      </c>
      <c r="G343" s="10"/>
      <c r="H343" s="10"/>
      <c r="I343" s="11"/>
      <c r="J343" s="11"/>
      <c r="K343" s="10">
        <v>2</v>
      </c>
      <c r="L343" s="11"/>
      <c r="M343" s="170"/>
      <c r="N343" s="124">
        <f t="shared" si="11"/>
        <v>4</v>
      </c>
      <c r="O343" s="125"/>
      <c r="P343" s="109"/>
      <c r="Q343" s="72" t="s">
        <v>1561</v>
      </c>
      <c r="R343" s="19">
        <v>30000</v>
      </c>
      <c r="S343" s="12">
        <v>31200</v>
      </c>
      <c r="T343" s="12">
        <v>32400</v>
      </c>
      <c r="U343" s="12">
        <v>32850</v>
      </c>
      <c r="V343" s="13"/>
      <c r="W343" s="175"/>
      <c r="X343" s="29">
        <v>500</v>
      </c>
      <c r="Y343" s="10"/>
    </row>
    <row r="344" spans="1:25">
      <c r="A344" s="132" t="s">
        <v>322</v>
      </c>
      <c r="B344" s="50" t="str">
        <f>IFERROR(HYPERLINK(VLOOKUP(A344,ÜRÜNLER!A:C,3,FALSE),VLOOKUP(A344,ÜRÜNLER!A:B,2,FALSE)),"")</f>
        <v>iQ500 Gazlı Ocak, 60cm, Sert Cam, Siyah, Döküm</v>
      </c>
      <c r="C344" s="8">
        <v>1</v>
      </c>
      <c r="D344" s="8"/>
      <c r="E344" s="9"/>
      <c r="F344" s="9"/>
      <c r="G344" s="10"/>
      <c r="H344" s="10"/>
      <c r="I344" s="11"/>
      <c r="J344" s="11"/>
      <c r="K344" s="10">
        <v>1</v>
      </c>
      <c r="L344" s="11"/>
      <c r="M344" s="170"/>
      <c r="N344" s="124">
        <f t="shared" si="11"/>
        <v>2</v>
      </c>
      <c r="O344" s="125"/>
      <c r="P344" s="109"/>
      <c r="Q344" s="72" t="s">
        <v>1561</v>
      </c>
      <c r="R344" s="19">
        <v>28000</v>
      </c>
      <c r="S344" s="12">
        <v>29120</v>
      </c>
      <c r="T344" s="12">
        <v>30240</v>
      </c>
      <c r="U344" s="12">
        <v>30660</v>
      </c>
      <c r="V344" s="13"/>
      <c r="W344" s="175"/>
      <c r="X344" s="190">
        <v>500</v>
      </c>
      <c r="Y344" s="182">
        <v>2</v>
      </c>
    </row>
    <row r="345" spans="1:25">
      <c r="A345" s="141" t="s">
        <v>324</v>
      </c>
      <c r="B345" s="50" t="str">
        <f>IFERROR(HYPERLINK(VLOOKUP(A345,ÜRÜNLER!A:C,3,FALSE),VLOOKUP(A345,ÜRÜNLER!A:B,2,FALSE)),"")</f>
        <v>iQ500 Gazlı Ocak, 60cm, Sert Cam, Titanyum Gri, Döküm, Wok</v>
      </c>
      <c r="C345" s="8"/>
      <c r="D345" s="8"/>
      <c r="E345" s="9"/>
      <c r="F345" s="9"/>
      <c r="G345" s="10"/>
      <c r="H345" s="10"/>
      <c r="I345" s="11">
        <v>1</v>
      </c>
      <c r="J345" s="11"/>
      <c r="K345" s="10">
        <v>1</v>
      </c>
      <c r="L345" s="11"/>
      <c r="M345" s="170"/>
      <c r="N345" s="124">
        <f t="shared" si="11"/>
        <v>2</v>
      </c>
      <c r="O345" s="125"/>
      <c r="P345" s="109"/>
      <c r="Q345" s="72" t="s">
        <v>1561</v>
      </c>
      <c r="R345" s="19">
        <v>21000</v>
      </c>
      <c r="S345" s="12">
        <v>21840</v>
      </c>
      <c r="T345" s="12">
        <v>22680</v>
      </c>
      <c r="U345" s="12">
        <v>22995</v>
      </c>
      <c r="V345" s="13"/>
      <c r="W345" s="175"/>
      <c r="X345" s="29">
        <v>500</v>
      </c>
      <c r="Y345" s="10"/>
    </row>
    <row r="346" spans="1:25">
      <c r="A346" s="141" t="s">
        <v>1365</v>
      </c>
      <c r="B346" s="50" t="str">
        <f>IFERROR(HYPERLINK(VLOOKUP(A346,ÜRÜNLER!A:C,3,FALSE),VLOOKUP(A346,ÜRÜNLER!A:B,2,FALSE)),"")</f>
        <v>iQ100 Gazlı Ocak, 60cm, Sert Cam, Antrasit, Wok</v>
      </c>
      <c r="C346" s="8">
        <v>1</v>
      </c>
      <c r="D346" s="8"/>
      <c r="E346" s="9"/>
      <c r="F346" s="9"/>
      <c r="G346" s="10"/>
      <c r="H346" s="10"/>
      <c r="I346" s="11"/>
      <c r="J346" s="11"/>
      <c r="K346" s="10"/>
      <c r="L346" s="11"/>
      <c r="M346" s="170"/>
      <c r="N346" s="124">
        <f t="shared" si="11"/>
        <v>1</v>
      </c>
      <c r="O346" s="125"/>
      <c r="P346" s="109"/>
      <c r="Q346" s="72" t="s">
        <v>1561</v>
      </c>
      <c r="R346" s="19">
        <v>20000</v>
      </c>
      <c r="S346" s="12">
        <v>20800</v>
      </c>
      <c r="T346" s="12">
        <v>21600</v>
      </c>
      <c r="U346" s="12">
        <v>21900</v>
      </c>
      <c r="V346" s="13"/>
      <c r="W346" s="175"/>
      <c r="X346" s="29">
        <v>500</v>
      </c>
      <c r="Y346" s="10"/>
    </row>
    <row r="347" spans="1:25">
      <c r="A347" s="132" t="s">
        <v>325</v>
      </c>
      <c r="B347" s="50" t="str">
        <f>IFERROR(HYPERLINK(VLOOKUP(A347,ÜRÜNLER!A:C,3,FALSE),VLOOKUP(A347,ÜRÜNLER!A:B,2,FALSE)),"")</f>
        <v>iQ300 Gazlı Ocak, 60cm, Sert Cam, Siyah, Döküm</v>
      </c>
      <c r="C347" s="8"/>
      <c r="D347" s="8"/>
      <c r="E347" s="9"/>
      <c r="F347" s="9"/>
      <c r="G347" s="10"/>
      <c r="H347" s="10"/>
      <c r="I347" s="11"/>
      <c r="J347" s="11"/>
      <c r="K347" s="10"/>
      <c r="L347" s="11"/>
      <c r="M347" s="170"/>
      <c r="N347" s="124">
        <f t="shared" si="11"/>
        <v>0</v>
      </c>
      <c r="O347" s="125">
        <v>6</v>
      </c>
      <c r="P347" s="109"/>
      <c r="Q347" s="51">
        <v>20185.337301466021</v>
      </c>
      <c r="R347" s="46">
        <v>19176.070436392722</v>
      </c>
      <c r="S347" s="12">
        <v>19943.113253848431</v>
      </c>
      <c r="T347" s="12">
        <v>20710.15607130414</v>
      </c>
      <c r="U347" s="12">
        <v>20997.79712785003</v>
      </c>
      <c r="V347" s="13"/>
      <c r="W347" s="175"/>
      <c r="X347" s="17"/>
      <c r="Y347" s="10"/>
    </row>
    <row r="348" spans="1:25">
      <c r="A348" s="132" t="s">
        <v>326</v>
      </c>
      <c r="B348" s="50" t="str">
        <f>IFERROR(HYPERLINK(VLOOKUP(A348,ÜRÜNLER!A:C,3,FALSE),VLOOKUP(A348,ÜRÜNLER!A:B,2,FALSE)),"")</f>
        <v>iQ300 Gazlı Ocak, 75cm, 4 Gözlü, Sert Cam, Beyaz</v>
      </c>
      <c r="C348" s="8">
        <v>1</v>
      </c>
      <c r="D348" s="8"/>
      <c r="E348" s="9"/>
      <c r="F348" s="9"/>
      <c r="G348" s="10"/>
      <c r="H348" s="10"/>
      <c r="I348" s="11">
        <v>1</v>
      </c>
      <c r="J348" s="11"/>
      <c r="K348" s="10"/>
      <c r="L348" s="11"/>
      <c r="M348" s="170"/>
      <c r="N348" s="124">
        <f t="shared" si="11"/>
        <v>2</v>
      </c>
      <c r="O348" s="125"/>
      <c r="P348" s="109"/>
      <c r="Q348" s="72" t="s">
        <v>1561</v>
      </c>
      <c r="R348" s="18">
        <v>14000</v>
      </c>
      <c r="S348" s="12">
        <v>14560</v>
      </c>
      <c r="T348" s="12">
        <v>15120</v>
      </c>
      <c r="U348" s="12">
        <v>15330</v>
      </c>
      <c r="V348" s="13"/>
      <c r="W348" s="175"/>
      <c r="X348" s="17"/>
      <c r="Y348" s="10"/>
    </row>
    <row r="349" spans="1:25">
      <c r="A349" s="132" t="s">
        <v>327</v>
      </c>
      <c r="B349" s="50" t="str">
        <f>IFERROR(HYPERLINK(VLOOKUP(A349,ÜRÜNLER!A:C,3,FALSE),VLOOKUP(A349,ÜRÜNLER!A:B,2,FALSE)),"")</f>
        <v>iQ300 Gazlı Ocak, 75cm, 5 Gözlü, Sert Cam, Beyaz, Wok</v>
      </c>
      <c r="C349" s="8"/>
      <c r="D349" s="8"/>
      <c r="E349" s="9"/>
      <c r="F349" s="9">
        <v>1</v>
      </c>
      <c r="G349" s="10"/>
      <c r="H349" s="10"/>
      <c r="I349" s="11"/>
      <c r="J349" s="11">
        <v>1</v>
      </c>
      <c r="K349" s="10"/>
      <c r="L349" s="11"/>
      <c r="M349" s="170"/>
      <c r="N349" s="124">
        <f t="shared" si="11"/>
        <v>2</v>
      </c>
      <c r="O349" s="125"/>
      <c r="P349" s="109"/>
      <c r="Q349" s="72" t="s">
        <v>1561</v>
      </c>
      <c r="R349" s="18">
        <v>25000</v>
      </c>
      <c r="S349" s="12">
        <v>26000</v>
      </c>
      <c r="T349" s="12">
        <v>27000</v>
      </c>
      <c r="U349" s="12">
        <v>27375</v>
      </c>
      <c r="V349" s="13"/>
      <c r="W349" s="175"/>
      <c r="X349" s="79">
        <v>1000</v>
      </c>
      <c r="Y349" s="10"/>
    </row>
    <row r="350" spans="1:25">
      <c r="A350" s="21" t="s">
        <v>328</v>
      </c>
      <c r="B350" s="50" t="str">
        <f>IFERROR(HYPERLINK(VLOOKUP(A350,ÜRÜNLER!A:C,3,FALSE),VLOOKUP(A350,ÜRÜNLER!A:B,2,FALSE)),"")</f>
        <v>iQ300 Gazlı Ocak, 75cm, 5 Gözlü, Sert Cam, Beyaz, Wok</v>
      </c>
      <c r="C350" s="8">
        <v>8</v>
      </c>
      <c r="D350" s="8"/>
      <c r="E350" s="9"/>
      <c r="F350" s="9"/>
      <c r="G350" s="10"/>
      <c r="H350" s="10"/>
      <c r="I350" s="11"/>
      <c r="J350" s="11"/>
      <c r="K350" s="10"/>
      <c r="L350" s="11">
        <v>1</v>
      </c>
      <c r="M350" s="170"/>
      <c r="N350" s="124">
        <f t="shared" si="11"/>
        <v>9</v>
      </c>
      <c r="O350" s="125"/>
      <c r="P350" s="109"/>
      <c r="Q350" s="51">
        <v>23653.675340598642</v>
      </c>
      <c r="R350" s="46">
        <v>22470.99157356871</v>
      </c>
      <c r="S350" s="12">
        <v>23369.831236511458</v>
      </c>
      <c r="T350" s="12">
        <v>24268.670899454206</v>
      </c>
      <c r="U350" s="12">
        <v>24605.735773057739</v>
      </c>
      <c r="V350" s="13"/>
      <c r="W350" s="175"/>
      <c r="X350" s="17"/>
      <c r="Y350" s="10"/>
    </row>
    <row r="351" spans="1:25">
      <c r="A351" s="132" t="s">
        <v>329</v>
      </c>
      <c r="B351" s="50" t="str">
        <f>IFERROR(HYPERLINK(VLOOKUP(A351,ÜRÜNLER!A:C,3,FALSE),VLOOKUP(A351,ÜRÜNLER!A:B,2,FALSE)),"")</f>
        <v>iQ300 Gazlı Ocak, 75cm, 5 Gözlü, Sert Cam, Siyah, Wok</v>
      </c>
      <c r="C351" s="8"/>
      <c r="D351" s="8"/>
      <c r="E351" s="9"/>
      <c r="F351" s="9"/>
      <c r="G351" s="10"/>
      <c r="H351" s="10"/>
      <c r="I351" s="11"/>
      <c r="J351" s="11"/>
      <c r="K351" s="10">
        <v>1</v>
      </c>
      <c r="L351" s="11"/>
      <c r="M351" s="170"/>
      <c r="N351" s="124">
        <f t="shared" si="11"/>
        <v>1</v>
      </c>
      <c r="O351" s="125"/>
      <c r="P351" s="109"/>
      <c r="Q351" s="72" t="s">
        <v>1561</v>
      </c>
      <c r="R351" s="19">
        <v>20000</v>
      </c>
      <c r="S351" s="12">
        <v>20800</v>
      </c>
      <c r="T351" s="12">
        <v>21600</v>
      </c>
      <c r="U351" s="12">
        <v>21900</v>
      </c>
      <c r="V351" s="13"/>
      <c r="W351" s="175"/>
      <c r="X351" s="29">
        <v>500</v>
      </c>
      <c r="Y351" s="10"/>
    </row>
    <row r="352" spans="1:25">
      <c r="A352" s="139" t="s">
        <v>330</v>
      </c>
      <c r="B352" s="50" t="str">
        <f>IFERROR(HYPERLINK(VLOOKUP(A352,ÜRÜNLER!A:C,3,FALSE),VLOOKUP(A352,ÜRÜNLER!A:B,2,FALSE)),"")</f>
        <v>iQ300 Gazlı Ocak, 75cm, 5 Gözlü, Sert Cam, Siyah, Wok</v>
      </c>
      <c r="C352" s="8">
        <v>2</v>
      </c>
      <c r="D352" s="8"/>
      <c r="E352" s="9"/>
      <c r="F352" s="9"/>
      <c r="G352" s="10"/>
      <c r="H352" s="10"/>
      <c r="I352" s="11"/>
      <c r="J352" s="11"/>
      <c r="K352" s="10"/>
      <c r="L352" s="11"/>
      <c r="M352" s="170"/>
      <c r="N352" s="124">
        <f t="shared" si="11"/>
        <v>2</v>
      </c>
      <c r="O352" s="125"/>
      <c r="P352" s="109"/>
      <c r="Q352" s="51">
        <v>23653.675340598642</v>
      </c>
      <c r="R352" s="46">
        <v>22470.99157356871</v>
      </c>
      <c r="S352" s="12">
        <v>23369.831236511458</v>
      </c>
      <c r="T352" s="12">
        <v>24268.670899454206</v>
      </c>
      <c r="U352" s="12">
        <v>24605.735773057739</v>
      </c>
      <c r="V352" s="13"/>
      <c r="W352" s="175"/>
      <c r="X352" s="17"/>
      <c r="Y352" s="10"/>
    </row>
    <row r="353" spans="1:25">
      <c r="A353" s="141" t="s">
        <v>331</v>
      </c>
      <c r="B353" s="50" t="str">
        <f>IFERROR(HYPERLINK(VLOOKUP(A353,ÜRÜNLER!A:C,3,FALSE),VLOOKUP(A353,ÜRÜNLER!A:B,2,FALSE)),"")</f>
        <v>iQ300 Gazlı Ocak, 75cm, 5 Gözlü, Sert Cam, Titanyum Gri, Wok</v>
      </c>
      <c r="C353" s="8">
        <v>3</v>
      </c>
      <c r="D353" s="8"/>
      <c r="E353" s="9"/>
      <c r="F353" s="9">
        <v>1</v>
      </c>
      <c r="G353" s="10"/>
      <c r="H353" s="10"/>
      <c r="I353" s="11">
        <v>2</v>
      </c>
      <c r="J353" s="11"/>
      <c r="K353" s="10">
        <v>1</v>
      </c>
      <c r="L353" s="11"/>
      <c r="M353" s="170"/>
      <c r="N353" s="124">
        <f t="shared" si="11"/>
        <v>7</v>
      </c>
      <c r="O353" s="125"/>
      <c r="P353" s="109"/>
      <c r="Q353" s="72" t="s">
        <v>1561</v>
      </c>
      <c r="R353" s="19">
        <v>25000</v>
      </c>
      <c r="S353" s="12">
        <v>26000</v>
      </c>
      <c r="T353" s="12">
        <v>27000</v>
      </c>
      <c r="U353" s="12">
        <v>27375</v>
      </c>
      <c r="V353" s="13"/>
      <c r="W353" s="175"/>
      <c r="X353" s="29">
        <v>500</v>
      </c>
      <c r="Y353" s="10"/>
    </row>
    <row r="354" spans="1:25">
      <c r="A354" s="141" t="s">
        <v>467</v>
      </c>
      <c r="B354" s="50" t="str">
        <f>IFERROR(HYPERLINK(VLOOKUP(A354,ÜRÜNLER!A:C,3,FALSE),VLOOKUP(A354,ÜRÜNLER!A:B,2,FALSE)),"")</f>
        <v>iQ300 Gazlı Ocak, 75cm, Sert Cam, Antrasit, Wok</v>
      </c>
      <c r="C354" s="8">
        <v>3</v>
      </c>
      <c r="D354" s="8"/>
      <c r="E354" s="9"/>
      <c r="F354" s="9"/>
      <c r="G354" s="10"/>
      <c r="H354" s="10"/>
      <c r="I354" s="11"/>
      <c r="J354" s="11"/>
      <c r="K354" s="10"/>
      <c r="L354" s="11"/>
      <c r="M354" s="170"/>
      <c r="N354" s="124">
        <f t="shared" si="11"/>
        <v>3</v>
      </c>
      <c r="O354" s="125">
        <v>5</v>
      </c>
      <c r="P354" s="109"/>
      <c r="Q354" s="51">
        <v>23653.675340598642</v>
      </c>
      <c r="R354" s="164">
        <v>23180.60183378667</v>
      </c>
      <c r="S354" s="12">
        <v>24107.825907138136</v>
      </c>
      <c r="T354" s="12">
        <v>25035.049980489603</v>
      </c>
      <c r="U354" s="12">
        <v>25382.759007996403</v>
      </c>
      <c r="V354" s="13"/>
      <c r="W354" s="175"/>
      <c r="X354" s="17"/>
      <c r="Y354" s="10"/>
    </row>
    <row r="355" spans="1:25">
      <c r="A355" s="132" t="s">
        <v>1326</v>
      </c>
      <c r="B355" s="50" t="str">
        <f>IFERROR(HYPERLINK(VLOOKUP(A355,ÜRÜNLER!A:C,3,FALSE),VLOOKUP(A355,ÜRÜNLER!A:B,2,FALSE)),"")</f>
        <v>iQ500 Gazlı Ocak, 75cm, 5 Gözlü, Sert Cam, Beyaz, Wok</v>
      </c>
      <c r="C355" s="8">
        <v>2</v>
      </c>
      <c r="D355" s="8"/>
      <c r="E355" s="9"/>
      <c r="F355" s="9"/>
      <c r="G355" s="10"/>
      <c r="H355" s="10"/>
      <c r="I355" s="11"/>
      <c r="J355" s="11"/>
      <c r="K355" s="10"/>
      <c r="L355" s="11"/>
      <c r="M355" s="170"/>
      <c r="N355" s="124">
        <f t="shared" si="11"/>
        <v>2</v>
      </c>
      <c r="O355" s="125">
        <v>6</v>
      </c>
      <c r="P355" s="109"/>
      <c r="Q355" s="51">
        <v>46740.386908154447</v>
      </c>
      <c r="R355" s="164">
        <v>45805.579169991361</v>
      </c>
      <c r="S355" s="12">
        <v>47637.802336791014</v>
      </c>
      <c r="T355" s="12">
        <v>49470.025503590667</v>
      </c>
      <c r="U355" s="12">
        <v>50157.109191140538</v>
      </c>
      <c r="V355" s="13"/>
      <c r="W355" s="175"/>
      <c r="X355" s="29">
        <v>500</v>
      </c>
      <c r="Y355" s="10"/>
    </row>
    <row r="356" spans="1:25">
      <c r="A356" s="132" t="s">
        <v>332</v>
      </c>
      <c r="B356" s="50" t="str">
        <f>IFERROR(HYPERLINK(VLOOKUP(A356,ÜRÜNLER!A:C,3,FALSE),VLOOKUP(A356,ÜRÜNLER!A:B,2,FALSE)),"")</f>
        <v>iQ500 Gazlı Ocak, 75cm, 5 Gözlü, Sert Cam, Beyaz, Döküm, Wok</v>
      </c>
      <c r="C356" s="8"/>
      <c r="D356" s="8"/>
      <c r="E356" s="9"/>
      <c r="F356" s="9"/>
      <c r="G356" s="10"/>
      <c r="H356" s="10"/>
      <c r="I356" s="11">
        <v>2</v>
      </c>
      <c r="J356" s="11">
        <v>1</v>
      </c>
      <c r="K356" s="10">
        <v>2</v>
      </c>
      <c r="L356" s="11">
        <v>1</v>
      </c>
      <c r="M356" s="170"/>
      <c r="N356" s="124">
        <f t="shared" si="11"/>
        <v>6</v>
      </c>
      <c r="O356" s="125"/>
      <c r="P356" s="109"/>
      <c r="Q356" s="72" t="s">
        <v>1561</v>
      </c>
      <c r="R356" s="19">
        <v>42000</v>
      </c>
      <c r="S356" s="12">
        <v>43680</v>
      </c>
      <c r="T356" s="12">
        <v>45360</v>
      </c>
      <c r="U356" s="12">
        <v>45990</v>
      </c>
      <c r="V356" s="13"/>
      <c r="W356" s="175"/>
      <c r="X356" s="29">
        <v>500</v>
      </c>
      <c r="Y356" s="10"/>
    </row>
    <row r="357" spans="1:25">
      <c r="A357" s="132" t="s">
        <v>333</v>
      </c>
      <c r="B357" s="50" t="str">
        <f>IFERROR(HYPERLINK(VLOOKUP(A357,ÜRÜNLER!A:C,3,FALSE),VLOOKUP(A357,ÜRÜNLER!A:B,2,FALSE)),"")</f>
        <v>iQ500 Gazlı Ocak, 75cm, 5 Gözlü, Sert Cam, Siyah, Wok</v>
      </c>
      <c r="C357" s="8"/>
      <c r="D357" s="8"/>
      <c r="E357" s="9"/>
      <c r="F357" s="9"/>
      <c r="G357" s="10"/>
      <c r="H357" s="10"/>
      <c r="I357" s="11">
        <v>1</v>
      </c>
      <c r="J357" s="11">
        <v>1</v>
      </c>
      <c r="K357" s="10">
        <v>2</v>
      </c>
      <c r="L357" s="11"/>
      <c r="M357" s="170"/>
      <c r="N357" s="124">
        <f t="shared" si="11"/>
        <v>4</v>
      </c>
      <c r="O357" s="125"/>
      <c r="P357" s="109"/>
      <c r="Q357" s="72" t="s">
        <v>1561</v>
      </c>
      <c r="R357" s="19">
        <v>42000</v>
      </c>
      <c r="S357" s="12">
        <v>43680</v>
      </c>
      <c r="T357" s="12">
        <v>45360</v>
      </c>
      <c r="U357" s="12">
        <v>45990</v>
      </c>
      <c r="V357" s="13"/>
      <c r="W357" s="175"/>
      <c r="X357" s="29">
        <v>500</v>
      </c>
      <c r="Y357" s="10"/>
    </row>
    <row r="358" spans="1:25">
      <c r="A358" s="21" t="s">
        <v>334</v>
      </c>
      <c r="B358" s="50" t="str">
        <f>IFERROR(HYPERLINK(VLOOKUP(A358,ÜRÜNLER!A:C,3,FALSE),VLOOKUP(A358,ÜRÜNLER!A:B,2,FALSE)),"")</f>
        <v>iQ500 Gazlı Ocak, 75cm, 5 Gözlü, Sert Cam, Siyah, Döküm, Wok</v>
      </c>
      <c r="C358" s="8"/>
      <c r="D358" s="8"/>
      <c r="E358" s="9"/>
      <c r="F358" s="9"/>
      <c r="G358" s="10"/>
      <c r="H358" s="10"/>
      <c r="I358" s="11">
        <v>1</v>
      </c>
      <c r="J358" s="11"/>
      <c r="K358" s="10"/>
      <c r="L358" s="11"/>
      <c r="M358" s="170"/>
      <c r="N358" s="124">
        <f t="shared" si="11"/>
        <v>1</v>
      </c>
      <c r="O358" s="125"/>
      <c r="P358" s="109"/>
      <c r="Q358" s="72" t="s">
        <v>1561</v>
      </c>
      <c r="R358" s="19">
        <v>42000</v>
      </c>
      <c r="S358" s="12">
        <v>43680</v>
      </c>
      <c r="T358" s="12">
        <v>45360</v>
      </c>
      <c r="U358" s="12">
        <v>45990</v>
      </c>
      <c r="V358" s="13"/>
      <c r="W358" s="175"/>
      <c r="X358" s="29">
        <v>500</v>
      </c>
      <c r="Y358" s="10"/>
    </row>
    <row r="359" spans="1:25">
      <c r="A359" s="21" t="s">
        <v>335</v>
      </c>
      <c r="B359" s="50" t="str">
        <f>IFERROR(HYPERLINK(VLOOKUP(A359,ÜRÜNLER!A:C,3,FALSE),VLOOKUP(A359,ÜRÜNLER!A:B,2,FALSE)),"")</f>
        <v>iQ500 Gazlı Ocak, 75cm, 5 Gözlü, Inox, Döküm, Wok</v>
      </c>
      <c r="C359" s="8">
        <v>2</v>
      </c>
      <c r="D359" s="8"/>
      <c r="E359" s="9"/>
      <c r="F359" s="9"/>
      <c r="G359" s="10"/>
      <c r="H359" s="10"/>
      <c r="I359" s="11"/>
      <c r="J359" s="11"/>
      <c r="K359" s="10"/>
      <c r="L359" s="11"/>
      <c r="M359" s="170"/>
      <c r="N359" s="124">
        <f t="shared" si="11"/>
        <v>2</v>
      </c>
      <c r="O359" s="125"/>
      <c r="P359" s="109"/>
      <c r="Q359" s="51">
        <v>42486.598085431142</v>
      </c>
      <c r="R359" s="164">
        <v>41636.866123722517</v>
      </c>
      <c r="S359" s="12">
        <v>43302.34076867142</v>
      </c>
      <c r="T359" s="12">
        <v>44967.815413620316</v>
      </c>
      <c r="U359" s="12">
        <v>45592.368405476154</v>
      </c>
      <c r="V359" s="13"/>
      <c r="W359" s="175"/>
      <c r="X359" s="29"/>
      <c r="Y359" s="10"/>
    </row>
    <row r="360" spans="1:25">
      <c r="A360" s="132" t="s">
        <v>336</v>
      </c>
      <c r="B360" s="50" t="str">
        <f>IFERROR(HYPERLINK(VLOOKUP(A360,ÜRÜNLER!A:C,3,FALSE),VLOOKUP(A360,ÜRÜNLER!A:B,2,FALSE)),"")</f>
        <v>iQ500 Gazlı Ocak, 75cm, 5 Gözlü, Inox, Döküm, Wok</v>
      </c>
      <c r="C360" s="8"/>
      <c r="D360" s="8"/>
      <c r="E360" s="9"/>
      <c r="F360" s="9"/>
      <c r="G360" s="10"/>
      <c r="H360" s="10"/>
      <c r="I360" s="11">
        <v>1</v>
      </c>
      <c r="J360" s="11"/>
      <c r="K360" s="10"/>
      <c r="L360" s="11"/>
      <c r="M360" s="170"/>
      <c r="N360" s="124">
        <f t="shared" si="11"/>
        <v>1</v>
      </c>
      <c r="O360" s="125"/>
      <c r="P360" s="109"/>
      <c r="Q360" s="72" t="s">
        <v>1561</v>
      </c>
      <c r="R360" s="19">
        <v>40000</v>
      </c>
      <c r="S360" s="12">
        <v>41600</v>
      </c>
      <c r="T360" s="12">
        <v>43200</v>
      </c>
      <c r="U360" s="12">
        <v>43800</v>
      </c>
      <c r="V360" s="13"/>
      <c r="W360" s="175"/>
      <c r="X360" s="29">
        <v>500</v>
      </c>
      <c r="Y360" s="10"/>
    </row>
    <row r="361" spans="1:25">
      <c r="A361" s="151" t="s">
        <v>337</v>
      </c>
      <c r="B361" s="50" t="str">
        <f>IFERROR(HYPERLINK(VLOOKUP(A361,ÜRÜNLER!A:C,3,FALSE),VLOOKUP(A361,ÜRÜNLER!A:B,2,FALSE)),"")</f>
        <v>iQ500 Gazlı Ocak, 90cm, 5 Gözlü, Sert Cam, Siyah, Döküm, Wok</v>
      </c>
      <c r="C361" s="8"/>
      <c r="D361" s="8"/>
      <c r="E361" s="9"/>
      <c r="F361" s="9"/>
      <c r="G361" s="10"/>
      <c r="H361" s="10"/>
      <c r="I361" s="11"/>
      <c r="J361" s="11"/>
      <c r="K361" s="10">
        <v>1</v>
      </c>
      <c r="L361" s="11"/>
      <c r="M361" s="170"/>
      <c r="N361" s="124">
        <f t="shared" si="11"/>
        <v>1</v>
      </c>
      <c r="O361" s="125"/>
      <c r="P361" s="109"/>
      <c r="Q361" s="72" t="s">
        <v>1561</v>
      </c>
      <c r="R361" s="19">
        <v>45000</v>
      </c>
      <c r="S361" s="12">
        <v>46800</v>
      </c>
      <c r="T361" s="12">
        <v>48600</v>
      </c>
      <c r="U361" s="12">
        <v>49275</v>
      </c>
      <c r="V361" s="13"/>
      <c r="W361" s="175"/>
      <c r="X361" s="29">
        <v>500</v>
      </c>
      <c r="Y361" s="10"/>
    </row>
    <row r="362" spans="1:25">
      <c r="A362" s="152" t="s">
        <v>338</v>
      </c>
      <c r="B362" s="50" t="str">
        <f>IFERROR(HYPERLINK(VLOOKUP(A362,ÜRÜNLER!A:C,3,FALSE),VLOOKUP(A362,ÜRÜNLER!A:B,2,FALSE)),"")</f>
        <v>iQ500 Gazlı Ocak, 90cm, 5 Gözlü, Sert Cam, Siyah, Döküm, Wok</v>
      </c>
      <c r="C362" s="8">
        <v>1</v>
      </c>
      <c r="D362" s="8"/>
      <c r="E362" s="9"/>
      <c r="F362" s="9">
        <v>2</v>
      </c>
      <c r="G362" s="10"/>
      <c r="H362" s="10"/>
      <c r="I362" s="11"/>
      <c r="J362" s="11">
        <v>1</v>
      </c>
      <c r="K362" s="10"/>
      <c r="L362" s="11"/>
      <c r="M362" s="170"/>
      <c r="N362" s="124">
        <f t="shared" si="11"/>
        <v>4</v>
      </c>
      <c r="O362" s="125"/>
      <c r="P362" s="109"/>
      <c r="Q362" s="51">
        <v>58307.611106003045</v>
      </c>
      <c r="R362" s="164">
        <v>57141.458883882988</v>
      </c>
      <c r="S362" s="12">
        <v>59427.117239238309</v>
      </c>
      <c r="T362" s="12">
        <v>61712.77559459363</v>
      </c>
      <c r="U362" s="12">
        <v>62569.897477851875</v>
      </c>
      <c r="V362" s="13"/>
      <c r="W362" s="175"/>
      <c r="X362" s="29">
        <v>500</v>
      </c>
      <c r="Y362" s="10"/>
    </row>
    <row r="363" spans="1:25">
      <c r="A363" s="21" t="s">
        <v>340</v>
      </c>
      <c r="B363" s="50" t="str">
        <f>IFERROR(HYPERLINK(VLOOKUP(A363,ÜRÜNLER!A:C,3,FALSE),VLOOKUP(A363,ÜRÜNLER!A:B,2,FALSE)),"")</f>
        <v>iQ500 Gazlı Ocak, 67cm, Sert Cam, Siyah, Wok, Döküm</v>
      </c>
      <c r="C363" s="8"/>
      <c r="D363" s="8"/>
      <c r="E363" s="9"/>
      <c r="F363" s="9"/>
      <c r="G363" s="10"/>
      <c r="H363" s="10"/>
      <c r="I363" s="11"/>
      <c r="J363" s="11"/>
      <c r="K363" s="10"/>
      <c r="L363" s="11"/>
      <c r="M363" s="170"/>
      <c r="N363" s="124">
        <f t="shared" si="11"/>
        <v>0</v>
      </c>
      <c r="O363" s="125"/>
      <c r="P363" s="109"/>
      <c r="Q363" s="51">
        <v>46740.386908154447</v>
      </c>
      <c r="R363" s="164">
        <v>45805.579169991361</v>
      </c>
      <c r="S363" s="12">
        <v>47637.802336791014</v>
      </c>
      <c r="T363" s="12">
        <v>49470.025503590667</v>
      </c>
      <c r="U363" s="12">
        <v>50157.109191140538</v>
      </c>
      <c r="V363" s="13"/>
      <c r="W363" s="175"/>
      <c r="X363" s="29"/>
      <c r="Y363" s="10"/>
    </row>
    <row r="364" spans="1:25">
      <c r="A364" s="151" t="s">
        <v>1322</v>
      </c>
      <c r="B364" s="50" t="str">
        <f>IFERROR(HYPERLINK(VLOOKUP(A364,ÜRÜNLER!A:C,3,FALSE),VLOOKUP(A364,ÜRÜNLER!A:B,2,FALSE)),"")</f>
        <v>iQ700 Gazlı Ocak, 90cm, 5 Gözlü, Sert Cam, Siyah, Döküm, Wok</v>
      </c>
      <c r="C364" s="8"/>
      <c r="D364" s="8">
        <v>1</v>
      </c>
      <c r="E364" s="9"/>
      <c r="F364" s="9"/>
      <c r="G364" s="10"/>
      <c r="H364" s="10"/>
      <c r="I364" s="11"/>
      <c r="J364" s="11"/>
      <c r="K364" s="10"/>
      <c r="L364" s="11"/>
      <c r="M364" s="170"/>
      <c r="N364" s="124">
        <f t="shared" ref="N364:N368" si="12">L364+M364+K364+J364+I364+H364+G364+F364+E364+D364+C364</f>
        <v>1</v>
      </c>
      <c r="O364" s="125"/>
      <c r="P364" s="109"/>
      <c r="Q364" s="180">
        <v>83434.48050000002</v>
      </c>
      <c r="R364" s="18">
        <v>75091.032450000013</v>
      </c>
      <c r="S364" s="12">
        <v>78094.673748000016</v>
      </c>
      <c r="T364" s="12">
        <v>81098.315046000018</v>
      </c>
      <c r="U364" s="12">
        <v>82224.680532750019</v>
      </c>
      <c r="V364" s="13"/>
      <c r="W364" s="175"/>
      <c r="X364" s="29"/>
      <c r="Y364" s="10"/>
    </row>
    <row r="365" spans="1:25">
      <c r="A365" s="151" t="s">
        <v>342</v>
      </c>
      <c r="B365" s="50" t="str">
        <f>IFERROR(HYPERLINK(VLOOKUP(A365,ÜRÜNLER!A:C,3,FALSE),VLOOKUP(A365,ÜRÜNLER!A:B,2,FALSE)),"")</f>
        <v>iQ700 Gazlı Ocak, 60cm, Seramik, Siyah, Döküm</v>
      </c>
      <c r="C365" s="8"/>
      <c r="D365" s="8"/>
      <c r="E365" s="9"/>
      <c r="F365" s="9"/>
      <c r="G365" s="10"/>
      <c r="H365" s="10"/>
      <c r="I365" s="11">
        <v>1</v>
      </c>
      <c r="J365" s="11"/>
      <c r="K365" s="10">
        <v>3</v>
      </c>
      <c r="L365" s="11"/>
      <c r="M365" s="170"/>
      <c r="N365" s="124">
        <f t="shared" si="12"/>
        <v>4</v>
      </c>
      <c r="O365" s="125"/>
      <c r="P365" s="109"/>
      <c r="Q365" s="72" t="s">
        <v>1561</v>
      </c>
      <c r="R365" s="19">
        <v>40000</v>
      </c>
      <c r="S365" s="12">
        <v>41600</v>
      </c>
      <c r="T365" s="12">
        <v>43200</v>
      </c>
      <c r="U365" s="12">
        <v>43800</v>
      </c>
      <c r="V365" s="13"/>
      <c r="W365" s="175"/>
      <c r="X365" s="29">
        <v>1000</v>
      </c>
      <c r="Y365" s="10"/>
    </row>
    <row r="366" spans="1:25">
      <c r="A366" s="21" t="s">
        <v>343</v>
      </c>
      <c r="B366" s="50" t="str">
        <f>IFERROR(HYPERLINK(VLOOKUP(A366,ÜRÜNLER!A:C,3,FALSE),VLOOKUP(A366,ÜRÜNLER!A:B,2,FALSE)),"")</f>
        <v>iQ500 Moduler Teppanyaki, 40cm, Inox</v>
      </c>
      <c r="C366" s="8">
        <v>2</v>
      </c>
      <c r="D366" s="8"/>
      <c r="E366" s="9"/>
      <c r="F366" s="9"/>
      <c r="G366" s="10"/>
      <c r="H366" s="10"/>
      <c r="I366" s="11"/>
      <c r="J366" s="11"/>
      <c r="K366" s="10"/>
      <c r="L366" s="11"/>
      <c r="M366" s="170"/>
      <c r="N366" s="124">
        <f t="shared" si="12"/>
        <v>2</v>
      </c>
      <c r="O366" s="125"/>
      <c r="P366" s="109"/>
      <c r="Q366" s="72" t="s">
        <v>1561</v>
      </c>
      <c r="R366" s="19">
        <v>100000</v>
      </c>
      <c r="S366" s="12">
        <v>104000</v>
      </c>
      <c r="T366" s="12">
        <v>108000</v>
      </c>
      <c r="U366" s="12">
        <v>109500</v>
      </c>
      <c r="V366" s="13"/>
      <c r="W366" s="175"/>
      <c r="X366" s="29">
        <v>1000</v>
      </c>
      <c r="Y366" s="10"/>
    </row>
    <row r="367" spans="1:25">
      <c r="A367" s="21" t="s">
        <v>341</v>
      </c>
      <c r="B367" s="50" t="str">
        <f>IFERROR(HYPERLINK(VLOOKUP(A367,ÜRÜNLER!A:C,3,FALSE),VLOOKUP(A367,ÜRÜNLER!A:B,2,FALSE)),"")</f>
        <v>iQ700 Gazlı Domino Ocak, 30cm, 2 Gözlü, Seramik, Siyah</v>
      </c>
      <c r="C367" s="8">
        <v>2</v>
      </c>
      <c r="D367" s="8"/>
      <c r="E367" s="9"/>
      <c r="F367" s="9">
        <v>1</v>
      </c>
      <c r="G367" s="10"/>
      <c r="H367" s="10"/>
      <c r="I367" s="11"/>
      <c r="J367" s="11"/>
      <c r="K367" s="10"/>
      <c r="L367" s="11"/>
      <c r="M367" s="170"/>
      <c r="N367" s="124">
        <f t="shared" si="12"/>
        <v>3</v>
      </c>
      <c r="O367" s="125"/>
      <c r="P367" s="109"/>
      <c r="Q367" s="72" t="s">
        <v>1561</v>
      </c>
      <c r="R367" s="19">
        <v>35000</v>
      </c>
      <c r="S367" s="12">
        <v>36400</v>
      </c>
      <c r="T367" s="12">
        <v>37800</v>
      </c>
      <c r="U367" s="12">
        <v>38325</v>
      </c>
      <c r="V367" s="13"/>
      <c r="W367" s="175"/>
      <c r="X367" s="29">
        <v>500</v>
      </c>
      <c r="Y367" s="10"/>
    </row>
    <row r="368" spans="1:25">
      <c r="A368" s="21" t="s">
        <v>339</v>
      </c>
      <c r="B368" s="50" t="str">
        <f>IFERROR(HYPERLINK(VLOOKUP(A368,ÜRÜNLER!A:C,3,FALSE),VLOOKUP(A368,ÜRÜNLER!A:B,2,FALSE)),"")</f>
        <v>iQ700 Gazlı Domino Ocak, 30cm, Tek Gözlü, Seramik, Siyah, Wok</v>
      </c>
      <c r="C368" s="8">
        <v>5</v>
      </c>
      <c r="D368" s="8"/>
      <c r="E368" s="9"/>
      <c r="F368" s="9"/>
      <c r="G368" s="10"/>
      <c r="H368" s="10"/>
      <c r="I368" s="11"/>
      <c r="J368" s="11"/>
      <c r="K368" s="10"/>
      <c r="L368" s="11"/>
      <c r="M368" s="170"/>
      <c r="N368" s="124">
        <f t="shared" si="12"/>
        <v>5</v>
      </c>
      <c r="O368" s="125"/>
      <c r="P368" s="109"/>
      <c r="Q368" s="72" t="s">
        <v>1561</v>
      </c>
      <c r="R368" s="19">
        <v>35000</v>
      </c>
      <c r="S368" s="12">
        <v>36400</v>
      </c>
      <c r="T368" s="12">
        <v>37800</v>
      </c>
      <c r="U368" s="12">
        <v>38325</v>
      </c>
      <c r="V368" s="13"/>
      <c r="W368" s="175"/>
      <c r="X368" s="29">
        <v>500</v>
      </c>
      <c r="Y368" s="10"/>
    </row>
    <row r="369" spans="1:25" ht="27.75" customHeight="1">
      <c r="A369" s="56" t="s">
        <v>344</v>
      </c>
      <c r="B369" s="50" t="str">
        <f>IFERROR(HYPERLINK(VLOOKUP(A369,ÜRÜNLER!A:C,3,FALSE),VLOOKUP(A369,ÜRÜNLER!A:B,2,FALSE)),"")</f>
        <v/>
      </c>
      <c r="C369" s="8"/>
      <c r="D369" s="8"/>
      <c r="E369" s="9"/>
      <c r="F369" s="9"/>
      <c r="G369" s="10"/>
      <c r="H369" s="10"/>
      <c r="I369" s="11"/>
      <c r="J369" s="11"/>
      <c r="K369" s="10"/>
      <c r="L369" s="11"/>
      <c r="M369" s="170"/>
      <c r="N369" s="124">
        <f>SUM(N301:N368)</f>
        <v>293</v>
      </c>
      <c r="O369" s="125"/>
      <c r="P369" s="9"/>
      <c r="Q369" s="72"/>
      <c r="R369" s="19"/>
      <c r="S369" s="12"/>
      <c r="T369" s="12"/>
      <c r="U369" s="12"/>
      <c r="V369" s="13"/>
      <c r="W369" s="175"/>
      <c r="X369" s="17"/>
      <c r="Y369" s="10"/>
    </row>
    <row r="370" spans="1:25">
      <c r="A370" s="132" t="s">
        <v>345</v>
      </c>
      <c r="B370" s="50" t="str">
        <f>IFERROR(HYPERLINK(VLOOKUP(A370,ÜRÜNLER!A:C,3,FALSE),VLOOKUP(A370,ÜRÜNLER!A:B,2,FALSE)),"")</f>
        <v>iQ100 Elektrikli Ocak, 60cm, Çerçevesiz, Siyah</v>
      </c>
      <c r="C370" s="8"/>
      <c r="D370" s="8"/>
      <c r="E370" s="9"/>
      <c r="F370" s="9"/>
      <c r="G370" s="10"/>
      <c r="H370" s="10"/>
      <c r="I370" s="11">
        <v>1</v>
      </c>
      <c r="J370" s="11">
        <v>1</v>
      </c>
      <c r="K370" s="10">
        <v>1</v>
      </c>
      <c r="L370" s="11">
        <v>1</v>
      </c>
      <c r="M370" s="170"/>
      <c r="N370" s="124">
        <f>L370+M370+K370+J370+I370+H370+G370+F370+E370+D370+C370</f>
        <v>4</v>
      </c>
      <c r="O370" s="125">
        <v>10</v>
      </c>
      <c r="P370" s="109"/>
      <c r="Q370" s="51">
        <v>23262.578283286963</v>
      </c>
      <c r="R370" s="164">
        <v>22797.326717621225</v>
      </c>
      <c r="S370" s="12">
        <v>23709.219786326074</v>
      </c>
      <c r="T370" s="12">
        <v>24621.112855030922</v>
      </c>
      <c r="U370" s="12">
        <v>24963.072755795241</v>
      </c>
      <c r="V370" s="13"/>
      <c r="W370" s="175"/>
      <c r="X370" s="17"/>
      <c r="Y370" s="182">
        <v>2</v>
      </c>
    </row>
    <row r="371" spans="1:25">
      <c r="A371" s="132" t="s">
        <v>346</v>
      </c>
      <c r="B371" s="50" t="str">
        <f>IFERROR(HYPERLINK(VLOOKUP(A371,ÜRÜNLER!A:C,3,FALSE),VLOOKUP(A371,ÜRÜNLER!A:B,2,FALSE)),"")</f>
        <v>iQ100 Elektrikli Ocak, 60cm, Çerçevesiz, Beyaz</v>
      </c>
      <c r="C371" s="8">
        <v>7</v>
      </c>
      <c r="D371" s="8"/>
      <c r="E371" s="9"/>
      <c r="F371" s="9"/>
      <c r="G371" s="10"/>
      <c r="H371" s="10"/>
      <c r="I371" s="11">
        <v>2</v>
      </c>
      <c r="J371" s="11"/>
      <c r="K371" s="10"/>
      <c r="L371" s="11"/>
      <c r="M371" s="170"/>
      <c r="N371" s="124">
        <f>L371+M371+K371+J371+I371+H371+G371+F371+E371+D371+C371</f>
        <v>9</v>
      </c>
      <c r="O371" s="125">
        <v>1</v>
      </c>
      <c r="P371" s="109"/>
      <c r="Q371" s="51">
        <v>28983.858996296647</v>
      </c>
      <c r="R371" s="164">
        <v>28404.181816370714</v>
      </c>
      <c r="S371" s="12">
        <v>29540.349089025542</v>
      </c>
      <c r="T371" s="12">
        <v>30676.516361680369</v>
      </c>
      <c r="U371" s="12">
        <v>31102.579088925933</v>
      </c>
      <c r="V371" s="13"/>
      <c r="W371" s="175"/>
      <c r="X371" s="17"/>
      <c r="Y371" s="182">
        <v>5</v>
      </c>
    </row>
    <row r="372" spans="1:25">
      <c r="A372" s="132" t="s">
        <v>347</v>
      </c>
      <c r="B372" s="50" t="str">
        <f>IFERROR(HYPERLINK(VLOOKUP(A372,ÜRÜNLER!A:C,3,FALSE),VLOOKUP(A372,ÜRÜNLER!A:B,2,FALSE)),"")</f>
        <v>iQ300 Elektrikli Ocak, 60cm, Çerçevesiz, Siyah</v>
      </c>
      <c r="C372" s="8">
        <v>14</v>
      </c>
      <c r="D372" s="8"/>
      <c r="E372" s="9"/>
      <c r="F372" s="9"/>
      <c r="G372" s="10">
        <v>1</v>
      </c>
      <c r="H372" s="10"/>
      <c r="I372" s="11"/>
      <c r="J372" s="11"/>
      <c r="K372" s="10"/>
      <c r="L372" s="11"/>
      <c r="M372" s="170"/>
      <c r="N372" s="124">
        <f>L372+M372+K372+J372+I372+H372+G372+F372+E372+D372+C372</f>
        <v>15</v>
      </c>
      <c r="O372" s="125">
        <v>1</v>
      </c>
      <c r="P372" s="109"/>
      <c r="Q372" s="51">
        <v>28735.932096727462</v>
      </c>
      <c r="R372" s="164">
        <v>28161.213454792913</v>
      </c>
      <c r="S372" s="12">
        <v>29287.661992984627</v>
      </c>
      <c r="T372" s="12">
        <v>30414.110531176346</v>
      </c>
      <c r="U372" s="12">
        <v>30836.528732998238</v>
      </c>
      <c r="V372" s="13"/>
      <c r="W372" s="175"/>
      <c r="X372" s="17"/>
      <c r="Y372" s="182">
        <v>6</v>
      </c>
    </row>
    <row r="373" spans="1:25">
      <c r="A373" s="132" t="s">
        <v>348</v>
      </c>
      <c r="B373" s="50" t="str">
        <f>IFERROR(HYPERLINK(VLOOKUP(A373,ÜRÜNLER!A:C,3,FALSE),VLOOKUP(A373,ÜRÜNLER!A:B,2,FALSE)),"")</f>
        <v>iQ300 Elektrikli Ocak, 70cm, Çerçeveli, Siyah</v>
      </c>
      <c r="C373" s="8"/>
      <c r="D373" s="8"/>
      <c r="E373" s="9"/>
      <c r="F373" s="9">
        <v>1</v>
      </c>
      <c r="G373" s="10"/>
      <c r="H373" s="10"/>
      <c r="I373" s="11">
        <v>1</v>
      </c>
      <c r="J373" s="11"/>
      <c r="K373" s="10"/>
      <c r="L373" s="11"/>
      <c r="M373" s="170"/>
      <c r="N373" s="124">
        <f>L373+M373+K373+J373+I373+H373+G373+F373+E373+D373+C373</f>
        <v>2</v>
      </c>
      <c r="O373" s="125"/>
      <c r="P373" s="109"/>
      <c r="Q373" s="72" t="s">
        <v>1561</v>
      </c>
      <c r="R373" s="75">
        <v>50000</v>
      </c>
      <c r="S373" s="12">
        <v>52000</v>
      </c>
      <c r="T373" s="12">
        <v>54000</v>
      </c>
      <c r="U373" s="12">
        <v>54750</v>
      </c>
      <c r="V373" s="13"/>
      <c r="W373" s="175"/>
      <c r="X373" s="29">
        <v>1000</v>
      </c>
      <c r="Y373" s="10"/>
    </row>
    <row r="374" spans="1:25">
      <c r="A374" s="132" t="s">
        <v>349</v>
      </c>
      <c r="B374" s="50" t="str">
        <f>IFERROR(HYPERLINK(VLOOKUP(A374,ÜRÜNLER!A:C,3,FALSE),VLOOKUP(A374,ÜRÜNLER!A:B,2,FALSE)),"")</f>
        <v>iQ500 Elektrikli Ocak, 80cm, Çerçeveli, Siyah</v>
      </c>
      <c r="C374" s="8">
        <v>6</v>
      </c>
      <c r="D374" s="8"/>
      <c r="E374" s="9"/>
      <c r="F374" s="9"/>
      <c r="G374" s="10"/>
      <c r="H374" s="10"/>
      <c r="I374" s="11"/>
      <c r="J374" s="11"/>
      <c r="K374" s="10"/>
      <c r="L374" s="11"/>
      <c r="M374" s="170"/>
      <c r="N374" s="124">
        <f>L374+M374+K374+J374+I374+H374+G374+F374+E374+D374+C374</f>
        <v>6</v>
      </c>
      <c r="O374" s="125">
        <v>1</v>
      </c>
      <c r="P374" s="109"/>
      <c r="Q374" s="51">
        <v>55805.994381820739</v>
      </c>
      <c r="R374" s="164">
        <v>54689.874494184325</v>
      </c>
      <c r="S374" s="12">
        <v>56877.4694739517</v>
      </c>
      <c r="T374" s="12">
        <v>59065.064453719067</v>
      </c>
      <c r="U374" s="12">
        <v>59885.412571131834</v>
      </c>
      <c r="V374" s="13"/>
      <c r="W374" s="175"/>
      <c r="X374" s="17"/>
      <c r="Y374" s="182">
        <v>1</v>
      </c>
    </row>
    <row r="375" spans="1:25" ht="30">
      <c r="A375" s="56" t="s">
        <v>350</v>
      </c>
      <c r="B375" s="50" t="str">
        <f>IFERROR(HYPERLINK(VLOOKUP(A375,ÜRÜNLER!A:C,3,FALSE),VLOOKUP(A375,ÜRÜNLER!A:B,2,FALSE)),"")</f>
        <v/>
      </c>
      <c r="C375" s="8"/>
      <c r="D375" s="8"/>
      <c r="E375" s="9"/>
      <c r="F375" s="9"/>
      <c r="G375" s="10"/>
      <c r="H375" s="10"/>
      <c r="I375" s="11"/>
      <c r="J375" s="11"/>
      <c r="K375" s="10"/>
      <c r="L375" s="11"/>
      <c r="M375" s="170"/>
      <c r="N375" s="124"/>
      <c r="O375" s="125"/>
      <c r="P375" s="9"/>
      <c r="Q375" s="72"/>
      <c r="R375" s="19"/>
      <c r="S375" s="12"/>
      <c r="T375" s="12"/>
      <c r="U375" s="12"/>
      <c r="V375" s="13"/>
      <c r="W375" s="175"/>
      <c r="X375" s="17"/>
      <c r="Y375" s="10"/>
    </row>
    <row r="376" spans="1:25">
      <c r="A376" s="132" t="s">
        <v>351</v>
      </c>
      <c r="B376" s="50" t="str">
        <f>IFERROR(HYPERLINK(VLOOKUP(A376,ÜRÜNLER!A:C,3,FALSE),VLOOKUP(A376,ÜRÜNLER!A:B,2,FALSE)),"")</f>
        <v>iQ100 İndüksiyonlu Ocak, 60cm, Çerçevesiz, Siyah</v>
      </c>
      <c r="C376" s="8">
        <v>4</v>
      </c>
      <c r="D376" s="8"/>
      <c r="E376" s="9">
        <v>1</v>
      </c>
      <c r="F376" s="9"/>
      <c r="G376" s="10"/>
      <c r="H376" s="10"/>
      <c r="I376" s="11">
        <v>1</v>
      </c>
      <c r="J376" s="11">
        <v>1</v>
      </c>
      <c r="K376" s="10"/>
      <c r="L376" s="11">
        <v>1</v>
      </c>
      <c r="M376" s="170"/>
      <c r="N376" s="124">
        <f t="shared" ref="N376:N383" si="13">L376+M376+K376+J376+I376+H376+G376+F376+E376+D376+C376</f>
        <v>8</v>
      </c>
      <c r="O376" s="125">
        <v>6</v>
      </c>
      <c r="P376" s="109"/>
      <c r="Q376" s="51">
        <v>23281.704532964541</v>
      </c>
      <c r="R376" s="164">
        <v>22816.070442305248</v>
      </c>
      <c r="S376" s="12">
        <v>23728.713259997457</v>
      </c>
      <c r="T376" s="12">
        <v>24641.35607768967</v>
      </c>
      <c r="U376" s="12">
        <v>24983.597134324249</v>
      </c>
      <c r="V376" s="13"/>
      <c r="W376" s="175"/>
      <c r="X376" s="17"/>
      <c r="Y376" s="10"/>
    </row>
    <row r="377" spans="1:25">
      <c r="A377" s="22" t="s">
        <v>352</v>
      </c>
      <c r="B377" s="50" t="str">
        <f>IFERROR(HYPERLINK(VLOOKUP(A377,ÜRÜNLER!A:C,3,FALSE),VLOOKUP(A377,ÜRÜNLER!A:B,2,FALSE)),"")</f>
        <v>iQ700 İndüksiyonlu Ocak, 60cm, Çerçeveli, Siyah</v>
      </c>
      <c r="C377" s="8">
        <v>2</v>
      </c>
      <c r="D377" s="8"/>
      <c r="E377" s="9"/>
      <c r="F377" s="9"/>
      <c r="G377" s="10">
        <v>1</v>
      </c>
      <c r="H377" s="10"/>
      <c r="I377" s="11"/>
      <c r="J377" s="11"/>
      <c r="K377" s="10"/>
      <c r="L377" s="11"/>
      <c r="M377" s="170"/>
      <c r="N377" s="124">
        <f t="shared" si="13"/>
        <v>3</v>
      </c>
      <c r="O377" s="125">
        <v>1</v>
      </c>
      <c r="P377" s="109"/>
      <c r="Q377" s="51">
        <v>74618.676432579814</v>
      </c>
      <c r="R377" s="18">
        <v>70887.742610950823</v>
      </c>
      <c r="S377" s="12">
        <v>73723.252315388861</v>
      </c>
      <c r="T377" s="12">
        <v>76558.762019826885</v>
      </c>
      <c r="U377" s="12">
        <v>77622.078158991149</v>
      </c>
      <c r="V377" s="13"/>
      <c r="W377" s="175"/>
      <c r="X377" s="29">
        <v>500</v>
      </c>
      <c r="Y377" s="10"/>
    </row>
    <row r="378" spans="1:25">
      <c r="A378" s="22" t="s">
        <v>353</v>
      </c>
      <c r="B378" s="50" t="str">
        <f>IFERROR(HYPERLINK(VLOOKUP(A378,ÜRÜNLER!A:C,3,FALSE),VLOOKUP(A378,ÜRÜNLER!A:B,2,FALSE)),"")</f>
        <v>iQ700 studioLine İndüksiyonlu Ocak, 80cm, FlushMount, Siyah</v>
      </c>
      <c r="C378" s="8"/>
      <c r="D378" s="8">
        <v>3</v>
      </c>
      <c r="E378" s="9"/>
      <c r="F378" s="9"/>
      <c r="G378" s="10"/>
      <c r="H378" s="10"/>
      <c r="I378" s="11"/>
      <c r="J378" s="11"/>
      <c r="K378" s="10"/>
      <c r="L378" s="11"/>
      <c r="M378" s="170"/>
      <c r="N378" s="124">
        <f t="shared" si="13"/>
        <v>3</v>
      </c>
      <c r="O378" s="125"/>
      <c r="P378" s="109"/>
      <c r="Q378" s="180">
        <v>85363.64886690701</v>
      </c>
      <c r="R378" s="18">
        <v>76827.283980216307</v>
      </c>
      <c r="S378" s="12">
        <v>79900.375339424965</v>
      </c>
      <c r="T378" s="12">
        <v>82973.466698633609</v>
      </c>
      <c r="U378" s="12">
        <v>84125.875958336852</v>
      </c>
      <c r="V378" s="13"/>
      <c r="W378" s="175"/>
      <c r="X378" s="29">
        <v>500</v>
      </c>
      <c r="Y378" s="10"/>
    </row>
    <row r="379" spans="1:25">
      <c r="A379" s="22" t="s">
        <v>354</v>
      </c>
      <c r="B379" s="50" t="str">
        <f>IFERROR(HYPERLINK(VLOOKUP(A379,ÜRÜNLER!A:C,3,FALSE),VLOOKUP(A379,ÜRÜNLER!A:B,2,FALSE)),"")</f>
        <v>iQ700 studioLine İndüksiyonlu Ocak, 80cm, FlushMount, Siyah</v>
      </c>
      <c r="C379" s="8"/>
      <c r="D379" s="8">
        <v>3</v>
      </c>
      <c r="E379" s="9"/>
      <c r="F379" s="9"/>
      <c r="G379" s="10"/>
      <c r="H379" s="10">
        <v>1</v>
      </c>
      <c r="I379" s="11"/>
      <c r="J379" s="11"/>
      <c r="K379" s="10"/>
      <c r="L379" s="11"/>
      <c r="M379" s="170"/>
      <c r="N379" s="124">
        <f t="shared" si="13"/>
        <v>4</v>
      </c>
      <c r="O379" s="125"/>
      <c r="P379" s="109"/>
      <c r="Q379" s="72" t="s">
        <v>1561</v>
      </c>
      <c r="R379" s="18">
        <v>105000</v>
      </c>
      <c r="S379" s="12">
        <v>109200</v>
      </c>
      <c r="T379" s="12">
        <v>113400</v>
      </c>
      <c r="U379" s="12">
        <v>114975</v>
      </c>
      <c r="V379" s="13"/>
      <c r="W379" s="175"/>
      <c r="X379" s="29">
        <v>500</v>
      </c>
      <c r="Y379" s="10"/>
    </row>
    <row r="380" spans="1:25">
      <c r="A380" s="132" t="s">
        <v>358</v>
      </c>
      <c r="B380" s="50" t="str">
        <f>IFERROR(HYPERLINK(VLOOKUP(A380,ÜRÜNLER!A:C,3,FALSE),VLOOKUP(A380,ÜRÜNLER!A:B,2,FALSE)),"")</f>
        <v>iQ300 İndüksiyonlu Ocak, 90cm, Çerçeveli, Siyah</v>
      </c>
      <c r="C380" s="8">
        <v>2</v>
      </c>
      <c r="D380" s="8"/>
      <c r="E380" s="9"/>
      <c r="F380" s="9"/>
      <c r="G380" s="10"/>
      <c r="H380" s="10"/>
      <c r="I380" s="11"/>
      <c r="J380" s="11">
        <v>1</v>
      </c>
      <c r="K380" s="10">
        <v>1</v>
      </c>
      <c r="L380" s="11"/>
      <c r="M380" s="170"/>
      <c r="N380" s="124">
        <f t="shared" si="13"/>
        <v>4</v>
      </c>
      <c r="O380" s="125"/>
      <c r="P380" s="109"/>
      <c r="Q380" s="51">
        <v>99132.769308640331</v>
      </c>
      <c r="R380" s="18">
        <v>94176.130843208317</v>
      </c>
      <c r="S380" s="12">
        <v>97943.176076936652</v>
      </c>
      <c r="T380" s="12">
        <v>101710.22131066499</v>
      </c>
      <c r="U380" s="12">
        <v>103122.86327331311</v>
      </c>
      <c r="V380" s="13"/>
      <c r="W380" s="175"/>
      <c r="X380" s="29">
        <v>1000</v>
      </c>
      <c r="Y380" s="10"/>
    </row>
    <row r="381" spans="1:25">
      <c r="A381" s="132" t="s">
        <v>1507</v>
      </c>
      <c r="B381" s="50" t="str">
        <f>IFERROR(HYPERLINK(VLOOKUP(A381,ÜRÜNLER!A:C,3,FALSE),VLOOKUP(A381,ÜRÜNLER!A:B,2,FALSE)),"")</f>
        <v>iQ700 studioLine İndüksiyonlu Ocak, 90cm, FlushMount, Siyah</v>
      </c>
      <c r="C381" s="8"/>
      <c r="D381" s="8">
        <v>3</v>
      </c>
      <c r="E381" s="9"/>
      <c r="F381" s="9"/>
      <c r="G381" s="10"/>
      <c r="H381" s="10"/>
      <c r="I381" s="11"/>
      <c r="J381" s="11"/>
      <c r="K381" s="10"/>
      <c r="L381" s="11"/>
      <c r="M381" s="170"/>
      <c r="N381" s="124">
        <f t="shared" si="13"/>
        <v>3</v>
      </c>
      <c r="O381" s="125"/>
      <c r="P381" s="109"/>
      <c r="Q381" s="180">
        <v>126683.94117647062</v>
      </c>
      <c r="R381" s="25">
        <v>126684</v>
      </c>
      <c r="S381" s="12">
        <v>131751.35999999999</v>
      </c>
      <c r="T381" s="12">
        <v>136818.72</v>
      </c>
      <c r="U381" s="12">
        <v>138718.98000000001</v>
      </c>
      <c r="V381" s="13"/>
      <c r="W381" s="175"/>
      <c r="X381" s="29"/>
      <c r="Y381" s="10"/>
    </row>
    <row r="382" spans="1:25">
      <c r="A382" s="22" t="s">
        <v>359</v>
      </c>
      <c r="B382" s="50" t="str">
        <f>IFERROR(HYPERLINK(VLOOKUP(A382,ÜRÜNLER!A:C,3,FALSE),VLOOKUP(A382,ÜRÜNLER!A:B,2,FALSE)),"")</f>
        <v>iQ700 İndüksiyonlu Ocak, 90cm, Çerçeveli, Siyah</v>
      </c>
      <c r="C382" s="8">
        <v>4</v>
      </c>
      <c r="D382" s="8"/>
      <c r="E382" s="9"/>
      <c r="F382" s="9">
        <v>1</v>
      </c>
      <c r="G382" s="10"/>
      <c r="H382" s="10"/>
      <c r="I382" s="11"/>
      <c r="J382" s="11"/>
      <c r="K382" s="10"/>
      <c r="L382" s="11"/>
      <c r="M382" s="170"/>
      <c r="N382" s="124">
        <f t="shared" si="13"/>
        <v>5</v>
      </c>
      <c r="O382" s="125"/>
      <c r="P382" s="109"/>
      <c r="Q382" s="51">
        <v>107412.23392252582</v>
      </c>
      <c r="R382" s="18">
        <v>102041.62222639953</v>
      </c>
      <c r="S382" s="12">
        <v>106123.28711545552</v>
      </c>
      <c r="T382" s="12">
        <v>110204.95200451149</v>
      </c>
      <c r="U382" s="12">
        <v>111735.57633790749</v>
      </c>
      <c r="V382" s="13"/>
      <c r="W382" s="175"/>
      <c r="X382" s="29">
        <v>1000</v>
      </c>
      <c r="Y382" s="10"/>
    </row>
    <row r="383" spans="1:25">
      <c r="A383" s="132" t="s">
        <v>1557</v>
      </c>
      <c r="B383" s="50" t="str">
        <f>IFERROR(HYPERLINK(VLOOKUP(A383,ÜRÜNLER!A:C,3,FALSE),VLOOKUP(A383,ÜRÜNLER!A:B,2,FALSE)),"")</f>
        <v>iQ500 İndüksiyonlu Ocak, 60cm, Çerçevesiz, Siyah</v>
      </c>
      <c r="C383" s="8"/>
      <c r="D383" s="8"/>
      <c r="E383" s="9"/>
      <c r="F383" s="9"/>
      <c r="G383" s="10"/>
      <c r="H383" s="10"/>
      <c r="I383" s="11"/>
      <c r="J383" s="11"/>
      <c r="K383" s="10"/>
      <c r="L383" s="11"/>
      <c r="M383" s="170"/>
      <c r="N383" s="124">
        <f t="shared" si="13"/>
        <v>0</v>
      </c>
      <c r="O383" s="125"/>
      <c r="P383" s="109"/>
      <c r="Q383" s="51">
        <v>54835.799200000009</v>
      </c>
      <c r="R383" s="18">
        <v>52094.009240000007</v>
      </c>
      <c r="S383" s="12">
        <v>54177.769609600007</v>
      </c>
      <c r="T383" s="12">
        <v>56261.529979200008</v>
      </c>
      <c r="U383" s="12">
        <v>57042.940117800004</v>
      </c>
      <c r="V383" s="13"/>
      <c r="W383" s="175"/>
      <c r="X383" s="29"/>
      <c r="Y383" s="10"/>
    </row>
    <row r="384" spans="1:25" ht="33.75">
      <c r="A384" s="57" t="s">
        <v>474</v>
      </c>
      <c r="B384" s="50" t="str">
        <f>IFERROR(HYPERLINK(VLOOKUP(A384,ÜRÜNLER!A:C,3,FALSE),VLOOKUP(A384,ÜRÜNLER!A:B,2,FALSE)),"")</f>
        <v/>
      </c>
      <c r="C384" s="8"/>
      <c r="D384" s="8"/>
      <c r="E384" s="9"/>
      <c r="F384" s="9"/>
      <c r="G384" s="10"/>
      <c r="H384" s="10"/>
      <c r="I384" s="11"/>
      <c r="J384" s="11"/>
      <c r="K384" s="10"/>
      <c r="L384" s="11"/>
      <c r="M384" s="170"/>
      <c r="N384" s="124"/>
      <c r="O384" s="125"/>
      <c r="P384" s="9"/>
      <c r="Q384" s="72"/>
      <c r="R384" s="19"/>
      <c r="S384" s="12"/>
      <c r="T384" s="12"/>
      <c r="U384" s="12"/>
      <c r="V384" s="13"/>
      <c r="W384" s="175"/>
      <c r="X384" s="17"/>
      <c r="Y384" s="10"/>
    </row>
    <row r="385" spans="1:25">
      <c r="A385" s="132" t="s">
        <v>465</v>
      </c>
      <c r="B385" s="50" t="str">
        <f>IFERROR(HYPERLINK(VLOOKUP(A385,ÜRÜNLER!A:C,3,FALSE),VLOOKUP(A385,ÜRÜNLER!A:B,2,FALSE)),"")</f>
        <v>iQ300 Davlumbaz Entegreli İndüksiyonlu Ocak, 80cm, Çerçevesiz, Siyah</v>
      </c>
      <c r="C385" s="8">
        <v>5</v>
      </c>
      <c r="D385" s="8"/>
      <c r="E385" s="9"/>
      <c r="F385" s="9"/>
      <c r="G385" s="10"/>
      <c r="H385" s="10"/>
      <c r="I385" s="11"/>
      <c r="J385" s="11"/>
      <c r="K385" s="10"/>
      <c r="L385" s="11"/>
      <c r="M385" s="170"/>
      <c r="N385" s="124">
        <f>L385+M385+K385+J385+I385+H385+G385+F385+E385+D385+C385</f>
        <v>5</v>
      </c>
      <c r="O385" s="125"/>
      <c r="P385" s="109"/>
      <c r="Q385" s="51">
        <v>85075.701835391345</v>
      </c>
      <c r="R385" s="164">
        <v>83374.187798683517</v>
      </c>
      <c r="S385" s="12">
        <v>86709.155310630857</v>
      </c>
      <c r="T385" s="12">
        <v>90044.122822578196</v>
      </c>
      <c r="U385" s="12">
        <v>91294.73563955845</v>
      </c>
      <c r="V385" s="13"/>
      <c r="W385" s="175"/>
      <c r="X385" s="29">
        <v>500</v>
      </c>
      <c r="Y385" s="10"/>
    </row>
    <row r="386" spans="1:25">
      <c r="A386" s="132" t="s">
        <v>357</v>
      </c>
      <c r="B386" s="50" t="str">
        <f>IFERROR(HYPERLINK(VLOOKUP(A386,ÜRÜNLER!A:C,3,FALSE),VLOOKUP(A386,ÜRÜNLER!A:B,2,FALSE)),"")</f>
        <v>iQ300 Davlumbaz Entegreli İndüksiyonlu Ocak, 80cm, Çerçevesiz, Siyah</v>
      </c>
      <c r="C386" s="8"/>
      <c r="D386" s="8"/>
      <c r="E386" s="9"/>
      <c r="F386" s="9">
        <v>1</v>
      </c>
      <c r="G386" s="10"/>
      <c r="H386" s="10"/>
      <c r="I386" s="11"/>
      <c r="J386" s="11"/>
      <c r="K386" s="10"/>
      <c r="L386" s="11"/>
      <c r="M386" s="170"/>
      <c r="N386" s="124">
        <f>L386+M386+K386+J386+I386+H386+G386+F386+E386+D386+C386</f>
        <v>1</v>
      </c>
      <c r="O386" s="125"/>
      <c r="P386" s="109"/>
      <c r="Q386" s="72" t="s">
        <v>1561</v>
      </c>
      <c r="R386" s="19">
        <v>80000</v>
      </c>
      <c r="S386" s="12">
        <v>83200</v>
      </c>
      <c r="T386" s="12">
        <v>86400</v>
      </c>
      <c r="U386" s="12">
        <v>87600</v>
      </c>
      <c r="V386" s="13"/>
      <c r="W386" s="175"/>
      <c r="X386" s="29">
        <v>1000</v>
      </c>
      <c r="Y386" s="10"/>
    </row>
    <row r="387" spans="1:25">
      <c r="A387" s="132" t="s">
        <v>464</v>
      </c>
      <c r="B387" s="50" t="str">
        <f>IFERROR(HYPERLINK(VLOOKUP(A387,ÜRÜNLER!A:C,3,FALSE),VLOOKUP(A387,ÜRÜNLER!A:B,2,FALSE)),"")</f>
        <v>iQ700 Davlumbaz Entegreli İndüksiyonlu Ocak, 80cm, Çerçeveli, Siyah</v>
      </c>
      <c r="C387" s="8">
        <v>1</v>
      </c>
      <c r="D387" s="8"/>
      <c r="E387" s="9"/>
      <c r="F387" s="9"/>
      <c r="G387" s="10"/>
      <c r="H387" s="10"/>
      <c r="I387" s="11"/>
      <c r="J387" s="11"/>
      <c r="K387" s="10"/>
      <c r="L387" s="11"/>
      <c r="M387" s="170"/>
      <c r="N387" s="124">
        <f>L387+M387+K387+J387+I387+H387+G387+F387+E387+D387+C387</f>
        <v>1</v>
      </c>
      <c r="O387" s="125">
        <v>1</v>
      </c>
      <c r="P387" s="109"/>
      <c r="Q387" s="51">
        <v>98924.793576776079</v>
      </c>
      <c r="R387" s="25">
        <v>95119.993823823155</v>
      </c>
      <c r="S387" s="12">
        <v>98924.793576776079</v>
      </c>
      <c r="T387" s="12">
        <v>102729.593329729</v>
      </c>
      <c r="U387" s="12">
        <v>104156.39323708636</v>
      </c>
      <c r="V387" s="13"/>
      <c r="W387" s="175"/>
      <c r="X387" s="29">
        <v>500</v>
      </c>
      <c r="Y387" s="10"/>
    </row>
    <row r="388" spans="1:25">
      <c r="A388" s="132" t="s">
        <v>356</v>
      </c>
      <c r="B388" s="50" t="str">
        <f>IFERROR(HYPERLINK(VLOOKUP(A388,ÜRÜNLER!A:C,3,FALSE),VLOOKUP(A388,ÜRÜNLER!A:B,2,FALSE)),"")</f>
        <v>iQ700 studioLine Davlumbaz Entegreli İndüksiyonlu Ocak, 80cm, Çerçeveli, Siyah</v>
      </c>
      <c r="C388" s="8"/>
      <c r="D388" s="8">
        <v>3</v>
      </c>
      <c r="E388" s="9"/>
      <c r="F388" s="9"/>
      <c r="G388" s="10"/>
      <c r="H388" s="10">
        <v>1</v>
      </c>
      <c r="I388" s="11"/>
      <c r="J388" s="11"/>
      <c r="K388" s="10"/>
      <c r="L388" s="11"/>
      <c r="M388" s="170"/>
      <c r="N388" s="124">
        <f>L388+M388+K388+J388+I388+H388+G388+F388+E388+D388+C388</f>
        <v>4</v>
      </c>
      <c r="O388" s="125"/>
      <c r="P388" s="109"/>
      <c r="Q388" s="180">
        <v>130619.00189944914</v>
      </c>
      <c r="R388" s="18">
        <v>117557.10170950423</v>
      </c>
      <c r="S388" s="12">
        <v>122259.3857778844</v>
      </c>
      <c r="T388" s="12">
        <v>126961.66984626457</v>
      </c>
      <c r="U388" s="12">
        <v>128725.02637190714</v>
      </c>
      <c r="V388" s="13"/>
      <c r="W388" s="175"/>
      <c r="X388" s="29">
        <v>500</v>
      </c>
      <c r="Y388" s="10"/>
    </row>
    <row r="389" spans="1:25" s="32" customFormat="1" ht="31.5">
      <c r="A389" s="34" t="s">
        <v>360</v>
      </c>
      <c r="B389" s="50" t="str">
        <f>IFERROR(HYPERLINK(VLOOKUP(A389,ÜRÜNLER!A:C,3,FALSE),VLOOKUP(A389,ÜRÜNLER!A:B,2,FALSE)),"")</f>
        <v/>
      </c>
      <c r="C389" s="8"/>
      <c r="D389" s="8"/>
      <c r="E389" s="9"/>
      <c r="F389" s="9"/>
      <c r="G389" s="10"/>
      <c r="H389" s="10"/>
      <c r="I389" s="11"/>
      <c r="J389" s="11"/>
      <c r="K389" s="10"/>
      <c r="L389" s="11"/>
      <c r="M389" s="170"/>
      <c r="N389" s="124"/>
      <c r="O389" s="125"/>
      <c r="P389" s="9"/>
      <c r="Q389" s="72"/>
      <c r="R389" s="19"/>
      <c r="S389" s="12"/>
      <c r="T389" s="12"/>
      <c r="U389" s="12"/>
      <c r="V389" s="13"/>
      <c r="W389" s="175"/>
      <c r="X389" s="17"/>
      <c r="Y389" s="10"/>
    </row>
    <row r="390" spans="1:25">
      <c r="A390" s="22" t="s">
        <v>361</v>
      </c>
      <c r="B390" s="50" t="str">
        <f>IFERROR(HYPERLINK(VLOOKUP(A390,ÜRÜNLER!A:C,3,FALSE),VLOOKUP(A390,ÜRÜNLER!A:B,2,FALSE)),"")</f>
        <v>iQ700 Ankastre Tam Otomatik Kahve Makinesi, Siyah/Inox</v>
      </c>
      <c r="C390" s="8"/>
      <c r="D390" s="8"/>
      <c r="E390" s="9"/>
      <c r="F390" s="9"/>
      <c r="G390" s="10"/>
      <c r="H390" s="10"/>
      <c r="I390" s="11"/>
      <c r="J390" s="11"/>
      <c r="K390" s="10">
        <v>1</v>
      </c>
      <c r="L390" s="11"/>
      <c r="M390" s="170"/>
      <c r="N390" s="124">
        <f t="shared" ref="N390:N419" si="14">L390+M390+K390+J390+I390+H390+G390+F390+E390+D390+C390</f>
        <v>1</v>
      </c>
      <c r="O390" s="125"/>
      <c r="P390" s="109"/>
      <c r="Q390" s="72" t="s">
        <v>1561</v>
      </c>
      <c r="R390" s="19">
        <v>100000</v>
      </c>
      <c r="S390" s="12">
        <v>104000</v>
      </c>
      <c r="T390" s="12">
        <v>108000</v>
      </c>
      <c r="U390" s="12">
        <v>109500</v>
      </c>
      <c r="V390" s="13"/>
      <c r="W390" s="175"/>
      <c r="X390" s="27">
        <v>1000</v>
      </c>
      <c r="Y390" s="10"/>
    </row>
    <row r="391" spans="1:25">
      <c r="A391" s="22" t="s">
        <v>362</v>
      </c>
      <c r="B391" s="50" t="str">
        <f>IFERROR(HYPERLINK(VLOOKUP(A391,ÜRÜNLER!A:C,3,FALSE),VLOOKUP(A391,ÜRÜNLER!A:B,2,FALSE)),"")</f>
        <v>iQ700 Ankastre Tam Otomatik Kahve Makinesi, Siyah</v>
      </c>
      <c r="C391" s="8">
        <v>3</v>
      </c>
      <c r="D391" s="8"/>
      <c r="E391" s="9"/>
      <c r="F391" s="9"/>
      <c r="G391" s="10"/>
      <c r="H391" s="10"/>
      <c r="I391" s="11"/>
      <c r="J391" s="11"/>
      <c r="K391" s="10"/>
      <c r="L391" s="11"/>
      <c r="M391" s="170"/>
      <c r="N391" s="124">
        <f t="shared" si="14"/>
        <v>3</v>
      </c>
      <c r="O391" s="125"/>
      <c r="P391" s="109"/>
      <c r="Q391" s="51">
        <v>165596.65974594664</v>
      </c>
      <c r="R391" s="46">
        <v>157316.82675864932</v>
      </c>
      <c r="S391" s="12">
        <v>163609.49982899529</v>
      </c>
      <c r="T391" s="12">
        <v>169902.17289934127</v>
      </c>
      <c r="U391" s="12">
        <v>172261.92530072099</v>
      </c>
      <c r="V391" s="13"/>
      <c r="W391" s="175"/>
      <c r="X391" s="27">
        <v>500</v>
      </c>
      <c r="Y391" s="10"/>
    </row>
    <row r="392" spans="1:25">
      <c r="A392" s="22" t="s">
        <v>363</v>
      </c>
      <c r="B392" s="50" t="str">
        <f>IFERROR(HYPERLINK(VLOOKUP(A392,ÜRÜNLER!A:C,3,FALSE),VLOOKUP(A392,ÜRÜNLER!A:B,2,FALSE)),"")</f>
        <v>iQ700 studioLine Ankastre Tam Otomatik Kahve Makinesi, Siyah</v>
      </c>
      <c r="C392" s="8"/>
      <c r="D392" s="8">
        <v>5</v>
      </c>
      <c r="E392" s="9"/>
      <c r="F392" s="9"/>
      <c r="G392" s="10"/>
      <c r="H392" s="10">
        <v>1</v>
      </c>
      <c r="I392" s="11"/>
      <c r="J392" s="11"/>
      <c r="K392" s="10"/>
      <c r="L392" s="11"/>
      <c r="M392" s="170"/>
      <c r="N392" s="124">
        <f t="shared" si="14"/>
        <v>6</v>
      </c>
      <c r="O392" s="125"/>
      <c r="P392" s="109"/>
      <c r="Q392" s="180">
        <v>186210.56655393163</v>
      </c>
      <c r="R392" s="18">
        <v>167589.50989853847</v>
      </c>
      <c r="S392" s="12">
        <v>174293.09029448</v>
      </c>
      <c r="T392" s="12">
        <v>180996.67069042154</v>
      </c>
      <c r="U392" s="12">
        <v>183510.51333889962</v>
      </c>
      <c r="V392" s="13"/>
      <c r="W392" s="175"/>
      <c r="X392" s="27">
        <v>500</v>
      </c>
      <c r="Y392" s="10"/>
    </row>
    <row r="393" spans="1:25">
      <c r="A393" s="21" t="s">
        <v>364</v>
      </c>
      <c r="B393" s="50" t="str">
        <f>IFERROR(HYPERLINK(VLOOKUP(A393,ÜRÜNLER!A:C,3,FALSE),VLOOKUP(A393,ÜRÜNLER!A:B,2,FALSE)),"")</f>
        <v>EQ6 plus s100 Tam Otomatik Kahve Makinesi, Metalik Elmas Titanyum</v>
      </c>
      <c r="C393" s="8">
        <v>4</v>
      </c>
      <c r="D393" s="8"/>
      <c r="E393" s="9"/>
      <c r="F393" s="9">
        <v>9</v>
      </c>
      <c r="G393" s="10"/>
      <c r="H393" s="10"/>
      <c r="I393" s="11">
        <v>5</v>
      </c>
      <c r="J393" s="11">
        <v>1</v>
      </c>
      <c r="K393" s="10">
        <v>2</v>
      </c>
      <c r="L393" s="11">
        <v>2</v>
      </c>
      <c r="M393" s="170"/>
      <c r="N393" s="124">
        <f t="shared" si="14"/>
        <v>23</v>
      </c>
      <c r="O393" s="125"/>
      <c r="P393" s="109"/>
      <c r="Q393" s="51">
        <v>30821</v>
      </c>
      <c r="R393" s="25">
        <v>29076.337558441104</v>
      </c>
      <c r="S393" s="12">
        <v>30239.391060778747</v>
      </c>
      <c r="T393" s="12">
        <v>31402.444563116391</v>
      </c>
      <c r="U393" s="12">
        <v>31838.589626493009</v>
      </c>
      <c r="V393" s="13"/>
      <c r="W393" s="175"/>
      <c r="X393" s="17">
        <v>250</v>
      </c>
      <c r="Y393" s="182">
        <v>6</v>
      </c>
    </row>
    <row r="394" spans="1:25">
      <c r="A394" s="21" t="s">
        <v>365</v>
      </c>
      <c r="B394" s="50" t="str">
        <f>IFERROR(HYPERLINK(VLOOKUP(A394,ÜRÜNLER!A:C,3,FALSE),VLOOKUP(A394,ÜRÜNLER!A:B,2,FALSE)),"")</f>
        <v>EQ6 plus s100 Tam Otomatik Kahve Makinesi, Metalik Safir Siyahı</v>
      </c>
      <c r="C394" s="8"/>
      <c r="D394" s="8"/>
      <c r="E394" s="9"/>
      <c r="F394" s="9"/>
      <c r="G394" s="10"/>
      <c r="H394" s="10"/>
      <c r="I394" s="11"/>
      <c r="J394" s="11">
        <v>1</v>
      </c>
      <c r="K394" s="10"/>
      <c r="L394" s="11"/>
      <c r="M394" s="170"/>
      <c r="N394" s="124">
        <f t="shared" si="14"/>
        <v>1</v>
      </c>
      <c r="O394" s="125"/>
      <c r="P394" s="109"/>
      <c r="Q394" s="72" t="s">
        <v>1561</v>
      </c>
      <c r="R394" s="19">
        <v>22999</v>
      </c>
      <c r="S394" s="12">
        <v>23918.959999999999</v>
      </c>
      <c r="T394" s="12">
        <v>24838.92</v>
      </c>
      <c r="U394" s="12">
        <v>25183.904999999999</v>
      </c>
      <c r="V394" s="13"/>
      <c r="W394" s="175"/>
      <c r="X394" s="17">
        <v>250</v>
      </c>
      <c r="Y394" s="10"/>
    </row>
    <row r="395" spans="1:25">
      <c r="A395" s="21" t="s">
        <v>366</v>
      </c>
      <c r="B395" s="50" t="str">
        <f>IFERROR(HYPERLINK(VLOOKUP(A395,ÜRÜNLER!A:C,3,FALSE),VLOOKUP(A395,ÜRÜNLER!A:B,2,FALSE)),"")</f>
        <v>EQ6 plus s300 Tam Otomatik Kahve Makinesi, Gümüş</v>
      </c>
      <c r="C395" s="8"/>
      <c r="D395" s="8"/>
      <c r="E395" s="9"/>
      <c r="F395" s="9">
        <v>1</v>
      </c>
      <c r="G395" s="10"/>
      <c r="H395" s="10"/>
      <c r="I395" s="11"/>
      <c r="J395" s="11">
        <v>1</v>
      </c>
      <c r="K395" s="10"/>
      <c r="L395" s="11">
        <v>1</v>
      </c>
      <c r="M395" s="170"/>
      <c r="N395" s="124">
        <f t="shared" si="14"/>
        <v>3</v>
      </c>
      <c r="O395" s="125"/>
      <c r="P395" s="109"/>
      <c r="Q395" s="72" t="s">
        <v>1561</v>
      </c>
      <c r="R395" s="18">
        <v>29000</v>
      </c>
      <c r="S395" s="12">
        <v>30160</v>
      </c>
      <c r="T395" s="12">
        <v>31320</v>
      </c>
      <c r="U395" s="12">
        <v>31755</v>
      </c>
      <c r="V395" s="13"/>
      <c r="W395" s="175"/>
      <c r="X395" s="17">
        <v>250</v>
      </c>
      <c r="Y395" s="10"/>
    </row>
    <row r="396" spans="1:25">
      <c r="A396" s="21" t="s">
        <v>367</v>
      </c>
      <c r="B396" s="50" t="str">
        <f>IFERROR(HYPERLINK(VLOOKUP(A396,ÜRÜNLER!A:C,3,FALSE),VLOOKUP(A396,ÜRÜNLER!A:B,2,FALSE)),"")</f>
        <v>EQ6 plus s500 Tam Otomatik Kahve Makinesi, Sabah Sisi Grisi</v>
      </c>
      <c r="C396" s="8">
        <v>52</v>
      </c>
      <c r="D396" s="8"/>
      <c r="E396" s="9"/>
      <c r="F396" s="9">
        <v>9</v>
      </c>
      <c r="G396" s="10"/>
      <c r="H396" s="10"/>
      <c r="I396" s="11">
        <v>6</v>
      </c>
      <c r="J396" s="11"/>
      <c r="K396" s="10">
        <v>2</v>
      </c>
      <c r="L396" s="11">
        <v>2</v>
      </c>
      <c r="M396" s="170"/>
      <c r="N396" s="124">
        <f t="shared" si="14"/>
        <v>71</v>
      </c>
      <c r="O396" s="125"/>
      <c r="P396" s="109"/>
      <c r="Q396" s="51">
        <v>46150.533752817057</v>
      </c>
      <c r="R396" s="44">
        <v>43538.239389450049</v>
      </c>
      <c r="S396" s="12">
        <v>45279.768965028052</v>
      </c>
      <c r="T396" s="12">
        <v>47021.298540606054</v>
      </c>
      <c r="U396" s="12">
        <v>47674.372131447803</v>
      </c>
      <c r="V396" s="13"/>
      <c r="W396" s="175"/>
      <c r="X396" s="17">
        <v>250</v>
      </c>
      <c r="Y396" s="182">
        <v>5</v>
      </c>
    </row>
    <row r="397" spans="1:25">
      <c r="A397" s="21" t="s">
        <v>368</v>
      </c>
      <c r="B397" s="50" t="str">
        <f>IFERROR(HYPERLINK(VLOOKUP(A397,ÜRÜNLER!A:C,3,FALSE),VLOOKUP(A397,ÜRÜNLER!A:B,2,FALSE)),"")</f>
        <v>EQ6 plus s700 Tam Otomatik Kahve Makinesi, DarkInox/Siyah</v>
      </c>
      <c r="C397" s="8">
        <v>62</v>
      </c>
      <c r="D397" s="8"/>
      <c r="E397" s="9"/>
      <c r="F397" s="9">
        <v>1</v>
      </c>
      <c r="G397" s="10"/>
      <c r="H397" s="10"/>
      <c r="I397" s="11"/>
      <c r="J397" s="11">
        <v>2</v>
      </c>
      <c r="K397" s="10">
        <v>1</v>
      </c>
      <c r="L397" s="11">
        <v>4</v>
      </c>
      <c r="M397" s="170">
        <v>1</v>
      </c>
      <c r="N397" s="124">
        <f t="shared" si="14"/>
        <v>71</v>
      </c>
      <c r="O397" s="125"/>
      <c r="P397" s="109"/>
      <c r="Q397" s="51">
        <v>49964.129333174926</v>
      </c>
      <c r="R397" s="25">
        <v>47135.971069032945</v>
      </c>
      <c r="S397" s="12">
        <v>49021.409911794261</v>
      </c>
      <c r="T397" s="12">
        <v>50906.848754555584</v>
      </c>
      <c r="U397" s="12">
        <v>51613.888320591075</v>
      </c>
      <c r="V397" s="13"/>
      <c r="W397" s="175"/>
      <c r="X397" s="17">
        <v>250</v>
      </c>
      <c r="Y397" s="182">
        <v>6</v>
      </c>
    </row>
    <row r="398" spans="1:25">
      <c r="A398" s="132" t="s">
        <v>369</v>
      </c>
      <c r="B398" s="50" t="str">
        <f>IFERROR(HYPERLINK(VLOOKUP(A398,ÜRÜNLER!A:C,3,FALSE),VLOOKUP(A398,ÜRÜNLER!A:B,2,FALSE)),"")</f>
        <v>EQ300 Tam Otomatik Kahve Makinesi, Siyah</v>
      </c>
      <c r="C398" s="8"/>
      <c r="D398" s="8"/>
      <c r="E398" s="9"/>
      <c r="F398" s="9">
        <v>2</v>
      </c>
      <c r="G398" s="10"/>
      <c r="H398" s="10"/>
      <c r="I398" s="11">
        <v>1</v>
      </c>
      <c r="J398" s="11">
        <v>1</v>
      </c>
      <c r="K398" s="10">
        <v>2</v>
      </c>
      <c r="L398" s="11"/>
      <c r="M398" s="170"/>
      <c r="N398" s="124">
        <f t="shared" si="14"/>
        <v>6</v>
      </c>
      <c r="O398" s="125"/>
      <c r="P398" s="109"/>
      <c r="Q398" s="72" t="s">
        <v>1561</v>
      </c>
      <c r="R398" s="19">
        <v>15999</v>
      </c>
      <c r="S398" s="12">
        <v>16638.96</v>
      </c>
      <c r="T398" s="12">
        <v>17278.919999999998</v>
      </c>
      <c r="U398" s="12">
        <v>17518.904999999999</v>
      </c>
      <c r="V398" s="13"/>
      <c r="W398" s="175"/>
      <c r="X398" s="17">
        <v>250</v>
      </c>
      <c r="Y398" s="10"/>
    </row>
    <row r="399" spans="1:25">
      <c r="A399" s="132" t="s">
        <v>370</v>
      </c>
      <c r="B399" s="50" t="str">
        <f>IFERROR(HYPERLINK(VLOOKUP(A399,ÜRÜNLER!A:C,3,FALSE),VLOOKUP(A399,ÜRÜNLER!A:B,2,FALSE)),"")</f>
        <v>EQ300 Tam Otomatik Kahve Makinesi, Şampanya/Siyah</v>
      </c>
      <c r="C399" s="8"/>
      <c r="D399" s="8"/>
      <c r="E399" s="9"/>
      <c r="F399" s="9">
        <v>1</v>
      </c>
      <c r="G399" s="10"/>
      <c r="H399" s="10"/>
      <c r="I399" s="11">
        <v>1</v>
      </c>
      <c r="J399" s="11">
        <v>1</v>
      </c>
      <c r="K399" s="10">
        <v>2</v>
      </c>
      <c r="L399" s="11">
        <v>1</v>
      </c>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371</v>
      </c>
      <c r="B400" s="50" t="str">
        <f>IFERROR(HYPERLINK(VLOOKUP(A400,ÜRÜNLER!A:C,3,FALSE),VLOOKUP(A400,ÜRÜNLER!A:B,2,FALSE)),"")</f>
        <v>EQ9 s300 Tam Otomatik Kahve Makinesi, Siyah</v>
      </c>
      <c r="C400" s="8"/>
      <c r="D400" s="8"/>
      <c r="E400" s="9"/>
      <c r="F400" s="9">
        <v>7</v>
      </c>
      <c r="G400" s="10"/>
      <c r="H400" s="10"/>
      <c r="I400" s="11">
        <v>1</v>
      </c>
      <c r="J400" s="11"/>
      <c r="K400" s="10">
        <v>5</v>
      </c>
      <c r="L400" s="11">
        <v>1</v>
      </c>
      <c r="M400" s="170"/>
      <c r="N400" s="124">
        <f t="shared" si="14"/>
        <v>14</v>
      </c>
      <c r="O400" s="125"/>
      <c r="P400" s="109"/>
      <c r="Q400" s="72" t="s">
        <v>1561</v>
      </c>
      <c r="R400" s="19">
        <v>49999</v>
      </c>
      <c r="S400" s="12">
        <v>51998.96</v>
      </c>
      <c r="T400" s="12">
        <v>53998.92</v>
      </c>
      <c r="U400" s="12">
        <v>54748.904999999999</v>
      </c>
      <c r="V400" s="13"/>
      <c r="W400" s="175"/>
      <c r="X400" s="17">
        <v>250</v>
      </c>
      <c r="Y400" s="10"/>
    </row>
    <row r="401" spans="1:25">
      <c r="A401" s="132" t="s">
        <v>372</v>
      </c>
      <c r="B401" s="50" t="str">
        <f>IFERROR(HYPERLINK(VLOOKUP(A401,ÜRÜNLER!A:C,3,FALSE),VLOOKUP(A401,ÜRÜNLER!A:B,2,FALSE)),"")</f>
        <v>EQ9 plus connect s500 Tam Otomatik Kahve Makinesi, Siyah</v>
      </c>
      <c r="C401" s="8"/>
      <c r="D401" s="8"/>
      <c r="E401" s="9"/>
      <c r="F401" s="9">
        <v>2</v>
      </c>
      <c r="G401" s="10"/>
      <c r="H401" s="10"/>
      <c r="I401" s="11">
        <v>2</v>
      </c>
      <c r="J401" s="11">
        <v>1</v>
      </c>
      <c r="K401" s="10">
        <v>2</v>
      </c>
      <c r="L401" s="11">
        <v>1</v>
      </c>
      <c r="M401" s="170"/>
      <c r="N401" s="124">
        <f t="shared" si="14"/>
        <v>8</v>
      </c>
      <c r="O401" s="125"/>
      <c r="P401" s="109"/>
      <c r="Q401" s="72" t="s">
        <v>1561</v>
      </c>
      <c r="R401" s="19">
        <v>59999</v>
      </c>
      <c r="S401" s="12">
        <v>62398.96</v>
      </c>
      <c r="T401" s="12">
        <v>64798.92</v>
      </c>
      <c r="U401" s="12">
        <v>65698.904999999999</v>
      </c>
      <c r="V401" s="13"/>
      <c r="W401" s="175"/>
      <c r="X401" s="17">
        <v>250</v>
      </c>
      <c r="Y401" s="10"/>
    </row>
    <row r="402" spans="1:25">
      <c r="A402" s="133" t="s">
        <v>373</v>
      </c>
      <c r="B402" s="50" t="str">
        <f>IFERROR(HYPERLINK(VLOOKUP(A402,ÜRÜNLER!A:C,3,FALSE),VLOOKUP(A402,ÜRÜNLER!A:B,2,FALSE)),"")</f>
        <v>EQ500 classic Tam Otomatik Kahve Makinesi, Piyano Siyahı</v>
      </c>
      <c r="C402" s="8"/>
      <c r="D402" s="8"/>
      <c r="E402" s="9"/>
      <c r="F402" s="9">
        <v>9</v>
      </c>
      <c r="G402" s="10"/>
      <c r="H402" s="10"/>
      <c r="I402" s="11">
        <v>4</v>
      </c>
      <c r="J402" s="11"/>
      <c r="K402" s="10">
        <v>1</v>
      </c>
      <c r="L402" s="11"/>
      <c r="M402" s="170">
        <v>1</v>
      </c>
      <c r="N402" s="124">
        <f t="shared" si="14"/>
        <v>15</v>
      </c>
      <c r="O402" s="125"/>
      <c r="P402" s="109"/>
      <c r="Q402" s="72" t="s">
        <v>1561</v>
      </c>
      <c r="R402" s="19">
        <v>21000</v>
      </c>
      <c r="S402" s="12">
        <v>21840</v>
      </c>
      <c r="T402" s="12">
        <v>22680</v>
      </c>
      <c r="U402" s="12">
        <v>22995</v>
      </c>
      <c r="V402" s="13"/>
      <c r="W402" s="175"/>
      <c r="X402" s="17">
        <v>250</v>
      </c>
      <c r="Y402" s="10"/>
    </row>
    <row r="403" spans="1:25">
      <c r="A403" s="133" t="s">
        <v>374</v>
      </c>
      <c r="B403" s="50" t="str">
        <f>IFERROR(HYPERLINK(VLOOKUP(A403,ÜRÜNLER!A:C,3,FALSE),VLOOKUP(A403,ÜRÜNLER!A:B,2,FALSE)),"")</f>
        <v>EQ500 classic Tam Otomatik Kahve Makinesi, Piyano Siyahı</v>
      </c>
      <c r="C403" s="8"/>
      <c r="D403" s="8"/>
      <c r="E403" s="9"/>
      <c r="F403" s="9">
        <v>4</v>
      </c>
      <c r="G403" s="10"/>
      <c r="H403" s="10"/>
      <c r="I403" s="11"/>
      <c r="J403" s="11">
        <v>1</v>
      </c>
      <c r="K403" s="10"/>
      <c r="L403" s="11">
        <v>1</v>
      </c>
      <c r="M403" s="170"/>
      <c r="N403" s="124">
        <f t="shared" si="14"/>
        <v>6</v>
      </c>
      <c r="O403" s="125"/>
      <c r="P403" s="109"/>
      <c r="Q403" s="72" t="s">
        <v>1561</v>
      </c>
      <c r="R403" s="19">
        <v>19999</v>
      </c>
      <c r="S403" s="12">
        <v>20798.96</v>
      </c>
      <c r="T403" s="12">
        <v>21598.92</v>
      </c>
      <c r="U403" s="12">
        <v>21898.904999999999</v>
      </c>
      <c r="V403" s="13"/>
      <c r="W403" s="175"/>
      <c r="X403" s="17">
        <v>250</v>
      </c>
      <c r="Y403" s="10"/>
    </row>
    <row r="404" spans="1:25">
      <c r="A404" s="153" t="s">
        <v>375</v>
      </c>
      <c r="B404" s="50" t="str">
        <f>IFERROR(HYPERLINK(VLOOKUP(A404,ÜRÜNLER!A:C,3,FALSE),VLOOKUP(A404,ÜRÜNLER!A:B,2,FALSE)),"")</f>
        <v>EQ500 classic Tam Otomatik Kahve Makinesi, Metalik Inox/Gümüş</v>
      </c>
      <c r="C404" s="8"/>
      <c r="D404" s="8"/>
      <c r="E404" s="9"/>
      <c r="F404" s="9">
        <v>3</v>
      </c>
      <c r="G404" s="10"/>
      <c r="H404" s="10"/>
      <c r="I404" s="11">
        <v>1</v>
      </c>
      <c r="J404" s="11"/>
      <c r="K404" s="10">
        <v>1</v>
      </c>
      <c r="L404" s="11"/>
      <c r="M404" s="170"/>
      <c r="N404" s="124">
        <f t="shared" si="14"/>
        <v>5</v>
      </c>
      <c r="O404" s="125"/>
      <c r="P404" s="109"/>
      <c r="Q404" s="72" t="s">
        <v>1561</v>
      </c>
      <c r="R404" s="19">
        <v>19999</v>
      </c>
      <c r="S404" s="12">
        <v>20798.96</v>
      </c>
      <c r="T404" s="12">
        <v>21598.92</v>
      </c>
      <c r="U404" s="12">
        <v>21898.904999999999</v>
      </c>
      <c r="V404" s="13"/>
      <c r="W404" s="175"/>
      <c r="X404" s="17">
        <v>250</v>
      </c>
      <c r="Y404" s="10"/>
    </row>
    <row r="405" spans="1:25">
      <c r="A405" s="153" t="s">
        <v>376</v>
      </c>
      <c r="B405" s="50" t="str">
        <f>IFERROR(HYPERLINK(VLOOKUP(A405,ÜRÜNLER!A:C,3,FALSE),VLOOKUP(A405,ÜRÜNLER!A:B,2,FALSE)),"")</f>
        <v>EQ500 classic Tam Otomatik Kahve Makinesi, Sabah Sisi Grisi</v>
      </c>
      <c r="C405" s="8"/>
      <c r="D405" s="8"/>
      <c r="E405" s="9"/>
      <c r="F405" s="9">
        <v>1</v>
      </c>
      <c r="G405" s="10"/>
      <c r="H405" s="10"/>
      <c r="I405" s="11"/>
      <c r="J405" s="11"/>
      <c r="K405" s="10"/>
      <c r="L405" s="11">
        <v>1</v>
      </c>
      <c r="M405" s="170"/>
      <c r="N405" s="124">
        <f t="shared" si="14"/>
        <v>2</v>
      </c>
      <c r="O405" s="125"/>
      <c r="P405" s="109"/>
      <c r="Q405" s="72" t="s">
        <v>1561</v>
      </c>
      <c r="R405" s="19">
        <v>24999</v>
      </c>
      <c r="S405" s="12">
        <v>25998.959999999999</v>
      </c>
      <c r="T405" s="12">
        <v>26998.92</v>
      </c>
      <c r="U405" s="12">
        <v>27373.904999999999</v>
      </c>
      <c r="V405" s="13"/>
      <c r="W405" s="175"/>
      <c r="X405" s="17">
        <v>250</v>
      </c>
      <c r="Y405" s="10"/>
    </row>
    <row r="406" spans="1:25">
      <c r="A406" s="154" t="s">
        <v>377</v>
      </c>
      <c r="B406" s="50" t="str">
        <f>IFERROR(HYPERLINK(VLOOKUP(A406,ÜRÜNLER!A:C,3,FALSE),VLOOKUP(A406,ÜRÜNLER!A:B,2,FALSE)),"")</f>
        <v>EQ500 classic connect Tam Otomatik Kahve Makinesi, Inox/Siyah</v>
      </c>
      <c r="C406" s="8">
        <v>13</v>
      </c>
      <c r="D406" s="8"/>
      <c r="E406" s="9"/>
      <c r="F406" s="9">
        <v>1</v>
      </c>
      <c r="G406" s="10"/>
      <c r="H406" s="10"/>
      <c r="I406" s="11">
        <v>2</v>
      </c>
      <c r="J406" s="11"/>
      <c r="K406" s="10">
        <v>1</v>
      </c>
      <c r="L406" s="11">
        <v>1</v>
      </c>
      <c r="M406" s="170"/>
      <c r="N406" s="124">
        <f t="shared" si="14"/>
        <v>18</v>
      </c>
      <c r="O406" s="125"/>
      <c r="P406" s="109"/>
      <c r="Q406" s="51">
        <v>40793.307112641975</v>
      </c>
      <c r="R406" s="75">
        <v>35000</v>
      </c>
      <c r="S406" s="192">
        <v>36400</v>
      </c>
      <c r="T406" s="192">
        <v>37800</v>
      </c>
      <c r="U406" s="192">
        <v>38325</v>
      </c>
      <c r="V406" s="13"/>
      <c r="W406" s="175"/>
      <c r="X406" s="17">
        <v>250</v>
      </c>
      <c r="Y406" s="182">
        <v>6</v>
      </c>
    </row>
    <row r="407" spans="1:25">
      <c r="A407" s="154" t="s">
        <v>378</v>
      </c>
      <c r="B407" s="50" t="str">
        <f>IFERROR(HYPERLINK(VLOOKUP(A407,ÜRÜNLER!A:C,3,FALSE),VLOOKUP(A407,ÜRÜNLER!A:B,2,FALSE)),"")</f>
        <v>EQ500 classic Tam Otomatik Kahve Makinesi, Inox/Siyah</v>
      </c>
      <c r="C407" s="8">
        <v>77</v>
      </c>
      <c r="D407" s="8"/>
      <c r="E407" s="9"/>
      <c r="F407" s="9">
        <v>27</v>
      </c>
      <c r="G407" s="10"/>
      <c r="H407" s="10"/>
      <c r="I407" s="11">
        <v>10</v>
      </c>
      <c r="J407" s="11">
        <v>5</v>
      </c>
      <c r="K407" s="10">
        <v>1</v>
      </c>
      <c r="L407" s="11">
        <v>3</v>
      </c>
      <c r="M407" s="170">
        <v>2</v>
      </c>
      <c r="N407" s="124">
        <f t="shared" si="14"/>
        <v>125</v>
      </c>
      <c r="O407" s="125"/>
      <c r="P407" s="109"/>
      <c r="Q407" s="51">
        <v>32099.651498472376</v>
      </c>
      <c r="R407" s="75">
        <v>29000</v>
      </c>
      <c r="S407" s="192">
        <v>30160</v>
      </c>
      <c r="T407" s="192">
        <v>31320</v>
      </c>
      <c r="U407" s="192">
        <v>31755</v>
      </c>
      <c r="V407" s="13"/>
      <c r="W407" s="175"/>
      <c r="X407" s="17">
        <v>250</v>
      </c>
      <c r="Y407" s="182">
        <v>10</v>
      </c>
    </row>
    <row r="408" spans="1:25">
      <c r="A408" s="133" t="s">
        <v>379</v>
      </c>
      <c r="B408" s="50" t="str">
        <f>IFERROR(HYPERLINK(VLOOKUP(A408,ÜRÜNLER!A:C,3,FALSE),VLOOKUP(A408,ÜRÜNLER!A:B,2,FALSE)),"")</f>
        <v>EQ700 classic Tam Otomatik Kahve Makinesi, Piyano Siyahı</v>
      </c>
      <c r="C408" s="8"/>
      <c r="D408" s="8"/>
      <c r="E408" s="9"/>
      <c r="F408" s="9">
        <v>1</v>
      </c>
      <c r="G408" s="10"/>
      <c r="H408" s="10"/>
      <c r="I408" s="11"/>
      <c r="J408" s="11"/>
      <c r="K408" s="10"/>
      <c r="L408" s="11"/>
      <c r="M408" s="170"/>
      <c r="N408" s="124">
        <f t="shared" si="14"/>
        <v>1</v>
      </c>
      <c r="O408" s="125"/>
      <c r="P408" s="109"/>
      <c r="Q408" s="72" t="s">
        <v>1561</v>
      </c>
      <c r="R408" s="19">
        <v>45000</v>
      </c>
      <c r="S408" s="12">
        <v>46800</v>
      </c>
      <c r="T408" s="12">
        <v>48600</v>
      </c>
      <c r="U408" s="12">
        <v>49275</v>
      </c>
      <c r="V408" s="13"/>
      <c r="W408" s="175"/>
      <c r="X408" s="17">
        <v>250</v>
      </c>
      <c r="Y408" s="10"/>
    </row>
    <row r="409" spans="1:25">
      <c r="A409" s="153" t="s">
        <v>380</v>
      </c>
      <c r="B409" s="50" t="str">
        <f>IFERROR(HYPERLINK(VLOOKUP(A409,ÜRÜNLER!A:C,3,FALSE),VLOOKUP(A409,ÜRÜNLER!A:B,2,FALSE)),"")</f>
        <v>EQ700 classic Tam Otomatik Kahve Makinesi, Piyano Siyahı</v>
      </c>
      <c r="C409" s="8"/>
      <c r="D409" s="8"/>
      <c r="E409" s="9"/>
      <c r="F409" s="9"/>
      <c r="G409" s="10"/>
      <c r="H409" s="10"/>
      <c r="I409" s="11">
        <v>1</v>
      </c>
      <c r="J409" s="11"/>
      <c r="K409" s="10"/>
      <c r="L409" s="11"/>
      <c r="M409" s="170"/>
      <c r="N409" s="124">
        <f t="shared" si="14"/>
        <v>1</v>
      </c>
      <c r="O409" s="125"/>
      <c r="P409" s="109"/>
      <c r="Q409" s="72" t="s">
        <v>1561</v>
      </c>
      <c r="R409" s="19">
        <v>40000</v>
      </c>
      <c r="S409" s="12">
        <v>41600</v>
      </c>
      <c r="T409" s="12">
        <v>43200</v>
      </c>
      <c r="U409" s="12">
        <v>43800</v>
      </c>
      <c r="V409" s="13"/>
      <c r="W409" s="175"/>
      <c r="X409" s="17">
        <v>250</v>
      </c>
      <c r="Y409" s="10"/>
    </row>
    <row r="410" spans="1:25">
      <c r="A410" s="153" t="s">
        <v>381</v>
      </c>
      <c r="B410" s="50" t="str">
        <f>IFERROR(HYPERLINK(VLOOKUP(A410,ÜRÜNLER!A:C,3,FALSE),VLOOKUP(A410,ÜRÜNLER!A:B,2,FALSE)),"")</f>
        <v>EQ700 classic Tam Otomatik Kahve Makinesi, Piyano Siyahı</v>
      </c>
      <c r="C410" s="8">
        <v>17</v>
      </c>
      <c r="D410" s="8"/>
      <c r="E410" s="9"/>
      <c r="F410" s="9"/>
      <c r="G410" s="10"/>
      <c r="H410" s="10"/>
      <c r="I410" s="11"/>
      <c r="J410" s="11">
        <v>2</v>
      </c>
      <c r="K410" s="10"/>
      <c r="L410" s="11">
        <v>3</v>
      </c>
      <c r="M410" s="170"/>
      <c r="N410" s="124">
        <f t="shared" si="14"/>
        <v>22</v>
      </c>
      <c r="O410" s="125"/>
      <c r="P410" s="109"/>
      <c r="Q410" s="51">
        <v>52494.176938714467</v>
      </c>
      <c r="R410" s="46">
        <v>50965.220328848998</v>
      </c>
      <c r="S410" s="192">
        <v>53003.829142002956</v>
      </c>
      <c r="T410" s="192">
        <v>55042.437955156915</v>
      </c>
      <c r="U410" s="192">
        <v>55806.916260089652</v>
      </c>
      <c r="V410" s="13"/>
      <c r="W410" s="175"/>
      <c r="X410" s="17">
        <v>250</v>
      </c>
      <c r="Y410" s="182">
        <v>7</v>
      </c>
    </row>
    <row r="411" spans="1:25">
      <c r="A411" s="132" t="s">
        <v>382</v>
      </c>
      <c r="B411" s="50" t="str">
        <f>IFERROR(HYPERLINK(VLOOKUP(A411,ÜRÜNLER!A:C,3,FALSE),VLOOKUP(A411,ÜRÜNLER!A:B,2,FALSE)),"")</f>
        <v>EQ500 integral Tam Otomatik Kahve Makinesi, Metalik Safir Siyahı</v>
      </c>
      <c r="C411" s="8"/>
      <c r="D411" s="8"/>
      <c r="E411" s="9"/>
      <c r="F411" s="9"/>
      <c r="G411" s="10"/>
      <c r="H411" s="10"/>
      <c r="I411" s="11">
        <v>3</v>
      </c>
      <c r="J411" s="11">
        <v>1</v>
      </c>
      <c r="K411" s="10">
        <v>1</v>
      </c>
      <c r="L411" s="11">
        <v>2</v>
      </c>
      <c r="M411" s="170"/>
      <c r="N411" s="124">
        <f t="shared" si="14"/>
        <v>7</v>
      </c>
      <c r="O411" s="125"/>
      <c r="P411" s="109"/>
      <c r="Q411" s="72" t="s">
        <v>1561</v>
      </c>
      <c r="R411" s="19">
        <v>24000</v>
      </c>
      <c r="S411" s="12">
        <v>24960</v>
      </c>
      <c r="T411" s="12">
        <v>25920</v>
      </c>
      <c r="U411" s="12">
        <v>26280</v>
      </c>
      <c r="V411" s="13"/>
      <c r="W411" s="175"/>
      <c r="X411" s="17">
        <v>250</v>
      </c>
      <c r="Y411" s="10"/>
    </row>
    <row r="412" spans="1:25">
      <c r="A412" s="138" t="s">
        <v>383</v>
      </c>
      <c r="B412" s="50" t="str">
        <f>IFERROR(HYPERLINK(VLOOKUP(A412,ÜRÜNLER!A:C,3,FALSE),VLOOKUP(A412,ÜRÜNLER!A:B,2,FALSE)),"")</f>
        <v>EQ500 integral Tam Otomatik Kahve Makinesi, Inox</v>
      </c>
      <c r="C412" s="8"/>
      <c r="D412" s="8"/>
      <c r="E412" s="9"/>
      <c r="F412" s="9">
        <v>4</v>
      </c>
      <c r="G412" s="10"/>
      <c r="H412" s="10"/>
      <c r="I412" s="11">
        <v>1</v>
      </c>
      <c r="J412" s="11">
        <v>1</v>
      </c>
      <c r="K412" s="10">
        <v>1</v>
      </c>
      <c r="L412" s="11">
        <v>1</v>
      </c>
      <c r="M412" s="170"/>
      <c r="N412" s="124">
        <f t="shared" si="14"/>
        <v>8</v>
      </c>
      <c r="O412" s="125"/>
      <c r="P412" s="109"/>
      <c r="Q412" s="72" t="s">
        <v>1561</v>
      </c>
      <c r="R412" s="19">
        <v>23000</v>
      </c>
      <c r="S412" s="12">
        <v>23920</v>
      </c>
      <c r="T412" s="12">
        <v>24840</v>
      </c>
      <c r="U412" s="12">
        <v>25185</v>
      </c>
      <c r="V412" s="13"/>
      <c r="W412" s="175"/>
      <c r="X412" s="17">
        <v>250</v>
      </c>
      <c r="Y412" s="10"/>
    </row>
    <row r="413" spans="1:25">
      <c r="A413" s="155" t="s">
        <v>384</v>
      </c>
      <c r="B413" s="50" t="str">
        <f>IFERROR(HYPERLINK(VLOOKUP(A413,ÜRÜNLER!A:C,3,FALSE),VLOOKUP(A413,ÜRÜNLER!A:B,2,FALSE)),"")</f>
        <v>EQ700 integral Tam Otomatik Kahve Makinesi, Metalik Inox/Gümüş</v>
      </c>
      <c r="C413" s="8"/>
      <c r="D413" s="8"/>
      <c r="E413" s="9"/>
      <c r="F413" s="9">
        <v>1</v>
      </c>
      <c r="G413" s="10"/>
      <c r="H413" s="10"/>
      <c r="I413" s="11">
        <v>1</v>
      </c>
      <c r="J413" s="11">
        <v>1</v>
      </c>
      <c r="K413" s="10"/>
      <c r="L413" s="11"/>
      <c r="M413" s="170"/>
      <c r="N413" s="124">
        <f t="shared" si="14"/>
        <v>3</v>
      </c>
      <c r="O413" s="125"/>
      <c r="P413" s="109"/>
      <c r="Q413" s="72" t="s">
        <v>1561</v>
      </c>
      <c r="R413" s="19">
        <v>39999</v>
      </c>
      <c r="S413" s="12">
        <v>41598.959999999999</v>
      </c>
      <c r="T413" s="12">
        <v>43198.92</v>
      </c>
      <c r="U413" s="12">
        <v>43798.904999999999</v>
      </c>
      <c r="V413" s="13"/>
      <c r="W413" s="175"/>
      <c r="X413" s="17">
        <v>250</v>
      </c>
      <c r="Y413" s="10"/>
    </row>
    <row r="414" spans="1:25">
      <c r="A414" s="155" t="s">
        <v>385</v>
      </c>
      <c r="B414" s="50" t="str">
        <f>IFERROR(HYPERLINK(VLOOKUP(A414,ÜRÜNLER!A:C,3,FALSE),VLOOKUP(A414,ÜRÜNLER!A:B,2,FALSE)),"")</f>
        <v>EQ700 Tam Otomatik Kahve Makinesi, Paslanmaz Çelik</v>
      </c>
      <c r="C414" s="8">
        <v>5</v>
      </c>
      <c r="D414" s="8"/>
      <c r="E414" s="9"/>
      <c r="F414" s="9">
        <v>4</v>
      </c>
      <c r="G414" s="10"/>
      <c r="H414" s="10"/>
      <c r="I414" s="11"/>
      <c r="J414" s="11"/>
      <c r="K414" s="10"/>
      <c r="L414" s="11">
        <v>1</v>
      </c>
      <c r="M414" s="170"/>
      <c r="N414" s="124">
        <f t="shared" si="14"/>
        <v>10</v>
      </c>
      <c r="O414" s="125"/>
      <c r="P414" s="109"/>
      <c r="Q414" s="51">
        <v>56989.324165687103</v>
      </c>
      <c r="R414" s="75">
        <v>50000</v>
      </c>
      <c r="S414" s="192">
        <v>52000</v>
      </c>
      <c r="T414" s="192">
        <v>54000</v>
      </c>
      <c r="U414" s="192">
        <v>54750</v>
      </c>
      <c r="V414" s="13"/>
      <c r="W414" s="175"/>
      <c r="X414" s="17">
        <v>250</v>
      </c>
      <c r="Y414" s="182">
        <v>4</v>
      </c>
    </row>
    <row r="415" spans="1:25">
      <c r="A415" s="132" t="s">
        <v>386</v>
      </c>
      <c r="B415" s="50" t="str">
        <f>IFERROR(HYPERLINK(VLOOKUP(A415,ÜRÜNLER!A:C,3,FALSE),VLOOKUP(A415,ÜRÜNLER!A:B,2,FALSE)),"")</f>
        <v>EQ900 Tam Otomatik Kahve Makinesi, Paslanmaz Çelik</v>
      </c>
      <c r="C415" s="8">
        <v>19</v>
      </c>
      <c r="D415" s="8"/>
      <c r="E415" s="9"/>
      <c r="F415" s="9"/>
      <c r="G415" s="10"/>
      <c r="H415" s="10"/>
      <c r="I415" s="11">
        <v>1</v>
      </c>
      <c r="J415" s="11"/>
      <c r="K415" s="10">
        <v>1</v>
      </c>
      <c r="L415" s="11">
        <v>1</v>
      </c>
      <c r="M415" s="170"/>
      <c r="N415" s="124">
        <f t="shared" si="14"/>
        <v>22</v>
      </c>
      <c r="O415" s="125"/>
      <c r="P415" s="109"/>
      <c r="Q415" s="51">
        <v>80886.471339026728</v>
      </c>
      <c r="R415" s="25">
        <v>80886.471339026728</v>
      </c>
      <c r="S415" s="12">
        <v>84121.930192587795</v>
      </c>
      <c r="T415" s="12">
        <v>87357.389046148863</v>
      </c>
      <c r="U415" s="12">
        <v>88570.686116234268</v>
      </c>
      <c r="V415" s="13"/>
      <c r="W415" s="175"/>
      <c r="X415" s="17">
        <v>250</v>
      </c>
      <c r="Y415" s="182">
        <v>2</v>
      </c>
    </row>
    <row r="416" spans="1:25">
      <c r="A416" s="132" t="s">
        <v>387</v>
      </c>
      <c r="B416" s="50" t="str">
        <f>IFERROR(HYPERLINK(VLOOKUP(A416,ÜRÜNLER!A:C,3,FALSE),VLOOKUP(A416,ÜRÜNLER!A:B,2,FALSE)),"")</f>
        <v>EQ900 plus Tam Otomatik Kahve Makinesi, Inox</v>
      </c>
      <c r="C416" s="8">
        <v>10</v>
      </c>
      <c r="D416" s="8"/>
      <c r="E416" s="9"/>
      <c r="F416" s="9"/>
      <c r="G416" s="10"/>
      <c r="H416" s="10"/>
      <c r="I416" s="11"/>
      <c r="J416" s="11"/>
      <c r="K416" s="10"/>
      <c r="L416" s="11">
        <v>1</v>
      </c>
      <c r="M416" s="170"/>
      <c r="N416" s="124">
        <f t="shared" si="14"/>
        <v>11</v>
      </c>
      <c r="O416" s="125">
        <v>1</v>
      </c>
      <c r="P416" s="109"/>
      <c r="Q416" s="51">
        <v>101776.37741443558</v>
      </c>
      <c r="R416" s="25">
        <v>101776.37741443558</v>
      </c>
      <c r="S416" s="12">
        <v>105847.432511013</v>
      </c>
      <c r="T416" s="12">
        <v>109918.48760759043</v>
      </c>
      <c r="U416" s="12">
        <v>111445.13326880697</v>
      </c>
      <c r="V416" s="13"/>
      <c r="W416" s="175"/>
      <c r="X416" s="17">
        <v>250</v>
      </c>
      <c r="Y416" s="10"/>
    </row>
    <row r="417" spans="1:25">
      <c r="A417" s="138" t="s">
        <v>388</v>
      </c>
      <c r="B417" s="50" t="str">
        <f>IFERROR(HYPERLINK(VLOOKUP(A417,ÜRÜNLER!A:C,3,FALSE),VLOOKUP(A417,ÜRÜNLER!A:B,2,FALSE)),"")</f>
        <v>iQ700 Sıcak Tutma Çekmecesi, 60x14cm, Siyah</v>
      </c>
      <c r="C417" s="8">
        <v>1</v>
      </c>
      <c r="D417" s="8"/>
      <c r="E417" s="9"/>
      <c r="F417" s="9">
        <v>1</v>
      </c>
      <c r="G417" s="10"/>
      <c r="H417" s="10"/>
      <c r="I417" s="11">
        <v>1</v>
      </c>
      <c r="J417" s="11">
        <v>1</v>
      </c>
      <c r="K417" s="10">
        <v>1</v>
      </c>
      <c r="L417" s="11"/>
      <c r="M417" s="170"/>
      <c r="N417" s="124">
        <f t="shared" si="14"/>
        <v>5</v>
      </c>
      <c r="O417" s="125"/>
      <c r="P417" s="109"/>
      <c r="Q417" s="72" t="s">
        <v>1561</v>
      </c>
      <c r="R417" s="46">
        <v>30000</v>
      </c>
      <c r="S417" s="12">
        <v>31200</v>
      </c>
      <c r="T417" s="12">
        <v>32400</v>
      </c>
      <c r="U417" s="12">
        <v>32850</v>
      </c>
      <c r="V417" s="13"/>
      <c r="W417" s="175"/>
      <c r="X417" s="17">
        <v>250</v>
      </c>
      <c r="Y417" s="10"/>
    </row>
    <row r="418" spans="1:25">
      <c r="A418" s="131" t="s">
        <v>389</v>
      </c>
      <c r="B418" s="50" t="str">
        <f>IFERROR(HYPERLINK(VLOOKUP(A418,ÜRÜNLER!A:C,3,FALSE),VLOOKUP(A418,ÜRÜNLER!A:B,2,FALSE)),"")</f>
        <v>iQ700 Sıcak Tutma Çekmecesi, 60x14cm, Beyaz</v>
      </c>
      <c r="C418" s="8">
        <v>1</v>
      </c>
      <c r="D418" s="8"/>
      <c r="E418" s="9"/>
      <c r="F418" s="9"/>
      <c r="G418" s="10"/>
      <c r="H418" s="10"/>
      <c r="I418" s="11"/>
      <c r="J418" s="11"/>
      <c r="K418" s="10"/>
      <c r="L418" s="11"/>
      <c r="M418" s="170"/>
      <c r="N418" s="124">
        <f t="shared" si="14"/>
        <v>1</v>
      </c>
      <c r="O418" s="125"/>
      <c r="P418" s="109"/>
      <c r="Q418" s="72" t="s">
        <v>1561</v>
      </c>
      <c r="R418" s="46">
        <v>30000</v>
      </c>
      <c r="S418" s="12">
        <v>31200</v>
      </c>
      <c r="T418" s="12">
        <v>32400</v>
      </c>
      <c r="U418" s="12">
        <v>32850</v>
      </c>
      <c r="V418" s="13"/>
      <c r="W418" s="175"/>
      <c r="X418" s="17">
        <v>250</v>
      </c>
      <c r="Y418" s="10"/>
    </row>
    <row r="419" spans="1:25">
      <c r="A419" s="131" t="s">
        <v>390</v>
      </c>
      <c r="B419" s="50" t="str">
        <f>IFERROR(HYPERLINK(VLOOKUP(A419,ÜRÜNLER!A:C,3,FALSE),VLOOKUP(A419,ÜRÜNLER!A:B,2,FALSE)),"")</f>
        <v>iQ700 studioLine Sıcak Tutma Çekmecesi, 60x14cm, Siyah</v>
      </c>
      <c r="C419" s="8"/>
      <c r="D419" s="8">
        <v>1</v>
      </c>
      <c r="E419" s="9"/>
      <c r="F419" s="9"/>
      <c r="G419" s="10"/>
      <c r="H419" s="10">
        <v>1</v>
      </c>
      <c r="I419" s="11"/>
      <c r="J419" s="11"/>
      <c r="K419" s="10"/>
      <c r="L419" s="11"/>
      <c r="M419" s="170"/>
      <c r="N419" s="124">
        <f t="shared" si="14"/>
        <v>2</v>
      </c>
      <c r="O419" s="125"/>
      <c r="P419" s="109"/>
      <c r="Q419" s="72" t="s">
        <v>1561</v>
      </c>
      <c r="R419" s="46">
        <v>30000</v>
      </c>
      <c r="S419" s="12">
        <v>31200</v>
      </c>
      <c r="T419" s="12">
        <v>32400</v>
      </c>
      <c r="U419" s="12">
        <v>32850</v>
      </c>
      <c r="V419" s="13"/>
      <c r="W419" s="175"/>
      <c r="X419" s="14">
        <v>500</v>
      </c>
      <c r="Y419" s="10"/>
    </row>
    <row r="420" spans="1:25" ht="34.5" customHeight="1">
      <c r="A420" s="35" t="s">
        <v>393</v>
      </c>
      <c r="B420" s="50" t="str">
        <f>IFERROR(HYPERLINK(VLOOKUP(A420,ÜRÜNLER!A:C,3,FALSE),VLOOKUP(A420,ÜRÜNLER!A:B,2,FALSE)),"")</f>
        <v/>
      </c>
      <c r="C420" s="8"/>
      <c r="D420" s="8"/>
      <c r="E420" s="9"/>
      <c r="F420" s="9"/>
      <c r="G420" s="10"/>
      <c r="H420" s="10"/>
      <c r="I420" s="11"/>
      <c r="J420" s="11"/>
      <c r="K420" s="10"/>
      <c r="L420" s="11"/>
      <c r="M420" s="170"/>
      <c r="N420" s="124">
        <f>SUM(N390:N419)</f>
        <v>477</v>
      </c>
      <c r="O420" s="125"/>
      <c r="P420" s="109"/>
      <c r="R420" s="19"/>
      <c r="S420" s="12"/>
      <c r="T420" s="12"/>
      <c r="U420" s="12"/>
      <c r="V420" s="13"/>
      <c r="W420" s="175"/>
      <c r="X420" s="49"/>
      <c r="Y420" s="10"/>
    </row>
    <row r="421" spans="1:25">
      <c r="A421" s="21" t="s">
        <v>394</v>
      </c>
      <c r="B421" s="50" t="str">
        <f>IFERROR(HYPERLINK(VLOOKUP(A421,ÜRÜNLER!A:C,3,FALSE),VLOOKUP(A421,ÜRÜNLER!A:B,2,FALSE)),"")</f>
        <v>iQ500 Dik Şarjlı Elektrik Süpürgesi</v>
      </c>
      <c r="C421" s="8">
        <v>83</v>
      </c>
      <c r="D421" s="8"/>
      <c r="E421" s="9"/>
      <c r="F421" s="9">
        <v>1</v>
      </c>
      <c r="G421" s="10"/>
      <c r="H421" s="10"/>
      <c r="I421" s="11">
        <v>6</v>
      </c>
      <c r="J421" s="11">
        <v>3</v>
      </c>
      <c r="K421" s="10">
        <v>2</v>
      </c>
      <c r="L421" s="11">
        <v>4</v>
      </c>
      <c r="M421" s="170">
        <v>2</v>
      </c>
      <c r="N421" s="124">
        <f t="shared" ref="N421:N437" si="15">L421+M421+K421+J421+I421+H421+G421+F421+E421+D421+C421</f>
        <v>101</v>
      </c>
      <c r="O421" s="125">
        <v>204</v>
      </c>
      <c r="P421" s="109"/>
      <c r="Q421" s="51">
        <v>16035.596808446544</v>
      </c>
      <c r="R421" s="51">
        <v>16035.596808446544</v>
      </c>
      <c r="S421" s="12">
        <v>16677.020680784404</v>
      </c>
      <c r="T421" s="12">
        <v>17318.444553122266</v>
      </c>
      <c r="U421" s="12">
        <v>17558.978505248964</v>
      </c>
      <c r="V421" s="13"/>
      <c r="W421" s="175"/>
      <c r="X421" s="14">
        <v>250</v>
      </c>
      <c r="Y421" s="182">
        <v>18</v>
      </c>
    </row>
    <row r="422" spans="1:25">
      <c r="A422" s="21" t="s">
        <v>395</v>
      </c>
      <c r="B422" s="50" t="str">
        <f>IFERROR(HYPERLINK(VLOOKUP(A422,ÜRÜNLER!A:C,3,FALSE),VLOOKUP(A422,ÜRÜNLER!A:B,2,FALSE)),"")</f>
        <v>iQ500 Dik Şarjlı Elektrik Süpürgesi, Çift Bataryalı</v>
      </c>
      <c r="C422" s="8">
        <v>48</v>
      </c>
      <c r="D422" s="8"/>
      <c r="E422" s="9"/>
      <c r="F422" s="9"/>
      <c r="G422" s="10"/>
      <c r="H422" s="10"/>
      <c r="I422" s="11">
        <v>6</v>
      </c>
      <c r="J422" s="11">
        <v>3</v>
      </c>
      <c r="K422" s="10">
        <v>2</v>
      </c>
      <c r="L422" s="11">
        <v>2</v>
      </c>
      <c r="M422" s="170">
        <v>1</v>
      </c>
      <c r="N422" s="124">
        <f t="shared" si="15"/>
        <v>62</v>
      </c>
      <c r="O422" s="125">
        <v>82</v>
      </c>
      <c r="P422" s="109"/>
      <c r="Q422" s="51">
        <v>21917.208728307571</v>
      </c>
      <c r="R422" s="51">
        <v>21917.208728307571</v>
      </c>
      <c r="S422" s="12">
        <v>22793.897077439873</v>
      </c>
      <c r="T422" s="12">
        <v>23670.585426572175</v>
      </c>
      <c r="U422" s="12">
        <v>23999.343557496788</v>
      </c>
      <c r="V422" s="13"/>
      <c r="W422" s="175"/>
      <c r="X422" s="14">
        <v>250</v>
      </c>
      <c r="Y422" s="182">
        <v>17</v>
      </c>
    </row>
    <row r="423" spans="1:25">
      <c r="A423" s="21" t="s">
        <v>396</v>
      </c>
      <c r="B423" s="50" t="str">
        <f>IFERROR(HYPERLINK(VLOOKUP(A423,ÜRÜNLER!A:C,3,FALSE),VLOOKUP(A423,ÜRÜNLER!A:B,2,FALSE)),"")</f>
        <v>iQ500 Dik Şarjlı 2'li Süpürme&amp;Silme Elektrik Süpürgesi</v>
      </c>
      <c r="C423" s="8">
        <v>72</v>
      </c>
      <c r="D423" s="8"/>
      <c r="E423" s="9"/>
      <c r="F423" s="9"/>
      <c r="G423" s="10"/>
      <c r="H423" s="10"/>
      <c r="I423" s="11">
        <v>8</v>
      </c>
      <c r="J423" s="11">
        <v>5</v>
      </c>
      <c r="K423" s="10">
        <v>1</v>
      </c>
      <c r="L423" s="11">
        <v>2</v>
      </c>
      <c r="M423" s="170">
        <v>2</v>
      </c>
      <c r="N423" s="124">
        <f t="shared" si="15"/>
        <v>90</v>
      </c>
      <c r="O423" s="125">
        <v>123</v>
      </c>
      <c r="P423" s="109"/>
      <c r="Q423" s="51">
        <v>22889.510310267811</v>
      </c>
      <c r="R423" s="51">
        <v>22889.508000000002</v>
      </c>
      <c r="S423" s="12">
        <v>23805.088320000003</v>
      </c>
      <c r="T423" s="12">
        <v>24720.668640000004</v>
      </c>
      <c r="U423" s="12">
        <v>25064.011260000003</v>
      </c>
      <c r="V423" s="13"/>
      <c r="W423" s="175"/>
      <c r="X423" s="14">
        <v>250</v>
      </c>
      <c r="Y423" s="182">
        <v>18</v>
      </c>
    </row>
    <row r="424" spans="1:25">
      <c r="A424" s="21" t="s">
        <v>397</v>
      </c>
      <c r="B424" s="50" t="str">
        <f>IFERROR(HYPERLINK(VLOOKUP(A424,ÜRÜNLER!A:C,3,FALSE),VLOOKUP(A424,ÜRÜNLER!A:B,2,FALSE)),"")</f>
        <v>Toz torbalı Süpürge synchropower, 600w, Mavi</v>
      </c>
      <c r="C424" s="8"/>
      <c r="D424" s="8"/>
      <c r="E424" s="9"/>
      <c r="F424" s="9">
        <v>1</v>
      </c>
      <c r="G424" s="10"/>
      <c r="H424" s="10"/>
      <c r="I424" s="11">
        <v>1</v>
      </c>
      <c r="J424" s="11"/>
      <c r="K424" s="10"/>
      <c r="L424" s="11"/>
      <c r="M424" s="170">
        <v>3</v>
      </c>
      <c r="N424" s="124">
        <f t="shared" si="15"/>
        <v>5</v>
      </c>
      <c r="O424" s="125"/>
      <c r="P424" s="109"/>
      <c r="Q424" s="51">
        <v>7199.9210291256977</v>
      </c>
      <c r="R424" s="46">
        <v>5000</v>
      </c>
      <c r="S424" s="192">
        <v>5200</v>
      </c>
      <c r="T424" s="192">
        <v>5400</v>
      </c>
      <c r="U424" s="192">
        <v>5475</v>
      </c>
      <c r="V424" s="13"/>
      <c r="W424" s="175"/>
      <c r="X424" s="14">
        <v>250</v>
      </c>
      <c r="Y424" s="182">
        <v>18</v>
      </c>
    </row>
    <row r="425" spans="1:25">
      <c r="A425" s="21" t="s">
        <v>398</v>
      </c>
      <c r="B425" s="50" t="str">
        <f>IFERROR(HYPERLINK(VLOOKUP(A425,ÜRÜNLER!A:C,3,FALSE),VLOOKUP(A425,ÜRÜNLER!A:B,2,FALSE)),"")</f>
        <v>iQ300 Toz Torbalı Süpürge, 600w, Kırmızı</v>
      </c>
      <c r="C425" s="8"/>
      <c r="D425" s="8"/>
      <c r="E425" s="9"/>
      <c r="F425" s="9">
        <v>3</v>
      </c>
      <c r="G425" s="10"/>
      <c r="H425" s="10"/>
      <c r="I425" s="11">
        <v>1</v>
      </c>
      <c r="J425" s="11"/>
      <c r="K425" s="10"/>
      <c r="L425" s="11"/>
      <c r="M425" s="170">
        <v>3</v>
      </c>
      <c r="N425" s="124">
        <f t="shared" si="15"/>
        <v>7</v>
      </c>
      <c r="O425" s="125"/>
      <c r="P425" s="109"/>
      <c r="Q425" s="51">
        <v>7890.0382904480366</v>
      </c>
      <c r="R425" s="46">
        <v>6000</v>
      </c>
      <c r="S425" s="192">
        <v>6240</v>
      </c>
      <c r="T425" s="192">
        <v>6480</v>
      </c>
      <c r="U425" s="192">
        <v>6570</v>
      </c>
      <c r="V425" s="13"/>
      <c r="W425" s="175"/>
      <c r="X425" s="14">
        <v>250</v>
      </c>
      <c r="Y425" s="182">
        <v>20</v>
      </c>
    </row>
    <row r="426" spans="1:25">
      <c r="A426" s="143" t="s">
        <v>399</v>
      </c>
      <c r="B426" s="50" t="str">
        <f>IFERROR(HYPERLINK(VLOOKUP(A426,ÜRÜNLER!A:C,3,FALSE),VLOOKUP(A426,ÜRÜNLER!A:B,2,FALSE)),"")</f>
        <v>iQ300 Toz Torbalı Süpürge, 600w, Mavi</v>
      </c>
      <c r="C426" s="8"/>
      <c r="D426" s="8"/>
      <c r="E426" s="9"/>
      <c r="F426" s="9"/>
      <c r="G426" s="10"/>
      <c r="H426" s="10"/>
      <c r="I426" s="11">
        <v>1</v>
      </c>
      <c r="J426" s="11">
        <v>1</v>
      </c>
      <c r="K426" s="10">
        <v>2</v>
      </c>
      <c r="L426" s="11">
        <v>1</v>
      </c>
      <c r="M426" s="170">
        <v>2</v>
      </c>
      <c r="N426" s="124">
        <f t="shared" si="15"/>
        <v>7</v>
      </c>
      <c r="O426" s="125"/>
      <c r="P426" s="109"/>
      <c r="Q426" s="72" t="s">
        <v>1561</v>
      </c>
      <c r="R426" s="15">
        <v>6599</v>
      </c>
      <c r="S426" s="12">
        <v>6862.96</v>
      </c>
      <c r="T426" s="12">
        <v>7126.92</v>
      </c>
      <c r="U426" s="12">
        <v>7225.9049999999997</v>
      </c>
      <c r="V426" s="13"/>
      <c r="W426" s="175"/>
      <c r="X426" s="14">
        <v>250</v>
      </c>
      <c r="Y426" s="182">
        <v>9</v>
      </c>
    </row>
    <row r="427" spans="1:25">
      <c r="A427" s="143" t="s">
        <v>400</v>
      </c>
      <c r="B427" s="50" t="str">
        <f>IFERROR(HYPERLINK(VLOOKUP(A427,ÜRÜNLER!A:C,3,FALSE),VLOOKUP(A427,ÜRÜNLER!A:B,2,FALSE)),"")</f>
        <v>iQ300 Toz Torbalı Süpürge, 600w, Açık Mavi</v>
      </c>
      <c r="C427" s="8"/>
      <c r="D427" s="8"/>
      <c r="E427" s="9"/>
      <c r="F427" s="9"/>
      <c r="G427" s="10"/>
      <c r="H427" s="10"/>
      <c r="I427" s="11"/>
      <c r="J427" s="11"/>
      <c r="K427" s="10"/>
      <c r="L427" s="11">
        <v>1</v>
      </c>
      <c r="M427" s="170"/>
      <c r="N427" s="124">
        <f t="shared" si="15"/>
        <v>1</v>
      </c>
      <c r="O427" s="125"/>
      <c r="P427" s="109"/>
      <c r="Q427" s="72" t="s">
        <v>1561</v>
      </c>
      <c r="R427" s="19">
        <v>5999</v>
      </c>
      <c r="S427" s="12">
        <v>6238.96</v>
      </c>
      <c r="T427" s="12">
        <v>6478.92</v>
      </c>
      <c r="U427" s="12">
        <v>6568.9049999999997</v>
      </c>
      <c r="V427" s="13"/>
      <c r="W427" s="175"/>
      <c r="X427" s="14">
        <v>250</v>
      </c>
      <c r="Y427" s="10"/>
    </row>
    <row r="428" spans="1:25">
      <c r="A428" s="21" t="s">
        <v>401</v>
      </c>
      <c r="B428" s="50" t="str">
        <f>IFERROR(HYPERLINK(VLOOKUP(A428,ÜRÜNLER!A:C,3,FALSE),VLOOKUP(A428,ÜRÜNLER!A:B,2,FALSE)),"")</f>
        <v>iQ700 Toz Torbalı Süpürge, 650w, Beyaz</v>
      </c>
      <c r="C428" s="8"/>
      <c r="D428" s="8"/>
      <c r="E428" s="9"/>
      <c r="F428" s="9">
        <v>12</v>
      </c>
      <c r="G428" s="10"/>
      <c r="H428" s="10"/>
      <c r="I428" s="11">
        <v>5</v>
      </c>
      <c r="J428" s="11">
        <v>1</v>
      </c>
      <c r="K428" s="10">
        <v>2</v>
      </c>
      <c r="L428" s="11">
        <v>3</v>
      </c>
      <c r="M428" s="170">
        <v>2</v>
      </c>
      <c r="N428" s="124">
        <f t="shared" si="15"/>
        <v>25</v>
      </c>
      <c r="O428" s="125"/>
      <c r="P428" s="109"/>
      <c r="Q428" s="51">
        <v>17385.606197683526</v>
      </c>
      <c r="R428" s="46">
        <v>15000</v>
      </c>
      <c r="S428" s="192">
        <v>15600</v>
      </c>
      <c r="T428" s="192">
        <v>16200</v>
      </c>
      <c r="U428" s="192">
        <v>16425</v>
      </c>
      <c r="V428" s="13"/>
      <c r="W428" s="175"/>
      <c r="X428" s="14">
        <v>250</v>
      </c>
      <c r="Y428" s="182">
        <v>7</v>
      </c>
    </row>
    <row r="429" spans="1:25">
      <c r="A429" s="21" t="s">
        <v>402</v>
      </c>
      <c r="B429" s="50" t="str">
        <f>IFERROR(HYPERLINK(VLOOKUP(A429,ÜRÜNLER!A:C,3,FALSE),VLOOKUP(A429,ÜRÜNLER!A:B,2,FALSE)),"")</f>
        <v>iQ700 Toz Torbalı Süpürge, 650w, Kırmızı</v>
      </c>
      <c r="C429" s="8"/>
      <c r="D429" s="8"/>
      <c r="E429" s="9"/>
      <c r="F429" s="9"/>
      <c r="G429" s="10"/>
      <c r="H429" s="10"/>
      <c r="I429" s="11">
        <v>1</v>
      </c>
      <c r="J429" s="11"/>
      <c r="K429" s="10"/>
      <c r="L429" s="11">
        <v>1</v>
      </c>
      <c r="M429" s="170"/>
      <c r="N429" s="124">
        <f t="shared" si="15"/>
        <v>2</v>
      </c>
      <c r="O429" s="125"/>
      <c r="P429" s="109"/>
      <c r="Q429" s="72" t="s">
        <v>1561</v>
      </c>
      <c r="R429" s="19">
        <v>10999</v>
      </c>
      <c r="S429" s="12">
        <v>11438.96</v>
      </c>
      <c r="T429" s="12">
        <v>11878.92</v>
      </c>
      <c r="U429" s="12">
        <v>12043.905000000001</v>
      </c>
      <c r="V429" s="13"/>
      <c r="W429" s="175"/>
      <c r="X429" s="14">
        <v>250</v>
      </c>
      <c r="Y429" s="10"/>
    </row>
    <row r="430" spans="1:25">
      <c r="A430" s="21" t="s">
        <v>403</v>
      </c>
      <c r="B430" s="50" t="str">
        <f>IFERROR(HYPERLINK(VLOOKUP(A430,ÜRÜNLER!A:C,3,FALSE),VLOOKUP(A430,ÜRÜNLER!A:B,2,FALSE)),"")</f>
        <v>iQ300 Plus Limited Edition Toz Torbalı Elektrik Süpürgesi, 750w, Kırmızı</v>
      </c>
      <c r="C430" s="8">
        <v>4</v>
      </c>
      <c r="D430" s="8"/>
      <c r="E430" s="9"/>
      <c r="F430" s="9"/>
      <c r="G430" s="10"/>
      <c r="H430" s="10"/>
      <c r="I430" s="11">
        <v>2</v>
      </c>
      <c r="J430" s="11">
        <v>4</v>
      </c>
      <c r="K430" s="10"/>
      <c r="L430" s="11">
        <v>4</v>
      </c>
      <c r="M430" s="170">
        <v>2</v>
      </c>
      <c r="N430" s="124">
        <f t="shared" si="15"/>
        <v>16</v>
      </c>
      <c r="O430" s="125"/>
      <c r="P430" s="109"/>
      <c r="Q430" s="51">
        <v>12473.574901724722</v>
      </c>
      <c r="R430" s="46">
        <v>11424.779999999999</v>
      </c>
      <c r="S430" s="192">
        <v>11881.771199999999</v>
      </c>
      <c r="T430" s="192">
        <v>12338.7624</v>
      </c>
      <c r="U430" s="192">
        <v>12510.134099999999</v>
      </c>
      <c r="V430" s="13"/>
      <c r="W430" s="175"/>
      <c r="X430" s="14">
        <v>250</v>
      </c>
      <c r="Y430" s="182">
        <v>8</v>
      </c>
    </row>
    <row r="431" spans="1:25">
      <c r="A431" s="132" t="s">
        <v>404</v>
      </c>
      <c r="B431" s="50" t="str">
        <f>IFERROR(HYPERLINK(VLOOKUP(A431,ÜRÜNLER!A:C,3,FALSE),VLOOKUP(A431,ÜRÜNLER!A:B,2,FALSE)),"")</f>
        <v>iQ300 Toz Torbasız Süpürge, 550w, Kırmızı</v>
      </c>
      <c r="C431" s="8">
        <v>1</v>
      </c>
      <c r="D431" s="8"/>
      <c r="E431" s="9"/>
      <c r="F431" s="9">
        <v>13</v>
      </c>
      <c r="G431" s="10"/>
      <c r="H431" s="10"/>
      <c r="I431" s="11">
        <v>6</v>
      </c>
      <c r="J431" s="11">
        <v>1</v>
      </c>
      <c r="K431" s="10">
        <v>24</v>
      </c>
      <c r="L431" s="11">
        <v>2</v>
      </c>
      <c r="M431" s="170">
        <v>6</v>
      </c>
      <c r="N431" s="124">
        <f t="shared" si="15"/>
        <v>53</v>
      </c>
      <c r="O431" s="125"/>
      <c r="P431" s="109"/>
      <c r="Q431" s="51">
        <v>9014.0958506441748</v>
      </c>
      <c r="R431" s="46">
        <v>7000</v>
      </c>
      <c r="S431" s="192">
        <v>7280</v>
      </c>
      <c r="T431" s="192">
        <v>7560</v>
      </c>
      <c r="U431" s="192">
        <v>7665</v>
      </c>
      <c r="V431" s="13"/>
      <c r="W431" s="175"/>
      <c r="X431" s="14">
        <v>250</v>
      </c>
      <c r="Y431" s="182">
        <v>18</v>
      </c>
    </row>
    <row r="432" spans="1:25">
      <c r="A432" s="132" t="s">
        <v>405</v>
      </c>
      <c r="B432" s="50" t="str">
        <f>IFERROR(HYPERLINK(VLOOKUP(A432,ÜRÜNLER!A:C,3,FALSE),VLOOKUP(A432,ÜRÜNLER!A:B,2,FALSE)),"")</f>
        <v>iQ300 Toz Torbasız Süpürge, 750w, Mavi</v>
      </c>
      <c r="C432" s="8">
        <v>9</v>
      </c>
      <c r="D432" s="8"/>
      <c r="E432" s="9"/>
      <c r="F432" s="9">
        <v>5</v>
      </c>
      <c r="G432" s="10"/>
      <c r="H432" s="10"/>
      <c r="I432" s="11">
        <v>1</v>
      </c>
      <c r="J432" s="11">
        <v>4</v>
      </c>
      <c r="K432" s="10">
        <v>4</v>
      </c>
      <c r="L432" s="11">
        <v>1</v>
      </c>
      <c r="M432" s="170">
        <v>2</v>
      </c>
      <c r="N432" s="124">
        <f t="shared" si="15"/>
        <v>26</v>
      </c>
      <c r="O432" s="125"/>
      <c r="P432" s="109"/>
      <c r="Q432" s="51">
        <v>11340.828006656646</v>
      </c>
      <c r="R432" s="46">
        <v>10387.271999999999</v>
      </c>
      <c r="S432" s="192">
        <v>10802.762879999998</v>
      </c>
      <c r="T432" s="192">
        <v>11218.25376</v>
      </c>
      <c r="U432" s="192">
        <v>11374.062839999999</v>
      </c>
      <c r="V432" s="13"/>
      <c r="W432" s="175"/>
      <c r="X432" s="14">
        <v>250</v>
      </c>
      <c r="Y432" s="182">
        <v>18</v>
      </c>
    </row>
    <row r="433" spans="1:25">
      <c r="A433" s="132" t="s">
        <v>406</v>
      </c>
      <c r="B433" s="50" t="str">
        <f>IFERROR(HYPERLINK(VLOOKUP(A433,ÜRÜNLER!A:C,3,FALSE),VLOOKUP(A433,ÜRÜNLER!A:B,2,FALSE)),"")</f>
        <v>iQ500 Toz Torbasız Süpürge, 550w, Kırmızı</v>
      </c>
      <c r="C433" s="8">
        <v>36</v>
      </c>
      <c r="D433" s="8"/>
      <c r="E433" s="9"/>
      <c r="F433" s="9">
        <v>3</v>
      </c>
      <c r="G433" s="10"/>
      <c r="H433" s="10"/>
      <c r="I433" s="11">
        <v>1</v>
      </c>
      <c r="J433" s="11">
        <v>1</v>
      </c>
      <c r="K433" s="10">
        <v>4</v>
      </c>
      <c r="L433" s="11">
        <v>3</v>
      </c>
      <c r="M433" s="170">
        <v>2</v>
      </c>
      <c r="N433" s="124">
        <f t="shared" si="15"/>
        <v>50</v>
      </c>
      <c r="O433" s="125"/>
      <c r="P433" s="109"/>
      <c r="Q433" s="51">
        <v>9537.7576196999089</v>
      </c>
      <c r="R433" s="46">
        <v>8500</v>
      </c>
      <c r="S433" s="192">
        <v>8840</v>
      </c>
      <c r="T433" s="192">
        <v>9180</v>
      </c>
      <c r="U433" s="192">
        <v>9307.5</v>
      </c>
      <c r="V433" s="13"/>
      <c r="W433" s="175"/>
      <c r="X433" s="14">
        <v>250</v>
      </c>
      <c r="Y433" s="182">
        <v>12</v>
      </c>
    </row>
    <row r="434" spans="1:25">
      <c r="A434" s="132" t="s">
        <v>407</v>
      </c>
      <c r="B434" s="50" t="str">
        <f>IFERROR(HYPERLINK(VLOOKUP(A434,ÜRÜNLER!A:C,3,FALSE),VLOOKUP(A434,ÜRÜNLER!A:B,2,FALSE)),"")</f>
        <v>iQ500 Toz Torbasız Süpürge, 550w, Mavi</v>
      </c>
      <c r="C434" s="8"/>
      <c r="D434" s="8"/>
      <c r="E434" s="9"/>
      <c r="F434" s="9">
        <v>1</v>
      </c>
      <c r="G434" s="10"/>
      <c r="H434" s="10"/>
      <c r="I434" s="11">
        <v>1</v>
      </c>
      <c r="J434" s="11"/>
      <c r="K434" s="10">
        <v>2</v>
      </c>
      <c r="L434" s="11">
        <v>1</v>
      </c>
      <c r="M434" s="170"/>
      <c r="N434" s="124">
        <f t="shared" si="15"/>
        <v>5</v>
      </c>
      <c r="O434" s="125"/>
      <c r="P434" s="109"/>
      <c r="Q434" s="72" t="s">
        <v>1561</v>
      </c>
      <c r="R434" s="120">
        <v>6500</v>
      </c>
      <c r="S434" s="192">
        <v>6760</v>
      </c>
      <c r="T434" s="192">
        <v>7020</v>
      </c>
      <c r="U434" s="192">
        <v>7117.5</v>
      </c>
      <c r="V434" s="13"/>
      <c r="W434" s="175"/>
      <c r="X434" s="14">
        <v>250</v>
      </c>
      <c r="Y434" s="10"/>
    </row>
    <row r="435" spans="1:25">
      <c r="A435" s="132" t="s">
        <v>408</v>
      </c>
      <c r="B435" s="50" t="str">
        <f>IFERROR(HYPERLINK(VLOOKUP(A435,ÜRÜNLER!A:C,3,FALSE),VLOOKUP(A435,ÜRÜNLER!A:B,2,FALSE)),"")</f>
        <v>iQ500 Toz Torbasız Elektrik Süpürgesi, 750w, Siyah</v>
      </c>
      <c r="C435" s="8">
        <v>2</v>
      </c>
      <c r="D435" s="8"/>
      <c r="E435" s="9"/>
      <c r="F435" s="9">
        <v>52</v>
      </c>
      <c r="G435" s="10"/>
      <c r="H435" s="10"/>
      <c r="I435" s="11">
        <v>7</v>
      </c>
      <c r="J435" s="11">
        <v>5</v>
      </c>
      <c r="K435" s="10">
        <v>3</v>
      </c>
      <c r="L435" s="11">
        <v>4</v>
      </c>
      <c r="M435" s="170">
        <v>2</v>
      </c>
      <c r="N435" s="124">
        <f t="shared" si="15"/>
        <v>75</v>
      </c>
      <c r="O435" s="125"/>
      <c r="P435" s="109"/>
      <c r="Q435" s="51">
        <v>12397.26916737494</v>
      </c>
      <c r="R435" s="46">
        <v>11695.536</v>
      </c>
      <c r="S435" s="192">
        <v>12163.35744</v>
      </c>
      <c r="T435" s="192">
        <v>12631.178879999999</v>
      </c>
      <c r="U435" s="192">
        <v>12806.611919999999</v>
      </c>
      <c r="V435" s="13"/>
      <c r="W435" s="175"/>
      <c r="X435" s="14">
        <v>250</v>
      </c>
      <c r="Y435" s="182">
        <v>10</v>
      </c>
    </row>
    <row r="436" spans="1:25">
      <c r="A436" s="132" t="s">
        <v>409</v>
      </c>
      <c r="B436" s="50" t="str">
        <f>IFERROR(HYPERLINK(VLOOKUP(A436,ÜRÜNLER!A:C,3,FALSE),VLOOKUP(A436,ÜRÜNLER!A:B,2,FALSE)),"")</f>
        <v>Siemens Toz Torbasız Süpürge, 600w, Kırmızı</v>
      </c>
      <c r="C436" s="8"/>
      <c r="D436" s="8"/>
      <c r="E436" s="9"/>
      <c r="F436" s="9"/>
      <c r="G436" s="10"/>
      <c r="H436" s="10"/>
      <c r="I436" s="11">
        <v>1</v>
      </c>
      <c r="J436" s="11"/>
      <c r="K436" s="10"/>
      <c r="L436" s="11"/>
      <c r="M436" s="170"/>
      <c r="N436" s="124">
        <f t="shared" si="15"/>
        <v>1</v>
      </c>
      <c r="O436" s="125"/>
      <c r="P436" s="109"/>
      <c r="Q436" s="72" t="s">
        <v>1561</v>
      </c>
      <c r="R436" s="19">
        <v>4999</v>
      </c>
      <c r="S436" s="12">
        <v>5198.96</v>
      </c>
      <c r="T436" s="12">
        <v>5398.92</v>
      </c>
      <c r="U436" s="12">
        <v>5473.9049999999997</v>
      </c>
      <c r="V436" s="13"/>
      <c r="W436" s="175"/>
      <c r="X436" s="14">
        <v>250</v>
      </c>
      <c r="Y436" s="10"/>
    </row>
    <row r="437" spans="1:25">
      <c r="A437" s="132" t="s">
        <v>410</v>
      </c>
      <c r="B437" s="50" t="str">
        <f>IFERROR(HYPERLINK(VLOOKUP(A437,ÜRÜNLER!A:C,3,FALSE),VLOOKUP(A437,ÜRÜNLER!A:B,2,FALSE)),"")</f>
        <v>iQ700 Toz Torbasız Elektrik Süpürgesi, 850w, Siyah</v>
      </c>
      <c r="C437" s="8"/>
      <c r="D437" s="8"/>
      <c r="E437" s="9"/>
      <c r="F437" s="9">
        <v>31</v>
      </c>
      <c r="G437" s="10"/>
      <c r="H437" s="10"/>
      <c r="I437" s="11">
        <v>9</v>
      </c>
      <c r="J437" s="11">
        <v>12</v>
      </c>
      <c r="K437" s="10">
        <v>8</v>
      </c>
      <c r="L437" s="11">
        <v>4</v>
      </c>
      <c r="M437" s="170">
        <v>1</v>
      </c>
      <c r="N437" s="124">
        <f t="shared" si="15"/>
        <v>65</v>
      </c>
      <c r="O437" s="125"/>
      <c r="P437" s="109"/>
      <c r="Q437" s="51">
        <v>21734.966643145952</v>
      </c>
      <c r="R437" s="46">
        <v>19907</v>
      </c>
      <c r="S437" s="192">
        <v>20703.28</v>
      </c>
      <c r="T437" s="192">
        <v>21499.56</v>
      </c>
      <c r="U437" s="192">
        <v>21798.165000000001</v>
      </c>
      <c r="V437" s="13"/>
      <c r="W437" s="175"/>
      <c r="X437" s="14">
        <v>250</v>
      </c>
      <c r="Y437" s="182">
        <v>4</v>
      </c>
    </row>
    <row r="438" spans="1:25" ht="47.25" customHeight="1">
      <c r="A438" s="160" t="s">
        <v>413</v>
      </c>
      <c r="B438" s="50" t="str">
        <f>IFERROR(HYPERLINK(VLOOKUP(A438,ÜRÜNLER!A:C,3,FALSE),VLOOKUP(A438,ÜRÜNLER!A:B,2,FALSE)),"")</f>
        <v/>
      </c>
      <c r="C438" s="8"/>
      <c r="D438" s="8"/>
      <c r="E438" s="9"/>
      <c r="F438" s="9"/>
      <c r="G438" s="10"/>
      <c r="H438" s="10"/>
      <c r="I438" s="11"/>
      <c r="J438" s="11"/>
      <c r="K438" s="10"/>
      <c r="L438" s="11"/>
      <c r="M438" s="170"/>
      <c r="N438" s="124">
        <f>SUM(N421:N437)</f>
        <v>591</v>
      </c>
      <c r="O438" s="125"/>
      <c r="P438" s="9"/>
      <c r="R438" s="19"/>
      <c r="S438" s="12"/>
      <c r="T438" s="12"/>
      <c r="U438" s="12"/>
      <c r="V438" s="13"/>
      <c r="W438" s="175"/>
      <c r="X438" s="17"/>
      <c r="Y438" s="10"/>
    </row>
    <row r="439" spans="1:25">
      <c r="A439" s="21" t="s">
        <v>416</v>
      </c>
      <c r="B439" s="50" t="str">
        <f>IFERROR(HYPERLINK(VLOOKUP(A439,ÜRÜNLER!A:C,3,FALSE),VLOOKUP(A439,ÜRÜNLER!A:B,2,FALSE)),"")</f>
        <v>Soğuk Su Sebili, Gri</v>
      </c>
      <c r="C439" s="8">
        <v>160</v>
      </c>
      <c r="D439" s="8"/>
      <c r="E439" s="9"/>
      <c r="F439" s="9">
        <v>1</v>
      </c>
      <c r="G439" s="10"/>
      <c r="H439" s="10"/>
      <c r="I439" s="11">
        <v>4</v>
      </c>
      <c r="J439" s="11">
        <v>1</v>
      </c>
      <c r="K439" s="10">
        <v>3</v>
      </c>
      <c r="L439" s="11">
        <v>1</v>
      </c>
      <c r="M439" s="170">
        <v>1</v>
      </c>
      <c r="N439" s="124">
        <f t="shared" ref="N439:N471" si="16">L439+M439+K439+J439+I439+H439+G439+F439+E439+D439+C439</f>
        <v>171</v>
      </c>
      <c r="O439" s="125">
        <v>101</v>
      </c>
      <c r="P439" s="109"/>
      <c r="Q439" s="51">
        <v>10412.280518405883</v>
      </c>
      <c r="R439" s="46">
        <v>11453.508570246471</v>
      </c>
      <c r="S439" s="12">
        <v>11911.64891305633</v>
      </c>
      <c r="T439" s="12">
        <v>12369.78925586619</v>
      </c>
      <c r="U439" s="12">
        <v>12541.591884419886</v>
      </c>
      <c r="V439" s="27" t="s">
        <v>1691</v>
      </c>
      <c r="W439" s="175"/>
      <c r="X439" s="14">
        <v>50</v>
      </c>
      <c r="Y439" s="182">
        <v>22</v>
      </c>
    </row>
    <row r="440" spans="1:25">
      <c r="A440" s="21" t="s">
        <v>417</v>
      </c>
      <c r="B440" s="50" t="str">
        <f>IFERROR(HYPERLINK(VLOOKUP(A440,ÜRÜNLER!A:C,3,FALSE),VLOOKUP(A440,ÜRÜNLER!A:B,2,FALSE)),"")</f>
        <v>Soğuk Su Sebili, Siyah/Gri, Dokunmatik</v>
      </c>
      <c r="C440" s="8">
        <v>5</v>
      </c>
      <c r="D440" s="8"/>
      <c r="E440" s="9"/>
      <c r="F440" s="9">
        <v>7</v>
      </c>
      <c r="G440" s="10"/>
      <c r="H440" s="10"/>
      <c r="I440" s="11"/>
      <c r="J440" s="11">
        <v>1</v>
      </c>
      <c r="K440" s="10">
        <v>1</v>
      </c>
      <c r="L440" s="11">
        <v>1</v>
      </c>
      <c r="M440" s="170"/>
      <c r="N440" s="124">
        <f t="shared" si="16"/>
        <v>15</v>
      </c>
      <c r="O440" s="125">
        <v>33</v>
      </c>
      <c r="P440" s="109"/>
      <c r="Q440" s="51">
        <v>15159.194999120318</v>
      </c>
      <c r="R440" s="46">
        <v>16675.114499032352</v>
      </c>
      <c r="S440" s="12">
        <v>17342.119078993645</v>
      </c>
      <c r="T440" s="12">
        <v>18009.123658954941</v>
      </c>
      <c r="U440" s="12">
        <v>18259.250376440425</v>
      </c>
      <c r="V440" s="13"/>
      <c r="W440" s="175"/>
      <c r="X440" s="78">
        <v>100</v>
      </c>
      <c r="Y440" s="182">
        <v>10</v>
      </c>
    </row>
    <row r="441" spans="1:25">
      <c r="A441" s="21" t="s">
        <v>418</v>
      </c>
      <c r="B441" s="50" t="str">
        <f>IFERROR(HYPERLINK(VLOOKUP(A441,ÜRÜNLER!A:C,3,FALSE),VLOOKUP(A441,ÜRÜNLER!A:B,2,FALSE)),"")</f>
        <v>Soğuk Su Sebili, Siyah/Gri</v>
      </c>
      <c r="C441" s="8"/>
      <c r="D441" s="8"/>
      <c r="E441" s="9"/>
      <c r="F441" s="9">
        <v>3</v>
      </c>
      <c r="G441" s="10"/>
      <c r="H441" s="10"/>
      <c r="I441" s="11">
        <v>1</v>
      </c>
      <c r="J441" s="11"/>
      <c r="K441" s="10">
        <v>1</v>
      </c>
      <c r="L441" s="11">
        <v>1</v>
      </c>
      <c r="M441" s="170"/>
      <c r="N441" s="124">
        <f t="shared" si="16"/>
        <v>6</v>
      </c>
      <c r="O441" s="125">
        <v>211</v>
      </c>
      <c r="P441" s="109"/>
      <c r="Q441" s="51">
        <v>14978.950144916385</v>
      </c>
      <c r="R441" s="46">
        <v>16476.845159408025</v>
      </c>
      <c r="S441" s="12">
        <v>17135.918965784345</v>
      </c>
      <c r="T441" s="12">
        <v>17794.992772160665</v>
      </c>
      <c r="U441" s="12">
        <v>18042.145449551786</v>
      </c>
      <c r="V441" s="13"/>
      <c r="W441" s="175"/>
      <c r="X441" s="78">
        <v>100</v>
      </c>
      <c r="Y441" s="182">
        <v>10</v>
      </c>
    </row>
    <row r="442" spans="1:25">
      <c r="A442" s="21" t="s">
        <v>419</v>
      </c>
      <c r="B442" s="50" t="str">
        <f>IFERROR(HYPERLINK(VLOOKUP(A442,ÜRÜNLER!A:C,3,FALSE),VLOOKUP(A442,ÜRÜNLER!A:B,2,FALSE)),"")</f>
        <v>Sıcak/Soğuk Su Sebili, Beyaz</v>
      </c>
      <c r="C442" s="8">
        <v>46</v>
      </c>
      <c r="D442" s="8"/>
      <c r="E442" s="9"/>
      <c r="F442" s="9">
        <v>5</v>
      </c>
      <c r="G442" s="10"/>
      <c r="H442" s="10"/>
      <c r="I442" s="11">
        <v>2</v>
      </c>
      <c r="J442" s="11">
        <v>3</v>
      </c>
      <c r="K442" s="10"/>
      <c r="L442" s="11">
        <v>1</v>
      </c>
      <c r="M442" s="170">
        <v>1</v>
      </c>
      <c r="N442" s="124">
        <f t="shared" si="16"/>
        <v>58</v>
      </c>
      <c r="O442" s="125">
        <v>56</v>
      </c>
      <c r="P442" s="109"/>
      <c r="Q442" s="51">
        <v>13867.0707767613</v>
      </c>
      <c r="R442" s="46">
        <v>15253.777854437431</v>
      </c>
      <c r="S442" s="12">
        <v>15863.928968614928</v>
      </c>
      <c r="T442" s="12">
        <v>16474.080082792425</v>
      </c>
      <c r="U442" s="12">
        <v>16702.886750608988</v>
      </c>
      <c r="V442" s="13"/>
      <c r="W442" s="175"/>
      <c r="X442" s="78">
        <v>100</v>
      </c>
      <c r="Y442" s="182">
        <v>5</v>
      </c>
    </row>
    <row r="443" spans="1:25">
      <c r="A443" s="21" t="s">
        <v>420</v>
      </c>
      <c r="B443" s="50" t="str">
        <f>IFERROR(HYPERLINK(VLOOKUP(A443,ÜRÜNLER!A:C,3,FALSE),VLOOKUP(A443,ÜRÜNLER!A:B,2,FALSE)),"")</f>
        <v>Soğuk Su Sebili, Siyah/Gri, Sensörlü</v>
      </c>
      <c r="C443" s="8">
        <v>6</v>
      </c>
      <c r="D443" s="8"/>
      <c r="E443" s="9"/>
      <c r="F443" s="9">
        <v>2</v>
      </c>
      <c r="G443" s="10"/>
      <c r="H443" s="10"/>
      <c r="I443" s="11"/>
      <c r="J443" s="11"/>
      <c r="K443" s="10"/>
      <c r="L443" s="11"/>
      <c r="M443" s="170"/>
      <c r="N443" s="124">
        <f t="shared" si="16"/>
        <v>8</v>
      </c>
      <c r="O443" s="125">
        <v>169</v>
      </c>
      <c r="P443" s="109"/>
      <c r="Q443" s="51">
        <v>15878.152251444433</v>
      </c>
      <c r="R443" s="46">
        <v>17465.967476588878</v>
      </c>
      <c r="S443" s="12">
        <v>18164.606175652432</v>
      </c>
      <c r="T443" s="12">
        <v>18863.244874715987</v>
      </c>
      <c r="U443" s="12">
        <v>19125.23438686482</v>
      </c>
      <c r="V443" s="13"/>
      <c r="W443" s="175"/>
      <c r="X443" s="78">
        <v>100</v>
      </c>
      <c r="Y443" s="182">
        <v>5</v>
      </c>
    </row>
    <row r="444" spans="1:25">
      <c r="A444" s="131" t="s">
        <v>391</v>
      </c>
      <c r="B444" s="50" t="str">
        <f>IFERROR(HYPERLINK(VLOOKUP(A444,ÜRÜNLER!A:C,3,FALSE),VLOOKUP(A444,ÜRÜNLER!A:B,2,FALSE)),"")</f>
        <v>Temizleme Tableti</v>
      </c>
      <c r="C444" s="8"/>
      <c r="D444" s="8"/>
      <c r="E444" s="9"/>
      <c r="F444" s="9">
        <v>76</v>
      </c>
      <c r="G444" s="10"/>
      <c r="H444" s="10"/>
      <c r="I444" s="11">
        <v>49</v>
      </c>
      <c r="J444" s="11">
        <v>34</v>
      </c>
      <c r="K444" s="10">
        <v>13</v>
      </c>
      <c r="L444" s="11">
        <v>24</v>
      </c>
      <c r="M444" s="170"/>
      <c r="N444" s="124">
        <f t="shared" si="16"/>
        <v>196</v>
      </c>
      <c r="O444" s="125"/>
      <c r="P444" s="109"/>
      <c r="Q444" s="51">
        <v>480</v>
      </c>
      <c r="R444" s="19">
        <v>650</v>
      </c>
      <c r="S444" s="12">
        <v>700</v>
      </c>
      <c r="T444" s="12">
        <v>800</v>
      </c>
      <c r="U444" s="12"/>
      <c r="V444" s="13"/>
      <c r="W444" s="175"/>
      <c r="X444" s="17">
        <v>50</v>
      </c>
      <c r="Y444" s="10"/>
    </row>
    <row r="445" spans="1:25">
      <c r="A445" s="131" t="s">
        <v>392</v>
      </c>
      <c r="B445" s="50" t="str">
        <f>IFERROR(HYPERLINK(VLOOKUP(A445,ÜRÜNLER!A:C,3,FALSE),VLOOKUP(A445,ÜRÜNLER!A:B,2,FALSE)),"")</f>
        <v>Kireç Temizleme Tableti</v>
      </c>
      <c r="C445" s="8"/>
      <c r="D445" s="8"/>
      <c r="E445" s="9"/>
      <c r="F445" s="9">
        <v>26</v>
      </c>
      <c r="G445" s="10"/>
      <c r="H445" s="10"/>
      <c r="I445" s="11">
        <v>53</v>
      </c>
      <c r="J445" s="11">
        <v>19</v>
      </c>
      <c r="K445" s="10">
        <v>1</v>
      </c>
      <c r="L445" s="11">
        <v>22</v>
      </c>
      <c r="M445" s="170"/>
      <c r="N445" s="124">
        <f t="shared" si="16"/>
        <v>121</v>
      </c>
      <c r="O445" s="125"/>
      <c r="P445" s="109"/>
      <c r="Q445" s="51">
        <v>480</v>
      </c>
      <c r="R445" s="19">
        <v>650</v>
      </c>
      <c r="S445" s="12">
        <v>700</v>
      </c>
      <c r="T445" s="12">
        <v>800</v>
      </c>
      <c r="U445" s="12"/>
      <c r="V445" s="13"/>
      <c r="W445" s="175"/>
      <c r="X445" s="17">
        <v>50</v>
      </c>
      <c r="Y445" s="10"/>
    </row>
    <row r="446" spans="1:25">
      <c r="A446" s="132" t="s">
        <v>202</v>
      </c>
      <c r="B446" s="50" t="str">
        <f>IFERROR(HYPERLINK(VLOOKUP(A446,ÜRÜNLER!A:C,3,FALSE),VLOOKUP(A446,ÜRÜNLER!A:B,2,FALSE)),"")</f>
        <v>3D Fry Tepsi</v>
      </c>
      <c r="C446" s="8">
        <v>16</v>
      </c>
      <c r="D446" s="8"/>
      <c r="E446" s="9"/>
      <c r="F446" s="9">
        <v>12</v>
      </c>
      <c r="G446" s="10"/>
      <c r="H446" s="10"/>
      <c r="I446" s="11">
        <v>4</v>
      </c>
      <c r="J446" s="11">
        <v>8</v>
      </c>
      <c r="K446" s="10">
        <v>9</v>
      </c>
      <c r="L446" s="11">
        <v>4</v>
      </c>
      <c r="M446" s="170"/>
      <c r="N446" s="124">
        <f t="shared" si="16"/>
        <v>53</v>
      </c>
      <c r="O446" s="125">
        <v>9</v>
      </c>
      <c r="P446" s="109"/>
      <c r="Q446" s="180">
        <v>344</v>
      </c>
      <c r="R446" s="19">
        <v>650</v>
      </c>
      <c r="S446" s="12">
        <v>700</v>
      </c>
      <c r="T446" s="12">
        <v>800</v>
      </c>
      <c r="U446" s="12"/>
      <c r="V446" s="13"/>
      <c r="W446" s="175"/>
      <c r="X446" s="17">
        <v>50</v>
      </c>
      <c r="Y446" s="10"/>
    </row>
    <row r="447" spans="1:25">
      <c r="A447" s="132" t="s">
        <v>203</v>
      </c>
      <c r="B447" s="50" t="str">
        <f>IFERROR(HYPERLINK(VLOOKUP(A447,ÜRÜNLER!A:C,3,FALSE),VLOOKUP(A447,ÜRÜNLER!A:B,2,FALSE)),"")</f>
        <v>Siemens starter kit unducted recirculation</v>
      </c>
      <c r="C447" s="8">
        <v>2</v>
      </c>
      <c r="D447" s="8"/>
      <c r="E447" s="9"/>
      <c r="F447" s="9"/>
      <c r="G447" s="10"/>
      <c r="H447" s="10"/>
      <c r="I447" s="11"/>
      <c r="J447" s="11"/>
      <c r="K447" s="10"/>
      <c r="L447" s="11"/>
      <c r="M447" s="170"/>
      <c r="N447" s="124">
        <f t="shared" si="16"/>
        <v>2</v>
      </c>
      <c r="O447" s="125"/>
      <c r="P447" s="109"/>
      <c r="Q447" s="72"/>
      <c r="R447" s="19">
        <v>999</v>
      </c>
      <c r="S447" s="12">
        <v>1038.96</v>
      </c>
      <c r="T447" s="12">
        <v>1078.92</v>
      </c>
      <c r="U447" s="12">
        <v>1093.905</v>
      </c>
      <c r="V447" s="13"/>
      <c r="W447" s="175"/>
      <c r="X447" s="17">
        <v>50</v>
      </c>
      <c r="Y447" s="10"/>
    </row>
    <row r="448" spans="1:25">
      <c r="A448" s="132" t="s">
        <v>411</v>
      </c>
      <c r="B448" s="50" t="str">
        <f>IFERROR(HYPERLINK(VLOOKUP(A448,ÜRÜNLER!A:C,3,FALSE),VLOOKUP(A448,ÜRÜNLER!A:B,2,FALSE)),"")</f>
        <v>Siemens Elektrikli Süpürgeler için Toz Torbası (P Tip) 4'lü Paket</v>
      </c>
      <c r="C448" s="8"/>
      <c r="D448" s="8"/>
      <c r="E448" s="9"/>
      <c r="F448" s="9"/>
      <c r="G448" s="10"/>
      <c r="H448" s="10"/>
      <c r="I448" s="11">
        <v>6</v>
      </c>
      <c r="J448" s="11"/>
      <c r="K448" s="10"/>
      <c r="L448" s="11"/>
      <c r="M448" s="170"/>
      <c r="N448" s="124">
        <f t="shared" si="16"/>
        <v>6</v>
      </c>
      <c r="O448" s="125"/>
      <c r="P448" s="109"/>
      <c r="R448" s="19">
        <v>400</v>
      </c>
      <c r="S448" s="12">
        <v>450</v>
      </c>
      <c r="T448" s="12">
        <v>432</v>
      </c>
      <c r="U448" s="12">
        <v>438</v>
      </c>
      <c r="V448" s="13"/>
      <c r="W448" s="175"/>
      <c r="X448" s="17">
        <v>50</v>
      </c>
      <c r="Y448" s="10"/>
    </row>
    <row r="449" spans="1:25">
      <c r="A449" s="132" t="s">
        <v>412</v>
      </c>
      <c r="B449" s="50" t="str">
        <f>IFERROR(HYPERLINK(VLOOKUP(A449,ÜRÜNLER!A:C,3,FALSE),VLOOKUP(A449,ÜRÜNLER!A:B,2,FALSE)),"")</f>
        <v>Elektrik Süpürgesi Toz Torbası 4'lü</v>
      </c>
      <c r="C449" s="8">
        <v>1</v>
      </c>
      <c r="D449" s="8"/>
      <c r="E449" s="9"/>
      <c r="F449" s="9">
        <v>139</v>
      </c>
      <c r="G449" s="10"/>
      <c r="H449" s="10"/>
      <c r="I449" s="11">
        <v>73</v>
      </c>
      <c r="J449" s="11">
        <v>5</v>
      </c>
      <c r="K449" s="10">
        <v>7</v>
      </c>
      <c r="L449" s="11">
        <v>10</v>
      </c>
      <c r="M449" s="170"/>
      <c r="N449" s="124">
        <f t="shared" si="16"/>
        <v>235</v>
      </c>
      <c r="O449" s="125"/>
      <c r="P449" s="109"/>
      <c r="Q449" s="51">
        <v>328</v>
      </c>
      <c r="R449" s="19">
        <v>450</v>
      </c>
      <c r="S449" s="12">
        <v>450</v>
      </c>
      <c r="T449" s="12">
        <v>500</v>
      </c>
      <c r="U449" s="12">
        <v>492.75</v>
      </c>
      <c r="V449" s="13"/>
      <c r="W449" s="175"/>
      <c r="X449" s="17">
        <v>50</v>
      </c>
      <c r="Y449" s="10"/>
    </row>
    <row r="450" spans="1:25">
      <c r="A450" s="132" t="s">
        <v>414</v>
      </c>
      <c r="B450" s="50" t="str">
        <f>IFERROR(HYPERLINK(VLOOKUP(A450,ÜRÜNLER!A:C,3,FALSE),VLOOKUP(A450,ÜRÜNLER!A:B,2,FALSE)),"")</f>
        <v>Siemens Trifaze Ani Su Isıtıcı</v>
      </c>
      <c r="C450" s="8"/>
      <c r="D450" s="8"/>
      <c r="E450" s="9"/>
      <c r="F450" s="9"/>
      <c r="G450" s="10"/>
      <c r="H450" s="10"/>
      <c r="I450" s="11"/>
      <c r="J450" s="11"/>
      <c r="K450" s="10">
        <v>1</v>
      </c>
      <c r="L450" s="11"/>
      <c r="M450" s="170"/>
      <c r="N450" s="124">
        <f t="shared" si="16"/>
        <v>1</v>
      </c>
      <c r="O450" s="125"/>
      <c r="P450" s="109"/>
      <c r="R450" s="19">
        <v>39999</v>
      </c>
      <c r="S450" s="12">
        <v>41598.959999999999</v>
      </c>
      <c r="T450" s="12">
        <v>43198.92</v>
      </c>
      <c r="U450" s="12">
        <v>43798.904999999999</v>
      </c>
      <c r="V450" s="13"/>
      <c r="W450" s="175"/>
      <c r="X450" s="14">
        <v>250</v>
      </c>
      <c r="Y450" s="10"/>
    </row>
    <row r="451" spans="1:25">
      <c r="A451" s="132" t="s">
        <v>415</v>
      </c>
      <c r="B451" s="50" t="str">
        <f>IFERROR(HYPERLINK(VLOOKUP(A451,ÜRÜNLER!A:C,3,FALSE),VLOOKUP(A451,ÜRÜNLER!A:B,2,FALSE)),"")</f>
        <v>Siemens Trifaze Ani Su Isıtıcı</v>
      </c>
      <c r="C451" s="8"/>
      <c r="D451" s="8"/>
      <c r="E451" s="9"/>
      <c r="F451" s="9">
        <v>1</v>
      </c>
      <c r="G451" s="10"/>
      <c r="H451" s="10"/>
      <c r="I451" s="11"/>
      <c r="J451" s="11"/>
      <c r="K451" s="10"/>
      <c r="L451" s="11"/>
      <c r="M451" s="170"/>
      <c r="N451" s="124">
        <f t="shared" si="16"/>
        <v>1</v>
      </c>
      <c r="O451" s="125"/>
      <c r="P451" s="109"/>
      <c r="R451" s="19">
        <v>49999</v>
      </c>
      <c r="S451" s="12">
        <v>51998.96</v>
      </c>
      <c r="T451" s="12">
        <v>53998.92</v>
      </c>
      <c r="U451" s="12">
        <v>54748.904999999999</v>
      </c>
      <c r="V451" s="13"/>
      <c r="W451" s="175"/>
      <c r="X451" s="14">
        <v>250</v>
      </c>
      <c r="Y451" s="10"/>
    </row>
    <row r="452" spans="1:25">
      <c r="A452" s="132" t="s">
        <v>421</v>
      </c>
      <c r="B452" s="50" t="str">
        <f>IFERROR(HYPERLINK(VLOOKUP(A452,ÜRÜNLER!A:C,3,FALSE),VLOOKUP(A452,ÜRÜNLER!A:B,2,FALSE)),"")</f>
        <v>Siemens Çay Makinesi</v>
      </c>
      <c r="C452" s="8"/>
      <c r="D452" s="8"/>
      <c r="E452" s="9"/>
      <c r="F452" s="9"/>
      <c r="G452" s="10"/>
      <c r="H452" s="10"/>
      <c r="I452" s="11">
        <v>3</v>
      </c>
      <c r="J452" s="11">
        <v>1</v>
      </c>
      <c r="K452" s="10">
        <v>1</v>
      </c>
      <c r="L452" s="11">
        <v>1</v>
      </c>
      <c r="M452" s="170"/>
      <c r="N452" s="124">
        <f t="shared" si="16"/>
        <v>6</v>
      </c>
      <c r="O452" s="125"/>
      <c r="P452" s="109"/>
      <c r="R452" s="19">
        <v>3999</v>
      </c>
      <c r="S452" s="12">
        <v>4158.96</v>
      </c>
      <c r="T452" s="12">
        <v>4318.92</v>
      </c>
      <c r="U452" s="12">
        <v>4378.9049999999997</v>
      </c>
      <c r="V452" s="13"/>
      <c r="W452" s="175"/>
      <c r="X452" s="14">
        <v>50</v>
      </c>
      <c r="Y452" s="10"/>
    </row>
    <row r="453" spans="1:25">
      <c r="A453" s="132" t="s">
        <v>422</v>
      </c>
      <c r="B453" s="50" t="str">
        <f>IFERROR(HYPERLINK(VLOOKUP(A453,ÜRÜNLER!A:C,3,FALSE),VLOOKUP(A453,ÜRÜNLER!A:B,2,FALSE)),"")</f>
        <v>Siemens Filtre Kahve Makinesi</v>
      </c>
      <c r="C453" s="8"/>
      <c r="D453" s="8"/>
      <c r="E453" s="9"/>
      <c r="F453" s="9"/>
      <c r="G453" s="10"/>
      <c r="H453" s="10"/>
      <c r="I453" s="11">
        <v>1</v>
      </c>
      <c r="J453" s="11"/>
      <c r="K453" s="10"/>
      <c r="L453" s="11"/>
      <c r="M453" s="170"/>
      <c r="N453" s="124">
        <f t="shared" si="16"/>
        <v>1</v>
      </c>
      <c r="O453" s="125"/>
      <c r="P453" s="109"/>
      <c r="R453" s="19">
        <v>4999</v>
      </c>
      <c r="S453" s="12">
        <v>5198.96</v>
      </c>
      <c r="T453" s="12">
        <v>5398.92</v>
      </c>
      <c r="U453" s="12">
        <v>5473.9049999999997</v>
      </c>
      <c r="V453" s="13"/>
      <c r="W453" s="175"/>
      <c r="X453" s="14">
        <v>50</v>
      </c>
      <c r="Y453" s="10"/>
    </row>
    <row r="454" spans="1:25">
      <c r="A454" s="132" t="s">
        <v>423</v>
      </c>
      <c r="B454" s="50" t="str">
        <f>IFERROR(HYPERLINK(VLOOKUP(A454,ÜRÜNLER!A:C,3,FALSE),VLOOKUP(A454,ÜRÜNLER!A:B,2,FALSE)),"")</f>
        <v>Siemens El Blenderı ergonomicEdition, 600w, Beyaz/Mavi</v>
      </c>
      <c r="C454" s="8"/>
      <c r="D454" s="8"/>
      <c r="E454" s="9"/>
      <c r="F454" s="9"/>
      <c r="G454" s="10"/>
      <c r="H454" s="10"/>
      <c r="I454" s="11">
        <v>2</v>
      </c>
      <c r="J454" s="11"/>
      <c r="K454" s="10"/>
      <c r="L454" s="11"/>
      <c r="M454" s="170"/>
      <c r="N454" s="124">
        <f t="shared" si="16"/>
        <v>2</v>
      </c>
      <c r="O454" s="125"/>
      <c r="P454" s="109"/>
      <c r="R454" s="19">
        <v>1999</v>
      </c>
      <c r="S454" s="12">
        <v>2078.96</v>
      </c>
      <c r="T454" s="12">
        <v>2158.92</v>
      </c>
      <c r="U454" s="12">
        <v>2188.9050000000002</v>
      </c>
      <c r="V454" s="13"/>
      <c r="W454" s="175"/>
      <c r="X454" s="14">
        <v>50</v>
      </c>
      <c r="Y454" s="10"/>
    </row>
    <row r="455" spans="1:25">
      <c r="A455" s="132" t="s">
        <v>424</v>
      </c>
      <c r="B455" s="50" t="str">
        <f>IFERROR(HYPERLINK(VLOOKUP(A455,ÜRÜNLER!A:C,3,FALSE),VLOOKUP(A455,ÜRÜNLER!A:B,2,FALSE)),"")</f>
        <v>Siemens El Blenderı, 600w, Beyaz/Mavi</v>
      </c>
      <c r="C455" s="8"/>
      <c r="D455" s="8"/>
      <c r="E455" s="9"/>
      <c r="F455" s="9"/>
      <c r="G455" s="10"/>
      <c r="H455" s="10"/>
      <c r="I455" s="11">
        <v>1</v>
      </c>
      <c r="J455" s="11"/>
      <c r="K455" s="10"/>
      <c r="L455" s="11"/>
      <c r="M455" s="170"/>
      <c r="N455" s="124">
        <f t="shared" si="16"/>
        <v>1</v>
      </c>
      <c r="O455" s="125"/>
      <c r="P455" s="109"/>
      <c r="R455" s="19">
        <v>2499</v>
      </c>
      <c r="S455" s="12">
        <v>2598.96</v>
      </c>
      <c r="T455" s="12">
        <v>2698.92</v>
      </c>
      <c r="U455" s="12">
        <v>2736.4050000000002</v>
      </c>
      <c r="V455" s="13"/>
      <c r="W455" s="175"/>
      <c r="X455" s="14">
        <v>50</v>
      </c>
      <c r="Y455" s="10"/>
    </row>
    <row r="456" spans="1:25">
      <c r="A456" s="132" t="s">
        <v>425</v>
      </c>
      <c r="B456" s="50" t="str">
        <f>IFERROR(HYPERLINK(VLOOKUP(A456,ÜRÜNLER!A:C,3,FALSE),VLOOKUP(A456,ÜRÜNLER!A:B,2,FALSE)),"")</f>
        <v>Siemens El Blenderı FQ.1, 750w, Siyah/Gri</v>
      </c>
      <c r="C456" s="8"/>
      <c r="D456" s="8"/>
      <c r="E456" s="9"/>
      <c r="F456" s="9"/>
      <c r="G456" s="10"/>
      <c r="H456" s="10"/>
      <c r="I456" s="11">
        <v>2</v>
      </c>
      <c r="J456" s="11"/>
      <c r="K456" s="10"/>
      <c r="L456" s="11"/>
      <c r="M456" s="170"/>
      <c r="N456" s="124">
        <f t="shared" si="16"/>
        <v>2</v>
      </c>
      <c r="O456" s="125"/>
      <c r="P456" s="109"/>
      <c r="R456" s="19">
        <v>1999</v>
      </c>
      <c r="S456" s="12">
        <v>2078.96</v>
      </c>
      <c r="T456" s="12">
        <v>2158.92</v>
      </c>
      <c r="U456" s="12">
        <v>2188.9050000000002</v>
      </c>
      <c r="V456" s="13"/>
      <c r="W456" s="175"/>
      <c r="X456" s="14">
        <v>50</v>
      </c>
      <c r="Y456" s="10"/>
    </row>
    <row r="457" spans="1:25">
      <c r="A457" s="132" t="s">
        <v>427</v>
      </c>
      <c r="B457" s="50" t="str">
        <f>IFERROR(HYPERLINK(VLOOKUP(A457,ÜRÜNLER!A:C,3,FALSE),VLOOKUP(A457,ÜRÜNLER!A:B,2,FALSE)),"")</f>
        <v>Siemens El Mikseri, 450w, Beyaz/Antrasit</v>
      </c>
      <c r="C457" s="8"/>
      <c r="D457" s="8"/>
      <c r="E457" s="9"/>
      <c r="F457" s="9"/>
      <c r="G457" s="10"/>
      <c r="H457" s="10"/>
      <c r="I457" s="11">
        <v>1</v>
      </c>
      <c r="J457" s="11"/>
      <c r="K457" s="10"/>
      <c r="L457" s="11"/>
      <c r="M457" s="170"/>
      <c r="N457" s="124">
        <f t="shared" si="16"/>
        <v>1</v>
      </c>
      <c r="O457" s="125"/>
      <c r="P457" s="109"/>
      <c r="R457" s="19">
        <v>999</v>
      </c>
      <c r="S457" s="12">
        <v>1038.96</v>
      </c>
      <c r="T457" s="12">
        <v>1078.92</v>
      </c>
      <c r="U457" s="12">
        <v>1093.905</v>
      </c>
      <c r="V457" s="13"/>
      <c r="W457" s="175"/>
      <c r="X457" s="14">
        <v>50</v>
      </c>
      <c r="Y457" s="10"/>
    </row>
    <row r="458" spans="1:25">
      <c r="A458" s="132" t="s">
        <v>428</v>
      </c>
      <c r="B458" s="50" t="str">
        <f>IFERROR(HYPERLINK(VLOOKUP(A458,ÜRÜNLER!A:C,3,FALSE),VLOOKUP(A458,ÜRÜNLER!A:B,2,FALSE)),"")</f>
        <v>Siemens El Mikseri, 450w, Beyaz/Mavi</v>
      </c>
      <c r="C458" s="8"/>
      <c r="D458" s="8"/>
      <c r="E458" s="9"/>
      <c r="F458" s="9"/>
      <c r="G458" s="10"/>
      <c r="H458" s="10"/>
      <c r="I458" s="11">
        <v>1</v>
      </c>
      <c r="J458" s="11"/>
      <c r="K458" s="10"/>
      <c r="L458" s="11"/>
      <c r="M458" s="170"/>
      <c r="N458" s="124">
        <f t="shared" si="16"/>
        <v>1</v>
      </c>
      <c r="O458" s="125"/>
      <c r="P458" s="109"/>
      <c r="R458" s="19">
        <v>1499</v>
      </c>
      <c r="S458" s="12">
        <v>1558.96</v>
      </c>
      <c r="T458" s="12">
        <v>1618.92</v>
      </c>
      <c r="U458" s="12">
        <v>1641.405</v>
      </c>
      <c r="V458" s="13"/>
      <c r="W458" s="175"/>
      <c r="X458" s="14">
        <v>50</v>
      </c>
      <c r="Y458" s="10"/>
    </row>
    <row r="459" spans="1:25">
      <c r="A459" s="132" t="s">
        <v>429</v>
      </c>
      <c r="B459" s="50" t="str">
        <f>IFERROR(HYPERLINK(VLOOKUP(A459,ÜRÜNLER!A:C,3,FALSE),VLOOKUP(A459,ÜRÜNLER!A:B,2,FALSE)),"")</f>
        <v>El Mikser Seti, 500w, Siyah</v>
      </c>
      <c r="C459" s="8"/>
      <c r="D459" s="8"/>
      <c r="E459" s="9"/>
      <c r="F459" s="9"/>
      <c r="G459" s="10"/>
      <c r="H459" s="10"/>
      <c r="I459" s="11">
        <v>3</v>
      </c>
      <c r="J459" s="11"/>
      <c r="K459" s="10"/>
      <c r="L459" s="11"/>
      <c r="M459" s="170"/>
      <c r="N459" s="124">
        <f t="shared" si="16"/>
        <v>3</v>
      </c>
      <c r="O459" s="125"/>
      <c r="P459" s="109"/>
      <c r="R459" s="19">
        <v>2999</v>
      </c>
      <c r="S459" s="12">
        <v>3118.96</v>
      </c>
      <c r="T459" s="12">
        <v>3238.92</v>
      </c>
      <c r="U459" s="12">
        <v>3283.9049999999997</v>
      </c>
      <c r="V459" s="13"/>
      <c r="W459" s="175"/>
      <c r="X459" s="14">
        <v>50</v>
      </c>
      <c r="Y459" s="10"/>
    </row>
    <row r="460" spans="1:25">
      <c r="A460" s="132" t="s">
        <v>433</v>
      </c>
      <c r="B460" s="50" t="str">
        <f>IFERROR(HYPERLINK(VLOOKUP(A460,ÜRÜNLER!A:C,3,FALSE),VLOOKUP(A460,ÜRÜNLER!A:B,2,FALSE)),"")</f>
        <v>Siemens Buzdolabı Kulpu 79cm, Inox</v>
      </c>
      <c r="C460" s="8">
        <v>1</v>
      </c>
      <c r="D460" s="8"/>
      <c r="E460" s="9"/>
      <c r="F460" s="9"/>
      <c r="G460" s="10"/>
      <c r="H460" s="10"/>
      <c r="I460" s="11"/>
      <c r="J460" s="11"/>
      <c r="K460" s="10">
        <v>4</v>
      </c>
      <c r="L460" s="11"/>
      <c r="M460" s="170"/>
      <c r="N460" s="124">
        <f t="shared" si="16"/>
        <v>5</v>
      </c>
      <c r="O460" s="125"/>
      <c r="P460" s="109"/>
      <c r="R460" s="19">
        <v>24999</v>
      </c>
      <c r="S460" s="12">
        <v>25998.959999999999</v>
      </c>
      <c r="T460" s="12">
        <v>26998.92</v>
      </c>
      <c r="U460" s="12">
        <v>27373.904999999999</v>
      </c>
      <c r="V460" s="13"/>
      <c r="W460" s="175"/>
      <c r="X460" s="14">
        <v>250</v>
      </c>
      <c r="Y460" s="10"/>
    </row>
    <row r="461" spans="1:25">
      <c r="A461" s="132" t="s">
        <v>434</v>
      </c>
      <c r="B461" s="50" t="str">
        <f>IFERROR(HYPERLINK(VLOOKUP(A461,ÜRÜNLER!A:C,3,FALSE),VLOOKUP(A461,ÜRÜNLER!A:B,2,FALSE)),"")</f>
        <v>Siemens Buzdolabı Kulpu</v>
      </c>
      <c r="C461" s="8"/>
      <c r="D461" s="8"/>
      <c r="E461" s="9"/>
      <c r="F461" s="9"/>
      <c r="G461" s="10"/>
      <c r="H461" s="10"/>
      <c r="I461" s="11"/>
      <c r="J461" s="11">
        <v>1</v>
      </c>
      <c r="K461" s="10">
        <v>1</v>
      </c>
      <c r="L461" s="11"/>
      <c r="M461" s="170"/>
      <c r="N461" s="124">
        <f t="shared" si="16"/>
        <v>2</v>
      </c>
      <c r="O461" s="125"/>
      <c r="P461" s="109"/>
      <c r="R461" s="19">
        <v>6148.9750000000004</v>
      </c>
      <c r="S461" s="12">
        <v>6394.9340000000002</v>
      </c>
      <c r="T461" s="12">
        <v>6640.893</v>
      </c>
      <c r="U461" s="12">
        <v>6733.1276250000001</v>
      </c>
      <c r="V461" s="13"/>
      <c r="W461" s="175"/>
      <c r="X461" s="14">
        <v>250</v>
      </c>
      <c r="Y461" s="10"/>
    </row>
    <row r="462" spans="1:25">
      <c r="A462" s="132" t="s">
        <v>435</v>
      </c>
      <c r="B462" s="50" t="str">
        <f>IFERROR(HYPERLINK(VLOOKUP(A462,ÜRÜNLER!A:C,3,FALSE),VLOOKUP(A462,ÜRÜNLER!A:B,2,FALSE)),"")</f>
        <v>Siemens Buzdolabı Kulpu</v>
      </c>
      <c r="C462" s="8">
        <v>5</v>
      </c>
      <c r="D462" s="8">
        <v>4</v>
      </c>
      <c r="E462" s="9"/>
      <c r="F462" s="9"/>
      <c r="G462" s="10"/>
      <c r="H462" s="10"/>
      <c r="I462" s="11"/>
      <c r="J462" s="11"/>
      <c r="K462" s="10"/>
      <c r="L462" s="11"/>
      <c r="M462" s="170"/>
      <c r="N462" s="124">
        <f t="shared" si="16"/>
        <v>9</v>
      </c>
      <c r="O462" s="125"/>
      <c r="P462" s="109" t="s">
        <v>1547</v>
      </c>
      <c r="Q462" s="180">
        <v>8867.3785891660682</v>
      </c>
      <c r="R462" s="18">
        <v>7980.6407302494617</v>
      </c>
      <c r="S462" s="12">
        <v>8299.86635945944</v>
      </c>
      <c r="T462" s="12">
        <v>8619.0919886694192</v>
      </c>
      <c r="U462" s="12">
        <v>8738.8015996231607</v>
      </c>
      <c r="V462" s="13"/>
      <c r="W462" s="175"/>
      <c r="X462" s="14">
        <v>250</v>
      </c>
      <c r="Y462" s="10"/>
    </row>
    <row r="463" spans="1:25">
      <c r="A463" s="132" t="s">
        <v>436</v>
      </c>
      <c r="B463" s="50" t="str">
        <f>IFERROR(HYPERLINK(VLOOKUP(A463,ÜRÜNLER!A:C,3,FALSE),VLOOKUP(A463,ÜRÜNLER!A:B,2,FALSE)),"")</f>
        <v>Siemens studioLine Buzdolabı Kulpu</v>
      </c>
      <c r="C463" s="8"/>
      <c r="D463" s="8">
        <v>4</v>
      </c>
      <c r="E463" s="9"/>
      <c r="F463" s="9"/>
      <c r="G463" s="10"/>
      <c r="H463" s="10"/>
      <c r="I463" s="11"/>
      <c r="J463" s="11"/>
      <c r="K463" s="10"/>
      <c r="L463" s="11"/>
      <c r="M463" s="170"/>
      <c r="N463" s="124">
        <f t="shared" si="16"/>
        <v>4</v>
      </c>
      <c r="O463" s="125"/>
      <c r="P463" s="109" t="s">
        <v>1547</v>
      </c>
      <c r="Q463" s="180">
        <v>3521.1995943386523</v>
      </c>
      <c r="R463" s="18">
        <v>3169.0796349047869</v>
      </c>
      <c r="S463" s="12">
        <v>3295.8428203009785</v>
      </c>
      <c r="T463" s="12">
        <v>3422.6060056971696</v>
      </c>
      <c r="U463" s="12">
        <v>3470.1422002207419</v>
      </c>
      <c r="V463" s="13"/>
      <c r="W463" s="175"/>
      <c r="X463" s="14">
        <v>250</v>
      </c>
      <c r="Y463" s="10"/>
    </row>
    <row r="464" spans="1:25">
      <c r="A464" s="132" t="s">
        <v>437</v>
      </c>
      <c r="B464" s="50" t="str">
        <f>IFERROR(HYPERLINK(VLOOKUP(A464,ÜRÜNLER!A:C,3,FALSE),VLOOKUP(A464,ÜRÜNLER!A:B,2,FALSE)),"")</f>
        <v>Siemens Buzdolabı Kulpu 79cm, Inox</v>
      </c>
      <c r="C464" s="8">
        <v>1</v>
      </c>
      <c r="D464" s="8"/>
      <c r="E464" s="9"/>
      <c r="F464" s="9"/>
      <c r="G464" s="10"/>
      <c r="H464" s="10"/>
      <c r="I464" s="11"/>
      <c r="J464" s="11"/>
      <c r="K464" s="10"/>
      <c r="L464" s="11"/>
      <c r="M464" s="170"/>
      <c r="N464" s="124">
        <f t="shared" si="16"/>
        <v>1</v>
      </c>
      <c r="O464" s="125"/>
      <c r="P464" s="109" t="s">
        <v>1547</v>
      </c>
      <c r="Q464" s="180">
        <v>2510.3949651838452</v>
      </c>
      <c r="R464" s="25">
        <v>2510.3949651838452</v>
      </c>
      <c r="S464" s="12">
        <v>2610.810763791199</v>
      </c>
      <c r="T464" s="12">
        <v>2711.2265623985527</v>
      </c>
      <c r="U464" s="12">
        <v>2748.8824868763104</v>
      </c>
      <c r="V464" s="13"/>
      <c r="W464" s="175"/>
      <c r="X464" s="14">
        <v>250</v>
      </c>
      <c r="Y464" s="10"/>
    </row>
    <row r="465" spans="1:25">
      <c r="A465" s="21" t="s">
        <v>438</v>
      </c>
      <c r="B465" s="50" t="str">
        <f>IFERROR(HYPERLINK(VLOOKUP(A465,ÜRÜNLER!A:C,3,FALSE),VLOOKUP(A465,ÜRÜNLER!A:B,2,FALSE)),"")</f>
        <v>Siemens studioLine Buzdolabı Kapı Paneli, 202.9x60.3cm</v>
      </c>
      <c r="C465" s="8"/>
      <c r="D465" s="8">
        <v>2</v>
      </c>
      <c r="E465" s="9"/>
      <c r="F465" s="9"/>
      <c r="G465" s="10"/>
      <c r="H465" s="10"/>
      <c r="I465" s="11"/>
      <c r="J465" s="11"/>
      <c r="K465" s="10">
        <v>1</v>
      </c>
      <c r="L465" s="11"/>
      <c r="M465" s="170"/>
      <c r="N465" s="124">
        <f t="shared" si="16"/>
        <v>3</v>
      </c>
      <c r="O465" s="125"/>
      <c r="P465" s="109" t="s">
        <v>1547</v>
      </c>
      <c r="Q465" s="180">
        <v>6515.7970471358785</v>
      </c>
      <c r="R465" s="18">
        <v>5864.217342422291</v>
      </c>
      <c r="S465" s="12">
        <v>6098.7860361191824</v>
      </c>
      <c r="T465" s="12">
        <v>6333.3547298160747</v>
      </c>
      <c r="U465" s="12">
        <v>6421.3179899524084</v>
      </c>
      <c r="V465" s="13"/>
      <c r="W465" s="175"/>
      <c r="X465" s="14">
        <v>250</v>
      </c>
      <c r="Y465" s="10"/>
    </row>
    <row r="466" spans="1:25">
      <c r="A466" s="21" t="s">
        <v>439</v>
      </c>
      <c r="B466" s="50" t="str">
        <f>IFERROR(HYPERLINK(VLOOKUP(A466,ÜRÜNLER!A:C,3,FALSE),VLOOKUP(A466,ÜRÜNLER!A:B,2,FALSE)),"")</f>
        <v>Siemens Buzdolabı Kapı Paneli, 202.9x75.6cm</v>
      </c>
      <c r="C466" s="8">
        <v>4</v>
      </c>
      <c r="D466" s="8">
        <v>2</v>
      </c>
      <c r="E466" s="9"/>
      <c r="F466" s="9"/>
      <c r="G466" s="10"/>
      <c r="H466" s="10"/>
      <c r="I466" s="11"/>
      <c r="J466" s="11"/>
      <c r="K466" s="10">
        <v>1</v>
      </c>
      <c r="L466" s="11"/>
      <c r="M466" s="170"/>
      <c r="N466" s="124">
        <f t="shared" si="16"/>
        <v>7</v>
      </c>
      <c r="O466" s="125"/>
      <c r="P466" s="109" t="s">
        <v>1547</v>
      </c>
      <c r="Q466" s="180">
        <v>12864.686900934046</v>
      </c>
      <c r="R466" s="18">
        <v>11578.218210840641</v>
      </c>
      <c r="S466" s="12">
        <v>12041.346939274266</v>
      </c>
      <c r="T466" s="12">
        <v>12504.475667707893</v>
      </c>
      <c r="U466" s="12">
        <v>12678.148940870502</v>
      </c>
      <c r="V466" s="13"/>
      <c r="W466" s="175"/>
      <c r="X466" s="14">
        <v>250</v>
      </c>
      <c r="Y466" s="10"/>
    </row>
    <row r="467" spans="1:25">
      <c r="A467" s="132" t="s">
        <v>440</v>
      </c>
      <c r="B467" s="50" t="str">
        <f>IFERROR(HYPERLINK(VLOOKUP(A467,ÜRÜNLER!A:C,3,FALSE),VLOOKUP(A467,ÜRÜNLER!A:B,2,FALSE)),"")</f>
        <v>Siemens Buzdolabı Kapı Paneli, 202.9x90.8cm</v>
      </c>
      <c r="C467" s="8">
        <v>5</v>
      </c>
      <c r="D467" s="8">
        <v>2</v>
      </c>
      <c r="E467" s="9"/>
      <c r="F467" s="9"/>
      <c r="G467" s="10"/>
      <c r="H467" s="10"/>
      <c r="I467" s="11"/>
      <c r="J467" s="11">
        <v>1</v>
      </c>
      <c r="K467" s="10">
        <v>1</v>
      </c>
      <c r="L467" s="11"/>
      <c r="M467" s="170"/>
      <c r="N467" s="124">
        <f t="shared" si="16"/>
        <v>9</v>
      </c>
      <c r="O467" s="125"/>
      <c r="P467" s="109" t="s">
        <v>1547</v>
      </c>
      <c r="Q467" s="180">
        <v>18868.450592859805</v>
      </c>
      <c r="R467" s="18">
        <v>16981.605533573824</v>
      </c>
      <c r="S467" s="12">
        <v>17660.869754916777</v>
      </c>
      <c r="T467" s="12">
        <v>18340.133976259731</v>
      </c>
      <c r="U467" s="12">
        <v>18594.858059263337</v>
      </c>
      <c r="V467" s="13"/>
      <c r="W467" s="175"/>
      <c r="X467" s="14">
        <v>250</v>
      </c>
      <c r="Y467" s="10"/>
    </row>
    <row r="468" spans="1:25">
      <c r="A468" s="132" t="s">
        <v>441</v>
      </c>
      <c r="B468" s="50" t="str">
        <f>IFERROR(HYPERLINK(VLOOKUP(A468,ÜRÜNLER!A:C,3,FALSE),VLOOKUP(A468,ÜRÜNLER!A:B,2,FALSE)),"")</f>
        <v>Siemens Buzdolabı Bağlantı Seti</v>
      </c>
      <c r="C468" s="8">
        <v>4</v>
      </c>
      <c r="D468" s="8"/>
      <c r="E468" s="9"/>
      <c r="F468" s="9"/>
      <c r="G468" s="10"/>
      <c r="H468" s="10"/>
      <c r="I468" s="11"/>
      <c r="J468" s="11"/>
      <c r="K468" s="10"/>
      <c r="L468" s="11"/>
      <c r="M468" s="170"/>
      <c r="N468" s="124">
        <f t="shared" si="16"/>
        <v>4</v>
      </c>
      <c r="O468" s="125"/>
      <c r="P468" s="109" t="s">
        <v>1547</v>
      </c>
      <c r="R468" s="19"/>
      <c r="S468" s="12"/>
      <c r="T468" s="12"/>
      <c r="U468" s="12"/>
      <c r="V468" s="13"/>
      <c r="W468" s="175"/>
      <c r="X468" s="14"/>
      <c r="Y468" s="10"/>
    </row>
    <row r="469" spans="1:25">
      <c r="A469" s="132" t="s">
        <v>442</v>
      </c>
      <c r="B469" s="50" t="str">
        <f>IFERROR(HYPERLINK(VLOOKUP(A469,ÜRÜNLER!A:C,3,FALSE),VLOOKUP(A469,ÜRÜNLER!A:B,2,FALSE)),"")</f>
        <v>Siemens Buzdolabı Bağlantı Seti</v>
      </c>
      <c r="C469" s="8">
        <v>2</v>
      </c>
      <c r="D469" s="8">
        <v>1</v>
      </c>
      <c r="E469" s="9"/>
      <c r="F469" s="9"/>
      <c r="G469" s="10"/>
      <c r="H469" s="10">
        <v>2</v>
      </c>
      <c r="I469" s="11"/>
      <c r="J469" s="11"/>
      <c r="K469" s="10"/>
      <c r="L469" s="11"/>
      <c r="M469" s="170"/>
      <c r="N469" s="124">
        <f t="shared" si="16"/>
        <v>5</v>
      </c>
      <c r="O469" s="125"/>
      <c r="P469" s="109" t="s">
        <v>1547</v>
      </c>
      <c r="Q469" s="72" t="s">
        <v>1561</v>
      </c>
      <c r="R469" s="169">
        <v>5000</v>
      </c>
      <c r="S469" s="12">
        <v>5200</v>
      </c>
      <c r="T469" s="12">
        <v>5400</v>
      </c>
      <c r="U469" s="12">
        <v>5475</v>
      </c>
      <c r="V469" s="13"/>
      <c r="W469" s="175"/>
      <c r="X469" s="14">
        <v>250</v>
      </c>
      <c r="Y469" s="10"/>
    </row>
    <row r="470" spans="1:25">
      <c r="A470" s="132" t="s">
        <v>443</v>
      </c>
      <c r="B470" s="50" t="str">
        <f>IFERROR(HYPERLINK(VLOOKUP(A470,ÜRÜNLER!A:C,3,FALSE),VLOOKUP(A470,ÜRÜNLER!A:B,2,FALSE)),"")</f>
        <v>Siemens studioLine Buzdolabı Çekmecesi</v>
      </c>
      <c r="C470" s="8"/>
      <c r="D470" s="8">
        <v>1</v>
      </c>
      <c r="E470" s="9"/>
      <c r="F470" s="9"/>
      <c r="G470" s="10"/>
      <c r="H470" s="10"/>
      <c r="I470" s="11"/>
      <c r="J470" s="11"/>
      <c r="K470" s="10"/>
      <c r="L470" s="11"/>
      <c r="M470" s="170"/>
      <c r="N470" s="124">
        <f t="shared" si="16"/>
        <v>1</v>
      </c>
      <c r="O470" s="125"/>
      <c r="P470" s="109" t="s">
        <v>1547</v>
      </c>
      <c r="Q470" s="180">
        <v>2251.7843805077478</v>
      </c>
      <c r="R470" s="18">
        <v>2026.605942456973</v>
      </c>
      <c r="S470" s="12">
        <v>2097.5371504429672</v>
      </c>
      <c r="T470" s="12">
        <v>2188.7344178535309</v>
      </c>
      <c r="U470" s="12">
        <v>2219.1335069903853</v>
      </c>
      <c r="V470" s="13"/>
      <c r="W470" s="175"/>
      <c r="X470" s="14">
        <v>250</v>
      </c>
      <c r="Y470" s="10"/>
    </row>
    <row r="471" spans="1:25">
      <c r="A471" s="132" t="s">
        <v>444</v>
      </c>
      <c r="B471" s="50" t="str">
        <f>IFERROR(HYPERLINK(VLOOKUP(A471,ÜRÜNLER!A:C,3,FALSE),VLOOKUP(A471,ÜRÜNLER!A:B,2,FALSE)),"")</f>
        <v>Siemens studioLine 36'' Buzdolabı Kapı Paneli, Paslanmaz Çelik, 3 Kapı</v>
      </c>
      <c r="C471" s="8"/>
      <c r="D471" s="8">
        <v>1</v>
      </c>
      <c r="E471" s="9"/>
      <c r="F471" s="9"/>
      <c r="G471" s="10"/>
      <c r="H471" s="10"/>
      <c r="I471" s="11"/>
      <c r="J471" s="11"/>
      <c r="K471" s="10"/>
      <c r="L471" s="11"/>
      <c r="M471" s="170"/>
      <c r="N471" s="124">
        <f t="shared" si="16"/>
        <v>1</v>
      </c>
      <c r="O471" s="125"/>
      <c r="P471" s="109" t="s">
        <v>1547</v>
      </c>
      <c r="Q471" s="180">
        <v>10600.401058527552</v>
      </c>
      <c r="R471" s="18">
        <v>9540.3609526747969</v>
      </c>
      <c r="S471" s="12">
        <v>9874.2735860184148</v>
      </c>
      <c r="T471" s="12">
        <v>10303.58982888878</v>
      </c>
      <c r="U471" s="12">
        <v>10446.695243178903</v>
      </c>
      <c r="V471" s="13"/>
      <c r="W471" s="175"/>
      <c r="X471" s="14">
        <v>250</v>
      </c>
      <c r="Y471" s="10"/>
    </row>
    <row r="472" spans="1:25">
      <c r="A472" s="31" t="s">
        <v>1562</v>
      </c>
      <c r="B472" s="50" t="str">
        <f>IFERROR(HYPERLINK(VLOOKUP(A472,ÜRÜNLER!A:C,3,FALSE),VLOOKUP(A472,ÜRÜNLER!A:B,2,FALSE)),"")</f>
        <v/>
      </c>
      <c r="C472" s="8"/>
      <c r="D472" s="8"/>
      <c r="E472" s="9"/>
      <c r="F472" s="9"/>
      <c r="G472" s="10"/>
      <c r="H472" s="10"/>
      <c r="I472" s="11"/>
      <c r="J472" s="11"/>
      <c r="K472" s="10"/>
      <c r="L472" s="11"/>
      <c r="M472" s="170"/>
      <c r="N472" s="124"/>
      <c r="O472" s="125"/>
      <c r="P472" s="109"/>
      <c r="R472" s="36"/>
      <c r="S472" s="12"/>
      <c r="T472" s="12"/>
      <c r="U472" s="12"/>
      <c r="V472" s="13"/>
      <c r="W472" s="175"/>
      <c r="X472" s="14"/>
      <c r="Y472" s="10"/>
    </row>
    <row r="473" spans="1:25">
      <c r="A473" s="130" t="s">
        <v>445</v>
      </c>
      <c r="B473" s="50" t="str">
        <f>IFERROR(HYPERLINK(VLOOKUP(A473,ÜRÜNLER!A:C,3,FALSE),VLOOKUP(A473,ÜRÜNLER!A:B,2,FALSE)),"")</f>
        <v>Siemens Ev Tipi Klima İç Ünite, 9.000BTU, Beyaz</v>
      </c>
      <c r="C473" s="8">
        <v>5</v>
      </c>
      <c r="D473" s="8"/>
      <c r="E473" s="9"/>
      <c r="F473" s="9"/>
      <c r="G473" s="10"/>
      <c r="H473" s="10"/>
      <c r="I473" s="11">
        <v>1</v>
      </c>
      <c r="J473" s="11"/>
      <c r="K473" s="10"/>
      <c r="L473" s="11"/>
      <c r="M473" s="170"/>
      <c r="N473" s="124">
        <f t="shared" ref="N473:N490" si="17">L473+M473+K473+J473+I473+H473+G473+F473+E473+D473+C473</f>
        <v>6</v>
      </c>
      <c r="O473" s="125"/>
      <c r="P473" s="109" t="s">
        <v>1547</v>
      </c>
      <c r="Q473" s="51">
        <v>16020.74074189603</v>
      </c>
      <c r="R473" s="92">
        <v>18000</v>
      </c>
      <c r="S473" s="12">
        <v>18630</v>
      </c>
      <c r="T473" s="12">
        <v>19440</v>
      </c>
      <c r="U473" s="12">
        <v>19710</v>
      </c>
      <c r="V473" s="13">
        <v>4000.282348013614</v>
      </c>
      <c r="W473" s="175"/>
      <c r="X473" s="14">
        <v>250</v>
      </c>
      <c r="Y473" s="10"/>
    </row>
    <row r="474" spans="1:25">
      <c r="A474" s="130" t="s">
        <v>446</v>
      </c>
      <c r="B474" s="50" t="str">
        <f>IFERROR(HYPERLINK(VLOOKUP(A474,ÜRÜNLER!A:C,3,FALSE),VLOOKUP(A474,ÜRÜNLER!A:B,2,FALSE)),"")</f>
        <v>Siemens Ev Tipi Klima Dış Ünite, 9.000BTU, Beyaz</v>
      </c>
      <c r="C474" s="8">
        <v>6</v>
      </c>
      <c r="D474" s="8"/>
      <c r="E474" s="9"/>
      <c r="F474" s="9"/>
      <c r="G474" s="10"/>
      <c r="H474" s="10"/>
      <c r="I474" s="11"/>
      <c r="J474" s="11"/>
      <c r="K474" s="10"/>
      <c r="L474" s="11"/>
      <c r="M474" s="170"/>
      <c r="N474" s="124">
        <f t="shared" si="17"/>
        <v>6</v>
      </c>
      <c r="O474" s="125"/>
      <c r="P474" s="109" t="s">
        <v>1547</v>
      </c>
      <c r="Q474" s="51">
        <v>24031.111112844046</v>
      </c>
      <c r="R474" s="92">
        <v>26000</v>
      </c>
      <c r="S474" s="12">
        <v>26910</v>
      </c>
      <c r="T474" s="12">
        <v>28080</v>
      </c>
      <c r="U474" s="12">
        <v>28470</v>
      </c>
      <c r="V474" s="13"/>
      <c r="W474" s="175"/>
      <c r="X474" s="14"/>
      <c r="Y474" s="10"/>
    </row>
    <row r="475" spans="1:25">
      <c r="A475" s="156" t="s">
        <v>447</v>
      </c>
      <c r="B475" s="50" t="str">
        <f>IFERROR(HYPERLINK(VLOOKUP(A475,ÜRÜNLER!A:C,3,FALSE),VLOOKUP(A475,ÜRÜNLER!A:B,2,FALSE)),"")</f>
        <v>Siemens Ev Tipi Klima İç Ünite, 12.000BTU, Beyaz</v>
      </c>
      <c r="C475" s="8"/>
      <c r="D475" s="8"/>
      <c r="E475" s="9"/>
      <c r="F475" s="9"/>
      <c r="G475" s="10"/>
      <c r="H475" s="10"/>
      <c r="I475" s="11"/>
      <c r="J475" s="11"/>
      <c r="K475" s="10">
        <v>1</v>
      </c>
      <c r="L475" s="11"/>
      <c r="M475" s="170"/>
      <c r="N475" s="124">
        <f t="shared" si="17"/>
        <v>1</v>
      </c>
      <c r="O475" s="125"/>
      <c r="P475" s="116" t="s">
        <v>1547</v>
      </c>
      <c r="Q475" s="167"/>
      <c r="R475" s="90">
        <v>15000</v>
      </c>
      <c r="S475" s="91">
        <v>15525</v>
      </c>
      <c r="T475" s="12">
        <v>16200</v>
      </c>
      <c r="U475" s="12">
        <v>16425</v>
      </c>
      <c r="V475" s="13"/>
      <c r="W475" s="175"/>
      <c r="X475" s="14">
        <v>250</v>
      </c>
      <c r="Y475" s="10"/>
    </row>
    <row r="476" spans="1:25">
      <c r="A476" s="156" t="s">
        <v>448</v>
      </c>
      <c r="B476" s="50" t="str">
        <f>IFERROR(HYPERLINK(VLOOKUP(A476,ÜRÜNLER!A:C,3,FALSE),VLOOKUP(A476,ÜRÜNLER!A:B,2,FALSE)),"")</f>
        <v>Siemens Ev Tipi Klima Dış Ünite, 12.000BTU, Beyaz</v>
      </c>
      <c r="C476" s="8">
        <v>1</v>
      </c>
      <c r="D476" s="8"/>
      <c r="E476" s="9"/>
      <c r="F476" s="9"/>
      <c r="G476" s="10"/>
      <c r="H476" s="10"/>
      <c r="I476" s="11"/>
      <c r="J476" s="11"/>
      <c r="K476" s="10"/>
      <c r="L476" s="11"/>
      <c r="M476" s="170"/>
      <c r="N476" s="124">
        <f t="shared" si="17"/>
        <v>1</v>
      </c>
      <c r="O476" s="125"/>
      <c r="P476" s="116" t="s">
        <v>1547</v>
      </c>
      <c r="Q476" s="167"/>
      <c r="R476" s="90">
        <v>20000</v>
      </c>
      <c r="S476" s="91">
        <v>20700</v>
      </c>
      <c r="T476" s="12">
        <v>21600</v>
      </c>
      <c r="U476" s="12">
        <v>21900</v>
      </c>
      <c r="V476" s="13"/>
      <c r="W476" s="175"/>
      <c r="X476" s="14"/>
      <c r="Y476" s="10"/>
    </row>
    <row r="477" spans="1:25">
      <c r="A477" s="157" t="s">
        <v>449</v>
      </c>
      <c r="B477" s="50" t="str">
        <f>IFERROR(HYPERLINK(VLOOKUP(A477,ÜRÜNLER!A:C,3,FALSE),VLOOKUP(A477,ÜRÜNLER!A:B,2,FALSE)),"")</f>
        <v>Siemens Ev Tipi Klima İç Ünite, 12.000BTU, Beyaz</v>
      </c>
      <c r="C477" s="8"/>
      <c r="D477" s="8"/>
      <c r="E477" s="9"/>
      <c r="F477" s="9">
        <v>1</v>
      </c>
      <c r="G477" s="10"/>
      <c r="H477" s="10"/>
      <c r="I477" s="11">
        <v>1</v>
      </c>
      <c r="J477" s="11"/>
      <c r="K477" s="10"/>
      <c r="L477" s="11"/>
      <c r="M477" s="170"/>
      <c r="N477" s="124">
        <f t="shared" si="17"/>
        <v>2</v>
      </c>
      <c r="O477" s="125"/>
      <c r="P477" s="109" t="s">
        <v>1547</v>
      </c>
      <c r="Q477" s="51">
        <v>17599.318782707702</v>
      </c>
      <c r="R477" s="92">
        <v>19000</v>
      </c>
      <c r="S477" s="12">
        <v>19665</v>
      </c>
      <c r="T477" s="12">
        <v>20520</v>
      </c>
      <c r="U477" s="12">
        <v>20805</v>
      </c>
      <c r="V477" s="13">
        <v>4399.6422482490671</v>
      </c>
      <c r="W477" s="175"/>
      <c r="X477" s="14">
        <v>250</v>
      </c>
      <c r="Y477" s="10"/>
    </row>
    <row r="478" spans="1:25">
      <c r="A478" s="157" t="s">
        <v>450</v>
      </c>
      <c r="B478" s="50" t="str">
        <f>IFERROR(HYPERLINK(VLOOKUP(A478,ÜRÜNLER!A:C,3,FALSE),VLOOKUP(A478,ÜRÜNLER!A:B,2,FALSE)),"")</f>
        <v>Siemens Ev Tipi Klima Dış Ünite, 12.000BTU, Beyaz</v>
      </c>
      <c r="C478" s="8"/>
      <c r="D478" s="8"/>
      <c r="E478" s="9"/>
      <c r="F478" s="9">
        <v>1</v>
      </c>
      <c r="G478" s="10"/>
      <c r="H478" s="10"/>
      <c r="I478" s="11"/>
      <c r="J478" s="11"/>
      <c r="K478" s="10">
        <v>1</v>
      </c>
      <c r="L478" s="11"/>
      <c r="M478" s="170"/>
      <c r="N478" s="124">
        <f t="shared" si="17"/>
        <v>2</v>
      </c>
      <c r="O478" s="125"/>
      <c r="P478" s="109" t="s">
        <v>1547</v>
      </c>
      <c r="Q478" s="51">
        <v>26398.978174061547</v>
      </c>
      <c r="R478" s="92">
        <v>28000</v>
      </c>
      <c r="S478" s="12">
        <v>28980</v>
      </c>
      <c r="T478" s="12">
        <v>30240</v>
      </c>
      <c r="U478" s="12">
        <v>30660</v>
      </c>
      <c r="V478" s="13"/>
      <c r="W478" s="175"/>
      <c r="X478" s="14"/>
      <c r="Y478" s="10"/>
    </row>
    <row r="479" spans="1:25">
      <c r="A479" s="158" t="s">
        <v>451</v>
      </c>
      <c r="B479" s="50" t="str">
        <f>IFERROR(HYPERLINK(VLOOKUP(A479,ÜRÜNLER!A:C,3,FALSE),VLOOKUP(A479,ÜRÜNLER!A:B,2,FALSE)),"")</f>
        <v>Siemens Ev Tipi Klima İç Ünite, 12.000BTU, Siyah</v>
      </c>
      <c r="C479" s="8">
        <v>2</v>
      </c>
      <c r="D479" s="8"/>
      <c r="E479" s="9"/>
      <c r="F479" s="9"/>
      <c r="G479" s="10"/>
      <c r="H479" s="10"/>
      <c r="I479" s="11"/>
      <c r="J479" s="11"/>
      <c r="K479" s="10"/>
      <c r="L479" s="11"/>
      <c r="M479" s="170"/>
      <c r="N479" s="124">
        <f t="shared" si="17"/>
        <v>2</v>
      </c>
      <c r="O479" s="125"/>
      <c r="P479" s="116" t="s">
        <v>1547</v>
      </c>
      <c r="Q479" s="167">
        <v>19638.932436439351</v>
      </c>
      <c r="R479" s="92">
        <v>22000</v>
      </c>
      <c r="S479" s="91">
        <v>22770</v>
      </c>
      <c r="T479" s="12">
        <v>23760</v>
      </c>
      <c r="U479" s="12">
        <v>24090</v>
      </c>
      <c r="V479" s="13">
        <v>4907.8692076903026</v>
      </c>
      <c r="W479" s="175"/>
      <c r="X479" s="14">
        <v>250</v>
      </c>
      <c r="Y479" s="10"/>
    </row>
    <row r="480" spans="1:25">
      <c r="A480" s="158" t="s">
        <v>452</v>
      </c>
      <c r="B480" s="50" t="str">
        <f>IFERROR(HYPERLINK(VLOOKUP(A480,ÜRÜNLER!A:C,3,FALSE),VLOOKUP(A480,ÜRÜNLER!A:B,2,FALSE)),"")</f>
        <v>Siemens Ev Tipi Klima Dış Ünite, 12.000BTU, Beyaz</v>
      </c>
      <c r="C480" s="8">
        <v>2</v>
      </c>
      <c r="D480" s="8"/>
      <c r="E480" s="9"/>
      <c r="F480" s="9"/>
      <c r="G480" s="10"/>
      <c r="H480" s="10"/>
      <c r="I480" s="11"/>
      <c r="J480" s="11"/>
      <c r="K480" s="10"/>
      <c r="L480" s="11"/>
      <c r="M480" s="170"/>
      <c r="N480" s="124">
        <f t="shared" si="17"/>
        <v>2</v>
      </c>
      <c r="O480" s="125"/>
      <c r="P480" s="116" t="s">
        <v>1547</v>
      </c>
      <c r="Q480" s="167">
        <v>29458.398654659028</v>
      </c>
      <c r="R480" s="92">
        <v>32000</v>
      </c>
      <c r="S480" s="91">
        <v>33120</v>
      </c>
      <c r="T480" s="12">
        <v>34560</v>
      </c>
      <c r="U480" s="12">
        <v>35040</v>
      </c>
      <c r="V480" s="13"/>
      <c r="W480" s="175"/>
      <c r="X480" s="14"/>
      <c r="Y480" s="10"/>
    </row>
    <row r="481" spans="1:25" s="16" customFormat="1">
      <c r="A481" s="157" t="s">
        <v>453</v>
      </c>
      <c r="B481" s="50" t="str">
        <f>IFERROR(HYPERLINK(VLOOKUP(A481,ÜRÜNLER!A:C,3,FALSE),VLOOKUP(A481,ÜRÜNLER!A:B,2,FALSE)),"")</f>
        <v>Siemens Ev Tipi Klima İç Ünite, 18.000BTU, Beyaz</v>
      </c>
      <c r="C481" s="8">
        <v>5</v>
      </c>
      <c r="D481" s="8"/>
      <c r="E481" s="9"/>
      <c r="F481" s="9"/>
      <c r="G481" s="10"/>
      <c r="H481" s="10"/>
      <c r="I481" s="11">
        <v>1</v>
      </c>
      <c r="J481" s="11"/>
      <c r="K481" s="10">
        <v>2</v>
      </c>
      <c r="L481" s="11"/>
      <c r="M481" s="170"/>
      <c r="N481" s="124">
        <f t="shared" si="17"/>
        <v>8</v>
      </c>
      <c r="O481" s="125"/>
      <c r="P481" s="117" t="s">
        <v>1547</v>
      </c>
      <c r="Q481" s="51"/>
      <c r="R481" s="19">
        <v>22000</v>
      </c>
      <c r="S481" s="12">
        <v>22770</v>
      </c>
      <c r="T481" s="12">
        <v>23760</v>
      </c>
      <c r="U481" s="12">
        <v>24090</v>
      </c>
      <c r="V481" s="13"/>
      <c r="W481" s="175"/>
      <c r="X481" s="14">
        <v>250</v>
      </c>
      <c r="Y481" s="10"/>
    </row>
    <row r="482" spans="1:25" s="16" customFormat="1">
      <c r="A482" s="157" t="s">
        <v>454</v>
      </c>
      <c r="B482" s="50" t="str">
        <f>IFERROR(HYPERLINK(VLOOKUP(A482,ÜRÜNLER!A:C,3,FALSE),VLOOKUP(A482,ÜRÜNLER!A:B,2,FALSE)),"")</f>
        <v>Siemens Ev Tipi Klima Dış Ünite, 18.000BTU, Beyaz</v>
      </c>
      <c r="C482" s="8">
        <v>7</v>
      </c>
      <c r="D482" s="8"/>
      <c r="E482" s="9"/>
      <c r="F482" s="9"/>
      <c r="G482" s="10"/>
      <c r="H482" s="10"/>
      <c r="I482" s="11"/>
      <c r="J482" s="11"/>
      <c r="K482" s="10">
        <v>1</v>
      </c>
      <c r="L482" s="11"/>
      <c r="M482" s="170"/>
      <c r="N482" s="124">
        <f t="shared" si="17"/>
        <v>8</v>
      </c>
      <c r="O482" s="125"/>
      <c r="P482" s="117" t="s">
        <v>1547</v>
      </c>
      <c r="Q482" s="51"/>
      <c r="R482" s="19">
        <v>35000</v>
      </c>
      <c r="S482" s="12">
        <v>36225</v>
      </c>
      <c r="T482" s="12">
        <v>37800</v>
      </c>
      <c r="U482" s="12">
        <v>38325</v>
      </c>
      <c r="V482" s="13"/>
      <c r="W482" s="175"/>
      <c r="X482" s="14"/>
      <c r="Y482" s="10"/>
    </row>
    <row r="483" spans="1:25">
      <c r="A483" s="158" t="s">
        <v>455</v>
      </c>
      <c r="B483" s="50" t="str">
        <f>IFERROR(HYPERLINK(VLOOKUP(A483,ÜRÜNLER!A:C,3,FALSE),VLOOKUP(A483,ÜRÜNLER!A:B,2,FALSE)),"")</f>
        <v>Siemens Ev Tipi Klima İç Ünite, 18.000BTU, Siyah</v>
      </c>
      <c r="C483" s="8">
        <v>2</v>
      </c>
      <c r="D483" s="8"/>
      <c r="E483" s="9"/>
      <c r="F483" s="9"/>
      <c r="G483" s="10"/>
      <c r="H483" s="10"/>
      <c r="I483" s="11"/>
      <c r="J483" s="11"/>
      <c r="K483" s="10"/>
      <c r="L483" s="11"/>
      <c r="M483" s="170"/>
      <c r="N483" s="124">
        <f t="shared" si="17"/>
        <v>2</v>
      </c>
      <c r="O483" s="125"/>
      <c r="P483" s="116" t="s">
        <v>1547</v>
      </c>
      <c r="Q483" s="167">
        <v>27721.370472790273</v>
      </c>
      <c r="R483" s="92">
        <v>30000</v>
      </c>
      <c r="S483" s="91">
        <v>31050</v>
      </c>
      <c r="T483" s="12">
        <v>32400</v>
      </c>
      <c r="U483" s="12">
        <v>32850</v>
      </c>
      <c r="V483" s="13">
        <v>6923.3813389263523</v>
      </c>
      <c r="W483" s="175"/>
      <c r="X483" s="14">
        <v>250</v>
      </c>
      <c r="Y483" s="10"/>
    </row>
    <row r="484" spans="1:25">
      <c r="A484" s="158" t="s">
        <v>456</v>
      </c>
      <c r="B484" s="50" t="str">
        <f>IFERROR(HYPERLINK(VLOOKUP(A484,ÜRÜNLER!A:C,3,FALSE),VLOOKUP(A484,ÜRÜNLER!A:B,2,FALSE)),"")</f>
        <v>Siemens Ev Tipi Klima Dış Ünite, 18.000BTU, Beyaz</v>
      </c>
      <c r="C484" s="8">
        <v>2</v>
      </c>
      <c r="D484" s="8"/>
      <c r="E484" s="9"/>
      <c r="F484" s="9"/>
      <c r="G484" s="10"/>
      <c r="H484" s="10"/>
      <c r="I484" s="11"/>
      <c r="J484" s="11"/>
      <c r="K484" s="10"/>
      <c r="L484" s="11"/>
      <c r="M484" s="170"/>
      <c r="N484" s="124">
        <f t="shared" si="17"/>
        <v>2</v>
      </c>
      <c r="O484" s="125"/>
      <c r="P484" s="116" t="s">
        <v>1547</v>
      </c>
      <c r="Q484" s="167">
        <v>41582.055709185406</v>
      </c>
      <c r="R484" s="92">
        <v>44000</v>
      </c>
      <c r="S484" s="91">
        <v>45540</v>
      </c>
      <c r="T484" s="12">
        <v>47520</v>
      </c>
      <c r="U484" s="12">
        <v>48180</v>
      </c>
      <c r="V484" s="13"/>
      <c r="W484" s="175"/>
      <c r="X484" s="14"/>
      <c r="Y484" s="10"/>
    </row>
    <row r="485" spans="1:25" s="16" customFormat="1">
      <c r="A485" s="132" t="s">
        <v>457</v>
      </c>
      <c r="B485" s="50" t="str">
        <f>IFERROR(HYPERLINK(VLOOKUP(A485,ÜRÜNLER!A:C,3,FALSE),VLOOKUP(A485,ÜRÜNLER!A:B,2,FALSE)),"")</f>
        <v>Siemens Ev Tipi Klima İç Ünite, 24.000BTU, Beyaz</v>
      </c>
      <c r="C485" s="8"/>
      <c r="D485" s="8"/>
      <c r="E485" s="9"/>
      <c r="F485" s="9"/>
      <c r="G485" s="10"/>
      <c r="H485" s="10"/>
      <c r="I485" s="11"/>
      <c r="J485" s="11"/>
      <c r="K485" s="10">
        <v>1</v>
      </c>
      <c r="L485" s="11"/>
      <c r="M485" s="170"/>
      <c r="N485" s="124">
        <f t="shared" si="17"/>
        <v>1</v>
      </c>
      <c r="O485" s="125"/>
      <c r="P485" s="117"/>
      <c r="Q485" s="51"/>
      <c r="R485" s="19">
        <v>25000</v>
      </c>
      <c r="S485" s="12">
        <v>25875</v>
      </c>
      <c r="T485" s="12">
        <v>27000</v>
      </c>
      <c r="U485" s="12">
        <v>27375</v>
      </c>
      <c r="V485" s="13"/>
      <c r="W485" s="175"/>
      <c r="X485" s="14">
        <v>250</v>
      </c>
      <c r="Y485" s="10"/>
    </row>
    <row r="486" spans="1:25" s="16" customFormat="1">
      <c r="A486" s="132" t="s">
        <v>458</v>
      </c>
      <c r="B486" s="50" t="str">
        <f>IFERROR(HYPERLINK(VLOOKUP(A486,ÜRÜNLER!A:C,3,FALSE),VLOOKUP(A486,ÜRÜNLER!A:B,2,FALSE)),"")</f>
        <v>Siemens Ev Tipi Klima Dış Ünite, 24.000BTU, Beyaz</v>
      </c>
      <c r="C486" s="8"/>
      <c r="D486" s="8"/>
      <c r="E486" s="9"/>
      <c r="F486" s="9"/>
      <c r="G486" s="10"/>
      <c r="H486" s="10"/>
      <c r="I486" s="11"/>
      <c r="J486" s="11"/>
      <c r="K486" s="10">
        <v>1</v>
      </c>
      <c r="L486" s="11"/>
      <c r="M486" s="170"/>
      <c r="N486" s="124">
        <f t="shared" si="17"/>
        <v>1</v>
      </c>
      <c r="O486" s="125"/>
      <c r="P486" s="117"/>
      <c r="Q486" s="51"/>
      <c r="R486" s="19">
        <v>36000</v>
      </c>
      <c r="S486" s="12">
        <v>37260</v>
      </c>
      <c r="T486" s="12">
        <v>38880</v>
      </c>
      <c r="U486" s="12">
        <v>39420</v>
      </c>
      <c r="V486" s="13"/>
      <c r="W486" s="175"/>
      <c r="X486" s="14"/>
      <c r="Y486" s="10"/>
    </row>
    <row r="487" spans="1:25" s="16" customFormat="1">
      <c r="A487" s="159" t="s">
        <v>1479</v>
      </c>
      <c r="B487" s="50" t="str">
        <f>IFERROR(HYPERLINK(VLOOKUP(A487,ÜRÜNLER!A:C,3,FALSE),VLOOKUP(A487,ÜRÜNLER!A:B,2,FALSE)),"")</f>
        <v>Siemens Ev Tipi Klima İç Ünite, 24.000BTU, Beyaz</v>
      </c>
      <c r="C487" s="8">
        <v>3</v>
      </c>
      <c r="D487" s="8"/>
      <c r="E487" s="9"/>
      <c r="F487" s="9"/>
      <c r="G487" s="10"/>
      <c r="H487" s="10"/>
      <c r="I487" s="11"/>
      <c r="J487" s="11"/>
      <c r="K487" s="10"/>
      <c r="L487" s="11"/>
      <c r="M487" s="170"/>
      <c r="N487" s="124">
        <f t="shared" si="17"/>
        <v>3</v>
      </c>
      <c r="O487" s="126"/>
      <c r="P487" s="118"/>
      <c r="Q487" s="167">
        <v>30075.909952049711</v>
      </c>
      <c r="R487" s="92">
        <v>35000</v>
      </c>
      <c r="S487" s="91">
        <v>36225</v>
      </c>
      <c r="T487" s="12">
        <v>37800</v>
      </c>
      <c r="U487" s="12">
        <v>38325</v>
      </c>
      <c r="V487" s="13">
        <v>7512.6448352812149</v>
      </c>
      <c r="W487" s="175"/>
      <c r="X487" s="14">
        <v>250</v>
      </c>
      <c r="Y487" s="10"/>
    </row>
    <row r="488" spans="1:25" s="16" customFormat="1">
      <c r="A488" s="159" t="s">
        <v>1480</v>
      </c>
      <c r="B488" s="50" t="str">
        <f>IFERROR(HYPERLINK(VLOOKUP(A488,ÜRÜNLER!A:C,3,FALSE),VLOOKUP(A488,ÜRÜNLER!A:B,2,FALSE)),"")</f>
        <v>Siemens Ev Tipi Klima Dış Ünite, 24.000BTU, Beyaz</v>
      </c>
      <c r="C488" s="8">
        <v>3</v>
      </c>
      <c r="D488" s="8"/>
      <c r="E488" s="9"/>
      <c r="F488" s="9"/>
      <c r="G488" s="10"/>
      <c r="H488" s="10"/>
      <c r="I488" s="11"/>
      <c r="J488" s="11"/>
      <c r="K488" s="10"/>
      <c r="L488" s="11"/>
      <c r="M488" s="170"/>
      <c r="N488" s="124">
        <f t="shared" si="17"/>
        <v>3</v>
      </c>
      <c r="O488" s="126"/>
      <c r="P488" s="118"/>
      <c r="Q488" s="167">
        <v>45113.864928074559</v>
      </c>
      <c r="R488" s="92">
        <v>50000</v>
      </c>
      <c r="S488" s="91">
        <v>51750</v>
      </c>
      <c r="T488" s="12">
        <v>54000</v>
      </c>
      <c r="U488" s="12">
        <v>54750</v>
      </c>
      <c r="V488" s="13"/>
      <c r="W488" s="175"/>
      <c r="X488" s="14"/>
      <c r="Y488" s="10"/>
    </row>
    <row r="489" spans="1:25">
      <c r="A489" s="132" t="s">
        <v>1316</v>
      </c>
      <c r="B489" s="50" t="str">
        <f>IFERROR(HYPERLINK(VLOOKUP(A489,ÜRÜNLER!A:C,3,FALSE),VLOOKUP(A489,ÜRÜNLER!A:B,2,FALSE)),"")</f>
        <v>SHAZA Akım Korumalı Akıllı Priz (Beyaz)</v>
      </c>
      <c r="C489" s="8"/>
      <c r="D489" s="8"/>
      <c r="E489" s="9"/>
      <c r="F489" s="9"/>
      <c r="G489" s="10"/>
      <c r="H489" s="10"/>
      <c r="I489" s="11">
        <v>2</v>
      </c>
      <c r="J489" s="11">
        <v>4</v>
      </c>
      <c r="K489" s="10"/>
      <c r="L489" s="11"/>
      <c r="M489" s="170"/>
      <c r="N489" s="124">
        <f t="shared" si="17"/>
        <v>6</v>
      </c>
      <c r="O489" s="125"/>
      <c r="R489" s="15">
        <v>850</v>
      </c>
      <c r="S489" s="41">
        <v>879.75</v>
      </c>
      <c r="T489" s="12">
        <v>918</v>
      </c>
      <c r="U489" s="12">
        <v>935</v>
      </c>
      <c r="V489" s="13"/>
      <c r="W489" s="175"/>
      <c r="Y489" s="10"/>
    </row>
    <row r="490" spans="1:25">
      <c r="A490" s="132" t="s">
        <v>1317</v>
      </c>
      <c r="B490" s="50" t="str">
        <f>IFERROR(HYPERLINK(VLOOKUP(A490,ÜRÜNLER!A:C,3,FALSE),VLOOKUP(A490,ÜRÜNLER!A:B,2,FALSE)),"")</f>
        <v>SHAZA Akım Korumalı Üçlü Priz (Beyaz)</v>
      </c>
      <c r="C490" s="8"/>
      <c r="D490" s="8"/>
      <c r="E490" s="9"/>
      <c r="F490" s="9">
        <v>5</v>
      </c>
      <c r="G490" s="10"/>
      <c r="H490" s="10"/>
      <c r="I490" s="11">
        <v>22</v>
      </c>
      <c r="J490" s="11">
        <v>4</v>
      </c>
      <c r="K490" s="10"/>
      <c r="L490" s="11"/>
      <c r="M490" s="170"/>
      <c r="N490" s="124">
        <f t="shared" si="17"/>
        <v>31</v>
      </c>
      <c r="O490" s="125"/>
      <c r="R490" s="40">
        <v>850</v>
      </c>
      <c r="S490" s="41">
        <v>879.75</v>
      </c>
      <c r="T490" s="12">
        <v>918</v>
      </c>
      <c r="U490" s="12">
        <v>935</v>
      </c>
      <c r="V490" s="13"/>
      <c r="W490" s="175"/>
      <c r="Y490"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25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200"/>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200"/>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1" t="s">
        <v>459</v>
      </c>
      <c r="B12" s="201"/>
      <c r="C12" s="201"/>
      <c r="D12" s="201"/>
      <c r="E12" s="69">
        <f>SUM(E2:E11)</f>
        <v>18000</v>
      </c>
      <c r="F12" s="69">
        <f>SUM(F2:F11)</f>
        <v>18720</v>
      </c>
      <c r="I12"/>
      <c r="J12"/>
      <c r="K12" s="58"/>
      <c r="L12" s="58"/>
    </row>
    <row r="13" spans="1:12">
      <c r="A13" s="201" t="s">
        <v>460</v>
      </c>
      <c r="B13" s="201"/>
      <c r="C13" s="201"/>
      <c r="D13" s="201"/>
      <c r="E13" s="69">
        <f>SUM(G:G)*-1</f>
        <v>-19440</v>
      </c>
      <c r="F13" s="69">
        <f>SUM(G:G)*-1</f>
        <v>-19440</v>
      </c>
      <c r="I13"/>
      <c r="J13"/>
      <c r="K13" s="58"/>
      <c r="L13" s="58"/>
    </row>
    <row r="14" spans="1:12">
      <c r="A14" s="201" t="s">
        <v>1309</v>
      </c>
      <c r="B14" s="201"/>
      <c r="C14" s="201"/>
      <c r="D14" s="201"/>
      <c r="E14" s="69">
        <f>SUM(H:H)*-1</f>
        <v>-19710</v>
      </c>
      <c r="F14" s="69">
        <f>SUM(H:H)*-1</f>
        <v>-19710</v>
      </c>
      <c r="I14"/>
      <c r="J14"/>
      <c r="K14" s="58"/>
      <c r="L14" s="58"/>
    </row>
    <row r="15" spans="1:12">
      <c r="A15" s="201" t="s">
        <v>462</v>
      </c>
      <c r="B15" s="201"/>
      <c r="C15" s="201"/>
      <c r="D15" s="201"/>
      <c r="E15" s="69">
        <f>I2*-1</f>
        <v>0</v>
      </c>
      <c r="F15" s="69">
        <f>I2*-1</f>
        <v>0</v>
      </c>
      <c r="I15"/>
      <c r="J15"/>
      <c r="K15" s="58"/>
      <c r="L15" s="58"/>
    </row>
    <row r="16" spans="1:12">
      <c r="A16" s="199" t="s">
        <v>461</v>
      </c>
      <c r="B16" s="199"/>
      <c r="C16" s="199"/>
      <c r="D16" s="199"/>
      <c r="E16" s="70">
        <f>SUM(E12:E15)</f>
        <v>-21150</v>
      </c>
      <c r="F16" s="70">
        <f>SUM(F12:F15)</f>
        <v>-20430</v>
      </c>
      <c r="I16"/>
      <c r="J16"/>
    </row>
    <row r="17" spans="1:8">
      <c r="A17" s="197" t="s">
        <v>1340</v>
      </c>
      <c r="B17" s="197"/>
      <c r="C17" s="197"/>
      <c r="D17" s="197"/>
      <c r="E17" s="198">
        <f>E16*1.08</f>
        <v>-22842</v>
      </c>
      <c r="F17" s="198"/>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2" t="s">
        <v>1637</v>
      </c>
      <c r="L3" s="205" t="s">
        <v>468</v>
      </c>
      <c r="M3" s="206"/>
    </row>
    <row r="4" spans="3:13" ht="35.25" customHeight="1" thickBot="1">
      <c r="K4" s="203"/>
      <c r="L4" s="209"/>
      <c r="M4" s="210"/>
    </row>
    <row r="5" spans="3:13" ht="34.5" customHeight="1">
      <c r="C5" s="202" t="s">
        <v>1638</v>
      </c>
      <c r="D5" s="217" t="s">
        <v>1639</v>
      </c>
      <c r="E5" s="218"/>
      <c r="K5" s="203"/>
      <c r="L5" s="217" t="s">
        <v>1640</v>
      </c>
      <c r="M5" s="218"/>
    </row>
    <row r="6" spans="3:13" ht="34.5" customHeight="1">
      <c r="C6" s="203"/>
      <c r="D6" s="219"/>
      <c r="E6" s="220"/>
      <c r="K6" s="203"/>
      <c r="L6" s="219"/>
      <c r="M6" s="220"/>
    </row>
    <row r="7" spans="3:13" ht="113.25" customHeight="1" thickBot="1">
      <c r="C7" s="203"/>
      <c r="D7" s="219"/>
      <c r="E7" s="220"/>
      <c r="K7" s="203"/>
      <c r="L7" s="219"/>
      <c r="M7" s="220"/>
    </row>
    <row r="8" spans="3:13" ht="36" hidden="1" customHeight="1" thickBot="1">
      <c r="C8" s="203"/>
      <c r="D8" s="219"/>
      <c r="E8" s="220"/>
      <c r="K8" s="203"/>
      <c r="L8" s="221"/>
      <c r="M8" s="222"/>
    </row>
    <row r="9" spans="3:13" ht="34.5" customHeight="1">
      <c r="C9" s="203"/>
      <c r="D9" s="219"/>
      <c r="E9" s="220"/>
      <c r="K9" s="203"/>
      <c r="L9" s="211" t="s">
        <v>1641</v>
      </c>
      <c r="M9" s="212"/>
    </row>
    <row r="10" spans="3:13" ht="35.25" customHeight="1">
      <c r="C10" s="203"/>
      <c r="D10" s="219"/>
      <c r="E10" s="220"/>
      <c r="K10" s="203"/>
      <c r="L10" s="213"/>
      <c r="M10" s="214"/>
    </row>
    <row r="11" spans="3:13">
      <c r="C11" s="203"/>
      <c r="D11" s="219"/>
      <c r="E11" s="220"/>
      <c r="K11" s="203"/>
      <c r="L11" s="213"/>
      <c r="M11" s="214"/>
    </row>
    <row r="12" spans="3:13" ht="34.5" customHeight="1" thickBot="1">
      <c r="C12" s="204"/>
      <c r="D12" s="221"/>
      <c r="E12" s="222"/>
      <c r="K12" s="203"/>
      <c r="L12" s="213"/>
      <c r="M12" s="214"/>
    </row>
    <row r="13" spans="3:13" ht="0.75" customHeight="1">
      <c r="K13" s="203"/>
      <c r="L13" s="213"/>
      <c r="M13" s="214"/>
    </row>
    <row r="14" spans="3:13" ht="34.5" customHeight="1" thickBot="1">
      <c r="K14" s="203"/>
      <c r="L14" s="213"/>
      <c r="M14" s="214"/>
    </row>
    <row r="15" spans="3:13" ht="9" customHeight="1">
      <c r="C15" s="202" t="s">
        <v>1642</v>
      </c>
      <c r="D15" s="217" t="s">
        <v>1643</v>
      </c>
      <c r="E15" s="218"/>
      <c r="K15" s="203"/>
      <c r="L15" s="213"/>
      <c r="M15" s="214"/>
    </row>
    <row r="16" spans="3:13" ht="35.25" hidden="1" customHeight="1">
      <c r="C16" s="203"/>
      <c r="D16" s="219"/>
      <c r="E16" s="220"/>
      <c r="K16" s="203"/>
      <c r="L16" s="213"/>
      <c r="M16" s="214"/>
    </row>
    <row r="17" spans="3:33" ht="173.25" hidden="1" customHeight="1">
      <c r="C17" s="203"/>
      <c r="D17" s="219"/>
      <c r="E17" s="220"/>
      <c r="K17" s="203"/>
      <c r="L17" s="213"/>
      <c r="M17" s="214"/>
    </row>
    <row r="18" spans="3:33" ht="22.5" customHeight="1" thickBot="1">
      <c r="C18" s="203"/>
      <c r="D18" s="219"/>
      <c r="E18" s="220"/>
      <c r="K18" s="204"/>
      <c r="L18" s="215"/>
      <c r="M18" s="216"/>
    </row>
    <row r="19" spans="3:33" ht="34.5" customHeight="1">
      <c r="C19" s="203"/>
      <c r="D19" s="219"/>
      <c r="E19" s="220"/>
    </row>
    <row r="20" spans="3:33" ht="35.25" customHeight="1" thickBot="1">
      <c r="C20" s="203"/>
      <c r="D20" s="219"/>
      <c r="E20" s="220"/>
    </row>
    <row r="21" spans="3:33" ht="34.5" customHeight="1">
      <c r="C21" s="203"/>
      <c r="D21" s="219"/>
      <c r="E21" s="220"/>
      <c r="K21" s="202" t="s">
        <v>1644</v>
      </c>
      <c r="L21" s="205" t="s">
        <v>469</v>
      </c>
      <c r="M21" s="206"/>
    </row>
    <row r="22" spans="3:33" ht="35.25" customHeight="1" thickBot="1">
      <c r="C22" s="203"/>
      <c r="D22" s="221"/>
      <c r="E22" s="222"/>
      <c r="K22" s="203"/>
      <c r="L22" s="209"/>
      <c r="M22" s="210"/>
    </row>
    <row r="23" spans="3:33" ht="6.75" customHeight="1">
      <c r="C23" s="203"/>
      <c r="D23" s="211" t="s">
        <v>1645</v>
      </c>
      <c r="E23" s="212"/>
      <c r="K23" s="203"/>
      <c r="L23" s="223" t="s">
        <v>1646</v>
      </c>
      <c r="M23" s="218"/>
    </row>
    <row r="24" spans="3:33" ht="36" hidden="1" customHeight="1" thickBot="1">
      <c r="C24" s="203"/>
      <c r="D24" s="213"/>
      <c r="E24" s="214"/>
      <c r="K24" s="203"/>
      <c r="L24" s="219"/>
      <c r="M24" s="220"/>
    </row>
    <row r="25" spans="3:33" ht="179.25" customHeight="1">
      <c r="C25" s="203"/>
      <c r="D25" s="213"/>
      <c r="E25" s="214"/>
      <c r="K25" s="203"/>
      <c r="L25" s="219"/>
      <c r="M25" s="220"/>
    </row>
    <row r="26" spans="3:33" ht="35.25" customHeight="1" thickBot="1">
      <c r="C26" s="203"/>
      <c r="D26" s="213"/>
      <c r="E26" s="214"/>
      <c r="K26" s="203"/>
      <c r="L26" s="221"/>
      <c r="M26" s="222"/>
    </row>
    <row r="27" spans="3:33" ht="34.5" customHeight="1">
      <c r="C27" s="203"/>
      <c r="D27" s="213"/>
      <c r="E27" s="214"/>
      <c r="K27" s="203"/>
      <c r="L27" s="224" t="s">
        <v>1647</v>
      </c>
      <c r="M27" s="225"/>
    </row>
    <row r="28" spans="3:33" ht="39.75" customHeight="1" thickBot="1">
      <c r="C28" s="204"/>
      <c r="D28" s="215"/>
      <c r="E28" s="216"/>
      <c r="K28" s="203"/>
      <c r="L28" s="226"/>
      <c r="M28" s="227"/>
    </row>
    <row r="29" spans="3:33" ht="34.5" customHeight="1" thickBot="1">
      <c r="K29" s="203"/>
      <c r="L29" s="226"/>
      <c r="M29" s="227"/>
      <c r="AG29" s="162"/>
    </row>
    <row r="30" spans="3:33" ht="35.25" customHeight="1">
      <c r="C30" s="202" t="s">
        <v>1648</v>
      </c>
      <c r="D30" s="230" t="s">
        <v>470</v>
      </c>
      <c r="E30" s="231"/>
      <c r="K30" s="203"/>
      <c r="L30" s="226"/>
      <c r="M30" s="227"/>
      <c r="AG30" s="162"/>
    </row>
    <row r="31" spans="3:33" ht="35.25" customHeight="1" thickBot="1">
      <c r="C31" s="203"/>
      <c r="D31" s="232"/>
      <c r="E31" s="233"/>
      <c r="K31" s="204"/>
      <c r="L31" s="228"/>
      <c r="M31" s="229"/>
      <c r="AG31" s="162"/>
    </row>
    <row r="32" spans="3:33" ht="34.5" customHeight="1">
      <c r="C32" s="203"/>
      <c r="D32" s="234" t="s">
        <v>1649</v>
      </c>
      <c r="E32" s="235"/>
      <c r="AG32" s="162"/>
    </row>
    <row r="33" spans="3:33" ht="35.25" customHeight="1" thickBot="1">
      <c r="C33" s="203"/>
      <c r="D33" s="236"/>
      <c r="E33" s="237"/>
      <c r="AG33" s="162"/>
    </row>
    <row r="34" spans="3:33" ht="83.25" customHeight="1">
      <c r="C34" s="203"/>
      <c r="D34" s="236"/>
      <c r="E34" s="237"/>
      <c r="K34" s="202" t="s">
        <v>1650</v>
      </c>
      <c r="L34" s="205" t="s">
        <v>1651</v>
      </c>
      <c r="M34" s="206"/>
      <c r="AG34" s="162"/>
    </row>
    <row r="35" spans="3:33" ht="218.25" customHeight="1">
      <c r="C35" s="203"/>
      <c r="D35" s="236"/>
      <c r="E35" s="237"/>
      <c r="K35" s="203"/>
      <c r="L35" s="207"/>
      <c r="M35" s="208"/>
      <c r="AG35" s="162"/>
    </row>
    <row r="36" spans="3:33" ht="34.5" customHeight="1">
      <c r="C36" s="203"/>
      <c r="D36" s="236"/>
      <c r="E36" s="237"/>
      <c r="K36" s="203"/>
      <c r="L36" s="207"/>
      <c r="M36" s="208"/>
    </row>
    <row r="37" spans="3:33" ht="34.5" customHeight="1" thickBot="1">
      <c r="C37" s="203"/>
      <c r="D37" s="238"/>
      <c r="E37" s="239"/>
      <c r="K37" s="203"/>
      <c r="L37" s="207"/>
      <c r="M37" s="208"/>
    </row>
    <row r="38" spans="3:33" ht="34.5" customHeight="1">
      <c r="C38" s="203"/>
      <c r="D38" s="211" t="s">
        <v>1652</v>
      </c>
      <c r="E38" s="212"/>
      <c r="K38" s="203"/>
      <c r="L38" s="207"/>
      <c r="M38" s="208"/>
    </row>
    <row r="39" spans="3:33" ht="35.25" customHeight="1" thickBot="1">
      <c r="C39" s="203"/>
      <c r="D39" s="213"/>
      <c r="E39" s="214"/>
      <c r="K39" s="203"/>
      <c r="L39" s="209"/>
      <c r="M39" s="210"/>
    </row>
    <row r="40" spans="3:33" ht="34.5" customHeight="1">
      <c r="C40" s="203"/>
      <c r="D40" s="213"/>
      <c r="E40" s="214"/>
      <c r="K40" s="203"/>
      <c r="L40" s="211" t="s">
        <v>1653</v>
      </c>
      <c r="M40" s="212"/>
    </row>
    <row r="41" spans="3:33" ht="34.5" customHeight="1">
      <c r="C41" s="203"/>
      <c r="D41" s="213"/>
      <c r="E41" s="214"/>
      <c r="K41" s="203"/>
      <c r="L41" s="213"/>
      <c r="M41" s="214"/>
    </row>
    <row r="42" spans="3:33" ht="34.5" customHeight="1">
      <c r="C42" s="203"/>
      <c r="D42" s="213"/>
      <c r="E42" s="214"/>
      <c r="K42" s="203"/>
      <c r="L42" s="213"/>
      <c r="M42" s="214"/>
    </row>
    <row r="43" spans="3:33" ht="34.5" customHeight="1" thickBot="1">
      <c r="C43" s="204"/>
      <c r="D43" s="215"/>
      <c r="E43" s="216"/>
      <c r="K43" s="203"/>
      <c r="L43" s="213"/>
      <c r="M43" s="214"/>
    </row>
    <row r="44" spans="3:33" ht="34.5" customHeight="1" thickBot="1">
      <c r="K44" s="203"/>
      <c r="L44" s="213"/>
      <c r="M44" s="214"/>
    </row>
    <row r="45" spans="3:33" ht="35.25" customHeight="1">
      <c r="C45" s="202" t="s">
        <v>1654</v>
      </c>
      <c r="D45" s="217" t="s">
        <v>1655</v>
      </c>
      <c r="E45" s="218"/>
      <c r="K45" s="203"/>
      <c r="L45" s="213"/>
      <c r="M45" s="214"/>
    </row>
    <row r="46" spans="3:33" ht="34.5" customHeight="1">
      <c r="C46" s="203"/>
      <c r="D46" s="219"/>
      <c r="E46" s="220"/>
      <c r="K46" s="203"/>
      <c r="L46" s="213"/>
      <c r="M46" s="214"/>
    </row>
    <row r="47" spans="3:33" ht="34.5" customHeight="1">
      <c r="C47" s="203"/>
      <c r="D47" s="219"/>
      <c r="E47" s="220"/>
      <c r="K47" s="203"/>
      <c r="L47" s="213"/>
      <c r="M47" s="214"/>
    </row>
    <row r="48" spans="3:33" ht="34.5" customHeight="1">
      <c r="C48" s="203"/>
      <c r="D48" s="219"/>
      <c r="E48" s="220"/>
      <c r="K48" s="203"/>
      <c r="L48" s="213"/>
      <c r="M48" s="214"/>
    </row>
    <row r="49" spans="3:13" ht="35.25" customHeight="1" thickBot="1">
      <c r="C49" s="203"/>
      <c r="D49" s="219"/>
      <c r="E49" s="220"/>
      <c r="K49" s="204"/>
      <c r="L49" s="215"/>
      <c r="M49" s="216"/>
    </row>
    <row r="50" spans="3:13">
      <c r="C50" s="203"/>
      <c r="D50" s="219"/>
      <c r="E50" s="220"/>
    </row>
    <row r="51" spans="3:13" ht="35.25" thickBot="1">
      <c r="C51" s="203"/>
      <c r="D51" s="219"/>
      <c r="E51" s="220"/>
    </row>
    <row r="52" spans="3:13" ht="143.25" customHeight="1" thickBot="1">
      <c r="C52" s="204"/>
      <c r="D52" s="221"/>
      <c r="E52" s="222"/>
      <c r="K52" s="202" t="s">
        <v>1656</v>
      </c>
      <c r="L52" s="205" t="s">
        <v>1651</v>
      </c>
      <c r="M52" s="206"/>
    </row>
    <row r="53" spans="3:13" ht="143.25" customHeight="1">
      <c r="K53" s="203"/>
      <c r="L53" s="207"/>
      <c r="M53" s="208"/>
    </row>
    <row r="54" spans="3:13" ht="34.5" customHeight="1">
      <c r="K54" s="203"/>
      <c r="L54" s="207"/>
      <c r="M54" s="208"/>
    </row>
    <row r="55" spans="3:13">
      <c r="K55" s="203"/>
      <c r="L55" s="207"/>
      <c r="M55" s="208"/>
    </row>
    <row r="56" spans="3:13">
      <c r="K56" s="203"/>
      <c r="L56" s="207"/>
      <c r="M56" s="208"/>
    </row>
    <row r="57" spans="3:13" ht="35.25" thickBot="1">
      <c r="K57" s="203"/>
      <c r="L57" s="209"/>
      <c r="M57" s="210"/>
    </row>
    <row r="58" spans="3:13">
      <c r="K58" s="203"/>
      <c r="L58" s="211" t="s">
        <v>1657</v>
      </c>
      <c r="M58" s="212"/>
    </row>
    <row r="59" spans="3:13">
      <c r="K59" s="203"/>
      <c r="L59" s="213"/>
      <c r="M59" s="214"/>
    </row>
    <row r="60" spans="3:13">
      <c r="K60" s="203"/>
      <c r="L60" s="213"/>
      <c r="M60" s="214"/>
    </row>
    <row r="61" spans="3:13">
      <c r="K61" s="203"/>
      <c r="L61" s="213"/>
      <c r="M61" s="214"/>
    </row>
    <row r="62" spans="3:13">
      <c r="K62" s="203"/>
      <c r="L62" s="213"/>
      <c r="M62" s="214"/>
    </row>
    <row r="63" spans="3:13">
      <c r="K63" s="203"/>
      <c r="L63" s="213"/>
      <c r="M63" s="214"/>
    </row>
    <row r="64" spans="3:13">
      <c r="K64" s="203"/>
      <c r="L64" s="213"/>
      <c r="M64" s="214"/>
    </row>
    <row r="65" spans="11:13">
      <c r="K65" s="203"/>
      <c r="L65" s="213"/>
      <c r="M65" s="214"/>
    </row>
    <row r="66" spans="11:13">
      <c r="K66" s="203"/>
      <c r="L66" s="213"/>
      <c r="M66" s="214"/>
    </row>
    <row r="67" spans="11:13" ht="35.25" thickBot="1">
      <c r="K67" s="204"/>
      <c r="L67" s="215"/>
      <c r="M67" s="216"/>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1722</v>
      </c>
      <c r="B77" s="81" t="s">
        <v>1723</v>
      </c>
      <c r="C77" s="106" t="s">
        <v>1724</v>
      </c>
      <c r="D77" s="105" t="s">
        <v>1622</v>
      </c>
    </row>
    <row r="78" spans="1:4">
      <c r="A78" s="188"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8" t="s">
        <v>1709</v>
      </c>
      <c r="B88" s="81" t="s">
        <v>1710</v>
      </c>
      <c r="C88" s="106" t="s">
        <v>1711</v>
      </c>
      <c r="D88" s="105" t="s">
        <v>1624</v>
      </c>
    </row>
    <row r="89" spans="1:4">
      <c r="A89" s="80" t="s">
        <v>286</v>
      </c>
      <c r="B89" s="50" t="s">
        <v>696</v>
      </c>
      <c r="C89" s="82" t="s">
        <v>1164</v>
      </c>
      <c r="D89" s="105" t="s">
        <v>1624</v>
      </c>
    </row>
    <row r="90" spans="1:4">
      <c r="A90" s="188"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8"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1732</v>
      </c>
      <c r="B354" s="81" t="s">
        <v>1733</v>
      </c>
      <c r="C354" s="106" t="s">
        <v>1734</v>
      </c>
      <c r="D354" s="105" t="s">
        <v>1631</v>
      </c>
    </row>
    <row r="355" spans="1:4">
      <c r="A355" s="83" t="s">
        <v>236</v>
      </c>
      <c r="B355" s="50" t="s">
        <v>648</v>
      </c>
      <c r="C355" s="82" t="s">
        <v>1090</v>
      </c>
      <c r="D355" s="105" t="s">
        <v>1631</v>
      </c>
    </row>
    <row r="356" spans="1:4">
      <c r="A356" s="188" t="s">
        <v>1735</v>
      </c>
      <c r="B356" s="81" t="s">
        <v>1736</v>
      </c>
      <c r="C356" s="106" t="s">
        <v>1737</v>
      </c>
      <c r="D356" s="105" t="s">
        <v>1631</v>
      </c>
    </row>
    <row r="357" spans="1:4">
      <c r="A357" s="188"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1769</v>
      </c>
      <c r="B403" s="189" t="s">
        <v>1770</v>
      </c>
      <c r="C403" s="106" t="s">
        <v>1771</v>
      </c>
      <c r="D403" s="105" t="s">
        <v>1631</v>
      </c>
    </row>
    <row r="404" spans="1:4">
      <c r="A404" s="105" t="s">
        <v>1772</v>
      </c>
      <c r="B404" s="189" t="s">
        <v>1773</v>
      </c>
      <c r="C404" s="106" t="s">
        <v>1774</v>
      </c>
      <c r="D404" s="105" t="s">
        <v>1631</v>
      </c>
    </row>
    <row r="405" spans="1:4">
      <c r="A405" s="105" t="s">
        <v>1775</v>
      </c>
      <c r="B405" s="189" t="s">
        <v>1776</v>
      </c>
      <c r="C405" s="106" t="s">
        <v>1777</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2026-06-25T13:05:20Z</dcterms:modified>
</cp:coreProperties>
</file>