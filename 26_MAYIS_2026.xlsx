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54" documentId="8_{04D112BD-6BD0-48D2-BCD0-B02DB0158664}" xr6:coauthVersionLast="47" xr6:coauthVersionMax="47" xr10:uidLastSave="{8577B974-04F6-4357-A747-779681107839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2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59" i="1"/>
  <c r="N358" i="1"/>
  <c r="N357" i="1"/>
  <c r="N356" i="1"/>
  <c r="N355" i="1"/>
  <c r="N354" i="1"/>
  <c r="N353" i="1"/>
  <c r="N352" i="1"/>
  <c r="N350" i="1"/>
  <c r="N349" i="1"/>
  <c r="N348" i="1"/>
  <c r="N347" i="1"/>
  <c r="N346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P281" i="1"/>
  <c r="O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81" i="1" s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205" i="1" s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58" i="1" s="1"/>
  <c r="N140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39" i="1" s="1"/>
  <c r="N114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113" i="1" s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9" i="1" s="1"/>
  <c r="N68" i="1"/>
  <c r="N67" i="1"/>
  <c r="N66" i="1"/>
  <c r="N65" i="1"/>
  <c r="N64" i="1"/>
  <c r="N63" i="1"/>
  <c r="N62" i="1"/>
  <c r="N61" i="1"/>
  <c r="N60" i="1"/>
  <c r="N59" i="1"/>
  <c r="N69" i="1" s="1"/>
  <c r="N58" i="1"/>
  <c r="N57" i="1"/>
  <c r="N56" i="1"/>
  <c r="N54" i="1"/>
  <c r="N53" i="1"/>
  <c r="N52" i="1"/>
  <c r="N51" i="1"/>
  <c r="N50" i="1"/>
  <c r="N49" i="1"/>
  <c r="N48" i="1"/>
  <c r="N47" i="1"/>
  <c r="N46" i="1"/>
  <c r="N45" i="1"/>
  <c r="N55" i="1" s="1"/>
  <c r="O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44" i="1" s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2" authorId="0" shapeId="0" xr:uid="{5FB96296-AB1B-4142-9752-BEA8163CDC88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<sst xmlns="http://schemas.openxmlformats.org/spreadsheetml/2006/main" count="3032" uniqueCount="1677">
  <si>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</si>
  <si>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</si>
  <si>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</si>
  <si>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</si>
  <si>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</si>
  <si>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</si>
  <si>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</si>
  <si>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</si>
  <si>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</si>
  <si>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</si>
  <si>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</si>
  <si>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</si>
  <si>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</si>
  <si>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</si>
  <si>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</si>
  <si>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</si>
  <si>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</si>
  <si>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</si>
  <si>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</si>
  <si>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</si>
  <si>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</si>
  <si>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</si>
  <si>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</si>
  <si>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</si>
  <si>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</si>
  <si>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</si>
  <si>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</si>
  <si>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</si>
  <si>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</si>
  <si>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</si>
  <si>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</si>
  <si>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</si>
  <si>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</si>
  <si>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</si>
  <si>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</si>
  <si>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</si>
  <si>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</si>
  <si>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</si>
  <si>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</si>
  <si>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</si>
  <si>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</si>
  <si>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</si>
  <si>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</si>
  <si>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</si>
  <si>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</si>
  <si>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</si>
  <si>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</si>
  <si>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</si>
  <si>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</si>
  <si>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</si>
  <si>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</si>
  <si>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</si>
  <si>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</si>
  <si>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</si>
  <si>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</si>
  <si>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</si>
  <si>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</si>
  <si>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</si>
  <si>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</si>
  <si>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</si>
  <si>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</si>
  <si>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</si>
  <si>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</si>
  <si>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</si>
  <si>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</si>
  <si>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</si>
  <si>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</si>
  <si>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</si>
  <si>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</si>
  <si>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</si>
  <si>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</si>
  <si>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</si>
  <si>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</si>
  <si>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</si>
  <si>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</si>
  <si>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</si>
  <si>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</si>
  <si>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</si>
  <si>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</si>
  <si>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</si>
  <si>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</si>
  <si>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</si>
  <si>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</si>
  <si>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</si>
  <si>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</si>
  <si>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</si>
  <si>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</si>
  <si>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</si>
  <si>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</si>
  <si>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</si>
  <si>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</si>
  <si>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</si>
  <si>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</si>
  <si>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</si>
  <si>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</si>
  <si>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</si>
  <si>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</si>
  <si>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</si>
  <si>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</si>
  <si>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</si>
  <si>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</si>
  <si>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</si>
  <si>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</si>
  <si>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</si>
  <si>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</si>
  <si>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</si>
  <si>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</si>
  <si>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</si>
  <si>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</si>
  <si>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</si>
  <si>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</si>
  <si>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</si>
  <si>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</si>
  <si>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</si>
  <si>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</si>
  <si>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</si>
  <si>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</si>
  <si>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</si>
  <si>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</si>
  <si>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</si>
  <si>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</si>
  <si>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</si>
  <si>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</si>
  <si>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</si>
  <si>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</si>
  <si>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</si>
  <si>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</si>
  <si>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</si>
  <si>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</si>
  <si>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</si>
  <si>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</si>
  <si>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</si>
  <si>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</si>
  <si>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</si>
  <si>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</si>
  <si>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</si>
  <si>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</si>
  <si>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</si>
  <si>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</si>
  <si>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</si>
  <si>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</si>
  <si>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</si>
  <si>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</si>
  <si>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</si>
  <si>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</si>
  <si>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</si>
  <si>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</si>
  <si>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</si>
  <si>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</si>
  <si>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</si>
  <si>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</si>
  <si>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</si>
  <si>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</si>
  <si>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</si>
  <si>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</si>
  <si>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</si>
  <si>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</si>
  <si>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</si>
  <si>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</si>
  <si>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</si>
  <si>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</si>
  <si>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</si>
  <si>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</si>
  <si>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</si>
  <si>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</si>
  <si>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</si>
  <si>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</si>
  <si>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</si>
  <si>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</si>
  <si>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</si>
  <si>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</si>
  <si>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</si>
  <si>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</si>
  <si>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</si>
  <si>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</si>
  <si>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</si>
  <si>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</si>
  <si>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</si>
  <si>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</si>
  <si>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</si>
  <si>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</si>
  <si>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</si>
  <si>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</si>
  <si>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</si>
  <si>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</si>
  <si>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</si>
  <si>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</si>
  <si>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</si>
  <si>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</si>
  <si>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</si>
  <si>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</si>
  <si>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</si>
  <si>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</si>
  <si>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</si>
  <si>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</si>
  <si>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</si>
  <si>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</si>
  <si>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</si>
  <si>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</si>
  <si>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</si>
  <si>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</si>
  <si>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</si>
  <si>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</si>
  <si>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</si>
  <si>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</si>
  <si>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</si>
  <si>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</si>
  <si>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</si>
  <si>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</si>
  <si>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</si>
  <si>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</si>
  <si>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</si>
  <si>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</si>
  <si>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</si>
  <si>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</si>
  <si>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</si>
  <si>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</si>
  <si>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</si>
  <si>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</si>
  <si>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</si>
  <si>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</si>
  <si>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</si>
  <si>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</si>
  <si>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</si>
  <si>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</si>
  <si>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</si>
  <si>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</si>
  <si>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</si>
  <si>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</si>
  <si>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</si>
  <si>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</si>
  <si>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</si>
  <si>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</si>
  <si>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</si>
  <si>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</si>
  <si>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</si>
  <si>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</si>
  <si>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</si>
  <si>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</si>
  <si>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</si>
  <si>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</si>
  <si>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</si>
  <si>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</si>
  <si>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</si>
  <si>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</si>
  <si>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</si>
  <si>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</si>
  <si>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</si>
  <si>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</si>
  <si>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</si>
  <si>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</si>
  <si>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</si>
  <si>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</si>
  <si>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</si>
  <si>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</si>
  <si>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</si>
  <si>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</si>
  <si>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</si>
  <si>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</si>
  <si>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</si>
  <si>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</si>
  <si>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</si>
  <si>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</si>
  <si>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</si>
  <si>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</si>
  <si>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</si>
  <si>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</si>
  <si>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</si>
  <si>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</si>
  <si>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</si>
  <si>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</si>
  <si>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</si>
  <si>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</si>
  <si>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</si>
  <si>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</si>
  <si>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</si>
  <si>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</si>
  <si>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</si>
  <si>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</si>
  <si>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</si>
  <si>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</si>
  <si>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</si>
  <si>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</si>
  <si>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</si>
  <si>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</si>
  <si>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</si>
  <si>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</si>
  <si>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</si>
  <si>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</si>
  <si>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</si>
  <si>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</si>
  <si>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</si>
  <si>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</si>
  <si>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</si>
  <si>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</si>
  <si>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</si>
  <si>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</si>
  <si>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</si>
  <si>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</si>
  <si>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</si>
  <si>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</si>
  <si>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</si>
  <si>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</si>
  <si>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</si>
  <si>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</si>
  <si>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</si>
  <si>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</si>
  <si>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</si>
  <si>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</si>
  <si>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</si>
  <si>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</si>
  <si>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</si>
  <si>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</si>
  <si>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</si>
  <si>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</si>
  <si>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</si>
  <si>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</si>
  <si>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</si>
  <si>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</si>
  <si>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</si>
  <si>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</si>
  <si>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</si>
  <si>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</si>
  <si>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</si>
  <si>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</si>
  <si>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</si>
  <si>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</si>
  <si>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</si>
  <si>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</si>
  <si>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</si>
  <si>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</si>
  <si>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</si>
  <si>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</si>
  <si>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</si>
  <si>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</si>
  <si>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</si>
  <si>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</si>
  <si>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</si>
  <si>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</si>
  <si>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</si>
  <si>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</si>
  <si>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</si>
  <si>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</si>
  <si>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</si>
  <si>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</si>
  <si>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</si>
  <si>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</si>
  <si>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</si>
  <si>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</si>
  <si>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</si>
  <si>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</si>
  <si>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</si>
  <si>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</si>
  <si>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</si>
  <si>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</si>
  <si>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</si>
  <si>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</si>
  <si>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</si>
  <si>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</si>
  <si>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</si>
  <si>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</si>
  <si>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</si>
  <si>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</si>
  <si>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</si>
  <si>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</si>
  <si>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</si>
  <si>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</si>
  <si>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</si>
  <si>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</si>
  <si>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</si>
  <si>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</si>
  <si>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</si>
  <si>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</si>
  <si>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</si>
  <si>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</si>
  <si>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</si>
  <si>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</si>
  <si>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</si>
  <si>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</si>
  <si>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</si>
  <si>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</si>
  <si>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</si>
  <si>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</si>
  <si>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</si>
  <si>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</si>
  <si>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</si>
  <si>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</si>
  <si>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</si>
  <si>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</si>
  <si>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</si>
  <si>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</si>
  <si>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</si>
  <si>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</si>
  <si>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</si>
  <si>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</si>
  <si>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</si>
  <si>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</si>
  <si>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</si>
  <si>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</si>
  <si>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</si>
  <si>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</si>
  <si>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</si>
  <si>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</si>
  <si>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</si>
  <si>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</si>
  <si>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</si>
  <si>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</si>
  <si>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</si>
  <si>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</si>
  <si>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</si>
  <si>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</si>
  <si>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</si>
  <si>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</si>
  <si>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</si>
  <si>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</si>
  <si>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</si>
  <si>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</si>
  <si>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</si>
  <si>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</si>
  <si>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</si>
  <si>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</si>
  <si>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</si>
  <si>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</si>
  <si>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</si>
  <si>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</si>
  <si>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</si>
  <si>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</si>
  <si>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</si>
  <si>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</si>
  <si>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</si>
  <si>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</si>
  <si>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</si>
  <si>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</si>
  <si>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</si>
  <si>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</si>
  <si>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</si>
  <si>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</si>
  <si>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</si>
  <si>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</si>
  <si>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</si>
  <si>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</si>
  <si>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</si>
  <si>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</si>
  <si>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</si>
  <si>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</si>
  <si>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</si>
  <si>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</si>
  <si>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</si>
  <si>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</si>
  <si>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</si>
  <si>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</si>
  <si>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</si>
  <si>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</si>
  <si>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</si>
  <si>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</si>
  <si>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</si>
  <si>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</si>
  <si>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</si>
  <si>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</si>
  <si>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</si>
  <si>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</si>
  <si>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</si>
  <si>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</si>
  <si>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</si>
  <si>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</si>
  <si>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</si>
  <si>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</si>
  <si>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</si>
  <si>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</si>
  <si>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</si>
  <si>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</si>
  <si>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</si>
  <si>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</si>
  <si>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</si>
  <si>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</si>
  <si>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</si>
  <si>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</si>
  <si>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</si>
  <si>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</si>
  <si>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</si>
  <si>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</si>
  <si>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</si>
  <si>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</si>
  <si>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</si>
  <si>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</si>
  <si>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</si>
  <si>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</si>
  <si>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</si>
  <si>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</si>
  <si>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</si>
  <si>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</si>
  <si>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</si>
  <si>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</si>
  <si>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</si>
  <si>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</si>
  <si>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</si>
  <si>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</si>
  <si>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</si>
  <si>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</si>
  <si>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</si>
  <si>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</si>
  <si>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</si>
  <si>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</si>
  <si>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</si>
  <si>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</si>
  <si>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</si>
  <si>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</si>
  <si>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</si>
  <si>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</si>
  <si>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</si>
  <si>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</si>
  <si>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</si>
  <si>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</si>
  <si>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</si>
  <si>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</si>
  <si>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</si>
  <si>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</si>
  <si>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</si>
  <si>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</si>
  <si>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</si>
  <si>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</si>
  <si>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</si>
  <si>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</si>
  <si>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</si>
  <si>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</si>
  <si>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</si>
  <si>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</si>
  <si>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</si>
  <si>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</si>
  <si>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</si>
  <si>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</si>
  <si>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</si>
  <si>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</si>
  <si>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</si>
  <si>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</si>
  <si>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</si>
  <si>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</si>
  <si>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</si>
  <si>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</si>
  <si>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</si>
  <si>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</si>
  <si>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</si>
  <si>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</si>
  <si>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</si>
  <si>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</si>
  <si>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</si>
  <si>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</si>
  <si>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</si>
  <si>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</si>
  <si>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</si>
  <si>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</si>
  <si>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</si>
  <si>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</si>
  <si>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</si>
  <si>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</si>
  <si>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</si>
  <si>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</si>
  <si>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</si>
  <si>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</si>
  <si>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</si>
  <si>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</si>
  <si>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</si>
  <si>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</si>
  <si>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</si>
  <si>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</si>
  <si>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</si>
  <si>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</si>
  <si>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</si>
  <si>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</si>
  <si>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</si>
  <si>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</si>
  <si>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</si>
  <si>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</si>
  <si>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</si>
  <si>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</si>
  <si>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</si>
  <si>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</si>
  <si>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</si>
  <si>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</si>
  <si>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</si>
  <si>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</si>
  <si>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</si>
  <si>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</si>
  <si>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</si>
  <si>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</si>
  <si>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</si>
  <si>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</si>
  <si>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</si>
  <si>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</si>
  <si>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</si>
  <si>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</si>
  <si>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</si>
  <si>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</si>
  <si>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</si>
  <si>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</si>
  <si>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</si>
  <si>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</si>
  <si>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</si>
  <si>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</si>
  <si>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</si>
  <si>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</si>
  <si>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</si>
  <si>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</si>
  <si>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</si>
  <si>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</si>
  <si>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</si>
  <si>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</si>
  <si>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</si>
  <si>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</si>
  <si>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</si>
  <si>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</si>
  <si>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</si>
  <si>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</si>
  <si>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</si>
  <si>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</si>
  <si>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</si>
  <si>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</si>
  <si>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</si>
  <si>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</si>
  <si>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</si>
  <si>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</si>
  <si>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</si>
  <si>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</si>
  <si>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</si>
  <si>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</si>
  <si>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</si>
  <si>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</si>
  <si>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</si>
  <si>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</si>
  <si>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</si>
  <si>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</si>
  <si>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</si>
  <si>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</si>
  <si>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</si>
  <si>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</si>
  <si>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</si>
  <si>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</si>
  <si>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</si>
  <si>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</si>
  <si>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</si>
  <si>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</si>
  <si>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</si>
  <si>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</si>
  <si>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</si>
  <si>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</si>
  <si>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</si>
  <si>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</si>
  <si>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</si>
  <si>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</si>
  <si>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</si>
  <si>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</si>
  <si>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</si>
  <si>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</si>
  <si>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</si>
  <si>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</si>
  <si>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</si>
  <si>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</si>
  <si>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</si>
  <si>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</si>
  <si>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</si>
  <si>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</si>
  <si>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</si>
  <si>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</si>
  <si>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</si>
  <si>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</si>
  <si>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</si>
  <si>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</si>
  <si>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</si>
  <si>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</si>
  <si>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</si>
  <si>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</si>
  <si>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</si>
  <si>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</si>
  <si>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</si>
  <si>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</si>
  <si>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</si>
  <si>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</si>
  <si>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</si>
  <si>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</si>
  <si>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</si>
  <si>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</si>
  <si>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</si>
  <si>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</si>
  <si>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</si>
  <si>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</si>
  <si>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</si>
  <si>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</si>
  <si>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</si>
  <si>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</si>
  <si>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</si>
  <si>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</si>
  <si>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</si>
  <si>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</si>
  <si>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</si>
  <si>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</si>
  <si>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</si>
  <si>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</si>
  <si>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</si>
  <si>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</si>
  <si>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</si>
  <si>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</si>
  <si>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</si>
  <si>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</si>
  <si>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</si>
  <si>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</si>
  <si>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</si>
  <si>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</si>
  <si>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</si>
  <si>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</si>
  <si>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</si>
  <si>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</si>
  <si>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</si>
  <si>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</si>
  <si>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</si>
  <si>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</si>
  <si>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</si>
  <si>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</si>
  <si>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</si>
  <si>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</si>
  <si>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</si>
  <si>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</si>
  <si>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</si>
  <si>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</si>
  <si>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</si>
  <si>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</si>
  <si>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</si>
  <si>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</si>
  <si>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</si>
  <si>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</si>
  <si>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</si>
  <si>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</si>
  <si>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</si>
  <si>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</si>
  <si>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</si>
  <si>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</si>
  <si>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</si>
  <si>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</si>
  <si>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</si>
  <si>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</si>
  <si>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</si>
  <si>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</si>
  <si>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</si>
  <si>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</si>
  <si>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</si>
  <si>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</si>
  <si>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</si>
  <si>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</si>
  <si>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</si>
  <si>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</si>
  <si>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</si>
  <si>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</si>
  <si>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</si>
  <si>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</si>
  <si>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</si>
  <si>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</si>
  <si>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</si>
  <si>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</si>
  <si>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</si>
  <si>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</si>
  <si>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</si>
  <si>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</si>
  <si>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</si>
  <si>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</si>
  <si>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</si>
  <si>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</si>
  <si>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</si>
  <si>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</si>
  <si>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</si>
  <si>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</si>
  <si>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</si>
  <si>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</si>
  <si>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</si>
  <si>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</si>
  <si>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</si>
  <si>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</si>
  <si>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</si>
  <si>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</si>
  <si>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</si>
  <si>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</si>
  <si>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</si>
  <si>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</si>
  <si>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</si>
  <si>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</si>
  <si>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</si>
  <si>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</si>
  <si>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</si>
  <si>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</si>
  <si>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</si>
  <si>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</si>
  <si>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</si>
  <si>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</si>
  <si>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</si>
  <si>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</si>
  <si>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</si>
  <si>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</si>
  <si>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</si>
  <si>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</si>
  <si>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</si>
  <si>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</si>
  <si>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</si>
  <si>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</si>
  <si>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</si>
  <si>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</si>
  <si>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</si>
  <si>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</si>
  <si>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</si>
  <si>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</si>
  <si>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</si>
  <si>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</si>
  <si>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</si>
  <si>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</si>
  <si>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</si>
  <si>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</si>
  <si>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</si>
  <si>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</si>
  <si>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</si>
  <si>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</si>
  <si>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</si>
  <si>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</si>
  <si>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</si>
  <si>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</si>
  <si>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</si>
  <si>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</si>
  <si>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</si>
  <si>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</si>
  <si>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</si>
  <si>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</si>
  <si>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</si>
  <si>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</si>
  <si>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</si>
  <si>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</si>
  <si>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</si>
  <si>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</si>
  <si>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</si>
  <si>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</si>
  <si>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</si>
  <si>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</si>
  <si>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</si>
  <si>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</si>
  <si>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</si>
  <si>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</si>
  <si>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</si>
  <si>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</si>
  <si>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</si>
  <si>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</si>
  <si>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</si>
  <si>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</si>
  <si>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</si>
  <si>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</si>
  <si>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</si>
  <si>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</si>
  <si>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</si>
  <si>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</si>
  <si>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</si>
  <si>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</si>
  <si>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</si>
  <si>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</si>
  <si>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</si>
  <si>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</si>
  <si>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</si>
  <si>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</si>
  <si>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</si>
  <si>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</si>
  <si>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</si>
  <si>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</si>
  <si>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</si>
  <si>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</si>
  <si>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</si>
  <si>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</si>
  <si>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</si>
  <si>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</si>
  <si>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</si>
  <si>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</si>
  <si>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</si>
  <si>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</si>
  <si>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</si>
  <si>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</si>
  <si>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</si>
  <si>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</si>
  <si>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</si>
  <si>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</si>
  <si>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</si>
  <si>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</si>
  <si>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</si>
  <si>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</si>
  <si>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</si>
  <si>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</si>
  <si>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</si>
  <si>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</si>
  <si>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</si>
  <si>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</si>
  <si>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</si>
  <si>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</si>
  <si>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</si>
  <si>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</si>
  <si>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</si>
  <si>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</si>
  <si>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</si>
  <si>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</si>
  <si>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</si>
  <si>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</si>
  <si>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</si>
  <si>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</si>
  <si>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</si>
  <si>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</si>
  <si>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</si>
  <si>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</si>
  <si>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</si>
  <si>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</si>
  <si>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</si>
  <si>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</si>
  <si>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</si>
  <si>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</si>
  <si>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</si>
  <si>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</si>
  <si>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</si>
  <si>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</si>
  <si>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</si>
  <si>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</si>
  <si>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</si>
  <si>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</si>
  <si>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</si>
  <si>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</si>
  <si>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</si>
  <si>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</si>
  <si>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</si>
  <si>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</si>
  <si>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</si>
  <si>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</si>
  <si>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</si>
  <si>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</si>
  <si>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</si>
  <si>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</si>
  <si>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</si>
  <si>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</si>
  <si>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</si>
  <si>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</si>
  <si>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</si>
  <si>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</si>
  <si>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</si>
  <si>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</si>
  <si>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</si>
  <si>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</si>
  <si>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</si>
  <si>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</si>
  <si>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</si>
  <si>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</si>
  <si>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</si>
  <si>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</si>
  <si>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</si>
  <si>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</si>
  <si>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</si>
  <si>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</si>
  <si>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</si>
  <si>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</si>
  <si>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</si>
  <si>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</si>
  <si>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</si>
  <si>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</si>
  <si>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</si>
  <si>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</si>
  <si>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</si>
  <si>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</si>
  <si>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</si>
  <si>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</si>
  <si>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</si>
  <si>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</si>
  <si>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</si>
  <si>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</si>
  <si>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</si>
  <si>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</si>
  <si>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</si>
  <si>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</si>
  <si>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</si>
  <si>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</si>
  <si>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</si>
  <si>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</si>
  <si>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</si>
  <si>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</si>
  <si>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</si>
  <si>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</si>
  <si>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</si>
  <si>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</si>
  <si>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</si>
  <si>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</si>
  <si>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</si>
  <si>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</si>
  <si>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</si>
  <si>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</si>
  <si>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</si>
  <si>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</si>
  <si>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</si>
  <si>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</si>
  <si>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</si>
  <si>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</si>
  <si>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</si>
  <si>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</si>
  <si>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</si>
  <si>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</si>
  <si>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</si>
  <si>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</si>
  <si>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</si>
  <si>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</si>
  <si>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</si>
  <si>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</si>
  <si>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</si>
  <si>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</si>
  <si>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</si>
  <si>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</si>
  <si>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</si>
  <si>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</si>
  <si>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</si>
  <si>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</si>
  <si>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</si>
  <si>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</si>
  <si>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</si>
  <si>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</si>
  <si>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</si>
  <si>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</si>
  <si>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</si>
  <si>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</si>
  <si>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</si>
  <si>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</si>
  <si>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</si>
  <si>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</si>
  <si>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</si>
  <si>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</si>
  <si>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</si>
  <si>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</si>
  <si>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</si>
  <si>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</si>
  <si>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</si>
  <si>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</si>
  <si>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</si>
  <si>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</si>
  <si>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</si>
  <si>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</si>
  <si>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</si>
  <si>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</si>
  <si>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</si>
  <si>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</si>
  <si>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</si>
  <si>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</si>
  <si>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</si>
  <si>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</si>
  <si>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</si>
  <si>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</si>
  <si>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</si>
  <si>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</si>
  <si>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</si>
  <si>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</si>
  <si>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</si>
  <si>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</si>
  <si>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</si>
  <si>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</si>
  <si>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</si>
  <si>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</si>
  <si>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</si>
  <si>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</si>
  <si>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</si>
  <si>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</si>
  <si>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</si>
  <si>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</si>
  <si>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</si>
  <si>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</si>
  <si>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</si>
  <si>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</si>
  <si>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</si>
  <si>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</si>
  <si>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</si>
  <si>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</si>
  <si>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</si>
  <si>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</si>
  <si>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</si>
  <si>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</si>
  <si>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</si>
  <si>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</si>
  <si>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</si>
  <si>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</si>
  <si>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</si>
  <si>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</si>
  <si>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</si>
  <si>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</si>
  <si>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</si>
  <si>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</si>
  <si>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</si>
  <si>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</si>
  <si>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</si>
  <si>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</si>
  <si>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</si>
  <si>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</si>
  <si>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</si>
  <si>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</si>
  <si>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</si>
  <si>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</si>
  <si>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</si>
  <si>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</si>
  <si>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</si>
  <si>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</si>
  <si>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</si>
  <si>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</si>
  <si>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</si>
  <si>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</si>
  <si>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</si>
  <si>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</si>
  <si>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</si>
  <si>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</si>
  <si>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</si>
  <si>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</si>
  <si>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</si>
  <si>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</si>
  <si>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</si>
  <si>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</si>
  <si>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</si>
  <si>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</si>
  <si>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</si>
  <si>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</si>
  <si>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</si>
  <si>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</si>
  <si>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</si>
  <si>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</si>
  <si>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</si>
  <si>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</si>
  <si>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</si>
  <si>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</si>
  <si>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</si>
  <si>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</si>
  <si>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</si>
  <si>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</si>
  <si>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</si>
  <si>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</si>
  <si>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</si>
  <si>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</si>
  <si>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</si>
  <si>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</si>
  <si>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</si>
  <si>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</si>
  <si>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</si>
  <si>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</si>
  <si>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</si>
  <si>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</si>
  <si>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</si>
  <si>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</si>
  <si>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</si>
  <si>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</si>
  <si>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</si>
  <si>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</si>
  <si>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</si>
  <si>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</si>
  <si>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</si>
  <si>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</si>
  <si>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</si>
  <si>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</si>
  <si>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</si>
  <si>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</si>
  <si>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</si>
  <si>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</si>
  <si>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</si>
  <si>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</si>
  <si>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</si>
  <si>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</si>
  <si>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</si>
  <si>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</si>
  <si>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</si>
  <si>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</si>
  <si>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</si>
  <si>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</si>
  <si>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</si>
  <si>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</si>
  <si>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</si>
  <si>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</si>
  <si>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</si>
  <si>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</si>
  <si>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</si>
  <si>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</si>
  <si>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</si>
  <si>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</si>
  <si>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</si>
  <si>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</si>
  <si>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</si>
  <si>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</si>
  <si>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</si>
  <si>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</si>
  <si>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</si>
  <si>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</si>
  <si>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</si>
  <si>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</si>
  <si>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</si>
  <si>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</si>
  <si>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</si>
  <si>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</si>
  <si>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</si>
  <si>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</si>
  <si>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</si>
  <si>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</si>
  <si>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</si>
  <si>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</si>
  <si>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</si>
  <si>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</si>
  <si>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</si>
  <si>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</si>
  <si>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</si>
  <si>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</si>
  <si>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</si>
  <si>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</si>
  <si>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</si>
  <si>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</si>
  <si>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</si>
  <si>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</si>
  <si>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</si>
  <si>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</si>
  <si>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</si>
  <si>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</si>
  <si>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</si>
  <si>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</si>
  <si>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</si>
  <si>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</si>
  <si>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</si>
  <si>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</si>
  <si>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</si>
  <si>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</si>
  <si>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</si>
  <si>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</si>
  <si>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</si>
  <si>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</si>
  <si>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</si>
  <si>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</si>
  <si>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</si>
  <si>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</si>
  <si>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</si>
  <si>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</si>
  <si>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</si>
  <si>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</si>
  <si>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</si>
  <si>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</si>
  <si>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</si>
  <si>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</si>
  <si>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</si>
  <si>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</si>
  <si>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</si>
  <si>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</si>
  <si>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</si>
  <si>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</si>
  <si>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</si>
  <si>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</si>
  <si>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</si>
  <si>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</si>
  <si>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</si>
  <si>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</si>
  <si>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</si>
  <si>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</si>
  <si>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</si>
  <si>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</si>
  <si>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</si>
  <si>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</si>
  <si>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</si>
  <si>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</si>
  <si>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</si>
  <si>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</si>
  <si>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</si>
  <si>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</si>
  <si>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</si>
  <si>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</si>
  <si>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</si>
  <si>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</si>
  <si>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</si>
  <si>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</si>
  <si>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</si>
  <si>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</si>
  <si>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</si>
  <si>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</si>
  <si>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</si>
  <si>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</si>
  <si>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</si>
  <si>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</si>
  <si>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</si>
  <si>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</si>
  <si>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</si>
  <si>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</si>
  <si>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</si>
  <si>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</si>
  <si>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</si>
  <si>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</si>
  <si>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</si>
  <si>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</si>
  <si>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</si>
  <si>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</si>
  <si>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</si>
  <si>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</si>
  <si>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</si>
  <si>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</si>
  <si>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</si>
  <si>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</si>
  <si>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</si>
  <si>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</si>
  <si>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</si>
  <si>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</si>
  <si>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</si>
  <si>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</si>
  <si>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</si>
  <si>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</si>
  <si>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</si>
  <si>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</si>
  <si>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</si>
  <si>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</si>
  <si>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</si>
  <si>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</si>
  <si>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</si>
  <si>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</si>
  <si>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</si>
  <si>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</si>
  <si>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</si>
  <si>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</si>
  <si>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</si>
  <si>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</si>
  <si>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</si>
  <si>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</si>
  <si>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</si>
  <si>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</si>
  <si>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</si>
  <si>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</si>
  <si>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</si>
  <si>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</si>
  <si>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</si>
  <si>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</si>
  <si>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</si>
  <si>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</si>
  <si>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</si>
  <si>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</si>
  <si>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</si>
  <si>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</si>
  <si>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</si>
  <si>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</si>
  <si>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</si>
  <si>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</si>
  <si>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</si>
  <si>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</si>
  <si>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</si>
  <si>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</si>
  <si>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</si>
  <si>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</si>
  <si>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</si>
  <si>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</si>
  <si>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</si>
  <si>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</si>
  <si>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</si>
  <si>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</si>
  <si>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</si>
  <si>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</si>
  <si>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</si>
  <si>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</si>
  <si>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</si>
  <si>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</si>
  <si>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</si>
  <si>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</si>
  <si>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</si>
  <si>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</si>
  <si>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</si>
  <si>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</si>
  <si>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</si>
  <si>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</si>
  <si>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</si>
  <si>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</si>
  <si>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</si>
  <si>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</si>
  <si>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</si>
  <si>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</si>
  <si>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</si>
  <si>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</si>
  <si>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</si>
  <si>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</si>
  <si>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</si>
  <si>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</si>
  <si>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</si>
  <si>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</si>
  <si>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</si>
  <si>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</si>
  <si>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</si>
  <si>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</si>
  <si>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</si>
  <si>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</si>
  <si>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</si>
  <si>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</si>
  <si>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</si>
  <si>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</si>
  <si>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</si>
  <si>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</si>
  <si>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</si>
  <si>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</si>
  <si>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</si>
  <si>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</si>
  <si>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</si>
  <si>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</si>
  <si>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</si>
  <si>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</si>
  <si>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</si>
  <si>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</si>
  <si>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</si>
  <si>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</si>
  <si>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</si>
  <si>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</si>
  <si>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</si>
  <si>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</si>
  <si>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</si>
  <si>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</si>
  <si>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</si>
  <si>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</si>
  <si>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</si>
  <si>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</si>
  <si>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</si>
  <si>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</si>
  <si>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</si>
  <si>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</si>
  <si>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</si>
  <si>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</si>
  <si>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</si>
  <si>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</si>
  <si>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</si>
  <si>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</si>
  <si>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</si>
  <si>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</si>
  <si>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</si>
  <si>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</si>
  <si>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</si>
  <si>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</si>
  <si>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</si>
  <si>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</si>
  <si>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</si>
  <si>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</si>
  <si>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</si>
  <si>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</si>
  <si>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</si>
  <si>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</si>
  <si>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</si>
  <si>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</si>
  <si>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</si>
  <si>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</si>
  <si>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</si>
  <si>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</si>
  <si>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</si>
  <si>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</si>
  <si>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</si>
  <si>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</si>
  <si>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</si>
  <si>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</si>
  <si>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</si>
  <si>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</si>
  <si>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</si>
  <si>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</si>
  <si>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</si>
  <si>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</si>
  <si>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</si>
  <si>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</si>
  <si>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</si>
  <si>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</si>
  <si>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</si>
  <si>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</si>
  <si>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</si>
  <si>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</si>
  <si>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</si>
  <si>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</si>
  <si>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</si>
  <si>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</si>
  <si>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</si>
  <si>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</si>
  <si>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</si>
  <si>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</si>
  <si>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</si>
  <si>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</si>
  <si>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</si>
  <si>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</si>
  <si>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</si>
  <si>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</si>
  <si>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</si>
  <si>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</si>
  <si>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</si>
  <si>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</si>
  <si>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</si>
  <si>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</si>
  <si>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</si>
  <si>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</si>
  <si>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</si>
  <si>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</si>
  <si>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</si>
  <si>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</si>
  <si>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</si>
  <si>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</si>
  <si>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</si>
  <si>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</si>
  <si>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</si>
  <si>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</si>
  <si>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</si>
  <si>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</si>
  <si>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</si>
  <si>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</si>
  <si>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</si>
  <si>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</si>
  <si>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</si>
  <si>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</si>
  <si>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</si>
  <si>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</si>
  <si>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</si>
  <si>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</si>
  <si>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</si>
  <si>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</si>
  <si>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</si>
  <si>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</si>
  <si>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</si>
  <si>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</si>
  <si>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</si>
  <si>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</si>
  <si>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</si>
  <si>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</si>
  <si>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</si>
  <si>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</si>
  <si>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</si>
  <si>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</si>
  <si>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</si>
  <si>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</si>
  <si>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</si>
  <si>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</si>
  <si>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</si>
  <si>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</si>
  <si>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</si>
  <si>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</si>
  <si>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</si>
  <si>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</si>
  <si>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</si>
  <si>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</si>
  <si>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</si>
  <si>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</si>
  <si>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</si>
  <si>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</si>
  <si>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</si>
  <si>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</si>
  <si>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</si>
  <si>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</si>
  <si>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</si>
  <si>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</si>
  <si>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</si>
  <si>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</si>
  <si>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</si>
  <si>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</si>
  <si>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</si>
  <si>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</si>
  <si>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</si>
  <si>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</si>
  <si>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</si>
  <si>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</si>
  <si>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</si>
  <si>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</si>
  <si>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</si>
  <si>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</si>
  <si>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</si>
  <si>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</si>
  <si>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</si>
  <si>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</si>
  <si>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</si>
  <si>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</si>
  <si>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</si>
  <si>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</si>
  <si>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</si>
  <si>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</si>
  <si>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</si>
  <si>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</si>
  <si>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</si>
  <si>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</si>
  <si>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</si>
  <si>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</si>
  <si>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</si>
  <si>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</si>
  <si>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</si>
  <si>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</si>
  <si>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</si>
  <si>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</si>
  <si>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</si>
  <si>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</si>
  <si>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</si>
  <si>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</si>
  <si>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</si>
  <si>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</si>
  <si>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</si>
  <si>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</si>
  <si>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</si>
  <si>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</si>
  <si>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</si>
  <si>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</si>
  <si>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</si>
  <si>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</si>
  <si>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</si>
  <si>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</si>
  <si>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</si>
  <si>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</si>
  <si>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</si>
  <si>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</si>
  <si>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 xml:space="preserve">teşhir fiyatı 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</si>
  <si>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</si>
  <si>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</si>
  <si>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</si>
  <si>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</si>
  <si>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</si>
  <si>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</si>
  <si>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</si>
  <si>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</si>
  <si>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</si>
  <si>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</si>
  <si>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</si>
  <si>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</si>
  <si>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</si>
  <si>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</si>
  <si>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</si>
  <si>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31 MAYIS MONTAJ ZORUNLU</t>
  </si>
  <si>
    <t>1-31 MAYIS ARASI GEÇERLİ</t>
  </si>
  <si>
    <t>AÇIĞA SATIŞ YASAK</t>
  </si>
  <si>
    <t>21 MAYIS BEKLEYEN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</si>
  <si>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</si>
  <si>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</si>
  <si>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</si>
  <si>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</si>
  <si>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</si>
  <si>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</si>
  <si>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</si>
  <si>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</si>
  <si>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</si>
  <si>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</si>
  <si>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</si>
  <si>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</si>
  <si>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</si>
  <si>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</si>
  <si>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</si>
  <si>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</si>
  <si>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</si>
  <si>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</si>
  <si>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</si>
  <si>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</si>
  <si>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</si>
  <si>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</si>
  <si>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</si>
  <si>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</si>
  <si>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</si>
  <si>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</si>
  <si>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</si>
  <si>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</si>
  <si>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</si>
  <si>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</si>
  <si>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</si>
  <si>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</si>
  <si>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</si>
  <si>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</si>
  <si>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</si>
  <si>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</si>
  <si>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</si>
  <si>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</si>
  <si>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</si>
  <si>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</si>
  <si>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</si>
  <si>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</si>
  <si>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</si>
  <si>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</si>
  <si>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</si>
  <si>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</si>
  <si>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</si>
  <si>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</si>
  <si>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</si>
  <si>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</si>
  <si>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</si>
  <si>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</si>
  <si>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</si>
  <si>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</si>
  <si>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</si>
  <si>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</si>
  <si>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</si>
  <si>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</si>
  <si>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</si>
  <si>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</si>
  <si>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</si>
  <si>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26 MAYIS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</si>
</sst>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164" fontId="15" fillId="11" borderId="0" xfId="1" applyNumberFormat="1" applyFont="1" applyFill="1"/>
    <xf numFmtId="0" fontId="19" fillId="0" borderId="0" xfId="0" applyFont="1" applyAlignment="1">
      <alignment horizontal="center" vertical="center" wrapText="1"/>
    </xf>
    <xf numFmtId="164" fontId="18" fillId="11" borderId="0" xfId="1" applyNumberFormat="1" applyFont="1" applyFill="1" applyAlignment="1">
      <alignment horizontal="center" vertical="center" wrapText="1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502" Type="http://schemas.openxmlformats.org/officeDocument/2006/relationships/hyperlink" Target="https://www.siemens-home.bsh-group.com/tr/tr/product/prsiemenswm/WG44A2ZXTR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86" Type="http://schemas.openxmlformats.org/officeDocument/2006/relationships/hyperlink" Target="https://lura.cepkask.com/basket/58" TargetMode="External"/><Relationship Id="rId7" Type="http://schemas.openxmlformats.org/officeDocument/2006/relationships/hyperlink" Target="https://www.siemens-home.bsh-group.com/tr/tr/product/klimalar/AS12XXB32N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446" Type="http://schemas.openxmlformats.org/officeDocument/2006/relationships/hyperlink" Target="https://www.siemens-home.bsh-group.com/tr/tr/product/TI923309RW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577" Type="http://schemas.openxmlformats.org/officeDocument/2006/relationships/hyperlink" Target="https://lura.cepkask.com/basket/68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588" Type="http://schemas.openxmlformats.org/officeDocument/2006/relationships/hyperlink" Target="https://www.siemens-home.bsh-group.com/tr/tr/product/ankastre/ankastre-firinlar/HI133FES3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579" Type="http://schemas.openxmlformats.org/officeDocument/2006/relationships/hyperlink" Target="https://lura.cepkask.com/basket/66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581" Type="http://schemas.openxmlformats.org/officeDocument/2006/relationships/hyperlink" Target="https://lura.cepkask.com/basket/63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583" Type="http://schemas.openxmlformats.org/officeDocument/2006/relationships/hyperlink" Target="https://lura.cepkask.com/basket/61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585" Type="http://schemas.openxmlformats.org/officeDocument/2006/relationships/hyperlink" Target="https://lura.cepkask.com/basket/59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hyperlink" Target="https://lura.cepkask.com/basket/69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587" Type="http://schemas.openxmlformats.org/officeDocument/2006/relationships/hyperlink" Target="https://lura.cepkask.com/basket/57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578" Type="http://schemas.openxmlformats.org/officeDocument/2006/relationships/hyperlink" Target="https://lura.cepkask.com/basket/67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589" Type="http://schemas.openxmlformats.org/officeDocument/2006/relationships/printerSettings" Target="../printerSettings/printerSettings2.bin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580" Type="http://schemas.openxmlformats.org/officeDocument/2006/relationships/hyperlink" Target="https://lura.cepkask.com/basket/65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582" Type="http://schemas.openxmlformats.org/officeDocument/2006/relationships/hyperlink" Target="https://lura.cepkask.com/basket/62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84" Type="http://schemas.openxmlformats.org/officeDocument/2006/relationships/hyperlink" Target="https://lura.cepkask.com/basket/60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34" Type="http://schemas.openxmlformats.org/officeDocument/2006/relationships/hyperlink" Target="https://www.siemens-home.bsh-group.com/tr/tr/product/studioline/BF834LGB1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488" Type="http://schemas.openxmlformats.org/officeDocument/2006/relationships/hyperlink" Target="https://www.siemens-home.bsh-group.com/tr/tr/product/VZ41A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6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" style="142" customWidth="1"/>
    <col min="2" max="2" width="62.42578125" style="91" customWidth="1"/>
    <col min="3" max="3" width="7.7109375" style="33" bestFit="1" customWidth="1"/>
    <col min="4" max="4" width="6.140625" style="38" bestFit="1" customWidth="1"/>
    <col min="5" max="5" width="5.140625" style="39" bestFit="1" customWidth="1"/>
    <col min="6" max="6" width="4.28515625" style="39" bestFit="1" customWidth="1"/>
    <col min="7" max="7" width="5.7109375" style="40" bestFit="1" customWidth="1"/>
    <col min="8" max="8" width="4.8554687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5" style="28" hidden="1" customWidth="1"/>
    <col min="13" max="13" width="7.140625" customWidth="1"/>
    <col min="14" max="14" width="7" style="138" bestFit="1" customWidth="1"/>
    <col min="15" max="15" width="7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1" width="9.5703125" style="42" customWidth="1"/>
    <col min="22" max="22" width="10.5703125" style="188" bestFit="1" customWidth="1"/>
    <col min="23" max="23" width="10.5703125" style="40" customWidth="1"/>
    <col min="24" max="24" width="13.140625" style="43" bestFit="1" customWidth="1"/>
  </cols>
  <sheetData>
    <row r="1" spans="1:28" s="7" customFormat="1" ht="67.5">
      <c r="A1" s="108" t="s">
        <v>0</v>
      </c>
      <c r="B1" s="91" t="s">
        <v>1</v>
      </c>
      <c r="C1" s="2" t="s">
        <v>1676</v>
      </c>
      <c r="D1" s="46" t="s">
        <v>1561</v>
      </c>
      <c r="E1" s="3" t="s">
        <v>1553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6"/>
      <c r="M1" s="5" t="s">
        <v>6</v>
      </c>
      <c r="N1" s="6" t="s">
        <v>7</v>
      </c>
      <c r="O1" s="133" t="s">
        <v>1614</v>
      </c>
      <c r="P1" s="175" t="s">
        <v>1558</v>
      </c>
      <c r="Q1" s="115" t="s">
        <v>1547</v>
      </c>
      <c r="R1" s="184" t="s">
        <v>1591</v>
      </c>
      <c r="S1" s="75" t="s">
        <v>8</v>
      </c>
      <c r="T1" s="44" t="s">
        <v>9</v>
      </c>
      <c r="U1" s="189" t="s">
        <v>1596</v>
      </c>
      <c r="V1" s="187" t="s">
        <v>1560</v>
      </c>
      <c r="W1" s="181" t="s">
        <v>1589</v>
      </c>
      <c r="X1" s="104" t="s">
        <v>466</v>
      </c>
      <c r="Y1" s="21" t="s">
        <v>1590</v>
      </c>
      <c r="Z1" s="7" t="s">
        <v>1594</v>
      </c>
    </row>
    <row r="2" spans="1:28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92"/>
      <c r="M2" s="11"/>
      <c r="N2" s="134">
        <f t="shared" ref="N2:N43" si="0">M2+L2+K2+J2+I2+H2+G2+F2+E2+D2+C2</f>
        <v>2</v>
      </c>
      <c r="O2" s="135"/>
      <c r="P2" s="10"/>
      <c r="Q2" s="118"/>
      <c r="R2" s="74" t="s">
        <v>1592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8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92"/>
      <c r="M3" s="11">
        <v>1</v>
      </c>
      <c r="N3" s="134">
        <f t="shared" si="0"/>
        <v>11</v>
      </c>
      <c r="O3" s="135"/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8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16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92"/>
      <c r="M4" s="11">
        <v>1</v>
      </c>
      <c r="N4" s="134">
        <f t="shared" si="0"/>
        <v>21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8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92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8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92"/>
      <c r="M6" s="11"/>
      <c r="N6" s="134">
        <f t="shared" si="0"/>
        <v>2</v>
      </c>
      <c r="O6" s="135"/>
      <c r="P6" s="10"/>
      <c r="Q6" s="118" t="s">
        <v>1548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8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92"/>
      <c r="M7" s="11"/>
      <c r="N7" s="134">
        <f t="shared" si="0"/>
        <v>1</v>
      </c>
      <c r="O7" s="135"/>
      <c r="P7" s="10"/>
      <c r="Q7" s="118" t="s">
        <v>1548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8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92"/>
      <c r="M8" s="11"/>
      <c r="N8" s="134">
        <f t="shared" si="0"/>
        <v>0</v>
      </c>
      <c r="O8" s="135">
        <v>5</v>
      </c>
      <c r="P8" s="10"/>
      <c r="Q8" s="118" t="s">
        <v>1548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8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92"/>
      <c r="M9" s="11"/>
      <c r="N9" s="134">
        <f t="shared" si="0"/>
        <v>1</v>
      </c>
      <c r="O9" s="135"/>
      <c r="P9" s="10"/>
      <c r="Q9" s="118"/>
      <c r="R9" s="74" t="s">
        <v>1592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  <c r="AB9" s="16"/>
    </row>
    <row r="10" spans="1:28">
      <c r="A10" s="22" t="s">
        <v>18</v>
      </c>
      <c r="B10" s="51" t="str">
        <f>IFERROR(HYPERLINK(VLOOKUP(A10,ÜRÜNLER!A:C,3,FALSE),VLOOKUP(A10,ÜRÜNLER!A:B,2,FALSE)),"")</f>
        <v>iQ500 Üstten Donduruculu Kulplu Buzdolabı, 75cm, Inox</v>
      </c>
      <c r="C10" s="8">
        <v>9</v>
      </c>
      <c r="D10" s="8"/>
      <c r="E10" s="9"/>
      <c r="F10" s="9"/>
      <c r="G10" s="10"/>
      <c r="H10" s="10"/>
      <c r="I10" s="11"/>
      <c r="J10" s="11"/>
      <c r="K10" s="10"/>
      <c r="L10" s="192"/>
      <c r="M10" s="11"/>
      <c r="N10" s="134">
        <f t="shared" si="0"/>
        <v>9</v>
      </c>
      <c r="O10" s="135"/>
      <c r="P10" s="10"/>
      <c r="Q10" s="118"/>
      <c r="R10" s="52">
        <v>82878.063449484252</v>
      </c>
      <c r="S10" s="53">
        <v>80391.721545999724</v>
      </c>
      <c r="T10" s="12">
        <v>83607.390407839717</v>
      </c>
      <c r="U10" s="12">
        <v>86823.059269679696</v>
      </c>
      <c r="V10" s="13">
        <v>17957.13321692613</v>
      </c>
      <c r="W10" s="13"/>
      <c r="X10" s="14"/>
    </row>
    <row r="11" spans="1:28">
      <c r="A11" s="22" t="s">
        <v>1550</v>
      </c>
      <c r="B11" s="51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92"/>
      <c r="M11" s="11"/>
      <c r="N11" s="134">
        <f t="shared" si="0"/>
        <v>10</v>
      </c>
      <c r="O11" s="135"/>
      <c r="P11" s="10"/>
      <c r="Q11" s="118"/>
      <c r="R11" s="52">
        <v>57924.593023255809</v>
      </c>
      <c r="S11" s="53">
        <v>56186.855232558133</v>
      </c>
      <c r="T11" s="12">
        <v>58434.329441860456</v>
      </c>
      <c r="U11" s="12">
        <v>60681.803651162787</v>
      </c>
      <c r="V11" s="13"/>
      <c r="W11" s="13"/>
      <c r="X11" s="14"/>
    </row>
    <row r="12" spans="1:28">
      <c r="A12" s="22" t="s">
        <v>19</v>
      </c>
      <c r="B12" s="51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92"/>
      <c r="M12" s="11"/>
      <c r="N12" s="134">
        <f t="shared" si="0"/>
        <v>2</v>
      </c>
      <c r="O12" s="135"/>
      <c r="P12" s="10"/>
      <c r="Q12" s="118"/>
      <c r="R12" s="74" t="s">
        <v>1592</v>
      </c>
      <c r="S12" s="15">
        <v>65000</v>
      </c>
      <c r="T12" s="12">
        <v>67600</v>
      </c>
      <c r="U12" s="12">
        <v>70200</v>
      </c>
      <c r="V12" s="13"/>
      <c r="W12" s="13"/>
      <c r="X12" s="14"/>
    </row>
    <row r="13" spans="1:28">
      <c r="A13" s="140" t="s">
        <v>20</v>
      </c>
      <c r="B13" s="51" t="str">
        <f>IFERROR(HYPERLINK(VLOOKUP(A13,ÜRÜNLER!A:C,3,FALSE),VLOOKUP(A13,ÜRÜNLER!A:B,2,FALSE)),"")</f>
        <v>iQ500 Üstten Donduruculu Kulpsuz Buzdolabı, 75cm, Inox</v>
      </c>
      <c r="C13" s="8">
        <v>7</v>
      </c>
      <c r="D13" s="8"/>
      <c r="E13" s="9"/>
      <c r="F13" s="9"/>
      <c r="G13" s="10"/>
      <c r="H13" s="10"/>
      <c r="I13" s="11"/>
      <c r="J13" s="11"/>
      <c r="K13" s="10"/>
      <c r="L13" s="192"/>
      <c r="M13" s="11"/>
      <c r="N13" s="134">
        <f t="shared" si="0"/>
        <v>7</v>
      </c>
      <c r="O13" s="135">
        <v>2</v>
      </c>
      <c r="P13" s="10"/>
      <c r="Q13" s="118"/>
      <c r="R13" s="52">
        <v>66166.491473588918</v>
      </c>
      <c r="S13" s="53">
        <v>64181.496729381251</v>
      </c>
      <c r="T13" s="12">
        <v>66748.756598556502</v>
      </c>
      <c r="U13" s="12">
        <v>69316.016467731752</v>
      </c>
      <c r="V13" s="13">
        <v>10174.63100847265</v>
      </c>
      <c r="W13" s="13"/>
      <c r="X13" s="17"/>
    </row>
    <row r="14" spans="1:28">
      <c r="A14" s="140" t="s">
        <v>21</v>
      </c>
      <c r="B14" s="51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192"/>
      <c r="M14" s="11">
        <v>1</v>
      </c>
      <c r="N14" s="134">
        <f t="shared" si="0"/>
        <v>11</v>
      </c>
      <c r="O14" s="135">
        <v>3</v>
      </c>
      <c r="P14" s="10"/>
      <c r="Q14" s="118"/>
      <c r="R14" s="52">
        <v>61265.269882952707</v>
      </c>
      <c r="S14" s="53">
        <v>59427.311786464124</v>
      </c>
      <c r="T14" s="12">
        <v>61804.404257922688</v>
      </c>
      <c r="U14" s="12">
        <v>64181.496729381251</v>
      </c>
      <c r="V14" s="13">
        <v>6746.6652317899279</v>
      </c>
      <c r="W14" s="13"/>
      <c r="X14" s="17"/>
    </row>
    <row r="15" spans="1:28">
      <c r="A15" s="140" t="s">
        <v>1325</v>
      </c>
      <c r="B15" s="51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192"/>
      <c r="M15" s="11"/>
      <c r="N15" s="134">
        <f t="shared" si="0"/>
        <v>1</v>
      </c>
      <c r="O15" s="135"/>
      <c r="P15" s="10">
        <v>1</v>
      </c>
      <c r="Q15" s="118"/>
      <c r="R15" s="74" t="s">
        <v>1592</v>
      </c>
      <c r="S15" s="25">
        <v>75000</v>
      </c>
      <c r="T15" s="12">
        <v>78000</v>
      </c>
      <c r="U15" s="12">
        <v>81000</v>
      </c>
      <c r="V15" s="13"/>
      <c r="W15" s="13"/>
      <c r="X15" s="14">
        <v>250</v>
      </c>
    </row>
    <row r="16" spans="1:28">
      <c r="A16" s="22" t="s">
        <v>22</v>
      </c>
      <c r="B16" s="51" t="str">
        <f>IFERROR(HYPERLINK(VLOOKUP(A16,ÜRÜNLER!A:C,3,FALSE),VLOOKUP(A16,ÜRÜNLER!A:B,2,FALSE)),"")</f>
        <v>iQ500 Üstten Donduruculu Kulplu Buzdolabı, 86cm, Inox</v>
      </c>
      <c r="C16" s="8">
        <v>5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192"/>
      <c r="M16" s="11"/>
      <c r="N16" s="134">
        <f t="shared" si="0"/>
        <v>8</v>
      </c>
      <c r="O16" s="135">
        <v>2</v>
      </c>
      <c r="P16" s="10"/>
      <c r="Q16" s="118"/>
      <c r="R16" s="52">
        <v>95662.202301541009</v>
      </c>
      <c r="S16" s="53">
        <v>92792.336232494781</v>
      </c>
      <c r="T16" s="12">
        <v>96504.029681794578</v>
      </c>
      <c r="U16" s="12">
        <v>100215.72313109436</v>
      </c>
      <c r="V16" s="13">
        <v>19655.225557354974</v>
      </c>
      <c r="W16" s="13"/>
      <c r="X16" s="14"/>
    </row>
    <row r="17" spans="1:28">
      <c r="A17" s="22" t="s">
        <v>25</v>
      </c>
      <c r="B17" s="51" t="str">
        <f>IFERROR(HYPERLINK(VLOOKUP(A17,ÜRÜNLER!A:C,3,FALSE),VLOOKUP(A17,ÜRÜNLER!A:B,2,FALSE)),"")</f>
        <v>iQ500 Üstten Donduruculu Kulplu Buzdolabı, 86cm, Beyaz</v>
      </c>
      <c r="C17" s="8">
        <v>5</v>
      </c>
      <c r="D17" s="8"/>
      <c r="E17" s="9"/>
      <c r="F17" s="9"/>
      <c r="G17" s="10"/>
      <c r="H17" s="10"/>
      <c r="I17" s="11"/>
      <c r="J17" s="11"/>
      <c r="K17" s="10"/>
      <c r="L17" s="192"/>
      <c r="M17" s="11"/>
      <c r="N17" s="134">
        <f t="shared" si="0"/>
        <v>5</v>
      </c>
      <c r="O17" s="135">
        <v>2</v>
      </c>
      <c r="P17" s="10"/>
      <c r="Q17" s="118"/>
      <c r="R17" s="52">
        <v>83239.541994694649</v>
      </c>
      <c r="S17" s="53">
        <v>80742.355734853816</v>
      </c>
      <c r="T17" s="12">
        <v>83972.04996424797</v>
      </c>
      <c r="U17" s="12">
        <v>87201.744193642124</v>
      </c>
      <c r="V17" s="13">
        <v>13613.960599345839</v>
      </c>
      <c r="W17" s="13"/>
      <c r="X17" s="14"/>
    </row>
    <row r="18" spans="1:28" s="16" customFormat="1">
      <c r="A18" s="22" t="s">
        <v>26</v>
      </c>
      <c r="B18" s="51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192"/>
      <c r="M18" s="11"/>
      <c r="N18" s="134">
        <f t="shared" si="0"/>
        <v>1</v>
      </c>
      <c r="O18" s="135"/>
      <c r="P18" s="10"/>
      <c r="Q18" s="118"/>
      <c r="R18" s="74" t="s">
        <v>1592</v>
      </c>
      <c r="S18" s="15">
        <v>55000</v>
      </c>
      <c r="T18" s="12">
        <v>57200</v>
      </c>
      <c r="U18" s="12">
        <v>59400</v>
      </c>
      <c r="V18" s="13"/>
      <c r="W18" s="13"/>
      <c r="X18" s="14">
        <v>250</v>
      </c>
      <c r="Y18"/>
      <c r="Z18"/>
      <c r="AA18"/>
      <c r="AB18"/>
    </row>
    <row r="19" spans="1:28">
      <c r="A19" s="140" t="s">
        <v>27</v>
      </c>
      <c r="B19" s="51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192"/>
      <c r="M19" s="11"/>
      <c r="N19" s="134">
        <f t="shared" si="0"/>
        <v>1</v>
      </c>
      <c r="O19" s="135"/>
      <c r="P19" s="10"/>
      <c r="Q19" s="118"/>
      <c r="R19" s="74" t="s">
        <v>1592</v>
      </c>
      <c r="S19" s="15">
        <v>40000</v>
      </c>
      <c r="T19" s="12">
        <v>41600</v>
      </c>
      <c r="U19" s="12">
        <v>43200</v>
      </c>
      <c r="V19" s="13"/>
      <c r="W19" s="13"/>
      <c r="X19" s="14">
        <v>250</v>
      </c>
      <c r="Y19" s="16"/>
    </row>
    <row r="20" spans="1:28">
      <c r="A20" s="22" t="s">
        <v>28</v>
      </c>
      <c r="B20" s="51" t="str">
        <f>IFERROR(HYPERLINK(VLOOKUP(A20,ÜRÜNLER!A:C,3,FALSE),VLOOKUP(A20,ÜRÜNLER!A:B,2,FALSE)),"")</f>
        <v>iQ300 Alttan Donduruculu Kulpsuz Buzdolabı, 70cm, Inox</v>
      </c>
      <c r="C20" s="8">
        <v>101</v>
      </c>
      <c r="D20" s="8"/>
      <c r="E20" s="9">
        <v>4</v>
      </c>
      <c r="F20" s="9">
        <v>1</v>
      </c>
      <c r="G20" s="10"/>
      <c r="H20" s="10"/>
      <c r="I20" s="11">
        <v>1</v>
      </c>
      <c r="J20" s="11">
        <v>1</v>
      </c>
      <c r="K20" s="10">
        <v>1</v>
      </c>
      <c r="L20" s="192"/>
      <c r="M20" s="11">
        <v>1</v>
      </c>
      <c r="N20" s="134">
        <f t="shared" si="0"/>
        <v>110</v>
      </c>
      <c r="O20" s="135"/>
      <c r="P20" s="10"/>
      <c r="Q20" s="118"/>
      <c r="R20" s="52">
        <v>63469.622177112884</v>
      </c>
      <c r="S20" s="18">
        <v>60296.141068257239</v>
      </c>
      <c r="T20" s="12">
        <v>62707.986710987527</v>
      </c>
      <c r="U20" s="12">
        <v>65119.832353717815</v>
      </c>
      <c r="V20" s="13">
        <v>11930.087293391967</v>
      </c>
      <c r="W20" s="13"/>
      <c r="Z20" s="27" t="s">
        <v>1593</v>
      </c>
    </row>
    <row r="21" spans="1:28">
      <c r="A21" s="22" t="s">
        <v>29</v>
      </c>
      <c r="B21" s="51" t="str">
        <f>IFERROR(HYPERLINK(VLOOKUP(A21,ÜRÜNLER!A:C,3,FALSE),VLOOKUP(A21,ÜRÜNLER!A:B,2,FALSE)),"")</f>
        <v>iQ300 Alttan Donduruculu Kulpsuz Buzdolabı, 70cm, Beyaz</v>
      </c>
      <c r="C21" s="8">
        <v>88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192"/>
      <c r="M21" s="11"/>
      <c r="N21" s="134">
        <f t="shared" si="0"/>
        <v>91</v>
      </c>
      <c r="O21" s="135"/>
      <c r="P21" s="10"/>
      <c r="Q21" s="118"/>
      <c r="R21" s="52">
        <v>57039.061267121113</v>
      </c>
      <c r="S21" s="18">
        <v>54187.108203765056</v>
      </c>
      <c r="T21" s="12">
        <v>56354.592531915659</v>
      </c>
      <c r="U21" s="12">
        <v>58522.076860066263</v>
      </c>
      <c r="V21" s="13">
        <v>7884.4101043304327</v>
      </c>
      <c r="W21" s="13"/>
      <c r="Z21" s="14"/>
    </row>
    <row r="22" spans="1:28">
      <c r="A22" s="22" t="s">
        <v>30</v>
      </c>
      <c r="B22" s="51" t="str">
        <f>IFERROR(HYPERLINK(VLOOKUP(A22,ÜRÜNLER!A:C,3,FALSE),VLOOKUP(A22,ÜRÜNLER!A:B,2,FALSE)),"")</f>
        <v>iQ300 Alttan Donduruculu Kulpsuz Buzdolabı, 70cm, Inox</v>
      </c>
      <c r="C22" s="8">
        <v>6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192"/>
      <c r="M22" s="11"/>
      <c r="N22" s="134">
        <f t="shared" si="0"/>
        <v>8</v>
      </c>
      <c r="O22" s="135"/>
      <c r="P22" s="10"/>
      <c r="Q22" s="118"/>
      <c r="R22" s="52">
        <v>51274.362665302433</v>
      </c>
      <c r="S22" s="25">
        <v>51274.362665302433</v>
      </c>
      <c r="T22" s="12">
        <v>53325.337171914529</v>
      </c>
      <c r="U22" s="12">
        <v>55376.311678526625</v>
      </c>
      <c r="V22" s="13">
        <v>6515.0603397210361</v>
      </c>
      <c r="W22" s="13"/>
      <c r="Z22" s="27" t="s">
        <v>1593</v>
      </c>
    </row>
    <row r="23" spans="1:28">
      <c r="A23" s="22" t="s">
        <v>31</v>
      </c>
      <c r="B23" s="51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192"/>
      <c r="M23" s="11"/>
      <c r="N23" s="134">
        <f t="shared" si="0"/>
        <v>3</v>
      </c>
      <c r="O23" s="135"/>
      <c r="P23" s="10"/>
      <c r="Q23" s="118"/>
      <c r="R23" s="52">
        <v>46796.712690055007</v>
      </c>
      <c r="S23" s="25">
        <v>46796.712690055007</v>
      </c>
      <c r="T23" s="12">
        <v>48668.581197657208</v>
      </c>
      <c r="U23" s="12">
        <v>50540.449705259409</v>
      </c>
      <c r="V23" s="13">
        <v>6164.154550520122</v>
      </c>
      <c r="W23" s="13"/>
      <c r="Z23" s="27" t="s">
        <v>1593</v>
      </c>
    </row>
    <row r="24" spans="1:28">
      <c r="A24" s="139" t="s">
        <v>32</v>
      </c>
      <c r="B24" s="51" t="str">
        <f>IFERROR(HYPERLINK(VLOOKUP(A24,ÜRÜNLER!A:C,3,FALSE),VLOOKUP(A24,ÜRÜNLER!A:B,2,FALSE)),"")</f>
        <v>iQ500 Alttan Donduruculu Kulpsuz Buzdolabı, 70cm, Parlak Siyah</v>
      </c>
      <c r="C24" s="8">
        <v>12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192"/>
      <c r="M24" s="11">
        <v>2</v>
      </c>
      <c r="N24" s="134">
        <f t="shared" si="0"/>
        <v>17</v>
      </c>
      <c r="O24" s="135"/>
      <c r="P24" s="10"/>
      <c r="Q24" s="118"/>
      <c r="R24" s="52">
        <v>58065.821991796955</v>
      </c>
      <c r="S24" s="25">
        <v>58065.821991796955</v>
      </c>
      <c r="T24" s="12">
        <v>60388.454871468835</v>
      </c>
      <c r="U24" s="12">
        <v>62711.087751140709</v>
      </c>
      <c r="V24" s="13"/>
      <c r="W24" s="13"/>
      <c r="Z24" s="27" t="s">
        <v>1593</v>
      </c>
    </row>
    <row r="25" spans="1:28">
      <c r="A25" s="141" t="s">
        <v>33</v>
      </c>
      <c r="B25" s="51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92"/>
      <c r="M25" s="11"/>
      <c r="N25" s="134">
        <f t="shared" si="0"/>
        <v>1</v>
      </c>
      <c r="O25" s="135"/>
      <c r="P25" s="10"/>
      <c r="Q25" s="118"/>
      <c r="R25" s="74" t="s">
        <v>1592</v>
      </c>
      <c r="S25" s="19">
        <v>48000</v>
      </c>
      <c r="T25" s="12">
        <v>49920</v>
      </c>
      <c r="U25" s="12">
        <v>51840</v>
      </c>
      <c r="V25" s="13"/>
      <c r="W25" s="13"/>
      <c r="X25" s="106">
        <v>500</v>
      </c>
    </row>
    <row r="26" spans="1:28">
      <c r="A26" s="141" t="s">
        <v>34</v>
      </c>
      <c r="B26" s="51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92"/>
      <c r="M26" s="11"/>
      <c r="N26" s="134">
        <f t="shared" si="0"/>
        <v>1</v>
      </c>
      <c r="O26" s="135"/>
      <c r="P26" s="10"/>
      <c r="Q26" s="118"/>
      <c r="R26" s="74" t="s">
        <v>1592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8">
      <c r="A27" s="141" t="s">
        <v>35</v>
      </c>
      <c r="B27" s="51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192"/>
      <c r="M27" s="11"/>
      <c r="N27" s="134">
        <f t="shared" si="0"/>
        <v>2</v>
      </c>
      <c r="O27" s="135"/>
      <c r="P27" s="10"/>
      <c r="Q27" s="118"/>
      <c r="R27" s="74" t="s">
        <v>1592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8">
      <c r="A28" s="22" t="s">
        <v>36</v>
      </c>
      <c r="B28" s="51" t="str">
        <f>IFERROR(HYPERLINK(VLOOKUP(A28,ÜRÜNLER!A:C,3,FALSE),VLOOKUP(A28,ÜRÜNLER!A:B,2,FALSE)),"")</f>
        <v>iQ300 Alttan Donduruculu Kulpsuz Buzdolabı, 70cm, Beyaz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92"/>
      <c r="M28" s="11"/>
      <c r="N28" s="134">
        <f t="shared" si="0"/>
        <v>1</v>
      </c>
      <c r="O28" s="135"/>
      <c r="P28" s="10"/>
      <c r="Q28" s="118"/>
      <c r="R28" s="74" t="s">
        <v>1592</v>
      </c>
      <c r="S28" s="19">
        <v>48000</v>
      </c>
      <c r="T28" s="12">
        <v>49920</v>
      </c>
      <c r="U28" s="12">
        <v>51840</v>
      </c>
      <c r="V28" s="13"/>
      <c r="W28" s="13"/>
      <c r="X28" s="14"/>
    </row>
    <row r="29" spans="1:28">
      <c r="A29" s="22" t="s">
        <v>37</v>
      </c>
      <c r="B29" s="51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192"/>
      <c r="M29" s="11"/>
      <c r="N29" s="134">
        <f t="shared" si="0"/>
        <v>16</v>
      </c>
      <c r="O29" s="135"/>
      <c r="P29" s="10"/>
      <c r="Q29" s="118"/>
      <c r="R29" s="52">
        <v>72088.360336482729</v>
      </c>
      <c r="S29" s="24">
        <v>67042.175112928933</v>
      </c>
      <c r="T29" s="12">
        <v>69723.862117446086</v>
      </c>
      <c r="U29" s="12">
        <v>72405.549121963253</v>
      </c>
      <c r="V29" s="13"/>
      <c r="W29" s="13"/>
      <c r="X29" s="101">
        <v>250</v>
      </c>
    </row>
    <row r="30" spans="1:28">
      <c r="A30" s="22" t="s">
        <v>38</v>
      </c>
      <c r="B30" s="51" t="str">
        <f>IFERROR(HYPERLINK(VLOOKUP(A30,ÜRÜNLER!A:C,3,FALSE),VLOOKUP(A30,ÜRÜNLER!A:B,2,FALSE)),"")</f>
        <v>iQ500 Alttan Donduruculu Kulplu Buzdolabı, 75cm, Inox</v>
      </c>
      <c r="C30" s="8">
        <v>24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192"/>
      <c r="M30" s="11">
        <v>1</v>
      </c>
      <c r="N30" s="134">
        <f t="shared" si="0"/>
        <v>30</v>
      </c>
      <c r="O30" s="135">
        <v>34</v>
      </c>
      <c r="P30" s="10"/>
      <c r="Q30" s="118"/>
      <c r="R30" s="52">
        <v>84280.725891198905</v>
      </c>
      <c r="S30" s="53">
        <v>81752.304114462939</v>
      </c>
      <c r="T30" s="12">
        <v>85022.396279041452</v>
      </c>
      <c r="U30" s="12">
        <v>88292.488443619979</v>
      </c>
      <c r="V30" s="13">
        <v>18545.842170268705</v>
      </c>
      <c r="W30" s="13"/>
      <c r="X30" s="14"/>
      <c r="Y30" s="20"/>
    </row>
    <row r="31" spans="1:28" s="20" customFormat="1">
      <c r="A31" s="22" t="s">
        <v>39</v>
      </c>
      <c r="B31" s="51" t="str">
        <f>IFERROR(HYPERLINK(VLOOKUP(A31,ÜRÜNLER!A:C,3,FALSE),VLOOKUP(A31,ÜRÜNLER!A:B,2,FALSE)),"")</f>
        <v>iQ500 Alttan Donduruculu Kulplu Buzdolabı, 75cm, Beyaz</v>
      </c>
      <c r="C31" s="8">
        <v>44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192"/>
      <c r="M31" s="11"/>
      <c r="N31" s="134">
        <f t="shared" si="0"/>
        <v>46</v>
      </c>
      <c r="O31" s="135">
        <v>10</v>
      </c>
      <c r="P31" s="10"/>
      <c r="Q31" s="118"/>
      <c r="R31" s="52">
        <v>77045.04375450201</v>
      </c>
      <c r="S31" s="18">
        <v>73192.791566776912</v>
      </c>
      <c r="T31" s="12">
        <v>76120.50322944799</v>
      </c>
      <c r="U31" s="12">
        <v>79048.214892119067</v>
      </c>
      <c r="V31" s="13">
        <v>14224.113521943873</v>
      </c>
      <c r="W31" s="13"/>
      <c r="X31" s="14"/>
      <c r="Y31"/>
    </row>
    <row r="32" spans="1:28">
      <c r="A32" s="139" t="s">
        <v>40</v>
      </c>
      <c r="B32" s="51" t="str">
        <f>IFERROR(HYPERLINK(VLOOKUP(A32,ÜRÜNLER!A:C,3,FALSE),VLOOKUP(A32,ÜRÜNLER!A:B,2,FALSE)),"")</f>
        <v>iQ500 Alttan Donduruculu Kulpsuz Buzdolabı, 75cm, darkSteel</v>
      </c>
      <c r="C32" s="8">
        <v>4</v>
      </c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192"/>
      <c r="M32" s="11">
        <v>1</v>
      </c>
      <c r="N32" s="134">
        <f t="shared" si="0"/>
        <v>7</v>
      </c>
      <c r="O32" s="135">
        <v>26</v>
      </c>
      <c r="P32" s="10"/>
      <c r="Q32" s="118"/>
      <c r="R32" s="52">
        <v>95152.057390036483</v>
      </c>
      <c r="S32" s="18">
        <v>90394.454520534666</v>
      </c>
      <c r="T32" s="12">
        <v>94010.232701356057</v>
      </c>
      <c r="U32" s="12">
        <v>97626.010882177434</v>
      </c>
      <c r="V32" s="13">
        <v>26079.964366780685</v>
      </c>
      <c r="W32" s="13"/>
      <c r="X32" s="14"/>
    </row>
    <row r="33" spans="1:26">
      <c r="A33" s="22" t="s">
        <v>41</v>
      </c>
      <c r="B33" s="51" t="str">
        <f>IFERROR(HYPERLINK(VLOOKUP(A33,ÜRÜNLER!A:C,3,FALSE),VLOOKUP(A33,ÜRÜNLER!A:B,2,FALSE)),"")</f>
        <v>iQ300 Alttan Donduruculu Kulpsuz Buzdolabı, 75cm, Inox</v>
      </c>
      <c r="C33" s="8">
        <v>30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192"/>
      <c r="M33" s="11"/>
      <c r="N33" s="134">
        <f t="shared" si="0"/>
        <v>34</v>
      </c>
      <c r="O33" s="135">
        <v>11</v>
      </c>
      <c r="P33" s="10"/>
      <c r="Q33" s="118"/>
      <c r="R33" s="52">
        <v>76173.043294544681</v>
      </c>
      <c r="S33" s="53">
        <v>73887.851995708334</v>
      </c>
      <c r="T33" s="12">
        <v>76843.366075536673</v>
      </c>
      <c r="U33" s="12">
        <v>79798.880155364997</v>
      </c>
      <c r="V33" s="13">
        <v>16282.345620126092</v>
      </c>
      <c r="W33" s="13"/>
      <c r="X33" s="14"/>
    </row>
    <row r="34" spans="1:26">
      <c r="A34" s="22" t="s">
        <v>42</v>
      </c>
      <c r="B34" s="51" t="str">
        <f>IFERROR(HYPERLINK(VLOOKUP(A34,ÜRÜNLER!A:C,3,FALSE),VLOOKUP(A34,ÜRÜNLER!A:B,2,FALSE)),"")</f>
        <v>iQ300 Alttan Donduruculu Kulpsuz Buzdolabı, 75cm, Beyaz</v>
      </c>
      <c r="C34" s="8">
        <v>37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192"/>
      <c r="M34" s="11">
        <v>1</v>
      </c>
      <c r="N34" s="134">
        <f t="shared" si="0"/>
        <v>40</v>
      </c>
      <c r="O34" s="135">
        <v>10</v>
      </c>
      <c r="P34" s="10"/>
      <c r="Q34" s="118"/>
      <c r="R34" s="52">
        <v>68727.331170743899</v>
      </c>
      <c r="S34" s="18">
        <v>65290.964612206706</v>
      </c>
      <c r="T34" s="12">
        <v>67902.603196694981</v>
      </c>
      <c r="U34" s="12">
        <v>70514.241781183242</v>
      </c>
      <c r="V34" s="13">
        <v>10684.307914929945</v>
      </c>
      <c r="W34" s="13"/>
      <c r="X34" s="14"/>
    </row>
    <row r="35" spans="1:26">
      <c r="A35" s="22" t="s">
        <v>43</v>
      </c>
      <c r="B35" s="51" t="str">
        <f>IFERROR(HYPERLINK(VLOOKUP(A35,ÜRÜNLER!A:C,3,FALSE),VLOOKUP(A35,ÜRÜNLER!A:B,2,FALSE)),"")</f>
        <v>iQ700 Alttan Donduruculu Kulplu Buzdolabı, 75cm, Inox</v>
      </c>
      <c r="C35" s="8">
        <v>38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192"/>
      <c r="M35" s="11">
        <v>1</v>
      </c>
      <c r="N35" s="134">
        <f t="shared" si="0"/>
        <v>44</v>
      </c>
      <c r="O35" s="135">
        <v>11</v>
      </c>
      <c r="P35" s="10"/>
      <c r="Q35" s="118"/>
      <c r="R35" s="52">
        <v>89108.337432470944</v>
      </c>
      <c r="S35" s="18">
        <v>84652.9205608474</v>
      </c>
      <c r="T35" s="12">
        <v>88039.037383281291</v>
      </c>
      <c r="U35" s="12">
        <v>91425.154205715196</v>
      </c>
      <c r="V35" s="13">
        <v>13793.221153401188</v>
      </c>
      <c r="W35" s="13"/>
      <c r="X35" s="14"/>
    </row>
    <row r="36" spans="1:26">
      <c r="A36" s="22" t="s">
        <v>44</v>
      </c>
      <c r="B36" s="51" t="str">
        <f>IFERROR(HYPERLINK(VLOOKUP(A36,ÜRÜNLER!A:C,3,FALSE),VLOOKUP(A36,ÜRÜNLER!A:B,2,FALSE)),"")</f>
        <v>iQ700 Alttan Donduruculu Kulplu Buzdolabı, 75cm, Beyaz</v>
      </c>
      <c r="C36" s="8">
        <v>20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192"/>
      <c r="M36" s="11"/>
      <c r="N36" s="134">
        <f t="shared" si="0"/>
        <v>25</v>
      </c>
      <c r="O36" s="135">
        <v>5</v>
      </c>
      <c r="P36" s="10"/>
      <c r="Q36" s="119"/>
      <c r="R36" s="52">
        <v>82556.234666907607</v>
      </c>
      <c r="S36" s="53">
        <v>80079.547626900385</v>
      </c>
      <c r="T36" s="12">
        <v>83282.729531976394</v>
      </c>
      <c r="U36" s="12">
        <v>86485.911437052418</v>
      </c>
      <c r="V36" s="13">
        <v>13760.885829698311</v>
      </c>
      <c r="W36" s="13"/>
      <c r="X36" s="14"/>
    </row>
    <row r="37" spans="1:26" s="20" customFormat="1">
      <c r="A37" s="21" t="s">
        <v>45</v>
      </c>
      <c r="B37" s="51" t="str">
        <f>IFERROR(HYPERLINK(VLOOKUP(A37,ÜRÜNLER!A:C,3,FALSE),VLOOKUP(A37,ÜRÜNLER!A:B,2,FALSE)),"")</f>
        <v>iQ500 Alttan Donduruculu Kulplu Buzdolabı, 86cm, Inox</v>
      </c>
      <c r="C37" s="8">
        <v>164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192"/>
      <c r="M37" s="11">
        <v>1</v>
      </c>
      <c r="N37" s="134">
        <f t="shared" si="0"/>
        <v>171</v>
      </c>
      <c r="O37" s="135">
        <v>5</v>
      </c>
      <c r="P37" s="10"/>
      <c r="Q37" s="118"/>
      <c r="R37" s="52">
        <v>97945.23362132156</v>
      </c>
      <c r="S37" s="18">
        <v>93047.971940255477</v>
      </c>
      <c r="T37" s="12">
        <v>96769.8908178657</v>
      </c>
      <c r="U37" s="12">
        <v>100491.80969547591</v>
      </c>
      <c r="V37" s="13">
        <v>23794.07083062391</v>
      </c>
      <c r="W37" s="13"/>
      <c r="X37" s="14"/>
    </row>
    <row r="38" spans="1:26" s="20" customFormat="1">
      <c r="A38" s="22" t="s">
        <v>46</v>
      </c>
      <c r="B38" s="51" t="str">
        <f>IFERROR(HYPERLINK(VLOOKUP(A38,ÜRÜNLER!A:C,3,FALSE),VLOOKUP(A38,ÜRÜNLER!A:B,2,FALSE)),"")</f>
        <v>iQ500 Alttan Donduruculu Kulplu Buzdolabı, 86cm, Beyaz</v>
      </c>
      <c r="C38" s="8">
        <v>19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192"/>
      <c r="M38" s="11"/>
      <c r="N38" s="134">
        <f t="shared" si="0"/>
        <v>21</v>
      </c>
      <c r="O38" s="135">
        <v>2</v>
      </c>
      <c r="P38" s="10"/>
      <c r="Q38" s="119"/>
      <c r="R38" s="52">
        <v>84927.532970575048</v>
      </c>
      <c r="S38" s="47">
        <v>81530.431651752049</v>
      </c>
      <c r="T38" s="12">
        <v>84791.648917822138</v>
      </c>
      <c r="U38" s="12">
        <v>88052.866183892213</v>
      </c>
      <c r="V38" s="13">
        <v>16653.114365923902</v>
      </c>
      <c r="W38" s="13"/>
      <c r="X38" s="14"/>
    </row>
    <row r="39" spans="1:26" s="20" customFormat="1">
      <c r="A39" s="22" t="s">
        <v>47</v>
      </c>
      <c r="B39" s="51" t="str">
        <f>IFERROR(HYPERLINK(VLOOKUP(A39,ÜRÜNLER!A:C,3,FALSE),VLOOKUP(A39,ÜRÜNLER!A:B,2,FALSE)),"")</f>
        <v>iQ500 Alttan Donduruculu Kulpsuz Buzdolabı, 86cm, Beyaz</v>
      </c>
      <c r="C39" s="8">
        <v>14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192"/>
      <c r="M39" s="11"/>
      <c r="N39" s="134">
        <f t="shared" si="0"/>
        <v>16</v>
      </c>
      <c r="O39" s="135">
        <v>9</v>
      </c>
      <c r="P39" s="10"/>
      <c r="Q39" s="118"/>
      <c r="R39" s="52">
        <v>75297.092684184434</v>
      </c>
      <c r="S39" s="47">
        <v>72285.208976817055</v>
      </c>
      <c r="T39" s="12">
        <v>75176.617335889736</v>
      </c>
      <c r="U39" s="12">
        <v>78068.025694962416</v>
      </c>
      <c r="V39" s="13">
        <v>11124.999660928634</v>
      </c>
      <c r="W39" s="13"/>
      <c r="X39" s="14"/>
    </row>
    <row r="40" spans="1:26" s="20" customFormat="1">
      <c r="A40" s="139" t="s">
        <v>48</v>
      </c>
      <c r="B40" s="51" t="str">
        <f>IFERROR(HYPERLINK(VLOOKUP(A40,ÜRÜNLER!A:C,3,FALSE),VLOOKUP(A40,ÜRÜNLER!A:B,2,FALSE)),"")</f>
        <v>iQ700 Alttan Donduruculu Kulpsuz Buzdolabı, 86cm, darkSteel</v>
      </c>
      <c r="C40" s="8">
        <v>55</v>
      </c>
      <c r="D40" s="8"/>
      <c r="E40" s="9"/>
      <c r="F40" s="9"/>
      <c r="G40" s="10"/>
      <c r="H40" s="10"/>
      <c r="I40" s="11">
        <v>1</v>
      </c>
      <c r="J40" s="11"/>
      <c r="K40" s="10"/>
      <c r="L40" s="192"/>
      <c r="M40" s="11">
        <v>1</v>
      </c>
      <c r="N40" s="134">
        <f t="shared" si="0"/>
        <v>57</v>
      </c>
      <c r="O40" s="135">
        <v>41</v>
      </c>
      <c r="P40" s="10"/>
      <c r="Q40" s="118"/>
      <c r="R40" s="52">
        <v>113177.54019884831</v>
      </c>
      <c r="S40" s="53">
        <v>109782.21399288285</v>
      </c>
      <c r="T40" s="12">
        <v>114173.50255259816</v>
      </c>
      <c r="U40" s="12">
        <v>118564.79111231348</v>
      </c>
      <c r="V40" s="13">
        <v>23504.284384894825</v>
      </c>
      <c r="W40" s="13"/>
      <c r="X40" s="14"/>
    </row>
    <row r="41" spans="1:26" s="20" customFormat="1">
      <c r="A41" s="22" t="s">
        <v>49</v>
      </c>
      <c r="B41" s="51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192"/>
      <c r="M41" s="11"/>
      <c r="N41" s="134">
        <f t="shared" si="0"/>
        <v>2</v>
      </c>
      <c r="O41" s="135"/>
      <c r="P41" s="10"/>
      <c r="Q41" s="118"/>
      <c r="R41" s="74" t="s">
        <v>1592</v>
      </c>
      <c r="S41" s="19">
        <v>80000</v>
      </c>
      <c r="T41" s="12">
        <v>83200</v>
      </c>
      <c r="U41" s="12">
        <v>86400</v>
      </c>
      <c r="V41" s="13"/>
      <c r="W41" s="13"/>
      <c r="X41" s="14"/>
    </row>
    <row r="42" spans="1:26" s="20" customFormat="1">
      <c r="A42" s="22" t="s">
        <v>50</v>
      </c>
      <c r="B42" s="51" t="str">
        <f>IFERROR(HYPERLINK(VLOOKUP(A42,ÜRÜNLER!A:C,3,FALSE),VLOOKUP(A42,ÜRÜNLER!A:B,2,FALSE)),"")</f>
        <v>iQ700 Alttan Donduruculu Kulplu Buzdolabı, 86cm, Inox</v>
      </c>
      <c r="C42" s="8">
        <v>116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192"/>
      <c r="M42" s="11">
        <v>1</v>
      </c>
      <c r="N42" s="134">
        <f t="shared" si="0"/>
        <v>120</v>
      </c>
      <c r="O42" s="135">
        <v>71</v>
      </c>
      <c r="P42" s="10"/>
      <c r="Q42" s="119"/>
      <c r="R42" s="52">
        <v>106366.38100913838</v>
      </c>
      <c r="S42" s="18">
        <v>101048.06195868146</v>
      </c>
      <c r="T42" s="12">
        <v>105089.98443702872</v>
      </c>
      <c r="U42" s="12">
        <v>109131.90691537598</v>
      </c>
      <c r="V42" s="13">
        <v>25508.241474254683</v>
      </c>
      <c r="W42" s="13"/>
      <c r="X42" s="14"/>
    </row>
    <row r="43" spans="1:26">
      <c r="A43" s="22" t="s">
        <v>51</v>
      </c>
      <c r="B43" s="51" t="str">
        <f>IFERROR(HYPERLINK(VLOOKUP(A43,ÜRÜNLER!A:C,3,FALSE),VLOOKUP(A43,ÜRÜNLER!A:B,2,FALSE)),"")</f>
        <v>iQ700 Alttan Donduruculu Kulplu Buzdolabı, 86cm, Beyaz</v>
      </c>
      <c r="C43" s="8">
        <v>50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192"/>
      <c r="M43" s="11"/>
      <c r="N43" s="134">
        <f t="shared" si="0"/>
        <v>53</v>
      </c>
      <c r="O43" s="135">
        <v>10</v>
      </c>
      <c r="P43" s="10"/>
      <c r="Q43" s="118"/>
      <c r="R43" s="52">
        <v>98399.958748058751</v>
      </c>
      <c r="S43" s="18">
        <v>93479.960810655815</v>
      </c>
      <c r="T43" s="12">
        <v>97219.159243082046</v>
      </c>
      <c r="U43" s="12">
        <v>100958.35767550828</v>
      </c>
      <c r="V43" s="13">
        <v>20675.540143407608</v>
      </c>
      <c r="W43" s="13"/>
      <c r="X43" s="14"/>
    </row>
    <row r="44" spans="1:26" ht="29.25" customHeight="1">
      <c r="A44" s="56" t="s">
        <v>1499</v>
      </c>
      <c r="B44" s="51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192"/>
      <c r="M44" s="11"/>
      <c r="N44" s="134">
        <f>SUM(N2:N43)</f>
        <v>1029</v>
      </c>
      <c r="O44" s="135">
        <f>SUM(O2:O43)</f>
        <v>268</v>
      </c>
      <c r="P44" s="10"/>
      <c r="Q44" s="9"/>
      <c r="R44" s="74"/>
      <c r="S44" s="14"/>
      <c r="T44" s="12"/>
      <c r="U44" s="12"/>
      <c r="V44" s="13"/>
      <c r="W44" s="13"/>
      <c r="X44" s="14"/>
    </row>
    <row r="45" spans="1:26">
      <c r="A45" s="22" t="s">
        <v>52</v>
      </c>
      <c r="B45" s="51" t="str">
        <f>IFERROR(HYPERLINK(VLOOKUP(A45,ÜRÜNLER!A:C,3,FALSE),VLOOKUP(A45,ÜRÜNLER!A:B,2,FALSE)),"")</f>
        <v>iQ300 Derin Dondurucu, 146x60cm, Statik, Beyaz</v>
      </c>
      <c r="C45" s="8">
        <v>98</v>
      </c>
      <c r="D45" s="8"/>
      <c r="E45" s="9"/>
      <c r="F45" s="9"/>
      <c r="G45" s="10"/>
      <c r="H45" s="10"/>
      <c r="I45" s="11"/>
      <c r="J45" s="11">
        <v>1</v>
      </c>
      <c r="K45" s="10"/>
      <c r="L45" s="192"/>
      <c r="M45" s="11"/>
      <c r="N45" s="134">
        <f t="shared" ref="N45:N54" si="1">M45+L45+K45+J45+I45+H45+G45+F45+E45+D45+C45</f>
        <v>99</v>
      </c>
      <c r="O45" s="135"/>
      <c r="P45" s="10"/>
      <c r="Q45" s="118" t="s">
        <v>1548</v>
      </c>
      <c r="R45" s="52">
        <v>24592.564804472826</v>
      </c>
      <c r="S45" s="18">
        <v>22754</v>
      </c>
      <c r="T45" s="12">
        <v>23664.16</v>
      </c>
      <c r="U45" s="12">
        <v>24574.32</v>
      </c>
      <c r="V45" s="13">
        <v>2753.7218292662151</v>
      </c>
      <c r="W45" s="13"/>
      <c r="X45" s="14"/>
    </row>
    <row r="46" spans="1:26">
      <c r="A46" s="22" t="s">
        <v>53</v>
      </c>
      <c r="B46" s="51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192"/>
      <c r="M46" s="11"/>
      <c r="N46" s="134">
        <f t="shared" si="1"/>
        <v>2</v>
      </c>
      <c r="O46" s="135"/>
      <c r="P46" s="10"/>
      <c r="Q46" s="118" t="s">
        <v>1548</v>
      </c>
      <c r="R46" s="74" t="s">
        <v>1592</v>
      </c>
      <c r="S46" s="47">
        <v>18000</v>
      </c>
      <c r="T46" s="12">
        <v>18720</v>
      </c>
      <c r="U46" s="12">
        <v>19440</v>
      </c>
      <c r="V46" s="13"/>
      <c r="W46" s="13"/>
      <c r="X46" s="14">
        <v>250</v>
      </c>
    </row>
    <row r="47" spans="1:26">
      <c r="A47" s="140" t="s">
        <v>54</v>
      </c>
      <c r="B47" s="51" t="str">
        <f>IFERROR(HYPERLINK(VLOOKUP(A47,ÜRÜNLER!A:C,3,FALSE),VLOOKUP(A47,ÜRÜNLER!A:B,2,FALSE)),"")</f>
        <v>iQ300 Derin Dondurucu, 161x60cm, No-Frost, Beyaz</v>
      </c>
      <c r="C47" s="8">
        <v>9</v>
      </c>
      <c r="D47" s="8"/>
      <c r="E47" s="9"/>
      <c r="F47" s="9"/>
      <c r="G47" s="10"/>
      <c r="H47" s="10"/>
      <c r="I47" s="11"/>
      <c r="J47" s="11"/>
      <c r="K47" s="10"/>
      <c r="L47" s="192"/>
      <c r="M47" s="11"/>
      <c r="N47" s="134">
        <f t="shared" si="1"/>
        <v>9</v>
      </c>
      <c r="O47" s="135"/>
      <c r="P47" s="10"/>
      <c r="Q47" s="118" t="s">
        <v>1548</v>
      </c>
      <c r="R47" s="52">
        <v>37824.325084093936</v>
      </c>
      <c r="S47" s="23">
        <v>38959.054836616757</v>
      </c>
      <c r="T47" s="12">
        <v>40517.417030081429</v>
      </c>
      <c r="U47" s="12">
        <v>42075.779223546095</v>
      </c>
      <c r="V47" s="13">
        <v>4574.3250840939363</v>
      </c>
      <c r="W47" s="13"/>
      <c r="Z47" s="27" t="s">
        <v>1593</v>
      </c>
    </row>
    <row r="48" spans="1:26">
      <c r="A48" s="140" t="s">
        <v>55</v>
      </c>
      <c r="B48" s="51" t="str">
        <f>IFERROR(HYPERLINK(VLOOKUP(A48,ÜRÜNLER!A:C,3,FALSE),VLOOKUP(A48,ÜRÜNLER!A:B,2,FALSE)),"")</f>
        <v>iQ300 Derin Dondurucu, 161x60cm, Statik, Beyaz</v>
      </c>
      <c r="C48" s="8">
        <v>94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92"/>
      <c r="M48" s="11"/>
      <c r="N48" s="134">
        <f t="shared" si="1"/>
        <v>97</v>
      </c>
      <c r="O48" s="135"/>
      <c r="P48" s="10"/>
      <c r="Q48" s="118" t="s">
        <v>1548</v>
      </c>
      <c r="R48" s="52">
        <v>25437.803391758665</v>
      </c>
      <c r="S48" s="47">
        <v>25500</v>
      </c>
      <c r="T48" s="12">
        <v>26520</v>
      </c>
      <c r="U48" s="12">
        <v>27540</v>
      </c>
      <c r="V48" s="13">
        <v>2405.7785983702342</v>
      </c>
      <c r="W48" s="13"/>
      <c r="Z48" s="14"/>
    </row>
    <row r="49" spans="1:26">
      <c r="A49" s="140" t="s">
        <v>56</v>
      </c>
      <c r="B49" s="51" t="str">
        <f>IFERROR(HYPERLINK(VLOOKUP(A49,ÜRÜNLER!A:C,3,FALSE),VLOOKUP(A49,ÜRÜNLER!A:B,2,FALSE)),"")</f>
        <v>iQ300 Derin Dondurucu, 176x60cm, Statik, Inox</v>
      </c>
      <c r="C49" s="8">
        <v>83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192"/>
      <c r="M49" s="11">
        <v>1</v>
      </c>
      <c r="N49" s="134">
        <f t="shared" si="1"/>
        <v>91</v>
      </c>
      <c r="O49" s="135"/>
      <c r="P49" s="10"/>
      <c r="Q49" s="118" t="s">
        <v>1548</v>
      </c>
      <c r="R49" s="52">
        <v>31580.842639611688</v>
      </c>
      <c r="S49" s="18">
        <v>31896.651066007806</v>
      </c>
      <c r="T49" s="12">
        <v>33172.51710864812</v>
      </c>
      <c r="U49" s="12">
        <v>34448.383151288428</v>
      </c>
      <c r="V49" s="13">
        <v>2720.3054495290417</v>
      </c>
      <c r="W49" s="13"/>
      <c r="Z49" s="27" t="s">
        <v>1593</v>
      </c>
    </row>
    <row r="50" spans="1:26">
      <c r="A50" s="140" t="s">
        <v>57</v>
      </c>
      <c r="B50" s="51" t="str">
        <f>IFERROR(HYPERLINK(VLOOKUP(A50,ÜRÜNLER!A:C,3,FALSE),VLOOKUP(A50,ÜRÜNLER!A:B,2,FALSE)),"")</f>
        <v>iQ300 Derin Dondurucu, 176x60cm, Statik, Beyaz</v>
      </c>
      <c r="C50" s="8">
        <v>97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192"/>
      <c r="M50" s="11"/>
      <c r="N50" s="134">
        <f t="shared" si="1"/>
        <v>104</v>
      </c>
      <c r="O50" s="135"/>
      <c r="P50" s="10"/>
      <c r="Q50" s="118" t="s">
        <v>1548</v>
      </c>
      <c r="R50" s="52">
        <v>28432.702244249125</v>
      </c>
      <c r="S50" s="18">
        <v>28717.029266691618</v>
      </c>
      <c r="T50" s="12">
        <v>29865.710437359281</v>
      </c>
      <c r="U50" s="12">
        <v>31014.391608026948</v>
      </c>
      <c r="V50" s="13">
        <v>2443.0328227615209</v>
      </c>
      <c r="W50" s="13"/>
      <c r="Z50" s="27" t="s">
        <v>1593</v>
      </c>
    </row>
    <row r="51" spans="1:26">
      <c r="A51" s="140" t="s">
        <v>1335</v>
      </c>
      <c r="B51" s="51" t="str">
        <f>IFERROR(HYPERLINK(VLOOKUP(A51,ÜRÜNLER!A:C,3,FALSE),VLOOKUP(A51,ÜRÜNLER!A:B,2,FALSE)),"")</f>
        <v>iQ300 Derin Dondurucu, 186x60cm, No-Frost, Inox</v>
      </c>
      <c r="C51" s="8">
        <v>18</v>
      </c>
      <c r="D51" s="8"/>
      <c r="E51" s="9"/>
      <c r="F51" s="9"/>
      <c r="G51" s="10"/>
      <c r="H51" s="10"/>
      <c r="I51" s="11"/>
      <c r="J51" s="11"/>
      <c r="K51" s="10"/>
      <c r="L51" s="192"/>
      <c r="M51" s="11"/>
      <c r="N51" s="134">
        <f t="shared" si="1"/>
        <v>18</v>
      </c>
      <c r="O51" s="135">
        <v>29</v>
      </c>
      <c r="P51" s="10"/>
      <c r="Q51" s="118" t="s">
        <v>1548</v>
      </c>
      <c r="R51" s="52">
        <v>32621.398982558141</v>
      </c>
      <c r="S51" s="18">
        <v>32947.612972383722</v>
      </c>
      <c r="T51" s="12">
        <v>34265.517491279068</v>
      </c>
      <c r="U51" s="12">
        <v>35583.422010174421</v>
      </c>
      <c r="V51" s="13"/>
      <c r="W51" s="13"/>
      <c r="X51" s="14"/>
    </row>
    <row r="52" spans="1:26">
      <c r="A52" s="87" t="s">
        <v>58</v>
      </c>
      <c r="B52" s="51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192"/>
      <c r="M52" s="11"/>
      <c r="N52" s="134">
        <f t="shared" si="1"/>
        <v>1</v>
      </c>
      <c r="O52" s="135"/>
      <c r="P52" s="10"/>
      <c r="Q52" s="118" t="s">
        <v>1548</v>
      </c>
      <c r="R52" s="74" t="s">
        <v>1592</v>
      </c>
      <c r="S52" s="23">
        <v>37000</v>
      </c>
      <c r="T52" s="12">
        <v>38480</v>
      </c>
      <c r="U52" s="12">
        <v>39960</v>
      </c>
      <c r="V52" s="13"/>
      <c r="W52" s="13"/>
      <c r="X52" s="14"/>
    </row>
    <row r="53" spans="1:26">
      <c r="A53" s="140" t="s">
        <v>59</v>
      </c>
      <c r="B53" s="51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192"/>
      <c r="M53" s="11"/>
      <c r="N53" s="134">
        <f t="shared" si="1"/>
        <v>1</v>
      </c>
      <c r="O53" s="135"/>
      <c r="P53" s="10"/>
      <c r="Q53" s="118" t="s">
        <v>1548</v>
      </c>
      <c r="R53" s="74" t="s">
        <v>1592</v>
      </c>
      <c r="S53" s="19">
        <v>30000</v>
      </c>
      <c r="T53" s="12">
        <v>31200</v>
      </c>
      <c r="U53" s="12">
        <v>32400</v>
      </c>
      <c r="V53" s="13"/>
      <c r="W53" s="13"/>
      <c r="X53" s="14">
        <v>500</v>
      </c>
    </row>
    <row r="54" spans="1:26">
      <c r="A54" s="87" t="s">
        <v>60</v>
      </c>
      <c r="B54" s="51" t="str">
        <f>IFERROR(HYPERLINK(VLOOKUP(A54,ÜRÜNLER!A:C,3,FALSE),VLOOKUP(A54,ÜRÜNLER!A:B,2,FALSE)),"")</f>
        <v>iQ300 Derin Dondurucu, 176x70cm, No-Frost, Beyaz</v>
      </c>
      <c r="C54" s="8">
        <v>91</v>
      </c>
      <c r="D54" s="8"/>
      <c r="E54" s="9">
        <v>3</v>
      </c>
      <c r="F54" s="9"/>
      <c r="G54" s="10"/>
      <c r="H54" s="10"/>
      <c r="I54" s="11"/>
      <c r="J54" s="11"/>
      <c r="K54" s="10"/>
      <c r="L54" s="192"/>
      <c r="M54" s="11"/>
      <c r="N54" s="134">
        <f t="shared" si="1"/>
        <v>94</v>
      </c>
      <c r="O54" s="135"/>
      <c r="P54" s="10"/>
      <c r="Q54" s="118" t="s">
        <v>1548</v>
      </c>
      <c r="R54" s="52">
        <v>41328.219470344258</v>
      </c>
      <c r="S54" s="18">
        <v>41741.501665047697</v>
      </c>
      <c r="T54" s="12">
        <v>43411.161731649605</v>
      </c>
      <c r="U54" s="12">
        <v>45080.821798251513</v>
      </c>
      <c r="V54" s="13">
        <v>4651.7488821089646</v>
      </c>
      <c r="W54" s="13"/>
      <c r="Z54" s="27" t="s">
        <v>1593</v>
      </c>
    </row>
    <row r="55" spans="1:26" ht="30" customHeight="1">
      <c r="A55" s="56" t="s">
        <v>1500</v>
      </c>
      <c r="B55" s="51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192"/>
      <c r="M55" s="11"/>
      <c r="N55" s="134">
        <f>SUM(N45:N54)</f>
        <v>516</v>
      </c>
      <c r="O55" s="135"/>
      <c r="P55" s="10"/>
      <c r="Q55" s="9"/>
      <c r="R55" s="74"/>
      <c r="S55" s="14"/>
      <c r="T55" s="12"/>
      <c r="U55" s="12"/>
      <c r="V55" s="13"/>
      <c r="W55" s="13"/>
      <c r="X55" s="14"/>
    </row>
    <row r="56" spans="1:26">
      <c r="A56" s="22" t="s">
        <v>61</v>
      </c>
      <c r="B56" s="51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192"/>
      <c r="M56" s="11"/>
      <c r="N56" s="134">
        <f t="shared" ref="N56:N68" si="2">M56+L56+K56+J56+I56+H56+G56+F56+E56+D56+C56</f>
        <v>5</v>
      </c>
      <c r="O56" s="135"/>
      <c r="P56" s="10"/>
      <c r="Q56" s="118"/>
      <c r="R56" s="52">
        <v>320728.45808950713</v>
      </c>
      <c r="S56" s="18">
        <v>272619.18937608105</v>
      </c>
      <c r="T56" s="12">
        <v>283523.9569511243</v>
      </c>
      <c r="U56" s="12">
        <v>294428.72452616756</v>
      </c>
      <c r="V56" s="13"/>
      <c r="W56" s="13"/>
      <c r="X56" s="14">
        <v>500</v>
      </c>
    </row>
    <row r="57" spans="1:26">
      <c r="A57" s="22" t="s">
        <v>62</v>
      </c>
      <c r="B57" s="51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192"/>
      <c r="M57" s="11"/>
      <c r="N57" s="134">
        <f t="shared" si="2"/>
        <v>4</v>
      </c>
      <c r="O57" s="135"/>
      <c r="P57" s="10"/>
      <c r="Q57" s="118"/>
      <c r="R57" s="74" t="s">
        <v>1592</v>
      </c>
      <c r="S57" s="18">
        <v>290000</v>
      </c>
      <c r="T57" s="12">
        <v>301600</v>
      </c>
      <c r="U57" s="12">
        <v>313200</v>
      </c>
      <c r="V57" s="13"/>
      <c r="W57" s="13"/>
      <c r="X57" s="14">
        <v>500</v>
      </c>
    </row>
    <row r="58" spans="1:26">
      <c r="A58" s="142" t="s">
        <v>63</v>
      </c>
      <c r="B58" s="51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192"/>
      <c r="M58" s="11"/>
      <c r="N58" s="134">
        <f t="shared" si="2"/>
        <v>9</v>
      </c>
      <c r="O58" s="135"/>
      <c r="P58" s="10"/>
      <c r="Q58" s="118"/>
      <c r="R58" s="74" t="s">
        <v>1592</v>
      </c>
      <c r="S58" s="18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6">
      <c r="A59" s="22" t="s">
        <v>64</v>
      </c>
      <c r="B59" s="51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192"/>
      <c r="M59" s="11"/>
      <c r="N59" s="134">
        <f t="shared" si="2"/>
        <v>3</v>
      </c>
      <c r="O59" s="135"/>
      <c r="P59" s="10"/>
      <c r="Q59" s="118"/>
      <c r="R59" s="74" t="s">
        <v>1592</v>
      </c>
      <c r="S59" s="18">
        <v>325000</v>
      </c>
      <c r="T59" s="12">
        <v>338000</v>
      </c>
      <c r="U59" s="12">
        <v>351000</v>
      </c>
      <c r="V59" s="13"/>
      <c r="W59" s="13"/>
      <c r="X59" s="106">
        <v>1000</v>
      </c>
    </row>
    <row r="60" spans="1:26">
      <c r="A60" s="142" t="s">
        <v>65</v>
      </c>
      <c r="B60" s="51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192"/>
      <c r="M60" s="11"/>
      <c r="N60" s="134">
        <f t="shared" si="2"/>
        <v>3</v>
      </c>
      <c r="O60" s="135"/>
      <c r="P60" s="10"/>
      <c r="Q60" s="118"/>
      <c r="R60" s="74" t="s">
        <v>1592</v>
      </c>
      <c r="S60" s="19">
        <v>255000</v>
      </c>
      <c r="T60" s="12">
        <v>265200</v>
      </c>
      <c r="U60" s="12">
        <v>275400</v>
      </c>
      <c r="V60" s="13"/>
      <c r="W60" s="13"/>
      <c r="X60" s="106">
        <v>1000</v>
      </c>
    </row>
    <row r="61" spans="1:26">
      <c r="A61" s="142" t="s">
        <v>66</v>
      </c>
      <c r="B61" s="51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192"/>
      <c r="M61" s="11"/>
      <c r="N61" s="134">
        <f t="shared" si="2"/>
        <v>1</v>
      </c>
      <c r="O61" s="135"/>
      <c r="P61" s="10"/>
      <c r="Q61" s="118"/>
      <c r="R61" s="52">
        <v>323156.50178004295</v>
      </c>
      <c r="S61" s="53">
        <v>313461.80672664166</v>
      </c>
      <c r="T61" s="12">
        <v>326000.27899570734</v>
      </c>
      <c r="U61" s="12">
        <v>338538.75126477302</v>
      </c>
      <c r="V61" s="13"/>
      <c r="W61" s="13"/>
      <c r="X61" s="14"/>
    </row>
    <row r="62" spans="1:26">
      <c r="A62" s="142" t="s">
        <v>67</v>
      </c>
      <c r="B62" s="51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92"/>
      <c r="M62" s="11"/>
      <c r="N62" s="134">
        <f t="shared" si="2"/>
        <v>1</v>
      </c>
      <c r="O62" s="135"/>
      <c r="P62" s="10"/>
      <c r="Q62" s="118"/>
      <c r="R62" s="52">
        <v>57513.55902022824</v>
      </c>
      <c r="S62" s="53">
        <v>55788.152249621395</v>
      </c>
      <c r="T62" s="12">
        <v>58019.678339606253</v>
      </c>
      <c r="U62" s="12">
        <v>60251.204429591104</v>
      </c>
      <c r="V62" s="13"/>
      <c r="W62" s="13"/>
      <c r="X62" s="14"/>
    </row>
    <row r="63" spans="1:26">
      <c r="A63" s="142" t="s">
        <v>68</v>
      </c>
      <c r="B63" s="51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192"/>
      <c r="M63" s="11">
        <v>1</v>
      </c>
      <c r="N63" s="134">
        <f t="shared" si="2"/>
        <v>6</v>
      </c>
      <c r="O63" s="135"/>
      <c r="P63" s="10"/>
      <c r="Q63" s="118"/>
      <c r="R63" s="52">
        <v>83550.385800128017</v>
      </c>
      <c r="S63" s="53">
        <v>81043.874226124171</v>
      </c>
      <c r="T63" s="12">
        <v>84285.629195169138</v>
      </c>
      <c r="U63" s="12">
        <v>87527.384164214105</v>
      </c>
      <c r="V63" s="13"/>
      <c r="W63" s="13"/>
      <c r="X63" s="14"/>
    </row>
    <row r="64" spans="1:26">
      <c r="A64" s="143" t="s">
        <v>69</v>
      </c>
      <c r="B64" s="51" t="str">
        <f>IFERROR(HYPERLINK(VLOOKUP(A64,ÜRÜNLER!A:C,3,FALSE),VLOOKUP(A64,ÜRÜNLER!A:B,2,FALSE)),"")</f>
        <v>iQ500 Derin Donduruculu Ankastre Buzdolabı, 177.2x55.8cm, softClosing Düz Menteşe</v>
      </c>
      <c r="C64" s="8">
        <v>12</v>
      </c>
      <c r="D64" s="8"/>
      <c r="E64" s="9"/>
      <c r="F64" s="9"/>
      <c r="G64" s="10"/>
      <c r="H64" s="10"/>
      <c r="I64" s="11"/>
      <c r="J64" s="11"/>
      <c r="K64" s="10"/>
      <c r="L64" s="192"/>
      <c r="M64" s="11"/>
      <c r="N64" s="134">
        <f t="shared" si="2"/>
        <v>12</v>
      </c>
      <c r="O64" s="135">
        <v>1</v>
      </c>
      <c r="P64" s="10"/>
      <c r="Q64" s="118"/>
      <c r="R64" s="52">
        <v>90559.003627366925</v>
      </c>
      <c r="S64" s="53">
        <v>87842.233518545923</v>
      </c>
      <c r="T64" s="12">
        <v>91355.922859287763</v>
      </c>
      <c r="U64" s="12">
        <v>94869.612200029602</v>
      </c>
      <c r="V64" s="13"/>
      <c r="W64" s="13"/>
      <c r="X64" s="14"/>
    </row>
    <row r="65" spans="1:26">
      <c r="A65" s="142" t="s">
        <v>70</v>
      </c>
      <c r="B65" s="51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/>
      <c r="I65" s="11"/>
      <c r="J65" s="11"/>
      <c r="K65" s="10"/>
      <c r="L65" s="192"/>
      <c r="M65" s="11"/>
      <c r="N65" s="134">
        <f t="shared" si="2"/>
        <v>1</v>
      </c>
      <c r="O65" s="135"/>
      <c r="P65" s="10"/>
      <c r="Q65" s="118"/>
      <c r="R65" s="74" t="s">
        <v>1592</v>
      </c>
      <c r="S65" s="19">
        <v>72499</v>
      </c>
      <c r="T65" s="12">
        <v>75398.960000000006</v>
      </c>
      <c r="U65" s="12">
        <v>78298.92</v>
      </c>
      <c r="V65" s="13"/>
      <c r="W65" s="13"/>
      <c r="X65" s="14">
        <v>500</v>
      </c>
    </row>
    <row r="66" spans="1:26">
      <c r="A66" s="22" t="s">
        <v>71</v>
      </c>
      <c r="B66" s="51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192"/>
      <c r="M66" s="11"/>
      <c r="N66" s="134">
        <f t="shared" si="2"/>
        <v>16</v>
      </c>
      <c r="O66" s="135"/>
      <c r="P66" s="10"/>
      <c r="Q66" s="118"/>
      <c r="R66" s="52">
        <v>86644.862421618411</v>
      </c>
      <c r="S66" s="53">
        <v>84045.516548969856</v>
      </c>
      <c r="T66" s="12">
        <v>87407.337210928643</v>
      </c>
      <c r="U66" s="12">
        <v>90769.157872887445</v>
      </c>
      <c r="V66" s="13"/>
      <c r="W66" s="13"/>
      <c r="X66" s="14"/>
    </row>
    <row r="67" spans="1:26">
      <c r="A67" s="142" t="s">
        <v>72</v>
      </c>
      <c r="B67" s="51" t="str">
        <f>IFERROR(HYPERLINK(VLOOKUP(A67,ÜRÜNLER!A:C,3,FALSE),VLOOKUP(A67,ÜRÜNLER!A:B,2,FALSE)),"")</f>
        <v>iQ500 Alttan Donduruculu Ankastre Buzdolabı, 193.5x70.8cm, softClosing Düz Menteşe</v>
      </c>
      <c r="C67" s="8">
        <v>7</v>
      </c>
      <c r="D67" s="8"/>
      <c r="E67" s="9"/>
      <c r="F67" s="9"/>
      <c r="G67" s="10"/>
      <c r="H67" s="10"/>
      <c r="I67" s="11"/>
      <c r="J67" s="11"/>
      <c r="K67" s="10"/>
      <c r="L67" s="192"/>
      <c r="M67" s="11"/>
      <c r="N67" s="134">
        <f t="shared" si="2"/>
        <v>7</v>
      </c>
      <c r="O67" s="135">
        <v>1</v>
      </c>
      <c r="P67" s="10"/>
      <c r="Q67" s="118"/>
      <c r="R67" s="52">
        <v>103417.85300576025</v>
      </c>
      <c r="S67" s="53">
        <v>100315.31741558744</v>
      </c>
      <c r="T67" s="12">
        <v>104327.93011221095</v>
      </c>
      <c r="U67" s="12">
        <v>108340.54280883443</v>
      </c>
      <c r="V67" s="13"/>
      <c r="W67" s="13"/>
      <c r="X67" s="14"/>
    </row>
    <row r="68" spans="1:26">
      <c r="A68" s="142" t="s">
        <v>1489</v>
      </c>
      <c r="B68" s="51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192"/>
      <c r="M68" s="11"/>
      <c r="N68" s="134">
        <f t="shared" si="2"/>
        <v>2</v>
      </c>
      <c r="O68" s="135"/>
      <c r="P68" s="10"/>
      <c r="Q68" s="118"/>
      <c r="R68" s="52">
        <v>124921.81626593873</v>
      </c>
      <c r="S68" s="18">
        <v>112429.63463934486</v>
      </c>
      <c r="T68" s="12">
        <v>116926.82002491866</v>
      </c>
      <c r="U68" s="12">
        <v>121424.00541049245</v>
      </c>
      <c r="V68" s="13"/>
      <c r="W68" s="13"/>
      <c r="X68" s="14"/>
    </row>
    <row r="69" spans="1:26" s="26" customFormat="1" ht="30">
      <c r="A69" s="56" t="s">
        <v>73</v>
      </c>
      <c r="B69" s="51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192"/>
      <c r="M69" s="11"/>
      <c r="N69" s="134">
        <f>SUM(N56:N68)</f>
        <v>70</v>
      </c>
      <c r="O69" s="135"/>
      <c r="P69" s="10"/>
      <c r="Q69" s="9"/>
      <c r="R69" s="74"/>
      <c r="S69" s="74"/>
      <c r="T69" s="74"/>
      <c r="U69" s="12"/>
      <c r="V69" s="13"/>
      <c r="W69" s="13"/>
      <c r="X69" s="25"/>
    </row>
    <row r="70" spans="1:26">
      <c r="A70" s="22" t="s">
        <v>76</v>
      </c>
      <c r="B70" s="51" t="str">
        <f>IFERROR(HYPERLINK(VLOOKUP(A70,ÜRÜNLER!A:C,3,FALSE),VLOOKUP(A70,ÜRÜNLER!A:B,2,FALSE)),"")</f>
        <v>iQ300 Çamaşır Makinesi, 9kg/1200devir, Beyaz</v>
      </c>
      <c r="C70" s="8">
        <v>61</v>
      </c>
      <c r="D70" s="8"/>
      <c r="E70" s="9"/>
      <c r="F70" s="9">
        <v>6</v>
      </c>
      <c r="G70" s="10"/>
      <c r="H70" s="10"/>
      <c r="I70" s="11">
        <v>1</v>
      </c>
      <c r="J70" s="11">
        <v>1</v>
      </c>
      <c r="K70" s="10"/>
      <c r="L70" s="192"/>
      <c r="M70" s="11">
        <v>1</v>
      </c>
      <c r="N70" s="134">
        <f t="shared" ref="N70:N98" si="3">M70+L70+K70+J70+I70+H70+G70+F70+E70+D70+C70</f>
        <v>70</v>
      </c>
      <c r="O70" s="135"/>
      <c r="P70" s="10"/>
      <c r="Q70" s="119"/>
      <c r="R70" s="52">
        <v>30359.538520147162</v>
      </c>
      <c r="S70" s="53">
        <v>29448.752364542746</v>
      </c>
      <c r="T70" s="12">
        <v>30626.702459124455</v>
      </c>
      <c r="U70" s="12">
        <v>31804.652553706168</v>
      </c>
      <c r="V70" s="13">
        <v>1374.6547992169253</v>
      </c>
      <c r="W70" s="13"/>
      <c r="X70" s="27"/>
    </row>
    <row r="71" spans="1:26">
      <c r="A71" s="22" t="s">
        <v>77</v>
      </c>
      <c r="B71" s="51" t="str">
        <f>IFERROR(HYPERLINK(VLOOKUP(A71,ÜRÜNLER!A:C,3,FALSE),VLOOKUP(A71,ÜRÜNLER!A:B,2,FALSE)),"")</f>
        <v>iQ500 Çamaşır Makinesi, 9kg/1200devir, Beyaz</v>
      </c>
      <c r="C71" s="8">
        <v>21</v>
      </c>
      <c r="D71" s="8"/>
      <c r="E71" s="9"/>
      <c r="F71" s="9"/>
      <c r="G71" s="10"/>
      <c r="H71" s="10"/>
      <c r="I71" s="11">
        <v>1</v>
      </c>
      <c r="J71" s="11"/>
      <c r="K71" s="10">
        <v>1</v>
      </c>
      <c r="L71" s="192"/>
      <c r="M71" s="11"/>
      <c r="N71" s="134">
        <f t="shared" si="3"/>
        <v>23</v>
      </c>
      <c r="O71" s="135"/>
      <c r="P71" s="10"/>
      <c r="Q71" s="118"/>
      <c r="R71" s="52">
        <v>37224.919473005168</v>
      </c>
      <c r="S71" s="53">
        <v>36108.171888815014</v>
      </c>
      <c r="T71" s="12">
        <v>37552.498764367614</v>
      </c>
      <c r="U71" s="12">
        <v>38996.825639920215</v>
      </c>
      <c r="V71" s="13">
        <v>1614.4543567260919</v>
      </c>
      <c r="W71" s="13"/>
      <c r="Z71" s="27" t="s">
        <v>1593</v>
      </c>
    </row>
    <row r="72" spans="1:26">
      <c r="A72" s="88" t="s">
        <v>78</v>
      </c>
      <c r="B72" s="51" t="str">
        <f>IFERROR(HYPERLINK(VLOOKUP(A72,ÜRÜNLER!A:C,3,FALSE),VLOOKUP(A72,ÜRÜNLER!A:B,2,FALSE)),"")</f>
        <v>iQ500 Çamaşır Makinesi, 9kg/1200devir, Gümüş</v>
      </c>
      <c r="C72" s="8">
        <v>11</v>
      </c>
      <c r="D72" s="8"/>
      <c r="E72" s="9"/>
      <c r="F72" s="9"/>
      <c r="G72" s="10"/>
      <c r="H72" s="10"/>
      <c r="I72" s="11">
        <v>1</v>
      </c>
      <c r="J72" s="11">
        <v>1</v>
      </c>
      <c r="K72" s="10"/>
      <c r="L72" s="192"/>
      <c r="M72" s="11">
        <v>1</v>
      </c>
      <c r="N72" s="134">
        <f t="shared" si="3"/>
        <v>14</v>
      </c>
      <c r="O72" s="135">
        <v>1</v>
      </c>
      <c r="P72" s="10"/>
      <c r="Q72" s="119"/>
      <c r="R72" s="52">
        <v>39866.402307730656</v>
      </c>
      <c r="S72" s="53">
        <v>38670.410238498735</v>
      </c>
      <c r="T72" s="19">
        <v>40217.226648038682</v>
      </c>
      <c r="U72" s="12">
        <v>41764.04305757863</v>
      </c>
      <c r="V72" s="13">
        <v>2424.5418426143806</v>
      </c>
      <c r="W72" s="13"/>
      <c r="X72" s="14"/>
    </row>
    <row r="73" spans="1:26">
      <c r="A73" s="22" t="s">
        <v>79</v>
      </c>
      <c r="B73" s="51" t="str">
        <f>IFERROR(HYPERLINK(VLOOKUP(A73,ÜRÜNLER!A:C,3,FALSE),VLOOKUP(A73,ÜRÜNLER!A:B,2,FALSE)),"")</f>
        <v>iQ300 Çamaşır Makinesi, 9kg/1400devir, Beyaz</v>
      </c>
      <c r="C73" s="8"/>
      <c r="D73" s="8"/>
      <c r="E73" s="9"/>
      <c r="F73" s="9"/>
      <c r="G73" s="10"/>
      <c r="H73" s="10"/>
      <c r="I73" s="11">
        <v>1</v>
      </c>
      <c r="J73" s="11"/>
      <c r="K73" s="10"/>
      <c r="L73" s="192"/>
      <c r="M73" s="11"/>
      <c r="N73" s="134">
        <f t="shared" si="3"/>
        <v>1</v>
      </c>
      <c r="O73" s="135"/>
      <c r="P73" s="10"/>
      <c r="Q73" s="118"/>
      <c r="R73" s="74" t="s">
        <v>1592</v>
      </c>
      <c r="S73" s="15">
        <v>32000</v>
      </c>
      <c r="T73" s="12">
        <v>33280</v>
      </c>
      <c r="U73" s="12">
        <v>34560</v>
      </c>
      <c r="V73" s="13"/>
      <c r="W73" s="13"/>
      <c r="X73" s="106">
        <v>500</v>
      </c>
    </row>
    <row r="74" spans="1:26">
      <c r="A74" s="139" t="s">
        <v>80</v>
      </c>
      <c r="B74" s="51" t="str">
        <f>IFERROR(HYPERLINK(VLOOKUP(A74,ÜRÜNLER!A:C,3,FALSE),VLOOKUP(A74,ÜRÜNLER!A:B,2,FALSE)),"")</f>
        <v>iQ300 Çamaşır Makinesi, 9kg/1400devir, Antrasit/Dark</v>
      </c>
      <c r="C74" s="8"/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92"/>
      <c r="M74" s="11">
        <v>1</v>
      </c>
      <c r="N74" s="134">
        <f t="shared" si="3"/>
        <v>3</v>
      </c>
      <c r="O74" s="135"/>
      <c r="P74" s="10"/>
      <c r="Q74" s="118"/>
      <c r="R74" s="74" t="s">
        <v>1592</v>
      </c>
      <c r="S74" s="191">
        <v>33000</v>
      </c>
      <c r="T74" s="193">
        <v>34320</v>
      </c>
      <c r="U74" s="193">
        <v>35640</v>
      </c>
      <c r="V74" s="125"/>
      <c r="W74" s="18">
        <v>4166.6400000000003</v>
      </c>
      <c r="X74" s="106">
        <v>500</v>
      </c>
    </row>
    <row r="75" spans="1:26">
      <c r="A75" s="22" t="s">
        <v>81</v>
      </c>
      <c r="B75" s="51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192"/>
      <c r="M75" s="11">
        <v>1</v>
      </c>
      <c r="N75" s="134">
        <f t="shared" si="3"/>
        <v>3</v>
      </c>
      <c r="O75" s="135">
        <v>2</v>
      </c>
      <c r="P75" s="10"/>
      <c r="Q75" s="118"/>
      <c r="R75" s="52">
        <v>48454.851287338432</v>
      </c>
      <c r="S75" s="25">
        <v>48454.851287338432</v>
      </c>
      <c r="T75" s="12">
        <v>50393.045338831966</v>
      </c>
      <c r="U75" s="12">
        <v>52331.239390325507</v>
      </c>
      <c r="V75" s="13"/>
      <c r="W75" s="13"/>
      <c r="X75" s="14"/>
    </row>
    <row r="76" spans="1:26">
      <c r="A76" s="22" t="s">
        <v>1475</v>
      </c>
      <c r="B76" s="51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92"/>
      <c r="M76" s="11"/>
      <c r="N76" s="134">
        <f t="shared" si="3"/>
        <v>1</v>
      </c>
      <c r="O76" s="135"/>
      <c r="P76" s="10"/>
      <c r="Q76" s="118"/>
      <c r="R76" s="74" t="s">
        <v>1592</v>
      </c>
      <c r="S76" s="53">
        <v>46000</v>
      </c>
      <c r="T76" s="12">
        <v>47840</v>
      </c>
      <c r="U76" s="12">
        <v>49680</v>
      </c>
      <c r="V76" s="13"/>
      <c r="W76" s="13"/>
      <c r="X76" s="14"/>
    </row>
    <row r="77" spans="1:26">
      <c r="A77" s="22" t="s">
        <v>82</v>
      </c>
      <c r="B77" s="51" t="str">
        <f>IFERROR(HYPERLINK(VLOOKUP(A77,ÜRÜNLER!A:C,3,FALSE),VLOOKUP(A77,ÜRÜNLER!A:B,2,FALSE)),"")</f>
        <v>iQ500 Çamaşır Makinesi, 9kg/1400devir, Beyaz</v>
      </c>
      <c r="C77" s="8">
        <v>15</v>
      </c>
      <c r="D77" s="8"/>
      <c r="E77" s="9"/>
      <c r="F77" s="9"/>
      <c r="G77" s="10"/>
      <c r="H77" s="10"/>
      <c r="I77" s="11"/>
      <c r="J77" s="11">
        <v>1</v>
      </c>
      <c r="K77" s="10"/>
      <c r="L77" s="192"/>
      <c r="M77" s="11"/>
      <c r="N77" s="134">
        <f t="shared" si="3"/>
        <v>16</v>
      </c>
      <c r="O77" s="135"/>
      <c r="P77" s="10"/>
      <c r="Q77" s="118"/>
      <c r="R77" s="52">
        <v>40815.965271312692</v>
      </c>
      <c r="S77" s="53">
        <v>39591.486313173315</v>
      </c>
      <c r="T77" s="12">
        <v>41175.145765700247</v>
      </c>
      <c r="U77" s="12">
        <v>42758.805218227179</v>
      </c>
      <c r="V77" s="13">
        <v>3252.0117829406008</v>
      </c>
      <c r="W77" s="13"/>
      <c r="X77" s="14"/>
    </row>
    <row r="78" spans="1:26" s="28" customFormat="1">
      <c r="A78" s="22" t="s">
        <v>83</v>
      </c>
      <c r="B78" s="51" t="str">
        <f>IFERROR(HYPERLINK(VLOOKUP(A78,ÜRÜNLER!A:C,3,FALSE),VLOOKUP(A78,ÜRÜNLER!A:B,2,FALSE)),"")</f>
        <v>iQ300 Çamaşır Makinesi, 10kg/1200devir, Beyaz</v>
      </c>
      <c r="C78" s="8">
        <v>20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92"/>
      <c r="M78" s="11"/>
      <c r="N78" s="134">
        <f t="shared" si="3"/>
        <v>23</v>
      </c>
      <c r="O78" s="135"/>
      <c r="P78" s="10"/>
      <c r="Q78" s="118"/>
      <c r="R78" s="74" t="s">
        <v>1592</v>
      </c>
      <c r="S78" s="47">
        <v>35883</v>
      </c>
      <c r="T78" s="12">
        <v>37318.32</v>
      </c>
      <c r="U78" s="12">
        <v>38753.64</v>
      </c>
      <c r="V78" s="76">
        <v>5883.4143158993975</v>
      </c>
      <c r="W78" s="13"/>
      <c r="X78" s="27"/>
      <c r="Y78"/>
    </row>
    <row r="79" spans="1:26" s="28" customFormat="1">
      <c r="A79" s="22" t="s">
        <v>1440</v>
      </c>
      <c r="B79" s="51" t="str">
        <f>IFERROR(HYPERLINK(VLOOKUP(A79,ÜRÜNLER!A:C,3,FALSE),VLOOKUP(A79,ÜRÜNLER!A:B,2,FALSE)),"")</f>
        <v>iQ300 Çamaşır Makinesi, 10kg/1200devir, Beyaz</v>
      </c>
      <c r="C79" s="8">
        <v>28</v>
      </c>
      <c r="D79" s="8"/>
      <c r="E79" s="9"/>
      <c r="F79" s="9"/>
      <c r="G79" s="10"/>
      <c r="H79" s="10"/>
      <c r="I79" s="11"/>
      <c r="J79" s="11"/>
      <c r="K79" s="10"/>
      <c r="L79" s="192"/>
      <c r="M79" s="11"/>
      <c r="N79" s="134">
        <f t="shared" si="3"/>
        <v>28</v>
      </c>
      <c r="O79" s="135"/>
      <c r="P79" s="10"/>
      <c r="Q79" s="118"/>
      <c r="R79" s="52">
        <v>34090.952564120402</v>
      </c>
      <c r="S79" s="53">
        <v>33068.22398719679</v>
      </c>
      <c r="T79" s="12">
        <v>34390.952946684665</v>
      </c>
      <c r="U79" s="12">
        <v>35713.681906172533</v>
      </c>
      <c r="V79" s="13">
        <v>3575.836285050631</v>
      </c>
      <c r="W79" s="13"/>
      <c r="X79" s="27"/>
      <c r="Y79"/>
    </row>
    <row r="80" spans="1:26" s="28" customFormat="1">
      <c r="A80" s="88" t="s">
        <v>1545</v>
      </c>
      <c r="B80" s="51" t="str">
        <f>IFERROR(HYPERLINK(VLOOKUP(A80,ÜRÜNLER!A:C,3,FALSE),VLOOKUP(A80,ÜRÜNLER!A:B,2,FALSE)),"")</f>
        <v>iQ500 Çamaşır Makinesi, 10kg/1200devir, Gümüş</v>
      </c>
      <c r="C80" s="8">
        <v>6</v>
      </c>
      <c r="D80" s="8"/>
      <c r="E80" s="9"/>
      <c r="F80" s="9"/>
      <c r="G80" s="10"/>
      <c r="H80" s="10"/>
      <c r="I80" s="11"/>
      <c r="J80" s="11"/>
      <c r="K80" s="10"/>
      <c r="L80" s="192"/>
      <c r="M80" s="11"/>
      <c r="N80" s="134">
        <f t="shared" si="3"/>
        <v>6</v>
      </c>
      <c r="O80" s="135"/>
      <c r="P80" s="10"/>
      <c r="Q80" s="118"/>
      <c r="R80" s="52">
        <v>40527.282115833987</v>
      </c>
      <c r="S80" s="25">
        <v>38597</v>
      </c>
      <c r="T80" s="12">
        <v>40140.879999999997</v>
      </c>
      <c r="U80" s="12">
        <v>41684.76</v>
      </c>
      <c r="V80" s="13">
        <v>1058.6774646711929</v>
      </c>
      <c r="W80" s="13"/>
      <c r="X80" s="27"/>
      <c r="Y80"/>
    </row>
    <row r="81" spans="1:26">
      <c r="A81" s="140" t="s">
        <v>84</v>
      </c>
      <c r="B81" s="51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192"/>
      <c r="M81" s="11"/>
      <c r="N81" s="134">
        <f t="shared" si="3"/>
        <v>1</v>
      </c>
      <c r="O81" s="135"/>
      <c r="P81" s="10"/>
      <c r="Q81" s="118"/>
      <c r="R81" s="74" t="s">
        <v>1592</v>
      </c>
      <c r="S81" s="19">
        <v>27000</v>
      </c>
      <c r="T81" s="12">
        <v>28080</v>
      </c>
      <c r="U81" s="12">
        <v>29160</v>
      </c>
      <c r="V81" s="13"/>
      <c r="W81" s="13"/>
      <c r="X81" s="106">
        <v>500</v>
      </c>
    </row>
    <row r="82" spans="1:26">
      <c r="A82" s="140" t="s">
        <v>85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192"/>
      <c r="M82" s="11">
        <v>1</v>
      </c>
      <c r="N82" s="134">
        <f t="shared" si="3"/>
        <v>6</v>
      </c>
      <c r="O82" s="135"/>
      <c r="P82" s="10"/>
      <c r="Q82" s="118"/>
      <c r="R82" s="74" t="s">
        <v>1592</v>
      </c>
      <c r="S82" s="15">
        <v>35000</v>
      </c>
      <c r="T82" s="12">
        <v>36400</v>
      </c>
      <c r="U82" s="12">
        <v>37800</v>
      </c>
      <c r="V82" s="13"/>
      <c r="W82" s="13"/>
      <c r="X82" s="106">
        <v>500</v>
      </c>
    </row>
    <row r="83" spans="1:26">
      <c r="A83" s="88" t="s">
        <v>86</v>
      </c>
      <c r="B83" s="51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>
        <v>1</v>
      </c>
      <c r="J83" s="11"/>
      <c r="K83" s="10"/>
      <c r="L83" s="192"/>
      <c r="M83" s="11"/>
      <c r="N83" s="134">
        <f t="shared" si="3"/>
        <v>2</v>
      </c>
      <c r="O83" s="135"/>
      <c r="P83" s="10"/>
      <c r="Q83" s="118"/>
      <c r="R83" s="74" t="s">
        <v>1592</v>
      </c>
      <c r="S83" s="15">
        <v>35000</v>
      </c>
      <c r="T83" s="12">
        <v>36400</v>
      </c>
      <c r="U83" s="12">
        <v>37800</v>
      </c>
      <c r="V83" s="13"/>
      <c r="W83" s="18">
        <v>4049.59</v>
      </c>
      <c r="X83" s="106">
        <v>500</v>
      </c>
    </row>
    <row r="84" spans="1:26">
      <c r="A84" s="89" t="s">
        <v>87</v>
      </c>
      <c r="B84" s="51" t="str">
        <f>IFERROR(HYPERLINK(VLOOKUP(A84,ÜRÜNLER!A:C,3,FALSE),VLOOKUP(A84,ÜRÜNLER!A:B,2,FALSE)),"")</f>
        <v>iQ500 Çamaşır Makinesi, 10kg/1200devir, Beyaz</v>
      </c>
      <c r="C84" s="8">
        <v>15</v>
      </c>
      <c r="D84" s="8"/>
      <c r="E84" s="9"/>
      <c r="F84" s="9"/>
      <c r="G84" s="10"/>
      <c r="H84" s="10"/>
      <c r="I84" s="11">
        <v>1</v>
      </c>
      <c r="J84" s="11"/>
      <c r="K84" s="10"/>
      <c r="L84" s="192"/>
      <c r="M84" s="11"/>
      <c r="N84" s="134">
        <f t="shared" si="3"/>
        <v>16</v>
      </c>
      <c r="O84" s="135"/>
      <c r="P84" s="10"/>
      <c r="Q84" s="118"/>
      <c r="R84" s="74" t="s">
        <v>1592</v>
      </c>
      <c r="S84" s="18">
        <v>37000</v>
      </c>
      <c r="T84" s="12">
        <v>38480</v>
      </c>
      <c r="U84" s="12">
        <v>39960</v>
      </c>
      <c r="V84" s="13">
        <v>602.68935310101369</v>
      </c>
      <c r="W84" s="13"/>
      <c r="X84" s="14"/>
    </row>
    <row r="85" spans="1:26">
      <c r="A85" s="88" t="s">
        <v>88</v>
      </c>
      <c r="B85" s="51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92"/>
      <c r="M85" s="11"/>
      <c r="N85" s="134">
        <f t="shared" si="3"/>
        <v>1</v>
      </c>
      <c r="O85" s="135"/>
      <c r="P85" s="10"/>
      <c r="Q85" s="118"/>
      <c r="R85" s="74" t="s">
        <v>1592</v>
      </c>
      <c r="S85" s="18">
        <v>39000</v>
      </c>
      <c r="T85" s="12">
        <v>40560</v>
      </c>
      <c r="U85" s="12">
        <v>42120</v>
      </c>
      <c r="V85" s="13">
        <v>1309.4864005058337</v>
      </c>
      <c r="W85" s="13"/>
      <c r="X85" s="14"/>
    </row>
    <row r="86" spans="1:26">
      <c r="A86" s="22" t="s">
        <v>89</v>
      </c>
      <c r="B86" s="51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>
        <v>1</v>
      </c>
      <c r="J86" s="11"/>
      <c r="K86" s="10">
        <v>1</v>
      </c>
      <c r="L86" s="192"/>
      <c r="M86" s="11"/>
      <c r="N86" s="134">
        <f t="shared" si="3"/>
        <v>2</v>
      </c>
      <c r="O86" s="135"/>
      <c r="P86" s="10"/>
      <c r="Q86" s="118"/>
      <c r="R86" s="74" t="s">
        <v>1592</v>
      </c>
      <c r="S86" s="15">
        <v>35000</v>
      </c>
      <c r="T86" s="12">
        <v>36400</v>
      </c>
      <c r="U86" s="12">
        <v>37800</v>
      </c>
      <c r="V86" s="13"/>
      <c r="W86" s="13"/>
      <c r="X86" s="14">
        <v>250</v>
      </c>
    </row>
    <row r="87" spans="1:26">
      <c r="A87" s="22" t="s">
        <v>90</v>
      </c>
      <c r="B87" s="51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2</v>
      </c>
      <c r="J87" s="11">
        <v>1</v>
      </c>
      <c r="K87" s="10">
        <v>3</v>
      </c>
      <c r="L87" s="192"/>
      <c r="M87" s="11"/>
      <c r="N87" s="134">
        <f t="shared" si="3"/>
        <v>6</v>
      </c>
      <c r="O87" s="135">
        <v>1</v>
      </c>
      <c r="P87" s="10">
        <v>4</v>
      </c>
      <c r="Q87" s="118"/>
      <c r="R87" s="74" t="s">
        <v>1592</v>
      </c>
      <c r="S87" s="18">
        <v>75000</v>
      </c>
      <c r="T87" s="12">
        <v>78000</v>
      </c>
      <c r="U87" s="12">
        <v>81000</v>
      </c>
      <c r="V87" s="13"/>
      <c r="W87" s="13"/>
      <c r="Z87" s="14" t="s">
        <v>1595</v>
      </c>
    </row>
    <row r="88" spans="1:26">
      <c r="A88" s="88" t="s">
        <v>91</v>
      </c>
      <c r="B88" s="51" t="str">
        <f>IFERROR(HYPERLINK(VLOOKUP(A88,ÜRÜNLER!A:C,3,FALSE),VLOOKUP(A88,ÜRÜNLER!A:B,2,FALSE)),"")</f>
        <v>iQ700 Çamaşır Makinesi, 10kg/1400devir, i-dos, Gümüş</v>
      </c>
      <c r="C88" s="8"/>
      <c r="D88" s="8"/>
      <c r="E88" s="9"/>
      <c r="F88" s="9"/>
      <c r="G88" s="10"/>
      <c r="H88" s="10"/>
      <c r="I88" s="11"/>
      <c r="J88" s="11">
        <v>1</v>
      </c>
      <c r="K88" s="10"/>
      <c r="L88" s="192"/>
      <c r="M88" s="11">
        <v>1</v>
      </c>
      <c r="N88" s="134">
        <f t="shared" si="3"/>
        <v>2</v>
      </c>
      <c r="O88" s="135">
        <v>1</v>
      </c>
      <c r="P88" s="10">
        <v>5</v>
      </c>
      <c r="Q88" s="118"/>
      <c r="R88" s="74" t="s">
        <v>1592</v>
      </c>
      <c r="S88" s="107">
        <v>70000</v>
      </c>
      <c r="T88" s="12">
        <v>72800</v>
      </c>
      <c r="U88" s="12">
        <v>75600</v>
      </c>
      <c r="V88" s="13"/>
      <c r="W88" s="13"/>
      <c r="X88" s="14"/>
    </row>
    <row r="89" spans="1:26">
      <c r="A89" s="144" t="s">
        <v>1445</v>
      </c>
      <c r="B89" s="51" t="str">
        <f>IFERROR(HYPERLINK(VLOOKUP(A89,ÜRÜNLER!A:C,3,FALSE),VLOOKUP(A89,ÜRÜNLER!A:B,2,FALSE)),"")</f>
        <v>iQ500 Çamaşır Makinesi, 10kg/1200devir, Beyaz</v>
      </c>
      <c r="C89" s="8">
        <v>25</v>
      </c>
      <c r="D89" s="8"/>
      <c r="E89" s="9"/>
      <c r="F89" s="9"/>
      <c r="G89" s="10"/>
      <c r="H89" s="10"/>
      <c r="I89" s="11"/>
      <c r="J89" s="11">
        <v>1</v>
      </c>
      <c r="K89" s="10"/>
      <c r="L89" s="192"/>
      <c r="M89" s="11"/>
      <c r="N89" s="134">
        <f t="shared" si="3"/>
        <v>26</v>
      </c>
      <c r="O89" s="135"/>
      <c r="P89" s="10"/>
      <c r="Q89" s="118"/>
      <c r="R89" s="52">
        <v>38936.926581450993</v>
      </c>
      <c r="S89" s="53">
        <v>37768.818784007461</v>
      </c>
      <c r="T89" s="12">
        <v>39279.571535367759</v>
      </c>
      <c r="U89" s="12">
        <v>40790.324286728057</v>
      </c>
      <c r="V89" s="13">
        <v>339.25216284633643</v>
      </c>
      <c r="W89" s="13"/>
      <c r="X89" s="14"/>
    </row>
    <row r="90" spans="1:26">
      <c r="A90" s="144" t="s">
        <v>1452</v>
      </c>
      <c r="B90" s="51" t="str">
        <f>IFERROR(HYPERLINK(VLOOKUP(A90,ÜRÜNLER!A:C,3,FALSE),VLOOKUP(A90,ÜRÜNLER!A:B,2,FALSE)),"")</f>
        <v>iQ500 Çamaşır Makinesi, 10kg/1400devir, i-dos, Beyaz</v>
      </c>
      <c r="C90" s="8">
        <v>14</v>
      </c>
      <c r="D90" s="8"/>
      <c r="E90" s="9"/>
      <c r="F90" s="9"/>
      <c r="G90" s="10"/>
      <c r="H90" s="10"/>
      <c r="I90" s="11"/>
      <c r="J90" s="11"/>
      <c r="K90" s="10"/>
      <c r="L90" s="192"/>
      <c r="M90" s="11"/>
      <c r="N90" s="134">
        <f t="shared" si="3"/>
        <v>14</v>
      </c>
      <c r="O90" s="135">
        <v>6</v>
      </c>
      <c r="P90" s="10"/>
      <c r="Q90" s="118"/>
      <c r="R90" s="52">
        <v>39429.576749749642</v>
      </c>
      <c r="S90" s="53">
        <v>38246.689447257151</v>
      </c>
      <c r="T90" s="12">
        <v>39776.557025147435</v>
      </c>
      <c r="U90" s="12">
        <v>41306.424603037725</v>
      </c>
      <c r="V90" s="13"/>
      <c r="W90" s="13"/>
      <c r="X90" s="14"/>
    </row>
    <row r="91" spans="1:26">
      <c r="A91" s="144" t="s">
        <v>1454</v>
      </c>
      <c r="B91" s="51" t="str">
        <f>IFERROR(HYPERLINK(VLOOKUP(A91,ÜRÜNLER!A:C,3,FALSE),VLOOKUP(A91,ÜRÜNLER!A:B,2,FALSE)),"")</f>
        <v>iQ500 Çamaşır Makinesi, 11kg/1400devir, i-dos, Beyaz</v>
      </c>
      <c r="C91" s="8">
        <v>2</v>
      </c>
      <c r="D91" s="8"/>
      <c r="E91" s="9"/>
      <c r="F91" s="9"/>
      <c r="G91" s="10"/>
      <c r="H91" s="10"/>
      <c r="I91" s="11"/>
      <c r="J91" s="11"/>
      <c r="K91" s="10"/>
      <c r="L91" s="192"/>
      <c r="M91" s="11"/>
      <c r="N91" s="134">
        <f t="shared" si="3"/>
        <v>2</v>
      </c>
      <c r="O91" s="135">
        <v>9</v>
      </c>
      <c r="P91" s="10"/>
      <c r="Q91" s="118"/>
      <c r="R91" s="52">
        <v>40307.741042617126</v>
      </c>
      <c r="S91" s="53">
        <v>39098.508811338615</v>
      </c>
      <c r="T91" s="12">
        <v>40662.44916379216</v>
      </c>
      <c r="U91" s="12">
        <v>42226.389516245705</v>
      </c>
      <c r="V91" s="13"/>
      <c r="W91" s="13"/>
      <c r="X91" s="14"/>
    </row>
    <row r="92" spans="1:26">
      <c r="A92" s="140" t="s">
        <v>92</v>
      </c>
      <c r="B92" s="51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>
        <v>1</v>
      </c>
      <c r="L92" s="192"/>
      <c r="M92" s="11"/>
      <c r="N92" s="134">
        <f t="shared" si="3"/>
        <v>2</v>
      </c>
      <c r="O92" s="135"/>
      <c r="P92" s="10"/>
      <c r="Q92" s="118"/>
      <c r="R92" s="74" t="s">
        <v>1592</v>
      </c>
      <c r="S92" s="18">
        <v>37000</v>
      </c>
      <c r="T92" s="12">
        <v>38480</v>
      </c>
      <c r="U92" s="12">
        <v>39960</v>
      </c>
      <c r="V92" s="13"/>
      <c r="W92" s="13"/>
      <c r="X92" s="14"/>
    </row>
    <row r="93" spans="1:26">
      <c r="A93" s="140" t="s">
        <v>93</v>
      </c>
      <c r="B93" s="51" t="str">
        <f>IFERROR(HYPERLINK(VLOOKUP(A93,ÜRÜNLER!A:C,3,FALSE),VLOOKUP(A93,ÜRÜNLER!A:B,2,FALSE)),"")</f>
        <v>iQ500 Çamaşır Makinesi, 11kg/1400devir, Beyaz</v>
      </c>
      <c r="C93" s="8">
        <v>26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192"/>
      <c r="M93" s="11">
        <v>1</v>
      </c>
      <c r="N93" s="134">
        <f t="shared" si="3"/>
        <v>31</v>
      </c>
      <c r="O93" s="135"/>
      <c r="P93" s="10"/>
      <c r="Q93" s="118"/>
      <c r="R93" s="52">
        <v>39207.489362533786</v>
      </c>
      <c r="S93" s="53">
        <v>38031.264681657776</v>
      </c>
      <c r="T93" s="12">
        <v>39552.515268924086</v>
      </c>
      <c r="U93" s="12">
        <v>41073.765856190395</v>
      </c>
      <c r="V93" s="13"/>
      <c r="W93" s="13"/>
      <c r="X93" s="14"/>
    </row>
    <row r="94" spans="1:26">
      <c r="A94" s="139" t="s">
        <v>94</v>
      </c>
      <c r="B94" s="51" t="str">
        <f>IFERROR(HYPERLINK(VLOOKUP(A94,ÜRÜNLER!A:C,3,FALSE),VLOOKUP(A94,ÜRÜNLER!A:B,2,FALSE)),"")</f>
        <v>iQ500 Çamaşır Makinesi, 11kg/1400devir, Antrasit/Dark</v>
      </c>
      <c r="C94" s="8">
        <v>47</v>
      </c>
      <c r="D94" s="8"/>
      <c r="E94" s="9"/>
      <c r="F94" s="9"/>
      <c r="G94" s="10"/>
      <c r="H94" s="10"/>
      <c r="I94" s="11">
        <v>1</v>
      </c>
      <c r="J94" s="11">
        <v>1</v>
      </c>
      <c r="K94" s="10"/>
      <c r="L94" s="192"/>
      <c r="M94" s="11">
        <v>1</v>
      </c>
      <c r="N94" s="134">
        <f t="shared" si="3"/>
        <v>50</v>
      </c>
      <c r="O94" s="135">
        <v>78</v>
      </c>
      <c r="P94" s="10"/>
      <c r="Q94" s="118"/>
      <c r="R94" s="52">
        <v>43182.697649421279</v>
      </c>
      <c r="S94" s="47">
        <v>41023.562766950214</v>
      </c>
      <c r="T94" s="12">
        <v>42664.505277628225</v>
      </c>
      <c r="U94" s="12">
        <v>44305.447788306228</v>
      </c>
      <c r="V94" s="13"/>
      <c r="W94" s="13"/>
      <c r="X94" s="14"/>
    </row>
    <row r="95" spans="1:26">
      <c r="A95" s="22" t="s">
        <v>95</v>
      </c>
      <c r="B95" s="51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2</v>
      </c>
      <c r="L95" s="192"/>
      <c r="M95" s="11"/>
      <c r="N95" s="134">
        <f t="shared" si="3"/>
        <v>2</v>
      </c>
      <c r="O95" s="135"/>
      <c r="P95" s="10"/>
      <c r="Q95" s="120" t="s">
        <v>1548</v>
      </c>
      <c r="R95" s="74" t="s">
        <v>1592</v>
      </c>
      <c r="S95" s="19">
        <v>30000</v>
      </c>
      <c r="T95" s="12">
        <v>31200</v>
      </c>
      <c r="U95" s="12">
        <v>32400</v>
      </c>
      <c r="V95" s="13"/>
      <c r="W95" s="13"/>
      <c r="X95" s="106">
        <v>500</v>
      </c>
    </row>
    <row r="96" spans="1:26">
      <c r="A96" s="140" t="s">
        <v>96</v>
      </c>
      <c r="B96" s="51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>
        <v>1</v>
      </c>
      <c r="L96" s="192"/>
      <c r="M96" s="11"/>
      <c r="N96" s="134">
        <f t="shared" si="3"/>
        <v>2</v>
      </c>
      <c r="O96" s="135"/>
      <c r="P96" s="10"/>
      <c r="Q96" s="118"/>
      <c r="R96" s="74" t="s">
        <v>1592</v>
      </c>
      <c r="S96" s="19">
        <v>35000</v>
      </c>
      <c r="T96" s="12">
        <v>36400</v>
      </c>
      <c r="U96" s="12">
        <v>37800</v>
      </c>
      <c r="V96" s="13"/>
      <c r="W96" s="13"/>
      <c r="X96" s="106">
        <v>500</v>
      </c>
    </row>
    <row r="97" spans="1:26">
      <c r="A97" s="140" t="s">
        <v>97</v>
      </c>
      <c r="B97" s="51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192"/>
      <c r="M97" s="11"/>
      <c r="N97" s="134">
        <f t="shared" si="3"/>
        <v>1</v>
      </c>
      <c r="O97" s="135"/>
      <c r="P97" s="10"/>
      <c r="Q97" s="118"/>
      <c r="R97" s="74" t="s">
        <v>1592</v>
      </c>
      <c r="S97" s="19">
        <v>40000</v>
      </c>
      <c r="T97" s="12">
        <v>41600</v>
      </c>
      <c r="U97" s="12">
        <v>43200</v>
      </c>
      <c r="V97" s="13"/>
      <c r="W97" s="13"/>
      <c r="X97" s="106">
        <v>500</v>
      </c>
    </row>
    <row r="98" spans="1:26">
      <c r="A98" s="140" t="s">
        <v>98</v>
      </c>
      <c r="B98" s="51" t="str">
        <f>IFERROR(HYPERLINK(VLOOKUP(A98,ÜRÜNLER!A:C,3,FALSE),VLOOKUP(A98,ÜRÜNLER!A:B,2,FALSE)),"")</f>
        <v>iQ700 Kurutmalı Çamaşır Makinesi, 10.5kg/6kg/1400devir, i-dos, Beyaz</v>
      </c>
      <c r="C98" s="8">
        <v>2</v>
      </c>
      <c r="D98" s="8"/>
      <c r="E98" s="9"/>
      <c r="F98" s="9"/>
      <c r="G98" s="10"/>
      <c r="H98" s="10"/>
      <c r="I98" s="11">
        <v>1</v>
      </c>
      <c r="J98" s="11"/>
      <c r="K98" s="10"/>
      <c r="L98" s="192"/>
      <c r="M98" s="11"/>
      <c r="N98" s="134">
        <f t="shared" si="3"/>
        <v>3</v>
      </c>
      <c r="O98" s="135"/>
      <c r="P98" s="10"/>
      <c r="Q98" s="118"/>
      <c r="R98" s="52">
        <v>76859.439835869358</v>
      </c>
      <c r="S98" s="53">
        <v>74553.656640793284</v>
      </c>
      <c r="T98" s="12">
        <v>77535.802906425015</v>
      </c>
      <c r="U98" s="12">
        <v>80517.949172056746</v>
      </c>
      <c r="V98" s="13"/>
      <c r="W98" s="13"/>
      <c r="X98" s="14"/>
    </row>
    <row r="99" spans="1:26" ht="30">
      <c r="A99" s="102" t="s">
        <v>99</v>
      </c>
      <c r="B99" s="51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192"/>
      <c r="M99" s="11"/>
      <c r="N99" s="134">
        <f>SUM(N70:N98)</f>
        <v>357</v>
      </c>
      <c r="O99" s="135"/>
      <c r="P99" s="10"/>
      <c r="R99" s="74"/>
      <c r="S99" s="14"/>
      <c r="T99" s="12"/>
      <c r="U99" s="12"/>
      <c r="V99" s="13"/>
      <c r="W99" s="13"/>
      <c r="X99" s="14"/>
    </row>
    <row r="100" spans="1:26">
      <c r="A100" s="22" t="s">
        <v>103</v>
      </c>
      <c r="B100" s="51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1</v>
      </c>
      <c r="J100" s="11"/>
      <c r="K100" s="10"/>
      <c r="L100" s="192"/>
      <c r="M100" s="11"/>
      <c r="N100" s="134">
        <f t="shared" ref="N100:N112" si="4">M100+L100+K100+J100+I100+H100+G100+F100+E100+D100+C100</f>
        <v>1</v>
      </c>
      <c r="O100" s="135"/>
      <c r="P100" s="10"/>
      <c r="Q100" s="118"/>
      <c r="R100" s="74" t="s">
        <v>1592</v>
      </c>
      <c r="S100" s="90">
        <v>35000</v>
      </c>
      <c r="T100" s="12">
        <v>36400</v>
      </c>
      <c r="U100" s="12">
        <v>37800</v>
      </c>
      <c r="V100" s="13">
        <v>999.75486505273147</v>
      </c>
      <c r="W100" s="13"/>
      <c r="X100" s="106">
        <v>500</v>
      </c>
    </row>
    <row r="101" spans="1:26">
      <c r="A101" s="78" t="s">
        <v>1315</v>
      </c>
      <c r="B101" s="51" t="str">
        <f>IFERROR(HYPERLINK(VLOOKUP(A101,ÜRÜNLER!A:C,3,FALSE),VLOOKUP(A101,ÜRÜNLER!A:B,2,FALSE)),"")</f>
        <v>iQ300 Isı Pompalı Kurutma Makinesi, 9kg, Gümüş</v>
      </c>
      <c r="C101" s="8"/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92"/>
      <c r="M101" s="11"/>
      <c r="N101" s="134">
        <f t="shared" si="4"/>
        <v>3</v>
      </c>
      <c r="O101" s="135"/>
      <c r="P101" s="10"/>
      <c r="Q101" s="118"/>
      <c r="R101" s="74" t="s">
        <v>1592</v>
      </c>
      <c r="S101" s="90">
        <v>36000</v>
      </c>
      <c r="T101" s="12">
        <v>37440</v>
      </c>
      <c r="U101" s="12">
        <v>38880</v>
      </c>
      <c r="V101" s="13"/>
      <c r="W101" s="13"/>
      <c r="X101" s="106">
        <v>500</v>
      </c>
    </row>
    <row r="102" spans="1:26">
      <c r="A102" s="22" t="s">
        <v>104</v>
      </c>
      <c r="B102" s="51" t="str">
        <f>IFERROR(HYPERLINK(VLOOKUP(A102,ÜRÜNLER!A:C,3,FALSE),VLOOKUP(A102,ÜRÜNLER!A:B,2,FALSE)),"")</f>
        <v>iQ300 Isı Pompalı Kurutma Makinesi, 9kg, Beyaz</v>
      </c>
      <c r="C102" s="8">
        <v>106</v>
      </c>
      <c r="D102" s="8"/>
      <c r="E102" s="9"/>
      <c r="F102" s="9"/>
      <c r="G102" s="10"/>
      <c r="H102" s="10"/>
      <c r="I102" s="11">
        <v>1</v>
      </c>
      <c r="J102" s="11">
        <v>1</v>
      </c>
      <c r="K102" s="10">
        <v>2</v>
      </c>
      <c r="L102" s="192"/>
      <c r="M102" s="11">
        <v>1</v>
      </c>
      <c r="N102" s="134">
        <f t="shared" si="4"/>
        <v>111</v>
      </c>
      <c r="O102" s="135">
        <v>374</v>
      </c>
      <c r="P102" s="10"/>
      <c r="Q102" s="118"/>
      <c r="R102" s="52">
        <v>39552.883298190849</v>
      </c>
      <c r="S102" s="18">
        <v>37575.239133281306</v>
      </c>
      <c r="T102" s="12">
        <v>39078.248698612559</v>
      </c>
      <c r="U102" s="12">
        <v>40581.258263943811</v>
      </c>
      <c r="V102" s="13">
        <v>3323.813530748987</v>
      </c>
      <c r="W102" s="13"/>
      <c r="X102" s="14"/>
    </row>
    <row r="103" spans="1:26">
      <c r="A103" s="145" t="s">
        <v>100</v>
      </c>
      <c r="B103" s="51" t="str">
        <f>IFERROR(HYPERLINK(VLOOKUP(A103,ÜRÜNLER!A:C,3,FALSE),VLOOKUP(A103,ÜRÜNLER!A:B,2,FALSE)),"")</f>
        <v>iQ500 Isı Pompalı Kurutma Makinesi, 9kg, Beyaz</v>
      </c>
      <c r="C103" s="8">
        <v>26</v>
      </c>
      <c r="D103" s="8"/>
      <c r="E103" s="9"/>
      <c r="F103" s="9"/>
      <c r="G103" s="10"/>
      <c r="H103" s="10"/>
      <c r="I103" s="11"/>
      <c r="J103" s="11">
        <v>1</v>
      </c>
      <c r="K103" s="10"/>
      <c r="L103" s="192"/>
      <c r="M103" s="11"/>
      <c r="N103" s="134">
        <f t="shared" si="4"/>
        <v>27</v>
      </c>
      <c r="O103" s="135">
        <v>45</v>
      </c>
      <c r="P103" s="10"/>
      <c r="Q103" s="118"/>
      <c r="R103" s="52">
        <v>43183.847091032105</v>
      </c>
      <c r="S103" s="18">
        <v>41024.654736480501</v>
      </c>
      <c r="T103" s="12">
        <v>42665.640925939719</v>
      </c>
      <c r="U103" s="12">
        <v>44306.627115398944</v>
      </c>
      <c r="V103" s="13">
        <v>3324.5447654507084</v>
      </c>
      <c r="W103" s="13"/>
      <c r="Z103" s="27" t="s">
        <v>1593</v>
      </c>
    </row>
    <row r="104" spans="1:26">
      <c r="A104" s="78" t="s">
        <v>1343</v>
      </c>
      <c r="B104" s="51" t="str">
        <f>IFERROR(HYPERLINK(VLOOKUP(A104,ÜRÜNLER!A:C,3,FALSE),VLOOKUP(A104,ÜRÜNLER!A:B,2,FALSE)),"")</f>
        <v>iQ500 Isı Pompalı Kurutma Makinesi, 9kg, Gümüş</v>
      </c>
      <c r="C104" s="8">
        <v>34</v>
      </c>
      <c r="D104" s="8"/>
      <c r="E104" s="9"/>
      <c r="F104" s="9"/>
      <c r="G104" s="10"/>
      <c r="H104" s="10"/>
      <c r="I104" s="11">
        <v>1</v>
      </c>
      <c r="J104" s="11"/>
      <c r="K104" s="10"/>
      <c r="L104" s="192"/>
      <c r="M104" s="11"/>
      <c r="N104" s="134">
        <f t="shared" si="4"/>
        <v>35</v>
      </c>
      <c r="O104" s="135">
        <v>198</v>
      </c>
      <c r="P104" s="10"/>
      <c r="Q104" s="118"/>
      <c r="R104" s="52">
        <v>43404.733782129748</v>
      </c>
      <c r="S104" s="18">
        <v>41234.497093023259</v>
      </c>
      <c r="T104" s="12">
        <v>42883.876976744192</v>
      </c>
      <c r="U104" s="12">
        <v>44533.256860465117</v>
      </c>
      <c r="V104" s="13">
        <v>721.01285189718328</v>
      </c>
      <c r="W104" s="13"/>
      <c r="Z104" s="27" t="s">
        <v>1593</v>
      </c>
    </row>
    <row r="105" spans="1:26">
      <c r="A105" s="146" t="s">
        <v>101</v>
      </c>
      <c r="B105" s="51" t="str">
        <f>IFERROR(HYPERLINK(VLOOKUP(A105,ÜRÜNLER!A:C,3,FALSE),VLOOKUP(A105,ÜRÜNLER!A:B,2,FALSE)),"")</f>
        <v>iQ500 Isı Pompalı Kurutma Makinesi, 9kg, Beyaz</v>
      </c>
      <c r="C105" s="8">
        <v>49</v>
      </c>
      <c r="D105" s="8"/>
      <c r="E105" s="9"/>
      <c r="F105" s="9"/>
      <c r="G105" s="10"/>
      <c r="H105" s="10"/>
      <c r="I105" s="11">
        <v>1</v>
      </c>
      <c r="J105" s="11"/>
      <c r="K105" s="10"/>
      <c r="L105" s="192"/>
      <c r="M105" s="11">
        <v>1</v>
      </c>
      <c r="N105" s="134">
        <f t="shared" si="4"/>
        <v>51</v>
      </c>
      <c r="O105" s="135">
        <v>96</v>
      </c>
      <c r="P105" s="10"/>
      <c r="Q105" s="118"/>
      <c r="R105" s="52">
        <v>46206.703389937567</v>
      </c>
      <c r="S105" s="18">
        <v>43896.368220440687</v>
      </c>
      <c r="T105" s="12">
        <v>45652.222949258314</v>
      </c>
      <c r="U105" s="12">
        <v>47408.077678075941</v>
      </c>
      <c r="V105" s="13">
        <v>3767.1685062166362</v>
      </c>
      <c r="W105" s="13"/>
      <c r="X105" s="29"/>
    </row>
    <row r="106" spans="1:26">
      <c r="A106" s="22" t="s">
        <v>105</v>
      </c>
      <c r="B106" s="51" t="str">
        <f>IFERROR(HYPERLINK(VLOOKUP(A106,ÜRÜNLER!A:C,3,FALSE),VLOOKUP(A106,ÜRÜNLER!A:B,2,FALSE)),"")</f>
        <v>iQ500 Isı Pompalı Kurutma Makinesi, 9kg, SelfClean, Beyaz</v>
      </c>
      <c r="C106" s="8">
        <v>51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92"/>
      <c r="M106" s="11">
        <v>1</v>
      </c>
      <c r="N106" s="134">
        <f t="shared" si="4"/>
        <v>56</v>
      </c>
      <c r="O106" s="135"/>
      <c r="P106" s="10"/>
      <c r="Q106" s="118"/>
      <c r="R106" s="74" t="s">
        <v>1592</v>
      </c>
      <c r="S106" s="47">
        <v>40000</v>
      </c>
      <c r="T106" s="12">
        <v>41600</v>
      </c>
      <c r="U106" s="12">
        <v>43200</v>
      </c>
      <c r="V106" s="13"/>
      <c r="W106" s="13"/>
      <c r="X106" s="80">
        <v>250</v>
      </c>
    </row>
    <row r="107" spans="1:26">
      <c r="A107" s="22" t="s">
        <v>106</v>
      </c>
      <c r="B107" s="51" t="str">
        <f>IFERROR(HYPERLINK(VLOOKUP(A107,ÜRÜNLER!A:C,3,FALSE),VLOOKUP(A107,ÜRÜNLER!A:B,2,FALSE)),"")</f>
        <v>iQ700 Isı Pompalı Kurutma Makinesi, 9kg, Beyaz</v>
      </c>
      <c r="C107" s="8">
        <v>138</v>
      </c>
      <c r="D107" s="8"/>
      <c r="E107" s="9"/>
      <c r="F107" s="9"/>
      <c r="G107" s="10"/>
      <c r="H107" s="10"/>
      <c r="I107" s="11">
        <v>2</v>
      </c>
      <c r="J107" s="11"/>
      <c r="K107" s="10">
        <v>1</v>
      </c>
      <c r="L107" s="192"/>
      <c r="M107" s="11"/>
      <c r="N107" s="134">
        <f t="shared" si="4"/>
        <v>141</v>
      </c>
      <c r="O107" s="135">
        <v>13</v>
      </c>
      <c r="P107" s="10"/>
      <c r="Q107" s="118"/>
      <c r="R107" s="52">
        <v>61286.692413916055</v>
      </c>
      <c r="S107" s="18">
        <v>58222.357793220253</v>
      </c>
      <c r="T107" s="12">
        <v>60551.252104949061</v>
      </c>
      <c r="U107" s="12">
        <v>62880.146416677875</v>
      </c>
      <c r="V107" s="13">
        <v>1013.4365999625588</v>
      </c>
      <c r="W107" s="13"/>
      <c r="X107" s="14"/>
    </row>
    <row r="108" spans="1:26">
      <c r="A108" s="78" t="s">
        <v>107</v>
      </c>
      <c r="B108" s="51" t="str">
        <f>IFERROR(HYPERLINK(VLOOKUP(A108,ÜRÜNLER!A:C,3,FALSE),VLOOKUP(A108,ÜRÜNLER!A:B,2,FALSE)),"")</f>
        <v>iQ700 Isı Pompalı Kurutma Makinesi, 9kg, Gümüş</v>
      </c>
      <c r="C108" s="8">
        <v>104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92"/>
      <c r="M108" s="11">
        <v>1</v>
      </c>
      <c r="N108" s="134">
        <f t="shared" si="4"/>
        <v>107</v>
      </c>
      <c r="O108" s="135">
        <v>14</v>
      </c>
      <c r="P108" s="10"/>
      <c r="Q108" s="118"/>
      <c r="R108" s="52">
        <v>62304.674762486175</v>
      </c>
      <c r="S108" s="18">
        <v>59189.441024361862</v>
      </c>
      <c r="T108" s="12">
        <v>61557.018665336334</v>
      </c>
      <c r="U108" s="12">
        <v>63924.596306310814</v>
      </c>
      <c r="V108" s="13">
        <v>1038.3956927187319</v>
      </c>
      <c r="W108" s="13"/>
      <c r="X108" s="14"/>
    </row>
    <row r="109" spans="1:26">
      <c r="A109" s="22" t="s">
        <v>472</v>
      </c>
      <c r="B109" s="51" t="str">
        <f>IFERROR(HYPERLINK(VLOOKUP(A109,ÜRÜNLER!A:C,3,FALSE),VLOOKUP(A109,ÜRÜNLER!A:B,2,FALSE)),"")</f>
        <v>iQ300 Isı Pompalı Kurutma Makinesi, 10kg, Beyaz</v>
      </c>
      <c r="C109" s="8">
        <v>173</v>
      </c>
      <c r="D109" s="8"/>
      <c r="E109" s="9"/>
      <c r="F109" s="9"/>
      <c r="G109" s="10"/>
      <c r="H109" s="10"/>
      <c r="I109" s="11"/>
      <c r="J109" s="11"/>
      <c r="K109" s="10"/>
      <c r="L109" s="192"/>
      <c r="M109" s="11">
        <v>1</v>
      </c>
      <c r="N109" s="134">
        <f t="shared" si="4"/>
        <v>174</v>
      </c>
      <c r="O109" s="135">
        <v>149</v>
      </c>
      <c r="P109" s="10"/>
      <c r="Q109" s="118"/>
      <c r="R109" s="52">
        <v>42717.122969696531</v>
      </c>
      <c r="S109" s="18">
        <v>40581.266821211706</v>
      </c>
      <c r="T109" s="12">
        <v>42204.517494060172</v>
      </c>
      <c r="U109" s="12">
        <v>43827.768166908645</v>
      </c>
      <c r="V109" s="13">
        <v>2898.5183185337378</v>
      </c>
      <c r="W109" s="13"/>
      <c r="X109" s="12"/>
    </row>
    <row r="110" spans="1:26">
      <c r="A110" s="139" t="s">
        <v>1312</v>
      </c>
      <c r="B110" s="51" t="str">
        <f>IFERROR(HYPERLINK(VLOOKUP(A110,ÜRÜNLER!A:C,3,FALSE),VLOOKUP(A110,ÜRÜNLER!A:B,2,FALSE)),"")</f>
        <v>iQ500 Isı Pompalı Kurutma Makinesi, 10kg, Antrasit/Dark</v>
      </c>
      <c r="C110" s="8">
        <v>87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92"/>
      <c r="M110" s="11">
        <v>1</v>
      </c>
      <c r="N110" s="134">
        <f t="shared" si="4"/>
        <v>90</v>
      </c>
      <c r="O110" s="135">
        <v>100</v>
      </c>
      <c r="P110" s="10"/>
      <c r="Q110" s="118"/>
      <c r="R110" s="52">
        <v>45281.496328029381</v>
      </c>
      <c r="S110" s="18">
        <v>43017.421511627916</v>
      </c>
      <c r="T110" s="12">
        <v>44738.118372093035</v>
      </c>
      <c r="U110" s="12">
        <v>46458.815232558147</v>
      </c>
      <c r="V110" s="13">
        <v>750.10097919217515</v>
      </c>
      <c r="W110" s="13"/>
      <c r="X110" s="12"/>
    </row>
    <row r="111" spans="1:26">
      <c r="A111" s="22" t="s">
        <v>109</v>
      </c>
      <c r="B111" s="51" t="str">
        <f>IFERROR(HYPERLINK(VLOOKUP(A111,ÜRÜNLER!A:C,3,FALSE),VLOOKUP(A111,ÜRÜNLER!A:B,2,FALSE)),"")</f>
        <v>iQ500 Isı Pompalı Kurutma Makinesi, 10kg, Beyaz</v>
      </c>
      <c r="C111" s="8">
        <v>18</v>
      </c>
      <c r="D111" s="8"/>
      <c r="E111" s="9"/>
      <c r="F111" s="9"/>
      <c r="G111" s="10"/>
      <c r="H111" s="10"/>
      <c r="I111" s="11"/>
      <c r="J111" s="11">
        <v>1</v>
      </c>
      <c r="K111" s="10"/>
      <c r="L111" s="192"/>
      <c r="M111" s="11"/>
      <c r="N111" s="134">
        <f t="shared" si="4"/>
        <v>19</v>
      </c>
      <c r="O111" s="135">
        <v>31</v>
      </c>
      <c r="P111" s="10"/>
      <c r="Q111" s="118"/>
      <c r="R111" s="52">
        <v>45280.150347878327</v>
      </c>
      <c r="S111" s="18">
        <v>43016.142830484408</v>
      </c>
      <c r="T111" s="12">
        <v>44736.788543703784</v>
      </c>
      <c r="U111" s="12">
        <v>46457.434256923159</v>
      </c>
      <c r="V111" s="13">
        <v>1823.1736036922812</v>
      </c>
      <c r="W111" s="13"/>
      <c r="X111" s="14"/>
    </row>
    <row r="112" spans="1:26">
      <c r="A112" s="22" t="s">
        <v>102</v>
      </c>
      <c r="B112" s="51" t="str">
        <f>IFERROR(HYPERLINK(VLOOKUP(A112,ÜRÜNLER!A:C,3,FALSE),VLOOKUP(A112,ÜRÜNLER!A:B,2,FALSE)),"")</f>
        <v>iQ300 Isı Pompalı Kurutma Makinesi, 8kg, Beyaz</v>
      </c>
      <c r="C112" s="8"/>
      <c r="D112" s="8"/>
      <c r="E112" s="9"/>
      <c r="F112" s="9">
        <v>1</v>
      </c>
      <c r="G112" s="10"/>
      <c r="H112" s="10"/>
      <c r="I112" s="11">
        <v>1</v>
      </c>
      <c r="J112" s="11"/>
      <c r="K112" s="10">
        <v>1</v>
      </c>
      <c r="L112" s="192"/>
      <c r="M112" s="11">
        <v>1</v>
      </c>
      <c r="N112" s="134">
        <f t="shared" si="4"/>
        <v>4</v>
      </c>
      <c r="O112" s="135"/>
      <c r="P112" s="10">
        <v>1</v>
      </c>
      <c r="Q112" s="118"/>
      <c r="R112" s="74" t="s">
        <v>1592</v>
      </c>
      <c r="S112" s="90">
        <v>34000</v>
      </c>
      <c r="T112" s="12">
        <v>35360</v>
      </c>
      <c r="U112" s="12">
        <v>36720</v>
      </c>
      <c r="V112" s="13">
        <v>1688.3520936309287</v>
      </c>
      <c r="W112" s="13"/>
      <c r="X112" s="80">
        <v>500</v>
      </c>
    </row>
    <row r="113" spans="1:24" s="26" customFormat="1" ht="29.25" customHeight="1">
      <c r="A113" s="129" t="s">
        <v>110</v>
      </c>
      <c r="B113" s="51" t="str">
        <f>IFERROR(HYPERLINK(VLOOKUP(A113,ÜRÜNLER!A:C,3,FALSE),VLOOKUP(A113,ÜRÜNLER!A:B,2,FALSE)),"")</f>
        <v/>
      </c>
      <c r="C113" s="8"/>
      <c r="D113" s="8"/>
      <c r="E113" s="9"/>
      <c r="F113" s="9"/>
      <c r="G113" s="10"/>
      <c r="H113" s="10"/>
      <c r="I113" s="11"/>
      <c r="J113" s="11"/>
      <c r="K113" s="10"/>
      <c r="L113" s="192"/>
      <c r="M113" s="11"/>
      <c r="N113" s="134">
        <f>SUM(N100:N112)</f>
        <v>819</v>
      </c>
      <c r="O113" s="135"/>
      <c r="P113" s="10"/>
      <c r="Q113" s="118"/>
      <c r="R113" s="74"/>
      <c r="S113" s="25"/>
      <c r="T113" s="12"/>
      <c r="U113" s="12"/>
      <c r="V113" s="13"/>
      <c r="W113" s="13"/>
      <c r="X113" s="25"/>
    </row>
    <row r="114" spans="1:24">
      <c r="A114" s="22" t="s">
        <v>113</v>
      </c>
      <c r="B114" s="51" t="str">
        <f>IFERROR(HYPERLINK(VLOOKUP(A114,ÜRÜNLER!A:C,3,FALSE),VLOOKUP(A114,ÜRÜNLER!A:B,2,FALSE)),"")</f>
        <v>iQ500 Solo Bulaşık Makinesi, autoOpen dry, glassZone, Inox</v>
      </c>
      <c r="C114" s="8">
        <v>51</v>
      </c>
      <c r="D114" s="8"/>
      <c r="E114" s="9"/>
      <c r="F114" s="9"/>
      <c r="G114" s="10"/>
      <c r="H114" s="10"/>
      <c r="I114" s="11"/>
      <c r="J114" s="11"/>
      <c r="K114" s="10"/>
      <c r="L114" s="192"/>
      <c r="M114" s="11"/>
      <c r="N114" s="134">
        <f t="shared" ref="N114:N138" si="5">M114+L114+K114+J114+I114+H114+G114+F114+E114+D114+C114</f>
        <v>51</v>
      </c>
      <c r="O114" s="135"/>
      <c r="P114" s="10"/>
      <c r="Q114" s="118"/>
      <c r="R114" s="52">
        <v>34870.887438360529</v>
      </c>
      <c r="S114" s="18">
        <v>33127.343066442503</v>
      </c>
      <c r="T114" s="12">
        <v>34452.436789100204</v>
      </c>
      <c r="U114" s="12">
        <v>35777.530511757905</v>
      </c>
      <c r="V114" s="13"/>
      <c r="W114" s="13"/>
      <c r="X114" s="14"/>
    </row>
    <row r="115" spans="1:24">
      <c r="A115" s="147" t="s">
        <v>114</v>
      </c>
      <c r="B115" s="51" t="str">
        <f>IFERROR(HYPERLINK(VLOOKUP(A115,ÜRÜNLER!A:C,3,FALSE),VLOOKUP(A115,ÜRÜNLER!A:B,2,FALSE)),"")</f>
        <v>iQ500 Solo Bulaşık Makinesi, autoOpen dry, glassZone, darkSteel</v>
      </c>
      <c r="C115" s="8">
        <v>71</v>
      </c>
      <c r="D115" s="8"/>
      <c r="E115" s="9"/>
      <c r="F115" s="9"/>
      <c r="G115" s="10"/>
      <c r="H115" s="10"/>
      <c r="I115" s="11">
        <v>1</v>
      </c>
      <c r="J115" s="11"/>
      <c r="K115" s="10"/>
      <c r="L115" s="192"/>
      <c r="M115" s="11">
        <v>1</v>
      </c>
      <c r="N115" s="134">
        <f t="shared" si="5"/>
        <v>73</v>
      </c>
      <c r="O115" s="135">
        <v>25</v>
      </c>
      <c r="P115" s="10"/>
      <c r="Q115" s="118"/>
      <c r="R115" s="52">
        <v>36598.639411676661</v>
      </c>
      <c r="S115" s="18">
        <v>34768.707441092825</v>
      </c>
      <c r="T115" s="12">
        <v>36159.455738736535</v>
      </c>
      <c r="U115" s="12">
        <v>37550.204036380252</v>
      </c>
      <c r="V115" s="13"/>
      <c r="W115" s="13"/>
      <c r="X115" s="14"/>
    </row>
    <row r="116" spans="1:24">
      <c r="A116" s="22" t="s">
        <v>112</v>
      </c>
      <c r="B116" s="51" t="str">
        <f>IFERROR(HYPERLINK(VLOOKUP(A116,ÜRÜNLER!A:C,3,FALSE),VLOOKUP(A116,ÜRÜNLER!A:B,2,FALSE)),"")</f>
        <v>iQ500 Solo Bulaşık Makinesi, autoOpen dry, glassZone, Beyaz</v>
      </c>
      <c r="C116" s="8">
        <v>71</v>
      </c>
      <c r="D116" s="8"/>
      <c r="E116" s="9"/>
      <c r="F116" s="9"/>
      <c r="G116" s="10"/>
      <c r="H116" s="10"/>
      <c r="I116" s="11"/>
      <c r="J116" s="11"/>
      <c r="K116" s="10"/>
      <c r="L116" s="192"/>
      <c r="M116" s="11"/>
      <c r="N116" s="134">
        <f t="shared" si="5"/>
        <v>71</v>
      </c>
      <c r="O116" s="135"/>
      <c r="P116" s="10"/>
      <c r="Q116" s="118"/>
      <c r="R116" s="52">
        <v>33143.160274625188</v>
      </c>
      <c r="S116" s="18">
        <v>31486.002260893929</v>
      </c>
      <c r="T116" s="12">
        <v>32745.442351329686</v>
      </c>
      <c r="U116" s="12">
        <v>34004.88244176544</v>
      </c>
      <c r="V116" s="13"/>
      <c r="W116" s="13"/>
      <c r="X116" s="14"/>
    </row>
    <row r="117" spans="1:24">
      <c r="A117" s="22" t="s">
        <v>115</v>
      </c>
      <c r="B117" s="51" t="str">
        <f>IFERROR(HYPERLINK(VLOOKUP(A117,ÜRÜNLER!A:C,3,FALSE),VLOOKUP(A117,ÜRÜNLER!A:B,2,FALSE)),"")</f>
        <v>iQ100 Solo Bulaşık Makinesi, Inox</v>
      </c>
      <c r="C117" s="8">
        <v>77</v>
      </c>
      <c r="D117" s="8"/>
      <c r="E117" s="9"/>
      <c r="F117" s="9">
        <v>2</v>
      </c>
      <c r="G117" s="10"/>
      <c r="H117" s="10"/>
      <c r="I117" s="11">
        <v>1</v>
      </c>
      <c r="J117" s="11">
        <v>1</v>
      </c>
      <c r="K117" s="10">
        <v>1</v>
      </c>
      <c r="L117" s="192"/>
      <c r="M117" s="11">
        <v>1</v>
      </c>
      <c r="N117" s="134">
        <f t="shared" si="5"/>
        <v>83</v>
      </c>
      <c r="O117" s="135"/>
      <c r="P117" s="10"/>
      <c r="Q117" s="122" t="s">
        <v>1548</v>
      </c>
      <c r="R117" s="52">
        <v>26912.422161822386</v>
      </c>
      <c r="S117" s="77">
        <v>26500</v>
      </c>
      <c r="T117" s="12">
        <v>27560</v>
      </c>
      <c r="U117" s="12">
        <v>28620</v>
      </c>
      <c r="V117" s="13">
        <v>4431.0268129851756</v>
      </c>
      <c r="W117" s="13"/>
      <c r="X117" s="14"/>
    </row>
    <row r="118" spans="1:24">
      <c r="A118" s="22" t="s">
        <v>116</v>
      </c>
      <c r="B118" s="51" t="str">
        <f>IFERROR(HYPERLINK(VLOOKUP(A118,ÜRÜNLER!A:C,3,FALSE),VLOOKUP(A118,ÜRÜNLER!A:B,2,FALSE)),"")</f>
        <v>iQ100 Solo Bulaşık Makinesi, Beyaz</v>
      </c>
      <c r="C118" s="8">
        <v>40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>
        <v>2</v>
      </c>
      <c r="L118" s="192"/>
      <c r="M118" s="11"/>
      <c r="N118" s="134">
        <f t="shared" si="5"/>
        <v>44</v>
      </c>
      <c r="O118" s="135"/>
      <c r="P118" s="10"/>
      <c r="Q118" s="122" t="s">
        <v>1548</v>
      </c>
      <c r="R118" s="52">
        <v>25739.691797415708</v>
      </c>
      <c r="S118" s="25">
        <v>26000</v>
      </c>
      <c r="T118" s="12">
        <v>27040</v>
      </c>
      <c r="U118" s="12">
        <v>28080</v>
      </c>
      <c r="V118" s="13">
        <v>5382.7150532296619</v>
      </c>
      <c r="W118" s="13"/>
      <c r="X118" s="14"/>
    </row>
    <row r="119" spans="1:24">
      <c r="A119" s="30" t="s">
        <v>126</v>
      </c>
      <c r="B119" s="51" t="str">
        <f>IFERROR(HYPERLINK(VLOOKUP(A119,ÜRÜNLER!A:C,3,FALSE),VLOOKUP(A119,ÜRÜNLER!A:B,2,FALSE)),"")</f>
        <v>iQ500 Solo Bulaşık Makinesi, autoOpen dry, Inox</v>
      </c>
      <c r="C119" s="8"/>
      <c r="D119" s="8"/>
      <c r="E119" s="9"/>
      <c r="F119" s="9"/>
      <c r="G119" s="10"/>
      <c r="H119" s="10"/>
      <c r="I119" s="11">
        <v>2</v>
      </c>
      <c r="J119" s="11"/>
      <c r="K119" s="10"/>
      <c r="L119" s="192"/>
      <c r="M119" s="11"/>
      <c r="N119" s="134">
        <f t="shared" si="5"/>
        <v>2</v>
      </c>
      <c r="O119" s="135"/>
      <c r="P119" s="10"/>
      <c r="Q119" s="118"/>
      <c r="R119" s="74" t="s">
        <v>1592</v>
      </c>
      <c r="S119" s="130">
        <v>29000</v>
      </c>
      <c r="T119" s="12">
        <v>30160</v>
      </c>
      <c r="U119" s="12">
        <v>31320</v>
      </c>
      <c r="V119" s="13"/>
      <c r="W119" s="18">
        <v>7673.54</v>
      </c>
      <c r="X119" s="106">
        <v>500</v>
      </c>
    </row>
    <row r="120" spans="1:24">
      <c r="A120" s="22" t="s">
        <v>127</v>
      </c>
      <c r="B120" s="51" t="str">
        <f>IFERROR(HYPERLINK(VLOOKUP(A120,ÜRÜNLER!A:C,3,FALSE),VLOOKUP(A120,ÜRÜNLER!A:B,2,FALSE)),"")</f>
        <v>iQ500 Solo Bulaşık Makinesi, autoOpen dry, Beyaz</v>
      </c>
      <c r="C120" s="8">
        <v>3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92"/>
      <c r="M120" s="11"/>
      <c r="N120" s="134">
        <f t="shared" si="5"/>
        <v>7</v>
      </c>
      <c r="O120" s="135"/>
      <c r="P120" s="10"/>
      <c r="Q120" s="118"/>
      <c r="R120" s="74" t="s">
        <v>1592</v>
      </c>
      <c r="S120" s="48">
        <v>32000</v>
      </c>
      <c r="T120" s="12">
        <v>33280</v>
      </c>
      <c r="U120" s="12">
        <v>34560</v>
      </c>
      <c r="V120" s="13"/>
      <c r="W120" s="18">
        <v>7385.22</v>
      </c>
      <c r="X120" s="106">
        <v>500</v>
      </c>
    </row>
    <row r="121" spans="1:24">
      <c r="A121" s="22" t="s">
        <v>117</v>
      </c>
      <c r="B121" s="51" t="str">
        <f>IFERROR(HYPERLINK(VLOOKUP(A121,ÜRÜNLER!A:C,3,FALSE),VLOOKUP(A121,ÜRÜNLER!A:B,2,FALSE)),"")</f>
        <v>iQ300 Solo Bulaşık Makinesi, autoOpen dry, Beyaz</v>
      </c>
      <c r="C121" s="8">
        <v>36</v>
      </c>
      <c r="D121" s="8"/>
      <c r="E121" s="9"/>
      <c r="F121" s="9"/>
      <c r="G121" s="10"/>
      <c r="H121" s="10"/>
      <c r="I121" s="11"/>
      <c r="J121" s="11"/>
      <c r="K121" s="10"/>
      <c r="L121" s="192"/>
      <c r="M121" s="11"/>
      <c r="N121" s="134">
        <f t="shared" si="5"/>
        <v>36</v>
      </c>
      <c r="O121" s="135">
        <v>26</v>
      </c>
      <c r="P121" s="10"/>
      <c r="Q121" s="118"/>
      <c r="R121" s="52">
        <v>32345.602571936837</v>
      </c>
      <c r="S121" s="18">
        <v>30728.322443339996</v>
      </c>
      <c r="T121" s="12">
        <v>31957.455341073597</v>
      </c>
      <c r="U121" s="12">
        <v>33186.588238807191</v>
      </c>
      <c r="V121" s="13">
        <v>8244.4397812391617</v>
      </c>
      <c r="W121" s="13"/>
      <c r="X121" s="14"/>
    </row>
    <row r="122" spans="1:24">
      <c r="A122" s="147" t="s">
        <v>118</v>
      </c>
      <c r="B122" s="51" t="str">
        <f>IFERROR(HYPERLINK(VLOOKUP(A122,ÜRÜNLER!A:C,3,FALSE),VLOOKUP(A122,ÜRÜNLER!A:B,2,FALSE)),"")</f>
        <v>iQ500 Solo Bulaşık Makinesi, Üstten Sepetli, Siyah Cam</v>
      </c>
      <c r="C122" s="8">
        <v>1</v>
      </c>
      <c r="D122" s="8"/>
      <c r="E122" s="9"/>
      <c r="F122" s="9"/>
      <c r="G122" s="10"/>
      <c r="H122" s="10"/>
      <c r="I122" s="11"/>
      <c r="J122" s="11"/>
      <c r="K122" s="10">
        <v>1</v>
      </c>
      <c r="L122" s="192"/>
      <c r="M122" s="11"/>
      <c r="N122" s="134">
        <f t="shared" si="5"/>
        <v>2</v>
      </c>
      <c r="O122" s="135"/>
      <c r="P122" s="10"/>
      <c r="Q122" s="118"/>
      <c r="R122" s="74" t="s">
        <v>1592</v>
      </c>
      <c r="S122" s="45">
        <v>43883.733034453959</v>
      </c>
      <c r="T122" s="12">
        <v>45639.082355832114</v>
      </c>
      <c r="U122" s="12">
        <v>47394.431677210276</v>
      </c>
      <c r="V122" s="13">
        <v>4566.6405558881088</v>
      </c>
      <c r="W122" s="13"/>
      <c r="X122" s="14">
        <v>250</v>
      </c>
    </row>
    <row r="123" spans="1:24">
      <c r="A123" s="30" t="s">
        <v>119</v>
      </c>
      <c r="B123" s="51" t="str">
        <f>IFERROR(HYPERLINK(VLOOKUP(A123,ÜRÜNLER!A:C,3,FALSE),VLOOKUP(A123,ÜRÜNLER!A:B,2,FALSE)),"")</f>
        <v>iQ500 Solo Bulaşık Makinesi, Üstten Sepetli, Beyaz Cam</v>
      </c>
      <c r="C123" s="8"/>
      <c r="D123" s="8"/>
      <c r="E123" s="9"/>
      <c r="F123" s="9"/>
      <c r="G123" s="10"/>
      <c r="H123" s="10"/>
      <c r="I123" s="11"/>
      <c r="J123" s="11">
        <v>1</v>
      </c>
      <c r="K123" s="10"/>
      <c r="L123" s="192"/>
      <c r="M123" s="11"/>
      <c r="N123" s="134">
        <f t="shared" si="5"/>
        <v>1</v>
      </c>
      <c r="O123" s="135"/>
      <c r="P123" s="10"/>
      <c r="Q123" s="118"/>
      <c r="R123" s="74" t="s">
        <v>1592</v>
      </c>
      <c r="S123" s="45">
        <v>43000</v>
      </c>
      <c r="T123" s="12">
        <v>44720</v>
      </c>
      <c r="U123" s="12">
        <v>46440</v>
      </c>
      <c r="V123" s="13">
        <v>4566.6375537932909</v>
      </c>
      <c r="W123" s="13"/>
      <c r="X123" s="106">
        <v>500</v>
      </c>
    </row>
    <row r="124" spans="1:24">
      <c r="A124" s="79" t="s">
        <v>120</v>
      </c>
      <c r="B124" s="51" t="str">
        <f>IFERROR(HYPERLINK(VLOOKUP(A124,ÜRÜNLER!A:C,3,FALSE),VLOOKUP(A124,ÜRÜNLER!A:B,2,FALSE)),"")</f>
        <v>iQ500 Solo Bulaşık Makinesi, Üstten Sepetli, Antrasit Cam</v>
      </c>
      <c r="C124" s="8">
        <v>6</v>
      </c>
      <c r="D124" s="8"/>
      <c r="E124" s="9"/>
      <c r="F124" s="9"/>
      <c r="G124" s="10"/>
      <c r="H124" s="10"/>
      <c r="I124" s="11">
        <v>1</v>
      </c>
      <c r="J124" s="11"/>
      <c r="K124" s="10">
        <v>1</v>
      </c>
      <c r="L124" s="192"/>
      <c r="M124" s="11"/>
      <c r="N124" s="134">
        <f t="shared" si="5"/>
        <v>8</v>
      </c>
      <c r="O124" s="135"/>
      <c r="P124" s="10"/>
      <c r="Q124" s="118"/>
      <c r="R124" s="52">
        <v>45858.498018909566</v>
      </c>
      <c r="S124" s="53">
        <v>44482.743078342282</v>
      </c>
      <c r="T124" s="12">
        <v>46262.052801475977</v>
      </c>
      <c r="U124" s="12">
        <v>48041.362524609664</v>
      </c>
      <c r="V124" s="13">
        <v>4566.6375537932909</v>
      </c>
      <c r="W124" s="13"/>
      <c r="X124" s="14"/>
    </row>
    <row r="125" spans="1:24">
      <c r="A125" s="139" t="s">
        <v>121</v>
      </c>
      <c r="B125" s="51" t="str">
        <f>IFERROR(HYPERLINK(VLOOKUP(A125,ÜRÜNLER!A:C,3,FALSE),VLOOKUP(A125,ÜRÜNLER!A:B,2,FALSE)),"")</f>
        <v>iQ300 Solo Bulaşık Makinesi, Üstten Sepetli, darkSteel</v>
      </c>
      <c r="C125" s="8"/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92"/>
      <c r="M125" s="11">
        <v>1</v>
      </c>
      <c r="N125" s="134">
        <f t="shared" si="5"/>
        <v>4</v>
      </c>
      <c r="O125" s="135"/>
      <c r="P125" s="10"/>
      <c r="Q125" s="118"/>
      <c r="R125" s="74" t="s">
        <v>1592</v>
      </c>
      <c r="S125" s="45">
        <v>33250</v>
      </c>
      <c r="T125" s="12">
        <v>34580</v>
      </c>
      <c r="U125" s="12">
        <v>35910</v>
      </c>
      <c r="V125" s="13">
        <v>3410.9552171663272</v>
      </c>
      <c r="W125" s="13"/>
      <c r="X125" s="14"/>
    </row>
    <row r="126" spans="1:24">
      <c r="A126" s="30" t="s">
        <v>122</v>
      </c>
      <c r="B126" s="51" t="str">
        <f>IFERROR(HYPERLINK(VLOOKUP(A126,ÜRÜNLER!A:C,3,FALSE),VLOOKUP(A126,ÜRÜNLER!A:B,2,FALSE)),"")</f>
        <v>iQ300 Solo Bulaşık Makinesi, Inox</v>
      </c>
      <c r="C126" s="8">
        <v>32</v>
      </c>
      <c r="D126" s="8"/>
      <c r="E126" s="9"/>
      <c r="F126" s="9"/>
      <c r="G126" s="10"/>
      <c r="H126" s="10"/>
      <c r="I126" s="11">
        <v>1</v>
      </c>
      <c r="J126" s="11">
        <v>1</v>
      </c>
      <c r="K126" s="10">
        <v>2</v>
      </c>
      <c r="L126" s="192"/>
      <c r="M126" s="11"/>
      <c r="N126" s="134">
        <f t="shared" si="5"/>
        <v>36</v>
      </c>
      <c r="O126" s="135">
        <v>78</v>
      </c>
      <c r="P126" s="10"/>
      <c r="Q126" s="119"/>
      <c r="R126" s="52">
        <v>33869.608742468881</v>
      </c>
      <c r="S126" s="18">
        <v>32176.128305345439</v>
      </c>
      <c r="T126" s="12">
        <v>33463.173437559257</v>
      </c>
      <c r="U126" s="12">
        <v>34750.218569773075</v>
      </c>
      <c r="V126" s="13">
        <v>8474.2599052595797</v>
      </c>
      <c r="W126" s="13"/>
      <c r="X126" s="14"/>
    </row>
    <row r="127" spans="1:24">
      <c r="A127" s="30" t="s">
        <v>124</v>
      </c>
      <c r="B127" s="51" t="str">
        <f>IFERROR(HYPERLINK(VLOOKUP(A127,ÜRÜNLER!A:C,3,FALSE),VLOOKUP(A127,ÜRÜNLER!A:B,2,FALSE)),"")</f>
        <v>iQ300 Solo Bulaşık Makinesi, Beyaz</v>
      </c>
      <c r="C127" s="8">
        <v>108</v>
      </c>
      <c r="D127" s="8"/>
      <c r="E127" s="9"/>
      <c r="F127" s="9"/>
      <c r="G127" s="10"/>
      <c r="H127" s="10"/>
      <c r="I127" s="11">
        <v>2</v>
      </c>
      <c r="J127" s="11">
        <v>1</v>
      </c>
      <c r="K127" s="10">
        <v>1</v>
      </c>
      <c r="L127" s="192"/>
      <c r="M127" s="11">
        <v>1</v>
      </c>
      <c r="N127" s="134">
        <f t="shared" si="5"/>
        <v>113</v>
      </c>
      <c r="O127" s="135"/>
      <c r="P127" s="10"/>
      <c r="Q127" s="119"/>
      <c r="R127" s="52">
        <v>31727.44101962983</v>
      </c>
      <c r="S127" s="18">
        <v>30141.068968648338</v>
      </c>
      <c r="T127" s="12">
        <v>31346.711727394271</v>
      </c>
      <c r="U127" s="12">
        <v>32552.354486140204</v>
      </c>
      <c r="V127" s="13">
        <v>8513.4875312577387</v>
      </c>
      <c r="W127" s="13"/>
      <c r="X127" s="14"/>
    </row>
    <row r="128" spans="1:24">
      <c r="A128" s="30" t="s">
        <v>123</v>
      </c>
      <c r="B128" s="51" t="str">
        <f>IFERROR(HYPERLINK(VLOOKUP(A128,ÜRÜNLER!A:C,3,FALSE),VLOOKUP(A128,ÜRÜNLER!A:B,2,FALSE)),"")</f>
        <v>iQ300 Solo Bulaşık Makinesi, Üstten Sepetli, Inox</v>
      </c>
      <c r="C128" s="8">
        <v>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92"/>
      <c r="M128" s="11"/>
      <c r="N128" s="134">
        <f t="shared" si="5"/>
        <v>4</v>
      </c>
      <c r="O128" s="135">
        <v>24</v>
      </c>
      <c r="P128" s="10"/>
      <c r="Q128" s="118"/>
      <c r="R128" s="52">
        <v>34092.320440763455</v>
      </c>
      <c r="S128" s="25">
        <v>34092.320440763455</v>
      </c>
      <c r="T128" s="12">
        <v>35456.013258393992</v>
      </c>
      <c r="U128" s="12">
        <v>36819.706076024529</v>
      </c>
      <c r="V128" s="13">
        <v>4619.0646268099663</v>
      </c>
      <c r="W128" s="13"/>
      <c r="X128" s="14"/>
    </row>
    <row r="129" spans="1:26">
      <c r="A129" s="22" t="s">
        <v>125</v>
      </c>
      <c r="B129" s="51" t="str">
        <f>IFERROR(HYPERLINK(VLOOKUP(A129,ÜRÜNLER!A:C,3,FALSE),VLOOKUP(A129,ÜRÜNLER!A:B,2,FALSE)),"")</f>
        <v>iQ300 Solo Bulaşık Makinesi, Üstten Sepetli, Beyaz</v>
      </c>
      <c r="C129" s="8">
        <v>11</v>
      </c>
      <c r="D129" s="8"/>
      <c r="E129" s="9"/>
      <c r="F129" s="9"/>
      <c r="G129" s="10"/>
      <c r="H129" s="10"/>
      <c r="I129" s="11">
        <v>1</v>
      </c>
      <c r="J129" s="11"/>
      <c r="K129" s="10">
        <v>3</v>
      </c>
      <c r="L129" s="192"/>
      <c r="M129" s="11"/>
      <c r="N129" s="134">
        <f t="shared" si="5"/>
        <v>15</v>
      </c>
      <c r="O129" s="135"/>
      <c r="P129" s="10"/>
      <c r="Q129" s="118"/>
      <c r="R129" s="52">
        <v>31969.828311913185</v>
      </c>
      <c r="S129" s="18">
        <v>30371.336896317523</v>
      </c>
      <c r="T129" s="12">
        <v>31586.190372170226</v>
      </c>
      <c r="U129" s="12">
        <v>32801.043848022928</v>
      </c>
      <c r="V129" s="13">
        <v>4718.6655212155092</v>
      </c>
      <c r="W129" s="13"/>
      <c r="X129" s="14"/>
    </row>
    <row r="130" spans="1:26">
      <c r="A130" s="22" t="s">
        <v>128</v>
      </c>
      <c r="B130" s="51" t="str">
        <f>IFERROR(HYPERLINK(VLOOKUP(A130,ÜRÜNLER!A:C,3,FALSE),VLOOKUP(A130,ÜRÜNLER!A:B,2,FALSE)),"")</f>
        <v>iQ500 Solo Bulaşık Makinesi, autoOpen dry, Inox</v>
      </c>
      <c r="C130" s="8">
        <v>3</v>
      </c>
      <c r="D130" s="8"/>
      <c r="E130" s="9"/>
      <c r="F130" s="9"/>
      <c r="G130" s="10"/>
      <c r="H130" s="10"/>
      <c r="I130" s="11"/>
      <c r="J130" s="11">
        <v>1</v>
      </c>
      <c r="K130" s="10"/>
      <c r="L130" s="192"/>
      <c r="M130" s="11"/>
      <c r="N130" s="134">
        <f t="shared" si="5"/>
        <v>4</v>
      </c>
      <c r="O130" s="135">
        <v>14</v>
      </c>
      <c r="P130" s="10"/>
      <c r="Q130" s="118"/>
      <c r="R130" s="52">
        <v>36784.46537578087</v>
      </c>
      <c r="S130" s="18">
        <v>34945.242106991827</v>
      </c>
      <c r="T130" s="12">
        <v>36343.0517912715</v>
      </c>
      <c r="U130" s="12">
        <v>37740.861475551173</v>
      </c>
      <c r="V130" s="13">
        <v>2948.4188641529618</v>
      </c>
      <c r="W130" s="13"/>
      <c r="Z130" s="27" t="s">
        <v>1593</v>
      </c>
    </row>
    <row r="131" spans="1:26">
      <c r="A131" s="22" t="s">
        <v>111</v>
      </c>
      <c r="B131" s="51" t="str">
        <f>IFERROR(HYPERLINK(VLOOKUP(A131,ÜRÜNLER!A:C,3,FALSE),VLOOKUP(A131,ÜRÜNLER!A:B,2,FALSE)),"")</f>
        <v>iQ500 Solo Bulaşık Makinesi, autoOpen dry, Üstten Sepetli, Inox</v>
      </c>
      <c r="C131" s="8">
        <v>17</v>
      </c>
      <c r="D131" s="8"/>
      <c r="E131" s="9"/>
      <c r="F131" s="9"/>
      <c r="G131" s="10"/>
      <c r="H131" s="10"/>
      <c r="I131" s="11"/>
      <c r="J131" s="11"/>
      <c r="K131" s="10"/>
      <c r="L131" s="192"/>
      <c r="M131" s="11"/>
      <c r="N131" s="134">
        <f t="shared" si="5"/>
        <v>17</v>
      </c>
      <c r="O131" s="135"/>
      <c r="P131" s="10"/>
      <c r="Q131" s="118"/>
      <c r="R131" s="52">
        <v>37152.326204304736</v>
      </c>
      <c r="S131" s="18">
        <v>35294.709894089501</v>
      </c>
      <c r="T131" s="12">
        <v>36706.49828985308</v>
      </c>
      <c r="U131" s="12">
        <v>38118.286685616658</v>
      </c>
      <c r="V131" s="13"/>
      <c r="W131" s="13"/>
      <c r="Z131" s="27" t="s">
        <v>1593</v>
      </c>
    </row>
    <row r="132" spans="1:26">
      <c r="A132" s="30" t="s">
        <v>130</v>
      </c>
      <c r="B132" s="51" t="str">
        <f>IFERROR(HYPERLINK(VLOOKUP(A132,ÜRÜNLER!A:C,3,FALSE),VLOOKUP(A132,ÜRÜNLER!A:B,2,FALSE)),"")</f>
        <v>iQ500 Solo Bulaşık Makinesi, autoOpen dry, Üstten Sepetli, Inox</v>
      </c>
      <c r="C132" s="8"/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192"/>
      <c r="M132" s="11"/>
      <c r="N132" s="134">
        <f t="shared" si="5"/>
        <v>3</v>
      </c>
      <c r="O132" s="135">
        <v>16</v>
      </c>
      <c r="P132" s="10"/>
      <c r="Q132" s="118"/>
      <c r="R132" s="52">
        <v>44038.825961696479</v>
      </c>
      <c r="S132" s="18">
        <v>41836.884663611658</v>
      </c>
      <c r="T132" s="12">
        <v>43510.360050156123</v>
      </c>
      <c r="U132" s="12">
        <v>45183.835436700589</v>
      </c>
      <c r="V132" s="13">
        <v>451.43658116550074</v>
      </c>
      <c r="W132" s="13"/>
      <c r="X132" s="14"/>
    </row>
    <row r="133" spans="1:26">
      <c r="A133" s="30" t="s">
        <v>131</v>
      </c>
      <c r="B133" s="51" t="str">
        <f>IFERROR(HYPERLINK(VLOOKUP(A133,ÜRÜNLER!A:C,3,FALSE),VLOOKUP(A133,ÜRÜNLER!A:B,2,FALSE)),"")</f>
        <v>iQ500 Solo Bulaşık Makinesi, autoOpen dry, glassZone, Inox</v>
      </c>
      <c r="C133" s="8"/>
      <c r="D133" s="8"/>
      <c r="E133" s="9"/>
      <c r="F133" s="9"/>
      <c r="G133" s="10"/>
      <c r="H133" s="10"/>
      <c r="I133" s="11">
        <v>1</v>
      </c>
      <c r="J133" s="11"/>
      <c r="K133" s="10"/>
      <c r="L133" s="192"/>
      <c r="M133" s="11">
        <v>1</v>
      </c>
      <c r="N133" s="134">
        <f t="shared" si="5"/>
        <v>2</v>
      </c>
      <c r="O133" s="135"/>
      <c r="P133" s="10"/>
      <c r="Q133" s="118"/>
      <c r="R133" s="74" t="s">
        <v>1592</v>
      </c>
      <c r="S133" s="48">
        <v>41000</v>
      </c>
      <c r="T133" s="12">
        <v>42640</v>
      </c>
      <c r="U133" s="12">
        <v>44280</v>
      </c>
      <c r="V133" s="13"/>
      <c r="W133" s="13"/>
      <c r="X133" s="131">
        <v>500</v>
      </c>
    </row>
    <row r="134" spans="1:26">
      <c r="A134" s="22" t="s">
        <v>134</v>
      </c>
      <c r="B134" s="51" t="str">
        <f>IFERROR(HYPERLINK(VLOOKUP(A134,ÜRÜNLER!A:C,3,FALSE),VLOOKUP(A134,ÜRÜNLER!A:B,2,FALSE)),"")</f>
        <v>iQ500 Solo Bulaşık Makinesi, autoOpen dry, glassZone, Üstten Sepetli, Inox</v>
      </c>
      <c r="C134" s="8">
        <v>8</v>
      </c>
      <c r="D134" s="8"/>
      <c r="E134" s="9"/>
      <c r="F134" s="9"/>
      <c r="G134" s="10"/>
      <c r="H134" s="10"/>
      <c r="I134" s="11"/>
      <c r="J134" s="11"/>
      <c r="K134" s="10"/>
      <c r="L134" s="192"/>
      <c r="M134" s="11"/>
      <c r="N134" s="134">
        <f t="shared" si="5"/>
        <v>8</v>
      </c>
      <c r="O134" s="135"/>
      <c r="P134" s="10"/>
      <c r="Q134" s="118"/>
      <c r="R134" s="52">
        <v>48790.291878140393</v>
      </c>
      <c r="S134" s="18">
        <v>46350.777284233372</v>
      </c>
      <c r="T134" s="12">
        <v>48204.808375602704</v>
      </c>
      <c r="U134" s="12">
        <v>50058.839466972044</v>
      </c>
      <c r="V134" s="13"/>
      <c r="W134" s="13"/>
      <c r="X134" s="14"/>
    </row>
    <row r="135" spans="1:26">
      <c r="A135" s="22" t="s">
        <v>129</v>
      </c>
      <c r="B135" s="51" t="str">
        <f>IFERROR(HYPERLINK(VLOOKUP(A135,ÜRÜNLER!A:C,3,FALSE),VLOOKUP(A135,ÜRÜNLER!A:B,2,FALSE)),"")</f>
        <v>iQ500 Solo Bulaşık Makinesi, autoOpen dry, Beyaz</v>
      </c>
      <c r="C135" s="8">
        <v>8</v>
      </c>
      <c r="D135" s="8"/>
      <c r="E135" s="9"/>
      <c r="F135" s="9"/>
      <c r="G135" s="10"/>
      <c r="H135" s="10"/>
      <c r="I135" s="11">
        <v>1</v>
      </c>
      <c r="J135" s="11"/>
      <c r="K135" s="10"/>
      <c r="L135" s="192"/>
      <c r="M135" s="11"/>
      <c r="N135" s="134">
        <f t="shared" si="5"/>
        <v>9</v>
      </c>
      <c r="O135" s="135"/>
      <c r="P135" s="10"/>
      <c r="Q135" s="118"/>
      <c r="R135" s="52">
        <v>35182.844355966678</v>
      </c>
      <c r="S135" s="18">
        <v>33423.702138168344</v>
      </c>
      <c r="T135" s="12">
        <v>34760.650223695076</v>
      </c>
      <c r="U135" s="12">
        <v>36097.598309221808</v>
      </c>
      <c r="V135" s="13">
        <v>3275.8676117806281</v>
      </c>
      <c r="W135" s="13"/>
      <c r="Z135" s="27" t="s">
        <v>1593</v>
      </c>
    </row>
    <row r="136" spans="1:26">
      <c r="A136" s="22" t="s">
        <v>132</v>
      </c>
      <c r="B136" s="51" t="str">
        <f>IFERROR(HYPERLINK(VLOOKUP(A136,ÜRÜNLER!A:C,3,FALSE),VLOOKUP(A136,ÜRÜNLER!A:B,2,FALSE)),"")</f>
        <v>iQ500 Solo Bulaşık Makinesi, autoOpen dry, Üstten Sepetli, Beyaz</v>
      </c>
      <c r="C136" s="8">
        <v>1</v>
      </c>
      <c r="D136" s="8"/>
      <c r="E136" s="9"/>
      <c r="F136" s="9">
        <v>1</v>
      </c>
      <c r="G136" s="10"/>
      <c r="H136" s="10"/>
      <c r="I136" s="11"/>
      <c r="J136" s="11"/>
      <c r="K136" s="10"/>
      <c r="L136" s="192"/>
      <c r="M136" s="11"/>
      <c r="N136" s="134">
        <f t="shared" si="5"/>
        <v>2</v>
      </c>
      <c r="O136" s="135"/>
      <c r="P136" s="10"/>
      <c r="Q136" s="118"/>
      <c r="R136" s="74" t="s">
        <v>1592</v>
      </c>
      <c r="S136" s="48">
        <v>33000</v>
      </c>
      <c r="T136" s="12">
        <v>34320</v>
      </c>
      <c r="U136" s="12">
        <v>35640</v>
      </c>
      <c r="V136" s="13">
        <v>757.87973791275726</v>
      </c>
      <c r="W136" s="13"/>
      <c r="X136" s="17"/>
    </row>
    <row r="137" spans="1:26">
      <c r="A137" s="22" t="s">
        <v>133</v>
      </c>
      <c r="B137" s="51" t="str">
        <f>IFERROR(HYPERLINK(VLOOKUP(A137,ÜRÜNLER!A:C,3,FALSE),VLOOKUP(A137,ÜRÜNLER!A:B,2,FALSE)),"")</f>
        <v>iQ500 Solo Bulaşık Makinesi, Üstten Sepetli, Beyaz</v>
      </c>
      <c r="C137" s="8"/>
      <c r="D137" s="8"/>
      <c r="E137" s="9"/>
      <c r="F137" s="9"/>
      <c r="G137" s="10"/>
      <c r="H137" s="10"/>
      <c r="I137" s="11"/>
      <c r="J137" s="11">
        <v>1</v>
      </c>
      <c r="K137" s="10"/>
      <c r="L137" s="192"/>
      <c r="M137" s="11"/>
      <c r="N137" s="134">
        <f t="shared" si="5"/>
        <v>1</v>
      </c>
      <c r="O137" s="135"/>
      <c r="P137" s="10"/>
      <c r="Q137" s="118"/>
      <c r="R137" s="74" t="s">
        <v>1592</v>
      </c>
      <c r="S137" s="47">
        <v>33000</v>
      </c>
      <c r="T137" s="12">
        <v>34320</v>
      </c>
      <c r="U137" s="12">
        <v>35640</v>
      </c>
      <c r="V137" s="13"/>
      <c r="W137" s="13"/>
      <c r="X137" s="131">
        <v>500</v>
      </c>
    </row>
    <row r="138" spans="1:26">
      <c r="A138" s="30" t="s">
        <v>135</v>
      </c>
      <c r="B138" s="51" t="str">
        <f>IFERROR(HYPERLINK(VLOOKUP(A138,ÜRÜNLER!A:C,3,FALSE),VLOOKUP(A138,ÜRÜNLER!A:B,2,FALSE)),"")</f>
        <v>iQ700 Solo Bulaşık Makinesi, Zeolith dry, glassZone, Inox</v>
      </c>
      <c r="C138" s="8">
        <v>49</v>
      </c>
      <c r="D138" s="8"/>
      <c r="E138" s="9"/>
      <c r="F138" s="9">
        <v>1</v>
      </c>
      <c r="G138" s="10"/>
      <c r="H138" s="10"/>
      <c r="I138" s="11">
        <v>1</v>
      </c>
      <c r="J138" s="11">
        <v>1</v>
      </c>
      <c r="K138" s="10">
        <v>1</v>
      </c>
      <c r="L138" s="192"/>
      <c r="M138" s="11">
        <v>1</v>
      </c>
      <c r="N138" s="134">
        <f t="shared" si="5"/>
        <v>54</v>
      </c>
      <c r="O138" s="135">
        <v>14</v>
      </c>
      <c r="P138" s="10"/>
      <c r="Q138" s="119"/>
      <c r="R138" s="52">
        <v>52646.952042371733</v>
      </c>
      <c r="S138" s="18">
        <v>50014.604440253148</v>
      </c>
      <c r="T138" s="12">
        <v>52015.18861786327</v>
      </c>
      <c r="U138" s="12">
        <v>54015.7727954734</v>
      </c>
      <c r="V138" s="13"/>
      <c r="W138" s="13"/>
      <c r="X138" s="17"/>
    </row>
    <row r="139" spans="1:26" s="32" customFormat="1" ht="34.5" customHeight="1">
      <c r="A139" s="31" t="s">
        <v>1551</v>
      </c>
      <c r="B139" s="51" t="str">
        <f>IFERROR(HYPERLINK(VLOOKUP(A139,ÜRÜNLER!A:C,3,FALSE),VLOOKUP(A139,ÜRÜNLER!A:B,2,FALSE)),"")</f>
        <v/>
      </c>
      <c r="C139" s="8"/>
      <c r="D139" s="8"/>
      <c r="E139" s="9"/>
      <c r="F139" s="9"/>
      <c r="G139" s="10"/>
      <c r="H139" s="10"/>
      <c r="I139" s="11"/>
      <c r="J139" s="11"/>
      <c r="K139" s="10"/>
      <c r="L139" s="192"/>
      <c r="M139" s="11"/>
      <c r="N139" s="134">
        <f>SUM(N114:N138)</f>
        <v>650</v>
      </c>
      <c r="O139" s="135"/>
      <c r="P139" s="10"/>
      <c r="Q139" s="118"/>
      <c r="R139" s="74"/>
      <c r="S139" s="14"/>
      <c r="T139" s="12"/>
      <c r="U139" s="12"/>
      <c r="V139" s="13"/>
      <c r="W139" s="13"/>
      <c r="X139" s="14"/>
    </row>
    <row r="140" spans="1:26">
      <c r="A140" s="143" t="s">
        <v>473</v>
      </c>
      <c r="B140" s="51" t="str">
        <f>IFERROR(HYPERLINK(VLOOKUP(A140,ÜRÜNLER!A:C,3,FALSE),VLOOKUP(A140,ÜRÜNLER!A:B,2,FALSE)),"")</f>
        <v>iQ500 Tezgah Altı Ankastre Kapaklı Bulaşık Makinesi, autoOpen dry, timeLight, 3 Sepetli, Siyah Cam</v>
      </c>
      <c r="C140" s="8">
        <v>2</v>
      </c>
      <c r="D140" s="8"/>
      <c r="E140" s="9"/>
      <c r="F140" s="9"/>
      <c r="G140" s="10"/>
      <c r="H140" s="10"/>
      <c r="I140" s="11">
        <v>1</v>
      </c>
      <c r="J140" s="11"/>
      <c r="K140" s="10"/>
      <c r="L140" s="192"/>
      <c r="M140" s="11"/>
      <c r="N140" s="134">
        <f t="shared" ref="N140:N157" si="6">M140+L140+K140+J140+I140+H140+G140+F140+E140+D140+C140</f>
        <v>3</v>
      </c>
      <c r="O140" s="135">
        <v>25</v>
      </c>
      <c r="P140" s="10"/>
      <c r="Q140" s="118"/>
      <c r="R140" s="52">
        <v>39518.174799999993</v>
      </c>
      <c r="S140" s="25">
        <v>39518.174799999993</v>
      </c>
      <c r="T140" s="12">
        <v>41098.90179199999</v>
      </c>
      <c r="U140" s="12">
        <v>42679.628783999993</v>
      </c>
      <c r="V140" s="13"/>
      <c r="W140" s="13"/>
      <c r="X140" s="14"/>
    </row>
    <row r="141" spans="1:26">
      <c r="A141" s="143" t="s">
        <v>474</v>
      </c>
      <c r="B141" s="51" t="str">
        <f>IFERROR(HYPERLINK(VLOOKUP(A141,ÜRÜNLER!A:C,3,FALSE),VLOOKUP(A141,ÜRÜNLER!A:B,2,FALSE)),"")</f>
        <v>iQ500 Tezgah Altı Ankastre Kapaklı Bulaşık Makinesi, autoOpen dry, timeLight, 3 Sepetli, Antrasit Cam</v>
      </c>
      <c r="C141" s="8">
        <v>3</v>
      </c>
      <c r="D141" s="8"/>
      <c r="E141" s="9"/>
      <c r="F141" s="9"/>
      <c r="G141" s="10"/>
      <c r="H141" s="10"/>
      <c r="I141" s="11"/>
      <c r="J141" s="11"/>
      <c r="K141" s="10"/>
      <c r="L141" s="192"/>
      <c r="M141" s="11"/>
      <c r="N141" s="134">
        <f t="shared" si="6"/>
        <v>3</v>
      </c>
      <c r="O141" s="135"/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6">
      <c r="A142" s="142" t="s">
        <v>138</v>
      </c>
      <c r="B142" s="51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192"/>
      <c r="M142" s="11"/>
      <c r="N142" s="134">
        <f t="shared" si="6"/>
        <v>1</v>
      </c>
      <c r="O142" s="135"/>
      <c r="P142" s="10"/>
      <c r="Q142" s="118"/>
      <c r="R142" s="74" t="s">
        <v>1592</v>
      </c>
      <c r="S142" s="19">
        <v>20000</v>
      </c>
      <c r="T142" s="12">
        <v>20800</v>
      </c>
      <c r="U142" s="12">
        <v>21600</v>
      </c>
      <c r="V142" s="13"/>
      <c r="W142" s="13"/>
      <c r="X142" s="106">
        <v>500</v>
      </c>
    </row>
    <row r="143" spans="1:26">
      <c r="A143" s="142" t="s">
        <v>137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>
        <v>2</v>
      </c>
      <c r="G143" s="10"/>
      <c r="H143" s="10"/>
      <c r="I143" s="11"/>
      <c r="J143" s="11"/>
      <c r="K143" s="10"/>
      <c r="L143" s="192"/>
      <c r="M143" s="11"/>
      <c r="N143" s="134">
        <f t="shared" si="6"/>
        <v>2</v>
      </c>
      <c r="O143" s="135"/>
      <c r="P143" s="10"/>
      <c r="Q143" s="118"/>
      <c r="R143" s="74" t="s">
        <v>1592</v>
      </c>
      <c r="S143" s="19">
        <v>20000</v>
      </c>
      <c r="T143" s="12">
        <v>20800</v>
      </c>
      <c r="U143" s="12">
        <v>21600</v>
      </c>
      <c r="V143" s="13"/>
      <c r="W143" s="18">
        <v>2164.92</v>
      </c>
      <c r="X143" s="14">
        <v>250</v>
      </c>
    </row>
    <row r="144" spans="1:26">
      <c r="A144" s="142" t="s">
        <v>141</v>
      </c>
      <c r="B144" s="51" t="str">
        <f>IFERROR(HYPERLINK(VLOOKUP(A144,ÜRÜNLER!A:C,3,FALSE),VLOOKUP(A144,ÜRÜNLER!A:B,2,FALSE)),"")</f>
        <v>iQ300 Yarı Ankastre Bulaşık Makinesi, Siyah/Inox</v>
      </c>
      <c r="C144" s="8">
        <v>13</v>
      </c>
      <c r="D144" s="8"/>
      <c r="E144" s="9"/>
      <c r="F144" s="9"/>
      <c r="G144" s="10"/>
      <c r="H144" s="10"/>
      <c r="I144" s="11"/>
      <c r="J144" s="11"/>
      <c r="K144" s="10"/>
      <c r="L144" s="192"/>
      <c r="M144" s="11">
        <v>1</v>
      </c>
      <c r="N144" s="134">
        <f t="shared" si="6"/>
        <v>14</v>
      </c>
      <c r="O144" s="135">
        <v>6</v>
      </c>
      <c r="P144" s="10"/>
      <c r="Q144" s="118"/>
      <c r="R144" s="52">
        <v>30018.164384574291</v>
      </c>
      <c r="S144" s="25">
        <v>30018.164384574291</v>
      </c>
      <c r="T144" s="12">
        <v>31218.890959957262</v>
      </c>
      <c r="U144" s="12">
        <v>32419.617535340236</v>
      </c>
      <c r="V144" s="13"/>
      <c r="W144" s="13"/>
      <c r="X144" s="14"/>
    </row>
    <row r="145" spans="1:24">
      <c r="A145" s="21" t="s">
        <v>139</v>
      </c>
      <c r="B145" s="51" t="str">
        <f>IFERROR(HYPERLINK(VLOOKUP(A145,ÜRÜNLER!A:C,3,FALSE),VLOOKUP(A145,ÜRÜNLER!A:B,2,FALSE)),"")</f>
        <v>iQ500 Yarı Ankastre Bulaşık Makinesi, Üstten Sepetli, Inox</v>
      </c>
      <c r="C145" s="8">
        <v>10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>
        <v>1</v>
      </c>
      <c r="L145" s="192"/>
      <c r="M145" s="11"/>
      <c r="N145" s="134">
        <f t="shared" si="6"/>
        <v>13</v>
      </c>
      <c r="O145" s="135">
        <v>5</v>
      </c>
      <c r="P145" s="10"/>
      <c r="Q145" s="118"/>
      <c r="R145" s="52">
        <v>31433.189462472423</v>
      </c>
      <c r="S145" s="53">
        <v>30490.193778598252</v>
      </c>
      <c r="T145" s="12">
        <v>31709.801529742181</v>
      </c>
      <c r="U145" s="12">
        <v>32929.40928088611</v>
      </c>
      <c r="V145" s="13"/>
      <c r="W145" s="13"/>
      <c r="X145" s="14"/>
    </row>
    <row r="146" spans="1:24">
      <c r="A146" s="142" t="s">
        <v>140</v>
      </c>
      <c r="B146" s="51" t="str">
        <f>IFERROR(HYPERLINK(VLOOKUP(A146,ÜRÜNLER!A:C,3,FALSE),VLOOKUP(A146,ÜRÜNLER!A:B,2,FALSE)),"")</f>
        <v>iQ300 Yarı Ankastre Bulaşık Makinesi, Beyaz/Inox</v>
      </c>
      <c r="C146" s="8">
        <v>3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92"/>
      <c r="M146" s="11"/>
      <c r="N146" s="134">
        <f t="shared" si="6"/>
        <v>5</v>
      </c>
      <c r="O146" s="135"/>
      <c r="P146" s="10"/>
      <c r="Q146" s="118"/>
      <c r="R146" s="74" t="s">
        <v>1592</v>
      </c>
      <c r="S146" s="45">
        <v>27756.046587678491</v>
      </c>
      <c r="T146" s="12">
        <v>28866.288451185632</v>
      </c>
      <c r="U146" s="12">
        <v>29976.530314692769</v>
      </c>
      <c r="V146" s="13"/>
      <c r="W146" s="13"/>
      <c r="X146" s="14"/>
    </row>
    <row r="147" spans="1:24">
      <c r="A147" s="148" t="s">
        <v>143</v>
      </c>
      <c r="B147" s="51" t="str">
        <f>IFERROR(HYPERLINK(VLOOKUP(A147,ÜRÜNLER!A:C,3,FALSE),VLOOKUP(A147,ÜRÜNLER!A:B,2,FALSE)),"")</f>
        <v>iQ500 Yarı Ankastre Bulaşık Makinesi, autoOpen dry, Siyah/Inox</v>
      </c>
      <c r="C147" s="8">
        <v>9</v>
      </c>
      <c r="D147" s="8"/>
      <c r="E147" s="9"/>
      <c r="F147" s="9">
        <v>2</v>
      </c>
      <c r="G147" s="10"/>
      <c r="H147" s="10"/>
      <c r="I147" s="11"/>
      <c r="J147" s="11"/>
      <c r="K147" s="10">
        <v>1</v>
      </c>
      <c r="L147" s="192"/>
      <c r="M147" s="11"/>
      <c r="N147" s="134">
        <f t="shared" si="6"/>
        <v>12</v>
      </c>
      <c r="O147" s="135"/>
      <c r="P147" s="10"/>
      <c r="Q147" s="118"/>
      <c r="R147" s="52">
        <v>49177.972938448722</v>
      </c>
      <c r="S147" s="25">
        <v>49177.972938448722</v>
      </c>
      <c r="T147" s="12">
        <v>51145.09185598667</v>
      </c>
      <c r="U147" s="12">
        <v>53112.210773524617</v>
      </c>
      <c r="V147" s="13"/>
      <c r="W147" s="13"/>
      <c r="X147" s="14"/>
    </row>
    <row r="148" spans="1:24">
      <c r="A148" s="142" t="s">
        <v>144</v>
      </c>
      <c r="B148" s="51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92"/>
      <c r="M148" s="11"/>
      <c r="N148" s="134">
        <f t="shared" si="6"/>
        <v>2</v>
      </c>
      <c r="O148" s="135"/>
      <c r="P148" s="10"/>
      <c r="Q148" s="118"/>
      <c r="R148" s="74" t="s">
        <v>1592</v>
      </c>
      <c r="S148" s="130">
        <v>50000</v>
      </c>
      <c r="T148" s="12">
        <v>52000</v>
      </c>
      <c r="U148" s="12">
        <v>54000</v>
      </c>
      <c r="V148" s="13"/>
      <c r="W148" s="13"/>
      <c r="X148" s="106">
        <v>500</v>
      </c>
    </row>
    <row r="149" spans="1:24">
      <c r="A149" s="148" t="s">
        <v>145</v>
      </c>
      <c r="B149" s="51" t="str">
        <f>IFERROR(HYPERLINK(VLOOKUP(A149,ÜRÜNLER!A:C,3,FALSE),VLOOKUP(A149,ÜRÜNLER!A:B,2,FALSE)),"")</f>
        <v>iQ700 Yarı Ankastre Bulaşık Makinesi, Zeolith dry, Siyah/Inox</v>
      </c>
      <c r="C149" s="8">
        <v>4</v>
      </c>
      <c r="D149" s="8"/>
      <c r="E149" s="9"/>
      <c r="F149" s="9"/>
      <c r="G149" s="10"/>
      <c r="H149" s="10"/>
      <c r="I149" s="11"/>
      <c r="J149" s="11"/>
      <c r="K149" s="10"/>
      <c r="L149" s="192"/>
      <c r="M149" s="11"/>
      <c r="N149" s="134">
        <f t="shared" si="6"/>
        <v>4</v>
      </c>
      <c r="O149" s="135"/>
      <c r="P149" s="10"/>
      <c r="Q149" s="118"/>
      <c r="R149" s="52">
        <v>64058.835288969611</v>
      </c>
      <c r="S149" s="25">
        <v>64058.835288969611</v>
      </c>
      <c r="T149" s="12">
        <v>66621.188700528393</v>
      </c>
      <c r="U149" s="12">
        <v>69183.542112087176</v>
      </c>
      <c r="V149" s="13"/>
      <c r="W149" s="13"/>
      <c r="X149" s="14"/>
    </row>
    <row r="150" spans="1:24">
      <c r="A150" s="142" t="s">
        <v>146</v>
      </c>
      <c r="B150" s="51" t="str">
        <f>IFERROR(HYPERLINK(VLOOKUP(A150,ÜRÜNLER!A:C,3,FALSE),VLOOKUP(A150,ÜRÜNLER!A:B,2,FALSE)),"")</f>
        <v>iQ100 Tam Ankastre Bulaşık Makinesi</v>
      </c>
      <c r="C150" s="8">
        <v>7</v>
      </c>
      <c r="D150" s="8"/>
      <c r="E150" s="9"/>
      <c r="F150" s="9"/>
      <c r="G150" s="10"/>
      <c r="H150" s="10"/>
      <c r="I150" s="11"/>
      <c r="J150" s="11">
        <v>1</v>
      </c>
      <c r="K150" s="10"/>
      <c r="L150" s="192"/>
      <c r="M150" s="11"/>
      <c r="N150" s="134">
        <f t="shared" si="6"/>
        <v>8</v>
      </c>
      <c r="O150" s="135">
        <v>10</v>
      </c>
      <c r="P150" s="10"/>
      <c r="Q150" s="118"/>
      <c r="R150" s="52">
        <v>31157.1419140625</v>
      </c>
      <c r="S150" s="25">
        <v>31157.1419140625</v>
      </c>
      <c r="T150" s="12">
        <v>32403.427590625</v>
      </c>
      <c r="U150" s="12">
        <v>33649.713267187501</v>
      </c>
      <c r="V150" s="13"/>
      <c r="W150" s="13"/>
      <c r="X150" s="14"/>
    </row>
    <row r="151" spans="1:24">
      <c r="A151" s="21" t="s">
        <v>147</v>
      </c>
      <c r="B151" s="51" t="str">
        <f>IFERROR(HYPERLINK(VLOOKUP(A151,ÜRÜNLER!A:C,3,FALSE),VLOOKUP(A151,ÜRÜNLER!A:B,2,FALSE)),"")</f>
        <v>iQ300 Tam Ankastre Bulaşık Makinesi, Üstten Sepetli</v>
      </c>
      <c r="C151" s="8"/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92"/>
      <c r="M151" s="11"/>
      <c r="N151" s="134">
        <f t="shared" si="6"/>
        <v>2</v>
      </c>
      <c r="O151" s="135"/>
      <c r="P151" s="10"/>
      <c r="Q151" s="118"/>
      <c r="R151" s="74" t="s">
        <v>1592</v>
      </c>
      <c r="S151" s="19">
        <v>27000</v>
      </c>
      <c r="T151" s="12">
        <v>28080</v>
      </c>
      <c r="U151" s="12">
        <v>29160</v>
      </c>
      <c r="V151" s="13"/>
      <c r="W151" s="13"/>
      <c r="X151" s="14">
        <v>250</v>
      </c>
    </row>
    <row r="152" spans="1:24">
      <c r="A152" s="149" t="s">
        <v>148</v>
      </c>
      <c r="B152" s="51" t="str">
        <f>IFERROR(HYPERLINK(VLOOKUP(A152,ÜRÜNLER!A:C,3,FALSE),VLOOKUP(A152,ÜRÜNLER!A:B,2,FALSE)),"")</f>
        <v>iQ500 Tam Ankastre Bulaşık Makinesi, Üstten Sepetli</v>
      </c>
      <c r="C152" s="8"/>
      <c r="D152" s="8">
        <v>6</v>
      </c>
      <c r="E152" s="9"/>
      <c r="F152" s="9"/>
      <c r="G152" s="10"/>
      <c r="H152" s="10"/>
      <c r="I152" s="11"/>
      <c r="J152" s="11"/>
      <c r="K152" s="10"/>
      <c r="L152" s="192"/>
      <c r="M152" s="11">
        <v>1</v>
      </c>
      <c r="N152" s="134">
        <f t="shared" si="6"/>
        <v>7</v>
      </c>
      <c r="O152" s="135"/>
      <c r="P152" s="10"/>
      <c r="Q152" s="118"/>
      <c r="R152" s="74" t="s">
        <v>1592</v>
      </c>
      <c r="S152" s="18">
        <v>50000</v>
      </c>
      <c r="T152" s="12">
        <v>52000</v>
      </c>
      <c r="U152" s="12">
        <v>54000</v>
      </c>
      <c r="V152" s="13"/>
      <c r="W152" s="13"/>
      <c r="X152" s="14"/>
    </row>
    <row r="153" spans="1:24">
      <c r="A153" s="21" t="s">
        <v>151</v>
      </c>
      <c r="B153" s="51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3</v>
      </c>
      <c r="E153" s="9"/>
      <c r="F153" s="9"/>
      <c r="G153" s="10"/>
      <c r="H153" s="10">
        <v>1</v>
      </c>
      <c r="I153" s="11"/>
      <c r="J153" s="11"/>
      <c r="K153" s="10"/>
      <c r="L153" s="192"/>
      <c r="M153" s="11"/>
      <c r="N153" s="134">
        <f t="shared" si="6"/>
        <v>4</v>
      </c>
      <c r="O153" s="135"/>
      <c r="P153" s="10"/>
      <c r="Q153" s="118"/>
      <c r="R153" s="74" t="s">
        <v>1592</v>
      </c>
      <c r="S153" s="18">
        <v>71200</v>
      </c>
      <c r="T153" s="12">
        <v>74048</v>
      </c>
      <c r="U153" s="12">
        <v>76896</v>
      </c>
      <c r="V153" s="13"/>
      <c r="W153" s="13"/>
      <c r="X153" s="14">
        <v>500</v>
      </c>
    </row>
    <row r="154" spans="1:24">
      <c r="A154" s="21" t="s">
        <v>150</v>
      </c>
      <c r="B154" s="51" t="str">
        <f>IFERROR(HYPERLINK(VLOOKUP(A154,ÜRÜNLER!A:C,3,FALSE),VLOOKUP(A154,ÜRÜNLER!A:B,2,FALSE)),"")</f>
        <v>iQ700 studioLine Tam Ankastre Bulaşık Makinesi, Zeolith dry, glassZone</v>
      </c>
      <c r="C154" s="8"/>
      <c r="D154" s="8">
        <v>3</v>
      </c>
      <c r="E154" s="9"/>
      <c r="F154" s="9"/>
      <c r="G154" s="10"/>
      <c r="H154" s="10"/>
      <c r="I154" s="11"/>
      <c r="J154" s="11"/>
      <c r="K154" s="10"/>
      <c r="L154" s="192"/>
      <c r="M154" s="11"/>
      <c r="N154" s="134">
        <f t="shared" si="6"/>
        <v>3</v>
      </c>
      <c r="O154" s="135"/>
      <c r="P154" s="10"/>
      <c r="Q154" s="118"/>
      <c r="R154" s="52">
        <v>93781.326431238573</v>
      </c>
      <c r="S154" s="18">
        <v>84403.193788114717</v>
      </c>
      <c r="T154" s="12">
        <v>87779.321539639306</v>
      </c>
      <c r="U154" s="12">
        <v>91155.449291163895</v>
      </c>
      <c r="V154" s="13"/>
      <c r="W154" s="13"/>
      <c r="X154" s="14">
        <v>500</v>
      </c>
    </row>
    <row r="155" spans="1:24">
      <c r="A155" s="21" t="s">
        <v>1506</v>
      </c>
      <c r="B155" s="51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192"/>
      <c r="M155" s="11"/>
      <c r="N155" s="134">
        <f t="shared" si="6"/>
        <v>0</v>
      </c>
      <c r="O155" s="135"/>
      <c r="P155" s="10"/>
      <c r="Q155" s="118"/>
      <c r="R155" s="52">
        <v>80195.394746367354</v>
      </c>
      <c r="S155" s="25">
        <v>80195.394746367354</v>
      </c>
      <c r="T155" s="12">
        <v>83403.210536222046</v>
      </c>
      <c r="U155" s="12">
        <v>86611.026326076739</v>
      </c>
      <c r="V155" s="13"/>
      <c r="W155" s="13"/>
      <c r="X155" s="14"/>
    </row>
    <row r="156" spans="1:24">
      <c r="A156" s="21" t="s">
        <v>152</v>
      </c>
      <c r="B156" s="51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/>
      <c r="K156" s="10">
        <v>1</v>
      </c>
      <c r="L156" s="192"/>
      <c r="M156" s="11"/>
      <c r="N156" s="134">
        <f t="shared" si="6"/>
        <v>1</v>
      </c>
      <c r="O156" s="135"/>
      <c r="P156" s="10"/>
      <c r="Q156" s="118"/>
      <c r="R156" s="74" t="s">
        <v>1592</v>
      </c>
      <c r="S156" s="48">
        <v>47500</v>
      </c>
      <c r="T156" s="12">
        <v>49400</v>
      </c>
      <c r="U156" s="12">
        <v>51300</v>
      </c>
      <c r="V156" s="13"/>
      <c r="W156" s="13"/>
      <c r="X156" s="106">
        <v>500</v>
      </c>
    </row>
    <row r="157" spans="1:24">
      <c r="A157" s="21" t="s">
        <v>1490</v>
      </c>
      <c r="B157" s="51" t="str">
        <f>IFERROR(HYPERLINK(VLOOKUP(A157,ÜRÜNLER!A:C,3,FALSE),VLOOKUP(A157,ÜRÜNLER!A:B,2,FALSE)),"")</f>
        <v>Siemens Bulaşık Makinesi 3. Tepsi</v>
      </c>
      <c r="C157" s="8"/>
      <c r="D157" s="8">
        <v>11</v>
      </c>
      <c r="E157" s="9"/>
      <c r="F157" s="9"/>
      <c r="G157" s="10"/>
      <c r="H157" s="10"/>
      <c r="I157" s="11"/>
      <c r="J157" s="11"/>
      <c r="K157" s="10"/>
      <c r="L157" s="192"/>
      <c r="M157" s="11"/>
      <c r="N157" s="134">
        <f t="shared" si="6"/>
        <v>11</v>
      </c>
      <c r="O157" s="135"/>
      <c r="P157" s="10"/>
      <c r="Q157" s="118"/>
      <c r="R157" s="74"/>
      <c r="S157" s="90">
        <v>1250</v>
      </c>
      <c r="T157" s="12">
        <v>1300</v>
      </c>
      <c r="U157" s="12">
        <v>1350</v>
      </c>
      <c r="V157" s="13"/>
      <c r="W157" s="13"/>
      <c r="X157" s="14"/>
    </row>
    <row r="158" spans="1:24" s="32" customFormat="1" ht="30">
      <c r="A158" s="57" t="s">
        <v>153</v>
      </c>
      <c r="B158" s="51" t="str">
        <f>IFERROR(HYPERLINK(VLOOKUP(A158,ÜRÜNLER!A:C,3,FALSE),VLOOKUP(A158,ÜRÜNLER!A:B,2,FALSE)),"")</f>
        <v/>
      </c>
      <c r="C158" s="8"/>
      <c r="D158" s="8"/>
      <c r="E158" s="9"/>
      <c r="F158" s="9"/>
      <c r="G158" s="10"/>
      <c r="H158" s="10"/>
      <c r="I158" s="11"/>
      <c r="J158" s="11"/>
      <c r="K158" s="10"/>
      <c r="L158" s="192"/>
      <c r="M158" s="11"/>
      <c r="N158" s="134">
        <f>SUM(N140:N157)</f>
        <v>95</v>
      </c>
      <c r="O158" s="135"/>
      <c r="P158" s="10"/>
      <c r="Q158" s="118"/>
      <c r="R158" s="74"/>
      <c r="S158" s="14"/>
      <c r="T158" s="12"/>
      <c r="U158" s="12"/>
      <c r="V158" s="13"/>
      <c r="W158" s="13"/>
      <c r="X158" s="14"/>
    </row>
    <row r="159" spans="1:24">
      <c r="A159" s="150" t="s">
        <v>199</v>
      </c>
      <c r="B159" s="51" t="str">
        <f>IFERROR(HYPERLINK(VLOOKUP(A159,ÜRÜNLER!A:C,3,FALSE),VLOOKUP(A159,ÜRÜNLER!A:B,2,FALSE)),"")</f>
        <v>iQ700 Buhar Destekli Kompakt Ankastre Fırın, Siyah/Inox</v>
      </c>
      <c r="C159" s="8"/>
      <c r="D159" s="8"/>
      <c r="E159" s="9"/>
      <c r="F159" s="9">
        <v>1</v>
      </c>
      <c r="G159" s="10"/>
      <c r="H159" s="10"/>
      <c r="I159" s="11"/>
      <c r="J159" s="11"/>
      <c r="K159" s="10"/>
      <c r="L159" s="192"/>
      <c r="M159" s="11"/>
      <c r="N159" s="134">
        <f t="shared" ref="N159:N204" si="7">M159+L159+K159+J159+I159+H159+G159+F159+E159+D159+C159</f>
        <v>1</v>
      </c>
      <c r="O159" s="135"/>
      <c r="P159" s="10"/>
      <c r="Q159" s="118"/>
      <c r="R159" s="74" t="s">
        <v>1592</v>
      </c>
      <c r="S159" s="47">
        <v>70000</v>
      </c>
      <c r="T159" s="12">
        <v>72800</v>
      </c>
      <c r="U159" s="12">
        <v>75600</v>
      </c>
      <c r="V159" s="13"/>
      <c r="W159" s="13"/>
      <c r="X159" s="131">
        <v>1000</v>
      </c>
    </row>
    <row r="160" spans="1:24">
      <c r="A160" s="150" t="s">
        <v>200</v>
      </c>
      <c r="B160" s="51" t="str">
        <f>IFERROR(HYPERLINK(VLOOKUP(A160,ÜRÜNLER!A:C,3,FALSE),VLOOKUP(A160,ÜRÜNLER!A:B,2,FALSE)),"")</f>
        <v>iQ700 Buhar Destekli Kompakt Ankastre Fırın, Siyah</v>
      </c>
      <c r="C160" s="8">
        <v>4</v>
      </c>
      <c r="D160" s="8"/>
      <c r="E160" s="9"/>
      <c r="F160" s="9"/>
      <c r="G160" s="10"/>
      <c r="H160" s="10"/>
      <c r="I160" s="11"/>
      <c r="J160" s="11"/>
      <c r="K160" s="10"/>
      <c r="L160" s="192"/>
      <c r="M160" s="11"/>
      <c r="N160" s="134">
        <f t="shared" si="7"/>
        <v>4</v>
      </c>
      <c r="O160" s="135"/>
      <c r="P160" s="10"/>
      <c r="Q160" s="118"/>
      <c r="R160" s="52">
        <v>77022.402951568409</v>
      </c>
      <c r="S160" s="53">
        <v>74711.730863021352</v>
      </c>
      <c r="T160" s="12">
        <v>77700.200097542212</v>
      </c>
      <c r="U160" s="12">
        <v>80688.669332063058</v>
      </c>
      <c r="V160" s="13"/>
      <c r="W160" s="13"/>
      <c r="X160" s="14"/>
    </row>
    <row r="161" spans="1:24">
      <c r="A161" s="142" t="s">
        <v>198</v>
      </c>
      <c r="B161" s="51" t="str">
        <f>IFERROR(HYPERLINK(VLOOKUP(A161,ÜRÜNLER!A:C,3,FALSE),VLOOKUP(A161,ÜRÜNLER!A:B,2,FALSE)),"")</f>
        <v>iQ700 studioLine Mikrodalga Fonksiyonlu Kompakt Ankastre Fırın, Komple Kendini Temizler, Siyah</v>
      </c>
      <c r="C161" s="8"/>
      <c r="D161" s="8">
        <v>2</v>
      </c>
      <c r="E161" s="9"/>
      <c r="F161" s="9"/>
      <c r="G161" s="10"/>
      <c r="H161" s="10"/>
      <c r="I161" s="11"/>
      <c r="J161" s="11"/>
      <c r="K161" s="10"/>
      <c r="L161" s="192"/>
      <c r="M161" s="11"/>
      <c r="N161" s="134">
        <f t="shared" si="7"/>
        <v>2</v>
      </c>
      <c r="O161" s="135"/>
      <c r="P161" s="10"/>
      <c r="Q161" s="118"/>
      <c r="R161" s="52">
        <v>167526.85277372078</v>
      </c>
      <c r="S161" s="18">
        <v>150774.1674963487</v>
      </c>
      <c r="T161" s="12">
        <v>156805.13419620265</v>
      </c>
      <c r="U161" s="12">
        <v>162836.1008960566</v>
      </c>
      <c r="V161" s="13"/>
      <c r="W161" s="13"/>
      <c r="X161" s="14">
        <v>500</v>
      </c>
    </row>
    <row r="162" spans="1:24">
      <c r="A162" s="142" t="s">
        <v>201</v>
      </c>
      <c r="B162" s="51" t="str">
        <f>IFERROR(HYPERLINK(VLOOKUP(A162,ÜRÜNLER!A:C,3,FALSE),VLOOKUP(A162,ÜRÜNLER!A:B,2,FALSE)),"")</f>
        <v>iQ700 studioLine Mikrodalga Fonksiyonlu Kompakt Ankastre Fırın, Arkası Kendini Temizler, Siyah</v>
      </c>
      <c r="C162" s="8"/>
      <c r="D162" s="8">
        <v>3</v>
      </c>
      <c r="E162" s="9"/>
      <c r="F162" s="9"/>
      <c r="G162" s="10"/>
      <c r="H162" s="10">
        <v>1</v>
      </c>
      <c r="I162" s="11"/>
      <c r="J162" s="11"/>
      <c r="K162" s="10"/>
      <c r="L162" s="192"/>
      <c r="M162" s="11"/>
      <c r="N162" s="134">
        <f t="shared" si="7"/>
        <v>4</v>
      </c>
      <c r="O162" s="135"/>
      <c r="P162" s="10"/>
      <c r="Q162" s="118"/>
      <c r="R162" s="74" t="s">
        <v>1592</v>
      </c>
      <c r="S162" s="18">
        <v>120000</v>
      </c>
      <c r="T162" s="12">
        <v>124800</v>
      </c>
      <c r="U162" s="12">
        <v>129600</v>
      </c>
      <c r="V162" s="13"/>
      <c r="W162" s="13"/>
      <c r="X162" s="14">
        <v>500</v>
      </c>
    </row>
    <row r="163" spans="1:24">
      <c r="A163" s="148" t="s">
        <v>165</v>
      </c>
      <c r="B163" s="51" t="str">
        <f>IFERROR(HYPERLINK(VLOOKUP(A163,ÜRÜNLER!A:C,3,FALSE),VLOOKUP(A163,ÜRÜNLER!A:B,2,FALSE)),"")</f>
        <v>iQ100 Ankastre Fırın, Siyah</v>
      </c>
      <c r="C163" s="8">
        <v>13</v>
      </c>
      <c r="D163" s="8"/>
      <c r="E163" s="9"/>
      <c r="F163" s="9"/>
      <c r="G163" s="10"/>
      <c r="H163" s="10"/>
      <c r="I163" s="11"/>
      <c r="J163" s="11"/>
      <c r="K163" s="10"/>
      <c r="L163" s="192"/>
      <c r="M163" s="11"/>
      <c r="N163" s="134">
        <f t="shared" si="7"/>
        <v>13</v>
      </c>
      <c r="O163" s="135"/>
      <c r="P163" s="10"/>
      <c r="Q163" s="123"/>
      <c r="R163" s="52">
        <v>19543.964511238457</v>
      </c>
      <c r="S163" s="47">
        <v>18566.766285676535</v>
      </c>
      <c r="T163" s="12">
        <v>19309.436937103597</v>
      </c>
      <c r="U163" s="12">
        <v>20052.107588530656</v>
      </c>
      <c r="V163" s="13"/>
      <c r="W163" s="13"/>
      <c r="X163" s="14"/>
    </row>
    <row r="164" spans="1:24">
      <c r="A164" s="151" t="s">
        <v>166</v>
      </c>
      <c r="B164" s="51" t="str">
        <f>IFERROR(HYPERLINK(VLOOKUP(A164,ÜRÜNLER!A:C,3,FALSE),VLOOKUP(A164,ÜRÜNLER!A:B,2,FALSE)),"")</f>
        <v>iQ100 Ankastre Fırın, Antrasit</v>
      </c>
      <c r="C164" s="8">
        <v>44</v>
      </c>
      <c r="D164" s="8"/>
      <c r="E164" s="9"/>
      <c r="F164" s="9"/>
      <c r="G164" s="10"/>
      <c r="H164" s="10"/>
      <c r="I164" s="11">
        <v>1</v>
      </c>
      <c r="J164" s="11"/>
      <c r="K164" s="10"/>
      <c r="L164" s="192"/>
      <c r="M164" s="11">
        <v>1</v>
      </c>
      <c r="N164" s="134">
        <f t="shared" si="7"/>
        <v>46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42" t="s">
        <v>167</v>
      </c>
      <c r="B165" s="51" t="str">
        <f>IFERROR(HYPERLINK(VLOOKUP(A165,ÜRÜNLER!A:C,3,FALSE),VLOOKUP(A165,ÜRÜNLER!A:B,2,FALSE)),"")</f>
        <v>iQ100 Ankastre Fırın, Beyaz</v>
      </c>
      <c r="C165" s="8">
        <v>23</v>
      </c>
      <c r="D165" s="8"/>
      <c r="E165" s="9"/>
      <c r="F165" s="9"/>
      <c r="G165" s="10"/>
      <c r="H165" s="10"/>
      <c r="I165" s="11">
        <v>1</v>
      </c>
      <c r="J165" s="11">
        <v>1</v>
      </c>
      <c r="K165" s="10"/>
      <c r="L165" s="192"/>
      <c r="M165" s="11">
        <v>1</v>
      </c>
      <c r="N165" s="134">
        <f t="shared" si="7"/>
        <v>26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21" t="s">
        <v>1345</v>
      </c>
      <c r="B166" s="51" t="str">
        <f>IFERROR(HYPERLINK(VLOOKUP(A166,ÜRÜNLER!A:C,3,FALSE),VLOOKUP(A166,ÜRÜNLER!A:B,2,FALSE)),"")</f>
        <v>iQ100 Ankastre Fırın, Siyah</v>
      </c>
      <c r="C166" s="8"/>
      <c r="D166" s="8"/>
      <c r="E166" s="9"/>
      <c r="F166" s="9"/>
      <c r="G166" s="10"/>
      <c r="H166" s="10"/>
      <c r="I166" s="11"/>
      <c r="J166" s="11"/>
      <c r="K166" s="10">
        <v>1</v>
      </c>
      <c r="L166" s="192"/>
      <c r="M166" s="11"/>
      <c r="N166" s="134">
        <f t="shared" si="7"/>
        <v>1</v>
      </c>
      <c r="O166" s="135"/>
      <c r="P166" s="10"/>
      <c r="Q166" s="118"/>
      <c r="R166" s="74" t="s">
        <v>1592</v>
      </c>
      <c r="S166" s="19">
        <v>17000</v>
      </c>
      <c r="T166" s="12">
        <v>17680</v>
      </c>
      <c r="U166" s="12">
        <v>18360</v>
      </c>
      <c r="V166" s="13"/>
      <c r="W166" s="18">
        <v>2813.96</v>
      </c>
      <c r="X166" s="106">
        <v>500</v>
      </c>
    </row>
    <row r="167" spans="1:24">
      <c r="A167" s="152" t="s">
        <v>169</v>
      </c>
      <c r="B167" s="51" t="str">
        <f>IFERROR(HYPERLINK(VLOOKUP(A167,ÜRÜNLER!A:C,3,FALSE),VLOOKUP(A167,ÜRÜNLER!A:B,2,FALSE)),"")</f>
        <v>iQ300 Ankastre Fırın, Siyah/Inox</v>
      </c>
      <c r="C167" s="8"/>
      <c r="D167" s="8"/>
      <c r="E167" s="9"/>
      <c r="F167" s="9"/>
      <c r="G167" s="10"/>
      <c r="H167" s="10"/>
      <c r="I167" s="11">
        <v>1</v>
      </c>
      <c r="J167" s="11"/>
      <c r="K167" s="10"/>
      <c r="L167" s="192"/>
      <c r="M167" s="11"/>
      <c r="N167" s="134">
        <f t="shared" si="7"/>
        <v>1</v>
      </c>
      <c r="O167" s="135"/>
      <c r="P167" s="10"/>
      <c r="Q167" s="118"/>
      <c r="R167" s="74" t="s">
        <v>1592</v>
      </c>
      <c r="S167" s="19">
        <v>16000</v>
      </c>
      <c r="T167" s="12">
        <v>16640</v>
      </c>
      <c r="U167" s="12">
        <v>17280</v>
      </c>
      <c r="V167" s="13"/>
      <c r="W167" s="13"/>
      <c r="X167" s="106">
        <v>500</v>
      </c>
    </row>
    <row r="168" spans="1:24">
      <c r="A168" s="151" t="s">
        <v>171</v>
      </c>
      <c r="B168" s="51" t="str">
        <f>IFERROR(HYPERLINK(VLOOKUP(A168,ÜRÜNLER!A:C,3,FALSE),VLOOKUP(A168,ÜRÜNLER!A:B,2,FALSE)),"")</f>
        <v>iQ300 Ankastre Fırın, 1 Teleskopik Ray, Arkası Kendini Temizler, Antrasit</v>
      </c>
      <c r="C168" s="8"/>
      <c r="D168" s="8"/>
      <c r="E168" s="9"/>
      <c r="F168" s="9"/>
      <c r="G168" s="10">
        <v>1</v>
      </c>
      <c r="H168" s="10"/>
      <c r="I168" s="11"/>
      <c r="J168" s="11"/>
      <c r="K168" s="10"/>
      <c r="L168" s="192"/>
      <c r="M168" s="11"/>
      <c r="N168" s="134">
        <f t="shared" si="7"/>
        <v>1</v>
      </c>
      <c r="O168" s="135"/>
      <c r="P168" s="10"/>
      <c r="Q168" s="118"/>
      <c r="R168" s="74" t="s">
        <v>1592</v>
      </c>
      <c r="S168" s="19">
        <v>16000</v>
      </c>
      <c r="T168" s="12">
        <v>16640</v>
      </c>
      <c r="U168" s="12">
        <v>17280</v>
      </c>
      <c r="V168" s="13"/>
      <c r="W168" s="13"/>
      <c r="X168" s="14"/>
    </row>
    <row r="169" spans="1:24">
      <c r="A169" s="151" t="s">
        <v>172</v>
      </c>
      <c r="B169" s="51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92"/>
      <c r="M169" s="11"/>
      <c r="N169" s="134">
        <f t="shared" si="7"/>
        <v>1</v>
      </c>
      <c r="O169" s="135"/>
      <c r="P169" s="176">
        <v>2</v>
      </c>
      <c r="Q169" s="118"/>
      <c r="R169" s="74" t="s">
        <v>1592</v>
      </c>
      <c r="S169" s="47">
        <v>24115</v>
      </c>
      <c r="T169" s="183">
        <v>25079.599999999999</v>
      </c>
      <c r="U169" s="12">
        <v>26044.2</v>
      </c>
      <c r="V169" s="13"/>
      <c r="W169" s="18">
        <v>3115</v>
      </c>
      <c r="X169" s="14">
        <v>500</v>
      </c>
    </row>
    <row r="170" spans="1:24">
      <c r="A170" s="148" t="s">
        <v>173</v>
      </c>
      <c r="B170" s="51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>
        <v>1</v>
      </c>
      <c r="J170" s="11"/>
      <c r="K170" s="10"/>
      <c r="L170" s="192"/>
      <c r="M170" s="11"/>
      <c r="N170" s="134">
        <f t="shared" si="7"/>
        <v>2</v>
      </c>
      <c r="O170" s="135"/>
      <c r="P170" s="10"/>
      <c r="Q170" s="118"/>
      <c r="R170" s="74" t="s">
        <v>1592</v>
      </c>
      <c r="S170" s="19">
        <v>20000</v>
      </c>
      <c r="T170" s="12">
        <v>20800</v>
      </c>
      <c r="U170" s="12">
        <v>21600</v>
      </c>
      <c r="V170" s="13"/>
      <c r="W170" s="13"/>
      <c r="X170" s="14"/>
    </row>
    <row r="171" spans="1:24">
      <c r="A171" s="148" t="s">
        <v>174</v>
      </c>
      <c r="B171" s="51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92"/>
      <c r="M171" s="11"/>
      <c r="N171" s="134">
        <f t="shared" si="7"/>
        <v>3</v>
      </c>
      <c r="O171" s="135"/>
      <c r="P171" s="10"/>
      <c r="Q171" s="118"/>
      <c r="R171" s="74" t="s">
        <v>1592</v>
      </c>
      <c r="S171" s="18">
        <v>85000</v>
      </c>
      <c r="T171" s="12">
        <v>88400</v>
      </c>
      <c r="U171" s="12">
        <v>91800</v>
      </c>
      <c r="V171" s="13"/>
      <c r="W171" s="13"/>
      <c r="X171" s="106">
        <v>500</v>
      </c>
    </row>
    <row r="172" spans="1:24">
      <c r="A172" s="21" t="s">
        <v>1022</v>
      </c>
      <c r="B172" s="51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>
        <v>1</v>
      </c>
      <c r="J172" s="11"/>
      <c r="K172" s="10"/>
      <c r="L172" s="192"/>
      <c r="M172" s="11"/>
      <c r="N172" s="134">
        <f t="shared" si="7"/>
        <v>2</v>
      </c>
      <c r="O172" s="135"/>
      <c r="P172" s="10"/>
      <c r="Q172" s="118"/>
      <c r="R172" s="74" t="s">
        <v>1592</v>
      </c>
      <c r="S172" s="19">
        <v>19000</v>
      </c>
      <c r="T172" s="12">
        <v>19760</v>
      </c>
      <c r="U172" s="12">
        <v>20520</v>
      </c>
      <c r="V172" s="13"/>
      <c r="W172" s="18">
        <v>1497.55</v>
      </c>
      <c r="X172" s="106">
        <v>500</v>
      </c>
    </row>
    <row r="173" spans="1:24">
      <c r="A173" s="21" t="s">
        <v>176</v>
      </c>
      <c r="B173" s="51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92"/>
      <c r="M173" s="11"/>
      <c r="N173" s="134">
        <f t="shared" si="7"/>
        <v>1</v>
      </c>
      <c r="O173" s="135"/>
      <c r="P173" s="10"/>
      <c r="Q173" s="118"/>
      <c r="R173" s="74" t="s">
        <v>1592</v>
      </c>
      <c r="S173" s="19">
        <v>19000</v>
      </c>
      <c r="T173" s="12">
        <v>19760</v>
      </c>
      <c r="U173" s="12">
        <v>20520</v>
      </c>
      <c r="V173" s="13"/>
      <c r="W173" s="18">
        <v>3692.27</v>
      </c>
      <c r="X173" s="106">
        <v>500</v>
      </c>
    </row>
    <row r="174" spans="1:24">
      <c r="A174" s="148" t="s">
        <v>177</v>
      </c>
      <c r="B174" s="51" t="str">
        <f>IFERROR(HYPERLINK(VLOOKUP(A174,ÜRÜNLER!A:C,3,FALSE),VLOOKUP(A174,ÜRÜNLER!A:B,2,FALSE)),"")</f>
        <v>iQ300 Ankastre Fırın, 1 Teleskopik Ray, Arkası Kendini Temizler, Siyah/Inox</v>
      </c>
      <c r="C174" s="8"/>
      <c r="D174" s="8"/>
      <c r="E174" s="9">
        <v>1</v>
      </c>
      <c r="F174" s="9"/>
      <c r="G174" s="10"/>
      <c r="H174" s="10"/>
      <c r="I174" s="11"/>
      <c r="J174" s="11"/>
      <c r="K174" s="10">
        <v>1</v>
      </c>
      <c r="L174" s="192"/>
      <c r="M174" s="11">
        <v>1</v>
      </c>
      <c r="N174" s="134">
        <f t="shared" si="7"/>
        <v>3</v>
      </c>
      <c r="O174" s="135"/>
      <c r="P174" s="10"/>
      <c r="Q174" s="118"/>
      <c r="R174" s="74" t="s">
        <v>1592</v>
      </c>
      <c r="S174" s="19">
        <v>18000</v>
      </c>
      <c r="T174" s="12">
        <v>18720</v>
      </c>
      <c r="U174" s="12">
        <v>19440</v>
      </c>
      <c r="V174" s="13"/>
      <c r="W174" s="18">
        <v>1656.58</v>
      </c>
      <c r="X174" s="14">
        <v>250</v>
      </c>
    </row>
    <row r="175" spans="1:24">
      <c r="A175" s="148" t="s">
        <v>178</v>
      </c>
      <c r="B175" s="51" t="str">
        <f>IFERROR(HYPERLINK(VLOOKUP(A175,ÜRÜNLER!A:C,3,FALSE),VLOOKUP(A175,ÜRÜNLER!A:B,2,FALSE)),"")</f>
        <v>iQ500 Ankastre Fırın, 1 Teleskopik Ray, Komple Kendini Temizler, Siyah</v>
      </c>
      <c r="C175" s="8">
        <v>10</v>
      </c>
      <c r="D175" s="8"/>
      <c r="E175" s="9"/>
      <c r="F175" s="9"/>
      <c r="G175" s="10"/>
      <c r="H175" s="10"/>
      <c r="I175" s="11"/>
      <c r="J175" s="11">
        <v>1</v>
      </c>
      <c r="K175" s="10"/>
      <c r="L175" s="192"/>
      <c r="M175" s="11"/>
      <c r="N175" s="134">
        <f t="shared" si="7"/>
        <v>11</v>
      </c>
      <c r="O175" s="135"/>
      <c r="P175" s="10"/>
      <c r="Q175" s="118"/>
      <c r="R175" s="52">
        <v>31047.658678748317</v>
      </c>
      <c r="S175" s="47">
        <v>29495.275744810901</v>
      </c>
      <c r="T175" s="12">
        <v>30675.086774603336</v>
      </c>
      <c r="U175" s="12">
        <v>31854.897804395772</v>
      </c>
      <c r="V175" s="13"/>
      <c r="W175" s="13"/>
      <c r="X175" s="14"/>
    </row>
    <row r="176" spans="1:24">
      <c r="A176" s="151" t="s">
        <v>179</v>
      </c>
      <c r="B176" s="51" t="str">
        <f>IFERROR(HYPERLINK(VLOOKUP(A176,ÜRÜNLER!A:C,3,FALSE),VLOOKUP(A176,ÜRÜNLER!A:B,2,FALSE)),"")</f>
        <v>iQ500 Ankastre Fırın, 2 Teleskopik Ray, Komple Kendini Temizler, Titanyum Gri</v>
      </c>
      <c r="C176" s="8"/>
      <c r="D176" s="8"/>
      <c r="E176" s="9">
        <v>2</v>
      </c>
      <c r="F176" s="9"/>
      <c r="G176" s="10"/>
      <c r="H176" s="10"/>
      <c r="I176" s="11"/>
      <c r="J176" s="11"/>
      <c r="K176" s="10">
        <v>1</v>
      </c>
      <c r="L176" s="192"/>
      <c r="M176" s="11"/>
      <c r="N176" s="134">
        <f t="shared" si="7"/>
        <v>3</v>
      </c>
      <c r="O176" s="135"/>
      <c r="P176" s="10"/>
      <c r="Q176" s="118"/>
      <c r="R176" s="74" t="s">
        <v>1592</v>
      </c>
      <c r="S176" s="19">
        <v>20000</v>
      </c>
      <c r="T176" s="12">
        <v>20800</v>
      </c>
      <c r="U176" s="12">
        <v>21600</v>
      </c>
      <c r="V176" s="13"/>
      <c r="W176" s="13"/>
      <c r="X176" s="106">
        <v>500</v>
      </c>
    </row>
    <row r="177" spans="1:24">
      <c r="A177" s="142" t="s">
        <v>180</v>
      </c>
      <c r="B177" s="51" t="str">
        <f>IFERROR(HYPERLINK(VLOOKUP(A177,ÜRÜNLER!A:C,3,FALSE),VLOOKUP(A177,ÜRÜNLER!A:B,2,FALSE)),"")</f>
        <v>iQ500 Ankastre Fırın, 2 Teleskopik Ray, Komple Kendini Temizler, Siyah</v>
      </c>
      <c r="C177" s="8"/>
      <c r="D177" s="8"/>
      <c r="E177" s="9"/>
      <c r="F177" s="9"/>
      <c r="G177" s="10"/>
      <c r="H177" s="10"/>
      <c r="I177" s="11"/>
      <c r="J177" s="11"/>
      <c r="K177" s="10">
        <v>1</v>
      </c>
      <c r="L177" s="192"/>
      <c r="M177" s="11"/>
      <c r="N177" s="134">
        <f t="shared" si="7"/>
        <v>1</v>
      </c>
      <c r="O177" s="135"/>
      <c r="P177" s="10"/>
      <c r="Q177" s="118"/>
      <c r="R177" s="74" t="s">
        <v>1592</v>
      </c>
      <c r="S177" s="19">
        <v>20000</v>
      </c>
      <c r="T177" s="12">
        <v>20800</v>
      </c>
      <c r="U177" s="12">
        <v>21600</v>
      </c>
      <c r="V177" s="13"/>
      <c r="W177" s="13"/>
      <c r="X177" s="106">
        <v>500</v>
      </c>
    </row>
    <row r="178" spans="1:24">
      <c r="A178" s="21" t="s">
        <v>1347</v>
      </c>
      <c r="B178" s="51" t="str">
        <f>IFERROR(HYPERLINK(VLOOKUP(A178,ÜRÜNLER!A:C,3,FALSE),VLOOKUP(A178,ÜRÜNLER!A:B,2,FALSE)),"")</f>
        <v>iQ700 Ankastre Fırın, Siyah</v>
      </c>
      <c r="C178" s="8"/>
      <c r="D178" s="8"/>
      <c r="E178" s="9"/>
      <c r="F178" s="9"/>
      <c r="G178" s="10"/>
      <c r="H178" s="10"/>
      <c r="I178" s="11"/>
      <c r="J178" s="11"/>
      <c r="K178" s="10">
        <v>1</v>
      </c>
      <c r="L178" s="192"/>
      <c r="M178" s="11"/>
      <c r="N178" s="134">
        <f t="shared" si="7"/>
        <v>1</v>
      </c>
      <c r="O178" s="135"/>
      <c r="P178" s="10"/>
      <c r="Q178" s="118"/>
      <c r="R178" s="74" t="s">
        <v>1592</v>
      </c>
      <c r="S178" s="19">
        <v>45000</v>
      </c>
      <c r="T178" s="12">
        <v>46800</v>
      </c>
      <c r="U178" s="12">
        <v>48600</v>
      </c>
      <c r="V178" s="13"/>
      <c r="W178" s="13"/>
      <c r="X178" s="106">
        <v>500</v>
      </c>
    </row>
    <row r="179" spans="1:24">
      <c r="A179" s="142" t="s">
        <v>183</v>
      </c>
      <c r="B179" s="51" t="str">
        <f>IFERROR(HYPERLINK(VLOOKUP(A179,ÜRÜNLER!A:C,3,FALSE),VLOOKUP(A179,ÜRÜNLER!A:B,2,FALSE)),"")</f>
        <v>iQ700 Ankastre Fırın, 1 Teleskopik Ray, Komple Kendini Temizler, Beyaz</v>
      </c>
      <c r="C179" s="8"/>
      <c r="D179" s="8"/>
      <c r="E179" s="9"/>
      <c r="F179" s="9"/>
      <c r="G179" s="10"/>
      <c r="H179" s="10"/>
      <c r="I179" s="11">
        <v>1</v>
      </c>
      <c r="J179" s="11"/>
      <c r="K179" s="10"/>
      <c r="L179" s="192"/>
      <c r="M179" s="11"/>
      <c r="N179" s="134">
        <f t="shared" si="7"/>
        <v>1</v>
      </c>
      <c r="O179" s="135"/>
      <c r="P179" s="10"/>
      <c r="Q179" s="118"/>
      <c r="R179" s="74" t="s">
        <v>1592</v>
      </c>
      <c r="S179" s="19">
        <v>40000</v>
      </c>
      <c r="T179" s="12">
        <v>41600</v>
      </c>
      <c r="U179" s="12">
        <v>43200</v>
      </c>
      <c r="V179" s="13"/>
      <c r="W179" s="13"/>
      <c r="X179" s="106">
        <v>500</v>
      </c>
    </row>
    <row r="180" spans="1:24">
      <c r="A180" s="21" t="s">
        <v>1348</v>
      </c>
      <c r="B180" s="51" t="str">
        <f>IFERROR(HYPERLINK(VLOOKUP(A180,ÜRÜNLER!A:C,3,FALSE),VLOOKUP(A180,ÜRÜNLER!A:B,2,FALSE)),"")</f>
        <v>iQ700 Ankastre Fırın, 1 Teleskopik Ray, Komple Kendini Temizler, Beyaz</v>
      </c>
      <c r="C180" s="8"/>
      <c r="D180" s="8"/>
      <c r="E180" s="9"/>
      <c r="F180" s="9"/>
      <c r="G180" s="10"/>
      <c r="H180" s="10"/>
      <c r="I180" s="11">
        <v>1</v>
      </c>
      <c r="J180" s="11"/>
      <c r="K180" s="10"/>
      <c r="L180" s="192"/>
      <c r="M180" s="11"/>
      <c r="N180" s="134">
        <f t="shared" si="7"/>
        <v>1</v>
      </c>
      <c r="O180" s="135"/>
      <c r="P180" s="10"/>
      <c r="Q180" s="118"/>
      <c r="R180" s="74" t="s">
        <v>1592</v>
      </c>
      <c r="S180" s="19">
        <v>45000</v>
      </c>
      <c r="T180" s="12">
        <v>46800</v>
      </c>
      <c r="U180" s="12">
        <v>48600</v>
      </c>
      <c r="V180" s="13"/>
      <c r="W180" s="13"/>
      <c r="X180" s="106">
        <v>500</v>
      </c>
    </row>
    <row r="181" spans="1:24">
      <c r="A181" s="142" t="s">
        <v>184</v>
      </c>
      <c r="B181" s="51" t="str">
        <f>IFERROR(HYPERLINK(VLOOKUP(A181,ÜRÜNLER!A:C,3,FALSE),VLOOKUP(A181,ÜRÜNLER!A:B,2,FALSE)),"")</f>
        <v>iQ700 Ankastre Fırın, 3 Teleskopik Ray, Komple Kendini Temizler, Siyah/Inox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92"/>
      <c r="M181" s="11"/>
      <c r="N181" s="134">
        <f t="shared" si="7"/>
        <v>1</v>
      </c>
      <c r="O181" s="135"/>
      <c r="P181" s="10"/>
      <c r="Q181" s="118"/>
      <c r="R181" s="74" t="s">
        <v>1592</v>
      </c>
      <c r="S181" s="19">
        <v>35000</v>
      </c>
      <c r="T181" s="12">
        <v>36400</v>
      </c>
      <c r="U181" s="12">
        <v>37800</v>
      </c>
      <c r="V181" s="13"/>
      <c r="W181" s="13"/>
      <c r="X181" s="106">
        <v>500</v>
      </c>
    </row>
    <row r="182" spans="1:24">
      <c r="A182" s="142" t="s">
        <v>185</v>
      </c>
      <c r="B182" s="51" t="str">
        <f>IFERROR(HYPERLINK(VLOOKUP(A182,ÜRÜNLER!A:C,3,FALSE),VLOOKUP(A182,ÜRÜNLER!A:B,2,FALSE)),"")</f>
        <v>iQ700 Ankastre Fırın, Arkası Kendini Temizler, Siyah</v>
      </c>
      <c r="C182" s="8">
        <v>3</v>
      </c>
      <c r="D182" s="8"/>
      <c r="E182" s="9"/>
      <c r="F182" s="9"/>
      <c r="G182" s="10"/>
      <c r="H182" s="10"/>
      <c r="I182" s="11">
        <v>1</v>
      </c>
      <c r="J182" s="11">
        <v>1</v>
      </c>
      <c r="K182" s="10">
        <v>1</v>
      </c>
      <c r="L182" s="192"/>
      <c r="M182" s="11"/>
      <c r="N182" s="134">
        <f t="shared" si="7"/>
        <v>6</v>
      </c>
      <c r="O182" s="135"/>
      <c r="P182" s="10"/>
      <c r="Q182" s="118"/>
      <c r="R182" s="52">
        <v>52805.504424502549</v>
      </c>
      <c r="S182" s="25">
        <v>52805.504424502549</v>
      </c>
      <c r="T182" s="12">
        <v>54917.724601482652</v>
      </c>
      <c r="U182" s="12">
        <v>57029.944778462755</v>
      </c>
      <c r="V182" s="13"/>
      <c r="W182" s="13"/>
      <c r="X182" s="106">
        <v>500</v>
      </c>
    </row>
    <row r="183" spans="1:24">
      <c r="A183" s="142" t="s">
        <v>186</v>
      </c>
      <c r="B183" s="51" t="str">
        <f>IFERROR(HYPERLINK(VLOOKUP(A183,ÜRÜNLER!A:C,3,FALSE),VLOOKUP(A183,ÜRÜNLER!A:B,2,FALSE)),"")</f>
        <v>iQ700 Ankastre Fırın, Arkası Kendini Temizler, Beyaz</v>
      </c>
      <c r="C183" s="8">
        <v>5</v>
      </c>
      <c r="D183" s="8"/>
      <c r="E183" s="9"/>
      <c r="F183" s="9"/>
      <c r="G183" s="10"/>
      <c r="H183" s="10"/>
      <c r="I183" s="11"/>
      <c r="J183" s="11"/>
      <c r="K183" s="10"/>
      <c r="L183" s="192"/>
      <c r="M183" s="11"/>
      <c r="N183" s="134">
        <f t="shared" si="7"/>
        <v>5</v>
      </c>
      <c r="O183" s="135"/>
      <c r="P183" s="10"/>
      <c r="Q183" s="118"/>
      <c r="R183" s="74" t="s">
        <v>1592</v>
      </c>
      <c r="S183" s="19">
        <v>60000</v>
      </c>
      <c r="T183" s="12">
        <v>62400</v>
      </c>
      <c r="U183" s="12">
        <v>64800</v>
      </c>
      <c r="V183" s="13"/>
      <c r="W183" s="13"/>
      <c r="X183" s="106">
        <v>500</v>
      </c>
    </row>
    <row r="184" spans="1:24">
      <c r="A184" s="148" t="s">
        <v>187</v>
      </c>
      <c r="B184" s="51" t="str">
        <f>IFERROR(HYPERLINK(VLOOKUP(A184,ÜRÜNLER!A:C,3,FALSE),VLOOKUP(A184,ÜRÜNLER!A:B,2,FALSE)),"")</f>
        <v>iQ700 Ankastre Fırın, Siyah</v>
      </c>
      <c r="C184" s="8">
        <v>5</v>
      </c>
      <c r="D184" s="8"/>
      <c r="E184" s="9"/>
      <c r="F184" s="9"/>
      <c r="G184" s="10"/>
      <c r="H184" s="10"/>
      <c r="I184" s="11"/>
      <c r="J184" s="11">
        <v>1</v>
      </c>
      <c r="K184" s="10"/>
      <c r="L184" s="192"/>
      <c r="M184" s="11">
        <v>1</v>
      </c>
      <c r="N184" s="134">
        <f t="shared" si="7"/>
        <v>7</v>
      </c>
      <c r="O184" s="135"/>
      <c r="P184" s="10"/>
      <c r="Q184" s="118"/>
      <c r="R184" s="52">
        <v>67147.740194120503</v>
      </c>
      <c r="S184" s="25">
        <v>67147.740194120503</v>
      </c>
      <c r="T184" s="12">
        <v>69833.649801885316</v>
      </c>
      <c r="U184" s="12">
        <v>72519.559409650145</v>
      </c>
      <c r="V184" s="13"/>
      <c r="W184" s="13"/>
      <c r="X184" s="106">
        <v>500</v>
      </c>
    </row>
    <row r="185" spans="1:24">
      <c r="A185" s="148" t="s">
        <v>188</v>
      </c>
      <c r="B185" s="51" t="str">
        <f>IFERROR(HYPERLINK(VLOOKUP(A185,ÜRÜNLER!A:C,3,FALSE),VLOOKUP(A185,ÜRÜNLER!A:B,2,FALSE)),"")</f>
        <v>iQ700 Ankastre Fırın, Komple Kendini Temizler, Siyah</v>
      </c>
      <c r="C185" s="8"/>
      <c r="D185" s="8"/>
      <c r="E185" s="9"/>
      <c r="F185" s="9"/>
      <c r="G185" s="10"/>
      <c r="H185" s="10"/>
      <c r="I185" s="11"/>
      <c r="J185" s="11"/>
      <c r="K185" s="10"/>
      <c r="L185" s="192"/>
      <c r="M185" s="11"/>
      <c r="N185" s="134">
        <f t="shared" si="7"/>
        <v>0</v>
      </c>
      <c r="O185" s="135">
        <v>4</v>
      </c>
      <c r="P185" s="10"/>
      <c r="Q185" s="118"/>
      <c r="R185" s="52">
        <v>80750.403072639005</v>
      </c>
      <c r="S185" s="19">
        <v>80750.403072639005</v>
      </c>
      <c r="T185" s="12">
        <v>83980.419195544571</v>
      </c>
      <c r="U185" s="12">
        <v>87210.435318450123</v>
      </c>
      <c r="V185" s="13"/>
      <c r="W185" s="13"/>
      <c r="X185" s="106">
        <v>500</v>
      </c>
    </row>
    <row r="186" spans="1:24">
      <c r="A186" s="148" t="s">
        <v>189</v>
      </c>
      <c r="B186" s="51" t="str">
        <f>IFERROR(HYPERLINK(VLOOKUP(A186,ÜRÜNLER!A:C,3,FALSE),VLOOKUP(A186,ÜRÜNLER!A:B,2,FALSE)),"")</f>
        <v>iQ700 studioLine Ankastre Fırın, 3 Teleskopik Ray, Komple Kendini Temizler, Siyah</v>
      </c>
      <c r="C186" s="8"/>
      <c r="D186" s="8">
        <v>2</v>
      </c>
      <c r="E186" s="9"/>
      <c r="F186" s="9"/>
      <c r="G186" s="10"/>
      <c r="H186" s="10">
        <v>1</v>
      </c>
      <c r="I186" s="11"/>
      <c r="J186" s="11"/>
      <c r="K186" s="10"/>
      <c r="L186" s="192"/>
      <c r="M186" s="11"/>
      <c r="N186" s="134">
        <f t="shared" si="7"/>
        <v>3</v>
      </c>
      <c r="O186" s="135"/>
      <c r="P186" s="10"/>
      <c r="Q186" s="118"/>
      <c r="R186" s="74" t="s">
        <v>1592</v>
      </c>
      <c r="S186" s="18">
        <v>90000</v>
      </c>
      <c r="T186" s="12">
        <v>93600</v>
      </c>
      <c r="U186" s="12">
        <v>97200</v>
      </c>
      <c r="V186" s="13"/>
      <c r="W186" s="13"/>
      <c r="X186" s="106">
        <v>500</v>
      </c>
    </row>
    <row r="187" spans="1:24">
      <c r="A187" s="148" t="s">
        <v>196</v>
      </c>
      <c r="B187" s="51" t="str">
        <f>IFERROR(HYPERLINK(VLOOKUP(A187,ÜRÜNLER!A:C,3,FALSE),VLOOKUP(A187,ÜRÜNLER!A:B,2,FALSE)),"")</f>
        <v>iQ700 studioLine Ankastre Fırın, 1 Teleskopik Ray, Komple Kendini Temizler, Siyah</v>
      </c>
      <c r="C187" s="8"/>
      <c r="D187" s="8">
        <v>3</v>
      </c>
      <c r="E187" s="9"/>
      <c r="F187" s="9"/>
      <c r="G187" s="10"/>
      <c r="H187" s="10"/>
      <c r="I187" s="11"/>
      <c r="J187" s="11"/>
      <c r="K187" s="10"/>
      <c r="L187" s="192"/>
      <c r="M187" s="11"/>
      <c r="N187" s="134">
        <f t="shared" si="7"/>
        <v>3</v>
      </c>
      <c r="O187" s="135"/>
      <c r="P187" s="10"/>
      <c r="Q187" s="118"/>
      <c r="R187" s="52">
        <v>123969.87105255334</v>
      </c>
      <c r="S187" s="18">
        <v>111572.883947298</v>
      </c>
      <c r="T187" s="12">
        <v>116035.79930518992</v>
      </c>
      <c r="U187" s="12">
        <v>120498.71466308185</v>
      </c>
      <c r="V187" s="13"/>
      <c r="W187" s="13"/>
      <c r="X187" s="106">
        <v>500</v>
      </c>
    </row>
    <row r="188" spans="1:24">
      <c r="A188" s="150" t="s">
        <v>1316</v>
      </c>
      <c r="B188" s="51" t="str">
        <f>IFERROR(HYPERLINK(VLOOKUP(A188,ÜRÜNLER!A:C,3,FALSE),VLOOKUP(A188,ÜRÜNLER!A:B,2,FALSE)),"")</f>
        <v>iQ300 Ankastre Fırın, 1 Teleskopik Ray, Arkası Kendini Temizler, Beyaz</v>
      </c>
      <c r="C188" s="8"/>
      <c r="D188" s="8"/>
      <c r="E188" s="9"/>
      <c r="F188" s="9"/>
      <c r="G188" s="10">
        <v>2</v>
      </c>
      <c r="H188" s="10"/>
      <c r="I188" s="11">
        <v>1</v>
      </c>
      <c r="J188" s="11"/>
      <c r="K188" s="10">
        <v>1</v>
      </c>
      <c r="L188" s="192"/>
      <c r="M188" s="11"/>
      <c r="N188" s="134">
        <f t="shared" si="7"/>
        <v>4</v>
      </c>
      <c r="O188" s="135"/>
      <c r="P188" s="10"/>
      <c r="Q188" s="118"/>
      <c r="R188" s="74" t="s">
        <v>1592</v>
      </c>
      <c r="S188" s="47">
        <v>17000</v>
      </c>
      <c r="T188" s="12">
        <v>17680</v>
      </c>
      <c r="U188" s="12">
        <v>18360</v>
      </c>
      <c r="V188" s="13"/>
      <c r="W188" s="13"/>
      <c r="X188" s="106">
        <v>500</v>
      </c>
    </row>
    <row r="189" spans="1:24">
      <c r="A189" s="152" t="s">
        <v>155</v>
      </c>
      <c r="B189" s="51" t="str">
        <f>IFERROR(HYPERLINK(VLOOKUP(A189,ÜRÜNLER!A:C,3,FALSE),VLOOKUP(A189,ÜRÜNLER!A:B,2,FALSE)),"")</f>
        <v>iQ500 Ankastre Fırın, 2 Teleskopik Ray, Komple Kendini Temizler, Siyah</v>
      </c>
      <c r="C189" s="8">
        <v>76</v>
      </c>
      <c r="D189" s="8"/>
      <c r="E189" s="9"/>
      <c r="F189" s="9"/>
      <c r="G189" s="10"/>
      <c r="H189" s="10"/>
      <c r="I189" s="11">
        <v>1</v>
      </c>
      <c r="J189" s="11"/>
      <c r="K189" s="10">
        <v>1</v>
      </c>
      <c r="L189" s="192"/>
      <c r="M189" s="11">
        <v>1</v>
      </c>
      <c r="N189" s="134">
        <f t="shared" si="7"/>
        <v>79</v>
      </c>
      <c r="O189" s="135">
        <v>7</v>
      </c>
      <c r="P189" s="10"/>
      <c r="Q189" s="123"/>
      <c r="R189" s="52">
        <v>30161.294160462348</v>
      </c>
      <c r="S189" s="47">
        <v>29256.455335648479</v>
      </c>
      <c r="T189" s="12">
        <v>30426.713549074419</v>
      </c>
      <c r="U189" s="12">
        <v>31596.971762500358</v>
      </c>
      <c r="V189" s="13"/>
      <c r="W189" s="13"/>
      <c r="X189" s="14"/>
    </row>
    <row r="190" spans="1:24">
      <c r="A190" s="151" t="s">
        <v>157</v>
      </c>
      <c r="B190" s="51" t="str">
        <f>IFERROR(HYPERLINK(VLOOKUP(A190,ÜRÜNLER!A:C,3,FALSE),VLOOKUP(A190,ÜRÜNLER!A:B,2,FALSE)),"")</f>
        <v>iQ500 Ankastre Fırın, 2 Teleskopik Ray, Komple Kendini Temizler, Antrasit</v>
      </c>
      <c r="C190" s="8">
        <v>17</v>
      </c>
      <c r="D190" s="8"/>
      <c r="E190" s="9"/>
      <c r="F190" s="9"/>
      <c r="G190" s="10"/>
      <c r="H190" s="10"/>
      <c r="I190" s="11">
        <v>1</v>
      </c>
      <c r="J190" s="11">
        <v>1</v>
      </c>
      <c r="K190" s="10"/>
      <c r="L190" s="192"/>
      <c r="M190" s="11"/>
      <c r="N190" s="134">
        <f t="shared" si="7"/>
        <v>19</v>
      </c>
      <c r="O190" s="135">
        <v>41</v>
      </c>
      <c r="P190" s="10"/>
      <c r="Q190" s="123"/>
      <c r="R190" s="52">
        <v>30161.294160462348</v>
      </c>
      <c r="S190" s="47">
        <v>29256.455335648479</v>
      </c>
      <c r="T190" s="12">
        <v>30426.713549074419</v>
      </c>
      <c r="U190" s="12">
        <v>31596.971762500358</v>
      </c>
      <c r="V190" s="13"/>
      <c r="W190" s="13"/>
      <c r="X190" s="14"/>
    </row>
    <row r="191" spans="1:24">
      <c r="A191" s="142" t="s">
        <v>156</v>
      </c>
      <c r="B191" s="51" t="str">
        <f>IFERROR(HYPERLINK(VLOOKUP(A191,ÜRÜNLER!A:C,3,FALSE),VLOOKUP(A191,ÜRÜNLER!A:B,2,FALSE)),"")</f>
        <v>iQ500 Ankastre Fırın, 2 Teleskopik Ray, Komple Kendini Temizler, Beyaz</v>
      </c>
      <c r="C191" s="8">
        <v>44</v>
      </c>
      <c r="D191" s="8"/>
      <c r="E191" s="9"/>
      <c r="F191" s="9">
        <v>1</v>
      </c>
      <c r="G191" s="10"/>
      <c r="H191" s="10"/>
      <c r="I191" s="11"/>
      <c r="J191" s="11">
        <v>1</v>
      </c>
      <c r="K191" s="10"/>
      <c r="L191" s="192"/>
      <c r="M191" s="11"/>
      <c r="N191" s="134">
        <f t="shared" si="7"/>
        <v>46</v>
      </c>
      <c r="O191" s="135"/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42" t="s">
        <v>197</v>
      </c>
      <c r="B192" s="51" t="str">
        <f>IFERROR(HYPERLINK(VLOOKUP(A192,ÜRÜNLER!A:C,3,FALSE),VLOOKUP(A192,ÜRÜNLER!A:B,2,FALSE)),"")</f>
        <v>iQ700 studioLine Buhar ve Mikrodalga Fonksiyonlu Ankastre Fırın, Komple Kendini Temizler, Siyah</v>
      </c>
      <c r="C192" s="8"/>
      <c r="D192" s="8"/>
      <c r="E192" s="9"/>
      <c r="F192" s="9"/>
      <c r="G192" s="10"/>
      <c r="H192" s="10"/>
      <c r="I192" s="11"/>
      <c r="J192" s="11"/>
      <c r="K192" s="10"/>
      <c r="L192" s="192"/>
      <c r="M192" s="11"/>
      <c r="N192" s="134">
        <f t="shared" si="7"/>
        <v>0</v>
      </c>
      <c r="O192" s="135"/>
      <c r="P192" s="10"/>
      <c r="Q192" s="118"/>
      <c r="R192" s="52">
        <v>214828.55238041832</v>
      </c>
      <c r="S192" s="25">
        <v>214828.55238041832</v>
      </c>
      <c r="T192" s="12">
        <v>223421.69447563504</v>
      </c>
      <c r="U192" s="12">
        <v>232014.8365708518</v>
      </c>
      <c r="V192" s="13"/>
      <c r="W192" s="13"/>
      <c r="X192" s="14">
        <v>500</v>
      </c>
    </row>
    <row r="193" spans="1:24">
      <c r="A193" s="152" t="s">
        <v>154</v>
      </c>
      <c r="B193" s="51" t="str">
        <f>IFERROR(HYPERLINK(VLOOKUP(A193,ÜRÜNLER!A:C,3,FALSE),VLOOKUP(A193,ÜRÜNLER!A:B,2,FALSE)),"")</f>
        <v>iQ300 Buhar Destekli Ankastre Fırın, 1 Teleskopik Ray, Arkası Kendini Temizler, Siyah/Dark Inox</v>
      </c>
      <c r="C193" s="8">
        <v>5</v>
      </c>
      <c r="D193" s="8"/>
      <c r="E193" s="9"/>
      <c r="F193" s="9"/>
      <c r="G193" s="10"/>
      <c r="H193" s="10"/>
      <c r="I193" s="11"/>
      <c r="J193" s="11"/>
      <c r="K193" s="10"/>
      <c r="L193" s="192"/>
      <c r="M193" s="11"/>
      <c r="N193" s="134">
        <f t="shared" si="7"/>
        <v>5</v>
      </c>
      <c r="O193" s="135">
        <v>1</v>
      </c>
      <c r="P193" s="10"/>
      <c r="Q193" s="118"/>
      <c r="R193" s="52">
        <v>33077.561175851166</v>
      </c>
      <c r="S193" s="47">
        <v>32085.234340575629</v>
      </c>
      <c r="T193" s="12">
        <v>33368.643714198653</v>
      </c>
      <c r="U193" s="12">
        <v>34652.053087821681</v>
      </c>
      <c r="V193" s="13"/>
      <c r="W193" s="13"/>
      <c r="X193" s="14"/>
    </row>
    <row r="194" spans="1:24">
      <c r="A194" s="148" t="s">
        <v>192</v>
      </c>
      <c r="B194" s="51" t="str">
        <f>IFERROR(HYPERLINK(VLOOKUP(A194,ÜRÜNLER!A:C,3,FALSE),VLOOKUP(A194,ÜRÜNLER!A:B,2,FALSE)),"")</f>
        <v>iQ500 Buhar Destekli Ankastre Fırın, Arkası Kendini Temizler, Siyah/Inox</v>
      </c>
      <c r="C194" s="8">
        <v>3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>
        <v>1</v>
      </c>
      <c r="L194" s="192"/>
      <c r="M194" s="11">
        <v>1</v>
      </c>
      <c r="N194" s="134">
        <f t="shared" si="7"/>
        <v>7</v>
      </c>
      <c r="O194" s="135"/>
      <c r="P194" s="10"/>
      <c r="Q194" s="118"/>
      <c r="R194" s="74" t="s">
        <v>1592</v>
      </c>
      <c r="S194" s="18">
        <v>26144</v>
      </c>
      <c r="T194" s="193">
        <v>27189.759999999998</v>
      </c>
      <c r="U194" s="193">
        <v>28235.52</v>
      </c>
      <c r="V194" s="13"/>
      <c r="W194" s="18">
        <v>1144.25</v>
      </c>
      <c r="X194" s="14"/>
    </row>
    <row r="195" spans="1:24">
      <c r="A195" s="142" t="s">
        <v>193</v>
      </c>
      <c r="B195" s="51" t="str">
        <f>IFERROR(HYPERLINK(VLOOKUP(A195,ÜRÜNLER!A:C,3,FALSE),VLOOKUP(A195,ÜRÜNLER!A:B,2,FALSE)),"")</f>
        <v>iQ700 Ankastre Fırın, Siyah</v>
      </c>
      <c r="C195" s="8"/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92"/>
      <c r="M195" s="11">
        <v>1</v>
      </c>
      <c r="N195" s="134">
        <f t="shared" si="7"/>
        <v>4</v>
      </c>
      <c r="O195" s="135">
        <v>6</v>
      </c>
      <c r="P195" s="10">
        <v>3</v>
      </c>
      <c r="Q195" s="118"/>
      <c r="R195" s="52">
        <v>80281.048202676408</v>
      </c>
      <c r="S195" s="19">
        <v>80281.048202676408</v>
      </c>
      <c r="T195" s="12">
        <v>83492.290130783469</v>
      </c>
      <c r="U195" s="12">
        <v>86703.532058890516</v>
      </c>
      <c r="V195" s="13"/>
      <c r="W195" s="13"/>
      <c r="X195" s="17">
        <v>250</v>
      </c>
    </row>
    <row r="196" spans="1:24">
      <c r="A196" s="150" t="s">
        <v>194</v>
      </c>
      <c r="B196" s="51" t="str">
        <f>IFERROR(HYPERLINK(VLOOKUP(A196,ÜRÜNLER!A:C,3,FALSE),VLOOKUP(A196,ÜRÜNLER!A:B,2,FALSE)),"")</f>
        <v>iQ700 Buhar Destekli Ankastre Fırın, Arkası Kendini Temizler, Siyah/Inox</v>
      </c>
      <c r="C196" s="8">
        <v>1</v>
      </c>
      <c r="D196" s="8"/>
      <c r="E196" s="9"/>
      <c r="F196" s="9"/>
      <c r="G196" s="10"/>
      <c r="H196" s="10"/>
      <c r="I196" s="11">
        <v>1</v>
      </c>
      <c r="J196" s="11"/>
      <c r="K196" s="10"/>
      <c r="L196" s="192"/>
      <c r="M196" s="11"/>
      <c r="N196" s="134">
        <f t="shared" si="7"/>
        <v>2</v>
      </c>
      <c r="O196" s="135"/>
      <c r="P196" s="10"/>
      <c r="Q196" s="118"/>
      <c r="R196" s="74" t="s">
        <v>1592</v>
      </c>
      <c r="S196" s="19">
        <v>66000</v>
      </c>
      <c r="T196" s="12">
        <v>68640</v>
      </c>
      <c r="U196" s="12">
        <v>71280</v>
      </c>
      <c r="V196" s="13"/>
      <c r="W196" s="13"/>
      <c r="X196" s="131">
        <v>500</v>
      </c>
    </row>
    <row r="197" spans="1:24">
      <c r="A197" s="148" t="s">
        <v>195</v>
      </c>
      <c r="B197" s="51" t="str">
        <f>IFERROR(HYPERLINK(VLOOKUP(A197,ÜRÜNLER!A:C,3,FALSE),VLOOKUP(A197,ÜRÜNLER!A:B,2,FALSE)),"")</f>
        <v>iQ700 studioLine Buhar Destekli Ankastre Fırın, 3 Teleskopik Ray, Komple Kendini Temizler, Siyah</v>
      </c>
      <c r="C197" s="8"/>
      <c r="D197" s="8"/>
      <c r="E197" s="9"/>
      <c r="F197" s="9"/>
      <c r="G197" s="10"/>
      <c r="H197" s="10">
        <v>1</v>
      </c>
      <c r="I197" s="11"/>
      <c r="J197" s="11"/>
      <c r="K197" s="10"/>
      <c r="L197" s="192"/>
      <c r="M197" s="11"/>
      <c r="N197" s="134">
        <f t="shared" si="7"/>
        <v>1</v>
      </c>
      <c r="O197" s="135"/>
      <c r="P197" s="10"/>
      <c r="Q197" s="118"/>
      <c r="R197" s="74" t="s">
        <v>1592</v>
      </c>
      <c r="S197" s="18">
        <v>75000</v>
      </c>
      <c r="T197" s="12">
        <v>78000</v>
      </c>
      <c r="U197" s="12">
        <v>81000</v>
      </c>
      <c r="V197" s="13"/>
      <c r="W197" s="13"/>
      <c r="X197" s="131">
        <v>500</v>
      </c>
    </row>
    <row r="198" spans="1:24">
      <c r="A198" s="152" t="s">
        <v>159</v>
      </c>
      <c r="B198" s="51" t="str">
        <f>IFERROR(HYPERLINK(VLOOKUP(A198,ÜRÜNLER!A:C,3,FALSE),VLOOKUP(A198,ÜRÜNLER!A:B,2,FALSE)),"")</f>
        <v>iQ300 Buhar Destekli Ankastre Fırın, Siyah</v>
      </c>
      <c r="C198" s="8">
        <v>42</v>
      </c>
      <c r="D198" s="8"/>
      <c r="E198" s="9"/>
      <c r="F198" s="9"/>
      <c r="G198" s="10"/>
      <c r="H198" s="10"/>
      <c r="I198" s="11"/>
      <c r="J198" s="11">
        <v>1</v>
      </c>
      <c r="K198" s="10"/>
      <c r="L198" s="192"/>
      <c r="M198" s="11"/>
      <c r="N198" s="134">
        <f t="shared" si="7"/>
        <v>43</v>
      </c>
      <c r="O198" s="135"/>
      <c r="P198" s="10"/>
      <c r="Q198" s="123"/>
      <c r="R198" s="52">
        <v>21749.570312673855</v>
      </c>
      <c r="S198" s="47">
        <v>20662.091797040164</v>
      </c>
      <c r="T198" s="12">
        <v>21488.575468921772</v>
      </c>
      <c r="U198" s="12">
        <v>22315.059140803376</v>
      </c>
      <c r="V198" s="13"/>
      <c r="W198" s="13"/>
      <c r="X198" s="14"/>
    </row>
    <row r="199" spans="1:24">
      <c r="A199" s="151" t="s">
        <v>160</v>
      </c>
      <c r="B199" s="51" t="str">
        <f>IFERROR(HYPERLINK(VLOOKUP(A199,ÜRÜNLER!A:C,3,FALSE),VLOOKUP(A199,ÜRÜNLER!A:B,2,FALSE)),"")</f>
        <v>iQ300 Buhar Destekli Ankastre Fırın, Antrasit</v>
      </c>
      <c r="C199" s="8">
        <v>24</v>
      </c>
      <c r="D199" s="8"/>
      <c r="E199" s="9"/>
      <c r="F199" s="9"/>
      <c r="G199" s="10"/>
      <c r="H199" s="10"/>
      <c r="I199" s="11"/>
      <c r="J199" s="11">
        <v>1</v>
      </c>
      <c r="K199" s="10"/>
      <c r="L199" s="192"/>
      <c r="M199" s="11">
        <v>1</v>
      </c>
      <c r="N199" s="134">
        <f t="shared" si="7"/>
        <v>26</v>
      </c>
      <c r="O199" s="135"/>
      <c r="P199" s="10"/>
      <c r="Q199" s="123"/>
      <c r="R199" s="52">
        <v>21749.570312673855</v>
      </c>
      <c r="S199" s="47">
        <v>20662.091797040164</v>
      </c>
      <c r="T199" s="12">
        <v>21488.575468921772</v>
      </c>
      <c r="U199" s="12">
        <v>22315.059140803376</v>
      </c>
      <c r="V199" s="13"/>
      <c r="W199" s="13"/>
      <c r="X199" s="14"/>
    </row>
    <row r="200" spans="1:24">
      <c r="A200" s="142" t="s">
        <v>158</v>
      </c>
      <c r="B200" s="51" t="str">
        <f>IFERROR(HYPERLINK(VLOOKUP(A200,ÜRÜNLER!A:C,3,FALSE),VLOOKUP(A200,ÜRÜNLER!A:B,2,FALSE)),"")</f>
        <v>iQ300 Buhar Destekli Ankastre Fırın, Beyaz</v>
      </c>
      <c r="C200" s="8">
        <v>16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92"/>
      <c r="M200" s="11"/>
      <c r="N200" s="134">
        <f t="shared" si="7"/>
        <v>18</v>
      </c>
      <c r="O200" s="135"/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52" t="s">
        <v>161</v>
      </c>
      <c r="B201" s="51" t="str">
        <f>IFERROR(HYPERLINK(VLOOKUP(A201,ÜRÜNLER!A:C,3,FALSE),VLOOKUP(A201,ÜRÜNLER!A:B,2,FALSE)),"")</f>
        <v>iQ300 Ankastre Fırın, 1 Teleskopik Ray, Arkası Kendini Temizler, Siyah</v>
      </c>
      <c r="C201" s="8">
        <v>32</v>
      </c>
      <c r="D201" s="8"/>
      <c r="E201" s="9"/>
      <c r="F201" s="9"/>
      <c r="G201" s="10"/>
      <c r="H201" s="10"/>
      <c r="I201" s="11"/>
      <c r="J201" s="11"/>
      <c r="K201" s="10"/>
      <c r="L201" s="192"/>
      <c r="M201" s="11">
        <v>1</v>
      </c>
      <c r="N201" s="134">
        <f t="shared" si="7"/>
        <v>33</v>
      </c>
      <c r="O201" s="135"/>
      <c r="P201" s="10"/>
      <c r="Q201" s="123"/>
      <c r="R201" s="52">
        <v>25309.230600659284</v>
      </c>
      <c r="S201" s="47">
        <v>24043.76907062632</v>
      </c>
      <c r="T201" s="12">
        <v>25005.519833451373</v>
      </c>
      <c r="U201" s="12">
        <v>25967.270596276427</v>
      </c>
      <c r="V201" s="13">
        <v>328.99804251974638</v>
      </c>
      <c r="W201" s="13"/>
      <c r="X201" s="14"/>
    </row>
    <row r="202" spans="1:24">
      <c r="A202" s="152" t="s">
        <v>162</v>
      </c>
      <c r="B202" s="51" t="str">
        <f>IFERROR(HYPERLINK(VLOOKUP(A202,ÜRÜNLER!A:C,3,FALSE),VLOOKUP(A202,ÜRÜNLER!A:B,2,FALSE)),"")</f>
        <v>iQ300 Buhar Destekli Ankastre Fırın, 1 Teleskopik Ray, Arkası Kendini Temizler, darkSteel Line</v>
      </c>
      <c r="C202" s="8">
        <v>23</v>
      </c>
      <c r="D202" s="8"/>
      <c r="E202" s="9"/>
      <c r="F202" s="9"/>
      <c r="G202" s="10"/>
      <c r="H202" s="10"/>
      <c r="I202" s="11">
        <v>1</v>
      </c>
      <c r="J202" s="11"/>
      <c r="K202" s="10"/>
      <c r="L202" s="192"/>
      <c r="M202" s="11"/>
      <c r="N202" s="134">
        <f t="shared" si="7"/>
        <v>24</v>
      </c>
      <c r="O202" s="135"/>
      <c r="P202" s="10"/>
      <c r="Q202" s="123"/>
      <c r="R202" s="52">
        <v>25309.230600659284</v>
      </c>
      <c r="S202" s="47">
        <v>24043.76907062632</v>
      </c>
      <c r="T202" s="12">
        <v>25005.519833451373</v>
      </c>
      <c r="U202" s="12">
        <v>25967.270596276427</v>
      </c>
      <c r="V202" s="13">
        <v>328.99804251974638</v>
      </c>
      <c r="W202" s="13"/>
      <c r="X202" s="14"/>
    </row>
    <row r="203" spans="1:24">
      <c r="A203" s="151" t="s">
        <v>163</v>
      </c>
      <c r="B203" s="51" t="str">
        <f>IFERROR(HYPERLINK(VLOOKUP(A203,ÜRÜNLER!A:C,3,FALSE),VLOOKUP(A203,ÜRÜNLER!A:B,2,FALSE)),"")</f>
        <v>iQ300 Ankastre Fırın, 1 Teleskopik Ray, Arkası Kendini Temizler, Antrasit</v>
      </c>
      <c r="C203" s="8">
        <v>35</v>
      </c>
      <c r="D203" s="8"/>
      <c r="E203" s="9"/>
      <c r="F203" s="9"/>
      <c r="G203" s="10"/>
      <c r="H203" s="10"/>
      <c r="I203" s="11"/>
      <c r="J203" s="11">
        <v>1</v>
      </c>
      <c r="K203" s="10"/>
      <c r="L203" s="192"/>
      <c r="M203" s="11">
        <v>1</v>
      </c>
      <c r="N203" s="134">
        <f t="shared" si="7"/>
        <v>37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42" t="s">
        <v>164</v>
      </c>
      <c r="B204" s="51" t="str">
        <f>IFERROR(HYPERLINK(VLOOKUP(A204,ÜRÜNLER!A:C,3,FALSE),VLOOKUP(A204,ÜRÜNLER!A:B,2,FALSE)),"")</f>
        <v>iQ300 Buhar Destekli Ankastre Fırın, 1 Teleskopik Ray, Arkası Kendini Temizler, Beyaz</v>
      </c>
      <c r="C204" s="8">
        <v>18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92"/>
      <c r="M204" s="11"/>
      <c r="N204" s="134">
        <f t="shared" si="7"/>
        <v>20</v>
      </c>
      <c r="O204" s="135"/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 s="32" customFormat="1" ht="36" customHeight="1">
      <c r="A205" s="34" t="s">
        <v>204</v>
      </c>
      <c r="B205" s="51" t="str">
        <f>IFERROR(HYPERLINK(VLOOKUP(A205,ÜRÜNLER!A:C,3,FALSE),VLOOKUP(A205,ÜRÜNLER!A:B,2,FALSE)),"")</f>
        <v/>
      </c>
      <c r="C205" s="8"/>
      <c r="D205" s="8"/>
      <c r="E205" s="9"/>
      <c r="F205" s="9"/>
      <c r="G205" s="10"/>
      <c r="H205" s="10"/>
      <c r="I205" s="11"/>
      <c r="J205" s="11"/>
      <c r="K205" s="10"/>
      <c r="L205" s="192"/>
      <c r="M205" s="11"/>
      <c r="N205" s="134">
        <f>SUM(N159:N204)</f>
        <v>522</v>
      </c>
      <c r="O205" s="135"/>
      <c r="P205" s="10"/>
      <c r="Q205" s="118"/>
      <c r="R205" s="74"/>
      <c r="S205" s="74"/>
      <c r="T205" s="12"/>
      <c r="U205" s="12"/>
      <c r="V205" s="13"/>
      <c r="W205" s="13"/>
      <c r="X205" s="17"/>
    </row>
    <row r="206" spans="1:24">
      <c r="A206" s="149" t="s">
        <v>205</v>
      </c>
      <c r="B206" s="51" t="str">
        <f>IFERROR(HYPERLINK(VLOOKUP(A206,ÜRÜNLER!A:C,3,FALSE),VLOOKUP(A206,ÜRÜNLER!A:B,2,FALSE)),"")</f>
        <v>iQ500 Ankastre Mikrodalga, Izgaralı, Siyah</v>
      </c>
      <c r="C206" s="8"/>
      <c r="D206" s="8"/>
      <c r="E206" s="9"/>
      <c r="F206" s="9"/>
      <c r="G206" s="10"/>
      <c r="H206" s="10"/>
      <c r="I206" s="11"/>
      <c r="J206" s="11"/>
      <c r="K206" s="10"/>
      <c r="L206" s="192"/>
      <c r="M206" s="11"/>
      <c r="N206" s="134">
        <f t="shared" ref="N206:N223" si="8">M206+L206+K206+J206+I206+H206+G206+F206+E206+D206+C206</f>
        <v>0</v>
      </c>
      <c r="O206" s="135">
        <v>11</v>
      </c>
      <c r="P206" s="10"/>
      <c r="Q206" s="118"/>
      <c r="R206" s="52">
        <v>18980.456928434345</v>
      </c>
      <c r="S206" s="23">
        <v>18600.847789865657</v>
      </c>
      <c r="T206" s="12">
        <v>19344.881701460283</v>
      </c>
      <c r="U206" s="12">
        <v>20088.915613054909</v>
      </c>
      <c r="V206" s="13"/>
      <c r="W206" s="13"/>
      <c r="X206" s="17"/>
    </row>
    <row r="207" spans="1:24">
      <c r="A207" s="154" t="s">
        <v>206</v>
      </c>
      <c r="B207" s="51" t="str">
        <f>IFERROR(HYPERLINK(VLOOKUP(A207,ÜRÜNLER!A:C,3,FALSE),VLOOKUP(A207,ÜRÜNLER!A:B,2,FALSE)),"")</f>
        <v>iQ500 Ankastre Mikrodalga, Izgara Fonksiyonlu, 20L, Siyah/darkSteel</v>
      </c>
      <c r="C207" s="8"/>
      <c r="D207" s="8"/>
      <c r="E207" s="9"/>
      <c r="F207" s="9"/>
      <c r="G207" s="10"/>
      <c r="H207" s="10"/>
      <c r="I207" s="11"/>
      <c r="J207" s="11"/>
      <c r="K207" s="10">
        <v>1</v>
      </c>
      <c r="L207" s="192"/>
      <c r="M207" s="11"/>
      <c r="N207" s="134">
        <f t="shared" si="8"/>
        <v>1</v>
      </c>
      <c r="O207" s="135">
        <v>11</v>
      </c>
      <c r="P207" s="10"/>
      <c r="Q207" s="118"/>
      <c r="R207" s="52">
        <v>18980.456928434345</v>
      </c>
      <c r="S207" s="23">
        <v>18600.847789865657</v>
      </c>
      <c r="T207" s="12">
        <v>19344.881701460283</v>
      </c>
      <c r="U207" s="12">
        <v>20088.915613054909</v>
      </c>
      <c r="V207" s="13"/>
      <c r="W207" s="13"/>
      <c r="X207" s="14"/>
    </row>
    <row r="208" spans="1:24">
      <c r="A208" s="151" t="s">
        <v>207</v>
      </c>
      <c r="B208" s="51" t="str">
        <f>IFERROR(HYPERLINK(VLOOKUP(A208,ÜRÜNLER!A:C,3,FALSE),VLOOKUP(A208,ÜRÜNLER!A:B,2,FALSE)),"")</f>
        <v>iQ500 Ankastre Mikrodalga, Izgaralı, Anstrasit</v>
      </c>
      <c r="C208" s="8">
        <v>9</v>
      </c>
      <c r="D208" s="8"/>
      <c r="E208" s="9"/>
      <c r="F208" s="9"/>
      <c r="G208" s="10"/>
      <c r="H208" s="10"/>
      <c r="I208" s="11"/>
      <c r="J208" s="11"/>
      <c r="K208" s="10"/>
      <c r="L208" s="192"/>
      <c r="M208" s="11"/>
      <c r="N208" s="134">
        <f t="shared" si="8"/>
        <v>9</v>
      </c>
      <c r="O208" s="135">
        <v>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4"/>
    </row>
    <row r="209" spans="1:24">
      <c r="A209" s="21" t="s">
        <v>208</v>
      </c>
      <c r="B209" s="51" t="str">
        <f>IFERROR(HYPERLINK(VLOOKUP(A209,ÜRÜNLER!A:C,3,FALSE),VLOOKUP(A209,ÜRÜNLER!A:B,2,FALSE)),"")</f>
        <v>iQ500 Ankastre Mikrodalga, Izgara Fonksiyonlu, 20L, Beyaz</v>
      </c>
      <c r="C209" s="8">
        <v>5</v>
      </c>
      <c r="D209" s="8"/>
      <c r="E209" s="9"/>
      <c r="F209" s="9"/>
      <c r="G209" s="10"/>
      <c r="H209" s="10"/>
      <c r="I209" s="11"/>
      <c r="J209" s="11"/>
      <c r="K209" s="10"/>
      <c r="L209" s="192"/>
      <c r="M209" s="11"/>
      <c r="N209" s="134">
        <f t="shared" si="8"/>
        <v>5</v>
      </c>
      <c r="O209" s="135">
        <v>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21" t="s">
        <v>209</v>
      </c>
      <c r="B210" s="51" t="str">
        <f>IFERROR(HYPERLINK(VLOOKUP(A210,ÜRÜNLER!A:C,3,FALSE),VLOOKUP(A210,ÜRÜNLER!A:B,2,FALSE)),"")</f>
        <v>iQ500 Ankastre Mikrodalga, Izgara Fonksiyonlu, 20L, Siyah/Inox</v>
      </c>
      <c r="C210" s="8"/>
      <c r="D210" s="8"/>
      <c r="E210" s="9"/>
      <c r="F210" s="9"/>
      <c r="G210" s="10"/>
      <c r="H210" s="10"/>
      <c r="I210" s="11"/>
      <c r="J210" s="11"/>
      <c r="K210" s="10"/>
      <c r="L210" s="192"/>
      <c r="M210" s="11">
        <v>1</v>
      </c>
      <c r="N210" s="134">
        <f t="shared" si="8"/>
        <v>1</v>
      </c>
      <c r="O210" s="135"/>
      <c r="P210" s="10"/>
      <c r="Q210" s="118"/>
      <c r="R210" s="74" t="s">
        <v>1592</v>
      </c>
      <c r="S210" s="24">
        <v>15000</v>
      </c>
      <c r="T210" s="12">
        <v>15600</v>
      </c>
      <c r="U210" s="12">
        <v>16200</v>
      </c>
      <c r="V210" s="13"/>
      <c r="W210" s="13"/>
      <c r="X210" s="17"/>
    </row>
    <row r="211" spans="1:24">
      <c r="A211" s="149" t="s">
        <v>211</v>
      </c>
      <c r="B211" s="51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>
        <v>1</v>
      </c>
      <c r="J211" s="11"/>
      <c r="K211" s="10"/>
      <c r="L211" s="192"/>
      <c r="M211" s="11"/>
      <c r="N211" s="134">
        <f t="shared" si="8"/>
        <v>1</v>
      </c>
      <c r="O211" s="135">
        <v>11</v>
      </c>
      <c r="P211" s="10"/>
      <c r="Q211" s="118"/>
      <c r="R211" s="52">
        <v>21477.150925039881</v>
      </c>
      <c r="S211" s="23">
        <v>21047.607906539084</v>
      </c>
      <c r="T211" s="12">
        <v>21889.512222800648</v>
      </c>
      <c r="U211" s="12">
        <v>22731.416539062211</v>
      </c>
      <c r="V211" s="13"/>
      <c r="W211" s="13"/>
      <c r="X211" s="17"/>
    </row>
    <row r="212" spans="1:24">
      <c r="A212" s="21" t="s">
        <v>212</v>
      </c>
      <c r="B212" s="51" t="str">
        <f>IFERROR(HYPERLINK(VLOOKUP(A212,ÜRÜNLER!A:C,3,FALSE),VLOOKUP(A212,ÜRÜNLER!A:B,2,FALSE)),"")</f>
        <v>iQ700 Ankastre Mikrodalga, Izgara Fonksiyonlu, 21L, Siyah</v>
      </c>
      <c r="C212" s="8">
        <v>5</v>
      </c>
      <c r="D212" s="8"/>
      <c r="E212" s="9"/>
      <c r="F212" s="9">
        <v>2</v>
      </c>
      <c r="G212" s="10"/>
      <c r="H212" s="10"/>
      <c r="I212" s="11"/>
      <c r="J212" s="11"/>
      <c r="K212" s="10"/>
      <c r="L212" s="192"/>
      <c r="M212" s="11"/>
      <c r="N212" s="134">
        <f t="shared" si="8"/>
        <v>7</v>
      </c>
      <c r="O212" s="135"/>
      <c r="P212" s="10"/>
      <c r="Q212" s="118"/>
      <c r="R212" s="52">
        <v>32072.635465243795</v>
      </c>
      <c r="S212" s="23">
        <v>31431.18275593892</v>
      </c>
      <c r="T212" s="12">
        <v>32688.430066176476</v>
      </c>
      <c r="U212" s="12">
        <v>33945.677376414031</v>
      </c>
      <c r="V212" s="13"/>
      <c r="W212" s="13"/>
      <c r="X212" s="17"/>
    </row>
    <row r="213" spans="1:24">
      <c r="A213" s="149" t="s">
        <v>213</v>
      </c>
      <c r="B213" s="51" t="str">
        <f>IFERROR(HYPERLINK(VLOOKUP(A213,ÜRÜNLER!A:C,3,FALSE),VLOOKUP(A213,ÜRÜNLER!A:B,2,FALSE)),"")</f>
        <v>iQ300 Ankastre Mikrodalga, 20L, Siyah</v>
      </c>
      <c r="C213" s="8">
        <v>9</v>
      </c>
      <c r="D213" s="8"/>
      <c r="E213" s="9"/>
      <c r="F213" s="9"/>
      <c r="G213" s="10"/>
      <c r="H213" s="10"/>
      <c r="I213" s="11"/>
      <c r="J213" s="11"/>
      <c r="K213" s="10"/>
      <c r="L213" s="192"/>
      <c r="M213" s="11"/>
      <c r="N213" s="134">
        <f t="shared" si="8"/>
        <v>9</v>
      </c>
      <c r="O213" s="135"/>
      <c r="P213" s="10"/>
      <c r="Q213" s="118"/>
      <c r="R213" s="52">
        <v>15952.635071090051</v>
      </c>
      <c r="S213" s="23">
        <v>15633.582369668251</v>
      </c>
      <c r="T213" s="12">
        <v>16258.925664454981</v>
      </c>
      <c r="U213" s="12">
        <v>16884.268959241712</v>
      </c>
      <c r="V213" s="13"/>
      <c r="W213" s="13"/>
      <c r="X213" s="17"/>
    </row>
    <row r="214" spans="1:24">
      <c r="A214" s="21" t="s">
        <v>214</v>
      </c>
      <c r="B214" s="51" t="str">
        <f>IFERROR(HYPERLINK(VLOOKUP(A214,ÜRÜNLER!A:C,3,FALSE),VLOOKUP(A214,ÜRÜNLER!A:B,2,FALSE)),"")</f>
        <v>iQ300 Ankastre Mikrodalga, 20L, Siyah/Inox</v>
      </c>
      <c r="C214" s="8"/>
      <c r="D214" s="8"/>
      <c r="E214" s="9"/>
      <c r="F214" s="9"/>
      <c r="G214" s="10"/>
      <c r="H214" s="10"/>
      <c r="I214" s="11">
        <v>1</v>
      </c>
      <c r="J214" s="11">
        <v>1</v>
      </c>
      <c r="K214" s="10">
        <v>1</v>
      </c>
      <c r="L214" s="192"/>
      <c r="M214" s="11"/>
      <c r="N214" s="134">
        <f t="shared" si="8"/>
        <v>3</v>
      </c>
      <c r="O214" s="135"/>
      <c r="P214" s="10"/>
      <c r="Q214" s="118"/>
      <c r="R214" s="74" t="s">
        <v>1592</v>
      </c>
      <c r="S214" s="19">
        <v>15500</v>
      </c>
      <c r="T214" s="12">
        <v>16120</v>
      </c>
      <c r="U214" s="12">
        <v>16740</v>
      </c>
      <c r="V214" s="13"/>
      <c r="W214" s="13"/>
      <c r="X214" s="17">
        <v>100</v>
      </c>
    </row>
    <row r="215" spans="1:24">
      <c r="A215" s="21" t="s">
        <v>216</v>
      </c>
      <c r="B215" s="51" t="str">
        <f>IFERROR(HYPERLINK(VLOOKUP(A215,ÜRÜNLER!A:C,3,FALSE),VLOOKUP(A215,ÜRÜNLER!A:B,2,FALSE)),"")</f>
        <v>iQ500 Ankastre Mikrodalga, 20L, Beyaz/Inox</v>
      </c>
      <c r="C215" s="8"/>
      <c r="D215" s="8"/>
      <c r="E215" s="9"/>
      <c r="F215" s="9"/>
      <c r="G215" s="10"/>
      <c r="H215" s="10"/>
      <c r="I215" s="11">
        <v>2</v>
      </c>
      <c r="J215" s="11">
        <v>1</v>
      </c>
      <c r="K215" s="10">
        <v>2</v>
      </c>
      <c r="L215" s="192"/>
      <c r="M215" s="11"/>
      <c r="N215" s="134">
        <f t="shared" si="8"/>
        <v>5</v>
      </c>
      <c r="O215" s="135"/>
      <c r="P215" s="10"/>
      <c r="Q215" s="118"/>
      <c r="R215" s="74" t="s">
        <v>1592</v>
      </c>
      <c r="S215" s="19">
        <v>17000</v>
      </c>
      <c r="T215" s="12">
        <v>17680</v>
      </c>
      <c r="U215" s="12">
        <v>18360</v>
      </c>
      <c r="V215" s="13"/>
      <c r="W215" s="13"/>
      <c r="X215" s="17">
        <v>100</v>
      </c>
    </row>
    <row r="216" spans="1:24">
      <c r="A216" s="151" t="s">
        <v>217</v>
      </c>
      <c r="B216" s="51" t="str">
        <f>IFERROR(HYPERLINK(VLOOKUP(A216,ÜRÜNLER!A:C,3,FALSE),VLOOKUP(A216,ÜRÜNLER!A:B,2,FALSE)),"")</f>
        <v>iQ300 Ankastre Mikrodalga, 20L, Antrasit/Titanyum Gri</v>
      </c>
      <c r="C216" s="8">
        <v>16</v>
      </c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92"/>
      <c r="M216" s="11"/>
      <c r="N216" s="134">
        <f t="shared" si="8"/>
        <v>18</v>
      </c>
      <c r="O216" s="135">
        <v>1</v>
      </c>
      <c r="P216" s="10"/>
      <c r="Q216" s="118"/>
      <c r="R216" s="52">
        <v>14606.109922658294</v>
      </c>
      <c r="S216" s="53">
        <v>14313.987724205128</v>
      </c>
      <c r="T216" s="12">
        <v>14886.547233173333</v>
      </c>
      <c r="U216" s="12">
        <v>15459.106742141539</v>
      </c>
      <c r="V216" s="13"/>
      <c r="W216" s="13"/>
      <c r="X216" s="17"/>
    </row>
    <row r="217" spans="1:24">
      <c r="A217" s="21" t="s">
        <v>218</v>
      </c>
      <c r="B217" s="51" t="str">
        <f>IFERROR(HYPERLINK(VLOOKUP(A217,ÜRÜNLER!A:C,3,FALSE),VLOOKUP(A217,ÜRÜNLER!A:B,2,FALSE)),"")</f>
        <v>iQ300 Ankastre Mikrodalga, Inox</v>
      </c>
      <c r="C217" s="8">
        <v>9</v>
      </c>
      <c r="D217" s="8"/>
      <c r="E217" s="9"/>
      <c r="F217" s="9">
        <v>1</v>
      </c>
      <c r="G217" s="10"/>
      <c r="H217" s="10"/>
      <c r="I217" s="11">
        <v>1</v>
      </c>
      <c r="J217" s="11"/>
      <c r="K217" s="10"/>
      <c r="L217" s="192"/>
      <c r="M217" s="11">
        <v>1</v>
      </c>
      <c r="N217" s="134">
        <f t="shared" si="8"/>
        <v>12</v>
      </c>
      <c r="O217" s="135">
        <v>1</v>
      </c>
      <c r="P217" s="10"/>
      <c r="Q217" s="118"/>
      <c r="R217" s="52">
        <v>14603.17439298946</v>
      </c>
      <c r="S217" s="53">
        <v>14311.110905129672</v>
      </c>
      <c r="T217" s="12">
        <v>14883.555341334859</v>
      </c>
      <c r="U217" s="12">
        <v>15455.999777540046</v>
      </c>
      <c r="V217" s="13"/>
      <c r="W217" s="13"/>
      <c r="X217" s="14"/>
    </row>
    <row r="218" spans="1:24">
      <c r="A218" s="21" t="s">
        <v>219</v>
      </c>
      <c r="B218" s="51" t="str">
        <f>IFERROR(HYPERLINK(VLOOKUP(A218,ÜRÜNLER!A:C,3,FALSE),VLOOKUP(A218,ÜRÜNLER!A:B,2,FALSE)),"")</f>
        <v>iQ300 Ankastre Mikrodalga, 20L, Beyaz</v>
      </c>
      <c r="C218" s="8">
        <v>5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/>
      <c r="L218" s="192"/>
      <c r="M218" s="11"/>
      <c r="N218" s="134">
        <f t="shared" si="8"/>
        <v>7</v>
      </c>
      <c r="O218" s="135">
        <v>1</v>
      </c>
      <c r="P218" s="10"/>
      <c r="Q218" s="118"/>
      <c r="R218" s="52">
        <v>14603.17439298946</v>
      </c>
      <c r="S218" s="53">
        <v>14311.110905129672</v>
      </c>
      <c r="T218" s="12">
        <v>14883.555341334859</v>
      </c>
      <c r="U218" s="12">
        <v>15455.999777540046</v>
      </c>
      <c r="V218" s="13"/>
      <c r="W218" s="13"/>
      <c r="X218" s="14"/>
    </row>
    <row r="219" spans="1:24">
      <c r="A219" s="21" t="s">
        <v>220</v>
      </c>
      <c r="B219" s="51" t="str">
        <f>IFERROR(HYPERLINK(VLOOKUP(A219,ÜRÜNLER!A:C,3,FALSE),VLOOKUP(A219,ÜRÜNLER!A:B,2,FALSE)),"")</f>
        <v>iQ700 studioLine Ankastre Mikrodalga, 21L, Siyah</v>
      </c>
      <c r="C219" s="8"/>
      <c r="D219" s="8">
        <v>2</v>
      </c>
      <c r="E219" s="9"/>
      <c r="F219" s="9"/>
      <c r="G219" s="10"/>
      <c r="H219" s="10">
        <v>1</v>
      </c>
      <c r="I219" s="11"/>
      <c r="J219" s="11"/>
      <c r="K219" s="10"/>
      <c r="L219" s="192"/>
      <c r="M219" s="11"/>
      <c r="N219" s="134">
        <f t="shared" si="8"/>
        <v>3</v>
      </c>
      <c r="O219" s="135"/>
      <c r="P219" s="10"/>
      <c r="Q219" s="118"/>
      <c r="R219" s="74" t="s">
        <v>1592</v>
      </c>
      <c r="S219" s="18">
        <v>45000</v>
      </c>
      <c r="T219" s="12">
        <v>46800</v>
      </c>
      <c r="U219" s="12">
        <v>48600</v>
      </c>
      <c r="V219" s="13"/>
      <c r="W219" s="13"/>
      <c r="X219" s="14">
        <v>500</v>
      </c>
    </row>
    <row r="220" spans="1:24">
      <c r="A220" s="149" t="s">
        <v>221</v>
      </c>
      <c r="B220" s="51" t="str">
        <f>IFERROR(HYPERLINK(VLOOKUP(A220,ÜRÜNLER!A:C,3,FALSE),VLOOKUP(A220,ÜRÜNLER!A:B,2,FALSE)),"")</f>
        <v>iQ700 studioLine Ankastre Mikrodalga, 21L, Siyah</v>
      </c>
      <c r="C220" s="8"/>
      <c r="D220" s="8"/>
      <c r="E220" s="9"/>
      <c r="F220" s="9"/>
      <c r="G220" s="10"/>
      <c r="H220" s="10"/>
      <c r="I220" s="11"/>
      <c r="J220" s="11"/>
      <c r="K220" s="10"/>
      <c r="L220" s="192"/>
      <c r="M220" s="11"/>
      <c r="N220" s="134">
        <f t="shared" si="8"/>
        <v>0</v>
      </c>
      <c r="O220" s="135"/>
      <c r="P220" s="10"/>
      <c r="Q220" s="118"/>
      <c r="R220" s="52">
        <v>48975.730734347773</v>
      </c>
      <c r="S220" s="25">
        <v>48975.730734347773</v>
      </c>
      <c r="T220" s="12">
        <v>50934.759963721684</v>
      </c>
      <c r="U220" s="12">
        <v>52893.789193095596</v>
      </c>
      <c r="V220" s="13"/>
      <c r="W220" s="13"/>
      <c r="X220" s="14">
        <v>500</v>
      </c>
    </row>
    <row r="221" spans="1:24">
      <c r="A221" s="140" t="s">
        <v>222</v>
      </c>
      <c r="B221" s="51" t="str">
        <f>IFERROR(HYPERLINK(VLOOKUP(A221,ÜRÜNLER!A:C,3,FALSE),VLOOKUP(A221,ÜRÜNLER!A:B,2,FALSE)),"")</f>
        <v>iQ300 Solo Mikrodalga, 20L, Siyah</v>
      </c>
      <c r="C221" s="8">
        <v>4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>
        <v>1</v>
      </c>
      <c r="L221" s="192"/>
      <c r="M221" s="11">
        <v>1</v>
      </c>
      <c r="N221" s="134">
        <f t="shared" si="8"/>
        <v>8</v>
      </c>
      <c r="O221" s="135">
        <v>1</v>
      </c>
      <c r="P221" s="10"/>
      <c r="Q221" s="118"/>
      <c r="R221" s="52">
        <v>6554.2411269503727</v>
      </c>
      <c r="S221" s="53">
        <v>6423.1563044113655</v>
      </c>
      <c r="T221" s="12">
        <v>6680.0825565878204</v>
      </c>
      <c r="U221" s="12">
        <v>6937.0088087642744</v>
      </c>
      <c r="V221" s="13"/>
      <c r="W221" s="13"/>
      <c r="X221" s="17"/>
    </row>
    <row r="222" spans="1:24">
      <c r="A222" s="140" t="s">
        <v>223</v>
      </c>
      <c r="B222" s="51" t="str">
        <f>IFERROR(HYPERLINK(VLOOKUP(A222,ÜRÜNLER!A:C,3,FALSE),VLOOKUP(A222,ÜRÜNLER!A:B,2,FALSE)),"")</f>
        <v>iQ300 Solo Mikrodalga, 20L, Beyaz</v>
      </c>
      <c r="C222" s="8">
        <v>4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>
        <v>1</v>
      </c>
      <c r="L222" s="192"/>
      <c r="M222" s="11">
        <v>1</v>
      </c>
      <c r="N222" s="134">
        <f t="shared" si="8"/>
        <v>8</v>
      </c>
      <c r="O222" s="135">
        <v>16</v>
      </c>
      <c r="P222" s="10"/>
      <c r="Q222" s="118"/>
      <c r="R222" s="52">
        <v>6080.8755116605043</v>
      </c>
      <c r="S222" s="53">
        <v>5959.2580014272944</v>
      </c>
      <c r="T222" s="12">
        <v>6197.6283214843861</v>
      </c>
      <c r="U222" s="12">
        <v>6435.9986415414778</v>
      </c>
      <c r="V222" s="13"/>
      <c r="W222" s="13"/>
      <c r="X222" s="17"/>
    </row>
    <row r="223" spans="1:24">
      <c r="A223" s="140" t="s">
        <v>224</v>
      </c>
      <c r="B223" s="51" t="str">
        <f>IFERROR(HYPERLINK(VLOOKUP(A223,ÜRÜNLER!A:C,3,FALSE),VLOOKUP(A223,ÜRÜNLER!A:B,2,FALSE)),"")</f>
        <v>iQ300 Solo Mikrodalga, 20L, Siyah/Inox</v>
      </c>
      <c r="C223" s="8">
        <v>9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92"/>
      <c r="M223" s="11">
        <v>1</v>
      </c>
      <c r="N223" s="134">
        <f t="shared" si="8"/>
        <v>12</v>
      </c>
      <c r="O223" s="135"/>
      <c r="P223" s="10"/>
      <c r="Q223" s="118"/>
      <c r="R223" s="52">
        <v>7263.1260258191696</v>
      </c>
      <c r="S223" s="53">
        <v>7117.8635053027865</v>
      </c>
      <c r="T223" s="12">
        <v>7402.5780455148979</v>
      </c>
      <c r="U223" s="12">
        <v>7687.2925857270093</v>
      </c>
      <c r="V223" s="13"/>
      <c r="W223" s="13"/>
      <c r="X223" s="17"/>
    </row>
    <row r="224" spans="1:24" ht="33.75" customHeight="1">
      <c r="A224" s="31" t="s">
        <v>225</v>
      </c>
      <c r="B224" s="51" t="str">
        <f>IFERROR(HYPERLINK(VLOOKUP(A224,ÜRÜNLER!A:C,3,FALSE),VLOOKUP(A224,ÜRÜNLER!A:B,2,FALSE)),"")</f>
        <v/>
      </c>
      <c r="C224" s="8"/>
      <c r="D224" s="8"/>
      <c r="E224" s="9"/>
      <c r="F224" s="9"/>
      <c r="G224" s="10"/>
      <c r="H224" s="10"/>
      <c r="I224" s="11"/>
      <c r="J224" s="11"/>
      <c r="K224" s="10"/>
      <c r="L224" s="192"/>
      <c r="M224" s="11"/>
      <c r="N224" s="134"/>
      <c r="O224" s="135"/>
      <c r="P224" s="10"/>
      <c r="Q224" s="118"/>
      <c r="R224" s="74"/>
      <c r="S224" s="74"/>
      <c r="T224" s="12"/>
      <c r="U224" s="12"/>
      <c r="V224" s="13"/>
      <c r="W224" s="13"/>
      <c r="X224" s="17"/>
    </row>
    <row r="225" spans="1:26">
      <c r="A225" s="142" t="s">
        <v>226</v>
      </c>
      <c r="B225" s="51" t="str">
        <f>IFERROR(HYPERLINK(VLOOKUP(A225,ÜRÜNLER!A:C,3,FALSE),VLOOKUP(A225,ÜRÜNLER!A:B,2,FALSE)),"")</f>
        <v>iQ100 Düz Davlumbaz, 60cm, 380m3, Beyaz</v>
      </c>
      <c r="C225" s="8"/>
      <c r="D225" s="8"/>
      <c r="E225" s="9"/>
      <c r="F225" s="9"/>
      <c r="G225" s="10"/>
      <c r="H225" s="10"/>
      <c r="I225" s="11">
        <v>1</v>
      </c>
      <c r="J225" s="11"/>
      <c r="K225" s="10">
        <v>1</v>
      </c>
      <c r="L225" s="192"/>
      <c r="M225" s="11"/>
      <c r="N225" s="134">
        <f t="shared" ref="N225:N280" si="9">M225+L225+K225+J225+I225+H225+G225+F225+E225+D225+C225</f>
        <v>2</v>
      </c>
      <c r="O225" s="135"/>
      <c r="P225" s="10"/>
      <c r="Q225" s="118"/>
      <c r="R225" s="74" t="s">
        <v>1592</v>
      </c>
      <c r="S225" s="19">
        <v>8000</v>
      </c>
      <c r="T225" s="12">
        <v>8320</v>
      </c>
      <c r="U225" s="12">
        <v>8640</v>
      </c>
      <c r="V225" s="13"/>
      <c r="W225" s="13"/>
      <c r="X225" s="131">
        <v>500</v>
      </c>
    </row>
    <row r="226" spans="1:26">
      <c r="A226" s="142" t="s">
        <v>227</v>
      </c>
      <c r="B226" s="51" t="str">
        <f>IFERROR(HYPERLINK(VLOOKUP(A226,ÜRÜNLER!A:C,3,FALSE),VLOOKUP(A226,ÜRÜNLER!A:B,2,FALSE)),"")</f>
        <v>iQ100 Düz Davlumbaz, 60cm, 380m3, Inox</v>
      </c>
      <c r="C226" s="8"/>
      <c r="D226" s="8"/>
      <c r="E226" s="9"/>
      <c r="F226" s="9"/>
      <c r="G226" s="10"/>
      <c r="H226" s="10"/>
      <c r="I226" s="11">
        <v>1</v>
      </c>
      <c r="J226" s="11"/>
      <c r="K226" s="10"/>
      <c r="L226" s="192"/>
      <c r="M226" s="11"/>
      <c r="N226" s="134">
        <f t="shared" si="9"/>
        <v>1</v>
      </c>
      <c r="O226" s="135"/>
      <c r="P226" s="10"/>
      <c r="Q226" s="124" t="s">
        <v>1549</v>
      </c>
      <c r="R226" s="74" t="s">
        <v>1592</v>
      </c>
      <c r="S226" s="19">
        <v>8000</v>
      </c>
      <c r="T226" s="12">
        <v>8320</v>
      </c>
      <c r="U226" s="12">
        <v>8640</v>
      </c>
      <c r="V226" s="13"/>
      <c r="W226" s="13"/>
      <c r="X226" s="131">
        <v>500</v>
      </c>
    </row>
    <row r="227" spans="1:26">
      <c r="A227" s="142" t="s">
        <v>228</v>
      </c>
      <c r="B227" s="51" t="str">
        <f>IFERROR(HYPERLINK(VLOOKUP(A227,ÜRÜNLER!A:C,3,FALSE),VLOOKUP(A227,ÜRÜNLER!A:B,2,FALSE)),"")</f>
        <v>iQ100 Düz Davlumbaz, 60cm, 380m3, Siyah</v>
      </c>
      <c r="C227" s="8">
        <v>2</v>
      </c>
      <c r="D227" s="8"/>
      <c r="E227" s="9"/>
      <c r="F227" s="9">
        <v>1</v>
      </c>
      <c r="G227" s="10"/>
      <c r="H227" s="10"/>
      <c r="I227" s="11"/>
      <c r="J227" s="11"/>
      <c r="K227" s="10">
        <v>2</v>
      </c>
      <c r="L227" s="192"/>
      <c r="M227" s="11"/>
      <c r="N227" s="134">
        <f t="shared" si="9"/>
        <v>5</v>
      </c>
      <c r="O227" s="135"/>
      <c r="P227" s="10"/>
      <c r="Q227" s="118"/>
      <c r="R227" s="74" t="s">
        <v>1592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6">
      <c r="A228" s="142" t="s">
        <v>229</v>
      </c>
      <c r="B228" s="51" t="str">
        <f>IFERROR(HYPERLINK(VLOOKUP(A228,ÜRÜNLER!A:C,3,FALSE),VLOOKUP(A228,ÜRÜNLER!A:B,2,FALSE)),"")</f>
        <v>iQ100 Eğimli Davlumbaz, 59cm, 360m3, Beyaz Cam</v>
      </c>
      <c r="C228" s="8">
        <v>4</v>
      </c>
      <c r="D228" s="8"/>
      <c r="E228" s="9"/>
      <c r="F228" s="9">
        <v>1</v>
      </c>
      <c r="G228" s="10"/>
      <c r="H228" s="10"/>
      <c r="I228" s="11"/>
      <c r="J228" s="11"/>
      <c r="K228" s="10"/>
      <c r="L228" s="192"/>
      <c r="M228" s="11"/>
      <c r="N228" s="134">
        <f t="shared" si="9"/>
        <v>5</v>
      </c>
      <c r="O228" s="135"/>
      <c r="P228" s="10"/>
      <c r="Q228" s="118" t="s">
        <v>1548</v>
      </c>
      <c r="R228" s="52">
        <v>9025.6807122329337</v>
      </c>
      <c r="S228" s="19">
        <v>10000</v>
      </c>
      <c r="T228" s="12">
        <v>10400</v>
      </c>
      <c r="U228" s="12">
        <v>10800</v>
      </c>
      <c r="V228" s="13"/>
      <c r="W228" s="13"/>
      <c r="X228" s="17"/>
    </row>
    <row r="229" spans="1:26">
      <c r="A229" s="142" t="s">
        <v>230</v>
      </c>
      <c r="B229" s="51" t="str">
        <f>IFERROR(HYPERLINK(VLOOKUP(A229,ÜRÜNLER!A:C,3,FALSE),VLOOKUP(A229,ÜRÜNLER!A:B,2,FALSE)),"")</f>
        <v>iQ100 Eğimli Davlumbaz, 59cm, 360m3, Siyah Cam</v>
      </c>
      <c r="C229" s="8">
        <v>5</v>
      </c>
      <c r="D229" s="8"/>
      <c r="E229" s="9"/>
      <c r="F229" s="9"/>
      <c r="G229" s="10"/>
      <c r="H229" s="10"/>
      <c r="I229" s="11"/>
      <c r="J229" s="11"/>
      <c r="K229" s="10"/>
      <c r="L229" s="192"/>
      <c r="M229" s="11">
        <v>1</v>
      </c>
      <c r="N229" s="134">
        <f t="shared" si="9"/>
        <v>6</v>
      </c>
      <c r="O229" s="135"/>
      <c r="P229" s="10"/>
      <c r="Q229" s="118" t="s">
        <v>1548</v>
      </c>
      <c r="R229" s="52">
        <v>9025.6807122329337</v>
      </c>
      <c r="S229" s="19">
        <v>10000</v>
      </c>
      <c r="T229" s="12">
        <v>10400</v>
      </c>
      <c r="U229" s="12">
        <v>10800</v>
      </c>
      <c r="V229" s="13"/>
      <c r="W229" s="13"/>
      <c r="X229" s="17"/>
    </row>
    <row r="230" spans="1:26">
      <c r="A230" s="142" t="s">
        <v>231</v>
      </c>
      <c r="B230" s="51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/>
      <c r="G230" s="10"/>
      <c r="H230" s="10"/>
      <c r="I230" s="11"/>
      <c r="J230" s="11"/>
      <c r="K230" s="10">
        <v>1</v>
      </c>
      <c r="L230" s="192"/>
      <c r="M230" s="11"/>
      <c r="N230" s="134">
        <f t="shared" si="9"/>
        <v>1</v>
      </c>
      <c r="O230" s="135"/>
      <c r="P230" s="10"/>
      <c r="Q230" s="118" t="s">
        <v>1548</v>
      </c>
      <c r="R230" s="52">
        <v>9025.6807122329337</v>
      </c>
      <c r="S230" s="19">
        <v>9476.9647478445804</v>
      </c>
      <c r="T230" s="12">
        <v>9856.0433377583631</v>
      </c>
      <c r="U230" s="12">
        <v>10235.121927672148</v>
      </c>
      <c r="V230" s="13"/>
      <c r="W230" s="13"/>
      <c r="X230" s="17"/>
    </row>
    <row r="231" spans="1:26">
      <c r="A231" s="142" t="s">
        <v>232</v>
      </c>
      <c r="B231" s="51" t="str">
        <f>IFERROR(HYPERLINK(VLOOKUP(A231,ÜRÜNLER!A:C,3,FALSE),VLOOKUP(A231,ÜRÜNLER!A:B,2,FALSE)),"")</f>
        <v>iQ100 Düz Davlumbaz, 60cm, 612m3, Paslanmaz Çelik</v>
      </c>
      <c r="C231" s="8">
        <v>1</v>
      </c>
      <c r="D231" s="8"/>
      <c r="E231" s="9"/>
      <c r="F231" s="9">
        <v>1</v>
      </c>
      <c r="G231" s="10"/>
      <c r="H231" s="10"/>
      <c r="I231" s="11">
        <v>1</v>
      </c>
      <c r="J231" s="11"/>
      <c r="K231" s="10"/>
      <c r="L231" s="192"/>
      <c r="M231" s="11"/>
      <c r="N231" s="134">
        <f t="shared" si="9"/>
        <v>3</v>
      </c>
      <c r="O231" s="135"/>
      <c r="P231" s="10"/>
      <c r="Q231" s="118"/>
      <c r="R231" s="52">
        <v>15245.322966199588</v>
      </c>
      <c r="S231" s="182">
        <v>14940.416506875597</v>
      </c>
      <c r="T231" s="12">
        <v>15538.033167150621</v>
      </c>
      <c r="U231" s="12">
        <v>16135.649827425645</v>
      </c>
      <c r="V231" s="13"/>
      <c r="W231" s="13"/>
      <c r="X231" s="17"/>
    </row>
    <row r="232" spans="1:26">
      <c r="A232" s="155" t="s">
        <v>234</v>
      </c>
      <c r="B232" s="51" t="str">
        <f>IFERROR(HYPERLINK(VLOOKUP(A232,ÜRÜNLER!A:C,3,FALSE),VLOOKUP(A232,ÜRÜNLER!A:B,2,FALSE)),"")</f>
        <v>iQ300 Düz Davlumbaz, 60cm, 649m3, Beyaz Cam</v>
      </c>
      <c r="C232" s="8">
        <v>8</v>
      </c>
      <c r="D232" s="8"/>
      <c r="E232" s="9"/>
      <c r="F232" s="9"/>
      <c r="G232" s="10"/>
      <c r="H232" s="10"/>
      <c r="I232" s="11"/>
      <c r="J232" s="11">
        <v>1</v>
      </c>
      <c r="K232" s="10">
        <v>1</v>
      </c>
      <c r="L232" s="192"/>
      <c r="M232" s="11"/>
      <c r="N232" s="134">
        <f t="shared" si="9"/>
        <v>10</v>
      </c>
      <c r="O232" s="135"/>
      <c r="P232" s="10"/>
      <c r="Q232" s="118"/>
      <c r="R232" s="52">
        <v>18686.314734455249</v>
      </c>
      <c r="S232" s="182">
        <v>18312.588439766143</v>
      </c>
      <c r="T232" s="12">
        <v>19045.091977356788</v>
      </c>
      <c r="U232" s="12">
        <v>19777.595514947436</v>
      </c>
      <c r="V232" s="13">
        <v>1397.9426414319933</v>
      </c>
      <c r="W232" s="13"/>
      <c r="X232" s="17"/>
    </row>
    <row r="233" spans="1:26">
      <c r="A233" s="155" t="s">
        <v>235</v>
      </c>
      <c r="B233" s="51" t="str">
        <f>IFERROR(HYPERLINK(VLOOKUP(A233,ÜRÜNLER!A:C,3,FALSE),VLOOKUP(A233,ÜRÜNLER!A:B,2,FALSE)),"")</f>
        <v>iQ300 Düz Davlumbaz, 60cm, 649m3, Siyah Cam</v>
      </c>
      <c r="C233" s="8">
        <v>7</v>
      </c>
      <c r="D233" s="8"/>
      <c r="E233" s="9"/>
      <c r="F233" s="9"/>
      <c r="G233" s="10"/>
      <c r="H233" s="10"/>
      <c r="I233" s="11">
        <v>2</v>
      </c>
      <c r="J233" s="11"/>
      <c r="K233" s="10">
        <v>1</v>
      </c>
      <c r="L233" s="192"/>
      <c r="M233" s="11"/>
      <c r="N233" s="134">
        <f t="shared" si="9"/>
        <v>10</v>
      </c>
      <c r="O233" s="135"/>
      <c r="P233" s="10"/>
      <c r="Q233" s="118"/>
      <c r="R233" s="52">
        <v>18686.314734455249</v>
      </c>
      <c r="S233" s="182">
        <v>18312.588439766143</v>
      </c>
      <c r="T233" s="12">
        <v>19045.091977356788</v>
      </c>
      <c r="U233" s="12">
        <v>19777.595514947436</v>
      </c>
      <c r="V233" s="13">
        <v>1397.9426414319933</v>
      </c>
      <c r="W233" s="13"/>
      <c r="X233" s="17"/>
    </row>
    <row r="234" spans="1:26">
      <c r="A234" s="149" t="s">
        <v>236</v>
      </c>
      <c r="B234" s="51" t="str">
        <f>IFERROR(HYPERLINK(VLOOKUP(A234,ÜRÜNLER!A:C,3,FALSE),VLOOKUP(A234,ÜRÜNLER!A:B,2,FALSE)),"")</f>
        <v>iQ300 Eğimli Davlumbaz, 60cm, 593m3, Siyah Cam</v>
      </c>
      <c r="C234" s="8"/>
      <c r="D234" s="8"/>
      <c r="E234" s="9"/>
      <c r="F234" s="9">
        <v>1</v>
      </c>
      <c r="G234" s="10"/>
      <c r="H234" s="10"/>
      <c r="I234" s="11">
        <v>1</v>
      </c>
      <c r="J234" s="11">
        <v>1</v>
      </c>
      <c r="K234" s="10">
        <v>1</v>
      </c>
      <c r="L234" s="192"/>
      <c r="M234" s="11"/>
      <c r="N234" s="134">
        <f t="shared" si="9"/>
        <v>4</v>
      </c>
      <c r="O234" s="135"/>
      <c r="P234" s="10"/>
      <c r="Q234" s="118"/>
      <c r="R234" s="74" t="s">
        <v>1592</v>
      </c>
      <c r="S234" s="19">
        <v>13000</v>
      </c>
      <c r="T234" s="12">
        <v>13520</v>
      </c>
      <c r="U234" s="12">
        <v>14040</v>
      </c>
      <c r="V234" s="13"/>
      <c r="W234" s="13"/>
      <c r="X234" s="17">
        <v>250</v>
      </c>
    </row>
    <row r="235" spans="1:26">
      <c r="A235" s="143" t="s">
        <v>237</v>
      </c>
      <c r="B235" s="51" t="str">
        <f>IFERROR(HYPERLINK(VLOOKUP(A235,ÜRÜNLER!A:C,3,FALSE),VLOOKUP(A235,ÜRÜNLER!A:B,2,FALSE)),"")</f>
        <v>iQ300 Eğimli Davlumbaz, 60cm, 616m3, Siyah Cam</v>
      </c>
      <c r="C235" s="8"/>
      <c r="D235" s="8"/>
      <c r="E235" s="9"/>
      <c r="F235" s="9"/>
      <c r="G235" s="10"/>
      <c r="H235" s="10"/>
      <c r="I235" s="11"/>
      <c r="J235" s="11"/>
      <c r="K235" s="10">
        <v>1</v>
      </c>
      <c r="L235" s="192"/>
      <c r="M235" s="11"/>
      <c r="N235" s="134">
        <f t="shared" si="9"/>
        <v>1</v>
      </c>
      <c r="O235" s="135"/>
      <c r="P235" s="10"/>
      <c r="Q235" s="118"/>
      <c r="R235" s="74" t="s">
        <v>1592</v>
      </c>
      <c r="S235" s="19">
        <v>13000</v>
      </c>
      <c r="T235" s="12">
        <v>13520</v>
      </c>
      <c r="U235" s="12">
        <v>14040</v>
      </c>
      <c r="V235" s="13"/>
      <c r="W235" s="13"/>
      <c r="X235" s="17">
        <v>250</v>
      </c>
    </row>
    <row r="236" spans="1:26">
      <c r="A236" s="21" t="s">
        <v>238</v>
      </c>
      <c r="B236" s="51" t="str">
        <f>IFERROR(HYPERLINK(VLOOKUP(A236,ÜRÜNLER!A:C,3,FALSE),VLOOKUP(A236,ÜRÜNLER!A:B,2,FALSE)),"")</f>
        <v>iQ100 Eğimli Davlumbaz, 60cm, 400m3, Beyaz Cam</v>
      </c>
      <c r="C236" s="8">
        <v>5</v>
      </c>
      <c r="D236" s="8"/>
      <c r="E236" s="9"/>
      <c r="F236" s="9"/>
      <c r="G236" s="10"/>
      <c r="H236" s="10"/>
      <c r="I236" s="11">
        <v>1</v>
      </c>
      <c r="J236" s="11"/>
      <c r="K236" s="10"/>
      <c r="L236" s="192"/>
      <c r="M236" s="11"/>
      <c r="N236" s="134">
        <f t="shared" si="9"/>
        <v>6</v>
      </c>
      <c r="O236" s="135">
        <v>11</v>
      </c>
      <c r="P236" s="10"/>
      <c r="Q236" s="118"/>
      <c r="R236" s="52">
        <v>12960.412782700203</v>
      </c>
      <c r="S236" s="182">
        <v>12701.204527046199</v>
      </c>
      <c r="T236" s="12">
        <v>13209.252708128046</v>
      </c>
      <c r="U236" s="12">
        <v>13717.300889209895</v>
      </c>
      <c r="V236" s="13"/>
      <c r="W236" s="13"/>
      <c r="X236" s="17"/>
    </row>
    <row r="237" spans="1:26">
      <c r="A237" s="21" t="s">
        <v>239</v>
      </c>
      <c r="B237" s="51" t="str">
        <f>IFERROR(HYPERLINK(VLOOKUP(A237,ÜRÜNLER!A:C,3,FALSE),VLOOKUP(A237,ÜRÜNLER!A:B,2,FALSE)),"")</f>
        <v>iQ100 Eğimli Davlumbaz, 60cm, 400m3, Siyah Cam</v>
      </c>
      <c r="C237" s="8">
        <v>7</v>
      </c>
      <c r="D237" s="8"/>
      <c r="E237" s="9"/>
      <c r="F237" s="9"/>
      <c r="G237" s="10"/>
      <c r="H237" s="10"/>
      <c r="I237" s="11"/>
      <c r="J237" s="11">
        <v>1</v>
      </c>
      <c r="K237" s="10"/>
      <c r="L237" s="192"/>
      <c r="M237" s="11"/>
      <c r="N237" s="134">
        <f t="shared" si="9"/>
        <v>8</v>
      </c>
      <c r="O237" s="135">
        <v>11</v>
      </c>
      <c r="P237" s="10"/>
      <c r="Q237" s="118"/>
      <c r="R237" s="52">
        <v>12960.412782700203</v>
      </c>
      <c r="S237" s="182">
        <v>12701.204527046199</v>
      </c>
      <c r="T237" s="12">
        <v>13209.252708128046</v>
      </c>
      <c r="U237" s="12">
        <v>13717.300889209895</v>
      </c>
      <c r="V237" s="27"/>
      <c r="W237" s="13"/>
      <c r="X237" s="17"/>
      <c r="Z237" t="s">
        <v>1613</v>
      </c>
    </row>
    <row r="238" spans="1:26">
      <c r="A238" s="151" t="s">
        <v>240</v>
      </c>
      <c r="B238" s="51" t="str">
        <f>IFERROR(HYPERLINK(VLOOKUP(A238,ÜRÜNLER!A:C,3,FALSE),VLOOKUP(A238,ÜRÜNLER!A:B,2,FALSE)),"")</f>
        <v>iQ100 Eğimli Davlumbaz, 60cm, 400m3, Antrasit Gri Cam</v>
      </c>
      <c r="C238" s="8">
        <v>30</v>
      </c>
      <c r="D238" s="8"/>
      <c r="E238" s="9"/>
      <c r="F238" s="9">
        <v>1</v>
      </c>
      <c r="G238" s="10"/>
      <c r="H238" s="10"/>
      <c r="I238" s="11">
        <v>2</v>
      </c>
      <c r="J238" s="11"/>
      <c r="K238" s="10"/>
      <c r="L238" s="192"/>
      <c r="M238" s="11">
        <v>1</v>
      </c>
      <c r="N238" s="134">
        <f t="shared" si="9"/>
        <v>34</v>
      </c>
      <c r="O238" s="135">
        <v>1</v>
      </c>
      <c r="P238" s="10"/>
      <c r="Q238" s="118"/>
      <c r="R238" s="52">
        <v>12960.412782700203</v>
      </c>
      <c r="S238" s="182">
        <v>12701.204527046199</v>
      </c>
      <c r="T238" s="12">
        <v>13209.252708128046</v>
      </c>
      <c r="U238" s="12">
        <v>13717.300889209895</v>
      </c>
      <c r="V238" s="13"/>
      <c r="W238" s="13"/>
      <c r="X238" s="17"/>
    </row>
    <row r="239" spans="1:26">
      <c r="A239" s="21" t="s">
        <v>241</v>
      </c>
      <c r="B239" s="51" t="str">
        <f>IFERROR(HYPERLINK(VLOOKUP(A239,ÜRÜNLER!A:C,3,FALSE),VLOOKUP(A239,ÜRÜNLER!A:B,2,FALSE)),"")</f>
        <v>iQ300 Eğimli Davlumbaz, 60cm, 510m3, Beyaz Cam</v>
      </c>
      <c r="C239" s="8"/>
      <c r="D239" s="8"/>
      <c r="E239" s="9"/>
      <c r="F239" s="9"/>
      <c r="G239" s="10"/>
      <c r="H239" s="10"/>
      <c r="I239" s="11">
        <v>1</v>
      </c>
      <c r="J239" s="11"/>
      <c r="K239" s="10"/>
      <c r="L239" s="192"/>
      <c r="M239" s="11">
        <v>1</v>
      </c>
      <c r="N239" s="134">
        <f t="shared" si="9"/>
        <v>2</v>
      </c>
      <c r="O239" s="135">
        <v>31</v>
      </c>
      <c r="P239" s="10"/>
      <c r="Q239" s="118"/>
      <c r="R239" s="52">
        <v>16420.245017186768</v>
      </c>
      <c r="S239" s="25">
        <v>17500</v>
      </c>
      <c r="T239" s="12">
        <v>18200</v>
      </c>
      <c r="U239" s="12">
        <v>18900</v>
      </c>
      <c r="V239" s="27"/>
      <c r="W239" s="13"/>
      <c r="X239" s="17"/>
      <c r="Z239" t="s">
        <v>1613</v>
      </c>
    </row>
    <row r="240" spans="1:26">
      <c r="A240" s="149" t="s">
        <v>242</v>
      </c>
      <c r="B240" s="51" t="str">
        <f>IFERROR(HYPERLINK(VLOOKUP(A240,ÜRÜNLER!A:C,3,FALSE),VLOOKUP(A240,ÜRÜNLER!A:B,2,FALSE)),"")</f>
        <v>iQ300 Eğimli Davlumbaz, 60cm, 510m3, Siyah Cam</v>
      </c>
      <c r="C240" s="8">
        <v>5</v>
      </c>
      <c r="D240" s="8"/>
      <c r="E240" s="9"/>
      <c r="F240" s="9">
        <v>1</v>
      </c>
      <c r="G240" s="10"/>
      <c r="H240" s="10"/>
      <c r="I240" s="11"/>
      <c r="J240" s="11"/>
      <c r="K240" s="10">
        <v>1</v>
      </c>
      <c r="L240" s="192"/>
      <c r="M240" s="11"/>
      <c r="N240" s="134">
        <f t="shared" si="9"/>
        <v>7</v>
      </c>
      <c r="O240" s="135">
        <v>31</v>
      </c>
      <c r="P240" s="10"/>
      <c r="Q240" s="118"/>
      <c r="R240" s="52">
        <v>16420.245017186768</v>
      </c>
      <c r="S240" s="47">
        <v>15599.23276632743</v>
      </c>
      <c r="T240" s="12">
        <v>16223.202076980528</v>
      </c>
      <c r="U240" s="12">
        <v>16847.171387633625</v>
      </c>
      <c r="V240" s="13">
        <v>417.91943579141849</v>
      </c>
      <c r="W240" s="13"/>
      <c r="X240" s="17"/>
    </row>
    <row r="241" spans="1:26">
      <c r="A241" s="151" t="s">
        <v>243</v>
      </c>
      <c r="B241" s="51" t="str">
        <f>IFERROR(HYPERLINK(VLOOKUP(A241,ÜRÜNLER!A:C,3,FALSE),VLOOKUP(A241,ÜRÜNLER!A:B,2,FALSE)),"")</f>
        <v>iQ300 Eğimli Davlumbaz, 60cm, 510m3, Antrasit Gri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92"/>
      <c r="M241" s="11"/>
      <c r="N241" s="134">
        <f t="shared" si="9"/>
        <v>1</v>
      </c>
      <c r="O241" s="135">
        <v>51</v>
      </c>
      <c r="P241" s="10"/>
      <c r="Q241" s="118"/>
      <c r="R241" s="52">
        <v>16420.245017186768</v>
      </c>
      <c r="S241" s="25">
        <v>17500</v>
      </c>
      <c r="T241" s="12">
        <v>18200</v>
      </c>
      <c r="U241" s="12">
        <v>18900</v>
      </c>
      <c r="V241" s="27"/>
      <c r="W241" s="13"/>
      <c r="X241" s="17"/>
      <c r="Z241" t="s">
        <v>1613</v>
      </c>
    </row>
    <row r="242" spans="1:26">
      <c r="A242" s="142" t="s">
        <v>244</v>
      </c>
      <c r="B242" s="51" t="str">
        <f>IFERROR(HYPERLINK(VLOOKUP(A242,ÜRÜNLER!A:C,3,FALSE),VLOOKUP(A242,ÜRÜNLER!A:B,2,FALSE)),"")</f>
        <v>iQ300 Düz Davlumbaz, 60cm, 582m3, Beyaz/Inox</v>
      </c>
      <c r="C242" s="8">
        <v>23</v>
      </c>
      <c r="D242" s="8"/>
      <c r="E242" s="9"/>
      <c r="F242" s="9"/>
      <c r="G242" s="10"/>
      <c r="H242" s="10"/>
      <c r="I242" s="11"/>
      <c r="J242" s="11">
        <v>1</v>
      </c>
      <c r="K242" s="10"/>
      <c r="L242" s="192"/>
      <c r="M242" s="11"/>
      <c r="N242" s="134">
        <f t="shared" si="9"/>
        <v>24</v>
      </c>
      <c r="O242" s="135">
        <v>1</v>
      </c>
      <c r="P242" s="10"/>
      <c r="Q242" s="118"/>
      <c r="R242" s="52">
        <v>16596.834779902212</v>
      </c>
      <c r="S242" s="18">
        <v>14000</v>
      </c>
      <c r="T242" s="193">
        <v>14560</v>
      </c>
      <c r="U242" s="193">
        <v>15120</v>
      </c>
      <c r="V242" s="27"/>
      <c r="W242" s="13"/>
      <c r="X242" s="131">
        <v>500</v>
      </c>
    </row>
    <row r="243" spans="1:26">
      <c r="A243" s="148" t="s">
        <v>245</v>
      </c>
      <c r="B243" s="51" t="str">
        <f>IFERROR(HYPERLINK(VLOOKUP(A243,ÜRÜNLER!A:C,3,FALSE),VLOOKUP(A243,ÜRÜNLER!A:B,2,FALSE)),"")</f>
        <v>iQ300 Düz Davlumbaz, 60cm, 582m3, Siyah/Inox</v>
      </c>
      <c r="C243" s="8"/>
      <c r="D243" s="8"/>
      <c r="E243" s="9"/>
      <c r="F243" s="9"/>
      <c r="G243" s="10"/>
      <c r="H243" s="10"/>
      <c r="I243" s="11">
        <v>1</v>
      </c>
      <c r="J243" s="11">
        <v>1</v>
      </c>
      <c r="K243" s="10">
        <v>3</v>
      </c>
      <c r="L243" s="192"/>
      <c r="M243" s="11">
        <v>1</v>
      </c>
      <c r="N243" s="134">
        <f t="shared" si="9"/>
        <v>6</v>
      </c>
      <c r="O243" s="135">
        <v>41</v>
      </c>
      <c r="P243" s="10">
        <v>2</v>
      </c>
      <c r="Q243" s="118"/>
      <c r="R243" s="52">
        <v>16596.834779902212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Z243" t="s">
        <v>1613</v>
      </c>
    </row>
    <row r="244" spans="1:26">
      <c r="A244" s="151" t="s">
        <v>246</v>
      </c>
      <c r="B244" s="51" t="str">
        <f>IFERROR(HYPERLINK(VLOOKUP(A244,ÜRÜNLER!A:C,3,FALSE),VLOOKUP(A244,ÜRÜNLER!A:B,2,FALSE)),"")</f>
        <v>iQ300 Düz Davlumbaz, 60cm, 649m3, Antrasit Gri Cam</v>
      </c>
      <c r="C244" s="8">
        <v>6</v>
      </c>
      <c r="D244" s="8"/>
      <c r="E244" s="9"/>
      <c r="F244" s="9"/>
      <c r="G244" s="10"/>
      <c r="H244" s="10"/>
      <c r="I244" s="11"/>
      <c r="J244" s="11"/>
      <c r="K244" s="10">
        <v>1</v>
      </c>
      <c r="L244" s="192"/>
      <c r="M244" s="11"/>
      <c r="N244" s="134">
        <f t="shared" si="9"/>
        <v>7</v>
      </c>
      <c r="O244" s="135">
        <v>1</v>
      </c>
      <c r="P244" s="10"/>
      <c r="Q244" s="118"/>
      <c r="R244" s="52">
        <v>18686.314734455249</v>
      </c>
      <c r="S244" s="47">
        <v>17751.998997732488</v>
      </c>
      <c r="T244" s="12">
        <v>18462.078957641788</v>
      </c>
      <c r="U244" s="12">
        <v>19172.158917551085</v>
      </c>
      <c r="V244" s="13">
        <v>1397.9426414319933</v>
      </c>
      <c r="W244" s="13"/>
      <c r="X244" s="17"/>
    </row>
    <row r="245" spans="1:26">
      <c r="A245" s="142" t="s">
        <v>247</v>
      </c>
      <c r="B245" s="51" t="str">
        <f>IFERROR(HYPERLINK(VLOOKUP(A245,ÜRÜNLER!A:C,3,FALSE),VLOOKUP(A245,ÜRÜNLER!A:B,2,FALSE)),"")</f>
        <v>iQ500 Düz Davlumbaz, 60cm, 645m3, Beyaz Cam</v>
      </c>
      <c r="C245" s="8">
        <v>16</v>
      </c>
      <c r="D245" s="8"/>
      <c r="E245" s="9"/>
      <c r="F245" s="9"/>
      <c r="G245" s="10"/>
      <c r="H245" s="10"/>
      <c r="I245" s="11"/>
      <c r="J245" s="11"/>
      <c r="K245" s="10"/>
      <c r="L245" s="192"/>
      <c r="M245" s="11"/>
      <c r="N245" s="134">
        <f t="shared" si="9"/>
        <v>16</v>
      </c>
      <c r="O245" s="135"/>
      <c r="P245" s="10"/>
      <c r="Q245" s="118"/>
      <c r="R245" s="74" t="s">
        <v>1592</v>
      </c>
      <c r="S245" s="19">
        <v>18000</v>
      </c>
      <c r="T245" s="12">
        <v>18720</v>
      </c>
      <c r="U245" s="12">
        <v>19440</v>
      </c>
      <c r="V245" s="13"/>
      <c r="W245" s="13"/>
      <c r="X245" s="17"/>
    </row>
    <row r="246" spans="1:26">
      <c r="A246" s="148" t="s">
        <v>248</v>
      </c>
      <c r="B246" s="51" t="str">
        <f>IFERROR(HYPERLINK(VLOOKUP(A246,ÜRÜNLER!A:C,3,FALSE),VLOOKUP(A246,ÜRÜNLER!A:B,2,FALSE)),"")</f>
        <v>iQ500 Düz Davlumbaz, 60cm, 645m3, Siyah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92"/>
      <c r="M246" s="11"/>
      <c r="N246" s="134">
        <f t="shared" si="9"/>
        <v>1</v>
      </c>
      <c r="O246" s="135"/>
      <c r="P246" s="10"/>
      <c r="Q246" s="118"/>
      <c r="R246" s="74" t="s">
        <v>1592</v>
      </c>
      <c r="S246" s="19">
        <v>16000</v>
      </c>
      <c r="T246" s="12">
        <v>16640</v>
      </c>
      <c r="U246" s="12">
        <v>17280</v>
      </c>
      <c r="V246" s="13"/>
      <c r="W246" s="13"/>
      <c r="X246" s="17">
        <v>250</v>
      </c>
    </row>
    <row r="247" spans="1:26">
      <c r="A247" s="148" t="s">
        <v>249</v>
      </c>
      <c r="B247" s="51" t="str">
        <f>IFERROR(HYPERLINK(VLOOKUP(A247,ÜRÜNLER!A:C,3,FALSE),VLOOKUP(A247,ÜRÜNLER!A:B,2,FALSE)),"")</f>
        <v>iQ500 Eğimli Davlumbaz, 60cm, 510m3, Siyah Cam</v>
      </c>
      <c r="C247" s="8"/>
      <c r="D247" s="8"/>
      <c r="E247" s="9"/>
      <c r="F247" s="9"/>
      <c r="G247" s="10"/>
      <c r="H247" s="10"/>
      <c r="I247" s="11"/>
      <c r="J247" s="11"/>
      <c r="K247" s="10"/>
      <c r="L247" s="192"/>
      <c r="M247" s="11">
        <v>1</v>
      </c>
      <c r="N247" s="134">
        <f t="shared" si="9"/>
        <v>1</v>
      </c>
      <c r="O247" s="135">
        <v>21</v>
      </c>
      <c r="P247" s="10">
        <v>2</v>
      </c>
      <c r="Q247" s="118"/>
      <c r="R247" s="52">
        <v>18286.267012745433</v>
      </c>
      <c r="S247" s="25">
        <v>19000</v>
      </c>
      <c r="T247" s="12">
        <v>19760</v>
      </c>
      <c r="U247" s="12">
        <v>20520</v>
      </c>
      <c r="V247" s="27"/>
      <c r="W247" s="13"/>
      <c r="X247" s="17"/>
      <c r="Z247" t="s">
        <v>1613</v>
      </c>
    </row>
    <row r="248" spans="1:26">
      <c r="A248" s="151" t="s">
        <v>250</v>
      </c>
      <c r="B248" s="51" t="str">
        <f>IFERROR(HYPERLINK(VLOOKUP(A248,ÜRÜNLER!A:C,3,FALSE),VLOOKUP(A248,ÜRÜNLER!A:B,2,FALSE)),"")</f>
        <v>iQ500 Eğimli Davlumbaz, 60cm, 510m3, Antrasit Gri Cam</v>
      </c>
      <c r="C248" s="8"/>
      <c r="D248" s="8"/>
      <c r="E248" s="9"/>
      <c r="F248" s="9"/>
      <c r="G248" s="10"/>
      <c r="H248" s="10"/>
      <c r="I248" s="11"/>
      <c r="J248" s="11">
        <v>1</v>
      </c>
      <c r="K248" s="10">
        <v>1</v>
      </c>
      <c r="L248" s="192"/>
      <c r="M248" s="11"/>
      <c r="N248" s="134">
        <f t="shared" si="9"/>
        <v>2</v>
      </c>
      <c r="O248" s="135">
        <v>21</v>
      </c>
      <c r="P248" s="10"/>
      <c r="Q248" s="118"/>
      <c r="R248" s="52">
        <v>18286.267012745433</v>
      </c>
      <c r="S248" s="25">
        <v>19000</v>
      </c>
      <c r="T248" s="12">
        <v>19760</v>
      </c>
      <c r="U248" s="12">
        <v>20520</v>
      </c>
      <c r="V248" s="27"/>
      <c r="W248" s="13"/>
      <c r="X248" s="17"/>
      <c r="Z248" t="s">
        <v>1613</v>
      </c>
    </row>
    <row r="249" spans="1:26">
      <c r="A249" s="142" t="s">
        <v>251</v>
      </c>
      <c r="B249" s="51" t="str">
        <f>IFERROR(HYPERLINK(VLOOKUP(A249,ÜRÜNLER!A:C,3,FALSE),VLOOKUP(A249,ÜRÜNLER!A:B,2,FALSE)),"")</f>
        <v>iQ500 Eğimli Davlumbaz, 60cm, 578m3, Siyah Cam</v>
      </c>
      <c r="C249" s="8"/>
      <c r="D249" s="8"/>
      <c r="E249" s="9"/>
      <c r="F249" s="9"/>
      <c r="G249" s="10"/>
      <c r="H249" s="10"/>
      <c r="I249" s="11"/>
      <c r="J249" s="11">
        <v>1</v>
      </c>
      <c r="K249" s="10">
        <v>2</v>
      </c>
      <c r="L249" s="192"/>
      <c r="M249" s="11">
        <v>1</v>
      </c>
      <c r="N249" s="134">
        <f t="shared" si="9"/>
        <v>4</v>
      </c>
      <c r="O249" s="135"/>
      <c r="P249" s="10"/>
      <c r="Q249" s="118"/>
      <c r="R249" s="74" t="s">
        <v>1592</v>
      </c>
      <c r="S249" s="19">
        <v>17000</v>
      </c>
      <c r="T249" s="12">
        <v>17680</v>
      </c>
      <c r="U249" s="12">
        <v>18360</v>
      </c>
      <c r="V249" s="13"/>
      <c r="W249" s="13"/>
      <c r="X249" s="17">
        <v>250</v>
      </c>
    </row>
    <row r="250" spans="1:26">
      <c r="A250" s="156" t="s">
        <v>252</v>
      </c>
      <c r="B250" s="51" t="str">
        <f>IFERROR(HYPERLINK(VLOOKUP(A250,ÜRÜNLER!A:C,3,FALSE),VLOOKUP(A250,ÜRÜNLER!A:B,2,FALSE)),"")</f>
        <v>iQ500 Eğimli Davlumbaz, 60cm, 510m3, Beyaz Cam</v>
      </c>
      <c r="C250" s="8"/>
      <c r="D250" s="8"/>
      <c r="E250" s="9"/>
      <c r="F250" s="9"/>
      <c r="G250" s="10"/>
      <c r="H250" s="10"/>
      <c r="I250" s="11">
        <v>1</v>
      </c>
      <c r="J250" s="11">
        <v>1</v>
      </c>
      <c r="K250" s="10"/>
      <c r="L250" s="192"/>
      <c r="M250" s="11"/>
      <c r="N250" s="134">
        <f t="shared" si="9"/>
        <v>2</v>
      </c>
      <c r="O250" s="135">
        <v>16</v>
      </c>
      <c r="P250" s="10">
        <v>1</v>
      </c>
      <c r="Q250" s="118"/>
      <c r="R250" s="52">
        <v>18286.267012745433</v>
      </c>
      <c r="S250" s="25">
        <v>19000</v>
      </c>
      <c r="T250" s="12">
        <v>19760</v>
      </c>
      <c r="U250" s="12">
        <v>20520</v>
      </c>
      <c r="V250" s="27"/>
      <c r="W250" s="13"/>
      <c r="X250" s="17"/>
      <c r="Z250" t="s">
        <v>1613</v>
      </c>
    </row>
    <row r="251" spans="1:26">
      <c r="A251" s="148" t="s">
        <v>253</v>
      </c>
      <c r="B251" s="51" t="str">
        <f>IFERROR(HYPERLINK(VLOOKUP(A251,ÜRÜNLER!A:C,3,FALSE),VLOOKUP(A251,ÜRÜNLER!A:B,2,FALSE)),"")</f>
        <v>iQ500 Eğimli Davlumbaz, 60cm, 700m3, Siyah Cam</v>
      </c>
      <c r="C251" s="8">
        <v>2</v>
      </c>
      <c r="D251" s="8"/>
      <c r="E251" s="9"/>
      <c r="F251" s="9"/>
      <c r="G251" s="10"/>
      <c r="H251" s="10"/>
      <c r="I251" s="11"/>
      <c r="J251" s="11"/>
      <c r="K251" s="10">
        <v>1</v>
      </c>
      <c r="L251" s="192"/>
      <c r="M251" s="11"/>
      <c r="N251" s="134">
        <f t="shared" si="9"/>
        <v>3</v>
      </c>
      <c r="O251" s="135">
        <v>11</v>
      </c>
      <c r="P251" s="10"/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Z251" t="s">
        <v>1613</v>
      </c>
    </row>
    <row r="252" spans="1:26">
      <c r="A252" s="153" t="s">
        <v>1507</v>
      </c>
      <c r="B252" s="51" t="str">
        <f>IFERROR(HYPERLINK(VLOOKUP(A252,ÜRÜNLER!A:C,3,FALSE),VLOOKUP(A252,ÜRÜNLER!A:B,2,FALSE)),"")</f>
        <v>iQ700 Eğimli Davlumbaz, 60cm, 616m3, Siyah Cam</v>
      </c>
      <c r="C252" s="8">
        <v>14</v>
      </c>
      <c r="D252" s="8"/>
      <c r="E252" s="9"/>
      <c r="F252" s="9"/>
      <c r="G252" s="10"/>
      <c r="H252" s="10"/>
      <c r="I252" s="11"/>
      <c r="J252" s="11"/>
      <c r="K252" s="10"/>
      <c r="L252" s="192"/>
      <c r="M252" s="11"/>
      <c r="N252" s="134">
        <f t="shared" si="9"/>
        <v>14</v>
      </c>
      <c r="O252" s="135"/>
      <c r="P252" s="10"/>
      <c r="Q252" s="118"/>
      <c r="R252" s="52">
        <v>30799</v>
      </c>
      <c r="S252" s="182">
        <v>30183.02</v>
      </c>
      <c r="T252" s="12">
        <v>31390.340800000002</v>
      </c>
      <c r="U252" s="12">
        <v>32597.661599999999</v>
      </c>
      <c r="V252" s="13"/>
      <c r="W252" s="13"/>
      <c r="X252" s="17"/>
    </row>
    <row r="253" spans="1:26">
      <c r="A253" s="157" t="s">
        <v>254</v>
      </c>
      <c r="B253" s="51" t="str">
        <f>IFERROR(HYPERLINK(VLOOKUP(A253,ÜRÜNLER!A:C,3,FALSE),VLOOKUP(A253,ÜRÜNLER!A:B,2,FALSE)),"")</f>
        <v>iQ300 Düz Davlumbaz, 75cm, 454m3, Siyah/Inox</v>
      </c>
      <c r="C253" s="8">
        <v>1</v>
      </c>
      <c r="D253" s="8"/>
      <c r="E253" s="9"/>
      <c r="F253" s="9"/>
      <c r="G253" s="10"/>
      <c r="H253" s="10"/>
      <c r="I253" s="11"/>
      <c r="J253" s="11"/>
      <c r="K253" s="10"/>
      <c r="L253" s="192"/>
      <c r="M253" s="11"/>
      <c r="N253" s="134">
        <f t="shared" si="9"/>
        <v>1</v>
      </c>
      <c r="O253" s="135"/>
      <c r="P253" s="10"/>
      <c r="Q253" s="118"/>
      <c r="R253" s="74" t="s">
        <v>1592</v>
      </c>
      <c r="S253" s="19">
        <v>45000</v>
      </c>
      <c r="T253" s="12">
        <v>46800</v>
      </c>
      <c r="U253" s="12">
        <v>48600</v>
      </c>
      <c r="V253" s="13"/>
      <c r="W253" s="13"/>
      <c r="X253" s="17"/>
    </row>
    <row r="254" spans="1:26">
      <c r="A254" s="142" t="s">
        <v>255</v>
      </c>
      <c r="B254" s="51" t="str">
        <f>IFERROR(HYPERLINK(VLOOKUP(A254,ÜRÜNLER!A:C,3,FALSE),VLOOKUP(A254,ÜRÜNLER!A:B,2,FALSE)),"")</f>
        <v>iQ700 Eğimli Davlumbaz, 90cm, 441m3,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192"/>
      <c r="M254" s="11"/>
      <c r="N254" s="134">
        <f t="shared" si="9"/>
        <v>0</v>
      </c>
      <c r="O254" s="135">
        <v>4</v>
      </c>
      <c r="P254" s="10"/>
      <c r="Q254" s="118"/>
      <c r="R254" s="52">
        <v>54733.214214039705</v>
      </c>
      <c r="S254" s="25">
        <v>54733.214214039705</v>
      </c>
      <c r="T254" s="12">
        <v>56922.542782601289</v>
      </c>
      <c r="U254" s="12">
        <v>59111.871351162881</v>
      </c>
      <c r="V254" s="13"/>
      <c r="W254" s="13"/>
      <c r="X254" s="17"/>
    </row>
    <row r="255" spans="1:26">
      <c r="A255" s="142" t="s">
        <v>256</v>
      </c>
      <c r="B255" s="51" t="str">
        <f>IFERROR(HYPERLINK(VLOOKUP(A255,ÜRÜNLER!A:C,3,FALSE),VLOOKUP(A255,ÜRÜNLER!A:B,2,FALSE)),"")</f>
        <v>iQ700 studioLine Eğimli Davlumbaz, 90cm, 441m3, Siyah Cam</v>
      </c>
      <c r="C255" s="8"/>
      <c r="D255" s="8">
        <v>1</v>
      </c>
      <c r="E255" s="9"/>
      <c r="F255" s="9"/>
      <c r="G255" s="10"/>
      <c r="H255" s="10"/>
      <c r="I255" s="11"/>
      <c r="J255" s="11"/>
      <c r="K255" s="10">
        <v>1</v>
      </c>
      <c r="L255" s="192"/>
      <c r="M255" s="11"/>
      <c r="N255" s="134">
        <f t="shared" si="9"/>
        <v>2</v>
      </c>
      <c r="O255" s="135"/>
      <c r="P255" s="10"/>
      <c r="Q255" s="118"/>
      <c r="R255" s="52">
        <v>79664.143496936216</v>
      </c>
      <c r="S255" s="18">
        <v>71697.7291472426</v>
      </c>
      <c r="T255" s="12">
        <v>74565.638313132309</v>
      </c>
      <c r="U255" s="12">
        <v>77433.547479022003</v>
      </c>
      <c r="V255" s="13"/>
      <c r="W255" s="13"/>
      <c r="X255" s="80">
        <v>500</v>
      </c>
    </row>
    <row r="256" spans="1:26">
      <c r="A256" s="142" t="s">
        <v>257</v>
      </c>
      <c r="B256" s="51" t="str">
        <f>IFERROR(HYPERLINK(VLOOKUP(A256,ÜRÜNLER!A:C,3,FALSE),VLOOKUP(A256,ÜRÜNLER!A:B,2,FALSE)),"")</f>
        <v>iQ100 Düz Davlumbaz, 90cm, 616m3, Inox</v>
      </c>
      <c r="C256" s="8">
        <v>2</v>
      </c>
      <c r="D256" s="8"/>
      <c r="E256" s="9"/>
      <c r="F256" s="9"/>
      <c r="G256" s="10"/>
      <c r="H256" s="10"/>
      <c r="I256" s="11"/>
      <c r="J256" s="11">
        <v>1</v>
      </c>
      <c r="K256" s="10"/>
      <c r="L256" s="192"/>
      <c r="M256" s="11"/>
      <c r="N256" s="134">
        <f t="shared" si="9"/>
        <v>3</v>
      </c>
      <c r="O256" s="135"/>
      <c r="P256" s="10"/>
      <c r="Q256" s="118"/>
      <c r="R256" s="52">
        <v>22706.639948246382</v>
      </c>
      <c r="S256" s="182">
        <v>22252.507149281453</v>
      </c>
      <c r="T256" s="12">
        <v>23142.60743525271</v>
      </c>
      <c r="U256" s="12">
        <v>24032.707721223971</v>
      </c>
      <c r="V256" s="13"/>
      <c r="W256" s="13"/>
      <c r="X256" s="17"/>
    </row>
    <row r="257" spans="1:24">
      <c r="A257" s="158" t="s">
        <v>258</v>
      </c>
      <c r="B257" s="51" t="str">
        <f>IFERROR(HYPERLINK(VLOOKUP(A257,ÜRÜNLER!A:C,3,FALSE),VLOOKUP(A257,ÜRÜNLER!A:B,2,FALSE)),"")</f>
        <v>iQ300 Düz Davlumbaz, 90cm, 649m3, Antrasit Gri Cam</v>
      </c>
      <c r="C257" s="8">
        <v>3</v>
      </c>
      <c r="D257" s="8"/>
      <c r="E257" s="9"/>
      <c r="F257" s="9"/>
      <c r="G257" s="10"/>
      <c r="H257" s="10"/>
      <c r="I257" s="11"/>
      <c r="J257" s="11"/>
      <c r="K257" s="10"/>
      <c r="L257" s="192"/>
      <c r="M257" s="11"/>
      <c r="N257" s="134">
        <f t="shared" si="9"/>
        <v>3</v>
      </c>
      <c r="O257" s="135"/>
      <c r="P257" s="10"/>
      <c r="Q257" s="118"/>
      <c r="R257" s="52">
        <v>23717.223835639379</v>
      </c>
      <c r="S257" s="182">
        <v>23242.879358926592</v>
      </c>
      <c r="T257" s="12">
        <v>24172.594533283656</v>
      </c>
      <c r="U257" s="12">
        <v>25102.309707640718</v>
      </c>
      <c r="V257" s="13"/>
      <c r="W257" s="13"/>
      <c r="X257" s="17"/>
    </row>
    <row r="258" spans="1:24">
      <c r="A258" s="143" t="s">
        <v>259</v>
      </c>
      <c r="B258" s="51" t="str">
        <f>IFERROR(HYPERLINK(VLOOKUP(A258,ÜRÜNLER!A:C,3,FALSE),VLOOKUP(A258,ÜRÜNLER!A:B,2,FALSE)),"")</f>
        <v>iQ300 Düz Davlumbaz, 90cm, 649m3, Beyaz Cam</v>
      </c>
      <c r="C258" s="8">
        <v>16</v>
      </c>
      <c r="D258" s="8"/>
      <c r="E258" s="9"/>
      <c r="F258" s="9"/>
      <c r="G258" s="10"/>
      <c r="H258" s="10"/>
      <c r="I258" s="11"/>
      <c r="J258" s="11"/>
      <c r="K258" s="10"/>
      <c r="L258" s="192"/>
      <c r="M258" s="11"/>
      <c r="N258" s="134">
        <f t="shared" si="9"/>
        <v>16</v>
      </c>
      <c r="O258" s="135"/>
      <c r="P258" s="10"/>
      <c r="Q258" s="118"/>
      <c r="R258" s="52">
        <v>23717.223835639379</v>
      </c>
      <c r="S258" s="182">
        <v>23242.879358926592</v>
      </c>
      <c r="T258" s="12">
        <v>24172.594533283656</v>
      </c>
      <c r="U258" s="12">
        <v>25102.309707640718</v>
      </c>
      <c r="V258" s="13"/>
      <c r="W258" s="13"/>
      <c r="X258" s="17"/>
    </row>
    <row r="259" spans="1:24">
      <c r="A259" s="151" t="s">
        <v>260</v>
      </c>
      <c r="B259" s="51" t="str">
        <f>IFERROR(HYPERLINK(VLOOKUP(A259,ÜRÜNLER!A:C,3,FALSE),VLOOKUP(A259,ÜRÜNLER!A:B,2,FALSE)),"")</f>
        <v>iQ300 Düz Davlumbaz, 90cm, 649m3, Titanyum Gri Cam</v>
      </c>
      <c r="C259" s="8">
        <v>3</v>
      </c>
      <c r="D259" s="8"/>
      <c r="E259" s="9"/>
      <c r="F259" s="9"/>
      <c r="G259" s="10"/>
      <c r="H259" s="10"/>
      <c r="I259" s="11">
        <v>1</v>
      </c>
      <c r="J259" s="11"/>
      <c r="K259" s="10"/>
      <c r="L259" s="192"/>
      <c r="M259" s="11"/>
      <c r="N259" s="134">
        <f t="shared" si="9"/>
        <v>4</v>
      </c>
      <c r="O259" s="135"/>
      <c r="P259" s="10"/>
      <c r="Q259" s="118"/>
      <c r="R259" s="74" t="s">
        <v>1592</v>
      </c>
      <c r="S259" s="19">
        <v>29999</v>
      </c>
      <c r="T259" s="12">
        <v>31198.959999999999</v>
      </c>
      <c r="U259" s="12">
        <v>32398.92</v>
      </c>
      <c r="V259" s="13"/>
      <c r="W259" s="13"/>
      <c r="X259" s="17"/>
    </row>
    <row r="260" spans="1:24">
      <c r="A260" s="142" t="s">
        <v>261</v>
      </c>
      <c r="B260" s="51" t="str">
        <f>IFERROR(HYPERLINK(VLOOKUP(A260,ÜRÜNLER!A:C,3,FALSE),VLOOKUP(A260,ÜRÜNLER!A:B,2,FALSE)),"")</f>
        <v>iQ300 Eğimli Davlumbaz, 90cm, 629m3, Beyaz Cam</v>
      </c>
      <c r="C260" s="8">
        <v>20</v>
      </c>
      <c r="D260" s="8"/>
      <c r="E260" s="9"/>
      <c r="F260" s="9">
        <v>1</v>
      </c>
      <c r="G260" s="10"/>
      <c r="H260" s="10"/>
      <c r="I260" s="11">
        <v>1</v>
      </c>
      <c r="J260" s="11">
        <v>1</v>
      </c>
      <c r="K260" s="10">
        <v>1</v>
      </c>
      <c r="L260" s="192"/>
      <c r="M260" s="11"/>
      <c r="N260" s="134">
        <f t="shared" si="9"/>
        <v>24</v>
      </c>
      <c r="O260" s="135"/>
      <c r="P260" s="10"/>
      <c r="Q260" s="118"/>
      <c r="R260" s="74" t="s">
        <v>1592</v>
      </c>
      <c r="S260" s="47">
        <v>25000</v>
      </c>
      <c r="T260" s="12">
        <v>26000</v>
      </c>
      <c r="U260" s="12">
        <v>27000</v>
      </c>
      <c r="V260" s="13">
        <v>523.33187705630189</v>
      </c>
      <c r="W260" s="13"/>
      <c r="X260" s="81">
        <v>500</v>
      </c>
    </row>
    <row r="261" spans="1:24">
      <c r="A261" s="142" t="s">
        <v>262</v>
      </c>
      <c r="B261" s="51" t="str">
        <f>IFERROR(HYPERLINK(VLOOKUP(A261,ÜRÜNLER!A:C,3,FALSE),VLOOKUP(A261,ÜRÜNLER!A:B,2,FALSE)),"")</f>
        <v>iQ300 Düz Davlumbaz, 90cm, 468m3, Inox</v>
      </c>
      <c r="C261" s="8">
        <v>5</v>
      </c>
      <c r="D261" s="8"/>
      <c r="E261" s="9"/>
      <c r="F261" s="9"/>
      <c r="G261" s="10"/>
      <c r="H261" s="10"/>
      <c r="I261" s="11"/>
      <c r="J261" s="11"/>
      <c r="K261" s="10"/>
      <c r="L261" s="192"/>
      <c r="M261" s="11"/>
      <c r="N261" s="134">
        <f t="shared" si="9"/>
        <v>5</v>
      </c>
      <c r="O261" s="135">
        <v>1</v>
      </c>
      <c r="P261" s="10"/>
      <c r="Q261" s="118"/>
      <c r="R261" s="52">
        <v>35554.893039650982</v>
      </c>
      <c r="S261" s="182">
        <v>34843.795178857959</v>
      </c>
      <c r="T261" s="12">
        <v>36237.546986012276</v>
      </c>
      <c r="U261" s="12">
        <v>37631.298793166599</v>
      </c>
      <c r="V261" s="13"/>
      <c r="W261" s="13"/>
      <c r="X261" s="17"/>
    </row>
    <row r="262" spans="1:24">
      <c r="A262" s="142" t="s">
        <v>263</v>
      </c>
      <c r="B262" s="51" t="str">
        <f>IFERROR(HYPERLINK(VLOOKUP(A262,ÜRÜNLER!A:C,3,FALSE),VLOOKUP(A262,ÜRÜNLER!A:B,2,FALSE)),"")</f>
        <v>iQ500 Düz Davlumbaz, 90cm, 394m3, Siyah Cam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192"/>
      <c r="M262" s="11"/>
      <c r="N262" s="134">
        <f t="shared" si="9"/>
        <v>4</v>
      </c>
      <c r="O262" s="135"/>
      <c r="P262" s="10"/>
      <c r="Q262" s="118"/>
      <c r="R262" s="74" t="s">
        <v>1592</v>
      </c>
      <c r="S262" s="19">
        <v>51000</v>
      </c>
      <c r="T262" s="12">
        <v>53040</v>
      </c>
      <c r="U262" s="12">
        <v>55080</v>
      </c>
      <c r="V262" s="13"/>
      <c r="W262" s="13"/>
      <c r="X262" s="81">
        <v>1000</v>
      </c>
    </row>
    <row r="263" spans="1:24">
      <c r="A263" s="142" t="s">
        <v>264</v>
      </c>
      <c r="B263" s="51" t="str">
        <f>IFERROR(HYPERLINK(VLOOKUP(A263,ÜRÜNLER!A:C,3,FALSE),VLOOKUP(A263,ÜRÜNLER!A:B,2,FALSE)),"")</f>
        <v>iQ700 Düz Davlumbaz, 90cm, 394m3, Siyah Cam</v>
      </c>
      <c r="C263" s="8">
        <v>3</v>
      </c>
      <c r="D263" s="8"/>
      <c r="E263" s="9"/>
      <c r="F263" s="9"/>
      <c r="G263" s="10"/>
      <c r="H263" s="10"/>
      <c r="I263" s="11"/>
      <c r="J263" s="11"/>
      <c r="K263" s="10"/>
      <c r="L263" s="192"/>
      <c r="M263" s="11"/>
      <c r="N263" s="134">
        <f t="shared" si="9"/>
        <v>3</v>
      </c>
      <c r="O263" s="135"/>
      <c r="P263" s="10"/>
      <c r="Q263" s="118"/>
      <c r="R263" s="74" t="s">
        <v>1592</v>
      </c>
      <c r="S263" s="19">
        <v>51000</v>
      </c>
      <c r="T263" s="12">
        <v>53040</v>
      </c>
      <c r="U263" s="12">
        <v>55080</v>
      </c>
      <c r="V263" s="13"/>
      <c r="W263" s="13"/>
      <c r="X263" s="81">
        <v>1000</v>
      </c>
    </row>
    <row r="264" spans="1:24">
      <c r="A264" s="142" t="s">
        <v>265</v>
      </c>
      <c r="B264" s="51" t="str">
        <f>IFERROR(HYPERLINK(VLOOKUP(A264,ÜRÜNLER!A:C,3,FALSE),VLOOKUP(A264,ÜRÜNLER!A:B,2,FALSE)),"")</f>
        <v>iQ700 Düz Davlumbaz, 90cm, 394m3, Siyah Cam</v>
      </c>
      <c r="C264" s="8"/>
      <c r="D264" s="8"/>
      <c r="E264" s="9"/>
      <c r="F264" s="9"/>
      <c r="G264" s="10"/>
      <c r="H264" s="10"/>
      <c r="I264" s="11"/>
      <c r="J264" s="11">
        <v>1</v>
      </c>
      <c r="K264" s="10"/>
      <c r="L264" s="192"/>
      <c r="M264" s="11"/>
      <c r="N264" s="134">
        <f t="shared" si="9"/>
        <v>1</v>
      </c>
      <c r="O264" s="135"/>
      <c r="P264" s="10"/>
      <c r="Q264" s="118"/>
      <c r="R264" s="74" t="s">
        <v>1592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56" t="s">
        <v>266</v>
      </c>
      <c r="B265" s="51" t="str">
        <f>IFERROR(HYPERLINK(VLOOKUP(A265,ÜRÜNLER!A:C,3,FALSE),VLOOKUP(A265,ÜRÜNLER!A:B,2,FALSE)),"")</f>
        <v>iQ500 Eğimli Davlumbaz, 90cm, 510m3, Beyaz Cam</v>
      </c>
      <c r="C265" s="8">
        <v>5</v>
      </c>
      <c r="D265" s="8"/>
      <c r="E265" s="9"/>
      <c r="F265" s="9"/>
      <c r="G265" s="10"/>
      <c r="H265" s="10"/>
      <c r="I265" s="11"/>
      <c r="J265" s="11"/>
      <c r="K265" s="10"/>
      <c r="L265" s="192"/>
      <c r="M265" s="11"/>
      <c r="N265" s="134">
        <f t="shared" si="9"/>
        <v>5</v>
      </c>
      <c r="O265" s="135">
        <v>1</v>
      </c>
      <c r="P265" s="10"/>
      <c r="Q265" s="118"/>
      <c r="R265" s="52">
        <v>27571.283148267736</v>
      </c>
      <c r="S265" s="182">
        <v>27019.857485302382</v>
      </c>
      <c r="T265" s="12">
        <v>28100.651784714479</v>
      </c>
      <c r="U265" s="12">
        <v>29181.446084126572</v>
      </c>
      <c r="V265" s="13"/>
      <c r="W265" s="13"/>
      <c r="X265" s="17"/>
    </row>
    <row r="266" spans="1:24">
      <c r="A266" s="148" t="s">
        <v>267</v>
      </c>
      <c r="B266" s="51" t="str">
        <f>IFERROR(HYPERLINK(VLOOKUP(A266,ÜRÜNLER!A:C,3,FALSE),VLOOKUP(A266,ÜRÜNLER!A:B,2,FALSE)),"")</f>
        <v>iQ500 Eğimli Davlumbaz, 90cm, 510m3, Siyah Cam</v>
      </c>
      <c r="C266" s="8"/>
      <c r="D266" s="8"/>
      <c r="E266" s="9"/>
      <c r="F266" s="9"/>
      <c r="G266" s="10"/>
      <c r="H266" s="10"/>
      <c r="I266" s="11"/>
      <c r="J266" s="11"/>
      <c r="K266" s="10"/>
      <c r="L266" s="192"/>
      <c r="M266" s="11"/>
      <c r="N266" s="134">
        <f t="shared" si="9"/>
        <v>0</v>
      </c>
      <c r="O266" s="135">
        <v>6</v>
      </c>
      <c r="P266" s="10"/>
      <c r="Q266" s="118"/>
      <c r="R266" s="52">
        <v>27571.283148267736</v>
      </c>
      <c r="S266" s="25">
        <v>27571.283148267736</v>
      </c>
      <c r="T266" s="12">
        <v>28674.134474198447</v>
      </c>
      <c r="U266" s="12">
        <v>29776.985800129154</v>
      </c>
      <c r="V266" s="13"/>
      <c r="W266" s="13"/>
      <c r="X266" s="17"/>
    </row>
    <row r="267" spans="1:24">
      <c r="A267" s="151" t="s">
        <v>268</v>
      </c>
      <c r="B267" s="51" t="str">
        <f>IFERROR(HYPERLINK(VLOOKUP(A267,ÜRÜNLER!A:C,3,FALSE),VLOOKUP(A267,ÜRÜNLER!A:B,2,FALSE)),"")</f>
        <v>iQ500 Eğimli Davlumbaz, 90cm, 510m3, Antrasit Gri Cam</v>
      </c>
      <c r="C267" s="8">
        <v>5</v>
      </c>
      <c r="D267" s="8"/>
      <c r="E267" s="9"/>
      <c r="F267" s="9"/>
      <c r="G267" s="10"/>
      <c r="H267" s="10"/>
      <c r="I267" s="11"/>
      <c r="J267" s="11"/>
      <c r="K267" s="10"/>
      <c r="L267" s="192"/>
      <c r="M267" s="11"/>
      <c r="N267" s="134">
        <f t="shared" si="9"/>
        <v>5</v>
      </c>
      <c r="O267" s="135">
        <v>1</v>
      </c>
      <c r="P267" s="10"/>
      <c r="Q267" s="118"/>
      <c r="R267" s="52">
        <v>27571.283148267736</v>
      </c>
      <c r="S267" s="182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42" t="s">
        <v>269</v>
      </c>
      <c r="B268" s="51" t="str">
        <f>IFERROR(HYPERLINK(VLOOKUP(A268,ÜRÜNLER!A:C,3,FALSE),VLOOKUP(A268,ÜRÜNLER!A:B,2,FALSE)),"")</f>
        <v>iQ500 Düz Davlumbaz, 90cm, 430m3, Inox</v>
      </c>
      <c r="C268" s="8">
        <v>2</v>
      </c>
      <c r="D268" s="8"/>
      <c r="E268" s="9"/>
      <c r="F268" s="9"/>
      <c r="G268" s="10"/>
      <c r="H268" s="10"/>
      <c r="I268" s="11"/>
      <c r="J268" s="11"/>
      <c r="K268" s="10"/>
      <c r="L268" s="192"/>
      <c r="M268" s="11"/>
      <c r="N268" s="134">
        <f t="shared" si="9"/>
        <v>2</v>
      </c>
      <c r="O268" s="135"/>
      <c r="P268" s="10"/>
      <c r="Q268" s="118"/>
      <c r="R268" s="74" t="s">
        <v>1592</v>
      </c>
      <c r="S268" s="19">
        <v>26000</v>
      </c>
      <c r="T268" s="12">
        <v>27040</v>
      </c>
      <c r="U268" s="12">
        <v>28080</v>
      </c>
      <c r="V268" s="13"/>
      <c r="W268" s="13"/>
      <c r="X268" s="106">
        <v>500</v>
      </c>
    </row>
    <row r="269" spans="1:24">
      <c r="A269" s="142" t="s">
        <v>270</v>
      </c>
      <c r="B269" s="51" t="str">
        <f>IFERROR(HYPERLINK(VLOOKUP(A269,ÜRÜNLER!A:C,3,FALSE),VLOOKUP(A269,ÜRÜNLER!A:B,2,FALSE)),"")</f>
        <v>iQ500 Eğimli Davlumbaz, 90cm, 370m3, Cam Dekorlu Inox</v>
      </c>
      <c r="C269" s="8">
        <v>7</v>
      </c>
      <c r="D269" s="8"/>
      <c r="E269" s="9"/>
      <c r="F269" s="9"/>
      <c r="G269" s="10"/>
      <c r="H269" s="10"/>
      <c r="I269" s="11"/>
      <c r="J269" s="11"/>
      <c r="K269" s="10"/>
      <c r="L269" s="192"/>
      <c r="M269" s="11"/>
      <c r="N269" s="134">
        <f t="shared" si="9"/>
        <v>7</v>
      </c>
      <c r="O269" s="135"/>
      <c r="P269" s="10"/>
      <c r="Q269" s="118"/>
      <c r="R269" s="74" t="s">
        <v>1592</v>
      </c>
      <c r="S269" s="19">
        <v>26000</v>
      </c>
      <c r="T269" s="12">
        <v>27040</v>
      </c>
      <c r="U269" s="12">
        <v>28080</v>
      </c>
      <c r="V269" s="13"/>
      <c r="W269" s="13"/>
      <c r="X269" s="106">
        <v>500</v>
      </c>
    </row>
    <row r="270" spans="1:24">
      <c r="A270" s="148" t="s">
        <v>271</v>
      </c>
      <c r="B270" s="51" t="str">
        <f>IFERROR(HYPERLINK(VLOOKUP(A270,ÜRÜNLER!A:C,3,FALSE),VLOOKUP(A270,ÜRÜNLER!A:B,2,FALSE)),"")</f>
        <v>iQ500 Eğimli Davlumbaz, 90cm, 468m3, Siyah Cam</v>
      </c>
      <c r="C270" s="8"/>
      <c r="D270" s="8"/>
      <c r="E270" s="9"/>
      <c r="F270" s="9"/>
      <c r="G270" s="10"/>
      <c r="H270" s="10">
        <v>1</v>
      </c>
      <c r="I270" s="11"/>
      <c r="J270" s="11"/>
      <c r="K270" s="10"/>
      <c r="L270" s="192"/>
      <c r="M270" s="11"/>
      <c r="N270" s="134">
        <f t="shared" si="9"/>
        <v>1</v>
      </c>
      <c r="O270" s="135"/>
      <c r="P270" s="10"/>
      <c r="Q270" s="118"/>
      <c r="R270" s="74" t="s">
        <v>1592</v>
      </c>
      <c r="S270" s="18">
        <v>55000</v>
      </c>
      <c r="T270" s="12">
        <v>57200</v>
      </c>
      <c r="U270" s="12">
        <v>59400</v>
      </c>
      <c r="V270" s="13"/>
      <c r="W270" s="13"/>
      <c r="X270" s="106">
        <v>500</v>
      </c>
    </row>
    <row r="271" spans="1:24">
      <c r="A271" s="148" t="s">
        <v>272</v>
      </c>
      <c r="B271" s="51" t="str">
        <f>IFERROR(HYPERLINK(VLOOKUP(A271,ÜRÜNLER!A:C,3,FALSE),VLOOKUP(A271,ÜRÜNLER!A:B,2,FALSE)),"")</f>
        <v>iQ700 studioLine Tavan Tipi Davlumbaz, 105cm, Siyah</v>
      </c>
      <c r="C271" s="8"/>
      <c r="D271" s="8">
        <v>7</v>
      </c>
      <c r="E271" s="9"/>
      <c r="F271" s="9"/>
      <c r="G271" s="10"/>
      <c r="H271" s="10">
        <v>1</v>
      </c>
      <c r="I271" s="11"/>
      <c r="J271" s="11"/>
      <c r="K271" s="10"/>
      <c r="L271" s="192"/>
      <c r="M271" s="11"/>
      <c r="N271" s="134">
        <f t="shared" si="9"/>
        <v>8</v>
      </c>
      <c r="O271" s="135"/>
      <c r="P271" s="10"/>
      <c r="Q271" s="118"/>
      <c r="R271" s="52">
        <v>259257.06697947497</v>
      </c>
      <c r="S271" s="18">
        <v>233331.36028152748</v>
      </c>
      <c r="T271" s="12">
        <v>242664.61469278857</v>
      </c>
      <c r="U271" s="12">
        <v>251997.86910404969</v>
      </c>
      <c r="V271" s="13"/>
      <c r="W271" s="13"/>
      <c r="X271" s="106">
        <v>500</v>
      </c>
    </row>
    <row r="272" spans="1:24">
      <c r="A272" s="142" t="s">
        <v>273</v>
      </c>
      <c r="B272" s="51" t="str">
        <f>IFERROR(HYPERLINK(VLOOKUP(A272,ÜRÜNLER!A:C,3,FALSE),VLOOKUP(A272,ÜRÜNLER!A:B,2,FALSE)),"")</f>
        <v>iQ700 studioLine Tezgaha Entegre Davlumbaz, 80cm, Siyah/Cam</v>
      </c>
      <c r="C272" s="8"/>
      <c r="D272" s="8">
        <v>2</v>
      </c>
      <c r="E272" s="9"/>
      <c r="F272" s="9"/>
      <c r="G272" s="10"/>
      <c r="H272" s="10">
        <v>1</v>
      </c>
      <c r="I272" s="11"/>
      <c r="J272" s="11"/>
      <c r="K272" s="10"/>
      <c r="L272" s="192"/>
      <c r="M272" s="11"/>
      <c r="N272" s="134">
        <f t="shared" si="9"/>
        <v>3</v>
      </c>
      <c r="O272" s="135"/>
      <c r="P272" s="10"/>
      <c r="Q272" s="118"/>
      <c r="R272" s="52">
        <v>143951.17233670229</v>
      </c>
      <c r="S272" s="18">
        <v>129556.05510303206</v>
      </c>
      <c r="T272" s="12">
        <v>134738.29730715335</v>
      </c>
      <c r="U272" s="12">
        <v>139920.53951127463</v>
      </c>
      <c r="V272" s="13"/>
      <c r="W272" s="13"/>
      <c r="X272" s="106">
        <v>500</v>
      </c>
    </row>
    <row r="273" spans="1:24">
      <c r="A273" s="159" t="s">
        <v>275</v>
      </c>
      <c r="B273" s="51" t="str">
        <f>IFERROR(HYPERLINK(VLOOKUP(A273,ÜRÜNLER!A:C,3,FALSE),VLOOKUP(A273,ÜRÜNLER!A:B,2,FALSE)),"")</f>
        <v>iQ500 studioLine Ada Tipi Davlumbaz, 90cm, Inox</v>
      </c>
      <c r="C273" s="8"/>
      <c r="D273" s="8">
        <v>3</v>
      </c>
      <c r="E273" s="9"/>
      <c r="F273" s="9"/>
      <c r="G273" s="10"/>
      <c r="H273" s="10">
        <v>1</v>
      </c>
      <c r="I273" s="11"/>
      <c r="J273" s="11"/>
      <c r="K273" s="10"/>
      <c r="L273" s="192"/>
      <c r="M273" s="11"/>
      <c r="N273" s="134">
        <f t="shared" si="9"/>
        <v>4</v>
      </c>
      <c r="O273" s="135"/>
      <c r="P273" s="10"/>
      <c r="Q273" s="118"/>
      <c r="R273" s="52">
        <v>84447.261491362675</v>
      </c>
      <c r="S273" s="18">
        <v>76002.535342226402</v>
      </c>
      <c r="T273" s="12">
        <v>79042.636755915461</v>
      </c>
      <c r="U273" s="12">
        <v>82082.738169604519</v>
      </c>
      <c r="V273" s="13"/>
      <c r="W273" s="13"/>
      <c r="X273" s="106">
        <v>500</v>
      </c>
    </row>
    <row r="274" spans="1:24">
      <c r="A274" s="159" t="s">
        <v>274</v>
      </c>
      <c r="B274" s="51" t="str">
        <f>IFERROR(HYPERLINK(VLOOKUP(A274,ÜRÜNLER!A:C,3,FALSE),VLOOKUP(A274,ÜRÜNLER!A:B,2,FALSE)),"")</f>
        <v>iQ300 Ada Tipi Davlumbaz, 90cm, 438m3, Inox</v>
      </c>
      <c r="C274" s="8">
        <v>2</v>
      </c>
      <c r="D274" s="8"/>
      <c r="E274" s="9"/>
      <c r="F274" s="9"/>
      <c r="G274" s="10"/>
      <c r="H274" s="10"/>
      <c r="I274" s="11">
        <v>1</v>
      </c>
      <c r="J274" s="11"/>
      <c r="K274" s="10">
        <v>2</v>
      </c>
      <c r="L274" s="192"/>
      <c r="M274" s="11"/>
      <c r="N274" s="134">
        <f t="shared" si="9"/>
        <v>5</v>
      </c>
      <c r="O274" s="135">
        <v>1</v>
      </c>
      <c r="P274" s="10"/>
      <c r="Q274" s="118"/>
      <c r="R274" s="52">
        <v>52259.014637792563</v>
      </c>
      <c r="S274" s="182">
        <v>51213.83434503671</v>
      </c>
      <c r="T274" s="12">
        <v>53262.387718838181</v>
      </c>
      <c r="U274" s="12">
        <v>55310.941092639645</v>
      </c>
      <c r="V274" s="13"/>
      <c r="W274" s="13"/>
      <c r="X274" s="17"/>
    </row>
    <row r="275" spans="1:24">
      <c r="A275" s="21" t="s">
        <v>276</v>
      </c>
      <c r="B275" s="51" t="str">
        <f>IFERROR(HYPERLINK(VLOOKUP(A275,ÜRÜNLER!A:C,3,FALSE),VLOOKUP(A275,ÜRÜNLER!A:B,2,FALSE)),"")</f>
        <v>iQ100 Teleskopik Aspiratör, 60cm, 310m3, Gümüş</v>
      </c>
      <c r="C275" s="8">
        <v>7</v>
      </c>
      <c r="D275" s="8"/>
      <c r="E275" s="9"/>
      <c r="F275" s="9">
        <v>1</v>
      </c>
      <c r="G275" s="10"/>
      <c r="H275" s="10"/>
      <c r="I275" s="11"/>
      <c r="J275" s="11"/>
      <c r="K275" s="10"/>
      <c r="L275" s="192"/>
      <c r="M275" s="11"/>
      <c r="N275" s="134">
        <f t="shared" si="9"/>
        <v>8</v>
      </c>
      <c r="O275" s="135">
        <v>1</v>
      </c>
      <c r="P275" s="10"/>
      <c r="Q275" s="118"/>
      <c r="R275" s="52">
        <v>6994.7475072313682</v>
      </c>
      <c r="S275" s="25">
        <v>6994.7475072313682</v>
      </c>
      <c r="T275" s="12">
        <v>7274.5374075206228</v>
      </c>
      <c r="U275" s="12">
        <v>7554.3273078098773</v>
      </c>
      <c r="V275" s="13"/>
      <c r="W275" s="13"/>
      <c r="X275" s="17"/>
    </row>
    <row r="276" spans="1:24">
      <c r="A276" s="21" t="s">
        <v>277</v>
      </c>
      <c r="B276" s="51" t="str">
        <f>IFERROR(HYPERLINK(VLOOKUP(A276,ÜRÜNLER!A:C,3,FALSE),VLOOKUP(A276,ÜRÜNLER!A:B,2,FALSE)),"")</f>
        <v>iQ100 Teleskopik Aspiratör, 60cm, 310m3, Beyaz</v>
      </c>
      <c r="C276" s="8">
        <v>10</v>
      </c>
      <c r="D276" s="8"/>
      <c r="E276" s="9"/>
      <c r="F276" s="9"/>
      <c r="G276" s="10"/>
      <c r="H276" s="10"/>
      <c r="I276" s="11"/>
      <c r="J276" s="11"/>
      <c r="K276" s="10"/>
      <c r="L276" s="192"/>
      <c r="M276" s="11"/>
      <c r="N276" s="134">
        <f t="shared" si="9"/>
        <v>10</v>
      </c>
      <c r="O276" s="135">
        <v>1</v>
      </c>
      <c r="P276" s="10"/>
      <c r="Q276" s="118"/>
      <c r="R276" s="52">
        <v>6996.7150435309395</v>
      </c>
      <c r="S276" s="25">
        <v>6996.7150435309395</v>
      </c>
      <c r="T276" s="12">
        <v>7276.5836452721769</v>
      </c>
      <c r="U276" s="12">
        <v>7556.4522470134143</v>
      </c>
      <c r="V276" s="13"/>
      <c r="W276" s="13"/>
      <c r="X276" s="17"/>
    </row>
    <row r="277" spans="1:24">
      <c r="A277" s="22" t="s">
        <v>278</v>
      </c>
      <c r="B277" s="51" t="str">
        <f>IFERROR(HYPERLINK(VLOOKUP(A277,ÜRÜNLER!A:C,3,FALSE),VLOOKUP(A277,ÜRÜNLER!A:B,2,FALSE)),"")</f>
        <v>iQ500 Gömme Aspiratör, 52cm, 570m3, Inox</v>
      </c>
      <c r="C277" s="8">
        <v>2</v>
      </c>
      <c r="D277" s="8"/>
      <c r="E277" s="9"/>
      <c r="F277" s="9"/>
      <c r="G277" s="10"/>
      <c r="H277" s="10"/>
      <c r="I277" s="11"/>
      <c r="J277" s="11"/>
      <c r="K277" s="10"/>
      <c r="L277" s="192"/>
      <c r="M277" s="11"/>
      <c r="N277" s="134">
        <f t="shared" si="9"/>
        <v>2</v>
      </c>
      <c r="O277" s="135">
        <v>1</v>
      </c>
      <c r="P277" s="10"/>
      <c r="Q277" s="118"/>
      <c r="R277" s="52">
        <v>26523.426589751005</v>
      </c>
      <c r="S277" s="25">
        <v>26523.426589751005</v>
      </c>
      <c r="T277" s="12">
        <v>27584.363653341046</v>
      </c>
      <c r="U277" s="12">
        <v>28645.300716931084</v>
      </c>
      <c r="V277" s="13"/>
      <c r="W277" s="13"/>
      <c r="X277" s="17"/>
    </row>
    <row r="278" spans="1:24">
      <c r="A278" s="21" t="s">
        <v>279</v>
      </c>
      <c r="B278" s="51" t="str">
        <f>IFERROR(HYPERLINK(VLOOKUP(A278,ÜRÜNLER!A:C,3,FALSE),VLOOKUP(A278,ÜRÜNLER!A:B,2,FALSE)),"")</f>
        <v>iQ100 Gömme Aspiratör, 53cm, 302m3, Gri</v>
      </c>
      <c r="C278" s="8">
        <v>12</v>
      </c>
      <c r="D278" s="8"/>
      <c r="E278" s="9"/>
      <c r="F278" s="9"/>
      <c r="G278" s="10"/>
      <c r="H278" s="10"/>
      <c r="I278" s="11"/>
      <c r="J278" s="11"/>
      <c r="K278" s="10"/>
      <c r="L278" s="192"/>
      <c r="M278" s="11"/>
      <c r="N278" s="134">
        <f t="shared" si="9"/>
        <v>12</v>
      </c>
      <c r="O278" s="135"/>
      <c r="P278" s="10"/>
      <c r="Q278" s="118"/>
      <c r="R278" s="52">
        <v>10511.623575695072</v>
      </c>
      <c r="S278" s="25">
        <v>10511.623575695072</v>
      </c>
      <c r="T278" s="12">
        <v>10932.088518722874</v>
      </c>
      <c r="U278" s="12">
        <v>11352.553461750678</v>
      </c>
      <c r="V278" s="13"/>
      <c r="W278" s="13"/>
      <c r="X278" s="17"/>
    </row>
    <row r="279" spans="1:24">
      <c r="A279" s="149" t="s">
        <v>280</v>
      </c>
      <c r="B279" s="51" t="str">
        <f>IFERROR(HYPERLINK(VLOOKUP(A279,ÜRÜNLER!A:C,3,FALSE),VLOOKUP(A279,ÜRÜNLER!A:B,2,FALSE)),"")</f>
        <v>iQ700 Gömme Aspiratör, 86cm, 595m3, Siyah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192"/>
      <c r="M279" s="11"/>
      <c r="N279" s="134">
        <f t="shared" si="9"/>
        <v>1</v>
      </c>
      <c r="O279" s="135">
        <v>6</v>
      </c>
      <c r="P279" s="10"/>
      <c r="Q279" s="118"/>
      <c r="R279" s="52">
        <v>40397.409638614212</v>
      </c>
      <c r="S279" s="25">
        <v>40397.409638614212</v>
      </c>
      <c r="T279" s="12">
        <v>42013.306024158781</v>
      </c>
      <c r="U279" s="12">
        <v>43629.20240970335</v>
      </c>
      <c r="V279" s="13"/>
      <c r="W279" s="13"/>
      <c r="X279" s="17"/>
    </row>
    <row r="280" spans="1:24">
      <c r="A280" s="21" t="s">
        <v>281</v>
      </c>
      <c r="B280" s="51" t="str">
        <f>IFERROR(HYPERLINK(VLOOKUP(A280,ÜRÜNLER!A:C,3,FALSE),VLOOKUP(A280,ÜRÜNLER!A:B,2,FALSE)),"")</f>
        <v>iQ500 Gömme Aspiratör, 86cm, 600m3,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92"/>
      <c r="M280" s="11"/>
      <c r="N280" s="134">
        <f t="shared" si="9"/>
        <v>2</v>
      </c>
      <c r="O280" s="135">
        <v>6</v>
      </c>
      <c r="P280" s="10"/>
      <c r="Q280" s="118"/>
      <c r="R280" s="52">
        <v>36071.86016206137</v>
      </c>
      <c r="S280" s="25">
        <v>36071.86016206137</v>
      </c>
      <c r="T280" s="12">
        <v>37514.734568543827</v>
      </c>
      <c r="U280" s="12">
        <v>38957.608975026276</v>
      </c>
      <c r="V280" s="13"/>
      <c r="W280" s="13"/>
      <c r="X280" s="17"/>
    </row>
    <row r="281" spans="1:24" ht="30">
      <c r="A281" s="31" t="s">
        <v>282</v>
      </c>
      <c r="B281" s="51" t="str">
        <f>IFERROR(HYPERLINK(VLOOKUP(A281,ÜRÜNLER!A:C,3,FALSE),VLOOKUP(A281,ÜRÜNLER!A:B,2,FALSE)),"")</f>
        <v/>
      </c>
      <c r="C281" s="8"/>
      <c r="D281" s="8"/>
      <c r="E281" s="9"/>
      <c r="F281" s="9"/>
      <c r="G281" s="10"/>
      <c r="H281" s="10"/>
      <c r="I281" s="11"/>
      <c r="J281" s="11"/>
      <c r="K281" s="10"/>
      <c r="L281" s="192"/>
      <c r="M281" s="11"/>
      <c r="N281" s="134">
        <f>SUM(N206:N280)</f>
        <v>436</v>
      </c>
      <c r="O281" s="135">
        <f>SUM(O206:O280)</f>
        <v>332</v>
      </c>
      <c r="P281" s="10">
        <f>SUM(P206:P280)</f>
        <v>5</v>
      </c>
      <c r="Q281" s="9"/>
      <c r="R281" s="74"/>
      <c r="S281" s="19"/>
      <c r="T281" s="12"/>
      <c r="U281" s="12"/>
      <c r="V281" s="13"/>
      <c r="W281" s="13"/>
      <c r="X281" s="17"/>
    </row>
    <row r="282" spans="1:24">
      <c r="A282" s="96" t="s">
        <v>1493</v>
      </c>
      <c r="B282" s="51" t="str">
        <f>IFERROR(HYPERLINK(VLOOKUP(A282,ÜRÜNLER!A:C,3,FALSE),VLOOKUP(A282,ÜRÜNLER!A:B,2,FALSE)),"")</f>
        <v>iQ300 Gazlı Ocak, 67cm, Sert Cam, Beyaz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92"/>
      <c r="M282" s="11"/>
      <c r="N282" s="134">
        <f t="shared" ref="N282:N344" si="10">M282+L282+K282+J282+I282+H282+G282+F282+E282+D282+C282</f>
        <v>2</v>
      </c>
      <c r="O282" s="135">
        <v>1</v>
      </c>
      <c r="P282" s="10"/>
      <c r="Q282" s="9"/>
      <c r="R282" s="52">
        <v>13694.176187536226</v>
      </c>
      <c r="S282" s="19">
        <v>13694.176187536226</v>
      </c>
      <c r="T282" s="12">
        <v>14241.943235037676</v>
      </c>
      <c r="U282" s="12">
        <v>14789.710282539125</v>
      </c>
      <c r="V282" s="13"/>
      <c r="W282" s="13"/>
      <c r="X282" s="17"/>
    </row>
    <row r="283" spans="1:24">
      <c r="A283" s="160" t="s">
        <v>283</v>
      </c>
      <c r="B283" s="51" t="str">
        <f>IFERROR(HYPERLINK(VLOOKUP(A283,ÜRÜNLER!A:C,3,FALSE),VLOOKUP(A283,ÜRÜNLER!A:B,2,FALSE)),"")</f>
        <v>iQ100 Set Üstü Gazlı Ocak, 60cm, Beyaz</v>
      </c>
      <c r="C283" s="8"/>
      <c r="D283" s="8"/>
      <c r="E283" s="9"/>
      <c r="F283" s="9"/>
      <c r="G283" s="10"/>
      <c r="H283" s="10"/>
      <c r="I283" s="11"/>
      <c r="J283" s="11"/>
      <c r="K283" s="10">
        <v>1</v>
      </c>
      <c r="L283" s="192"/>
      <c r="M283" s="11"/>
      <c r="N283" s="134">
        <f t="shared" si="10"/>
        <v>1</v>
      </c>
      <c r="O283" s="135"/>
      <c r="P283" s="10"/>
      <c r="Q283" s="118"/>
      <c r="R283" s="74" t="s">
        <v>1592</v>
      </c>
      <c r="S283" s="19">
        <v>9000</v>
      </c>
      <c r="T283" s="12">
        <v>9360</v>
      </c>
      <c r="U283" s="12">
        <v>9720</v>
      </c>
      <c r="V283" s="13"/>
      <c r="W283" s="13"/>
      <c r="X283" s="29">
        <v>500</v>
      </c>
    </row>
    <row r="284" spans="1:24">
      <c r="A284" s="160" t="s">
        <v>284</v>
      </c>
      <c r="B284" s="51" t="str">
        <f>IFERROR(HYPERLINK(VLOOKUP(A284,ÜRÜNLER!A:C,3,FALSE),VLOOKUP(A284,ÜRÜNLER!A:B,2,FALSE)),"")</f>
        <v>iQ100 Set Üstü Gazlı Ocak, 60cm, Inox</v>
      </c>
      <c r="C284" s="8"/>
      <c r="D284" s="8"/>
      <c r="E284" s="9"/>
      <c r="F284" s="9"/>
      <c r="G284" s="10"/>
      <c r="H284" s="10"/>
      <c r="I284" s="11">
        <v>2</v>
      </c>
      <c r="J284" s="11"/>
      <c r="K284" s="10">
        <v>1</v>
      </c>
      <c r="L284" s="192"/>
      <c r="M284" s="11"/>
      <c r="N284" s="134">
        <f t="shared" si="10"/>
        <v>3</v>
      </c>
      <c r="O284" s="135"/>
      <c r="P284" s="10"/>
      <c r="Q284" s="118"/>
      <c r="R284" s="74" t="s">
        <v>1592</v>
      </c>
      <c r="S284" s="19">
        <v>9000</v>
      </c>
      <c r="T284" s="12">
        <v>9360</v>
      </c>
      <c r="U284" s="12">
        <v>9720</v>
      </c>
      <c r="V284" s="13"/>
      <c r="W284" s="13"/>
      <c r="X284" s="29">
        <v>500</v>
      </c>
    </row>
    <row r="285" spans="1:24">
      <c r="A285" s="141" t="s">
        <v>285</v>
      </c>
      <c r="B285" s="51" t="str">
        <f>IFERROR(HYPERLINK(VLOOKUP(A285,ÜRÜNLER!A:C,3,FALSE),VLOOKUP(A285,ÜRÜNLER!A:B,2,FALSE)),"")</f>
        <v>iQ100 Gazlı Ocak, 60cm, Emaye, Beyaz</v>
      </c>
      <c r="C285" s="8"/>
      <c r="D285" s="8"/>
      <c r="E285" s="9"/>
      <c r="F285" s="9">
        <v>1</v>
      </c>
      <c r="G285" s="10"/>
      <c r="H285" s="10"/>
      <c r="I285" s="11">
        <v>1</v>
      </c>
      <c r="J285" s="11"/>
      <c r="K285" s="10">
        <v>1</v>
      </c>
      <c r="L285" s="192"/>
      <c r="M285" s="11"/>
      <c r="N285" s="134">
        <f t="shared" si="10"/>
        <v>3</v>
      </c>
      <c r="O285" s="135"/>
      <c r="P285" s="10"/>
      <c r="Q285" s="118"/>
      <c r="R285" s="74" t="s">
        <v>1592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41" t="s">
        <v>286</v>
      </c>
      <c r="B286" s="51" t="str">
        <f>IFERROR(HYPERLINK(VLOOKUP(A286,ÜRÜNLER!A:C,3,FALSE),VLOOKUP(A286,ÜRÜNLER!A:B,2,FALSE)),"")</f>
        <v>iQ100 Gazlı/Elektrikli Ocak, 60cm, Inox</v>
      </c>
      <c r="C286" s="8">
        <v>3</v>
      </c>
      <c r="D286" s="8"/>
      <c r="E286" s="9"/>
      <c r="F286" s="9"/>
      <c r="G286" s="10"/>
      <c r="H286" s="10"/>
      <c r="I286" s="11"/>
      <c r="J286" s="11"/>
      <c r="K286" s="10"/>
      <c r="L286" s="192"/>
      <c r="M286" s="11"/>
      <c r="N286" s="134">
        <f t="shared" si="10"/>
        <v>3</v>
      </c>
      <c r="O286" s="135"/>
      <c r="P286" s="10"/>
      <c r="Q286" s="118"/>
      <c r="R286" s="74" t="s">
        <v>1592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287</v>
      </c>
      <c r="B287" s="51" t="str">
        <f>IFERROR(HYPERLINK(VLOOKUP(A287,ÜRÜNLER!A:C,3,FALSE),VLOOKUP(A287,ÜRÜNLER!A:B,2,FALSE)),"")</f>
        <v>iQ100 Gazlı Ocak, 60cm, Emaye, Siyah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92"/>
      <c r="M287" s="11"/>
      <c r="N287" s="134">
        <f t="shared" si="10"/>
        <v>1</v>
      </c>
      <c r="O287" s="135"/>
      <c r="P287" s="10"/>
      <c r="Q287" s="118"/>
      <c r="R287" s="74" t="s">
        <v>1592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60" t="s">
        <v>288</v>
      </c>
      <c r="B288" s="51" t="str">
        <f>IFERROR(HYPERLINK(VLOOKUP(A288,ÜRÜNLER!A:C,3,FALSE),VLOOKUP(A288,ÜRÜNLER!A:B,2,FALSE)),"")</f>
        <v>iQ500 Gazlı Ocak, 60cm, Inox, Döküm</v>
      </c>
      <c r="C288" s="8"/>
      <c r="D288" s="8"/>
      <c r="E288" s="9"/>
      <c r="F288" s="9"/>
      <c r="G288" s="10"/>
      <c r="H288" s="10"/>
      <c r="I288" s="11"/>
      <c r="J288" s="11"/>
      <c r="K288" s="10">
        <v>1</v>
      </c>
      <c r="L288" s="192"/>
      <c r="M288" s="11"/>
      <c r="N288" s="134">
        <f t="shared" si="10"/>
        <v>1</v>
      </c>
      <c r="O288" s="135"/>
      <c r="P288" s="10"/>
      <c r="Q288" s="118"/>
      <c r="R288" s="74" t="s">
        <v>1592</v>
      </c>
      <c r="S288" s="19">
        <v>32000</v>
      </c>
      <c r="T288" s="12">
        <v>33280</v>
      </c>
      <c r="U288" s="12">
        <v>34560</v>
      </c>
      <c r="V288" s="13"/>
      <c r="W288" s="13"/>
      <c r="X288" s="29">
        <v>500</v>
      </c>
    </row>
    <row r="289" spans="1:24">
      <c r="A289" s="142" t="s">
        <v>290</v>
      </c>
      <c r="B289" s="51" t="str">
        <f>IFERROR(HYPERLINK(VLOOKUP(A289,ÜRÜNLER!A:C,3,FALSE),VLOOKUP(A289,ÜRÜNLER!A:B,2,FALSE)),"")</f>
        <v>iQ300 Gazlı Ocak, 60cm, Inox, Döküm</v>
      </c>
      <c r="C289" s="8"/>
      <c r="D289" s="8"/>
      <c r="E289" s="9"/>
      <c r="F289" s="9"/>
      <c r="G289" s="10"/>
      <c r="H289" s="10"/>
      <c r="I289" s="11">
        <v>1</v>
      </c>
      <c r="J289" s="11"/>
      <c r="K289" s="10"/>
      <c r="L289" s="192"/>
      <c r="M289" s="11"/>
      <c r="N289" s="134">
        <f t="shared" si="10"/>
        <v>1</v>
      </c>
      <c r="O289" s="135"/>
      <c r="P289" s="10"/>
      <c r="Q289" s="118"/>
      <c r="R289" s="74" t="s">
        <v>1592</v>
      </c>
      <c r="S289" s="19">
        <v>20000</v>
      </c>
      <c r="T289" s="12">
        <v>20800</v>
      </c>
      <c r="U289" s="12">
        <v>21600</v>
      </c>
      <c r="V289" s="13"/>
      <c r="W289" s="13"/>
      <c r="X289" s="29">
        <v>500</v>
      </c>
    </row>
    <row r="290" spans="1:24">
      <c r="A290" s="142" t="s">
        <v>291</v>
      </c>
      <c r="B290" s="51" t="str">
        <f>IFERROR(HYPERLINK(VLOOKUP(A290,ÜRÜNLER!A:C,3,FALSE),VLOOKUP(A290,ÜRÜNLER!A:B,2,FALSE)),"")</f>
        <v>iQ300 Gazlı Ocak, 60cm, Sert Cam, Beyaz, Döküm</v>
      </c>
      <c r="C290" s="8">
        <v>4</v>
      </c>
      <c r="D290" s="8"/>
      <c r="E290" s="9"/>
      <c r="F290" s="9"/>
      <c r="G290" s="10"/>
      <c r="H290" s="10"/>
      <c r="I290" s="11"/>
      <c r="J290" s="11"/>
      <c r="K290" s="10"/>
      <c r="L290" s="192"/>
      <c r="M290" s="11"/>
      <c r="N290" s="134">
        <f t="shared" si="10"/>
        <v>4</v>
      </c>
      <c r="O290" s="135">
        <v>1</v>
      </c>
      <c r="P290" s="10"/>
      <c r="Q290" s="118"/>
      <c r="R290" s="52">
        <v>20185.337301466021</v>
      </c>
      <c r="S290" s="19">
        <v>20185.337301466021</v>
      </c>
      <c r="T290" s="12">
        <v>20992.750793524661</v>
      </c>
      <c r="U290" s="12">
        <v>21800.164285583302</v>
      </c>
      <c r="V290" s="13">
        <v>1456.2675340241587</v>
      </c>
      <c r="W290" s="13"/>
      <c r="X290" s="17"/>
    </row>
    <row r="291" spans="1:24">
      <c r="A291" s="148" t="s">
        <v>293</v>
      </c>
      <c r="B291" s="51" t="str">
        <f>IFERROR(HYPERLINK(VLOOKUP(A291,ÜRÜNLER!A:C,3,FALSE),VLOOKUP(A291,ÜRÜNLER!A:B,2,FALSE)),"")</f>
        <v>iQ100 Gazlı Ocak, 60cm, Sert Cam, Siyah, Wok</v>
      </c>
      <c r="C291" s="8"/>
      <c r="D291" s="8"/>
      <c r="E291" s="9"/>
      <c r="F291" s="9"/>
      <c r="G291" s="10"/>
      <c r="H291" s="10"/>
      <c r="I291" s="11"/>
      <c r="J291" s="11">
        <v>1</v>
      </c>
      <c r="K291" s="10"/>
      <c r="L291" s="192"/>
      <c r="M291" s="11"/>
      <c r="N291" s="134">
        <f t="shared" si="10"/>
        <v>1</v>
      </c>
      <c r="O291" s="135"/>
      <c r="P291" s="10"/>
      <c r="Q291" s="118"/>
      <c r="R291" s="74" t="s">
        <v>1592</v>
      </c>
      <c r="S291" s="19">
        <v>20000</v>
      </c>
      <c r="T291" s="12">
        <v>20800</v>
      </c>
      <c r="U291" s="12">
        <v>21600</v>
      </c>
      <c r="V291" s="13"/>
      <c r="W291" s="13"/>
      <c r="X291" s="29">
        <v>500</v>
      </c>
    </row>
    <row r="292" spans="1:24">
      <c r="A292" s="151" t="s">
        <v>294</v>
      </c>
      <c r="B292" s="51" t="str">
        <f>IFERROR(HYPERLINK(VLOOKUP(A292,ÜRÜNLER!A:C,3,FALSE),VLOOKUP(A292,ÜRÜNLER!A:B,2,FALSE)),"")</f>
        <v>iQ100 Gazlı Ocak, 60cm, Sert Cam, Titanyum Gri</v>
      </c>
      <c r="C292" s="8"/>
      <c r="D292" s="8"/>
      <c r="E292" s="9"/>
      <c r="F292" s="9"/>
      <c r="G292" s="10"/>
      <c r="H292" s="10"/>
      <c r="I292" s="11"/>
      <c r="J292" s="11">
        <v>1</v>
      </c>
      <c r="K292" s="10"/>
      <c r="L292" s="192"/>
      <c r="M292" s="11"/>
      <c r="N292" s="134">
        <f t="shared" si="10"/>
        <v>1</v>
      </c>
      <c r="O292" s="135"/>
      <c r="P292" s="10"/>
      <c r="Q292" s="118"/>
      <c r="R292" s="74" t="s">
        <v>1592</v>
      </c>
      <c r="S292" s="19">
        <v>20000</v>
      </c>
      <c r="T292" s="12">
        <v>20800</v>
      </c>
      <c r="U292" s="12">
        <v>21600</v>
      </c>
      <c r="V292" s="13"/>
      <c r="W292" s="13"/>
      <c r="X292" s="29">
        <v>500</v>
      </c>
    </row>
    <row r="293" spans="1:24">
      <c r="A293" s="151" t="s">
        <v>295</v>
      </c>
      <c r="B293" s="51" t="str">
        <f>IFERROR(HYPERLINK(VLOOKUP(A293,ÜRÜNLER!A:C,3,FALSE),VLOOKUP(A293,ÜRÜNLER!A:B,2,FALSE)),"")</f>
        <v>iQ100 Gazlı Ocak, 60cm, Sert Cam, Antrasit Gri</v>
      </c>
      <c r="C293" s="8">
        <v>18</v>
      </c>
      <c r="D293" s="8"/>
      <c r="E293" s="9"/>
      <c r="F293" s="9"/>
      <c r="G293" s="10"/>
      <c r="H293" s="10"/>
      <c r="I293" s="11">
        <v>1</v>
      </c>
      <c r="J293" s="11">
        <v>1</v>
      </c>
      <c r="K293" s="10">
        <v>2</v>
      </c>
      <c r="L293" s="192"/>
      <c r="M293" s="11"/>
      <c r="N293" s="134">
        <f t="shared" si="10"/>
        <v>22</v>
      </c>
      <c r="O293" s="135"/>
      <c r="P293" s="10"/>
      <c r="Q293" s="118"/>
      <c r="R293" s="185" t="s">
        <v>1592</v>
      </c>
      <c r="S293" s="18">
        <v>15000</v>
      </c>
      <c r="T293" s="12">
        <v>15600</v>
      </c>
      <c r="U293" s="12">
        <v>16200</v>
      </c>
      <c r="V293" s="13">
        <v>858.85956531878946</v>
      </c>
      <c r="W293" s="13"/>
      <c r="X293" s="81">
        <v>500</v>
      </c>
    </row>
    <row r="294" spans="1:24">
      <c r="A294" s="161" t="s">
        <v>296</v>
      </c>
      <c r="B294" s="51" t="str">
        <f>IFERROR(HYPERLINK(VLOOKUP(A294,ÜRÜNLER!A:C,3,FALSE),VLOOKUP(A294,ÜRÜNLER!A:B,2,FALSE)),"")</f>
        <v>iQ300 Gazlı Ocak, 60cm, Sert Cam, Beyaz</v>
      </c>
      <c r="C294" s="8">
        <v>8</v>
      </c>
      <c r="D294" s="8"/>
      <c r="E294" s="9"/>
      <c r="F294" s="9"/>
      <c r="G294" s="10"/>
      <c r="H294" s="10"/>
      <c r="I294" s="11"/>
      <c r="J294" s="11"/>
      <c r="K294" s="10"/>
      <c r="L294" s="192"/>
      <c r="M294" s="11">
        <v>1</v>
      </c>
      <c r="N294" s="134">
        <f t="shared" si="10"/>
        <v>9</v>
      </c>
      <c r="O294" s="135"/>
      <c r="P294" s="10"/>
      <c r="Q294" s="118"/>
      <c r="R294" s="74" t="s">
        <v>1592</v>
      </c>
      <c r="S294" s="19">
        <v>12000</v>
      </c>
      <c r="T294" s="12">
        <v>12480</v>
      </c>
      <c r="U294" s="12">
        <v>12960</v>
      </c>
      <c r="V294" s="13"/>
      <c r="W294" s="13"/>
      <c r="X294" s="17"/>
    </row>
    <row r="295" spans="1:24">
      <c r="A295" s="142" t="s">
        <v>297</v>
      </c>
      <c r="B295" s="51" t="str">
        <f>IFERROR(HYPERLINK(VLOOKUP(A295,ÜRÜNLER!A:C,3,FALSE),VLOOKUP(A295,ÜRÜNLER!A:B,2,FALSE)),"")</f>
        <v>iQ300 Gazlı Ocak, 60cm, Sert Cam, Beyaz</v>
      </c>
      <c r="C295" s="8"/>
      <c r="D295" s="8"/>
      <c r="E295" s="9"/>
      <c r="F295" s="9"/>
      <c r="G295" s="10"/>
      <c r="H295" s="10"/>
      <c r="I295" s="11"/>
      <c r="J295" s="11"/>
      <c r="K295" s="10"/>
      <c r="L295" s="192"/>
      <c r="M295" s="11"/>
      <c r="N295" s="134">
        <f t="shared" si="10"/>
        <v>0</v>
      </c>
      <c r="O295" s="135">
        <v>16</v>
      </c>
      <c r="P295" s="10"/>
      <c r="Q295" s="118"/>
      <c r="R295" s="52">
        <v>12248.765981066908</v>
      </c>
      <c r="S295" s="25">
        <v>12248.765981066908</v>
      </c>
      <c r="T295" s="12">
        <v>12738.716620309584</v>
      </c>
      <c r="U295" s="12">
        <v>13228.667259552261</v>
      </c>
      <c r="V295" s="13"/>
      <c r="W295" s="13"/>
      <c r="X295" s="17"/>
    </row>
    <row r="296" spans="1:24">
      <c r="A296" s="162" t="s">
        <v>298</v>
      </c>
      <c r="B296" s="51" t="str">
        <f>IFERROR(HYPERLINK(VLOOKUP(A296,ÜRÜNLER!A:C,3,FALSE),VLOOKUP(A296,ÜRÜNLER!A:B,2,FALSE)),"")</f>
        <v>iQ300 Gazlı Ocak, 60cm, Sert Cam, Siyah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92"/>
      <c r="M296" s="11"/>
      <c r="N296" s="134">
        <f t="shared" si="10"/>
        <v>1</v>
      </c>
      <c r="O296" s="135"/>
      <c r="P296" s="10"/>
      <c r="Q296" s="118"/>
      <c r="R296" s="74" t="s">
        <v>1592</v>
      </c>
      <c r="S296" s="19">
        <v>10000</v>
      </c>
      <c r="T296" s="12">
        <v>10400</v>
      </c>
      <c r="U296" s="12">
        <v>10800</v>
      </c>
      <c r="V296" s="13"/>
      <c r="W296" s="13"/>
      <c r="X296" s="17">
        <v>250</v>
      </c>
    </row>
    <row r="297" spans="1:24">
      <c r="A297" s="142" t="s">
        <v>299</v>
      </c>
      <c r="B297" s="51" t="str">
        <f>IFERROR(HYPERLINK(VLOOKUP(A297,ÜRÜNLER!A:C,3,FALSE),VLOOKUP(A297,ÜRÜNLER!A:B,2,FALSE)),"")</f>
        <v>iQ100 Gazlı Ocak, 60cm, Sert Cam, Siyah, Döküm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92"/>
      <c r="M297" s="11"/>
      <c r="N297" s="134">
        <f t="shared" si="10"/>
        <v>1</v>
      </c>
      <c r="O297" s="135"/>
      <c r="P297" s="10"/>
      <c r="Q297" s="118"/>
      <c r="R297" s="74" t="s">
        <v>1592</v>
      </c>
      <c r="S297" s="19">
        <v>10000</v>
      </c>
      <c r="T297" s="12">
        <v>10400</v>
      </c>
      <c r="U297" s="12">
        <v>10800</v>
      </c>
      <c r="V297" s="13"/>
      <c r="W297" s="13"/>
      <c r="X297" s="17">
        <v>250</v>
      </c>
    </row>
    <row r="298" spans="1:24">
      <c r="A298" s="142" t="s">
        <v>300</v>
      </c>
      <c r="B298" s="51" t="str">
        <f>IFERROR(HYPERLINK(VLOOKUP(A298,ÜRÜNLER!A:C,3,FALSE),VLOOKUP(A298,ÜRÜNLER!A:B,2,FALSE)),"")</f>
        <v>iQ100 Gazlı Ocak, 60cm, Sert Cam, Siyah, Döküm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192"/>
      <c r="M298" s="11"/>
      <c r="N298" s="134">
        <f t="shared" si="10"/>
        <v>1</v>
      </c>
      <c r="O298" s="135"/>
      <c r="P298" s="10"/>
      <c r="Q298" s="118"/>
      <c r="R298" s="74" t="s">
        <v>1592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8" t="s">
        <v>301</v>
      </c>
      <c r="B299" s="51" t="str">
        <f>IFERROR(HYPERLINK(VLOOKUP(A299,ÜRÜNLER!A:C,3,FALSE),VLOOKUP(A299,ÜRÜNLER!A:B,2,FALSE)),"")</f>
        <v>iQ300 Gazlı Ocak, 60cm, Sert Cam, Siyah</v>
      </c>
      <c r="C299" s="8">
        <v>32</v>
      </c>
      <c r="D299" s="8"/>
      <c r="E299" s="9"/>
      <c r="F299" s="9"/>
      <c r="G299" s="10"/>
      <c r="H299" s="10"/>
      <c r="I299" s="11">
        <v>1</v>
      </c>
      <c r="J299" s="11"/>
      <c r="K299" s="10"/>
      <c r="L299" s="192"/>
      <c r="M299" s="11">
        <v>1</v>
      </c>
      <c r="N299" s="134">
        <f t="shared" si="10"/>
        <v>34</v>
      </c>
      <c r="O299" s="135">
        <v>1</v>
      </c>
      <c r="P299" s="10"/>
      <c r="Q299" s="118"/>
      <c r="R299" s="52">
        <v>12248.765981066908</v>
      </c>
      <c r="S299" s="182">
        <v>12003.79066144557</v>
      </c>
      <c r="T299" s="12">
        <v>12483.942287903392</v>
      </c>
      <c r="U299" s="12">
        <v>12964.093914361216</v>
      </c>
      <c r="V299" s="13"/>
      <c r="W299" s="13"/>
      <c r="X299" s="17"/>
    </row>
    <row r="300" spans="1:24">
      <c r="A300" s="151" t="s">
        <v>302</v>
      </c>
      <c r="B300" s="51" t="str">
        <f>IFERROR(HYPERLINK(VLOOKUP(A300,ÜRÜNLER!A:C,3,FALSE),VLOOKUP(A300,ÜRÜNLER!A:B,2,FALSE)),"")</f>
        <v>iQ100 Gazlı Ocak, 60cm, Sert Cam, Titanyum Gri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192"/>
      <c r="M300" s="11"/>
      <c r="N300" s="134">
        <f t="shared" si="10"/>
        <v>1</v>
      </c>
      <c r="O300" s="135"/>
      <c r="P300" s="10"/>
      <c r="Q300" s="118"/>
      <c r="R300" s="74" t="s">
        <v>1592</v>
      </c>
      <c r="S300" s="19">
        <v>12000</v>
      </c>
      <c r="T300" s="12">
        <v>12480</v>
      </c>
      <c r="U300" s="12">
        <v>12960</v>
      </c>
      <c r="V300" s="13"/>
      <c r="W300" s="13"/>
      <c r="X300" s="17">
        <v>250</v>
      </c>
    </row>
    <row r="301" spans="1:24">
      <c r="A301" s="151" t="s">
        <v>303</v>
      </c>
      <c r="B301" s="51" t="str">
        <f>IFERROR(HYPERLINK(VLOOKUP(A301,ÜRÜNLER!A:C,3,FALSE),VLOOKUP(A301,ÜRÜNLER!A:B,2,FALSE)),"")</f>
        <v>iQ100 Gazlı Ocak, 60cm, Sert Cam, Titanyum Gri, Döküm</v>
      </c>
      <c r="C301" s="8">
        <v>5</v>
      </c>
      <c r="D301" s="8"/>
      <c r="E301" s="9"/>
      <c r="F301" s="9"/>
      <c r="G301" s="10"/>
      <c r="H301" s="10"/>
      <c r="I301" s="11"/>
      <c r="J301" s="11"/>
      <c r="K301" s="10"/>
      <c r="L301" s="192"/>
      <c r="M301" s="11"/>
      <c r="N301" s="134">
        <f t="shared" si="10"/>
        <v>5</v>
      </c>
      <c r="O301" s="135"/>
      <c r="P301" s="10"/>
      <c r="Q301" s="118"/>
      <c r="R301" s="74" t="s">
        <v>1592</v>
      </c>
      <c r="S301" s="19">
        <v>17999</v>
      </c>
      <c r="T301" s="12">
        <v>18718.96</v>
      </c>
      <c r="U301" s="12">
        <v>19438.919999999998</v>
      </c>
      <c r="V301" s="13"/>
      <c r="W301" s="13"/>
      <c r="X301" s="17">
        <v>250</v>
      </c>
    </row>
    <row r="302" spans="1:24">
      <c r="A302" s="151" t="s">
        <v>304</v>
      </c>
      <c r="B302" s="51" t="str">
        <f>IFERROR(HYPERLINK(VLOOKUP(A302,ÜRÜNLER!A:C,3,FALSE),VLOOKUP(A302,ÜRÜNLER!A:B,2,FALSE)),"")</f>
        <v>iQ300 Gazlı Ocak, 60cm, Sert Cam, Antrasit</v>
      </c>
      <c r="C302" s="8">
        <v>17</v>
      </c>
      <c r="D302" s="8"/>
      <c r="E302" s="9"/>
      <c r="F302" s="9"/>
      <c r="G302" s="10"/>
      <c r="H302" s="10"/>
      <c r="I302" s="11">
        <v>1</v>
      </c>
      <c r="J302" s="11">
        <v>2</v>
      </c>
      <c r="K302" s="10"/>
      <c r="L302" s="192"/>
      <c r="M302" s="11"/>
      <c r="N302" s="134">
        <f t="shared" si="10"/>
        <v>20</v>
      </c>
      <c r="O302" s="135">
        <v>1</v>
      </c>
      <c r="P302" s="10"/>
      <c r="Q302" s="118"/>
      <c r="R302" s="52">
        <v>12248.765981066908</v>
      </c>
      <c r="S302" s="182">
        <v>12003.79066144557</v>
      </c>
      <c r="T302" s="12">
        <v>12483.942287903392</v>
      </c>
      <c r="U302" s="12">
        <v>12964.093914361216</v>
      </c>
      <c r="V302" s="13"/>
      <c r="W302" s="13"/>
      <c r="X302" s="17"/>
    </row>
    <row r="303" spans="1:24">
      <c r="A303" s="151" t="s">
        <v>305</v>
      </c>
      <c r="B303" s="51" t="str">
        <f>IFERROR(HYPERLINK(VLOOKUP(A303,ÜRÜNLER!A:C,3,FALSE),VLOOKUP(A303,ÜRÜNLER!A:B,2,FALSE)),"")</f>
        <v>iQ300 Gazlı Ocak, 60cm, Sert Cam, Antrasit Gri</v>
      </c>
      <c r="C303" s="8">
        <v>17</v>
      </c>
      <c r="D303" s="8"/>
      <c r="E303" s="9"/>
      <c r="F303" s="9">
        <v>1</v>
      </c>
      <c r="G303" s="10"/>
      <c r="H303" s="10"/>
      <c r="I303" s="11">
        <v>1</v>
      </c>
      <c r="J303" s="11"/>
      <c r="K303" s="10"/>
      <c r="L303" s="192"/>
      <c r="M303" s="11">
        <v>1</v>
      </c>
      <c r="N303" s="134">
        <f t="shared" si="10"/>
        <v>20</v>
      </c>
      <c r="O303" s="135"/>
      <c r="P303" s="10"/>
      <c r="Q303" s="118"/>
      <c r="R303" s="185" t="s">
        <v>1592</v>
      </c>
      <c r="S303" s="18">
        <v>12000</v>
      </c>
      <c r="T303" s="12">
        <v>12480</v>
      </c>
      <c r="U303" s="12">
        <v>12960</v>
      </c>
      <c r="V303" s="13"/>
      <c r="W303" s="13"/>
      <c r="X303" s="81">
        <v>500</v>
      </c>
    </row>
    <row r="304" spans="1:24">
      <c r="A304" s="21" t="s">
        <v>306</v>
      </c>
      <c r="B304" s="51" t="str">
        <f>IFERROR(HYPERLINK(VLOOKUP(A304,ÜRÜNLER!A:C,3,FALSE),VLOOKUP(A304,ÜRÜNLER!A:B,2,FALSE)),"")</f>
        <v>iQ300 Gazlı Ocak, 67cm, Sert Cam, Beyaz, Wok</v>
      </c>
      <c r="C304" s="8">
        <v>7</v>
      </c>
      <c r="D304" s="8"/>
      <c r="E304" s="9"/>
      <c r="F304" s="9"/>
      <c r="G304" s="10"/>
      <c r="H304" s="10"/>
      <c r="I304" s="11">
        <v>1</v>
      </c>
      <c r="J304" s="11">
        <v>1</v>
      </c>
      <c r="K304" s="10"/>
      <c r="L304" s="192"/>
      <c r="M304" s="11"/>
      <c r="N304" s="134">
        <f t="shared" si="10"/>
        <v>9</v>
      </c>
      <c r="O304" s="135">
        <v>11</v>
      </c>
      <c r="P304" s="10"/>
      <c r="Q304" s="118"/>
      <c r="R304" s="52">
        <v>17126.883614565326</v>
      </c>
      <c r="S304" s="182">
        <v>16784.34594227402</v>
      </c>
      <c r="T304" s="12">
        <v>17455.71977996498</v>
      </c>
      <c r="U304" s="12">
        <v>18127.093617655941</v>
      </c>
      <c r="V304" s="13"/>
      <c r="W304" s="13"/>
      <c r="X304" s="17"/>
    </row>
    <row r="305" spans="1:24">
      <c r="A305" s="21" t="s">
        <v>307</v>
      </c>
      <c r="B305" s="51" t="str">
        <f>IFERROR(HYPERLINK(VLOOKUP(A305,ÜRÜNLER!A:C,3,FALSE),VLOOKUP(A305,ÜRÜNLER!A:B,2,FALSE)),"")</f>
        <v>iQ300 Gazlı Ocak, 67cm, Sert Cam, Beyaz</v>
      </c>
      <c r="C305" s="8"/>
      <c r="D305" s="8"/>
      <c r="E305" s="9"/>
      <c r="F305" s="9"/>
      <c r="G305" s="10"/>
      <c r="H305" s="10"/>
      <c r="I305" s="11"/>
      <c r="J305" s="11"/>
      <c r="K305" s="10"/>
      <c r="L305" s="192"/>
      <c r="M305" s="11"/>
      <c r="N305" s="134">
        <f t="shared" si="10"/>
        <v>0</v>
      </c>
      <c r="O305" s="135">
        <v>16</v>
      </c>
      <c r="P305" s="10"/>
      <c r="Q305" s="118"/>
      <c r="R305" s="52">
        <v>13694.176187536226</v>
      </c>
      <c r="S305" s="25">
        <v>13694.176187536226</v>
      </c>
      <c r="T305" s="12">
        <v>14241.943235037676</v>
      </c>
      <c r="U305" s="12">
        <v>14789.710282539125</v>
      </c>
      <c r="V305" s="13"/>
      <c r="W305" s="13"/>
      <c r="X305" s="17"/>
    </row>
    <row r="306" spans="1:24">
      <c r="A306" s="21" t="s">
        <v>308</v>
      </c>
      <c r="B306" s="51" t="str">
        <f>IFERROR(HYPERLINK(VLOOKUP(A306,ÜRÜNLER!A:C,3,FALSE),VLOOKUP(A306,ÜRÜNLER!A:B,2,FALSE)),"")</f>
        <v>iQ100 Gazlı Ocak, 67cm, Sert Cam, Beyaz</v>
      </c>
      <c r="C306" s="8"/>
      <c r="D306" s="8"/>
      <c r="E306" s="9"/>
      <c r="F306" s="9"/>
      <c r="G306" s="10"/>
      <c r="H306" s="10"/>
      <c r="I306" s="11"/>
      <c r="J306" s="11"/>
      <c r="K306" s="10">
        <v>1</v>
      </c>
      <c r="L306" s="192"/>
      <c r="M306" s="11"/>
      <c r="N306" s="134">
        <f t="shared" si="10"/>
        <v>1</v>
      </c>
      <c r="O306" s="135"/>
      <c r="P306" s="10"/>
      <c r="Q306" s="118"/>
      <c r="R306" s="74" t="s">
        <v>1592</v>
      </c>
      <c r="S306" s="19">
        <v>15000</v>
      </c>
      <c r="T306" s="12">
        <v>15600</v>
      </c>
      <c r="U306" s="12">
        <v>16200</v>
      </c>
      <c r="V306" s="13"/>
      <c r="W306" s="13"/>
      <c r="X306" s="29">
        <v>500</v>
      </c>
    </row>
    <row r="307" spans="1:24">
      <c r="A307" s="163" t="s">
        <v>309</v>
      </c>
      <c r="B307" s="51" t="str">
        <f>IFERROR(HYPERLINK(VLOOKUP(A307,ÜRÜNLER!A:C,3,FALSE),VLOOKUP(A307,ÜRÜNLER!A:B,2,FALSE)),"")</f>
        <v>iQ300 Gazlı Ocak, 67cm, Sert Cam, Beyaz</v>
      </c>
      <c r="C307" s="8"/>
      <c r="D307" s="8"/>
      <c r="E307" s="9"/>
      <c r="F307" s="9"/>
      <c r="G307" s="10">
        <v>1</v>
      </c>
      <c r="H307" s="10"/>
      <c r="I307" s="11">
        <v>1</v>
      </c>
      <c r="J307" s="11"/>
      <c r="K307" s="10">
        <v>5</v>
      </c>
      <c r="L307" s="192"/>
      <c r="M307" s="11"/>
      <c r="N307" s="134">
        <f t="shared" si="10"/>
        <v>7</v>
      </c>
      <c r="O307" s="135"/>
      <c r="P307" s="10"/>
      <c r="Q307" s="118"/>
      <c r="R307" s="74" t="s">
        <v>1592</v>
      </c>
      <c r="S307" s="19">
        <v>16000</v>
      </c>
      <c r="T307" s="12">
        <v>16640</v>
      </c>
      <c r="U307" s="12">
        <v>17280</v>
      </c>
      <c r="V307" s="13"/>
      <c r="W307" s="13"/>
      <c r="X307" s="29">
        <v>500</v>
      </c>
    </row>
    <row r="308" spans="1:24">
      <c r="A308" s="21" t="s">
        <v>310</v>
      </c>
      <c r="B308" s="51" t="str">
        <f>IFERROR(HYPERLINK(VLOOKUP(A308,ÜRÜNLER!A:C,3,FALSE),VLOOKUP(A308,ÜRÜNLER!A:B,2,FALSE)),"")</f>
        <v>iQ300 Gazlı Ocak, 67cm, Sert Cam, Siyah, Wok</v>
      </c>
      <c r="C308" s="8"/>
      <c r="D308" s="8"/>
      <c r="E308" s="9"/>
      <c r="F308" s="9"/>
      <c r="G308" s="10"/>
      <c r="H308" s="10"/>
      <c r="I308" s="11"/>
      <c r="J308" s="11"/>
      <c r="K308" s="10">
        <v>1</v>
      </c>
      <c r="L308" s="192"/>
      <c r="M308" s="11"/>
      <c r="N308" s="134">
        <f t="shared" si="10"/>
        <v>1</v>
      </c>
      <c r="O308" s="135"/>
      <c r="P308" s="10"/>
      <c r="Q308" s="118"/>
      <c r="R308" s="74" t="s">
        <v>1592</v>
      </c>
      <c r="S308" s="19">
        <v>15000</v>
      </c>
      <c r="T308" s="12">
        <v>15600</v>
      </c>
      <c r="U308" s="12">
        <v>16200</v>
      </c>
      <c r="V308" s="13"/>
      <c r="W308" s="13"/>
      <c r="X308" s="29">
        <v>500</v>
      </c>
    </row>
    <row r="309" spans="1:24">
      <c r="A309" s="21" t="s">
        <v>311</v>
      </c>
      <c r="B309" s="51" t="str">
        <f>IFERROR(HYPERLINK(VLOOKUP(A309,ÜRÜNLER!A:C,3,FALSE),VLOOKUP(A309,ÜRÜNLER!A:B,2,FALSE)),"")</f>
        <v>iQ300 Gazlı Ocak, 67cm, Sert Cam, Siyah, Wok</v>
      </c>
      <c r="C309" s="8">
        <v>11</v>
      </c>
      <c r="D309" s="8"/>
      <c r="E309" s="9"/>
      <c r="F309" s="9"/>
      <c r="G309" s="10"/>
      <c r="H309" s="10"/>
      <c r="I309" s="11"/>
      <c r="J309" s="11"/>
      <c r="K309" s="10"/>
      <c r="L309" s="192"/>
      <c r="M309" s="11"/>
      <c r="N309" s="134">
        <f t="shared" si="10"/>
        <v>11</v>
      </c>
      <c r="O309" s="135">
        <v>4</v>
      </c>
      <c r="P309" s="10"/>
      <c r="Q309" s="118"/>
      <c r="R309" s="52">
        <v>17126.883614565326</v>
      </c>
      <c r="S309" s="182">
        <v>16784.34594227402</v>
      </c>
      <c r="T309" s="12">
        <v>17455.71977996498</v>
      </c>
      <c r="U309" s="12">
        <v>18127.093617655941</v>
      </c>
      <c r="V309" s="13"/>
      <c r="W309" s="13"/>
      <c r="X309" s="17"/>
    </row>
    <row r="310" spans="1:24">
      <c r="A310" s="21" t="s">
        <v>312</v>
      </c>
      <c r="B310" s="51" t="str">
        <f>IFERROR(HYPERLINK(VLOOKUP(A310,ÜRÜNLER!A:C,3,FALSE),VLOOKUP(A310,ÜRÜNLER!A:B,2,FALSE)),"")</f>
        <v>iQ300 Gazlı Ocak, 67cm, Sert Cam, Siyah</v>
      </c>
      <c r="C310" s="8"/>
      <c r="D310" s="8"/>
      <c r="E310" s="9"/>
      <c r="F310" s="9"/>
      <c r="G310" s="10"/>
      <c r="H310" s="10"/>
      <c r="I310" s="11"/>
      <c r="J310" s="11">
        <v>2</v>
      </c>
      <c r="K310" s="10">
        <v>3</v>
      </c>
      <c r="L310" s="192"/>
      <c r="M310" s="11"/>
      <c r="N310" s="134">
        <f t="shared" si="10"/>
        <v>5</v>
      </c>
      <c r="O310" s="135"/>
      <c r="P310" s="10"/>
      <c r="Q310" s="118"/>
      <c r="R310" s="74" t="s">
        <v>1592</v>
      </c>
      <c r="S310" s="19">
        <v>14000</v>
      </c>
      <c r="T310" s="12">
        <v>14560</v>
      </c>
      <c r="U310" s="12">
        <v>15120</v>
      </c>
      <c r="V310" s="13"/>
      <c r="W310" s="13"/>
      <c r="X310" s="29">
        <v>500</v>
      </c>
    </row>
    <row r="311" spans="1:24">
      <c r="A311" s="21" t="s">
        <v>313</v>
      </c>
      <c r="B311" s="51" t="str">
        <f>IFERROR(HYPERLINK(VLOOKUP(A311,ÜRÜNLER!A:C,3,FALSE),VLOOKUP(A311,ÜRÜNLER!A:B,2,FALSE)),"")</f>
        <v>iQ300 Gazlı Ocak, 67cm, Sert Cam, Siyah</v>
      </c>
      <c r="C311" s="8">
        <v>21</v>
      </c>
      <c r="D311" s="8"/>
      <c r="E311" s="9"/>
      <c r="F311" s="9"/>
      <c r="G311" s="10"/>
      <c r="H311" s="10"/>
      <c r="I311" s="11">
        <v>1</v>
      </c>
      <c r="J311" s="11"/>
      <c r="K311" s="10">
        <v>1</v>
      </c>
      <c r="L311" s="192"/>
      <c r="M311" s="11">
        <v>1</v>
      </c>
      <c r="N311" s="134">
        <f t="shared" si="10"/>
        <v>24</v>
      </c>
      <c r="O311" s="135"/>
      <c r="P311" s="10"/>
      <c r="Q311" s="118"/>
      <c r="R311" s="52">
        <v>13694.176187536226</v>
      </c>
      <c r="S311" s="182">
        <v>13420.292663785502</v>
      </c>
      <c r="T311" s="12">
        <v>13957.104370336921</v>
      </c>
      <c r="U311" s="12">
        <v>14493.916076888341</v>
      </c>
      <c r="V311" s="13"/>
      <c r="W311" s="13"/>
      <c r="X311" s="17"/>
    </row>
    <row r="312" spans="1:24">
      <c r="A312" s="151" t="s">
        <v>314</v>
      </c>
      <c r="B312" s="51" t="str">
        <f>IFERROR(HYPERLINK(VLOOKUP(A312,ÜRÜNLER!A:C,3,FALSE),VLOOKUP(A312,ÜRÜNLER!A:B,2,FALSE)),"")</f>
        <v>iQ300 Gazlı Ocak, 67cm, Sert Cam, Antrasit Gri, Wok</v>
      </c>
      <c r="C312" s="8">
        <v>12</v>
      </c>
      <c r="D312" s="8"/>
      <c r="E312" s="9"/>
      <c r="F312" s="9"/>
      <c r="G312" s="10"/>
      <c r="H312" s="10"/>
      <c r="I312" s="11"/>
      <c r="J312" s="11"/>
      <c r="K312" s="10"/>
      <c r="L312" s="192"/>
      <c r="M312" s="11"/>
      <c r="N312" s="134">
        <f t="shared" si="10"/>
        <v>12</v>
      </c>
      <c r="O312" s="135"/>
      <c r="P312" s="10"/>
      <c r="Q312" s="118"/>
      <c r="R312" s="52">
        <v>17126.883614565326</v>
      </c>
      <c r="S312" s="182">
        <v>16784.34594227402</v>
      </c>
      <c r="T312" s="12">
        <v>17455.71977996498</v>
      </c>
      <c r="U312" s="12">
        <v>18127.093617655941</v>
      </c>
      <c r="V312" s="13"/>
      <c r="W312" s="13"/>
      <c r="X312" s="17"/>
    </row>
    <row r="313" spans="1:24">
      <c r="A313" s="151" t="s">
        <v>315</v>
      </c>
      <c r="B313" s="51" t="str">
        <f>IFERROR(HYPERLINK(VLOOKUP(A313,ÜRÜNLER!A:C,3,FALSE),VLOOKUP(A313,ÜRÜNLER!A:B,2,FALSE)),"")</f>
        <v>iQ100 Gazlı Ocak, 67cm, Sert Cam, Titanyum Gri</v>
      </c>
      <c r="C313" s="8">
        <v>13</v>
      </c>
      <c r="D313" s="8"/>
      <c r="E313" s="9"/>
      <c r="F313" s="9"/>
      <c r="G313" s="10"/>
      <c r="H313" s="10"/>
      <c r="I313" s="11"/>
      <c r="J313" s="11"/>
      <c r="K313" s="10">
        <v>2</v>
      </c>
      <c r="L313" s="192"/>
      <c r="M313" s="11"/>
      <c r="N313" s="134">
        <f t="shared" si="10"/>
        <v>15</v>
      </c>
      <c r="O313" s="135"/>
      <c r="P313" s="10"/>
      <c r="Q313" s="118"/>
      <c r="R313" s="74" t="s">
        <v>1592</v>
      </c>
      <c r="S313" s="19">
        <v>12500</v>
      </c>
      <c r="T313" s="12">
        <v>13000</v>
      </c>
      <c r="U313" s="12">
        <v>13500</v>
      </c>
      <c r="V313" s="13">
        <v>432.04407879822247</v>
      </c>
      <c r="W313" s="13"/>
      <c r="X313" s="29">
        <v>500</v>
      </c>
    </row>
    <row r="314" spans="1:24">
      <c r="A314" s="151" t="s">
        <v>316</v>
      </c>
      <c r="B314" s="51" t="str">
        <f>IFERROR(HYPERLINK(VLOOKUP(A314,ÜRÜNLER!A:C,3,FALSE),VLOOKUP(A314,ÜRÜNLER!A:B,2,FALSE)),"")</f>
        <v>iQ300 Gazlı Ocak, 67cm, Sert Cam, Antrasit Gri</v>
      </c>
      <c r="C314" s="8">
        <v>24</v>
      </c>
      <c r="D314" s="8"/>
      <c r="E314" s="9"/>
      <c r="F314" s="9"/>
      <c r="G314" s="10"/>
      <c r="H314" s="10"/>
      <c r="I314" s="11">
        <v>3</v>
      </c>
      <c r="J314" s="11"/>
      <c r="K314" s="10"/>
      <c r="L314" s="192"/>
      <c r="M314" s="11"/>
      <c r="N314" s="134">
        <f t="shared" si="10"/>
        <v>27</v>
      </c>
      <c r="O314" s="135"/>
      <c r="P314" s="10"/>
      <c r="Q314" s="118"/>
      <c r="R314" s="52">
        <v>13694.176187536226</v>
      </c>
      <c r="S314" s="182">
        <v>13420.292663785502</v>
      </c>
      <c r="T314" s="12">
        <v>13957.104370336921</v>
      </c>
      <c r="U314" s="12">
        <v>14493.916076888341</v>
      </c>
      <c r="V314" s="13"/>
      <c r="W314" s="13"/>
      <c r="X314" s="17"/>
    </row>
    <row r="315" spans="1:24">
      <c r="A315" s="151" t="s">
        <v>317</v>
      </c>
      <c r="B315" s="51" t="str">
        <f>IFERROR(HYPERLINK(VLOOKUP(A315,ÜRÜNLER!A:C,3,FALSE),VLOOKUP(A315,ÜRÜNLER!A:B,2,FALSE)),"")</f>
        <v>iQ300 Gazlı Ocak, 67cm, Sert Cam, Dark Silver</v>
      </c>
      <c r="C315" s="8">
        <v>1</v>
      </c>
      <c r="D315" s="8"/>
      <c r="E315" s="9"/>
      <c r="F315" s="9"/>
      <c r="G315" s="10"/>
      <c r="H315" s="10"/>
      <c r="I315" s="11"/>
      <c r="J315" s="11"/>
      <c r="K315" s="10">
        <v>1</v>
      </c>
      <c r="L315" s="192"/>
      <c r="M315" s="11">
        <v>1</v>
      </c>
      <c r="N315" s="134">
        <f t="shared" si="10"/>
        <v>3</v>
      </c>
      <c r="O315" s="135"/>
      <c r="P315" s="10"/>
      <c r="Q315" s="118"/>
      <c r="R315" s="74" t="s">
        <v>1592</v>
      </c>
      <c r="S315" s="19">
        <v>15000</v>
      </c>
      <c r="T315" s="12">
        <v>15600</v>
      </c>
      <c r="U315" s="12">
        <v>16200</v>
      </c>
      <c r="V315" s="13"/>
      <c r="W315" s="13"/>
      <c r="X315" s="17"/>
    </row>
    <row r="316" spans="1:24">
      <c r="A316" s="149" t="s">
        <v>318</v>
      </c>
      <c r="B316" s="51" t="str">
        <f>IFERROR(HYPERLINK(VLOOKUP(A316,ÜRÜNLER!A:C,3,FALSE),VLOOKUP(A316,ÜRÜNLER!A:B,2,FALSE)),"")</f>
        <v>iQ500 Gazlı Ocak, 60cm, Sert Cam, Siyah, Döküm, Wok</v>
      </c>
      <c r="C316" s="8">
        <v>3</v>
      </c>
      <c r="D316" s="8"/>
      <c r="E316" s="9"/>
      <c r="F316" s="9"/>
      <c r="G316" s="10"/>
      <c r="H316" s="10"/>
      <c r="I316" s="11"/>
      <c r="J316" s="11"/>
      <c r="K316" s="10"/>
      <c r="L316" s="192"/>
      <c r="M316" s="11"/>
      <c r="N316" s="134">
        <f t="shared" si="10"/>
        <v>3</v>
      </c>
      <c r="O316" s="135"/>
      <c r="P316" s="10"/>
      <c r="Q316" s="118"/>
      <c r="R316" s="52">
        <v>34898.328300365363</v>
      </c>
      <c r="S316" s="182">
        <v>34200.361734358055</v>
      </c>
      <c r="T316" s="12">
        <v>35568.376203732376</v>
      </c>
      <c r="U316" s="12">
        <v>36936.390673106696</v>
      </c>
      <c r="V316" s="13"/>
      <c r="W316" s="13"/>
      <c r="X316" s="29"/>
    </row>
    <row r="317" spans="1:24">
      <c r="A317" s="149" t="s">
        <v>319</v>
      </c>
      <c r="B317" s="51" t="str">
        <f>IFERROR(HYPERLINK(VLOOKUP(A317,ÜRÜNLER!A:C,3,FALSE),VLOOKUP(A317,ÜRÜNLER!A:B,2,FALSE)),"")</f>
        <v>iQ500 Gazlı Ocak, 60cm, Sert Cam, Siyah, Döküm</v>
      </c>
      <c r="C317" s="8">
        <v>3</v>
      </c>
      <c r="D317" s="8"/>
      <c r="E317" s="9"/>
      <c r="F317" s="9"/>
      <c r="G317" s="10"/>
      <c r="H317" s="10"/>
      <c r="I317" s="11"/>
      <c r="J317" s="11"/>
      <c r="K317" s="10"/>
      <c r="L317" s="192"/>
      <c r="M317" s="11">
        <v>1</v>
      </c>
      <c r="N317" s="134">
        <f t="shared" si="10"/>
        <v>4</v>
      </c>
      <c r="O317" s="135"/>
      <c r="P317" s="10"/>
      <c r="Q317" s="118"/>
      <c r="R317" s="52">
        <v>33306.545427542689</v>
      </c>
      <c r="S317" s="182">
        <v>32640.414518991834</v>
      </c>
      <c r="T317" s="12">
        <v>33946.031099751504</v>
      </c>
      <c r="U317" s="12">
        <v>35251.647680511182</v>
      </c>
      <c r="V317" s="13"/>
      <c r="W317" s="13"/>
      <c r="X317" s="29"/>
    </row>
    <row r="318" spans="1:24">
      <c r="A318" s="142" t="s">
        <v>320</v>
      </c>
      <c r="B318" s="51" t="str">
        <f>IFERROR(HYPERLINK(VLOOKUP(A318,ÜRÜNLER!A:C,3,FALSE),VLOOKUP(A318,ÜRÜNLER!A:B,2,FALSE)),"")</f>
        <v>iQ500 Gazlı Ocak, 60cm, Sert Cam, Beyaz, Döküm</v>
      </c>
      <c r="C318" s="8">
        <v>3</v>
      </c>
      <c r="D318" s="8"/>
      <c r="E318" s="9"/>
      <c r="F318" s="9"/>
      <c r="G318" s="10"/>
      <c r="H318" s="10"/>
      <c r="I318" s="11"/>
      <c r="J318" s="11">
        <v>1</v>
      </c>
      <c r="K318" s="10">
        <v>2</v>
      </c>
      <c r="L318" s="192"/>
      <c r="M318" s="11"/>
      <c r="N318" s="134">
        <f t="shared" si="10"/>
        <v>6</v>
      </c>
      <c r="O318" s="135"/>
      <c r="P318" s="10"/>
      <c r="Q318" s="118"/>
      <c r="R318" s="74" t="s">
        <v>1592</v>
      </c>
      <c r="S318" s="19">
        <v>35000</v>
      </c>
      <c r="T318" s="12">
        <v>36400</v>
      </c>
      <c r="U318" s="12">
        <v>37800</v>
      </c>
      <c r="V318" s="13"/>
      <c r="W318" s="13"/>
      <c r="X318" s="29">
        <v>500</v>
      </c>
    </row>
    <row r="319" spans="1:24">
      <c r="A319" s="142" t="s">
        <v>321</v>
      </c>
      <c r="B319" s="51" t="str">
        <f>IFERROR(HYPERLINK(VLOOKUP(A319,ÜRÜNLER!A:C,3,FALSE),VLOOKUP(A319,ÜRÜNLER!A:B,2,FALSE)),"")</f>
        <v>iQ500 Gazlı Ocak, 60cm, Sert Cam, Siyah, Döküm, Wok</v>
      </c>
      <c r="C319" s="8"/>
      <c r="D319" s="8"/>
      <c r="E319" s="9"/>
      <c r="F319" s="9">
        <v>2</v>
      </c>
      <c r="G319" s="10"/>
      <c r="H319" s="10"/>
      <c r="I319" s="11"/>
      <c r="J319" s="11"/>
      <c r="K319" s="10">
        <v>2</v>
      </c>
      <c r="L319" s="192"/>
      <c r="M319" s="11"/>
      <c r="N319" s="134">
        <f t="shared" si="10"/>
        <v>4</v>
      </c>
      <c r="O319" s="135"/>
      <c r="P319" s="10"/>
      <c r="Q319" s="118"/>
      <c r="R319" s="74" t="s">
        <v>1592</v>
      </c>
      <c r="S319" s="19">
        <v>30000</v>
      </c>
      <c r="T319" s="12">
        <v>31200</v>
      </c>
      <c r="U319" s="12">
        <v>32400</v>
      </c>
      <c r="V319" s="13"/>
      <c r="W319" s="13"/>
      <c r="X319" s="29">
        <v>500</v>
      </c>
    </row>
    <row r="320" spans="1:24">
      <c r="A320" s="142" t="s">
        <v>322</v>
      </c>
      <c r="B320" s="51" t="str">
        <f>IFERROR(HYPERLINK(VLOOKUP(A320,ÜRÜNLER!A:C,3,FALSE),VLOOKUP(A320,ÜRÜNLER!A:B,2,FALSE)),"")</f>
        <v>iQ500 Gazlı Ocak, 60cm, Sert Cam, Siyah, Döküm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92"/>
      <c r="M320" s="11"/>
      <c r="N320" s="134">
        <f t="shared" si="10"/>
        <v>2</v>
      </c>
      <c r="O320" s="135"/>
      <c r="P320" s="10"/>
      <c r="Q320" s="118"/>
      <c r="R320" s="74" t="s">
        <v>1592</v>
      </c>
      <c r="S320" s="19">
        <v>30000</v>
      </c>
      <c r="T320" s="12">
        <v>31200</v>
      </c>
      <c r="U320" s="12">
        <v>32400</v>
      </c>
      <c r="V320" s="13"/>
      <c r="W320" s="13"/>
      <c r="X320" s="29">
        <v>500</v>
      </c>
    </row>
    <row r="321" spans="1:24">
      <c r="A321" s="151" t="s">
        <v>324</v>
      </c>
      <c r="B321" s="51" t="str">
        <f>IFERROR(HYPERLINK(VLOOKUP(A321,ÜRÜNLER!A:C,3,FALSE),VLOOKUP(A321,ÜRÜNLER!A:B,2,FALSE)),"")</f>
        <v>iQ500 Gazlı Ocak, 60cm, Sert Cam, Titanyum Gri, Döküm, Wok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1</v>
      </c>
      <c r="L321" s="192"/>
      <c r="M321" s="11"/>
      <c r="N321" s="134">
        <f t="shared" si="10"/>
        <v>2</v>
      </c>
      <c r="O321" s="135"/>
      <c r="P321" s="10"/>
      <c r="Q321" s="118"/>
      <c r="R321" s="74" t="s">
        <v>1592</v>
      </c>
      <c r="S321" s="19">
        <v>21000</v>
      </c>
      <c r="T321" s="12">
        <v>21840</v>
      </c>
      <c r="U321" s="12">
        <v>22680</v>
      </c>
      <c r="V321" s="13"/>
      <c r="W321" s="13"/>
      <c r="X321" s="29">
        <v>500</v>
      </c>
    </row>
    <row r="322" spans="1:24">
      <c r="A322" s="151" t="s">
        <v>1366</v>
      </c>
      <c r="B322" s="51" t="str">
        <f>IFERROR(HYPERLINK(VLOOKUP(A322,ÜRÜNLER!A:C,3,FALSE),VLOOKUP(A322,ÜRÜNLER!A:B,2,FALSE)),"")</f>
        <v>iQ100 Gazlı Ocak, 60cm, Sert Cam, Antrasit, Wok</v>
      </c>
      <c r="C322" s="8">
        <v>1</v>
      </c>
      <c r="D322" s="8"/>
      <c r="E322" s="9"/>
      <c r="F322" s="9"/>
      <c r="G322" s="10"/>
      <c r="H322" s="10"/>
      <c r="I322" s="11"/>
      <c r="J322" s="11"/>
      <c r="K322" s="10"/>
      <c r="L322" s="192"/>
      <c r="M322" s="11"/>
      <c r="N322" s="134">
        <f t="shared" si="10"/>
        <v>1</v>
      </c>
      <c r="O322" s="135"/>
      <c r="P322" s="10"/>
      <c r="Q322" s="118"/>
      <c r="R322" s="74" t="s">
        <v>1592</v>
      </c>
      <c r="S322" s="19">
        <v>20000</v>
      </c>
      <c r="T322" s="12">
        <v>20800</v>
      </c>
      <c r="U322" s="12">
        <v>21600</v>
      </c>
      <c r="V322" s="13"/>
      <c r="W322" s="13"/>
      <c r="X322" s="29">
        <v>500</v>
      </c>
    </row>
    <row r="323" spans="1:24">
      <c r="A323" s="142" t="s">
        <v>325</v>
      </c>
      <c r="B323" s="51" t="str">
        <f>IFERROR(HYPERLINK(VLOOKUP(A323,ÜRÜNLER!A:C,3,FALSE),VLOOKUP(A323,ÜRÜNLER!A:B,2,FALSE)),"")</f>
        <v>iQ300 Gazlı Ocak, 60cm, Sert Cam, Siyah, Döküm</v>
      </c>
      <c r="C323" s="8"/>
      <c r="D323" s="8"/>
      <c r="E323" s="9"/>
      <c r="F323" s="9"/>
      <c r="G323" s="10"/>
      <c r="H323" s="10"/>
      <c r="I323" s="11"/>
      <c r="J323" s="11"/>
      <c r="K323" s="10"/>
      <c r="L323" s="192"/>
      <c r="M323" s="11"/>
      <c r="N323" s="134">
        <f t="shared" si="10"/>
        <v>0</v>
      </c>
      <c r="O323" s="135">
        <v>6</v>
      </c>
      <c r="P323" s="10"/>
      <c r="Q323" s="118"/>
      <c r="R323" s="52">
        <v>20185.337301466021</v>
      </c>
      <c r="S323" s="182">
        <v>19781.630555436699</v>
      </c>
      <c r="T323" s="12">
        <v>20572.895777654168</v>
      </c>
      <c r="U323" s="12">
        <v>21364.160999871634</v>
      </c>
      <c r="V323" s="13">
        <v>1456.2675340241587</v>
      </c>
      <c r="W323" s="13"/>
      <c r="X323" s="17"/>
    </row>
    <row r="324" spans="1:24">
      <c r="A324" s="142" t="s">
        <v>326</v>
      </c>
      <c r="B324" s="51" t="str">
        <f>IFERROR(HYPERLINK(VLOOKUP(A324,ÜRÜNLER!A:C,3,FALSE),VLOOKUP(A324,ÜRÜNLER!A:B,2,FALSE)),"")</f>
        <v>iQ300 Gazlı Ocak, 75cm, 4 Gözlü, Sert Cam, Beyaz</v>
      </c>
      <c r="C324" s="8">
        <v>2</v>
      </c>
      <c r="D324" s="8"/>
      <c r="E324" s="9"/>
      <c r="F324" s="9"/>
      <c r="G324" s="10"/>
      <c r="H324" s="10"/>
      <c r="I324" s="11">
        <v>1</v>
      </c>
      <c r="J324" s="11"/>
      <c r="K324" s="10"/>
      <c r="L324" s="192"/>
      <c r="M324" s="11"/>
      <c r="N324" s="134">
        <f t="shared" si="10"/>
        <v>3</v>
      </c>
      <c r="O324" s="135"/>
      <c r="P324" s="10"/>
      <c r="Q324" s="118"/>
      <c r="R324" s="74" t="s">
        <v>1592</v>
      </c>
      <c r="S324" s="19">
        <v>16000</v>
      </c>
      <c r="T324" s="12">
        <v>16640</v>
      </c>
      <c r="U324" s="12">
        <v>17280</v>
      </c>
      <c r="V324" s="13"/>
      <c r="W324" s="13"/>
      <c r="X324" s="17"/>
    </row>
    <row r="325" spans="1:24">
      <c r="A325" s="142" t="s">
        <v>327</v>
      </c>
      <c r="B325" s="51" t="str">
        <f>IFERROR(HYPERLINK(VLOOKUP(A325,ÜRÜNLER!A:C,3,FALSE),VLOOKUP(A325,ÜRÜNLER!A:B,2,FALSE)),"")</f>
        <v>iQ300 Gazlı Ocak, 75cm, 5 Gözlü, Sert Cam, Beyaz, Wok</v>
      </c>
      <c r="C325" s="8">
        <v>1</v>
      </c>
      <c r="D325" s="8"/>
      <c r="E325" s="9"/>
      <c r="F325" s="9">
        <v>1</v>
      </c>
      <c r="G325" s="10"/>
      <c r="H325" s="10"/>
      <c r="I325" s="11"/>
      <c r="J325" s="11">
        <v>1</v>
      </c>
      <c r="K325" s="10"/>
      <c r="L325" s="192"/>
      <c r="M325" s="11"/>
      <c r="N325" s="134">
        <f t="shared" si="10"/>
        <v>3</v>
      </c>
      <c r="O325" s="135"/>
      <c r="P325" s="10"/>
      <c r="Q325" s="118"/>
      <c r="R325" s="74" t="s">
        <v>1592</v>
      </c>
      <c r="S325" s="19">
        <v>16000</v>
      </c>
      <c r="T325" s="12">
        <v>16640</v>
      </c>
      <c r="U325" s="12">
        <v>17280</v>
      </c>
      <c r="V325" s="13"/>
      <c r="W325" s="13"/>
      <c r="X325" s="17"/>
    </row>
    <row r="326" spans="1:24">
      <c r="A326" s="21" t="s">
        <v>328</v>
      </c>
      <c r="B326" s="51" t="str">
        <f>IFERROR(HYPERLINK(VLOOKUP(A326,ÜRÜNLER!A:C,3,FALSE),VLOOKUP(A326,ÜRÜNLER!A:B,2,FALSE)),"")</f>
        <v>iQ300 Gazlı Ocak, 75cm, 5 Gözlü, Sert Cam, Beyaz, Wok</v>
      </c>
      <c r="C326" s="8">
        <v>11</v>
      </c>
      <c r="D326" s="8"/>
      <c r="E326" s="9"/>
      <c r="F326" s="9"/>
      <c r="G326" s="10"/>
      <c r="H326" s="10"/>
      <c r="I326" s="11"/>
      <c r="J326" s="11"/>
      <c r="K326" s="10"/>
      <c r="L326" s="192"/>
      <c r="M326" s="11">
        <v>1</v>
      </c>
      <c r="N326" s="134">
        <f t="shared" si="10"/>
        <v>12</v>
      </c>
      <c r="O326" s="135"/>
      <c r="P326" s="10"/>
      <c r="Q326" s="118"/>
      <c r="R326" s="52">
        <v>22743.918596729458</v>
      </c>
      <c r="S326" s="182">
        <v>22289.04022479487</v>
      </c>
      <c r="T326" s="12">
        <v>23180.601833786663</v>
      </c>
      <c r="U326" s="12">
        <v>24072.163442778459</v>
      </c>
      <c r="V326" s="13"/>
      <c r="W326" s="13"/>
      <c r="X326" s="17"/>
    </row>
    <row r="327" spans="1:24">
      <c r="A327" s="142" t="s">
        <v>329</v>
      </c>
      <c r="B327" s="51" t="str">
        <f>IFERROR(HYPERLINK(VLOOKUP(A327,ÜRÜNLER!A:C,3,FALSE),VLOOKUP(A327,ÜRÜNLER!A:B,2,FALSE)),"")</f>
        <v>iQ300 Gazlı Ocak, 75cm, 5 Gözlü, Sert Cam, Siyah, Wok</v>
      </c>
      <c r="C327" s="8"/>
      <c r="D327" s="8"/>
      <c r="E327" s="9"/>
      <c r="F327" s="9"/>
      <c r="G327" s="10"/>
      <c r="H327" s="10"/>
      <c r="I327" s="11"/>
      <c r="J327" s="11"/>
      <c r="K327" s="10">
        <v>1</v>
      </c>
      <c r="L327" s="192"/>
      <c r="M327" s="11"/>
      <c r="N327" s="134">
        <f t="shared" si="10"/>
        <v>1</v>
      </c>
      <c r="O327" s="135"/>
      <c r="P327" s="10"/>
      <c r="Q327" s="118"/>
      <c r="R327" s="74" t="s">
        <v>1592</v>
      </c>
      <c r="S327" s="19">
        <v>20000</v>
      </c>
      <c r="T327" s="12">
        <v>20800</v>
      </c>
      <c r="U327" s="12">
        <v>21600</v>
      </c>
      <c r="V327" s="13"/>
      <c r="W327" s="13"/>
      <c r="X327" s="29">
        <v>500</v>
      </c>
    </row>
    <row r="328" spans="1:24">
      <c r="A328" s="149" t="s">
        <v>330</v>
      </c>
      <c r="B328" s="51" t="str">
        <f>IFERROR(HYPERLINK(VLOOKUP(A328,ÜRÜNLER!A:C,3,FALSE),VLOOKUP(A328,ÜRÜNLER!A:B,2,FALSE)),"")</f>
        <v>iQ300 Gazlı Ocak, 75cm, 5 Gözlü, Sert Cam, Siyah, Wok</v>
      </c>
      <c r="C328" s="8">
        <v>6</v>
      </c>
      <c r="D328" s="8"/>
      <c r="E328" s="9"/>
      <c r="F328" s="9"/>
      <c r="G328" s="10"/>
      <c r="H328" s="10"/>
      <c r="I328" s="11"/>
      <c r="J328" s="11"/>
      <c r="K328" s="10"/>
      <c r="L328" s="192"/>
      <c r="M328" s="11"/>
      <c r="N328" s="134">
        <f t="shared" si="10"/>
        <v>6</v>
      </c>
      <c r="O328" s="135"/>
      <c r="P328" s="10"/>
      <c r="Q328" s="118"/>
      <c r="R328" s="52">
        <v>22743.918596729458</v>
      </c>
      <c r="S328" s="182">
        <v>22289.04022479487</v>
      </c>
      <c r="T328" s="12">
        <v>23180.601833786663</v>
      </c>
      <c r="U328" s="12">
        <v>24072.163442778459</v>
      </c>
      <c r="V328" s="13"/>
      <c r="W328" s="13"/>
      <c r="X328" s="17"/>
    </row>
    <row r="329" spans="1:24">
      <c r="A329" s="151" t="s">
        <v>331</v>
      </c>
      <c r="B329" s="51" t="str">
        <f>IFERROR(HYPERLINK(VLOOKUP(A329,ÜRÜNLER!A:C,3,FALSE),VLOOKUP(A329,ÜRÜNLER!A:B,2,FALSE)),"")</f>
        <v>iQ300 Gazlı Ocak, 75cm, 5 Gözlü, Sert Cam, Titanyum Gri, Wok</v>
      </c>
      <c r="C329" s="8">
        <v>3</v>
      </c>
      <c r="D329" s="8"/>
      <c r="E329" s="9"/>
      <c r="F329" s="9">
        <v>1</v>
      </c>
      <c r="G329" s="10"/>
      <c r="H329" s="10"/>
      <c r="I329" s="11">
        <v>2</v>
      </c>
      <c r="J329" s="11"/>
      <c r="K329" s="10">
        <v>1</v>
      </c>
      <c r="L329" s="192"/>
      <c r="M329" s="11"/>
      <c r="N329" s="134">
        <f t="shared" si="10"/>
        <v>7</v>
      </c>
      <c r="O329" s="135"/>
      <c r="P329" s="10"/>
      <c r="Q329" s="118"/>
      <c r="R329" s="74" t="s">
        <v>1592</v>
      </c>
      <c r="S329" s="19">
        <v>25000</v>
      </c>
      <c r="T329" s="12">
        <v>26000</v>
      </c>
      <c r="U329" s="12">
        <v>27000</v>
      </c>
      <c r="V329" s="13"/>
      <c r="W329" s="13"/>
      <c r="X329" s="29">
        <v>500</v>
      </c>
    </row>
    <row r="330" spans="1:24">
      <c r="A330" s="151" t="s">
        <v>467</v>
      </c>
      <c r="B330" s="51" t="str">
        <f>IFERROR(HYPERLINK(VLOOKUP(A330,ÜRÜNLER!A:C,3,FALSE),VLOOKUP(A330,ÜRÜNLER!A:B,2,FALSE)),"")</f>
        <v>iQ300 Gazlı Ocak, 75cm, Sert Cam, Antrasit, Wok</v>
      </c>
      <c r="C330" s="8">
        <v>3</v>
      </c>
      <c r="D330" s="8"/>
      <c r="E330" s="9"/>
      <c r="F330" s="9"/>
      <c r="G330" s="10"/>
      <c r="H330" s="10"/>
      <c r="I330" s="11"/>
      <c r="J330" s="11"/>
      <c r="K330" s="10"/>
      <c r="L330" s="192"/>
      <c r="M330" s="11"/>
      <c r="N330" s="134">
        <f t="shared" si="10"/>
        <v>3</v>
      </c>
      <c r="O330" s="135">
        <v>6</v>
      </c>
      <c r="P330" s="10"/>
      <c r="Q330" s="118"/>
      <c r="R330" s="52">
        <v>22743.918596729458</v>
      </c>
      <c r="S330" s="182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42" t="s">
        <v>1327</v>
      </c>
      <c r="B331" s="51" t="str">
        <f>IFERROR(HYPERLINK(VLOOKUP(A331,ÜRÜNLER!A:C,3,FALSE),VLOOKUP(A331,ÜRÜNLER!A:B,2,FALSE)),"")</f>
        <v>iQ500 Gazlı Ocak, 75cm, 5 Gözlü, Sert Cam, Beyaz, Wok</v>
      </c>
      <c r="C331" s="8">
        <v>2</v>
      </c>
      <c r="D331" s="8"/>
      <c r="E331" s="9"/>
      <c r="F331" s="9"/>
      <c r="G331" s="10"/>
      <c r="H331" s="10"/>
      <c r="I331" s="11"/>
      <c r="J331" s="11"/>
      <c r="K331" s="10"/>
      <c r="L331" s="192"/>
      <c r="M331" s="11"/>
      <c r="N331" s="134">
        <f t="shared" si="10"/>
        <v>2</v>
      </c>
      <c r="O331" s="135">
        <v>6</v>
      </c>
      <c r="P331" s="10"/>
      <c r="Q331" s="118"/>
      <c r="R331" s="52">
        <v>44942.679719379281</v>
      </c>
      <c r="S331" s="182">
        <v>44043.826124991698</v>
      </c>
      <c r="T331" s="12">
        <v>45805.579169991368</v>
      </c>
      <c r="U331" s="12">
        <v>47567.332214991031</v>
      </c>
      <c r="V331" s="13"/>
      <c r="W331" s="13"/>
      <c r="X331" s="29">
        <v>500</v>
      </c>
    </row>
    <row r="332" spans="1:24">
      <c r="A332" s="142" t="s">
        <v>332</v>
      </c>
      <c r="B332" s="51" t="str">
        <f>IFERROR(HYPERLINK(VLOOKUP(A332,ÜRÜNLER!A:C,3,FALSE),VLOOKUP(A332,ÜRÜNLER!A:B,2,FALSE)),"")</f>
        <v>iQ500 Gazlı Ocak, 75cm, 5 Gözlü, Sert Cam, Beyaz, Döküm, Wok</v>
      </c>
      <c r="C332" s="8"/>
      <c r="D332" s="8"/>
      <c r="E332" s="9"/>
      <c r="F332" s="9"/>
      <c r="G332" s="10"/>
      <c r="H332" s="10"/>
      <c r="I332" s="11">
        <v>2</v>
      </c>
      <c r="J332" s="11">
        <v>1</v>
      </c>
      <c r="K332" s="10">
        <v>2</v>
      </c>
      <c r="L332" s="192"/>
      <c r="M332" s="11">
        <v>1</v>
      </c>
      <c r="N332" s="134">
        <f t="shared" si="10"/>
        <v>6</v>
      </c>
      <c r="O332" s="135"/>
      <c r="P332" s="10"/>
      <c r="Q332" s="118"/>
      <c r="R332" s="74" t="s">
        <v>1592</v>
      </c>
      <c r="S332" s="19">
        <v>42000</v>
      </c>
      <c r="T332" s="12">
        <v>43680</v>
      </c>
      <c r="U332" s="12">
        <v>45360</v>
      </c>
      <c r="V332" s="13"/>
      <c r="W332" s="13"/>
      <c r="X332" s="29">
        <v>500</v>
      </c>
    </row>
    <row r="333" spans="1:24">
      <c r="A333" s="142" t="s">
        <v>333</v>
      </c>
      <c r="B333" s="51" t="str">
        <f>IFERROR(HYPERLINK(VLOOKUP(A333,ÜRÜNLER!A:C,3,FALSE),VLOOKUP(A333,ÜRÜNLER!A:B,2,FALSE)),"")</f>
        <v>iQ500 Gazlı Ocak, 75cm, 5 Gözlü, Sert Cam, Siyah, Wok</v>
      </c>
      <c r="C333" s="8"/>
      <c r="D333" s="8"/>
      <c r="E333" s="9"/>
      <c r="F333" s="9"/>
      <c r="G333" s="10"/>
      <c r="H333" s="10"/>
      <c r="I333" s="11">
        <v>1</v>
      </c>
      <c r="J333" s="11">
        <v>1</v>
      </c>
      <c r="K333" s="10">
        <v>2</v>
      </c>
      <c r="L333" s="192"/>
      <c r="M333" s="11"/>
      <c r="N333" s="134">
        <f t="shared" si="10"/>
        <v>4</v>
      </c>
      <c r="O333" s="135"/>
      <c r="P333" s="10"/>
      <c r="Q333" s="118"/>
      <c r="R333" s="74" t="s">
        <v>1592</v>
      </c>
      <c r="S333" s="19">
        <v>42000</v>
      </c>
      <c r="T333" s="12">
        <v>43680</v>
      </c>
      <c r="U333" s="12">
        <v>45360</v>
      </c>
      <c r="V333" s="13"/>
      <c r="W333" s="13"/>
      <c r="X333" s="29">
        <v>500</v>
      </c>
    </row>
    <row r="334" spans="1:24">
      <c r="A334" s="21" t="s">
        <v>334</v>
      </c>
      <c r="B334" s="51" t="str">
        <f>IFERROR(HYPERLINK(VLOOKUP(A334,ÜRÜNLER!A:C,3,FALSE),VLOOKUP(A334,ÜRÜNLER!A:B,2,FALSE)),"")</f>
        <v>iQ500 Gazlı Ocak, 75cm, 5 Gözlü, Sert Cam, Siyah, Döküm, Wok</v>
      </c>
      <c r="C334" s="8"/>
      <c r="D334" s="8"/>
      <c r="E334" s="9"/>
      <c r="F334" s="9"/>
      <c r="G334" s="10"/>
      <c r="H334" s="10"/>
      <c r="I334" s="11">
        <v>1</v>
      </c>
      <c r="J334" s="11"/>
      <c r="K334" s="10"/>
      <c r="L334" s="192"/>
      <c r="M334" s="11"/>
      <c r="N334" s="134">
        <f t="shared" si="10"/>
        <v>1</v>
      </c>
      <c r="O334" s="135"/>
      <c r="P334" s="10"/>
      <c r="Q334" s="118"/>
      <c r="R334" s="74" t="s">
        <v>1592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21" t="s">
        <v>335</v>
      </c>
      <c r="B335" s="51" t="str">
        <f>IFERROR(HYPERLINK(VLOOKUP(A335,ÜRÜNLER!A:C,3,FALSE),VLOOKUP(A335,ÜRÜNLER!A:B,2,FALSE)),"")</f>
        <v>iQ500 Gazlı Ocak, 75cm, 5 Gözlü, Inox, Döküm,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92"/>
      <c r="M335" s="11"/>
      <c r="N335" s="134">
        <f t="shared" si="10"/>
        <v>2</v>
      </c>
      <c r="O335" s="135"/>
      <c r="P335" s="10"/>
      <c r="Q335" s="118"/>
      <c r="R335" s="52">
        <v>40852.498159068411</v>
      </c>
      <c r="S335" s="182">
        <v>40035.448195887046</v>
      </c>
      <c r="T335" s="12">
        <v>41636.866123722524</v>
      </c>
      <c r="U335" s="12">
        <v>43238.28405155801</v>
      </c>
      <c r="V335" s="13"/>
      <c r="W335" s="13"/>
      <c r="X335" s="29"/>
    </row>
    <row r="336" spans="1:24">
      <c r="A336" s="142" t="s">
        <v>336</v>
      </c>
      <c r="B336" s="51" t="str">
        <f>IFERROR(HYPERLINK(VLOOKUP(A336,ÜRÜNLER!A:C,3,FALSE),VLOOKUP(A336,ÜRÜNLER!A:B,2,FALSE)),"")</f>
        <v>iQ500 Gazlı Ocak, 75cm, 5 Gözlü, Inox,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192"/>
      <c r="M336" s="11"/>
      <c r="N336" s="134">
        <f t="shared" si="10"/>
        <v>1</v>
      </c>
      <c r="O336" s="135"/>
      <c r="P336" s="10"/>
      <c r="Q336" s="118"/>
      <c r="R336" s="74" t="s">
        <v>1592</v>
      </c>
      <c r="S336" s="19">
        <v>40000</v>
      </c>
      <c r="T336" s="12">
        <v>41600</v>
      </c>
      <c r="U336" s="12">
        <v>43200</v>
      </c>
      <c r="V336" s="13"/>
      <c r="W336" s="13"/>
      <c r="X336" s="29">
        <v>500</v>
      </c>
    </row>
    <row r="337" spans="1:24">
      <c r="A337" s="164" t="s">
        <v>337</v>
      </c>
      <c r="B337" s="51" t="str">
        <f>IFERROR(HYPERLINK(VLOOKUP(A337,ÜRÜNLER!A:C,3,FALSE),VLOOKUP(A337,ÜRÜNLER!A:B,2,FALSE)),"")</f>
        <v>iQ500 Gazlı Ocak, 90cm, 5 Gözlü, Sert Cam, Siyah, Döküm, Wok</v>
      </c>
      <c r="C337" s="8"/>
      <c r="D337" s="8"/>
      <c r="E337" s="9"/>
      <c r="F337" s="9"/>
      <c r="G337" s="10"/>
      <c r="H337" s="10"/>
      <c r="I337" s="11"/>
      <c r="J337" s="11"/>
      <c r="K337" s="10">
        <v>1</v>
      </c>
      <c r="L337" s="192"/>
      <c r="M337" s="11"/>
      <c r="N337" s="134">
        <f t="shared" si="10"/>
        <v>1</v>
      </c>
      <c r="O337" s="135"/>
      <c r="P337" s="10"/>
      <c r="Q337" s="118"/>
      <c r="R337" s="74" t="s">
        <v>1592</v>
      </c>
      <c r="S337" s="19">
        <v>45000</v>
      </c>
      <c r="T337" s="12">
        <v>46800</v>
      </c>
      <c r="U337" s="12">
        <v>48600</v>
      </c>
      <c r="V337" s="13"/>
      <c r="W337" s="13"/>
      <c r="X337" s="29">
        <v>500</v>
      </c>
    </row>
    <row r="338" spans="1:24">
      <c r="A338" s="165" t="s">
        <v>338</v>
      </c>
      <c r="B338" s="51" t="str">
        <f>IFERROR(HYPERLINK(VLOOKUP(A338,ÜRÜNLER!A:C,3,FALSE),VLOOKUP(A338,ÜRÜNLER!A:B,2,FALSE)),"")</f>
        <v>iQ500 Gazlı Ocak, 90cm, 5 Gözlü, Sert Cam, Siyah, Döküm, Wok</v>
      </c>
      <c r="C338" s="8">
        <v>1</v>
      </c>
      <c r="D338" s="8"/>
      <c r="E338" s="9"/>
      <c r="F338" s="9">
        <v>2</v>
      </c>
      <c r="G338" s="10"/>
      <c r="H338" s="10"/>
      <c r="I338" s="11"/>
      <c r="J338" s="11">
        <v>1</v>
      </c>
      <c r="K338" s="10"/>
      <c r="L338" s="192"/>
      <c r="M338" s="11"/>
      <c r="N338" s="134">
        <f t="shared" si="10"/>
        <v>4</v>
      </c>
      <c r="O338" s="135"/>
      <c r="P338" s="10"/>
      <c r="Q338" s="118"/>
      <c r="R338" s="52">
        <v>56065.010678849081</v>
      </c>
      <c r="S338" s="182">
        <v>54943.710465272103</v>
      </c>
      <c r="T338" s="12">
        <v>57141.458883882988</v>
      </c>
      <c r="U338" s="12">
        <v>59339.207302493873</v>
      </c>
      <c r="V338" s="13"/>
      <c r="W338" s="13"/>
      <c r="X338" s="29">
        <v>500</v>
      </c>
    </row>
    <row r="339" spans="1:24">
      <c r="A339" s="21" t="s">
        <v>340</v>
      </c>
      <c r="B339" s="51" t="str">
        <f>IFERROR(HYPERLINK(VLOOKUP(A339,ÜRÜNLER!A:C,3,FALSE),VLOOKUP(A339,ÜRÜNLER!A:B,2,FALSE)),"")</f>
        <v>iQ500 Gazlı Ocak, 67cm, Sert Cam, Siyah, Wok, Döküm</v>
      </c>
      <c r="C339" s="8">
        <v>2</v>
      </c>
      <c r="D339" s="8"/>
      <c r="E339" s="9"/>
      <c r="F339" s="9"/>
      <c r="G339" s="10"/>
      <c r="H339" s="10"/>
      <c r="I339" s="11"/>
      <c r="J339" s="11"/>
      <c r="K339" s="10"/>
      <c r="L339" s="192"/>
      <c r="M339" s="11"/>
      <c r="N339" s="134">
        <f t="shared" si="10"/>
        <v>2</v>
      </c>
      <c r="O339" s="135">
        <v>1</v>
      </c>
      <c r="P339" s="10"/>
      <c r="Q339" s="118"/>
      <c r="R339" s="52">
        <v>44942.679719379281</v>
      </c>
      <c r="S339" s="182">
        <v>44043.826124991698</v>
      </c>
      <c r="T339" s="12">
        <v>45805.579169991368</v>
      </c>
      <c r="U339" s="12">
        <v>47567.332214991031</v>
      </c>
      <c r="V339" s="13"/>
      <c r="W339" s="13"/>
      <c r="X339" s="29"/>
    </row>
    <row r="340" spans="1:24">
      <c r="A340" s="164" t="s">
        <v>1323</v>
      </c>
      <c r="B340" s="51" t="str">
        <f>IFERROR(HYPERLINK(VLOOKUP(A340,ÜRÜNLER!A:C,3,FALSE),VLOOKUP(A340,ÜRÜNLER!A:B,2,FALSE)),"")</f>
        <v>iQ700 Gazlı Ocak, 90cm, 5 Gözlü, Sert Cam, Siyah, Döküm, Wok</v>
      </c>
      <c r="C340" s="8"/>
      <c r="D340" s="8">
        <v>1</v>
      </c>
      <c r="E340" s="9"/>
      <c r="F340" s="9"/>
      <c r="G340" s="10"/>
      <c r="H340" s="10"/>
      <c r="I340" s="11"/>
      <c r="J340" s="11"/>
      <c r="K340" s="10"/>
      <c r="L340" s="192"/>
      <c r="M340" s="11"/>
      <c r="N340" s="134">
        <f t="shared" si="10"/>
        <v>1</v>
      </c>
      <c r="O340" s="135"/>
      <c r="P340" s="10"/>
      <c r="Q340" s="118"/>
      <c r="R340" s="52">
        <v>80225.462019230792</v>
      </c>
      <c r="S340" s="18">
        <v>72202.915817307716</v>
      </c>
      <c r="T340" s="12">
        <v>75091.032450000028</v>
      </c>
      <c r="U340" s="12">
        <v>77979.14908269234</v>
      </c>
      <c r="V340" s="13"/>
      <c r="W340" s="13"/>
      <c r="X340" s="29"/>
    </row>
    <row r="341" spans="1:24">
      <c r="A341" s="164" t="s">
        <v>342</v>
      </c>
      <c r="B341" s="51" t="str">
        <f>IFERROR(HYPERLINK(VLOOKUP(A341,ÜRÜNLER!A:C,3,FALSE),VLOOKUP(A341,ÜRÜNLER!A:B,2,FALSE)),"")</f>
        <v>iQ700 Gazlı Ocak, 60cm, Seramik, Siyah, Döküm</v>
      </c>
      <c r="C341" s="8"/>
      <c r="D341" s="8"/>
      <c r="E341" s="9"/>
      <c r="F341" s="9"/>
      <c r="G341" s="10"/>
      <c r="H341" s="10"/>
      <c r="I341" s="11">
        <v>1</v>
      </c>
      <c r="J341" s="11"/>
      <c r="K341" s="10">
        <v>3</v>
      </c>
      <c r="L341" s="192"/>
      <c r="M341" s="11"/>
      <c r="N341" s="134">
        <f t="shared" si="10"/>
        <v>4</v>
      </c>
      <c r="O341" s="135"/>
      <c r="P341" s="10"/>
      <c r="Q341" s="118"/>
      <c r="R341" s="74" t="s">
        <v>1592</v>
      </c>
      <c r="S341" s="19">
        <v>40000</v>
      </c>
      <c r="T341" s="12">
        <v>41600</v>
      </c>
      <c r="U341" s="12">
        <v>43200</v>
      </c>
      <c r="V341" s="13"/>
      <c r="W341" s="13"/>
      <c r="X341" s="29">
        <v>1000</v>
      </c>
    </row>
    <row r="342" spans="1:24">
      <c r="A342" s="21" t="s">
        <v>343</v>
      </c>
      <c r="B342" s="51" t="str">
        <f>IFERROR(HYPERLINK(VLOOKUP(A342,ÜRÜNLER!A:C,3,FALSE),VLOOKUP(A342,ÜRÜNLER!A:B,2,FALSE)),"")</f>
        <v>iQ500 Moduler Teppanyaki, 40cm, Inox</v>
      </c>
      <c r="C342" s="8">
        <v>2</v>
      </c>
      <c r="D342" s="8"/>
      <c r="E342" s="9"/>
      <c r="F342" s="9"/>
      <c r="G342" s="10"/>
      <c r="H342" s="10"/>
      <c r="I342" s="11"/>
      <c r="J342" s="11"/>
      <c r="K342" s="10"/>
      <c r="L342" s="192"/>
      <c r="M342" s="11"/>
      <c r="N342" s="134">
        <f t="shared" si="10"/>
        <v>2</v>
      </c>
      <c r="O342" s="135"/>
      <c r="P342" s="10"/>
      <c r="Q342" s="118"/>
      <c r="R342" s="74" t="s">
        <v>1592</v>
      </c>
      <c r="S342" s="19">
        <v>120000</v>
      </c>
      <c r="T342" s="12">
        <v>124800</v>
      </c>
      <c r="U342" s="12">
        <v>129600</v>
      </c>
      <c r="V342" s="13"/>
      <c r="W342" s="13"/>
      <c r="X342" s="29">
        <v>1000</v>
      </c>
    </row>
    <row r="343" spans="1:24">
      <c r="A343" s="21" t="s">
        <v>341</v>
      </c>
      <c r="B343" s="51" t="str">
        <f>IFERROR(HYPERLINK(VLOOKUP(A343,ÜRÜNLER!A:C,3,FALSE),VLOOKUP(A343,ÜRÜNLER!A:B,2,FALSE)),"")</f>
        <v>iQ700 Gazlı Domino Ocak, 30cm, 2 Gözlü, Seramik, Siyah</v>
      </c>
      <c r="C343" s="8">
        <v>2</v>
      </c>
      <c r="D343" s="8"/>
      <c r="E343" s="9"/>
      <c r="F343" s="9">
        <v>1</v>
      </c>
      <c r="G343" s="10"/>
      <c r="H343" s="10"/>
      <c r="I343" s="11"/>
      <c r="J343" s="11"/>
      <c r="K343" s="10"/>
      <c r="L343" s="192"/>
      <c r="M343" s="11"/>
      <c r="N343" s="134">
        <f t="shared" si="10"/>
        <v>3</v>
      </c>
      <c r="O343" s="135"/>
      <c r="P343" s="10"/>
      <c r="Q343" s="118"/>
      <c r="R343" s="74" t="s">
        <v>1592</v>
      </c>
      <c r="S343" s="19">
        <v>35000</v>
      </c>
      <c r="T343" s="12">
        <v>36400</v>
      </c>
      <c r="U343" s="12">
        <v>37800</v>
      </c>
      <c r="V343" s="13"/>
      <c r="W343" s="13"/>
      <c r="X343" s="29">
        <v>500</v>
      </c>
    </row>
    <row r="344" spans="1:24">
      <c r="A344" s="21" t="s">
        <v>339</v>
      </c>
      <c r="B344" s="51" t="str">
        <f>IFERROR(HYPERLINK(VLOOKUP(A344,ÜRÜNLER!A:C,3,FALSE),VLOOKUP(A344,ÜRÜNLER!A:B,2,FALSE)),"")</f>
        <v>iQ700 Gazlı Domino Ocak, 30cm, Tek Gözlü, Seramik, Siyah, Wok</v>
      </c>
      <c r="C344" s="8">
        <v>5</v>
      </c>
      <c r="D344" s="8"/>
      <c r="E344" s="9"/>
      <c r="F344" s="9"/>
      <c r="G344" s="10"/>
      <c r="H344" s="10"/>
      <c r="I344" s="11"/>
      <c r="J344" s="11"/>
      <c r="K344" s="10"/>
      <c r="L344" s="192"/>
      <c r="M344" s="11"/>
      <c r="N344" s="134">
        <f t="shared" si="10"/>
        <v>5</v>
      </c>
      <c r="O344" s="135"/>
      <c r="P344" s="10"/>
      <c r="Q344" s="118"/>
      <c r="R344" s="74" t="s">
        <v>1592</v>
      </c>
      <c r="S344" s="19">
        <v>35000</v>
      </c>
      <c r="T344" s="12">
        <v>36400</v>
      </c>
      <c r="U344" s="12">
        <v>37800</v>
      </c>
      <c r="V344" s="13"/>
      <c r="W344" s="13"/>
      <c r="X344" s="29">
        <v>500</v>
      </c>
    </row>
    <row r="345" spans="1:24" ht="27.75" customHeight="1">
      <c r="A345" s="58" t="s">
        <v>344</v>
      </c>
      <c r="B345" s="51" t="str">
        <f>IFERROR(HYPERLINK(VLOOKUP(A345,ÜRÜNLER!A:C,3,FALSE),VLOOKUP(A345,ÜRÜNLER!A:B,2,FALSE)),"")</f>
        <v/>
      </c>
      <c r="C345" s="8"/>
      <c r="D345" s="8"/>
      <c r="E345" s="9"/>
      <c r="F345" s="9"/>
      <c r="G345" s="10"/>
      <c r="H345" s="10"/>
      <c r="I345" s="11"/>
      <c r="J345" s="11"/>
      <c r="K345" s="10"/>
      <c r="L345" s="192"/>
      <c r="M345" s="11"/>
      <c r="N345" s="134"/>
      <c r="O345" s="135"/>
      <c r="P345" s="10"/>
      <c r="Q345" s="9"/>
      <c r="R345" s="74"/>
      <c r="S345" s="19"/>
      <c r="T345" s="12"/>
      <c r="U345" s="12"/>
      <c r="V345" s="13"/>
      <c r="W345" s="13"/>
      <c r="X345" s="17"/>
    </row>
    <row r="346" spans="1:24">
      <c r="A346" s="142" t="s">
        <v>345</v>
      </c>
      <c r="B346" s="51" t="str">
        <f>IFERROR(HYPERLINK(VLOOKUP(A346,ÜRÜNLER!A:C,3,FALSE),VLOOKUP(A346,ÜRÜNLER!A:B,2,FALSE)),"")</f>
        <v>iQ100 Elektrikli Ocak, 60cm, Çerçevesiz, Siyah</v>
      </c>
      <c r="C346" s="8">
        <v>12</v>
      </c>
      <c r="D346" s="8"/>
      <c r="E346" s="9"/>
      <c r="F346" s="9"/>
      <c r="G346" s="10"/>
      <c r="H346" s="10"/>
      <c r="I346" s="11">
        <v>1</v>
      </c>
      <c r="J346" s="11">
        <v>1</v>
      </c>
      <c r="K346" s="10">
        <v>1</v>
      </c>
      <c r="L346" s="192"/>
      <c r="M346" s="11">
        <v>1</v>
      </c>
      <c r="N346" s="134">
        <f>M346+L346+K346+J346+I346+H346+G346+F346+E346+D346+C346</f>
        <v>16</v>
      </c>
      <c r="O346" s="135"/>
      <c r="P346" s="10"/>
      <c r="Q346" s="118"/>
      <c r="R346" s="52">
        <v>22367.863733929771</v>
      </c>
      <c r="S346" s="182">
        <v>21920.506459251177</v>
      </c>
      <c r="T346" s="12">
        <v>22797.326717621225</v>
      </c>
      <c r="U346" s="12">
        <v>23674.146975991272</v>
      </c>
      <c r="V346" s="13"/>
      <c r="W346" s="13"/>
      <c r="X346" s="17"/>
    </row>
    <row r="347" spans="1:24">
      <c r="A347" s="142" t="s">
        <v>346</v>
      </c>
      <c r="B347" s="51" t="str">
        <f>IFERROR(HYPERLINK(VLOOKUP(A347,ÜRÜNLER!A:C,3,FALSE),VLOOKUP(A347,ÜRÜNLER!A:B,2,FALSE)),"")</f>
        <v>iQ100 Elektrikli Ocak, 60cm, Çerçevesiz, Beyaz</v>
      </c>
      <c r="C347" s="8">
        <v>10</v>
      </c>
      <c r="D347" s="8"/>
      <c r="E347" s="9"/>
      <c r="F347" s="9"/>
      <c r="G347" s="10"/>
      <c r="H347" s="10"/>
      <c r="I347" s="11">
        <v>2</v>
      </c>
      <c r="J347" s="11"/>
      <c r="K347" s="10"/>
      <c r="L347" s="192"/>
      <c r="M347" s="11"/>
      <c r="N347" s="134">
        <f>M347+L347+K347+J347+I347+H347+G347+F347+E347+D347+C347</f>
        <v>12</v>
      </c>
      <c r="O347" s="135">
        <v>1</v>
      </c>
      <c r="P347" s="10"/>
      <c r="Q347" s="118"/>
      <c r="R347" s="52">
        <v>27869.095188746775</v>
      </c>
      <c r="S347" s="182">
        <v>27311.71328497184</v>
      </c>
      <c r="T347" s="12">
        <v>28404.181816370714</v>
      </c>
      <c r="U347" s="12">
        <v>29496.650347769588</v>
      </c>
      <c r="V347" s="13"/>
      <c r="W347" s="13"/>
      <c r="X347" s="17"/>
    </row>
    <row r="348" spans="1:24">
      <c r="A348" s="142" t="s">
        <v>347</v>
      </c>
      <c r="B348" s="51" t="str">
        <f>IFERROR(HYPERLINK(VLOOKUP(A348,ÜRÜNLER!A:C,3,FALSE),VLOOKUP(A348,ÜRÜNLER!A:B,2,FALSE)),"")</f>
        <v>iQ300 Elektrikli Ocak, 60cm, Çerçevesiz, Siyah</v>
      </c>
      <c r="C348" s="8">
        <v>5</v>
      </c>
      <c r="D348" s="8"/>
      <c r="E348" s="9"/>
      <c r="F348" s="9"/>
      <c r="G348" s="10">
        <v>1</v>
      </c>
      <c r="H348" s="10"/>
      <c r="I348" s="11"/>
      <c r="J348" s="11"/>
      <c r="K348" s="10"/>
      <c r="L348" s="192"/>
      <c r="M348" s="11"/>
      <c r="N348" s="134">
        <f>M348+L348+K348+J348+I348+H348+G348+F348+E348+D348+C348</f>
        <v>6</v>
      </c>
      <c r="O348" s="135">
        <v>11</v>
      </c>
      <c r="P348" s="10"/>
      <c r="Q348" s="118"/>
      <c r="R348" s="52">
        <v>27630.70393916102</v>
      </c>
      <c r="S348" s="182">
        <v>27078.089860377801</v>
      </c>
      <c r="T348" s="12">
        <v>28161.213454792913</v>
      </c>
      <c r="U348" s="12">
        <v>29244.337049208025</v>
      </c>
      <c r="V348" s="13"/>
      <c r="W348" s="13"/>
      <c r="X348" s="17"/>
    </row>
    <row r="349" spans="1:24">
      <c r="A349" s="142" t="s">
        <v>348</v>
      </c>
      <c r="B349" s="51" t="str">
        <f>IFERROR(HYPERLINK(VLOOKUP(A349,ÜRÜNLER!A:C,3,FALSE),VLOOKUP(A349,ÜRÜNLER!A:B,2,FALSE)),"")</f>
        <v>iQ300 Elektrikli Ocak, 70cm, Çerçeveli, Siyah</v>
      </c>
      <c r="C349" s="8">
        <v>1</v>
      </c>
      <c r="D349" s="8"/>
      <c r="E349" s="9"/>
      <c r="F349" s="9">
        <v>1</v>
      </c>
      <c r="G349" s="10"/>
      <c r="H349" s="10"/>
      <c r="I349" s="11">
        <v>1</v>
      </c>
      <c r="J349" s="11"/>
      <c r="K349" s="10"/>
      <c r="L349" s="192"/>
      <c r="M349" s="11"/>
      <c r="N349" s="134">
        <f>M349+L349+K349+J349+I349+H349+G349+F349+E349+D349+C349</f>
        <v>3</v>
      </c>
      <c r="O349" s="135"/>
      <c r="P349" s="10"/>
      <c r="Q349" s="118"/>
      <c r="R349" s="74" t="s">
        <v>1592</v>
      </c>
      <c r="S349" s="77">
        <v>50000</v>
      </c>
      <c r="T349" s="12">
        <v>52000</v>
      </c>
      <c r="U349" s="12">
        <v>54000</v>
      </c>
      <c r="V349" s="13"/>
      <c r="W349" s="13"/>
      <c r="X349" s="29">
        <v>1000</v>
      </c>
    </row>
    <row r="350" spans="1:24">
      <c r="A350" s="142" t="s">
        <v>349</v>
      </c>
      <c r="B350" s="51" t="str">
        <f>IFERROR(HYPERLINK(VLOOKUP(A350,ÜRÜNLER!A:C,3,FALSE),VLOOKUP(A350,ÜRÜNLER!A:B,2,FALSE)),"")</f>
        <v>iQ500 Elektrikli Ocak, 80cm, Çerçeveli, Siyah</v>
      </c>
      <c r="C350" s="8">
        <v>4</v>
      </c>
      <c r="D350" s="8"/>
      <c r="E350" s="9"/>
      <c r="F350" s="9"/>
      <c r="G350" s="10"/>
      <c r="H350" s="10"/>
      <c r="I350" s="11"/>
      <c r="J350" s="11"/>
      <c r="K350" s="10"/>
      <c r="L350" s="192"/>
      <c r="M350" s="11"/>
      <c r="N350" s="134">
        <f>M350+L350+K350+J350+I350+H350+G350+F350+E350+D350+C350</f>
        <v>4</v>
      </c>
      <c r="O350" s="135">
        <v>3</v>
      </c>
      <c r="P350" s="10"/>
      <c r="Q350" s="118"/>
      <c r="R350" s="52">
        <v>53659.609982519942</v>
      </c>
      <c r="S350" s="182">
        <v>52586.417782869539</v>
      </c>
      <c r="T350" s="12">
        <v>54689.874494184318</v>
      </c>
      <c r="U350" s="12">
        <v>56793.331205499104</v>
      </c>
      <c r="V350" s="13"/>
      <c r="W350" s="13"/>
      <c r="X350" s="17"/>
    </row>
    <row r="351" spans="1:24" ht="30">
      <c r="A351" s="58" t="s">
        <v>350</v>
      </c>
      <c r="B351" s="51" t="str">
        <f>IFERROR(HYPERLINK(VLOOKUP(A351,ÜRÜNLER!A:C,3,FALSE),VLOOKUP(A351,ÜRÜNLER!A:B,2,FALSE)),"")</f>
        <v/>
      </c>
      <c r="C351" s="8"/>
      <c r="D351" s="8"/>
      <c r="E351" s="9"/>
      <c r="F351" s="9"/>
      <c r="G351" s="10"/>
      <c r="H351" s="10"/>
      <c r="I351" s="11"/>
      <c r="J351" s="11"/>
      <c r="K351" s="10"/>
      <c r="L351" s="192"/>
      <c r="M351" s="11"/>
      <c r="N351" s="134"/>
      <c r="O351" s="135"/>
      <c r="P351" s="10"/>
      <c r="Q351" s="9"/>
      <c r="R351" s="74"/>
      <c r="S351" s="19"/>
      <c r="T351" s="12"/>
      <c r="U351" s="12">
        <v>0</v>
      </c>
      <c r="V351" s="13"/>
      <c r="W351" s="13"/>
      <c r="X351" s="17"/>
    </row>
    <row r="352" spans="1:24">
      <c r="A352" s="142" t="s">
        <v>351</v>
      </c>
      <c r="B352" s="51" t="str">
        <f>IFERROR(HYPERLINK(VLOOKUP(A352,ÜRÜNLER!A:C,3,FALSE),VLOOKUP(A352,ÜRÜNLER!A:B,2,FALSE)),"")</f>
        <v>iQ100 İndüksiyonlu Ocak, 60cm, Çerçevesiz, Siyah</v>
      </c>
      <c r="C352" s="8">
        <v>6</v>
      </c>
      <c r="D352" s="8"/>
      <c r="E352" s="9">
        <v>1</v>
      </c>
      <c r="F352" s="9"/>
      <c r="G352" s="10"/>
      <c r="H352" s="10"/>
      <c r="I352" s="11">
        <v>1</v>
      </c>
      <c r="J352" s="11">
        <v>1</v>
      </c>
      <c r="K352" s="10"/>
      <c r="L352" s="192"/>
      <c r="M352" s="11">
        <v>1</v>
      </c>
      <c r="N352" s="134">
        <f t="shared" ref="N352:N359" si="11">M352+L352+K352+J352+I352+H352+G352+F352+E352+D352+C352</f>
        <v>10</v>
      </c>
      <c r="O352" s="135">
        <v>16</v>
      </c>
      <c r="P352" s="10"/>
      <c r="Q352" s="118"/>
      <c r="R352" s="52">
        <v>22386.25435861975</v>
      </c>
      <c r="S352" s="182">
        <v>21938.529271447354</v>
      </c>
      <c r="T352" s="12">
        <v>22816.070442305248</v>
      </c>
      <c r="U352" s="12">
        <v>23693.611613163142</v>
      </c>
      <c r="V352" s="13"/>
      <c r="W352" s="13"/>
      <c r="X352" s="17"/>
    </row>
    <row r="353" spans="1:24">
      <c r="A353" s="22" t="s">
        <v>352</v>
      </c>
      <c r="B353" s="51" t="str">
        <f>IFERROR(HYPERLINK(VLOOKUP(A353,ÜRÜNLER!A:C,3,FALSE),VLOOKUP(A353,ÜRÜNLER!A:B,2,FALSE)),"")</f>
        <v>iQ700 İndüksiyonlu Ocak, 60cm, Çerçeveli, Siyah</v>
      </c>
      <c r="C353" s="8"/>
      <c r="D353" s="8"/>
      <c r="E353" s="9"/>
      <c r="F353" s="9"/>
      <c r="G353" s="10">
        <v>1</v>
      </c>
      <c r="H353" s="10"/>
      <c r="I353" s="11"/>
      <c r="J353" s="11"/>
      <c r="K353" s="10"/>
      <c r="L353" s="192"/>
      <c r="M353" s="11"/>
      <c r="N353" s="134">
        <f t="shared" si="11"/>
        <v>1</v>
      </c>
      <c r="O353" s="135">
        <v>3</v>
      </c>
      <c r="P353" s="10"/>
      <c r="Q353" s="118"/>
      <c r="R353" s="52">
        <v>71748.727339019053</v>
      </c>
      <c r="S353" s="25">
        <v>71748.727339019053</v>
      </c>
      <c r="T353" s="12">
        <v>74618.676432579814</v>
      </c>
      <c r="U353" s="12">
        <v>77488.625526140575</v>
      </c>
      <c r="V353" s="13"/>
      <c r="W353" s="13"/>
      <c r="X353" s="29">
        <v>500</v>
      </c>
    </row>
    <row r="354" spans="1:24">
      <c r="A354" s="22" t="s">
        <v>353</v>
      </c>
      <c r="B354" s="51" t="str">
        <f>IFERROR(HYPERLINK(VLOOKUP(A354,ÜRÜNLER!A:C,3,FALSE),VLOOKUP(A354,ÜRÜNLER!A:B,2,FALSE)),"")</f>
        <v>iQ700 studioLine İndüksiyonlu Ocak, 80cm, FlushMount, Siyah</v>
      </c>
      <c r="C354" s="8"/>
      <c r="D354" s="8">
        <v>3</v>
      </c>
      <c r="E354" s="9"/>
      <c r="F354" s="9"/>
      <c r="G354" s="10"/>
      <c r="H354" s="10"/>
      <c r="I354" s="11"/>
      <c r="J354" s="11"/>
      <c r="K354" s="10"/>
      <c r="L354" s="192"/>
      <c r="M354" s="11"/>
      <c r="N354" s="134">
        <f t="shared" si="11"/>
        <v>3</v>
      </c>
      <c r="O354" s="135"/>
      <c r="P354" s="10"/>
      <c r="Q354" s="118"/>
      <c r="R354" s="52">
        <v>79689.739420189508</v>
      </c>
      <c r="S354" s="18">
        <v>71720.765478170564</v>
      </c>
      <c r="T354" s="12">
        <v>74589.596097297384</v>
      </c>
      <c r="U354" s="12">
        <v>77458.426716424205</v>
      </c>
      <c r="V354" s="13"/>
      <c r="W354" s="13"/>
      <c r="X354" s="29">
        <v>500</v>
      </c>
    </row>
    <row r="355" spans="1:24">
      <c r="A355" s="22" t="s">
        <v>354</v>
      </c>
      <c r="B355" s="51" t="str">
        <f>IFERROR(HYPERLINK(VLOOKUP(A355,ÜRÜNLER!A:C,3,FALSE),VLOOKUP(A355,ÜRÜNLER!A:B,2,FALSE)),"")</f>
        <v>iQ700 studioLine İndüksiyonlu Ocak, 80cm, FlushMount, Siyah</v>
      </c>
      <c r="C355" s="8"/>
      <c r="D355" s="8">
        <v>3</v>
      </c>
      <c r="E355" s="9"/>
      <c r="F355" s="9"/>
      <c r="G355" s="10"/>
      <c r="H355" s="10">
        <v>1</v>
      </c>
      <c r="I355" s="11"/>
      <c r="J355" s="11"/>
      <c r="K355" s="10"/>
      <c r="L355" s="192"/>
      <c r="M355" s="11"/>
      <c r="N355" s="134">
        <f t="shared" si="11"/>
        <v>4</v>
      </c>
      <c r="O355" s="135"/>
      <c r="P355" s="10"/>
      <c r="Q355" s="118"/>
      <c r="R355" s="74" t="s">
        <v>1592</v>
      </c>
      <c r="S355" s="18">
        <v>105000</v>
      </c>
      <c r="T355" s="12">
        <v>109200</v>
      </c>
      <c r="U355" s="12">
        <v>113400</v>
      </c>
      <c r="V355" s="13"/>
      <c r="W355" s="13"/>
      <c r="X355" s="29">
        <v>500</v>
      </c>
    </row>
    <row r="356" spans="1:24">
      <c r="A356" s="142" t="s">
        <v>358</v>
      </c>
      <c r="B356" s="51" t="str">
        <f>IFERROR(HYPERLINK(VLOOKUP(A356,ÜRÜNLER!A:C,3,FALSE),VLOOKUP(A356,ÜRÜNLER!A:B,2,FALSE)),"")</f>
        <v>iQ300 İndüksiyonlu Ocak, 90cm, Çerçeveli, Siyah</v>
      </c>
      <c r="C356" s="8">
        <v>2</v>
      </c>
      <c r="D356" s="8"/>
      <c r="E356" s="9"/>
      <c r="F356" s="9"/>
      <c r="G356" s="10"/>
      <c r="H356" s="10"/>
      <c r="I356" s="11"/>
      <c r="J356" s="11">
        <v>1</v>
      </c>
      <c r="K356" s="10">
        <v>1</v>
      </c>
      <c r="L356" s="192"/>
      <c r="M356" s="11"/>
      <c r="N356" s="134">
        <f t="shared" si="11"/>
        <v>4</v>
      </c>
      <c r="O356" s="135"/>
      <c r="P356" s="10"/>
      <c r="Q356" s="118"/>
      <c r="R356" s="52">
        <v>95319.970489077241</v>
      </c>
      <c r="S356" s="182">
        <v>93413.571079295696</v>
      </c>
      <c r="T356" s="12">
        <v>97150.113922467528</v>
      </c>
      <c r="U356" s="12">
        <v>100886.65676563935</v>
      </c>
      <c r="V356" s="13"/>
      <c r="W356" s="13"/>
      <c r="X356" s="29">
        <v>1000</v>
      </c>
    </row>
    <row r="357" spans="1:24">
      <c r="A357" s="142" t="s">
        <v>1508</v>
      </c>
      <c r="B357" s="51" t="str">
        <f>IFERROR(HYPERLINK(VLOOKUP(A357,ÜRÜNLER!A:C,3,FALSE),VLOOKUP(A357,ÜRÜNLER!A:B,2,FALSE)),"")</f>
        <v>iQ700 studioLine İndüksiyonlu Ocak, 90cm, FlushMount, Siyah</v>
      </c>
      <c r="C357" s="8"/>
      <c r="D357" s="8"/>
      <c r="E357" s="9"/>
      <c r="F357" s="9"/>
      <c r="G357" s="10"/>
      <c r="H357" s="10"/>
      <c r="I357" s="11"/>
      <c r="J357" s="11"/>
      <c r="K357" s="10"/>
      <c r="L357" s="192"/>
      <c r="M357" s="11"/>
      <c r="N357" s="134">
        <f t="shared" si="11"/>
        <v>0</v>
      </c>
      <c r="O357" s="135"/>
      <c r="P357" s="176">
        <v>1</v>
      </c>
      <c r="Q357" s="118"/>
      <c r="R357" s="52">
        <v>118263</v>
      </c>
      <c r="S357" s="25">
        <v>118263</v>
      </c>
      <c r="T357" s="12">
        <v>122993.52</v>
      </c>
      <c r="U357" s="12">
        <v>127724.04000000001</v>
      </c>
      <c r="V357" s="13"/>
      <c r="W357" s="13"/>
      <c r="X357" s="29"/>
    </row>
    <row r="358" spans="1:24">
      <c r="A358" s="22" t="s">
        <v>359</v>
      </c>
      <c r="B358" s="51" t="str">
        <f>IFERROR(HYPERLINK(VLOOKUP(A358,ÜRÜNLER!A:C,3,FALSE),VLOOKUP(A358,ÜRÜNLER!A:B,2,FALSE)),"")</f>
        <v>iQ700 İndüksiyonlu Ocak, 90cm, Çerçeveli, Siyah</v>
      </c>
      <c r="C358" s="8">
        <v>5</v>
      </c>
      <c r="D358" s="8"/>
      <c r="E358" s="9"/>
      <c r="F358" s="9">
        <v>1</v>
      </c>
      <c r="G358" s="10"/>
      <c r="H358" s="10"/>
      <c r="I358" s="11"/>
      <c r="J358" s="11"/>
      <c r="K358" s="10"/>
      <c r="L358" s="192"/>
      <c r="M358" s="11"/>
      <c r="N358" s="134">
        <f t="shared" si="11"/>
        <v>6</v>
      </c>
      <c r="O358" s="135"/>
      <c r="P358" s="10"/>
      <c r="Q358" s="118"/>
      <c r="R358" s="52">
        <v>103280.99415627483</v>
      </c>
      <c r="S358" s="182">
        <v>101215.37427314933</v>
      </c>
      <c r="T358" s="12">
        <v>105263.9892440753</v>
      </c>
      <c r="U358" s="12">
        <v>109312.60421500127</v>
      </c>
      <c r="V358" s="13"/>
      <c r="W358" s="13"/>
      <c r="X358" s="29">
        <v>1000</v>
      </c>
    </row>
    <row r="359" spans="1:24">
      <c r="A359" s="142" t="s">
        <v>1562</v>
      </c>
      <c r="B359" s="51" t="str">
        <f>IFERROR(HYPERLINK(VLOOKUP(A359,ÜRÜNLER!A:C,3,FALSE),VLOOKUP(A359,ÜRÜNLER!A:B,2,FALSE)),"")</f>
        <v>iQ500 İndüksiyonlu Ocak, 60cm, Çerçevesiz, Siyah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92"/>
      <c r="M359" s="11"/>
      <c r="N359" s="134">
        <f t="shared" si="11"/>
        <v>2</v>
      </c>
      <c r="O359" s="135"/>
      <c r="P359" s="10"/>
      <c r="Q359" s="118"/>
      <c r="R359" s="52">
        <v>52726.73</v>
      </c>
      <c r="S359" s="25">
        <v>52726.73</v>
      </c>
      <c r="T359" s="12">
        <v>54835.799200000001</v>
      </c>
      <c r="U359" s="12">
        <v>56944.868400000007</v>
      </c>
      <c r="V359" s="13"/>
      <c r="W359" s="13"/>
      <c r="X359" s="29"/>
    </row>
    <row r="360" spans="1:24" ht="33.75">
      <c r="A360" s="59" t="s">
        <v>475</v>
      </c>
      <c r="B360" s="51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92"/>
      <c r="M360" s="11"/>
      <c r="N360" s="134"/>
      <c r="O360" s="135"/>
      <c r="P360" s="10"/>
      <c r="Q360" s="9"/>
      <c r="R360" s="74"/>
      <c r="S360" s="19"/>
      <c r="T360" s="12"/>
      <c r="U360" s="12"/>
      <c r="V360" s="13"/>
      <c r="W360" s="13"/>
      <c r="X360" s="17"/>
    </row>
    <row r="361" spans="1:24">
      <c r="A361" s="142" t="s">
        <v>465</v>
      </c>
      <c r="B361" s="51" t="str">
        <f>IFERROR(HYPERLINK(VLOOKUP(A361,ÜRÜNLER!A:C,3,FALSE),VLOOKUP(A361,ÜRÜNLER!A:B,2,FALSE)),"")</f>
        <v>iQ300 Davlumbaz Entegreli İndüksiyonlu Ocak, 80cm, Çerçevesiz, Siyah</v>
      </c>
      <c r="C361" s="8">
        <v>6</v>
      </c>
      <c r="D361" s="8"/>
      <c r="E361" s="9"/>
      <c r="F361" s="9"/>
      <c r="G361" s="10"/>
      <c r="H361" s="10"/>
      <c r="I361" s="11"/>
      <c r="J361" s="11"/>
      <c r="K361" s="10"/>
      <c r="L361" s="192"/>
      <c r="M361" s="11"/>
      <c r="N361" s="134">
        <f>M361+L361+K361+J361+I361+H361+G361+F361+E361+D361+C361</f>
        <v>6</v>
      </c>
      <c r="O361" s="135"/>
      <c r="P361" s="10"/>
      <c r="Q361" s="118"/>
      <c r="R361" s="52">
        <v>81803.559457107054</v>
      </c>
      <c r="S361" s="25">
        <v>81803.559457107054</v>
      </c>
      <c r="T361" s="12">
        <v>85075.70183539133</v>
      </c>
      <c r="U361" s="12">
        <v>88347.84421367562</v>
      </c>
      <c r="V361" s="13"/>
      <c r="W361" s="13"/>
      <c r="X361" s="29">
        <v>500</v>
      </c>
    </row>
    <row r="362" spans="1:24">
      <c r="A362" s="142" t="s">
        <v>357</v>
      </c>
      <c r="B362" s="51" t="str">
        <f>IFERROR(HYPERLINK(VLOOKUP(A362,ÜRÜNLER!A:C,3,FALSE),VLOOKUP(A362,ÜRÜNLER!A:B,2,FALSE)),"")</f>
        <v>iQ300 Davlumbaz Entegreli İndüksiyonlu Ocak, 80cm, Çerçevesiz, Siyah</v>
      </c>
      <c r="C362" s="8"/>
      <c r="D362" s="8"/>
      <c r="E362" s="9"/>
      <c r="F362" s="9">
        <v>1</v>
      </c>
      <c r="G362" s="10"/>
      <c r="H362" s="10"/>
      <c r="I362" s="11"/>
      <c r="J362" s="11"/>
      <c r="K362" s="10"/>
      <c r="L362" s="192"/>
      <c r="M362" s="11"/>
      <c r="N362" s="134">
        <f>M362+L362+K362+J362+I362+H362+G362+F362+E362+D362+C362</f>
        <v>1</v>
      </c>
      <c r="O362" s="135"/>
      <c r="P362" s="10"/>
      <c r="Q362" s="118"/>
      <c r="R362" s="74" t="s">
        <v>1592</v>
      </c>
      <c r="S362" s="19">
        <v>80000</v>
      </c>
      <c r="T362" s="12">
        <v>83200</v>
      </c>
      <c r="U362" s="12">
        <v>86400</v>
      </c>
      <c r="V362" s="13"/>
      <c r="W362" s="13"/>
      <c r="X362" s="29">
        <v>1000</v>
      </c>
    </row>
    <row r="363" spans="1:24">
      <c r="A363" s="142" t="s">
        <v>464</v>
      </c>
      <c r="B363" s="51" t="str">
        <f>IFERROR(HYPERLINK(VLOOKUP(A363,ÜRÜNLER!A:C,3,FALSE),VLOOKUP(A363,ÜRÜNLER!A:B,2,FALSE)),"")</f>
        <v>iQ700 Davlumbaz Entegreli İndüksiyonlu Ocak, 80cm, Çerçeveli,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92"/>
      <c r="M363" s="11"/>
      <c r="N363" s="134">
        <f>M363+L363+K363+J363+I363+H363+G363+F363+E363+D363+C363</f>
        <v>0</v>
      </c>
      <c r="O363" s="135">
        <v>3</v>
      </c>
      <c r="P363" s="10"/>
      <c r="Q363" s="118"/>
      <c r="R363" s="52">
        <v>95119.993823823155</v>
      </c>
      <c r="S363" s="25">
        <v>95119.993823823155</v>
      </c>
      <c r="T363" s="12">
        <v>98924.793576776079</v>
      </c>
      <c r="U363" s="12">
        <v>102729.593329729</v>
      </c>
      <c r="V363" s="13"/>
      <c r="W363" s="13"/>
      <c r="X363" s="29">
        <v>500</v>
      </c>
    </row>
    <row r="364" spans="1:24">
      <c r="A364" s="142" t="s">
        <v>356</v>
      </c>
      <c r="B364" s="51" t="str">
        <f>IFERROR(HYPERLINK(VLOOKUP(A364,ÜRÜNLER!A:C,3,FALSE),VLOOKUP(A364,ÜRÜNLER!A:B,2,FALSE)),"")</f>
        <v>iQ700 studioLine Davlumbaz Entegreli İndüksiyonlu Ocak, 80cm, Çerçeveli, Siyah</v>
      </c>
      <c r="C364" s="8"/>
      <c r="D364" s="8">
        <v>4</v>
      </c>
      <c r="E364" s="9"/>
      <c r="F364" s="9"/>
      <c r="G364" s="10"/>
      <c r="H364" s="10">
        <v>1</v>
      </c>
      <c r="I364" s="11"/>
      <c r="J364" s="11"/>
      <c r="K364" s="10"/>
      <c r="L364" s="192"/>
      <c r="M364" s="11"/>
      <c r="N364" s="134">
        <f>M364+L364+K364+J364+I364+H364+G364+F364+E364+D364+C364</f>
        <v>5</v>
      </c>
      <c r="O364" s="135"/>
      <c r="P364" s="10"/>
      <c r="Q364" s="118"/>
      <c r="R364" s="52">
        <v>121937.08168357836</v>
      </c>
      <c r="S364" s="18">
        <v>109743.37351522053</v>
      </c>
      <c r="T364" s="12">
        <v>114133.10845582935</v>
      </c>
      <c r="U364" s="12">
        <v>118522.84339643817</v>
      </c>
      <c r="V364" s="13"/>
      <c r="W364" s="13"/>
      <c r="X364" s="29">
        <v>500</v>
      </c>
    </row>
    <row r="365" spans="1:24" s="32" customFormat="1" ht="31.5">
      <c r="A365" s="34" t="s">
        <v>360</v>
      </c>
      <c r="B365" s="51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92"/>
      <c r="M365" s="11"/>
      <c r="N365" s="134"/>
      <c r="O365" s="135"/>
      <c r="P365" s="10"/>
      <c r="Q365" s="9"/>
      <c r="R365" s="74"/>
      <c r="S365" s="19"/>
      <c r="T365" s="12"/>
      <c r="U365" s="12"/>
      <c r="V365" s="117"/>
      <c r="W365" s="13"/>
      <c r="X365" s="17"/>
    </row>
    <row r="366" spans="1:24">
      <c r="A366" s="22" t="s">
        <v>361</v>
      </c>
      <c r="B366" s="51" t="str">
        <f>IFERROR(HYPERLINK(VLOOKUP(A366,ÜRÜNLER!A:C,3,FALSE),VLOOKUP(A366,ÜRÜNLER!A:B,2,FALSE)),"")</f>
        <v>iQ700 Ankastre Tam Otomatik Kahve Makinesi, Siyah/Inox</v>
      </c>
      <c r="C366" s="8"/>
      <c r="D366" s="8"/>
      <c r="E366" s="9"/>
      <c r="F366" s="9"/>
      <c r="G366" s="10"/>
      <c r="H366" s="10"/>
      <c r="I366" s="11"/>
      <c r="J366" s="11"/>
      <c r="K366" s="10">
        <v>1</v>
      </c>
      <c r="L366" s="192"/>
      <c r="M366" s="11"/>
      <c r="N366" s="134">
        <f t="shared" ref="N366:N396" si="12">M366+L366+K366+J366+I366+H366+G366+F366+E366+D366+C366</f>
        <v>1</v>
      </c>
      <c r="O366" s="135"/>
      <c r="P366" s="10"/>
      <c r="Q366" s="118"/>
      <c r="R366" s="74" t="s">
        <v>1592</v>
      </c>
      <c r="S366" s="19">
        <v>100000</v>
      </c>
      <c r="T366" s="12">
        <v>104000</v>
      </c>
      <c r="U366" s="12">
        <v>108000</v>
      </c>
      <c r="V366" s="13"/>
      <c r="W366" s="13"/>
      <c r="X366" s="27">
        <v>1000</v>
      </c>
    </row>
    <row r="367" spans="1:24">
      <c r="A367" s="22" t="s">
        <v>362</v>
      </c>
      <c r="B367" s="51" t="str">
        <f>IFERROR(HYPERLINK(VLOOKUP(A367,ÜRÜNLER!A:C,3,FALSE),VLOOKUP(A367,ÜRÜNLER!A:B,2,FALSE)),"")</f>
        <v>iQ700 Ankastre Tam Otomatik Kahve Makinesi, Siyah</v>
      </c>
      <c r="C367" s="8">
        <v>3</v>
      </c>
      <c r="D367" s="8"/>
      <c r="E367" s="9"/>
      <c r="F367" s="9"/>
      <c r="G367" s="10"/>
      <c r="H367" s="10"/>
      <c r="I367" s="11"/>
      <c r="J367" s="11"/>
      <c r="K367" s="10"/>
      <c r="L367" s="192"/>
      <c r="M367" s="11"/>
      <c r="N367" s="134">
        <f t="shared" si="12"/>
        <v>3</v>
      </c>
      <c r="O367" s="135"/>
      <c r="P367" s="10"/>
      <c r="Q367" s="118"/>
      <c r="R367" s="52">
        <v>156223.26391127042</v>
      </c>
      <c r="S367" s="47">
        <v>148412.10071570691</v>
      </c>
      <c r="T367" s="12">
        <v>154348.58474433518</v>
      </c>
      <c r="U367" s="12">
        <v>160285.06877296345</v>
      </c>
      <c r="V367" s="13"/>
      <c r="W367" s="13"/>
      <c r="X367" s="27">
        <v>500</v>
      </c>
    </row>
    <row r="368" spans="1:24">
      <c r="A368" s="22" t="s">
        <v>363</v>
      </c>
      <c r="B368" s="51" t="str">
        <f>IFERROR(HYPERLINK(VLOOKUP(A368,ÜRÜNLER!A:C,3,FALSE),VLOOKUP(A368,ÜRÜNLER!A:B,2,FALSE)),"")</f>
        <v>iQ700 studioLine Ankastre Tam Otomatik Kahve Makinesi, Siyah</v>
      </c>
      <c r="C368" s="8"/>
      <c r="D368" s="8">
        <v>5</v>
      </c>
      <c r="E368" s="9"/>
      <c r="F368" s="9"/>
      <c r="G368" s="10"/>
      <c r="H368" s="10">
        <v>1</v>
      </c>
      <c r="I368" s="11"/>
      <c r="J368" s="11"/>
      <c r="K368" s="10"/>
      <c r="L368" s="192"/>
      <c r="M368" s="11"/>
      <c r="N368" s="134">
        <f t="shared" si="12"/>
        <v>6</v>
      </c>
      <c r="O368" s="135"/>
      <c r="P368" s="10"/>
      <c r="Q368" s="118"/>
      <c r="R368" s="52">
        <v>175670.34580559586</v>
      </c>
      <c r="S368" s="18">
        <v>158103.31122503628</v>
      </c>
      <c r="T368" s="12">
        <v>164427.44367403773</v>
      </c>
      <c r="U368" s="12">
        <v>170751.57612303918</v>
      </c>
      <c r="V368" s="13"/>
      <c r="W368" s="13"/>
      <c r="X368" s="27">
        <v>500</v>
      </c>
    </row>
    <row r="369" spans="1:25">
      <c r="A369" s="21" t="s">
        <v>364</v>
      </c>
      <c r="B369" s="51" t="str">
        <f>IFERROR(HYPERLINK(VLOOKUP(A369,ÜRÜNLER!A:C,3,FALSE),VLOOKUP(A369,ÜRÜNLER!A:B,2,FALSE)),"")</f>
        <v>EQ6 plus s100 Tam Otomatik Kahve Makinesi, Metalik Elmas Titanyum</v>
      </c>
      <c r="C369" s="8">
        <v>3</v>
      </c>
      <c r="D369" s="8"/>
      <c r="E369" s="9"/>
      <c r="F369" s="9"/>
      <c r="G369" s="10"/>
      <c r="H369" s="10"/>
      <c r="I369" s="11">
        <v>5</v>
      </c>
      <c r="J369" s="11">
        <v>3</v>
      </c>
      <c r="K369" s="10">
        <v>2</v>
      </c>
      <c r="L369" s="192"/>
      <c r="M369" s="11">
        <v>2</v>
      </c>
      <c r="N369" s="134">
        <f t="shared" si="12"/>
        <v>15</v>
      </c>
      <c r="O369" s="135"/>
      <c r="P369" s="10"/>
      <c r="Q369" s="118"/>
      <c r="R369" s="52">
        <v>29076.337558441104</v>
      </c>
      <c r="S369" s="25">
        <v>29076.337558441104</v>
      </c>
      <c r="T369" s="12">
        <v>30239.391060778747</v>
      </c>
      <c r="U369" s="12">
        <v>31402.444563116391</v>
      </c>
      <c r="V369" s="125">
        <v>5804</v>
      </c>
      <c r="W369" s="13"/>
      <c r="X369" s="17">
        <v>250</v>
      </c>
      <c r="Y369" t="s">
        <v>1611</v>
      </c>
    </row>
    <row r="370" spans="1:25">
      <c r="A370" s="21" t="s">
        <v>365</v>
      </c>
      <c r="B370" s="51" t="str">
        <f>IFERROR(HYPERLINK(VLOOKUP(A370,ÜRÜNLER!A:C,3,FALSE),VLOOKUP(A370,ÜRÜNLER!A:B,2,FALSE)),"")</f>
        <v>EQ6 plus s100 Tam Otomatik Kahve Makinesi, Metalik Safir Siyahı</v>
      </c>
      <c r="C370" s="8"/>
      <c r="D370" s="8"/>
      <c r="E370" s="9"/>
      <c r="F370" s="9"/>
      <c r="G370" s="10"/>
      <c r="H370" s="10"/>
      <c r="I370" s="11"/>
      <c r="J370" s="11">
        <v>1</v>
      </c>
      <c r="K370" s="10"/>
      <c r="L370" s="192"/>
      <c r="M370" s="11"/>
      <c r="N370" s="134">
        <f t="shared" si="12"/>
        <v>1</v>
      </c>
      <c r="O370" s="135"/>
      <c r="P370" s="10"/>
      <c r="Q370" s="118"/>
      <c r="R370" s="74" t="s">
        <v>1592</v>
      </c>
      <c r="S370" s="19">
        <v>22999</v>
      </c>
      <c r="T370" s="12">
        <v>23918.959999999999</v>
      </c>
      <c r="U370" s="12">
        <v>24838.92</v>
      </c>
      <c r="V370" s="13"/>
      <c r="W370" s="13"/>
      <c r="X370" s="17">
        <v>250</v>
      </c>
    </row>
    <row r="371" spans="1:25">
      <c r="A371" s="21" t="s">
        <v>366</v>
      </c>
      <c r="B371" s="51" t="str">
        <f>IFERROR(HYPERLINK(VLOOKUP(A371,ÜRÜNLER!A:C,3,FALSE),VLOOKUP(A371,ÜRÜNLER!A:B,2,FALSE)),"")</f>
        <v>EQ6 plus s300 Tam Otomatik Kahve Makinesi, Gümüş</v>
      </c>
      <c r="C371" s="8"/>
      <c r="D371" s="8"/>
      <c r="E371" s="9"/>
      <c r="F371" s="9">
        <v>1</v>
      </c>
      <c r="G371" s="10"/>
      <c r="H371" s="10"/>
      <c r="I371" s="11"/>
      <c r="J371" s="11">
        <v>1</v>
      </c>
      <c r="K371" s="10"/>
      <c r="L371" s="192"/>
      <c r="M371" s="11">
        <v>1</v>
      </c>
      <c r="N371" s="134">
        <f t="shared" si="12"/>
        <v>3</v>
      </c>
      <c r="O371" s="135"/>
      <c r="P371" s="10"/>
      <c r="Q371" s="118"/>
      <c r="R371" s="74" t="s">
        <v>1592</v>
      </c>
      <c r="S371" s="18">
        <v>29000</v>
      </c>
      <c r="T371" s="12">
        <v>30160</v>
      </c>
      <c r="U371" s="12">
        <v>31320</v>
      </c>
      <c r="V371" s="13"/>
      <c r="W371" s="13"/>
      <c r="X371" s="17">
        <v>250</v>
      </c>
    </row>
    <row r="372" spans="1:25">
      <c r="A372" s="21" t="s">
        <v>367</v>
      </c>
      <c r="B372" s="51" t="str">
        <f>IFERROR(HYPERLINK(VLOOKUP(A372,ÜRÜNLER!A:C,3,FALSE),VLOOKUP(A372,ÜRÜNLER!A:B,2,FALSE)),"")</f>
        <v>EQ6 plus s500 Tam Otomatik Kahve Makinesi, Sabah Sisi Grisi</v>
      </c>
      <c r="C372" s="8">
        <v>52</v>
      </c>
      <c r="D372" s="8"/>
      <c r="E372" s="9"/>
      <c r="F372" s="9">
        <v>5</v>
      </c>
      <c r="G372" s="10"/>
      <c r="H372" s="10"/>
      <c r="I372" s="11">
        <v>6</v>
      </c>
      <c r="J372" s="11"/>
      <c r="K372" s="10">
        <v>2</v>
      </c>
      <c r="L372" s="192"/>
      <c r="M372" s="11">
        <v>2</v>
      </c>
      <c r="N372" s="134">
        <f t="shared" si="12"/>
        <v>67</v>
      </c>
      <c r="O372" s="135"/>
      <c r="P372" s="10"/>
      <c r="Q372" s="118"/>
      <c r="R372" s="52">
        <v>43538.239389450049</v>
      </c>
      <c r="S372" s="45">
        <v>43538.239389450049</v>
      </c>
      <c r="T372" s="12">
        <v>45279.768965028052</v>
      </c>
      <c r="U372" s="12">
        <v>47021.298540606054</v>
      </c>
      <c r="V372" s="125">
        <v>5014</v>
      </c>
      <c r="W372" s="13"/>
      <c r="X372" s="17">
        <v>250</v>
      </c>
      <c r="Y372" t="s">
        <v>1611</v>
      </c>
    </row>
    <row r="373" spans="1:25">
      <c r="A373" s="21" t="s">
        <v>368</v>
      </c>
      <c r="B373" s="51" t="str">
        <f>IFERROR(HYPERLINK(VLOOKUP(A373,ÜRÜNLER!A:C,3,FALSE),VLOOKUP(A373,ÜRÜNLER!A:B,2,FALSE)),"")</f>
        <v>EQ6 plus s700 Tam Otomatik Kahve Makinesi, DarkInox/Siyah</v>
      </c>
      <c r="C373" s="8">
        <v>63</v>
      </c>
      <c r="D373" s="8"/>
      <c r="E373" s="9"/>
      <c r="F373" s="9">
        <v>6</v>
      </c>
      <c r="G373" s="10"/>
      <c r="H373" s="10"/>
      <c r="I373" s="11">
        <v>1</v>
      </c>
      <c r="J373" s="11">
        <v>2</v>
      </c>
      <c r="K373" s="10">
        <v>1</v>
      </c>
      <c r="L373" s="192"/>
      <c r="M373" s="11">
        <v>4</v>
      </c>
      <c r="N373" s="134">
        <f t="shared" si="12"/>
        <v>77</v>
      </c>
      <c r="O373" s="135"/>
      <c r="P373" s="10"/>
      <c r="Q373" s="118"/>
      <c r="R373" s="52">
        <v>47135.971069032945</v>
      </c>
      <c r="S373" s="25">
        <v>47135.971069032945</v>
      </c>
      <c r="T373" s="12">
        <v>49021.409911794261</v>
      </c>
      <c r="U373" s="12">
        <v>50906.848754555584</v>
      </c>
      <c r="V373" s="125">
        <v>7006</v>
      </c>
      <c r="W373" s="13"/>
      <c r="X373" s="17">
        <v>250</v>
      </c>
      <c r="Y373" t="s">
        <v>1611</v>
      </c>
    </row>
    <row r="374" spans="1:25">
      <c r="A374" s="142" t="s">
        <v>369</v>
      </c>
      <c r="B374" s="51" t="str">
        <f>IFERROR(HYPERLINK(VLOOKUP(A374,ÜRÜNLER!A:C,3,FALSE),VLOOKUP(A374,ÜRÜNLER!A:B,2,FALSE)),"")</f>
        <v>EQ300 Tam Otomatik Kahve Makinesi, Siyah</v>
      </c>
      <c r="C374" s="8"/>
      <c r="D374" s="8"/>
      <c r="E374" s="9"/>
      <c r="F374" s="9">
        <v>3</v>
      </c>
      <c r="G374" s="10"/>
      <c r="H374" s="10"/>
      <c r="I374" s="11">
        <v>2</v>
      </c>
      <c r="J374" s="11">
        <v>1</v>
      </c>
      <c r="K374" s="10">
        <v>2</v>
      </c>
      <c r="L374" s="192"/>
      <c r="M374" s="11"/>
      <c r="N374" s="134">
        <f t="shared" si="12"/>
        <v>8</v>
      </c>
      <c r="O374" s="135"/>
      <c r="P374" s="10"/>
      <c r="Q374" s="118"/>
      <c r="R374" s="74" t="s">
        <v>1592</v>
      </c>
      <c r="S374" s="19">
        <v>15999</v>
      </c>
      <c r="T374" s="12">
        <v>16638.96</v>
      </c>
      <c r="U374" s="12">
        <v>17278.919999999998</v>
      </c>
      <c r="V374" s="13"/>
      <c r="W374" s="13"/>
      <c r="X374" s="17">
        <v>250</v>
      </c>
    </row>
    <row r="375" spans="1:25">
      <c r="A375" s="142" t="s">
        <v>370</v>
      </c>
      <c r="B375" s="51" t="str">
        <f>IFERROR(HYPERLINK(VLOOKUP(A375,ÜRÜNLER!A:C,3,FALSE),VLOOKUP(A375,ÜRÜNLER!A:B,2,FALSE)),"")</f>
        <v>EQ300 Tam Otomatik Kahve Makinesi, Şampanya/Siyah</v>
      </c>
      <c r="C375" s="8"/>
      <c r="D375" s="8"/>
      <c r="E375" s="9"/>
      <c r="F375" s="9">
        <v>1</v>
      </c>
      <c r="G375" s="10"/>
      <c r="H375" s="10"/>
      <c r="I375" s="11">
        <v>1</v>
      </c>
      <c r="J375" s="11">
        <v>1</v>
      </c>
      <c r="K375" s="10">
        <v>2</v>
      </c>
      <c r="L375" s="192"/>
      <c r="M375" s="11">
        <v>1</v>
      </c>
      <c r="N375" s="134">
        <f t="shared" si="12"/>
        <v>6</v>
      </c>
      <c r="O375" s="135"/>
      <c r="P375" s="10"/>
      <c r="Q375" s="118"/>
      <c r="R375" s="74" t="s">
        <v>1592</v>
      </c>
      <c r="S375" s="19">
        <v>15999</v>
      </c>
      <c r="T375" s="12">
        <v>16638.96</v>
      </c>
      <c r="U375" s="12">
        <v>17278.919999999998</v>
      </c>
      <c r="V375" s="13"/>
      <c r="W375" s="13"/>
      <c r="X375" s="17">
        <v>250</v>
      </c>
    </row>
    <row r="376" spans="1:25">
      <c r="A376" s="142" t="s">
        <v>371</v>
      </c>
      <c r="B376" s="51" t="str">
        <f>IFERROR(HYPERLINK(VLOOKUP(A376,ÜRÜNLER!A:C,3,FALSE),VLOOKUP(A376,ÜRÜNLER!A:B,2,FALSE)),"")</f>
        <v>EQ9 s300 Tam Otomatik Kahve Makinesi, Siyah</v>
      </c>
      <c r="C376" s="8"/>
      <c r="D376" s="8"/>
      <c r="E376" s="9"/>
      <c r="F376" s="9">
        <v>7</v>
      </c>
      <c r="G376" s="10"/>
      <c r="H376" s="10"/>
      <c r="I376" s="11">
        <v>1</v>
      </c>
      <c r="J376" s="11"/>
      <c r="K376" s="10">
        <v>5</v>
      </c>
      <c r="L376" s="192"/>
      <c r="M376" s="11">
        <v>1</v>
      </c>
      <c r="N376" s="134">
        <f t="shared" si="12"/>
        <v>14</v>
      </c>
      <c r="O376" s="135"/>
      <c r="P376" s="10"/>
      <c r="Q376" s="118"/>
      <c r="R376" s="74" t="s">
        <v>1592</v>
      </c>
      <c r="S376" s="19">
        <v>49999</v>
      </c>
      <c r="T376" s="12">
        <v>51998.96</v>
      </c>
      <c r="U376" s="12">
        <v>53998.92</v>
      </c>
      <c r="V376" s="13"/>
      <c r="W376" s="13"/>
      <c r="X376" s="17">
        <v>250</v>
      </c>
    </row>
    <row r="377" spans="1:25">
      <c r="A377" s="142" t="s">
        <v>372</v>
      </c>
      <c r="B377" s="51" t="str">
        <f>IFERROR(HYPERLINK(VLOOKUP(A377,ÜRÜNLER!A:C,3,FALSE),VLOOKUP(A377,ÜRÜNLER!A:B,2,FALSE)),"")</f>
        <v>EQ9 plus connect s500 Tam Otomatik Kahve Makinesi, Siyah</v>
      </c>
      <c r="C377" s="8"/>
      <c r="D377" s="8"/>
      <c r="E377" s="9"/>
      <c r="F377" s="9">
        <v>2</v>
      </c>
      <c r="G377" s="10"/>
      <c r="H377" s="10"/>
      <c r="I377" s="11">
        <v>2</v>
      </c>
      <c r="J377" s="11">
        <v>1</v>
      </c>
      <c r="K377" s="10">
        <v>2</v>
      </c>
      <c r="L377" s="192"/>
      <c r="M377" s="11">
        <v>1</v>
      </c>
      <c r="N377" s="134">
        <f t="shared" si="12"/>
        <v>8</v>
      </c>
      <c r="O377" s="135"/>
      <c r="P377" s="10"/>
      <c r="Q377" s="118"/>
      <c r="R377" s="74" t="s">
        <v>1592</v>
      </c>
      <c r="S377" s="19">
        <v>59999</v>
      </c>
      <c r="T377" s="12">
        <v>62398.96</v>
      </c>
      <c r="U377" s="12">
        <v>64798.92</v>
      </c>
      <c r="V377" s="13"/>
      <c r="W377" s="13"/>
      <c r="X377" s="17">
        <v>250</v>
      </c>
    </row>
    <row r="378" spans="1:25">
      <c r="A378" s="143" t="s">
        <v>373</v>
      </c>
      <c r="B378" s="51" t="str">
        <f>IFERROR(HYPERLINK(VLOOKUP(A378,ÜRÜNLER!A:C,3,FALSE),VLOOKUP(A378,ÜRÜNLER!A:B,2,FALSE)),"")</f>
        <v>EQ500 classic Tam Otomatik Kahve Makinesi, Piyano Siyahı</v>
      </c>
      <c r="C378" s="8"/>
      <c r="D378" s="8"/>
      <c r="E378" s="9"/>
      <c r="F378" s="9">
        <v>9</v>
      </c>
      <c r="G378" s="10"/>
      <c r="H378" s="10"/>
      <c r="I378" s="11">
        <v>4</v>
      </c>
      <c r="J378" s="11">
        <v>2</v>
      </c>
      <c r="K378" s="10">
        <v>1</v>
      </c>
      <c r="L378" s="192"/>
      <c r="M378" s="11"/>
      <c r="N378" s="134">
        <f t="shared" si="12"/>
        <v>16</v>
      </c>
      <c r="O378" s="135"/>
      <c r="P378" s="10"/>
      <c r="Q378" s="118"/>
      <c r="R378" s="74" t="s">
        <v>1592</v>
      </c>
      <c r="S378" s="19">
        <v>19999</v>
      </c>
      <c r="T378" s="12">
        <v>20798.96</v>
      </c>
      <c r="U378" s="12">
        <v>21598.92</v>
      </c>
      <c r="V378" s="13"/>
      <c r="W378" s="13"/>
      <c r="X378" s="17">
        <v>250</v>
      </c>
    </row>
    <row r="379" spans="1:25">
      <c r="A379" s="143" t="s">
        <v>374</v>
      </c>
      <c r="B379" s="51" t="str">
        <f>IFERROR(HYPERLINK(VLOOKUP(A379,ÜRÜNLER!A:C,3,FALSE),VLOOKUP(A379,ÜRÜNLER!A:B,2,FALSE)),"")</f>
        <v>EQ500 classic Tam Otomatik Kahve Makinesi, Piyano Siyahı</v>
      </c>
      <c r="C379" s="8"/>
      <c r="D379" s="8"/>
      <c r="E379" s="9"/>
      <c r="F379" s="9">
        <v>4</v>
      </c>
      <c r="G379" s="10"/>
      <c r="H379" s="10"/>
      <c r="I379" s="11"/>
      <c r="J379" s="11">
        <v>1</v>
      </c>
      <c r="K379" s="10"/>
      <c r="L379" s="192"/>
      <c r="M379" s="11">
        <v>1</v>
      </c>
      <c r="N379" s="134">
        <f t="shared" si="12"/>
        <v>6</v>
      </c>
      <c r="O379" s="135"/>
      <c r="P379" s="10"/>
      <c r="Q379" s="118"/>
      <c r="R379" s="74" t="s">
        <v>1592</v>
      </c>
      <c r="S379" s="19">
        <v>19999</v>
      </c>
      <c r="T379" s="12">
        <v>20798.96</v>
      </c>
      <c r="U379" s="12">
        <v>21598.92</v>
      </c>
      <c r="V379" s="13"/>
      <c r="W379" s="13"/>
      <c r="X379" s="17">
        <v>250</v>
      </c>
    </row>
    <row r="380" spans="1:25">
      <c r="A380" s="166" t="s">
        <v>375</v>
      </c>
      <c r="B380" s="51" t="str">
        <f>IFERROR(HYPERLINK(VLOOKUP(A380,ÜRÜNLER!A:C,3,FALSE),VLOOKUP(A380,ÜRÜNLER!A:B,2,FALSE)),"")</f>
        <v>EQ500 classic Tam Otomatik Kahve Makinesi, Metalik Inox/Gümüş</v>
      </c>
      <c r="C380" s="8"/>
      <c r="D380" s="8"/>
      <c r="E380" s="9"/>
      <c r="F380" s="9">
        <v>3</v>
      </c>
      <c r="G380" s="10"/>
      <c r="H380" s="10"/>
      <c r="I380" s="11">
        <v>1</v>
      </c>
      <c r="J380" s="11"/>
      <c r="K380" s="10">
        <v>1</v>
      </c>
      <c r="L380" s="192"/>
      <c r="M380" s="11"/>
      <c r="N380" s="134">
        <f t="shared" si="12"/>
        <v>5</v>
      </c>
      <c r="O380" s="135"/>
      <c r="P380" s="10"/>
      <c r="Q380" s="118"/>
      <c r="R380" s="74" t="s">
        <v>1592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5">
      <c r="A381" s="166" t="s">
        <v>376</v>
      </c>
      <c r="B381" s="51" t="str">
        <f>IFERROR(HYPERLINK(VLOOKUP(A381,ÜRÜNLER!A:C,3,FALSE),VLOOKUP(A381,ÜRÜNLER!A:B,2,FALSE)),"")</f>
        <v>EQ500 classic Tam Otomatik Kahve Makinesi, Sabah Sisi Grisi</v>
      </c>
      <c r="C381" s="8"/>
      <c r="D381" s="8"/>
      <c r="E381" s="9"/>
      <c r="F381" s="9">
        <v>1</v>
      </c>
      <c r="G381" s="10"/>
      <c r="H381" s="10"/>
      <c r="I381" s="11"/>
      <c r="J381" s="11"/>
      <c r="K381" s="10"/>
      <c r="L381" s="192"/>
      <c r="M381" s="11">
        <v>1</v>
      </c>
      <c r="N381" s="134">
        <f t="shared" si="12"/>
        <v>2</v>
      </c>
      <c r="O381" s="135"/>
      <c r="P381" s="10"/>
      <c r="Q381" s="118"/>
      <c r="R381" s="74" t="s">
        <v>1592</v>
      </c>
      <c r="S381" s="19">
        <v>24999</v>
      </c>
      <c r="T381" s="12">
        <v>25998.959999999999</v>
      </c>
      <c r="U381" s="12">
        <v>26998.92</v>
      </c>
      <c r="V381" s="13"/>
      <c r="W381" s="13"/>
      <c r="X381" s="17">
        <v>250</v>
      </c>
    </row>
    <row r="382" spans="1:25">
      <c r="A382" s="167" t="s">
        <v>377</v>
      </c>
      <c r="B382" s="51" t="str">
        <f>IFERROR(HYPERLINK(VLOOKUP(A382,ÜRÜNLER!A:C,3,FALSE),VLOOKUP(A382,ÜRÜNLER!A:B,2,FALSE)),"")</f>
        <v>EQ500 classic connect Tam Otomatik Kahve Makinesi, Inox/Siyah</v>
      </c>
      <c r="C382" s="8">
        <v>13</v>
      </c>
      <c r="D382" s="8"/>
      <c r="E382" s="9"/>
      <c r="F382" s="9">
        <v>10</v>
      </c>
      <c r="G382" s="10"/>
      <c r="H382" s="10"/>
      <c r="I382" s="11">
        <v>2</v>
      </c>
      <c r="J382" s="11"/>
      <c r="K382" s="10">
        <v>1</v>
      </c>
      <c r="L382" s="192"/>
      <c r="M382" s="11">
        <v>1</v>
      </c>
      <c r="N382" s="134">
        <f t="shared" si="12"/>
        <v>27</v>
      </c>
      <c r="O382" s="135"/>
      <c r="P382" s="10"/>
      <c r="Q382" s="118"/>
      <c r="R382" s="52">
        <v>38484.25199305846</v>
      </c>
      <c r="S382" s="132">
        <v>38484.25199305846</v>
      </c>
      <c r="T382" s="12">
        <v>40023.622072780796</v>
      </c>
      <c r="U382" s="12">
        <v>41562.992152503139</v>
      </c>
      <c r="V382" s="125">
        <v>6382</v>
      </c>
      <c r="W382" s="13"/>
      <c r="X382" s="17">
        <v>250</v>
      </c>
      <c r="Y382" t="s">
        <v>1611</v>
      </c>
    </row>
    <row r="383" spans="1:25">
      <c r="A383" s="167" t="s">
        <v>378</v>
      </c>
      <c r="B383" s="51" t="str">
        <f>IFERROR(HYPERLINK(VLOOKUP(A383,ÜRÜNLER!A:C,3,FALSE),VLOOKUP(A383,ÜRÜNLER!A:B,2,FALSE)),"")</f>
        <v>EQ500 classic Tam Otomatik Kahve Makinesi, Inox/Siyah</v>
      </c>
      <c r="C383" s="8">
        <v>77</v>
      </c>
      <c r="D383" s="8"/>
      <c r="E383" s="9"/>
      <c r="F383" s="9">
        <v>4</v>
      </c>
      <c r="G383" s="10"/>
      <c r="H383" s="10"/>
      <c r="I383" s="11">
        <v>11</v>
      </c>
      <c r="J383" s="11">
        <v>5</v>
      </c>
      <c r="K383" s="10">
        <v>1</v>
      </c>
      <c r="L383" s="192"/>
      <c r="M383" s="11">
        <v>3</v>
      </c>
      <c r="N383" s="134">
        <f t="shared" si="12"/>
        <v>101</v>
      </c>
      <c r="O383" s="135"/>
      <c r="P383" s="10"/>
      <c r="Q383" s="118"/>
      <c r="R383" s="52">
        <v>30282.690092898465</v>
      </c>
      <c r="S383" s="132">
        <v>30282.690092898465</v>
      </c>
      <c r="T383" s="12">
        <v>31493.997696614402</v>
      </c>
      <c r="U383" s="12">
        <v>32705.305300330343</v>
      </c>
      <c r="V383" s="125">
        <v>4602</v>
      </c>
      <c r="W383" s="13"/>
      <c r="X383" s="17">
        <v>250</v>
      </c>
      <c r="Y383" t="s">
        <v>1611</v>
      </c>
    </row>
    <row r="384" spans="1:25">
      <c r="A384" s="143" t="s">
        <v>379</v>
      </c>
      <c r="B384" s="51" t="str">
        <f>IFERROR(HYPERLINK(VLOOKUP(A384,ÜRÜNLER!A:C,3,FALSE),VLOOKUP(A384,ÜRÜNLER!A:B,2,FALSE)),"")</f>
        <v>EQ700 classic Tam Otomatik Kahve Makinesi, Piyano Siyahı</v>
      </c>
      <c r="C384" s="8"/>
      <c r="D384" s="8"/>
      <c r="E384" s="9"/>
      <c r="F384" s="9">
        <v>1</v>
      </c>
      <c r="G384" s="10"/>
      <c r="H384" s="10"/>
      <c r="I384" s="11"/>
      <c r="J384" s="11"/>
      <c r="K384" s="10"/>
      <c r="L384" s="192"/>
      <c r="M384" s="11"/>
      <c r="N384" s="134">
        <f t="shared" si="12"/>
        <v>1</v>
      </c>
      <c r="O384" s="135"/>
      <c r="P384" s="10"/>
      <c r="Q384" s="118"/>
      <c r="R384" s="74" t="s">
        <v>1592</v>
      </c>
      <c r="S384" s="19">
        <v>45000</v>
      </c>
      <c r="T384" s="12">
        <v>46800</v>
      </c>
      <c r="U384" s="12">
        <v>48600</v>
      </c>
      <c r="V384" s="13"/>
      <c r="W384" s="13"/>
      <c r="X384" s="17">
        <v>250</v>
      </c>
    </row>
    <row r="385" spans="1:25">
      <c r="A385" s="166" t="s">
        <v>380</v>
      </c>
      <c r="B385" s="51" t="str">
        <f>IFERROR(HYPERLINK(VLOOKUP(A385,ÜRÜNLER!A:C,3,FALSE),VLOOKUP(A385,ÜRÜNLER!A:B,2,FALSE)),"")</f>
        <v>EQ700 classic Tam Otomatik Kahve Makinesi, Piyano Siyahı</v>
      </c>
      <c r="C385" s="8"/>
      <c r="D385" s="8"/>
      <c r="E385" s="9"/>
      <c r="F385" s="9"/>
      <c r="G385" s="10"/>
      <c r="H385" s="10"/>
      <c r="I385" s="11">
        <v>1</v>
      </c>
      <c r="J385" s="11"/>
      <c r="K385" s="10"/>
      <c r="L385" s="192"/>
      <c r="M385" s="11"/>
      <c r="N385" s="134">
        <f t="shared" si="12"/>
        <v>1</v>
      </c>
      <c r="O385" s="135"/>
      <c r="P385" s="10"/>
      <c r="Q385" s="118"/>
      <c r="R385" s="74" t="s">
        <v>1592</v>
      </c>
      <c r="S385" s="19">
        <v>40000</v>
      </c>
      <c r="T385" s="12">
        <v>41600</v>
      </c>
      <c r="U385" s="12">
        <v>43200</v>
      </c>
      <c r="V385" s="13"/>
      <c r="W385" s="13"/>
      <c r="X385" s="17">
        <v>250</v>
      </c>
    </row>
    <row r="386" spans="1:25">
      <c r="A386" s="166" t="s">
        <v>381</v>
      </c>
      <c r="B386" s="51" t="str">
        <f>IFERROR(HYPERLINK(VLOOKUP(A386,ÜRÜNLER!A:C,3,FALSE),VLOOKUP(A386,ÜRÜNLER!A:B,2,FALSE)),"")</f>
        <v>EQ700 classic Tam Otomatik Kahve Makinesi, Piyano Siyahı</v>
      </c>
      <c r="C386" s="8">
        <v>17</v>
      </c>
      <c r="D386" s="8"/>
      <c r="E386" s="9"/>
      <c r="F386" s="9"/>
      <c r="G386" s="10"/>
      <c r="H386" s="10"/>
      <c r="I386" s="11"/>
      <c r="J386" s="11">
        <v>3</v>
      </c>
      <c r="K386" s="10"/>
      <c r="L386" s="192"/>
      <c r="M386" s="11">
        <v>3</v>
      </c>
      <c r="N386" s="134">
        <f t="shared" si="12"/>
        <v>23</v>
      </c>
      <c r="O386" s="135"/>
      <c r="P386" s="10"/>
      <c r="Q386" s="118"/>
      <c r="R386" s="52">
        <v>52494.176938714467</v>
      </c>
      <c r="S386" s="18">
        <v>52494.176938714467</v>
      </c>
      <c r="T386" s="12">
        <v>54593.944016263049</v>
      </c>
      <c r="U386" s="12">
        <v>56693.711093811624</v>
      </c>
      <c r="V386" s="125">
        <v>4337</v>
      </c>
      <c r="W386" s="13"/>
      <c r="X386" s="17">
        <v>250</v>
      </c>
      <c r="Y386" t="s">
        <v>1611</v>
      </c>
    </row>
    <row r="387" spans="1:25">
      <c r="A387" s="142" t="s">
        <v>382</v>
      </c>
      <c r="B387" s="51" t="str">
        <f>IFERROR(HYPERLINK(VLOOKUP(A387,ÜRÜNLER!A:C,3,FALSE),VLOOKUP(A387,ÜRÜNLER!A:B,2,FALSE)),"")</f>
        <v>EQ500 integral Tam Otomatik Kahve Makinesi, Metalik Safir Siyahı</v>
      </c>
      <c r="C387" s="8"/>
      <c r="D387" s="8"/>
      <c r="E387" s="9"/>
      <c r="F387" s="9"/>
      <c r="G387" s="10"/>
      <c r="H387" s="10"/>
      <c r="I387" s="11">
        <v>3</v>
      </c>
      <c r="J387" s="11">
        <v>1</v>
      </c>
      <c r="K387" s="10">
        <v>1</v>
      </c>
      <c r="L387" s="192"/>
      <c r="M387" s="11">
        <v>2</v>
      </c>
      <c r="N387" s="134">
        <f t="shared" si="12"/>
        <v>7</v>
      </c>
      <c r="O387" s="135"/>
      <c r="P387" s="10"/>
      <c r="Q387" s="118"/>
      <c r="R387" s="74" t="s">
        <v>1592</v>
      </c>
      <c r="S387" s="19">
        <v>24000</v>
      </c>
      <c r="T387" s="12">
        <v>24960</v>
      </c>
      <c r="U387" s="12">
        <v>25920</v>
      </c>
      <c r="V387" s="13"/>
      <c r="W387" s="13"/>
      <c r="X387" s="17">
        <v>250</v>
      </c>
    </row>
    <row r="388" spans="1:25">
      <c r="A388" s="148" t="s">
        <v>383</v>
      </c>
      <c r="B388" s="51" t="str">
        <f>IFERROR(HYPERLINK(VLOOKUP(A388,ÜRÜNLER!A:C,3,FALSE),VLOOKUP(A388,ÜRÜNLER!A:B,2,FALSE)),"")</f>
        <v>EQ500 integral Tam Otomatik Kahve Makinesi, Inox</v>
      </c>
      <c r="C388" s="8"/>
      <c r="D388" s="8"/>
      <c r="E388" s="9"/>
      <c r="F388" s="9">
        <v>4</v>
      </c>
      <c r="G388" s="10"/>
      <c r="H388" s="10"/>
      <c r="I388" s="11">
        <v>1</v>
      </c>
      <c r="J388" s="11">
        <v>1</v>
      </c>
      <c r="K388" s="10">
        <v>1</v>
      </c>
      <c r="L388" s="192"/>
      <c r="M388" s="11">
        <v>1</v>
      </c>
      <c r="N388" s="134">
        <f t="shared" si="12"/>
        <v>8</v>
      </c>
      <c r="O388" s="135"/>
      <c r="P388" s="10"/>
      <c r="Q388" s="118"/>
      <c r="R388" s="74" t="s">
        <v>1592</v>
      </c>
      <c r="S388" s="19">
        <v>23000</v>
      </c>
      <c r="T388" s="12">
        <v>23920</v>
      </c>
      <c r="U388" s="12">
        <v>24840</v>
      </c>
      <c r="V388" s="13"/>
      <c r="W388" s="13"/>
      <c r="X388" s="17">
        <v>250</v>
      </c>
    </row>
    <row r="389" spans="1:25">
      <c r="A389" s="168" t="s">
        <v>384</v>
      </c>
      <c r="B389" s="51" t="str">
        <f>IFERROR(HYPERLINK(VLOOKUP(A389,ÜRÜNLER!A:C,3,FALSE),VLOOKUP(A389,ÜRÜNLER!A:B,2,FALSE)),"")</f>
        <v>EQ700 integral Tam Otomatik Kahve Makinesi, Metalik Inox/Gümüş</v>
      </c>
      <c r="C389" s="8"/>
      <c r="D389" s="8"/>
      <c r="E389" s="9"/>
      <c r="F389" s="9">
        <v>1</v>
      </c>
      <c r="G389" s="10"/>
      <c r="H389" s="10"/>
      <c r="I389" s="11">
        <v>1</v>
      </c>
      <c r="J389" s="11">
        <v>1</v>
      </c>
      <c r="K389" s="10"/>
      <c r="L389" s="192"/>
      <c r="M389" s="11"/>
      <c r="N389" s="134">
        <f t="shared" si="12"/>
        <v>3</v>
      </c>
      <c r="O389" s="135"/>
      <c r="P389" s="10"/>
      <c r="Q389" s="118"/>
      <c r="R389" s="74" t="s">
        <v>1592</v>
      </c>
      <c r="S389" s="19">
        <v>39999</v>
      </c>
      <c r="T389" s="12">
        <v>41598.959999999999</v>
      </c>
      <c r="U389" s="12">
        <v>43198.92</v>
      </c>
      <c r="V389" s="13"/>
      <c r="W389" s="13"/>
      <c r="X389" s="17">
        <v>250</v>
      </c>
    </row>
    <row r="390" spans="1:25">
      <c r="A390" s="168" t="s">
        <v>385</v>
      </c>
      <c r="B390" s="51" t="str">
        <f>IFERROR(HYPERLINK(VLOOKUP(A390,ÜRÜNLER!A:C,3,FALSE),VLOOKUP(A390,ÜRÜNLER!A:B,2,FALSE)),"")</f>
        <v>EQ700 Tam Otomatik Kahve Makinesi, Paslanmaz Çelik</v>
      </c>
      <c r="C390" s="8">
        <v>5</v>
      </c>
      <c r="D390" s="8"/>
      <c r="E390" s="9"/>
      <c r="F390" s="9">
        <v>4</v>
      </c>
      <c r="G390" s="10"/>
      <c r="H390" s="10"/>
      <c r="I390" s="11"/>
      <c r="J390" s="11"/>
      <c r="K390" s="10"/>
      <c r="L390" s="192"/>
      <c r="M390" s="11">
        <v>1</v>
      </c>
      <c r="N390" s="134">
        <f t="shared" si="12"/>
        <v>10</v>
      </c>
      <c r="O390" s="135"/>
      <c r="P390" s="10"/>
      <c r="Q390" s="118"/>
      <c r="R390" s="52">
        <v>56989.324165687103</v>
      </c>
      <c r="S390" s="25">
        <v>56989.324165687103</v>
      </c>
      <c r="T390" s="12">
        <v>59268.897132314589</v>
      </c>
      <c r="U390" s="12">
        <v>61548.470098942074</v>
      </c>
      <c r="V390" s="125">
        <v>6423</v>
      </c>
      <c r="W390" s="13"/>
      <c r="X390" s="17">
        <v>250</v>
      </c>
      <c r="Y390" t="s">
        <v>1611</v>
      </c>
    </row>
    <row r="391" spans="1:25">
      <c r="A391" s="142" t="s">
        <v>386</v>
      </c>
      <c r="B391" s="51" t="str">
        <f>IFERROR(HYPERLINK(VLOOKUP(A391,ÜRÜNLER!A:C,3,FALSE),VLOOKUP(A391,ÜRÜNLER!A:B,2,FALSE)),"")</f>
        <v>EQ900 Tam Otomatik Kahve Makinesi, Paslanmaz Çelik</v>
      </c>
      <c r="C391" s="8">
        <v>19</v>
      </c>
      <c r="D391" s="8"/>
      <c r="E391" s="9"/>
      <c r="F391" s="9"/>
      <c r="G391" s="10"/>
      <c r="H391" s="10"/>
      <c r="I391" s="11">
        <v>1</v>
      </c>
      <c r="J391" s="11">
        <v>1</v>
      </c>
      <c r="K391" s="10">
        <v>1</v>
      </c>
      <c r="L391" s="192"/>
      <c r="M391" s="11">
        <v>1</v>
      </c>
      <c r="N391" s="134">
        <f t="shared" si="12"/>
        <v>23</v>
      </c>
      <c r="O391" s="135"/>
      <c r="P391" s="10"/>
      <c r="Q391" s="118"/>
      <c r="R391" s="52">
        <v>80886.471339026728</v>
      </c>
      <c r="S391" s="25">
        <v>80886.471339026728</v>
      </c>
      <c r="T391" s="12">
        <v>84121.930192587795</v>
      </c>
      <c r="U391" s="12">
        <v>87357.389046148863</v>
      </c>
      <c r="V391" s="125">
        <v>8646</v>
      </c>
      <c r="W391" s="13"/>
      <c r="X391" s="17">
        <v>250</v>
      </c>
      <c r="Y391" t="s">
        <v>1611</v>
      </c>
    </row>
    <row r="392" spans="1:25">
      <c r="A392" s="142" t="s">
        <v>387</v>
      </c>
      <c r="B392" s="51" t="str">
        <f>IFERROR(HYPERLINK(VLOOKUP(A392,ÜRÜNLER!A:C,3,FALSE),VLOOKUP(A392,ÜRÜNLER!A:B,2,FALSE)),"")</f>
        <v>EQ900 plus Tam Otomatik Kahve Makinesi, Inox</v>
      </c>
      <c r="C392" s="8">
        <v>10</v>
      </c>
      <c r="D392" s="8"/>
      <c r="E392" s="9"/>
      <c r="F392" s="9"/>
      <c r="G392" s="10"/>
      <c r="H392" s="10"/>
      <c r="I392" s="11"/>
      <c r="J392" s="11"/>
      <c r="K392" s="10"/>
      <c r="L392" s="192"/>
      <c r="M392" s="11">
        <v>1</v>
      </c>
      <c r="N392" s="134">
        <f t="shared" si="12"/>
        <v>11</v>
      </c>
      <c r="O392" s="135">
        <v>1</v>
      </c>
      <c r="P392" s="10"/>
      <c r="Q392" s="118"/>
      <c r="R392" s="52">
        <v>101776.37741443558</v>
      </c>
      <c r="S392" s="25">
        <v>101776.37741443558</v>
      </c>
      <c r="T392" s="12">
        <v>105847.432511013</v>
      </c>
      <c r="U392" s="12">
        <v>109918.48760759043</v>
      </c>
      <c r="V392" s="125">
        <v>13481</v>
      </c>
      <c r="W392" s="13"/>
      <c r="X392" s="17">
        <v>250</v>
      </c>
      <c r="Y392" t="s">
        <v>1611</v>
      </c>
    </row>
    <row r="393" spans="1:25">
      <c r="A393" s="148" t="s">
        <v>388</v>
      </c>
      <c r="B393" s="51" t="str">
        <f>IFERROR(HYPERLINK(VLOOKUP(A393,ÜRÜNLER!A:C,3,FALSE),VLOOKUP(A393,ÜRÜNLER!A:B,2,FALSE)),"")</f>
        <v>iQ700 Sıcak Tutma Çekmecesi, 60x14cm, Siyah</v>
      </c>
      <c r="C393" s="8">
        <v>1</v>
      </c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>
        <v>1</v>
      </c>
      <c r="L393" s="192"/>
      <c r="M393" s="11"/>
      <c r="N393" s="134">
        <f t="shared" si="12"/>
        <v>5</v>
      </c>
      <c r="O393" s="135"/>
      <c r="P393" s="10"/>
      <c r="Q393" s="118"/>
      <c r="R393" s="74" t="s">
        <v>1592</v>
      </c>
      <c r="S393" s="19">
        <v>49999</v>
      </c>
      <c r="T393" s="12">
        <v>51998.96</v>
      </c>
      <c r="U393" s="12">
        <v>53998.92</v>
      </c>
      <c r="V393" s="13"/>
      <c r="W393" s="13"/>
      <c r="X393" s="17">
        <v>250</v>
      </c>
    </row>
    <row r="394" spans="1:25">
      <c r="A394" s="148" t="s">
        <v>1501</v>
      </c>
      <c r="B394" s="51" t="str">
        <f>IFERROR(HYPERLINK(VLOOKUP(A394,ÜRÜNLER!A:C,3,FALSE),VLOOKUP(A394,ÜRÜNLER!A:B,2,FALSE)),"")</f>
        <v>iQ700 Sıcak Tutma Çekmecesi, 60x14cm, Siyah</v>
      </c>
      <c r="C394" s="8"/>
      <c r="D394" s="8"/>
      <c r="E394" s="9"/>
      <c r="F394" s="9"/>
      <c r="G394" s="10"/>
      <c r="H394" s="10"/>
      <c r="I394" s="11"/>
      <c r="J394" s="11"/>
      <c r="K394" s="10"/>
      <c r="L394" s="192"/>
      <c r="M394" s="11"/>
      <c r="N394" s="134">
        <f t="shared" si="12"/>
        <v>0</v>
      </c>
      <c r="O394" s="135"/>
      <c r="P394" s="176">
        <v>1</v>
      </c>
      <c r="Q394" s="118"/>
      <c r="R394" s="52">
        <v>51351</v>
      </c>
      <c r="S394" s="25">
        <v>51351</v>
      </c>
      <c r="T394" s="12">
        <v>53405.04</v>
      </c>
      <c r="U394" s="12">
        <v>55459.08</v>
      </c>
      <c r="V394" s="13"/>
      <c r="W394" s="13"/>
      <c r="X394" s="17"/>
    </row>
    <row r="395" spans="1:25">
      <c r="A395" s="141" t="s">
        <v>389</v>
      </c>
      <c r="B395" s="51" t="str">
        <f>IFERROR(HYPERLINK(VLOOKUP(A395,ÜRÜNLER!A:C,3,FALSE),VLOOKUP(A395,ÜRÜNLER!A:B,2,FALSE)),"")</f>
        <v>iQ700 Sıcak Tutma Çekmecesi, 60x14cm, Beyaz</v>
      </c>
      <c r="C395" s="8">
        <v>1</v>
      </c>
      <c r="D395" s="8"/>
      <c r="E395" s="9"/>
      <c r="F395" s="9"/>
      <c r="G395" s="10"/>
      <c r="H395" s="10"/>
      <c r="I395" s="11"/>
      <c r="J395" s="11"/>
      <c r="K395" s="10"/>
      <c r="L395" s="192"/>
      <c r="M395" s="11"/>
      <c r="N395" s="134">
        <f t="shared" si="12"/>
        <v>1</v>
      </c>
      <c r="O395" s="135"/>
      <c r="P395" s="10"/>
      <c r="Q395" s="118"/>
      <c r="R395" s="74" t="s">
        <v>1592</v>
      </c>
      <c r="S395" s="19">
        <v>49999</v>
      </c>
      <c r="T395" s="12">
        <v>51998.96</v>
      </c>
      <c r="U395" s="12">
        <v>53998.92</v>
      </c>
      <c r="V395" s="13"/>
      <c r="W395" s="13"/>
      <c r="X395" s="17">
        <v>250</v>
      </c>
    </row>
    <row r="396" spans="1:25">
      <c r="A396" s="141" t="s">
        <v>390</v>
      </c>
      <c r="B396" s="51" t="str">
        <f>IFERROR(HYPERLINK(VLOOKUP(A396,ÜRÜNLER!A:C,3,FALSE),VLOOKUP(A396,ÜRÜNLER!A:B,2,FALSE)),"")</f>
        <v>iQ700 studioLine Sıcak Tutma Çekmecesi, 60x14cm, Siyah</v>
      </c>
      <c r="C396" s="8"/>
      <c r="D396" s="8">
        <v>1</v>
      </c>
      <c r="E396" s="9"/>
      <c r="F396" s="9"/>
      <c r="G396" s="10"/>
      <c r="H396" s="10">
        <v>1</v>
      </c>
      <c r="I396" s="11"/>
      <c r="J396" s="11"/>
      <c r="K396" s="10"/>
      <c r="L396" s="192"/>
      <c r="M396" s="11"/>
      <c r="N396" s="134">
        <f t="shared" si="12"/>
        <v>2</v>
      </c>
      <c r="O396" s="135"/>
      <c r="P396" s="10"/>
      <c r="Q396" s="118"/>
      <c r="R396" s="74" t="s">
        <v>1592</v>
      </c>
      <c r="S396" s="18">
        <v>40000</v>
      </c>
      <c r="T396" s="12">
        <v>41600</v>
      </c>
      <c r="U396" s="12">
        <v>43200</v>
      </c>
      <c r="V396" s="13"/>
      <c r="W396" s="13"/>
      <c r="X396" s="14">
        <v>500</v>
      </c>
    </row>
    <row r="397" spans="1:25" ht="21">
      <c r="A397" s="35" t="s">
        <v>393</v>
      </c>
      <c r="B397" s="51" t="str">
        <f>IFERROR(HYPERLINK(VLOOKUP(A397,ÜRÜNLER!A:C,3,FALSE),VLOOKUP(A397,ÜRÜNLER!A:B,2,FALSE)),"")</f>
        <v/>
      </c>
      <c r="C397" s="8"/>
      <c r="D397" s="8"/>
      <c r="E397" s="9"/>
      <c r="F397" s="9"/>
      <c r="G397" s="10"/>
      <c r="H397" s="10"/>
      <c r="I397" s="11"/>
      <c r="J397" s="11"/>
      <c r="K397" s="10"/>
      <c r="L397" s="192"/>
      <c r="M397" s="11"/>
      <c r="N397" s="134"/>
      <c r="O397" s="135"/>
      <c r="P397" s="10"/>
      <c r="Q397" s="118"/>
      <c r="S397" s="15"/>
      <c r="T397" s="12"/>
      <c r="U397" s="12"/>
      <c r="V397" s="174"/>
      <c r="W397" s="13"/>
      <c r="X397" s="50"/>
    </row>
    <row r="398" spans="1:25">
      <c r="A398" s="21" t="s">
        <v>394</v>
      </c>
      <c r="B398" s="51" t="str">
        <f>IFERROR(HYPERLINK(VLOOKUP(A398,ÜRÜNLER!A:C,3,FALSE),VLOOKUP(A398,ÜRÜNLER!A:B,2,FALSE)),"")</f>
        <v>iQ500 Dik Şarjlı Elektrik Süpürgesi</v>
      </c>
      <c r="C398" s="8">
        <v>90</v>
      </c>
      <c r="D398" s="8"/>
      <c r="E398" s="9"/>
      <c r="F398" s="9">
        <v>1</v>
      </c>
      <c r="G398" s="10"/>
      <c r="H398" s="10"/>
      <c r="I398" s="11">
        <v>2</v>
      </c>
      <c r="J398" s="11">
        <v>7</v>
      </c>
      <c r="K398" s="10">
        <v>1</v>
      </c>
      <c r="L398" s="192"/>
      <c r="M398" s="11">
        <v>4</v>
      </c>
      <c r="N398" s="134">
        <f t="shared" ref="N398:N414" si="13">M398+L398+K398+J398+I398+H398+G398+F398+E398+D398+C398</f>
        <v>105</v>
      </c>
      <c r="O398" s="135">
        <v>100</v>
      </c>
      <c r="P398" s="10"/>
      <c r="Q398" s="118"/>
      <c r="R398" s="52">
        <v>15127.921517402399</v>
      </c>
      <c r="S398" s="25">
        <v>15127.921517402399</v>
      </c>
      <c r="T398" s="12">
        <v>15733.038378098496</v>
      </c>
      <c r="U398" s="12">
        <v>16338.155238794592</v>
      </c>
      <c r="V398" s="76">
        <v>2853</v>
      </c>
      <c r="W398" s="13"/>
      <c r="X398" s="14">
        <v>250</v>
      </c>
      <c r="Y398" t="s">
        <v>1612</v>
      </c>
    </row>
    <row r="399" spans="1:25">
      <c r="A399" s="21" t="s">
        <v>395</v>
      </c>
      <c r="B399" s="51" t="str">
        <f>IFERROR(HYPERLINK(VLOOKUP(A399,ÜRÜNLER!A:C,3,FALSE),VLOOKUP(A399,ÜRÜNLER!A:B,2,FALSE)),"")</f>
        <v>iQ500 Dik Şarjlı Elektrik Süpürgesi, Çift Bataryalı</v>
      </c>
      <c r="C399" s="8">
        <v>51</v>
      </c>
      <c r="D399" s="8"/>
      <c r="E399" s="9"/>
      <c r="F399" s="9"/>
      <c r="G399" s="10"/>
      <c r="H399" s="10"/>
      <c r="I399" s="11">
        <v>2</v>
      </c>
      <c r="J399" s="11">
        <v>6</v>
      </c>
      <c r="K399" s="10">
        <v>2</v>
      </c>
      <c r="L399" s="192"/>
      <c r="M399" s="11">
        <v>2</v>
      </c>
      <c r="N399" s="134">
        <f t="shared" si="13"/>
        <v>63</v>
      </c>
      <c r="O399" s="135">
        <v>40</v>
      </c>
      <c r="P399" s="10"/>
      <c r="Q399" s="118"/>
      <c r="R399" s="52">
        <v>20676.612007837331</v>
      </c>
      <c r="S399" s="25">
        <v>20676.612007837331</v>
      </c>
      <c r="T399" s="12">
        <v>21503.676488150824</v>
      </c>
      <c r="U399" s="12">
        <v>22330.740968464317</v>
      </c>
      <c r="V399" s="76">
        <v>2853</v>
      </c>
      <c r="W399" s="13"/>
      <c r="X399" s="14">
        <v>250</v>
      </c>
      <c r="Y399" t="s">
        <v>1612</v>
      </c>
    </row>
    <row r="400" spans="1:25">
      <c r="A400" s="21" t="s">
        <v>396</v>
      </c>
      <c r="B400" s="51" t="str">
        <f>IFERROR(HYPERLINK(VLOOKUP(A400,ÜRÜNLER!A:C,3,FALSE),VLOOKUP(A400,ÜRÜNLER!A:B,2,FALSE)),"")</f>
        <v>iQ500 Dik Şarjlı 2'li Süpürme&amp;Silme Elektrik Süpürgesi</v>
      </c>
      <c r="C400" s="8">
        <v>73</v>
      </c>
      <c r="D400" s="8"/>
      <c r="E400" s="9"/>
      <c r="F400" s="9"/>
      <c r="G400" s="10"/>
      <c r="H400" s="10"/>
      <c r="I400" s="11">
        <v>9</v>
      </c>
      <c r="J400" s="11">
        <v>5</v>
      </c>
      <c r="K400" s="10">
        <v>2</v>
      </c>
      <c r="L400" s="192"/>
      <c r="M400" s="11">
        <v>2</v>
      </c>
      <c r="N400" s="134">
        <f t="shared" si="13"/>
        <v>91</v>
      </c>
      <c r="O400" s="135">
        <v>60</v>
      </c>
      <c r="P400" s="10"/>
      <c r="Q400" s="118"/>
      <c r="R400" s="52">
        <v>21392.065710530664</v>
      </c>
      <c r="S400" s="25">
        <v>21392.065710530664</v>
      </c>
      <c r="T400" s="12">
        <v>22247.748338951889</v>
      </c>
      <c r="U400" s="12">
        <v>23103.430967373119</v>
      </c>
      <c r="V400" s="76">
        <v>4035</v>
      </c>
      <c r="W400" s="13"/>
      <c r="X400" s="14">
        <v>250</v>
      </c>
      <c r="Y400" t="s">
        <v>1612</v>
      </c>
    </row>
    <row r="401" spans="1:26">
      <c r="A401" s="21" t="s">
        <v>397</v>
      </c>
      <c r="B401" s="51" t="str">
        <f>IFERROR(HYPERLINK(VLOOKUP(A401,ÜRÜNLER!A:C,3,FALSE),VLOOKUP(A401,ÜRÜNLER!A:B,2,FALSE)),"")</f>
        <v>Toz torbalı Süpürge synchropower, 600w, Mavi</v>
      </c>
      <c r="C401" s="8"/>
      <c r="D401" s="8"/>
      <c r="E401" s="9"/>
      <c r="F401" s="9">
        <v>1</v>
      </c>
      <c r="G401" s="10"/>
      <c r="H401" s="10"/>
      <c r="I401" s="11">
        <v>1</v>
      </c>
      <c r="J401" s="11"/>
      <c r="K401" s="10">
        <v>1</v>
      </c>
      <c r="L401" s="192"/>
      <c r="M401" s="11"/>
      <c r="N401" s="134">
        <f t="shared" si="13"/>
        <v>3</v>
      </c>
      <c r="O401" s="135"/>
      <c r="P401" s="10"/>
      <c r="Q401" s="118"/>
      <c r="R401" s="52">
        <v>6792.3783293638653</v>
      </c>
      <c r="S401" s="25">
        <v>6792.3783293638653</v>
      </c>
      <c r="T401" s="12">
        <v>7064.0734625384202</v>
      </c>
      <c r="U401" s="12">
        <v>7335.7685957129743</v>
      </c>
      <c r="V401" s="13"/>
      <c r="W401" s="13"/>
      <c r="X401" s="14">
        <v>250</v>
      </c>
    </row>
    <row r="402" spans="1:26">
      <c r="A402" s="21" t="s">
        <v>398</v>
      </c>
      <c r="B402" s="51" t="str">
        <f>IFERROR(HYPERLINK(VLOOKUP(A402,ÜRÜNLER!A:C,3,FALSE),VLOOKUP(A402,ÜRÜNLER!A:B,2,FALSE)),"")</f>
        <v>iQ300 Toz Torbalı Süpürge, 600w, Kırmızı</v>
      </c>
      <c r="C402" s="8"/>
      <c r="D402" s="8"/>
      <c r="E402" s="9"/>
      <c r="F402" s="9">
        <v>3</v>
      </c>
      <c r="G402" s="10"/>
      <c r="H402" s="10"/>
      <c r="I402" s="11">
        <v>1</v>
      </c>
      <c r="J402" s="11"/>
      <c r="K402" s="10"/>
      <c r="L402" s="192"/>
      <c r="M402" s="11"/>
      <c r="N402" s="134">
        <f t="shared" si="13"/>
        <v>4</v>
      </c>
      <c r="O402" s="135"/>
      <c r="P402" s="10"/>
      <c r="Q402" s="118"/>
      <c r="R402" s="52">
        <v>7443.4323494792798</v>
      </c>
      <c r="S402" s="25">
        <v>7443.4323494792798</v>
      </c>
      <c r="T402" s="12">
        <v>7741.169643458451</v>
      </c>
      <c r="U402" s="12">
        <v>8038.9069374376222</v>
      </c>
      <c r="V402" s="13"/>
      <c r="W402" s="13"/>
      <c r="X402" s="14">
        <v>250</v>
      </c>
    </row>
    <row r="403" spans="1:26">
      <c r="A403" s="154" t="s">
        <v>399</v>
      </c>
      <c r="B403" s="51" t="str">
        <f>IFERROR(HYPERLINK(VLOOKUP(A403,ÜRÜNLER!A:C,3,FALSE),VLOOKUP(A403,ÜRÜNLER!A:B,2,FALSE)),"")</f>
        <v>iQ300 Toz Torbalı Süpürge, 600w, Mavi</v>
      </c>
      <c r="C403" s="8"/>
      <c r="D403" s="8"/>
      <c r="E403" s="9"/>
      <c r="F403" s="9"/>
      <c r="G403" s="10"/>
      <c r="H403" s="10"/>
      <c r="I403" s="11">
        <v>1</v>
      </c>
      <c r="J403" s="11">
        <v>1</v>
      </c>
      <c r="K403" s="10">
        <v>2</v>
      </c>
      <c r="L403" s="192"/>
      <c r="M403" s="11">
        <v>1</v>
      </c>
      <c r="N403" s="134">
        <f t="shared" si="13"/>
        <v>5</v>
      </c>
      <c r="O403" s="135"/>
      <c r="P403" s="10"/>
      <c r="Q403" s="118"/>
      <c r="R403" s="74" t="s">
        <v>1592</v>
      </c>
      <c r="S403" s="15">
        <v>6599</v>
      </c>
      <c r="T403" s="12">
        <v>6862.96</v>
      </c>
      <c r="U403" s="12">
        <v>7126.92</v>
      </c>
      <c r="V403" s="13"/>
      <c r="W403" s="13"/>
      <c r="X403" s="14">
        <v>250</v>
      </c>
    </row>
    <row r="404" spans="1:26">
      <c r="A404" s="154" t="s">
        <v>400</v>
      </c>
      <c r="B404" s="51" t="str">
        <f>IFERROR(HYPERLINK(VLOOKUP(A404,ÜRÜNLER!A:C,3,FALSE),VLOOKUP(A404,ÜRÜNLER!A:B,2,FALSE)),"")</f>
        <v>iQ300 Toz Torbalı Süpürge, 600w, Açık Mavi</v>
      </c>
      <c r="C404" s="8"/>
      <c r="D404" s="8"/>
      <c r="E404" s="9"/>
      <c r="F404" s="9"/>
      <c r="G404" s="10"/>
      <c r="H404" s="10"/>
      <c r="I404" s="11"/>
      <c r="J404" s="11"/>
      <c r="K404" s="10"/>
      <c r="L404" s="192"/>
      <c r="M404" s="11">
        <v>1</v>
      </c>
      <c r="N404" s="134">
        <f t="shared" si="13"/>
        <v>1</v>
      </c>
      <c r="O404" s="135"/>
      <c r="P404" s="10"/>
      <c r="Q404" s="118"/>
      <c r="R404" s="74" t="s">
        <v>1592</v>
      </c>
      <c r="S404" s="19">
        <v>5999</v>
      </c>
      <c r="T404" s="12">
        <v>6238.96</v>
      </c>
      <c r="U404" s="12">
        <v>6478.92</v>
      </c>
      <c r="V404" s="13"/>
      <c r="W404" s="13"/>
      <c r="X404" s="14">
        <v>250</v>
      </c>
    </row>
    <row r="405" spans="1:26">
      <c r="A405" s="21" t="s">
        <v>401</v>
      </c>
      <c r="B405" s="51" t="str">
        <f>IFERROR(HYPERLINK(VLOOKUP(A405,ÜRÜNLER!A:C,3,FALSE),VLOOKUP(A405,ÜRÜNLER!A:B,2,FALSE)),"")</f>
        <v>iQ700 Toz Torbalı Süpürge, 650w, Beyaz</v>
      </c>
      <c r="C405" s="8"/>
      <c r="D405" s="8"/>
      <c r="E405" s="9"/>
      <c r="F405" s="9">
        <v>12</v>
      </c>
      <c r="G405" s="10"/>
      <c r="H405" s="10"/>
      <c r="I405" s="11">
        <v>5</v>
      </c>
      <c r="J405" s="11">
        <v>1</v>
      </c>
      <c r="K405" s="10">
        <v>2</v>
      </c>
      <c r="L405" s="192"/>
      <c r="M405" s="11">
        <v>3</v>
      </c>
      <c r="N405" s="134">
        <f t="shared" si="13"/>
        <v>23</v>
      </c>
      <c r="O405" s="135">
        <v>2</v>
      </c>
      <c r="P405" s="10"/>
      <c r="Q405" s="118"/>
      <c r="R405" s="52">
        <v>17385.606197683526</v>
      </c>
      <c r="S405" s="25">
        <v>17385.606197683526</v>
      </c>
      <c r="T405" s="12">
        <v>18081.030445590866</v>
      </c>
      <c r="U405" s="12">
        <v>18776.45469349821</v>
      </c>
      <c r="V405" s="13"/>
      <c r="W405" s="13"/>
      <c r="X405" s="14">
        <v>250</v>
      </c>
    </row>
    <row r="406" spans="1:26">
      <c r="A406" s="21" t="s">
        <v>402</v>
      </c>
      <c r="B406" s="51" t="str">
        <f>IFERROR(HYPERLINK(VLOOKUP(A406,ÜRÜNLER!A:C,3,FALSE),VLOOKUP(A406,ÜRÜNLER!A:B,2,FALSE)),"")</f>
        <v>iQ700 Toz Torbalı Süpürge, 650w, Kırmızı</v>
      </c>
      <c r="C406" s="8"/>
      <c r="D406" s="8"/>
      <c r="E406" s="9"/>
      <c r="F406" s="9"/>
      <c r="G406" s="10"/>
      <c r="H406" s="10"/>
      <c r="I406" s="11">
        <v>1</v>
      </c>
      <c r="J406" s="11"/>
      <c r="K406" s="10"/>
      <c r="L406" s="192"/>
      <c r="M406" s="11">
        <v>1</v>
      </c>
      <c r="N406" s="134">
        <f t="shared" si="13"/>
        <v>2</v>
      </c>
      <c r="O406" s="135"/>
      <c r="P406" s="10"/>
      <c r="Q406" s="118"/>
      <c r="R406" s="74" t="s">
        <v>1592</v>
      </c>
      <c r="S406" s="19">
        <v>10999</v>
      </c>
      <c r="T406" s="12">
        <v>11438.96</v>
      </c>
      <c r="U406" s="12">
        <v>11878.92</v>
      </c>
      <c r="V406" s="13"/>
      <c r="W406" s="13"/>
      <c r="X406" s="14">
        <v>250</v>
      </c>
    </row>
    <row r="407" spans="1:26">
      <c r="A407" s="21" t="s">
        <v>403</v>
      </c>
      <c r="B407" s="51" t="str">
        <f>IFERROR(HYPERLINK(VLOOKUP(A407,ÜRÜNLER!A:C,3,FALSE),VLOOKUP(A407,ÜRÜNLER!A:B,2,FALSE)),"")</f>
        <v>iQ300 Plus Limited Edition Toz Torbalı Elektrik Süpürgesi, 750w, Kırmızı</v>
      </c>
      <c r="C407" s="8">
        <v>4</v>
      </c>
      <c r="D407" s="8"/>
      <c r="E407" s="9"/>
      <c r="F407" s="9"/>
      <c r="G407" s="10"/>
      <c r="H407" s="10"/>
      <c r="I407" s="11">
        <v>2</v>
      </c>
      <c r="J407" s="11">
        <v>5</v>
      </c>
      <c r="K407" s="10"/>
      <c r="L407" s="192"/>
      <c r="M407" s="11">
        <v>4</v>
      </c>
      <c r="N407" s="134">
        <f t="shared" si="13"/>
        <v>15</v>
      </c>
      <c r="O407" s="135"/>
      <c r="P407" s="10"/>
      <c r="Q407" s="118"/>
      <c r="R407" s="52">
        <v>11767.523492193133</v>
      </c>
      <c r="S407" s="25">
        <v>11767.523492193133</v>
      </c>
      <c r="T407" s="12">
        <v>12238.224431880859</v>
      </c>
      <c r="U407" s="12">
        <v>12708.925371568585</v>
      </c>
      <c r="V407" s="13"/>
      <c r="W407" s="13"/>
      <c r="X407" s="14">
        <v>250</v>
      </c>
    </row>
    <row r="408" spans="1:26">
      <c r="A408" s="142" t="s">
        <v>404</v>
      </c>
      <c r="B408" s="51" t="str">
        <f>IFERROR(HYPERLINK(VLOOKUP(A408,ÜRÜNLER!A:C,3,FALSE),VLOOKUP(A408,ÜRÜNLER!A:B,2,FALSE)),"")</f>
        <v>iQ300 Toz Torbasız Süpürge, 550w, Kırmızı</v>
      </c>
      <c r="C408" s="8">
        <v>1</v>
      </c>
      <c r="D408" s="8"/>
      <c r="E408" s="9"/>
      <c r="F408" s="9">
        <v>13</v>
      </c>
      <c r="G408" s="10"/>
      <c r="H408" s="10"/>
      <c r="I408" s="11">
        <v>6</v>
      </c>
      <c r="J408" s="11">
        <v>1</v>
      </c>
      <c r="K408" s="10">
        <v>24</v>
      </c>
      <c r="L408" s="192"/>
      <c r="M408" s="11">
        <v>2</v>
      </c>
      <c r="N408" s="134">
        <f t="shared" si="13"/>
        <v>47</v>
      </c>
      <c r="O408" s="135"/>
      <c r="P408" s="10"/>
      <c r="Q408" s="118"/>
      <c r="R408" s="52">
        <v>8503.8640100416742</v>
      </c>
      <c r="S408" s="25">
        <v>8503.8640100416742</v>
      </c>
      <c r="T408" s="12">
        <v>8844.0185704433406</v>
      </c>
      <c r="U408" s="12">
        <v>9184.1731308450089</v>
      </c>
      <c r="V408" s="76">
        <v>1534</v>
      </c>
      <c r="W408" s="13"/>
      <c r="X408" s="14">
        <v>250</v>
      </c>
      <c r="Y408" t="s">
        <v>1612</v>
      </c>
    </row>
    <row r="409" spans="1:26">
      <c r="A409" s="142" t="s">
        <v>405</v>
      </c>
      <c r="B409" s="51" t="str">
        <f>IFERROR(HYPERLINK(VLOOKUP(A409,ÜRÜNLER!A:C,3,FALSE),VLOOKUP(A409,ÜRÜNLER!A:B,2,FALSE)),"")</f>
        <v>iQ300 Toz Torbasız Süpürge, 750w, Mavi</v>
      </c>
      <c r="C409" s="8">
        <v>9</v>
      </c>
      <c r="D409" s="8"/>
      <c r="E409" s="9"/>
      <c r="F409" s="9">
        <v>5</v>
      </c>
      <c r="G409" s="10"/>
      <c r="H409" s="10"/>
      <c r="I409" s="11">
        <v>1</v>
      </c>
      <c r="J409" s="11">
        <v>4</v>
      </c>
      <c r="K409" s="10">
        <v>4</v>
      </c>
      <c r="L409" s="192"/>
      <c r="M409" s="11">
        <v>1</v>
      </c>
      <c r="N409" s="134">
        <f t="shared" si="13"/>
        <v>24</v>
      </c>
      <c r="O409" s="135"/>
      <c r="P409" s="10"/>
      <c r="Q409" s="118"/>
      <c r="R409" s="52">
        <v>10698.894345902496</v>
      </c>
      <c r="S409" s="25">
        <v>10698.894345902496</v>
      </c>
      <c r="T409" s="12">
        <v>11126.850119738596</v>
      </c>
      <c r="U409" s="12">
        <v>11554.805893574696</v>
      </c>
      <c r="V409" s="76">
        <v>1860</v>
      </c>
      <c r="W409" s="13"/>
      <c r="X409" s="14">
        <v>250</v>
      </c>
      <c r="Y409" t="s">
        <v>1612</v>
      </c>
    </row>
    <row r="410" spans="1:26">
      <c r="A410" s="142" t="s">
        <v>406</v>
      </c>
      <c r="B410" s="51" t="str">
        <f>IFERROR(HYPERLINK(VLOOKUP(A410,ÜRÜNLER!A:C,3,FALSE),VLOOKUP(A410,ÜRÜNLER!A:B,2,FALSE)),"")</f>
        <v>iQ500 Toz Torbasız Süpürge, 550w, Kırmızı</v>
      </c>
      <c r="C410" s="8">
        <v>36</v>
      </c>
      <c r="D410" s="8"/>
      <c r="E410" s="9"/>
      <c r="F410" s="9">
        <v>3</v>
      </c>
      <c r="G410" s="10"/>
      <c r="H410" s="10"/>
      <c r="I410" s="11">
        <v>1</v>
      </c>
      <c r="J410" s="11">
        <v>1</v>
      </c>
      <c r="K410" s="10">
        <v>4</v>
      </c>
      <c r="L410" s="192"/>
      <c r="M410" s="11">
        <v>3</v>
      </c>
      <c r="N410" s="134">
        <f t="shared" si="13"/>
        <v>48</v>
      </c>
      <c r="O410" s="135"/>
      <c r="P410" s="10"/>
      <c r="Q410" s="118"/>
      <c r="R410" s="52">
        <v>8997.8845468867039</v>
      </c>
      <c r="S410" s="25">
        <v>8997.8845468867039</v>
      </c>
      <c r="T410" s="12">
        <v>9357.7999287621715</v>
      </c>
      <c r="U410" s="12">
        <v>9717.7153106376409</v>
      </c>
      <c r="V410" s="13"/>
      <c r="W410" s="13"/>
      <c r="X410" s="14">
        <v>250</v>
      </c>
    </row>
    <row r="411" spans="1:26">
      <c r="A411" s="142" t="s">
        <v>407</v>
      </c>
      <c r="B411" s="51" t="str">
        <f>IFERROR(HYPERLINK(VLOOKUP(A411,ÜRÜNLER!A:C,3,FALSE),VLOOKUP(A411,ÜRÜNLER!A:B,2,FALSE)),"")</f>
        <v>iQ500 Toz Torbasız Süpürge, 550w, Mavi</v>
      </c>
      <c r="C411" s="8"/>
      <c r="D411" s="8"/>
      <c r="E411" s="9"/>
      <c r="F411" s="9">
        <v>1</v>
      </c>
      <c r="G411" s="10"/>
      <c r="H411" s="10"/>
      <c r="I411" s="11">
        <v>1</v>
      </c>
      <c r="J411" s="11"/>
      <c r="K411" s="10">
        <v>2</v>
      </c>
      <c r="L411" s="192"/>
      <c r="M411" s="11">
        <v>1</v>
      </c>
      <c r="N411" s="134">
        <f t="shared" si="13"/>
        <v>5</v>
      </c>
      <c r="O411" s="135"/>
      <c r="P411" s="10"/>
      <c r="Q411" s="118"/>
      <c r="R411" s="74" t="s">
        <v>1592</v>
      </c>
      <c r="S411" s="15">
        <v>6548.6702364651073</v>
      </c>
      <c r="T411" s="12">
        <v>6810.6170459237119</v>
      </c>
      <c r="U411" s="12">
        <v>7072.5638553823155</v>
      </c>
      <c r="V411" s="13"/>
      <c r="W411" s="13"/>
      <c r="X411" s="14">
        <v>250</v>
      </c>
    </row>
    <row r="412" spans="1:26">
      <c r="A412" s="142" t="s">
        <v>408</v>
      </c>
      <c r="B412" s="51" t="str">
        <f>IFERROR(HYPERLINK(VLOOKUP(A412,ÜRÜNLER!A:C,3,FALSE),VLOOKUP(A412,ÜRÜNLER!A:B,2,FALSE)),"")</f>
        <v>iQ500 Toz Torbasız Elektrik Süpürgesi, 750w, Siyah</v>
      </c>
      <c r="C412" s="8">
        <v>5</v>
      </c>
      <c r="D412" s="8"/>
      <c r="E412" s="9"/>
      <c r="F412" s="9">
        <v>1</v>
      </c>
      <c r="G412" s="10"/>
      <c r="H412" s="10"/>
      <c r="I412" s="11">
        <v>14</v>
      </c>
      <c r="J412" s="11">
        <v>6</v>
      </c>
      <c r="K412" s="10">
        <v>4</v>
      </c>
      <c r="L412" s="192"/>
      <c r="M412" s="11">
        <v>3</v>
      </c>
      <c r="N412" s="134">
        <f t="shared" si="13"/>
        <v>33</v>
      </c>
      <c r="O412" s="135"/>
      <c r="P412" s="10"/>
      <c r="Q412" s="118"/>
      <c r="R412" s="52">
        <v>11695.536950353717</v>
      </c>
      <c r="S412" s="19">
        <v>11695.536950353717</v>
      </c>
      <c r="T412" s="12">
        <v>12163.358428367865</v>
      </c>
      <c r="U412" s="12">
        <v>12631.179906382014</v>
      </c>
      <c r="V412" s="76">
        <v>1861</v>
      </c>
      <c r="W412" s="13"/>
      <c r="X412" s="14">
        <v>250</v>
      </c>
      <c r="Y412" t="s">
        <v>1612</v>
      </c>
    </row>
    <row r="413" spans="1:26">
      <c r="A413" s="142" t="s">
        <v>409</v>
      </c>
      <c r="B413" s="51" t="str">
        <f>IFERROR(HYPERLINK(VLOOKUP(A413,ÜRÜNLER!A:C,3,FALSE),VLOOKUP(A413,ÜRÜNLER!A:B,2,FALSE)),"")</f>
        <v>Siemens Toz Torbasız Süpürge, 600w, Kırmızı</v>
      </c>
      <c r="C413" s="8"/>
      <c r="D413" s="8"/>
      <c r="E413" s="9"/>
      <c r="F413" s="9"/>
      <c r="G413" s="10"/>
      <c r="H413" s="10"/>
      <c r="I413" s="11">
        <v>1</v>
      </c>
      <c r="J413" s="11"/>
      <c r="K413" s="10"/>
      <c r="L413" s="192"/>
      <c r="M413" s="11"/>
      <c r="N413" s="134">
        <f t="shared" si="13"/>
        <v>1</v>
      </c>
      <c r="O413" s="135"/>
      <c r="P413" s="10"/>
      <c r="Q413" s="118"/>
      <c r="R413" s="74" t="s">
        <v>1592</v>
      </c>
      <c r="S413" s="19">
        <v>4999</v>
      </c>
      <c r="T413" s="12">
        <v>5198.96</v>
      </c>
      <c r="U413" s="12">
        <v>5398.92</v>
      </c>
      <c r="V413" s="13"/>
      <c r="W413" s="13"/>
      <c r="X413" s="14">
        <v>250</v>
      </c>
    </row>
    <row r="414" spans="1:26">
      <c r="A414" s="142" t="s">
        <v>410</v>
      </c>
      <c r="B414" s="51" t="str">
        <f>IFERROR(HYPERLINK(VLOOKUP(A414,ÜRÜNLER!A:C,3,FALSE),VLOOKUP(A414,ÜRÜNLER!A:B,2,FALSE)),"")</f>
        <v>iQ700 Toz Torbasız Elektrik Süpürgesi, 850w, Siyah</v>
      </c>
      <c r="C414" s="8"/>
      <c r="D414" s="8"/>
      <c r="E414" s="9"/>
      <c r="F414" s="9">
        <v>32</v>
      </c>
      <c r="G414" s="10"/>
      <c r="H414" s="10"/>
      <c r="I414" s="11">
        <v>10</v>
      </c>
      <c r="J414" s="11">
        <v>12</v>
      </c>
      <c r="K414" s="10">
        <v>8</v>
      </c>
      <c r="L414" s="192"/>
      <c r="M414" s="11">
        <v>5</v>
      </c>
      <c r="N414" s="134">
        <f t="shared" si="13"/>
        <v>67</v>
      </c>
      <c r="O414" s="135"/>
      <c r="P414" s="10"/>
      <c r="Q414" s="118"/>
      <c r="R414" s="52">
        <v>20504.68551240184</v>
      </c>
      <c r="S414" s="25">
        <v>20504.68551240184</v>
      </c>
      <c r="T414" s="12">
        <v>21324.872932897913</v>
      </c>
      <c r="U414" s="12">
        <v>22145.060353393987</v>
      </c>
      <c r="V414" s="76">
        <v>3260</v>
      </c>
      <c r="W414" s="13"/>
      <c r="X414" s="14">
        <v>250</v>
      </c>
      <c r="Y414" t="s">
        <v>1612</v>
      </c>
    </row>
    <row r="415" spans="1:26" ht="34.5" customHeight="1">
      <c r="A415" s="177" t="s">
        <v>413</v>
      </c>
      <c r="B415" s="51" t="str">
        <f>IFERROR(HYPERLINK(VLOOKUP(A415,ÜRÜNLER!A:C,3,FALSE),VLOOKUP(A415,ÜRÜNLER!A:B,2,FALSE)),"")</f>
        <v/>
      </c>
      <c r="C415" s="8"/>
      <c r="D415" s="8"/>
      <c r="E415" s="9"/>
      <c r="F415" s="9"/>
      <c r="G415" s="10"/>
      <c r="H415" s="10"/>
      <c r="I415" s="11"/>
      <c r="J415" s="11"/>
      <c r="K415" s="10"/>
      <c r="L415" s="192"/>
      <c r="M415" s="11"/>
      <c r="N415" s="134"/>
      <c r="O415" s="135"/>
      <c r="P415" s="10"/>
      <c r="Q415" s="9"/>
      <c r="S415" s="19"/>
      <c r="T415" s="12"/>
      <c r="U415" s="12"/>
      <c r="V415" s="13"/>
      <c r="W415" s="13"/>
      <c r="X415" s="17"/>
    </row>
    <row r="416" spans="1:26">
      <c r="A416" s="21" t="s">
        <v>416</v>
      </c>
      <c r="B416" s="51" t="str">
        <f>IFERROR(HYPERLINK(VLOOKUP(A416,ÜRÜNLER!A:C,3,FALSE),VLOOKUP(A416,ÜRÜNLER!A:B,2,FALSE)),"")</f>
        <v>Soğuk Su Sebili, Gri</v>
      </c>
      <c r="C416" s="8">
        <v>457</v>
      </c>
      <c r="D416" s="8"/>
      <c r="E416" s="9"/>
      <c r="F416" s="9">
        <v>3</v>
      </c>
      <c r="G416" s="10"/>
      <c r="H416" s="10"/>
      <c r="I416" s="11">
        <v>2</v>
      </c>
      <c r="J416" s="11">
        <v>1</v>
      </c>
      <c r="K416" s="10">
        <v>3</v>
      </c>
      <c r="L416" s="192"/>
      <c r="M416" s="11">
        <v>1</v>
      </c>
      <c r="N416" s="134">
        <f t="shared" ref="N416:N448" si="14">M416+L416+K416+J416+I416+H416+G416+F416+E416+D416+C416</f>
        <v>467</v>
      </c>
      <c r="O416" s="135">
        <v>101</v>
      </c>
      <c r="P416" s="10"/>
      <c r="Q416" s="118"/>
      <c r="R416" s="52">
        <v>10412.280518405883</v>
      </c>
      <c r="S416" s="47">
        <v>11974.122596166766</v>
      </c>
      <c r="T416" s="12">
        <v>12453.087500013437</v>
      </c>
      <c r="U416" s="12">
        <v>12932.052403860107</v>
      </c>
      <c r="V416" s="105"/>
      <c r="W416" s="13"/>
      <c r="Z416" s="27" t="s">
        <v>1593</v>
      </c>
    </row>
    <row r="417" spans="1:26">
      <c r="A417" s="21" t="s">
        <v>417</v>
      </c>
      <c r="B417" s="51" t="str">
        <f>IFERROR(HYPERLINK(VLOOKUP(A417,ÜRÜNLER!A:C,3,FALSE),VLOOKUP(A417,ÜRÜNLER!A:B,2,FALSE)),"")</f>
        <v>Soğuk Su Sebili, Siyah/Gri, Dokunmatik</v>
      </c>
      <c r="C417" s="8">
        <v>41</v>
      </c>
      <c r="D417" s="8"/>
      <c r="E417" s="9"/>
      <c r="F417" s="9">
        <v>9</v>
      </c>
      <c r="G417" s="10"/>
      <c r="H417" s="10"/>
      <c r="I417" s="11"/>
      <c r="J417" s="11">
        <v>2</v>
      </c>
      <c r="K417" s="10">
        <v>1</v>
      </c>
      <c r="L417" s="192"/>
      <c r="M417" s="11">
        <v>1</v>
      </c>
      <c r="N417" s="134">
        <f t="shared" si="14"/>
        <v>54</v>
      </c>
      <c r="O417" s="135">
        <v>30</v>
      </c>
      <c r="P417" s="10"/>
      <c r="Q417" s="118"/>
      <c r="R417" s="52">
        <v>15159.194999120318</v>
      </c>
      <c r="S417" s="47">
        <v>17433.074248988367</v>
      </c>
      <c r="T417" s="12">
        <v>18130.397218947903</v>
      </c>
      <c r="U417" s="12">
        <v>18827.720188907435</v>
      </c>
      <c r="V417" s="105"/>
      <c r="W417" s="13"/>
      <c r="Z417" s="27" t="s">
        <v>1593</v>
      </c>
    </row>
    <row r="418" spans="1:26">
      <c r="A418" s="21" t="s">
        <v>418</v>
      </c>
      <c r="B418" s="51" t="str">
        <f>IFERROR(HYPERLINK(VLOOKUP(A418,ÜRÜNLER!A:C,3,FALSE),VLOOKUP(A418,ÜRÜNLER!A:B,2,FALSE)),"")</f>
        <v>Soğuk Su Sebili, Siyah/Gri</v>
      </c>
      <c r="C418" s="8">
        <v>48</v>
      </c>
      <c r="D418" s="8"/>
      <c r="E418" s="9"/>
      <c r="F418" s="9">
        <v>3</v>
      </c>
      <c r="G418" s="10"/>
      <c r="H418" s="10"/>
      <c r="I418" s="11">
        <v>1</v>
      </c>
      <c r="J418" s="11"/>
      <c r="K418" s="10">
        <v>1</v>
      </c>
      <c r="L418" s="192"/>
      <c r="M418" s="11"/>
      <c r="N418" s="134">
        <f t="shared" si="14"/>
        <v>53</v>
      </c>
      <c r="O418" s="135">
        <v>301</v>
      </c>
      <c r="P418" s="10"/>
      <c r="Q418" s="118"/>
      <c r="R418" s="52">
        <v>14978.950144916385</v>
      </c>
      <c r="S418" s="47">
        <v>17225.792666653844</v>
      </c>
      <c r="T418" s="12">
        <v>17914.82437332</v>
      </c>
      <c r="U418" s="12">
        <v>18603.856079986152</v>
      </c>
      <c r="V418" s="13"/>
      <c r="W418" s="13"/>
      <c r="X418" s="17">
        <v>50</v>
      </c>
    </row>
    <row r="419" spans="1:26">
      <c r="A419" s="21" t="s">
        <v>419</v>
      </c>
      <c r="B419" s="51" t="str">
        <f>IFERROR(HYPERLINK(VLOOKUP(A419,ÜRÜNLER!A:C,3,FALSE),VLOOKUP(A419,ÜRÜNLER!A:B,2,FALSE)),"")</f>
        <v>Sıcak/Soğuk Su Sebili, Beyaz</v>
      </c>
      <c r="C419" s="8">
        <v>99</v>
      </c>
      <c r="D419" s="8"/>
      <c r="E419" s="9"/>
      <c r="F419" s="9">
        <v>5</v>
      </c>
      <c r="G419" s="10"/>
      <c r="H419" s="10"/>
      <c r="I419" s="11">
        <v>2</v>
      </c>
      <c r="J419" s="11">
        <v>3</v>
      </c>
      <c r="K419" s="10"/>
      <c r="L419" s="192"/>
      <c r="M419" s="11">
        <v>1</v>
      </c>
      <c r="N419" s="134">
        <f t="shared" si="14"/>
        <v>110</v>
      </c>
      <c r="O419" s="135">
        <v>56</v>
      </c>
      <c r="P419" s="10"/>
      <c r="Q419" s="118"/>
      <c r="R419" s="52">
        <v>13867.0707767613</v>
      </c>
      <c r="S419" s="47">
        <v>15947.131393275495</v>
      </c>
      <c r="T419" s="12">
        <v>16585.016649006513</v>
      </c>
      <c r="U419" s="12">
        <v>17222.901904737533</v>
      </c>
      <c r="V419" s="105"/>
      <c r="W419" s="13"/>
      <c r="X419" s="17">
        <v>50</v>
      </c>
    </row>
    <row r="420" spans="1:26">
      <c r="A420" s="21" t="s">
        <v>420</v>
      </c>
      <c r="B420" s="51" t="str">
        <f>IFERROR(HYPERLINK(VLOOKUP(A420,ÜRÜNLER!A:C,3,FALSE),VLOOKUP(A420,ÜRÜNLER!A:B,2,FALSE)),"")</f>
        <v>Soğuk Su Sebili, Siyah/Gri, Sensörlü</v>
      </c>
      <c r="C420" s="8"/>
      <c r="D420" s="8"/>
      <c r="E420" s="9"/>
      <c r="F420" s="9">
        <v>2</v>
      </c>
      <c r="G420" s="10"/>
      <c r="H420" s="10"/>
      <c r="I420" s="11"/>
      <c r="J420" s="11"/>
      <c r="K420" s="10"/>
      <c r="L420" s="192"/>
      <c r="M420" s="11"/>
      <c r="N420" s="134">
        <f t="shared" si="14"/>
        <v>2</v>
      </c>
      <c r="O420" s="135">
        <v>235</v>
      </c>
      <c r="P420" s="10"/>
      <c r="Q420" s="118"/>
      <c r="R420" s="52">
        <v>15878.152251444433</v>
      </c>
      <c r="S420" s="47">
        <v>18259.875089161098</v>
      </c>
      <c r="T420" s="12">
        <v>18990.270092727544</v>
      </c>
      <c r="U420" s="12">
        <v>19720.665096293986</v>
      </c>
      <c r="V420" s="13"/>
      <c r="W420" s="13"/>
      <c r="X420" s="17">
        <v>50</v>
      </c>
    </row>
    <row r="421" spans="1:26">
      <c r="A421" s="141" t="s">
        <v>391</v>
      </c>
      <c r="B421" s="51" t="str">
        <f>IFERROR(HYPERLINK(VLOOKUP(A421,ÜRÜNLER!A:C,3,FALSE),VLOOKUP(A421,ÜRÜNLER!A:B,2,FALSE)),"")</f>
        <v>Temizleme Tableti</v>
      </c>
      <c r="C421" s="8"/>
      <c r="D421" s="8"/>
      <c r="E421" s="9"/>
      <c r="F421" s="9">
        <v>120</v>
      </c>
      <c r="G421" s="10"/>
      <c r="H421" s="10"/>
      <c r="I421" s="11">
        <v>31</v>
      </c>
      <c r="J421" s="11">
        <v>37</v>
      </c>
      <c r="K421" s="10">
        <v>14</v>
      </c>
      <c r="L421" s="192"/>
      <c r="M421" s="11">
        <v>3</v>
      </c>
      <c r="N421" s="134">
        <f t="shared" si="14"/>
        <v>205</v>
      </c>
      <c r="O421" s="135"/>
      <c r="P421" s="10"/>
      <c r="Q421" s="118"/>
      <c r="R421" s="52">
        <v>452.60361139646415</v>
      </c>
      <c r="S421" s="19">
        <v>650</v>
      </c>
      <c r="T421" s="12">
        <v>700</v>
      </c>
      <c r="U421" s="12">
        <v>702</v>
      </c>
      <c r="V421" s="13"/>
      <c r="W421" s="13"/>
      <c r="X421" s="17">
        <v>50</v>
      </c>
    </row>
    <row r="422" spans="1:26">
      <c r="A422" s="141" t="s">
        <v>392</v>
      </c>
      <c r="B422" s="51" t="str">
        <f>IFERROR(HYPERLINK(VLOOKUP(A422,ÜRÜNLER!A:C,3,FALSE),VLOOKUP(A422,ÜRÜNLER!A:B,2,FALSE)),"")</f>
        <v>Kireç Temizleme Tableti</v>
      </c>
      <c r="C422" s="8"/>
      <c r="D422" s="8"/>
      <c r="E422" s="9"/>
      <c r="F422" s="9"/>
      <c r="G422" s="10"/>
      <c r="H422" s="10"/>
      <c r="I422" s="11">
        <v>3</v>
      </c>
      <c r="J422" s="11"/>
      <c r="K422" s="10">
        <v>1</v>
      </c>
      <c r="L422" s="192"/>
      <c r="M422" s="11"/>
      <c r="N422" s="134">
        <f t="shared" si="14"/>
        <v>4</v>
      </c>
      <c r="O422" s="135"/>
      <c r="P422" s="10"/>
      <c r="Q422" s="118"/>
      <c r="R422" s="52">
        <v>452.60361139646415</v>
      </c>
      <c r="S422" s="19">
        <v>650</v>
      </c>
      <c r="T422" s="12">
        <v>700</v>
      </c>
      <c r="U422" s="12">
        <v>702</v>
      </c>
      <c r="V422" s="13"/>
      <c r="W422" s="13"/>
      <c r="X422" s="17">
        <v>50</v>
      </c>
    </row>
    <row r="423" spans="1:26">
      <c r="A423" s="142" t="s">
        <v>202</v>
      </c>
      <c r="B423" s="51" t="str">
        <f>IFERROR(HYPERLINK(VLOOKUP(A423,ÜRÜNLER!A:C,3,FALSE),VLOOKUP(A423,ÜRÜNLER!A:B,2,FALSE)),"")</f>
        <v>3D Fry Tepsi</v>
      </c>
      <c r="C423" s="8">
        <v>8</v>
      </c>
      <c r="D423" s="8"/>
      <c r="E423" s="9"/>
      <c r="F423" s="9">
        <v>12</v>
      </c>
      <c r="G423" s="10"/>
      <c r="H423" s="10"/>
      <c r="I423" s="11">
        <v>5</v>
      </c>
      <c r="J423" s="11">
        <v>8</v>
      </c>
      <c r="K423" s="10">
        <v>9</v>
      </c>
      <c r="L423" s="192"/>
      <c r="M423" s="11">
        <v>4</v>
      </c>
      <c r="N423" s="134">
        <f t="shared" si="14"/>
        <v>46</v>
      </c>
      <c r="O423" s="135">
        <v>17</v>
      </c>
      <c r="P423" s="10"/>
      <c r="Q423" s="118"/>
      <c r="R423" s="52">
        <v>344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6">
      <c r="A424" s="142" t="s">
        <v>203</v>
      </c>
      <c r="B424" s="51" t="str">
        <f>IFERROR(HYPERLINK(VLOOKUP(A424,ÜRÜNLER!A:C,3,FALSE),VLOOKUP(A424,ÜRÜNLER!A:B,2,FALSE)),"")</f>
        <v>Siemens starter kit unducted recirculation</v>
      </c>
      <c r="C424" s="8">
        <v>2</v>
      </c>
      <c r="D424" s="8"/>
      <c r="E424" s="9"/>
      <c r="F424" s="9"/>
      <c r="G424" s="10"/>
      <c r="H424" s="10"/>
      <c r="I424" s="11"/>
      <c r="J424" s="11"/>
      <c r="K424" s="10"/>
      <c r="L424" s="192"/>
      <c r="M424" s="11"/>
      <c r="N424" s="134">
        <f t="shared" si="14"/>
        <v>2</v>
      </c>
      <c r="O424" s="135"/>
      <c r="P424" s="10"/>
      <c r="Q424" s="118"/>
      <c r="R424" s="74"/>
      <c r="S424" s="19">
        <v>999</v>
      </c>
      <c r="T424" s="12">
        <v>1038.96</v>
      </c>
      <c r="U424" s="12">
        <v>1078.92</v>
      </c>
      <c r="V424" s="13"/>
      <c r="W424" s="13"/>
      <c r="X424" s="17">
        <v>50</v>
      </c>
    </row>
    <row r="425" spans="1:26">
      <c r="A425" s="142" t="s">
        <v>411</v>
      </c>
      <c r="B425" s="51" t="str">
        <f>IFERROR(HYPERLINK(VLOOKUP(A425,ÜRÜNLER!A:C,3,FALSE),VLOOKUP(A425,ÜRÜNLER!A:B,2,FALSE)),"")</f>
        <v>Siemens Elektrikli Süpürgeler için Toz Torbası (P Tip) 4'lü Paket</v>
      </c>
      <c r="C425" s="8"/>
      <c r="D425" s="8"/>
      <c r="E425" s="9"/>
      <c r="F425" s="9"/>
      <c r="G425" s="10"/>
      <c r="H425" s="10"/>
      <c r="I425" s="11">
        <v>6</v>
      </c>
      <c r="J425" s="11"/>
      <c r="K425" s="10"/>
      <c r="L425" s="192"/>
      <c r="M425" s="11"/>
      <c r="N425" s="134">
        <f t="shared" si="14"/>
        <v>6</v>
      </c>
      <c r="O425" s="135"/>
      <c r="P425" s="10"/>
      <c r="Q425" s="118"/>
      <c r="S425" s="19">
        <v>400</v>
      </c>
      <c r="T425" s="12">
        <v>450</v>
      </c>
      <c r="U425" s="12">
        <v>432</v>
      </c>
      <c r="V425" s="13"/>
      <c r="W425" s="13"/>
      <c r="X425" s="17">
        <v>50</v>
      </c>
    </row>
    <row r="426" spans="1:26">
      <c r="A426" s="142" t="s">
        <v>412</v>
      </c>
      <c r="B426" s="51" t="str">
        <f>IFERROR(HYPERLINK(VLOOKUP(A426,ÜRÜNLER!A:C,3,FALSE),VLOOKUP(A426,ÜRÜNLER!A:B,2,FALSE)),"")</f>
        <v>Elektrik Süpürgesi Toz Torbası 4'lü</v>
      </c>
      <c r="C426" s="8">
        <v>1</v>
      </c>
      <c r="D426" s="8"/>
      <c r="E426" s="9"/>
      <c r="F426" s="9">
        <v>149</v>
      </c>
      <c r="G426" s="10"/>
      <c r="H426" s="10"/>
      <c r="I426" s="11">
        <v>74</v>
      </c>
      <c r="J426" s="11">
        <v>11</v>
      </c>
      <c r="K426" s="10">
        <v>8</v>
      </c>
      <c r="L426" s="192"/>
      <c r="M426" s="11"/>
      <c r="N426" s="134">
        <f t="shared" si="14"/>
        <v>243</v>
      </c>
      <c r="O426" s="135">
        <v>2</v>
      </c>
      <c r="P426" s="10"/>
      <c r="Q426" s="118"/>
      <c r="R426" s="52">
        <v>310</v>
      </c>
      <c r="S426" s="19">
        <v>400</v>
      </c>
      <c r="T426" s="12">
        <v>450</v>
      </c>
      <c r="U426" s="12">
        <v>432</v>
      </c>
      <c r="V426" s="13"/>
      <c r="W426" s="13"/>
      <c r="X426" s="17">
        <v>50</v>
      </c>
    </row>
    <row r="427" spans="1:26">
      <c r="A427" s="142" t="s">
        <v>414</v>
      </c>
      <c r="B427" s="51" t="str">
        <f>IFERROR(HYPERLINK(VLOOKUP(A427,ÜRÜNLER!A:C,3,FALSE),VLOOKUP(A427,ÜRÜNLER!A:B,2,FALSE)),"")</f>
        <v>Siemens Trifaze Ani Su Isıtıcı</v>
      </c>
      <c r="C427" s="8"/>
      <c r="D427" s="8"/>
      <c r="E427" s="9"/>
      <c r="F427" s="9"/>
      <c r="G427" s="10"/>
      <c r="H427" s="10"/>
      <c r="I427" s="11"/>
      <c r="J427" s="11"/>
      <c r="K427" s="10">
        <v>1</v>
      </c>
      <c r="L427" s="192"/>
      <c r="M427" s="11"/>
      <c r="N427" s="134">
        <f t="shared" si="14"/>
        <v>1</v>
      </c>
      <c r="O427" s="135"/>
      <c r="P427" s="10"/>
      <c r="Q427" s="118"/>
      <c r="S427" s="19">
        <v>39999</v>
      </c>
      <c r="T427" s="12">
        <v>41598.959999999999</v>
      </c>
      <c r="U427" s="12">
        <v>43198.92</v>
      </c>
      <c r="V427" s="13"/>
      <c r="W427" s="13"/>
      <c r="X427" s="14">
        <v>250</v>
      </c>
    </row>
    <row r="428" spans="1:26">
      <c r="A428" s="142" t="s">
        <v>415</v>
      </c>
      <c r="B428" s="51" t="str">
        <f>IFERROR(HYPERLINK(VLOOKUP(A428,ÜRÜNLER!A:C,3,FALSE),VLOOKUP(A428,ÜRÜNLER!A:B,2,FALSE)),"")</f>
        <v>Siemens Trifaze Ani Su Isıtıcı</v>
      </c>
      <c r="C428" s="8"/>
      <c r="D428" s="8"/>
      <c r="E428" s="9"/>
      <c r="F428" s="9">
        <v>1</v>
      </c>
      <c r="G428" s="10"/>
      <c r="H428" s="10"/>
      <c r="I428" s="11"/>
      <c r="J428" s="11"/>
      <c r="K428" s="10"/>
      <c r="L428" s="192"/>
      <c r="M428" s="11"/>
      <c r="N428" s="134">
        <f t="shared" si="14"/>
        <v>1</v>
      </c>
      <c r="O428" s="135"/>
      <c r="P428" s="10"/>
      <c r="Q428" s="118"/>
      <c r="S428" s="19">
        <v>49999</v>
      </c>
      <c r="T428" s="12">
        <v>51998.96</v>
      </c>
      <c r="U428" s="12">
        <v>53998.92</v>
      </c>
      <c r="V428" s="13"/>
      <c r="W428" s="13"/>
      <c r="X428" s="14">
        <v>250</v>
      </c>
    </row>
    <row r="429" spans="1:26">
      <c r="A429" s="142" t="s">
        <v>421</v>
      </c>
      <c r="B429" s="51" t="str">
        <f>IFERROR(HYPERLINK(VLOOKUP(A429,ÜRÜNLER!A:C,3,FALSE),VLOOKUP(A429,ÜRÜNLER!A:B,2,FALSE)),"")</f>
        <v>Siemens Çay Makinesi</v>
      </c>
      <c r="C429" s="8"/>
      <c r="D429" s="8"/>
      <c r="E429" s="9"/>
      <c r="F429" s="9"/>
      <c r="G429" s="10"/>
      <c r="H429" s="10"/>
      <c r="I429" s="11">
        <v>3</v>
      </c>
      <c r="J429" s="11">
        <v>1</v>
      </c>
      <c r="K429" s="10">
        <v>1</v>
      </c>
      <c r="L429" s="192"/>
      <c r="M429" s="11">
        <v>1</v>
      </c>
      <c r="N429" s="134">
        <f t="shared" si="14"/>
        <v>6</v>
      </c>
      <c r="O429" s="135"/>
      <c r="P429" s="10"/>
      <c r="Q429" s="118"/>
      <c r="S429" s="19">
        <v>3999</v>
      </c>
      <c r="T429" s="12">
        <v>4158.96</v>
      </c>
      <c r="U429" s="12">
        <v>4318.92</v>
      </c>
      <c r="V429" s="13"/>
      <c r="W429" s="13"/>
      <c r="X429" s="14">
        <v>50</v>
      </c>
    </row>
    <row r="430" spans="1:26">
      <c r="A430" s="142" t="s">
        <v>422</v>
      </c>
      <c r="B430" s="51" t="str">
        <f>IFERROR(HYPERLINK(VLOOKUP(A430,ÜRÜNLER!A:C,3,FALSE),VLOOKUP(A430,ÜRÜNLER!A:B,2,FALSE)),"")</f>
        <v>Siemens Filtre Kahve Makinesi</v>
      </c>
      <c r="C430" s="8"/>
      <c r="D430" s="8"/>
      <c r="E430" s="9"/>
      <c r="F430" s="9"/>
      <c r="G430" s="10"/>
      <c r="H430" s="10"/>
      <c r="I430" s="11">
        <v>1</v>
      </c>
      <c r="J430" s="11"/>
      <c r="K430" s="10"/>
      <c r="L430" s="192"/>
      <c r="M430" s="11"/>
      <c r="N430" s="134">
        <f t="shared" si="14"/>
        <v>1</v>
      </c>
      <c r="O430" s="135"/>
      <c r="P430" s="10"/>
      <c r="Q430" s="118"/>
      <c r="S430" s="19">
        <v>4999</v>
      </c>
      <c r="T430" s="12">
        <v>5198.96</v>
      </c>
      <c r="U430" s="12">
        <v>5398.92</v>
      </c>
      <c r="V430" s="13"/>
      <c r="W430" s="13"/>
      <c r="X430" s="14">
        <v>50</v>
      </c>
    </row>
    <row r="431" spans="1:26">
      <c r="A431" s="142" t="s">
        <v>423</v>
      </c>
      <c r="B431" s="51" t="str">
        <f>IFERROR(HYPERLINK(VLOOKUP(A431,ÜRÜNLER!A:C,3,FALSE),VLOOKUP(A431,ÜRÜNLER!A:B,2,FALSE)),"")</f>
        <v>Siemens El Blenderı ergonomicEdition, 600w, Beyaz/Mavi</v>
      </c>
      <c r="C431" s="8"/>
      <c r="D431" s="8"/>
      <c r="E431" s="9"/>
      <c r="F431" s="9"/>
      <c r="G431" s="10"/>
      <c r="H431" s="10"/>
      <c r="I431" s="11">
        <v>2</v>
      </c>
      <c r="J431" s="11"/>
      <c r="K431" s="10"/>
      <c r="L431" s="192"/>
      <c r="M431" s="11"/>
      <c r="N431" s="134">
        <f t="shared" si="14"/>
        <v>2</v>
      </c>
      <c r="O431" s="135"/>
      <c r="P431" s="10"/>
      <c r="Q431" s="118"/>
      <c r="S431" s="19">
        <v>1999</v>
      </c>
      <c r="T431" s="12">
        <v>2078.96</v>
      </c>
      <c r="U431" s="12">
        <v>2158.92</v>
      </c>
      <c r="V431" s="13"/>
      <c r="W431" s="13"/>
      <c r="X431" s="14">
        <v>50</v>
      </c>
    </row>
    <row r="432" spans="1:26">
      <c r="A432" s="142" t="s">
        <v>424</v>
      </c>
      <c r="B432" s="51" t="str">
        <f>IFERROR(HYPERLINK(VLOOKUP(A432,ÜRÜNLER!A:C,3,FALSE),VLOOKUP(A432,ÜRÜNLER!A:B,2,FALSE)),"")</f>
        <v>Siemens El Blenderı, 600w, Beyaz/Mavi</v>
      </c>
      <c r="C432" s="8"/>
      <c r="D432" s="8"/>
      <c r="E432" s="9"/>
      <c r="F432" s="9"/>
      <c r="G432" s="10"/>
      <c r="H432" s="10"/>
      <c r="I432" s="11">
        <v>1</v>
      </c>
      <c r="J432" s="11"/>
      <c r="K432" s="10"/>
      <c r="L432" s="192"/>
      <c r="M432" s="11"/>
      <c r="N432" s="134">
        <f t="shared" si="14"/>
        <v>1</v>
      </c>
      <c r="O432" s="135"/>
      <c r="P432" s="10"/>
      <c r="Q432" s="118"/>
      <c r="S432" s="19">
        <v>2499</v>
      </c>
      <c r="T432" s="12">
        <v>2598.96</v>
      </c>
      <c r="U432" s="12">
        <v>2698.92</v>
      </c>
      <c r="V432" s="13"/>
      <c r="W432" s="13"/>
      <c r="X432" s="14">
        <v>50</v>
      </c>
    </row>
    <row r="433" spans="1:24">
      <c r="A433" s="142" t="s">
        <v>425</v>
      </c>
      <c r="B433" s="51" t="str">
        <f>IFERROR(HYPERLINK(VLOOKUP(A433,ÜRÜNLER!A:C,3,FALSE),VLOOKUP(A433,ÜRÜNLER!A:B,2,FALSE)),"")</f>
        <v>Siemens El Blenderı FQ.1, 750w, Siyah/Gri</v>
      </c>
      <c r="C433" s="8"/>
      <c r="D433" s="8"/>
      <c r="E433" s="9"/>
      <c r="F433" s="9"/>
      <c r="G433" s="10"/>
      <c r="H433" s="10"/>
      <c r="I433" s="11">
        <v>2</v>
      </c>
      <c r="J433" s="11"/>
      <c r="K433" s="10"/>
      <c r="L433" s="192"/>
      <c r="M433" s="11"/>
      <c r="N433" s="134">
        <f t="shared" si="14"/>
        <v>2</v>
      </c>
      <c r="O433" s="135"/>
      <c r="P433" s="10"/>
      <c r="Q433" s="118"/>
      <c r="S433" s="19">
        <v>1999</v>
      </c>
      <c r="T433" s="12">
        <v>2078.96</v>
      </c>
      <c r="U433" s="12">
        <v>2158.92</v>
      </c>
      <c r="V433" s="13"/>
      <c r="W433" s="13"/>
      <c r="X433" s="14">
        <v>50</v>
      </c>
    </row>
    <row r="434" spans="1:24">
      <c r="A434" s="142" t="s">
        <v>427</v>
      </c>
      <c r="B434" s="51" t="str">
        <f>IFERROR(HYPERLINK(VLOOKUP(A434,ÜRÜNLER!A:C,3,FALSE),VLOOKUP(A434,ÜRÜNLER!A:B,2,FALSE)),"")</f>
        <v>Siemens El Mikseri, 450w, Beyaz/Antrasit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92"/>
      <c r="M434" s="11"/>
      <c r="N434" s="134">
        <f t="shared" si="14"/>
        <v>1</v>
      </c>
      <c r="O434" s="135"/>
      <c r="P434" s="10"/>
      <c r="Q434" s="118"/>
      <c r="S434" s="19">
        <v>999</v>
      </c>
      <c r="T434" s="12">
        <v>1038.96</v>
      </c>
      <c r="U434" s="12">
        <v>1078.92</v>
      </c>
      <c r="V434" s="13"/>
      <c r="W434" s="13"/>
      <c r="X434" s="14">
        <v>50</v>
      </c>
    </row>
    <row r="435" spans="1:24">
      <c r="A435" s="142" t="s">
        <v>428</v>
      </c>
      <c r="B435" s="51" t="str">
        <f>IFERROR(HYPERLINK(VLOOKUP(A435,ÜRÜNLER!A:C,3,FALSE),VLOOKUP(A435,ÜRÜNLER!A:B,2,FALSE)),"")</f>
        <v>Siemens El Mikseri, 450w, Beyaz/Mavi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92"/>
      <c r="M435" s="11"/>
      <c r="N435" s="134">
        <f t="shared" si="14"/>
        <v>1</v>
      </c>
      <c r="O435" s="135"/>
      <c r="P435" s="10"/>
      <c r="Q435" s="118"/>
      <c r="S435" s="19">
        <v>1499</v>
      </c>
      <c r="T435" s="12">
        <v>1558.96</v>
      </c>
      <c r="U435" s="12">
        <v>1618.92</v>
      </c>
      <c r="V435" s="13"/>
      <c r="W435" s="13"/>
      <c r="X435" s="14">
        <v>50</v>
      </c>
    </row>
    <row r="436" spans="1:24">
      <c r="A436" s="142" t="s">
        <v>429</v>
      </c>
      <c r="B436" s="51" t="str">
        <f>IFERROR(HYPERLINK(VLOOKUP(A436,ÜRÜNLER!A:C,3,FALSE),VLOOKUP(A436,ÜRÜNLER!A:B,2,FALSE)),"")</f>
        <v>El Mikser Seti, 500w, Siyah</v>
      </c>
      <c r="C436" s="8"/>
      <c r="D436" s="8"/>
      <c r="E436" s="9"/>
      <c r="F436" s="9"/>
      <c r="G436" s="10"/>
      <c r="H436" s="10"/>
      <c r="I436" s="11">
        <v>3</v>
      </c>
      <c r="J436" s="11"/>
      <c r="K436" s="10"/>
      <c r="L436" s="192"/>
      <c r="M436" s="11"/>
      <c r="N436" s="134">
        <f t="shared" si="14"/>
        <v>3</v>
      </c>
      <c r="O436" s="135"/>
      <c r="P436" s="10"/>
      <c r="Q436" s="118"/>
      <c r="S436" s="19">
        <v>2999</v>
      </c>
      <c r="T436" s="12">
        <v>3118.96</v>
      </c>
      <c r="U436" s="12">
        <v>3238.92</v>
      </c>
      <c r="V436" s="13"/>
      <c r="W436" s="13"/>
      <c r="X436" s="14">
        <v>50</v>
      </c>
    </row>
    <row r="437" spans="1:24">
      <c r="A437" s="142" t="s">
        <v>433</v>
      </c>
      <c r="B437" s="51" t="str">
        <f>IFERROR(HYPERLINK(VLOOKUP(A437,ÜRÜNLER!A:C,3,FALSE),VLOOKUP(A437,ÜRÜNLER!A:B,2,FALSE)),"")</f>
        <v>Siemens Buzdolabı Kulpu 79cm, Inox</v>
      </c>
      <c r="C437" s="8">
        <v>1</v>
      </c>
      <c r="D437" s="8"/>
      <c r="E437" s="9"/>
      <c r="F437" s="9"/>
      <c r="G437" s="10"/>
      <c r="H437" s="10"/>
      <c r="I437" s="11"/>
      <c r="J437" s="11"/>
      <c r="K437" s="10">
        <v>4</v>
      </c>
      <c r="L437" s="192"/>
      <c r="M437" s="11"/>
      <c r="N437" s="134">
        <f t="shared" si="14"/>
        <v>5</v>
      </c>
      <c r="O437" s="135"/>
      <c r="P437" s="10"/>
      <c r="Q437" s="118"/>
      <c r="S437" s="19">
        <v>24999</v>
      </c>
      <c r="T437" s="12">
        <v>25998.959999999999</v>
      </c>
      <c r="U437" s="12">
        <v>26998.92</v>
      </c>
      <c r="V437" s="13"/>
      <c r="W437" s="13"/>
      <c r="X437" s="14">
        <v>250</v>
      </c>
    </row>
    <row r="438" spans="1:24">
      <c r="A438" s="142" t="s">
        <v>434</v>
      </c>
      <c r="B438" s="51" t="str">
        <f>IFERROR(HYPERLINK(VLOOKUP(A438,ÜRÜNLER!A:C,3,FALSE),VLOOKUP(A438,ÜRÜNLER!A:B,2,FALSE)),"")</f>
        <v>Siemens Buzdolabı Kulpu</v>
      </c>
      <c r="C438" s="8"/>
      <c r="D438" s="8"/>
      <c r="E438" s="9"/>
      <c r="F438" s="9"/>
      <c r="G438" s="10"/>
      <c r="H438" s="10"/>
      <c r="I438" s="11"/>
      <c r="J438" s="11">
        <v>1</v>
      </c>
      <c r="K438" s="10">
        <v>1</v>
      </c>
      <c r="L438" s="192"/>
      <c r="M438" s="11"/>
      <c r="N438" s="134">
        <f t="shared" si="14"/>
        <v>2</v>
      </c>
      <c r="O438" s="135"/>
      <c r="P438" s="10"/>
      <c r="Q438" s="118"/>
      <c r="S438" s="19">
        <v>6148.9750000000004</v>
      </c>
      <c r="T438" s="12">
        <v>6394.9340000000002</v>
      </c>
      <c r="U438" s="12">
        <v>6640.893</v>
      </c>
      <c r="V438" s="13"/>
      <c r="W438" s="13"/>
      <c r="X438" s="14">
        <v>250</v>
      </c>
    </row>
    <row r="439" spans="1:24">
      <c r="A439" s="142" t="s">
        <v>435</v>
      </c>
      <c r="B439" s="51" t="str">
        <f>IFERROR(HYPERLINK(VLOOKUP(A439,ÜRÜNLER!A:C,3,FALSE),VLOOKUP(A439,ÜRÜNLER!A:B,2,FALSE)),"")</f>
        <v>Siemens Buzdolabı Kulpu</v>
      </c>
      <c r="C439" s="8">
        <v>5</v>
      </c>
      <c r="D439" s="8">
        <v>4</v>
      </c>
      <c r="E439" s="9"/>
      <c r="F439" s="9"/>
      <c r="G439" s="10"/>
      <c r="H439" s="10"/>
      <c r="I439" s="11"/>
      <c r="J439" s="11"/>
      <c r="K439" s="10"/>
      <c r="L439" s="192"/>
      <c r="M439" s="11"/>
      <c r="N439" s="134">
        <f t="shared" si="14"/>
        <v>9</v>
      </c>
      <c r="O439" s="135"/>
      <c r="P439" s="10"/>
      <c r="Q439" s="118" t="s">
        <v>1548</v>
      </c>
      <c r="R439" s="52">
        <v>8867.3785891660682</v>
      </c>
      <c r="S439" s="18">
        <v>7980.6407302494617</v>
      </c>
      <c r="T439" s="12">
        <v>8299.86635945944</v>
      </c>
      <c r="U439" s="12">
        <v>8619.0919886694192</v>
      </c>
      <c r="V439" s="13"/>
      <c r="W439" s="13"/>
      <c r="X439" s="14">
        <v>250</v>
      </c>
    </row>
    <row r="440" spans="1:24">
      <c r="A440" s="142" t="s">
        <v>436</v>
      </c>
      <c r="B440" s="51" t="str">
        <f>IFERROR(HYPERLINK(VLOOKUP(A440,ÜRÜNLER!A:C,3,FALSE),VLOOKUP(A440,ÜRÜNLER!A:B,2,FALSE)),"")</f>
        <v>Siemens studioLine Buzdolabı Kulpu</v>
      </c>
      <c r="C440" s="8"/>
      <c r="D440" s="8">
        <v>4</v>
      </c>
      <c r="E440" s="9"/>
      <c r="F440" s="9"/>
      <c r="G440" s="10"/>
      <c r="H440" s="10"/>
      <c r="I440" s="11"/>
      <c r="J440" s="11"/>
      <c r="K440" s="10"/>
      <c r="L440" s="192"/>
      <c r="M440" s="11"/>
      <c r="N440" s="134">
        <f t="shared" si="14"/>
        <v>4</v>
      </c>
      <c r="O440" s="135"/>
      <c r="P440" s="10"/>
      <c r="Q440" s="118" t="s">
        <v>1548</v>
      </c>
      <c r="R440" s="52">
        <v>3521.1995943386523</v>
      </c>
      <c r="S440" s="18">
        <v>3169.0796349047869</v>
      </c>
      <c r="T440" s="12">
        <v>3295.8428203009785</v>
      </c>
      <c r="U440" s="12">
        <v>3422.6060056971696</v>
      </c>
      <c r="V440" s="13"/>
      <c r="W440" s="13"/>
      <c r="X440" s="14">
        <v>250</v>
      </c>
    </row>
    <row r="441" spans="1:24">
      <c r="A441" s="142" t="s">
        <v>437</v>
      </c>
      <c r="B441" s="51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/>
      <c r="L441" s="192"/>
      <c r="M441" s="11"/>
      <c r="N441" s="134">
        <f t="shared" si="14"/>
        <v>1</v>
      </c>
      <c r="O441" s="135"/>
      <c r="P441" s="10"/>
      <c r="Q441" s="118" t="s">
        <v>1548</v>
      </c>
      <c r="R441" s="52">
        <v>2510.3949651838452</v>
      </c>
      <c r="S441" s="25">
        <v>2510.3949651838452</v>
      </c>
      <c r="T441" s="12">
        <v>2610.810763791199</v>
      </c>
      <c r="U441" s="12">
        <v>2711.2265623985527</v>
      </c>
      <c r="V441" s="13"/>
      <c r="W441" s="13"/>
      <c r="X441" s="14">
        <v>250</v>
      </c>
    </row>
    <row r="442" spans="1:24">
      <c r="A442" s="21" t="s">
        <v>438</v>
      </c>
      <c r="B442" s="51" t="str">
        <f>IFERROR(HYPERLINK(VLOOKUP(A442,ÜRÜNLER!A:C,3,FALSE),VLOOKUP(A442,ÜRÜNLER!A:B,2,FALSE)),"")</f>
        <v>Siemens studioLine Buzdolabı Kapı Paneli, 202.9x60.3cm</v>
      </c>
      <c r="C442" s="8"/>
      <c r="D442" s="8">
        <v>2</v>
      </c>
      <c r="E442" s="9"/>
      <c r="F442" s="9"/>
      <c r="G442" s="10"/>
      <c r="H442" s="10"/>
      <c r="I442" s="11"/>
      <c r="J442" s="11"/>
      <c r="K442" s="10">
        <v>1</v>
      </c>
      <c r="L442" s="192"/>
      <c r="M442" s="11"/>
      <c r="N442" s="134">
        <f t="shared" si="14"/>
        <v>3</v>
      </c>
      <c r="O442" s="135"/>
      <c r="P442" s="10"/>
      <c r="Q442" s="118" t="s">
        <v>1548</v>
      </c>
      <c r="R442" s="52">
        <v>6515.7970471358785</v>
      </c>
      <c r="S442" s="18">
        <v>5864.217342422291</v>
      </c>
      <c r="T442" s="12">
        <v>6098.7860361191824</v>
      </c>
      <c r="U442" s="12">
        <v>6333.3547298160747</v>
      </c>
      <c r="V442" s="13"/>
      <c r="W442" s="13"/>
      <c r="X442" s="14">
        <v>250</v>
      </c>
    </row>
    <row r="443" spans="1:24">
      <c r="A443" s="21" t="s">
        <v>439</v>
      </c>
      <c r="B443" s="51" t="str">
        <f>IFERROR(HYPERLINK(VLOOKUP(A443,ÜRÜNLER!A:C,3,FALSE),VLOOKUP(A443,ÜRÜNLER!A:B,2,FALSE)),"")</f>
        <v>Siemens Buzdolabı Kapı Paneli, 202.9x75.6cm</v>
      </c>
      <c r="C443" s="8">
        <v>4</v>
      </c>
      <c r="D443" s="8">
        <v>2</v>
      </c>
      <c r="E443" s="9"/>
      <c r="F443" s="9"/>
      <c r="G443" s="10"/>
      <c r="H443" s="10"/>
      <c r="I443" s="11"/>
      <c r="J443" s="11"/>
      <c r="K443" s="10">
        <v>1</v>
      </c>
      <c r="L443" s="192"/>
      <c r="M443" s="11"/>
      <c r="N443" s="134">
        <f t="shared" si="14"/>
        <v>7</v>
      </c>
      <c r="O443" s="135"/>
      <c r="P443" s="10"/>
      <c r="Q443" s="118" t="s">
        <v>1548</v>
      </c>
      <c r="R443" s="52">
        <v>12864.686900934046</v>
      </c>
      <c r="S443" s="18">
        <v>11578.218210840641</v>
      </c>
      <c r="T443" s="12">
        <v>12041.346939274266</v>
      </c>
      <c r="U443" s="12">
        <v>12504.475667707893</v>
      </c>
      <c r="V443" s="13"/>
      <c r="W443" s="13"/>
      <c r="X443" s="14">
        <v>250</v>
      </c>
    </row>
    <row r="444" spans="1:24">
      <c r="A444" s="142" t="s">
        <v>440</v>
      </c>
      <c r="B444" s="51" t="str">
        <f>IFERROR(HYPERLINK(VLOOKUP(A444,ÜRÜNLER!A:C,3,FALSE),VLOOKUP(A444,ÜRÜNLER!A:B,2,FALSE)),"")</f>
        <v>Siemens Buzdolabı Kapı Paneli, 202.9x90.8cm</v>
      </c>
      <c r="C444" s="8">
        <v>5</v>
      </c>
      <c r="D444" s="8">
        <v>2</v>
      </c>
      <c r="E444" s="9"/>
      <c r="F444" s="9"/>
      <c r="G444" s="10"/>
      <c r="H444" s="10"/>
      <c r="I444" s="11"/>
      <c r="J444" s="11">
        <v>1</v>
      </c>
      <c r="K444" s="10">
        <v>1</v>
      </c>
      <c r="L444" s="192"/>
      <c r="M444" s="11"/>
      <c r="N444" s="134">
        <f t="shared" si="14"/>
        <v>9</v>
      </c>
      <c r="O444" s="135"/>
      <c r="P444" s="10"/>
      <c r="Q444" s="118" t="s">
        <v>1548</v>
      </c>
      <c r="R444" s="52">
        <v>18868.450592859805</v>
      </c>
      <c r="S444" s="18">
        <v>16981.605533573824</v>
      </c>
      <c r="T444" s="12">
        <v>17660.869754916777</v>
      </c>
      <c r="U444" s="12">
        <v>18340.133976259731</v>
      </c>
      <c r="V444" s="13"/>
      <c r="W444" s="13"/>
      <c r="X444" s="14">
        <v>250</v>
      </c>
    </row>
    <row r="445" spans="1:24">
      <c r="A445" s="142" t="s">
        <v>441</v>
      </c>
      <c r="B445" s="51" t="str">
        <f>IFERROR(HYPERLINK(VLOOKUP(A445,ÜRÜNLER!A:C,3,FALSE),VLOOKUP(A445,ÜRÜNLER!A:B,2,FALSE)),"")</f>
        <v>Siemens Buzdolabı Bağlantı Seti</v>
      </c>
      <c r="C445" s="8">
        <v>4</v>
      </c>
      <c r="D445" s="8"/>
      <c r="E445" s="9"/>
      <c r="F445" s="9"/>
      <c r="G445" s="10"/>
      <c r="H445" s="10"/>
      <c r="I445" s="11"/>
      <c r="J445" s="11"/>
      <c r="K445" s="10"/>
      <c r="L445" s="192"/>
      <c r="M445" s="11"/>
      <c r="N445" s="134">
        <f t="shared" si="14"/>
        <v>4</v>
      </c>
      <c r="O445" s="135"/>
      <c r="P445" s="10"/>
      <c r="Q445" s="118" t="s">
        <v>1548</v>
      </c>
      <c r="S445" s="36"/>
      <c r="T445" s="12"/>
      <c r="U445" s="12">
        <v>0</v>
      </c>
      <c r="V445" s="13"/>
      <c r="W445" s="13"/>
      <c r="X445" s="14"/>
    </row>
    <row r="446" spans="1:24">
      <c r="A446" s="142" t="s">
        <v>442</v>
      </c>
      <c r="B446" s="51" t="str">
        <f>IFERROR(HYPERLINK(VLOOKUP(A446,ÜRÜNLER!A:C,3,FALSE),VLOOKUP(A446,ÜRÜNLER!A:B,2,FALSE)),"")</f>
        <v>Siemens Buzdolabı Bağlantı Seti</v>
      </c>
      <c r="C446" s="8">
        <v>2</v>
      </c>
      <c r="D446" s="8">
        <v>1</v>
      </c>
      <c r="E446" s="9"/>
      <c r="F446" s="9"/>
      <c r="G446" s="10"/>
      <c r="H446" s="10">
        <v>2</v>
      </c>
      <c r="I446" s="11"/>
      <c r="J446" s="11"/>
      <c r="K446" s="10"/>
      <c r="L446" s="192"/>
      <c r="M446" s="11"/>
      <c r="N446" s="134">
        <f t="shared" si="14"/>
        <v>5</v>
      </c>
      <c r="O446" s="135"/>
      <c r="P446" s="10"/>
      <c r="Q446" s="118" t="s">
        <v>1548</v>
      </c>
      <c r="R446" s="74" t="s">
        <v>1592</v>
      </c>
      <c r="S446" s="191">
        <v>5000</v>
      </c>
      <c r="T446" s="12">
        <v>5200</v>
      </c>
      <c r="U446" s="12">
        <v>5400</v>
      </c>
      <c r="V446" s="13"/>
      <c r="W446" s="13"/>
      <c r="X446" s="14">
        <v>250</v>
      </c>
    </row>
    <row r="447" spans="1:24">
      <c r="A447" s="142" t="s">
        <v>443</v>
      </c>
      <c r="B447" s="51" t="str">
        <f>IFERROR(HYPERLINK(VLOOKUP(A447,ÜRÜNLER!A:C,3,FALSE),VLOOKUP(A447,ÜRÜNLER!A:B,2,FALSE)),"")</f>
        <v>Siemens studioLine Buzdolabı Çekmecesi</v>
      </c>
      <c r="C447" s="8"/>
      <c r="D447" s="8">
        <v>1</v>
      </c>
      <c r="E447" s="9"/>
      <c r="F447" s="9"/>
      <c r="G447" s="10"/>
      <c r="H447" s="10"/>
      <c r="I447" s="11"/>
      <c r="J447" s="11"/>
      <c r="K447" s="10"/>
      <c r="L447" s="192"/>
      <c r="M447" s="11"/>
      <c r="N447" s="134">
        <f t="shared" si="14"/>
        <v>1</v>
      </c>
      <c r="O447" s="135"/>
      <c r="P447" s="10"/>
      <c r="Q447" s="118" t="s">
        <v>1548</v>
      </c>
      <c r="R447" s="52">
        <v>2251.7843805077478</v>
      </c>
      <c r="S447" s="18">
        <v>2026.605942456973</v>
      </c>
      <c r="T447" s="12">
        <v>2097.5371504429672</v>
      </c>
      <c r="U447" s="12">
        <v>2188.7344178535309</v>
      </c>
      <c r="V447" s="13"/>
      <c r="W447" s="13"/>
      <c r="X447" s="14">
        <v>250</v>
      </c>
    </row>
    <row r="448" spans="1:24">
      <c r="A448" s="142" t="s">
        <v>444</v>
      </c>
      <c r="B448" s="51" t="str">
        <f>IFERROR(HYPERLINK(VLOOKUP(A448,ÜRÜNLER!A:C,3,FALSE),VLOOKUP(A448,ÜRÜNLER!A:B,2,FALSE)),"")</f>
        <v>Siemens studioLine 36'' Buzdolabı Kapı Paneli, Paslanmaz Çelik, 3 Kapı</v>
      </c>
      <c r="C448" s="8"/>
      <c r="D448" s="8">
        <v>1</v>
      </c>
      <c r="E448" s="9"/>
      <c r="F448" s="9"/>
      <c r="G448" s="10"/>
      <c r="H448" s="10"/>
      <c r="I448" s="11"/>
      <c r="J448" s="11"/>
      <c r="K448" s="10"/>
      <c r="L448" s="192"/>
      <c r="M448" s="11"/>
      <c r="N448" s="134">
        <f t="shared" si="14"/>
        <v>1</v>
      </c>
      <c r="O448" s="135"/>
      <c r="P448" s="10"/>
      <c r="Q448" s="118" t="s">
        <v>1548</v>
      </c>
      <c r="R448" s="52">
        <v>10600.401058527552</v>
      </c>
      <c r="S448" s="18">
        <v>9540.3609526747969</v>
      </c>
      <c r="T448" s="12">
        <v>9874.2735860184148</v>
      </c>
      <c r="U448" s="12">
        <v>10303.58982888878</v>
      </c>
      <c r="V448" s="13"/>
      <c r="W448" s="13"/>
      <c r="X448" s="14">
        <v>250</v>
      </c>
    </row>
    <row r="449" spans="1:24">
      <c r="A449" s="31" t="s">
        <v>1597</v>
      </c>
      <c r="B449" s="51" t="str">
        <f>IFERROR(HYPERLINK(VLOOKUP(A449,ÜRÜNLER!A:C,3,FALSE),VLOOKUP(A449,ÜRÜNLER!A:B,2,FALSE)),"")</f>
        <v/>
      </c>
      <c r="C449" s="8"/>
      <c r="D449" s="8"/>
      <c r="E449" s="9"/>
      <c r="F449" s="9"/>
      <c r="G449" s="10"/>
      <c r="H449" s="10"/>
      <c r="I449" s="11"/>
      <c r="J449" s="11"/>
      <c r="K449" s="10"/>
      <c r="L449" s="192"/>
      <c r="M449" s="11"/>
      <c r="N449" s="134"/>
      <c r="O449" s="135"/>
      <c r="P449" s="10"/>
      <c r="Q449" s="118"/>
      <c r="S449" s="37"/>
      <c r="T449" s="12"/>
      <c r="U449" s="12">
        <v>0</v>
      </c>
      <c r="V449" s="116"/>
      <c r="W449" s="13"/>
      <c r="X449" s="14"/>
    </row>
    <row r="450" spans="1:24">
      <c r="A450" s="140" t="s">
        <v>445</v>
      </c>
      <c r="B450" s="51" t="str">
        <f>IFERROR(HYPERLINK(VLOOKUP(A450,ÜRÜNLER!A:C,3,FALSE),VLOOKUP(A450,ÜRÜNLER!A:B,2,FALSE)),"")</f>
        <v>Siemens Ev Tipi Klima İç Ünite, 9.000BTU, Beyaz</v>
      </c>
      <c r="C450" s="8">
        <v>5</v>
      </c>
      <c r="D450" s="8"/>
      <c r="E450" s="9"/>
      <c r="F450" s="9"/>
      <c r="G450" s="10"/>
      <c r="H450" s="10"/>
      <c r="I450" s="11">
        <v>1</v>
      </c>
      <c r="J450" s="11"/>
      <c r="K450" s="10"/>
      <c r="L450" s="192"/>
      <c r="M450" s="11"/>
      <c r="N450" s="134">
        <f t="shared" ref="N450:N467" si="15">M450+L450+K450+J450+I450+H450+G450+F450+E450+D450+C450</f>
        <v>6</v>
      </c>
      <c r="O450" s="135"/>
      <c r="P450" s="10"/>
      <c r="Q450" s="118" t="s">
        <v>1548</v>
      </c>
      <c r="R450" s="52">
        <v>16020.74074189603</v>
      </c>
      <c r="S450" s="94">
        <v>16821.777778990832</v>
      </c>
      <c r="T450" s="12">
        <v>17410.540001255511</v>
      </c>
      <c r="U450" s="12">
        <v>18167.520001310098</v>
      </c>
      <c r="V450" s="13">
        <v>4000.282348013614</v>
      </c>
      <c r="W450" s="13"/>
      <c r="X450" s="14">
        <v>250</v>
      </c>
    </row>
    <row r="451" spans="1:24">
      <c r="A451" s="140" t="s">
        <v>446</v>
      </c>
      <c r="B451" s="51" t="str">
        <f>IFERROR(HYPERLINK(VLOOKUP(A451,ÜRÜNLER!A:C,3,FALSE),VLOOKUP(A451,ÜRÜNLER!A:B,2,FALSE)),"")</f>
        <v>Siemens Ev Tipi Klima Dış Ünite, 9.000BTU, Beyaz</v>
      </c>
      <c r="C451" s="8">
        <v>6</v>
      </c>
      <c r="D451" s="8"/>
      <c r="E451" s="9"/>
      <c r="F451" s="9"/>
      <c r="G451" s="10"/>
      <c r="H451" s="10"/>
      <c r="I451" s="11"/>
      <c r="J451" s="11"/>
      <c r="K451" s="10"/>
      <c r="L451" s="192"/>
      <c r="M451" s="11"/>
      <c r="N451" s="134">
        <f t="shared" si="15"/>
        <v>6</v>
      </c>
      <c r="O451" s="135"/>
      <c r="P451" s="10"/>
      <c r="Q451" s="118" t="s">
        <v>1548</v>
      </c>
      <c r="R451" s="52">
        <v>24031.111112844046</v>
      </c>
      <c r="S451" s="94">
        <v>25232.66666848625</v>
      </c>
      <c r="T451" s="12">
        <v>26115.81000188327</v>
      </c>
      <c r="U451" s="12">
        <v>27251.280001965151</v>
      </c>
      <c r="V451" s="13"/>
      <c r="W451" s="13"/>
      <c r="X451" s="14"/>
    </row>
    <row r="452" spans="1:24">
      <c r="A452" s="169" t="s">
        <v>447</v>
      </c>
      <c r="B452" s="51" t="str">
        <f>IFERROR(HYPERLINK(VLOOKUP(A452,ÜRÜNLER!A:C,3,FALSE),VLOOKUP(A452,ÜRÜNLER!A:B,2,FALSE)),"")</f>
        <v>Siemens Ev Tipi Klima İç Ünite, 12.000BTU, Beyaz</v>
      </c>
      <c r="C452" s="8"/>
      <c r="D452" s="8"/>
      <c r="E452" s="9"/>
      <c r="F452" s="9"/>
      <c r="G452" s="10"/>
      <c r="H452" s="10"/>
      <c r="I452" s="11"/>
      <c r="J452" s="11"/>
      <c r="K452" s="10">
        <v>2</v>
      </c>
      <c r="L452" s="192"/>
      <c r="M452" s="11"/>
      <c r="N452" s="134">
        <f t="shared" si="15"/>
        <v>2</v>
      </c>
      <c r="O452" s="135"/>
      <c r="P452" s="10"/>
      <c r="Q452" s="126" t="s">
        <v>1548</v>
      </c>
      <c r="R452" s="186"/>
      <c r="S452" s="92">
        <v>13000</v>
      </c>
      <c r="T452" s="93">
        <v>13455</v>
      </c>
      <c r="U452" s="12">
        <v>14040</v>
      </c>
      <c r="V452" s="13"/>
      <c r="W452" s="13"/>
      <c r="X452" s="14">
        <v>250</v>
      </c>
    </row>
    <row r="453" spans="1:24">
      <c r="A453" s="169" t="s">
        <v>448</v>
      </c>
      <c r="B453" s="51" t="str">
        <f>IFERROR(HYPERLINK(VLOOKUP(A453,ÜRÜNLER!A:C,3,FALSE),VLOOKUP(A453,ÜRÜNLER!A:B,2,FALSE)),"")</f>
        <v>Siemens Ev Tipi Klima Dış Ünite, 12.000BTU, Beyaz</v>
      </c>
      <c r="C453" s="8">
        <v>1</v>
      </c>
      <c r="D453" s="8"/>
      <c r="E453" s="9"/>
      <c r="F453" s="9"/>
      <c r="G453" s="10"/>
      <c r="H453" s="10"/>
      <c r="I453" s="11"/>
      <c r="J453" s="11"/>
      <c r="K453" s="10">
        <v>1</v>
      </c>
      <c r="L453" s="192"/>
      <c r="M453" s="11"/>
      <c r="N453" s="134">
        <f t="shared" si="15"/>
        <v>2</v>
      </c>
      <c r="O453" s="135"/>
      <c r="P453" s="10"/>
      <c r="Q453" s="126" t="s">
        <v>1548</v>
      </c>
      <c r="R453" s="186"/>
      <c r="S453" s="92">
        <v>18000</v>
      </c>
      <c r="T453" s="93">
        <v>18630</v>
      </c>
      <c r="U453" s="12">
        <v>19440</v>
      </c>
      <c r="V453" s="13"/>
      <c r="W453" s="13"/>
      <c r="X453" s="14"/>
    </row>
    <row r="454" spans="1:24">
      <c r="A454" s="170" t="s">
        <v>449</v>
      </c>
      <c r="B454" s="51" t="str">
        <f>IFERROR(HYPERLINK(VLOOKUP(A454,ÜRÜNLER!A:C,3,FALSE),VLOOKUP(A454,ÜRÜNLER!A:B,2,FALSE)),"")</f>
        <v>Siemens Ev Tipi Klima İç Ünite, 12.000BTU, Beyaz</v>
      </c>
      <c r="C454" s="8">
        <v>1</v>
      </c>
      <c r="D454" s="8"/>
      <c r="E454" s="9"/>
      <c r="F454" s="9">
        <v>1</v>
      </c>
      <c r="G454" s="10"/>
      <c r="H454" s="10"/>
      <c r="I454" s="11">
        <v>1</v>
      </c>
      <c r="J454" s="11"/>
      <c r="K454" s="10"/>
      <c r="L454" s="192"/>
      <c r="M454" s="11"/>
      <c r="N454" s="134">
        <f t="shared" si="15"/>
        <v>3</v>
      </c>
      <c r="O454" s="135"/>
      <c r="P454" s="10"/>
      <c r="Q454" s="118" t="s">
        <v>1548</v>
      </c>
      <c r="R454" s="52">
        <v>17599.318782707702</v>
      </c>
      <c r="S454" s="94">
        <v>18479.284721843087</v>
      </c>
      <c r="T454" s="12">
        <v>19126.059687107594</v>
      </c>
      <c r="U454" s="12">
        <v>19957.627499590533</v>
      </c>
      <c r="V454" s="13">
        <v>4399.6422482490671</v>
      </c>
      <c r="W454" s="13"/>
      <c r="X454" s="14">
        <v>250</v>
      </c>
    </row>
    <row r="455" spans="1:24">
      <c r="A455" s="170" t="s">
        <v>450</v>
      </c>
      <c r="B455" s="51" t="str">
        <f>IFERROR(HYPERLINK(VLOOKUP(A455,ÜRÜNLER!A:C,3,FALSE),VLOOKUP(A455,ÜRÜNLER!A:B,2,FALSE)),"")</f>
        <v>Siemens Ev Tipi Klima Dış Ünite, 12.000BTU, Beyaz</v>
      </c>
      <c r="C455" s="8">
        <v>1</v>
      </c>
      <c r="D455" s="8"/>
      <c r="E455" s="9"/>
      <c r="F455" s="9">
        <v>1</v>
      </c>
      <c r="G455" s="10"/>
      <c r="H455" s="10"/>
      <c r="I455" s="11"/>
      <c r="J455" s="11"/>
      <c r="K455" s="10">
        <v>1</v>
      </c>
      <c r="L455" s="192"/>
      <c r="M455" s="11"/>
      <c r="N455" s="134">
        <f t="shared" si="15"/>
        <v>3</v>
      </c>
      <c r="O455" s="135"/>
      <c r="P455" s="10"/>
      <c r="Q455" s="118" t="s">
        <v>1548</v>
      </c>
      <c r="R455" s="52">
        <v>26398.978174061547</v>
      </c>
      <c r="S455" s="94">
        <v>27718.927082764625</v>
      </c>
      <c r="T455" s="12">
        <v>28689.089530661386</v>
      </c>
      <c r="U455" s="12">
        <v>29936.441249385796</v>
      </c>
      <c r="V455" s="13"/>
      <c r="W455" s="13"/>
      <c r="X455" s="14"/>
    </row>
    <row r="456" spans="1:24">
      <c r="A456" s="171" t="s">
        <v>451</v>
      </c>
      <c r="B456" s="51" t="str">
        <f>IFERROR(HYPERLINK(VLOOKUP(A456,ÜRÜNLER!A:C,3,FALSE),VLOOKUP(A456,ÜRÜNLER!A:B,2,FALSE)),"")</f>
        <v>Siemens Ev Tipi Klima İç Ünite, 12.000BTU, Siyah</v>
      </c>
      <c r="C456" s="8">
        <v>2</v>
      </c>
      <c r="D456" s="8"/>
      <c r="E456" s="9"/>
      <c r="F456" s="9"/>
      <c r="G456" s="10"/>
      <c r="H456" s="10"/>
      <c r="I456" s="11"/>
      <c r="J456" s="11"/>
      <c r="K456" s="10"/>
      <c r="L456" s="192"/>
      <c r="M456" s="11"/>
      <c r="N456" s="134">
        <f t="shared" si="15"/>
        <v>2</v>
      </c>
      <c r="O456" s="135"/>
      <c r="P456" s="10"/>
      <c r="Q456" s="126" t="s">
        <v>1548</v>
      </c>
      <c r="R456" s="186">
        <v>19638.932436439351</v>
      </c>
      <c r="S456" s="94">
        <v>20620.879058261318</v>
      </c>
      <c r="T456" s="93">
        <v>21342.609825300464</v>
      </c>
      <c r="U456" s="12">
        <v>22270.549382922225</v>
      </c>
      <c r="V456" s="13">
        <v>4907.8692076903026</v>
      </c>
      <c r="W456" s="13"/>
      <c r="X456" s="14">
        <v>250</v>
      </c>
    </row>
    <row r="457" spans="1:24">
      <c r="A457" s="171" t="s">
        <v>452</v>
      </c>
      <c r="B457" s="51" t="str">
        <f>IFERROR(HYPERLINK(VLOOKUP(A457,ÜRÜNLER!A:C,3,FALSE),VLOOKUP(A457,ÜRÜNLER!A:B,2,FALSE)),"")</f>
        <v>Siemens Ev Tipi Klima Dış Ünite, 12.000BTU, Beyaz</v>
      </c>
      <c r="C457" s="8">
        <v>2</v>
      </c>
      <c r="D457" s="8"/>
      <c r="E457" s="9"/>
      <c r="F457" s="9"/>
      <c r="G457" s="10"/>
      <c r="H457" s="10"/>
      <c r="I457" s="11"/>
      <c r="J457" s="11"/>
      <c r="K457" s="10"/>
      <c r="L457" s="192"/>
      <c r="M457" s="11"/>
      <c r="N457" s="134">
        <f t="shared" si="15"/>
        <v>2</v>
      </c>
      <c r="O457" s="135"/>
      <c r="P457" s="10"/>
      <c r="Q457" s="126" t="s">
        <v>1548</v>
      </c>
      <c r="R457" s="186">
        <v>29458.398654659028</v>
      </c>
      <c r="S457" s="94">
        <v>30931.318587391979</v>
      </c>
      <c r="T457" s="93">
        <v>32013.914737950698</v>
      </c>
      <c r="U457" s="12">
        <v>33405.824074383338</v>
      </c>
      <c r="V457" s="13"/>
      <c r="W457" s="13"/>
      <c r="X457" s="14"/>
    </row>
    <row r="458" spans="1:24" s="16" customFormat="1">
      <c r="A458" s="170" t="s">
        <v>453</v>
      </c>
      <c r="B458" s="51" t="str">
        <f>IFERROR(HYPERLINK(VLOOKUP(A458,ÜRÜNLER!A:C,3,FALSE),VLOOKUP(A458,ÜRÜNLER!A:B,2,FALSE)),"")</f>
        <v>Siemens Ev Tipi Klima İç Ünite, 18.000BTU, Beyaz</v>
      </c>
      <c r="C458" s="8">
        <v>5</v>
      </c>
      <c r="D458" s="8"/>
      <c r="E458" s="9"/>
      <c r="F458" s="9"/>
      <c r="G458" s="10"/>
      <c r="H458" s="10"/>
      <c r="I458" s="11">
        <v>1</v>
      </c>
      <c r="J458" s="11"/>
      <c r="K458" s="10">
        <v>2</v>
      </c>
      <c r="L458" s="192"/>
      <c r="M458" s="11"/>
      <c r="N458" s="134">
        <f t="shared" si="15"/>
        <v>8</v>
      </c>
      <c r="O458" s="135"/>
      <c r="P458" s="10"/>
      <c r="Q458" s="127" t="s">
        <v>1548</v>
      </c>
      <c r="R458" s="52"/>
      <c r="S458" s="19">
        <v>20000</v>
      </c>
      <c r="T458" s="12">
        <v>20700</v>
      </c>
      <c r="U458" s="12">
        <v>21600</v>
      </c>
      <c r="V458" s="13"/>
      <c r="W458" s="13"/>
      <c r="X458" s="14">
        <v>250</v>
      </c>
    </row>
    <row r="459" spans="1:24" s="16" customFormat="1">
      <c r="A459" s="170" t="s">
        <v>454</v>
      </c>
      <c r="B459" s="51" t="str">
        <f>IFERROR(HYPERLINK(VLOOKUP(A459,ÜRÜNLER!A:C,3,FALSE),VLOOKUP(A459,ÜRÜNLER!A:B,2,FALSE)),"")</f>
        <v>Siemens Ev Tipi Klima Dış Ünite, 18.000BTU, Beyaz</v>
      </c>
      <c r="C459" s="8">
        <v>7</v>
      </c>
      <c r="D459" s="8"/>
      <c r="E459" s="9"/>
      <c r="F459" s="9"/>
      <c r="G459" s="10"/>
      <c r="H459" s="10"/>
      <c r="I459" s="11"/>
      <c r="J459" s="11"/>
      <c r="K459" s="10">
        <v>1</v>
      </c>
      <c r="L459" s="192"/>
      <c r="M459" s="11"/>
      <c r="N459" s="134">
        <f t="shared" si="15"/>
        <v>8</v>
      </c>
      <c r="O459" s="135"/>
      <c r="P459" s="10"/>
      <c r="Q459" s="127" t="s">
        <v>1548</v>
      </c>
      <c r="R459" s="52"/>
      <c r="S459" s="19">
        <v>34000</v>
      </c>
      <c r="T459" s="12">
        <v>35190</v>
      </c>
      <c r="U459" s="12">
        <v>36720</v>
      </c>
      <c r="V459" s="13"/>
      <c r="W459" s="13"/>
      <c r="X459" s="14"/>
    </row>
    <row r="460" spans="1:24">
      <c r="A460" s="171" t="s">
        <v>455</v>
      </c>
      <c r="B460" s="51" t="str">
        <f>IFERROR(HYPERLINK(VLOOKUP(A460,ÜRÜNLER!A:C,3,FALSE),VLOOKUP(A460,ÜRÜNLER!A:B,2,FALSE)),"")</f>
        <v>Siemens Ev Tipi Klima İç Ünite, 18.000BTU,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92"/>
      <c r="M460" s="11"/>
      <c r="N460" s="134">
        <f t="shared" si="15"/>
        <v>2</v>
      </c>
      <c r="O460" s="135"/>
      <c r="P460" s="10"/>
      <c r="Q460" s="126" t="s">
        <v>1548</v>
      </c>
      <c r="R460" s="186">
        <v>27721.370472790273</v>
      </c>
      <c r="S460" s="94">
        <v>29107.438996429788</v>
      </c>
      <c r="T460" s="93">
        <v>30126.199361304829</v>
      </c>
      <c r="U460" s="12">
        <v>31436.034116144172</v>
      </c>
      <c r="V460" s="13">
        <v>6923.3813389263523</v>
      </c>
      <c r="W460" s="13"/>
      <c r="X460" s="14">
        <v>250</v>
      </c>
    </row>
    <row r="461" spans="1:24">
      <c r="A461" s="171" t="s">
        <v>456</v>
      </c>
      <c r="B461" s="51" t="str">
        <f>IFERROR(HYPERLINK(VLOOKUP(A461,ÜRÜNLER!A:C,3,FALSE),VLOOKUP(A461,ÜRÜNLER!A:B,2,FALSE)),"")</f>
        <v>Siemens Ev Tipi Klima Dış Ünite, 18.000BTU,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92"/>
      <c r="M461" s="11"/>
      <c r="N461" s="134">
        <f t="shared" si="15"/>
        <v>2</v>
      </c>
      <c r="O461" s="135"/>
      <c r="P461" s="10"/>
      <c r="Q461" s="126" t="s">
        <v>1548</v>
      </c>
      <c r="R461" s="186">
        <v>41582.055709185406</v>
      </c>
      <c r="S461" s="94">
        <v>43661.158494644675</v>
      </c>
      <c r="T461" s="93">
        <v>45189.299041957238</v>
      </c>
      <c r="U461" s="12">
        <v>47154.051174216249</v>
      </c>
      <c r="V461" s="13"/>
      <c r="W461" s="13"/>
      <c r="X461" s="14"/>
    </row>
    <row r="462" spans="1:24" s="16" customFormat="1">
      <c r="A462" s="142" t="s">
        <v>457</v>
      </c>
      <c r="B462" s="51" t="str">
        <f>IFERROR(HYPERLINK(VLOOKUP(A462,ÜRÜNLER!A:C,3,FALSE),VLOOKUP(A462,ÜRÜNLER!A:B,2,FALSE)),"")</f>
        <v>Siemens Ev Tipi Klima İç Ünite, 24.000BTU, Beyaz</v>
      </c>
      <c r="C462" s="8"/>
      <c r="D462" s="8"/>
      <c r="E462" s="9"/>
      <c r="F462" s="9"/>
      <c r="G462" s="10"/>
      <c r="H462" s="10"/>
      <c r="I462" s="11"/>
      <c r="J462" s="11"/>
      <c r="K462" s="10">
        <v>1</v>
      </c>
      <c r="L462" s="192"/>
      <c r="M462" s="11"/>
      <c r="N462" s="134">
        <f t="shared" si="15"/>
        <v>1</v>
      </c>
      <c r="O462" s="135"/>
      <c r="P462" s="10"/>
      <c r="Q462" s="127"/>
      <c r="R462" s="52"/>
      <c r="S462" s="19">
        <v>24000</v>
      </c>
      <c r="T462" s="12">
        <v>24840</v>
      </c>
      <c r="U462" s="12">
        <v>25920</v>
      </c>
      <c r="V462" s="13"/>
      <c r="W462" s="13"/>
      <c r="X462" s="14">
        <v>250</v>
      </c>
    </row>
    <row r="463" spans="1:24" s="16" customFormat="1">
      <c r="A463" s="142" t="s">
        <v>458</v>
      </c>
      <c r="B463" s="51" t="str">
        <f>IFERROR(HYPERLINK(VLOOKUP(A463,ÜRÜNLER!A:C,3,FALSE),VLOOKUP(A463,ÜRÜNLER!A:B,2,FALSE)),"")</f>
        <v>Siemens Ev Tipi Klima Dış Ünite, 24.000BTU, Beyaz</v>
      </c>
      <c r="C463" s="8"/>
      <c r="D463" s="8"/>
      <c r="E463" s="9"/>
      <c r="F463" s="9"/>
      <c r="G463" s="10"/>
      <c r="H463" s="10"/>
      <c r="I463" s="11"/>
      <c r="J463" s="11"/>
      <c r="K463" s="10">
        <v>1</v>
      </c>
      <c r="L463" s="192"/>
      <c r="M463" s="11"/>
      <c r="N463" s="134">
        <f t="shared" si="15"/>
        <v>1</v>
      </c>
      <c r="O463" s="135"/>
      <c r="P463" s="10"/>
      <c r="Q463" s="127"/>
      <c r="R463" s="52"/>
      <c r="S463" s="19">
        <v>35000</v>
      </c>
      <c r="T463" s="12">
        <v>36225</v>
      </c>
      <c r="U463" s="12">
        <v>37800</v>
      </c>
      <c r="V463" s="13"/>
      <c r="W463" s="13"/>
      <c r="X463" s="14"/>
    </row>
    <row r="464" spans="1:24" s="16" customFormat="1">
      <c r="A464" s="172" t="s">
        <v>1480</v>
      </c>
      <c r="B464" s="51" t="str">
        <f>IFERROR(HYPERLINK(VLOOKUP(A464,ÜRÜNLER!A:C,3,FALSE),VLOOKUP(A464,ÜRÜNLER!A:B,2,FALSE)),"")</f>
        <v>Siemens Ev Tipi Klima İç Ünite, 24.000BTU, Beyaz</v>
      </c>
      <c r="C464" s="8">
        <v>4</v>
      </c>
      <c r="D464" s="8"/>
      <c r="E464" s="9"/>
      <c r="F464" s="9"/>
      <c r="G464" s="10"/>
      <c r="H464" s="10"/>
      <c r="I464" s="11"/>
      <c r="J464" s="11"/>
      <c r="K464" s="10"/>
      <c r="L464" s="192"/>
      <c r="M464" s="11"/>
      <c r="N464" s="134">
        <f t="shared" si="15"/>
        <v>4</v>
      </c>
      <c r="O464" s="136"/>
      <c r="P464" s="10"/>
      <c r="Q464" s="128"/>
      <c r="R464" s="186">
        <v>30075.909952049711</v>
      </c>
      <c r="S464" s="94">
        <v>33083.500947254681</v>
      </c>
      <c r="T464" s="93">
        <v>34241.423480408594</v>
      </c>
      <c r="U464" s="12">
        <v>35730.181023035053</v>
      </c>
      <c r="V464" s="13">
        <v>7512.6448352812149</v>
      </c>
      <c r="W464" s="13"/>
      <c r="X464" s="14">
        <v>250</v>
      </c>
    </row>
    <row r="465" spans="1:24" s="16" customFormat="1">
      <c r="A465" s="172" t="s">
        <v>1481</v>
      </c>
      <c r="B465" s="51" t="str">
        <f>IFERROR(HYPERLINK(VLOOKUP(A465,ÜRÜNLER!A:C,3,FALSE),VLOOKUP(A465,ÜRÜNLER!A:B,2,FALSE)),"")</f>
        <v>Siemens Ev Tipi Klima Dış Ünite, 24.000BTU, Beyaz</v>
      </c>
      <c r="C465" s="8">
        <v>4</v>
      </c>
      <c r="D465" s="8"/>
      <c r="E465" s="9"/>
      <c r="F465" s="9"/>
      <c r="G465" s="10"/>
      <c r="H465" s="10"/>
      <c r="I465" s="11"/>
      <c r="J465" s="11"/>
      <c r="K465" s="10"/>
      <c r="L465" s="192"/>
      <c r="M465" s="11"/>
      <c r="N465" s="134">
        <f t="shared" si="15"/>
        <v>4</v>
      </c>
      <c r="O465" s="136"/>
      <c r="P465" s="10"/>
      <c r="Q465" s="128"/>
      <c r="R465" s="186">
        <v>45113.864928074559</v>
      </c>
      <c r="S465" s="94">
        <v>49625.251420882014</v>
      </c>
      <c r="T465" s="93">
        <v>51362.135220612887</v>
      </c>
      <c r="U465" s="12">
        <v>53595.271534552572</v>
      </c>
      <c r="V465" s="13"/>
      <c r="W465" s="13"/>
      <c r="X465" s="14"/>
    </row>
    <row r="466" spans="1:24">
      <c r="A466" s="142" t="s">
        <v>1317</v>
      </c>
      <c r="B466" s="51" t="str">
        <f>IFERROR(HYPERLINK(VLOOKUP(A466,ÜRÜNLER!A:C,3,FALSE),VLOOKUP(A466,ÜRÜNLER!A:B,2,FALSE)),"")</f>
        <v>SHAZA Akım Korumalı Akıllı Priz (Beyaz)</v>
      </c>
      <c r="C466" s="8"/>
      <c r="D466" s="8"/>
      <c r="E466" s="9"/>
      <c r="F466" s="9"/>
      <c r="G466" s="10"/>
      <c r="H466" s="10"/>
      <c r="I466" s="11">
        <v>7</v>
      </c>
      <c r="J466" s="11">
        <v>5</v>
      </c>
      <c r="K466" s="10"/>
      <c r="L466" s="192"/>
      <c r="M466" s="11"/>
      <c r="N466" s="134">
        <f t="shared" si="15"/>
        <v>12</v>
      </c>
      <c r="O466" s="135"/>
      <c r="P466" s="10"/>
      <c r="S466" s="15">
        <v>850</v>
      </c>
      <c r="T466" s="42">
        <v>879.75</v>
      </c>
      <c r="U466" s="12">
        <v>918</v>
      </c>
      <c r="V466" s="13"/>
      <c r="W466" s="13"/>
    </row>
    <row r="467" spans="1:24">
      <c r="A467" s="142" t="s">
        <v>1318</v>
      </c>
      <c r="B467" s="51" t="str">
        <f>IFERROR(HYPERLINK(VLOOKUP(A467,ÜRÜNLER!A:C,3,FALSE),VLOOKUP(A467,ÜRÜNLER!A:B,2,FALSE)),"")</f>
        <v>SHAZA Akım Korumalı Üçlü Priz (Beyaz)</v>
      </c>
      <c r="C467" s="8"/>
      <c r="D467" s="8"/>
      <c r="E467" s="9"/>
      <c r="F467" s="9">
        <v>5</v>
      </c>
      <c r="G467" s="10"/>
      <c r="H467" s="10"/>
      <c r="I467" s="11">
        <v>24</v>
      </c>
      <c r="J467" s="11">
        <v>4</v>
      </c>
      <c r="K467" s="10"/>
      <c r="L467" s="192"/>
      <c r="M467" s="11"/>
      <c r="N467" s="134">
        <f t="shared" si="15"/>
        <v>33</v>
      </c>
      <c r="O467" s="135"/>
      <c r="P467" s="10"/>
      <c r="S467" s="41">
        <v>850</v>
      </c>
      <c r="T467" s="42">
        <v>879.75</v>
      </c>
      <c r="U467" s="12">
        <v>918</v>
      </c>
      <c r="V467" s="13"/>
      <c r="W467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26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">
        <v>1590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7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7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8" t="s">
        <v>459</v>
      </c>
      <c r="B12" s="198"/>
      <c r="C12" s="198"/>
      <c r="D12" s="198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8" t="s">
        <v>460</v>
      </c>
      <c r="B13" s="198"/>
      <c r="C13" s="198"/>
      <c r="D13" s="198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8" t="s">
        <v>1310</v>
      </c>
      <c r="B14" s="198"/>
      <c r="C14" s="198"/>
      <c r="D14" s="198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8" t="s">
        <v>462</v>
      </c>
      <c r="B15" s="198"/>
      <c r="C15" s="198"/>
      <c r="D15" s="198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6" t="s">
        <v>461</v>
      </c>
      <c r="B16" s="196"/>
      <c r="C16" s="196"/>
      <c r="D16" s="196"/>
      <c r="E16" s="72">
        <f>SUM(E12:E15)</f>
        <v>-38160</v>
      </c>
      <c r="F16" s="72">
        <f>SUM(F12:F15)</f>
        <v>-20160</v>
      </c>
      <c r="I16"/>
      <c r="J16"/>
    </row>
    <row r="17" spans="1:8">
      <c r="A17" s="194" t="s">
        <v>1341</v>
      </c>
      <c r="B17" s="194"/>
      <c r="C17" s="194"/>
      <c r="D17" s="194"/>
      <c r="E17" s="195">
        <f>E16*1.08</f>
        <v>-41212.800000000003</v>
      </c>
      <c r="F17" s="195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D11" sqref="D11:E18"/>
    </sheetView>
  </sheetViews>
  <sheetFormatPr defaultColWidth="9.140625" defaultRowHeight="34.5"/>
  <cols>
    <col min="1" max="1" width="5.140625" style="180" customWidth="1"/>
    <col min="2" max="2" width="2.28515625" style="178" customWidth="1"/>
    <col min="3" max="3" width="79.5703125" style="178" customWidth="1"/>
    <col min="4" max="4" width="79.140625" style="178" customWidth="1"/>
    <col min="5" max="5" width="125.140625" style="178" customWidth="1"/>
    <col min="6" max="6" width="5.42578125" style="178" bestFit="1" customWidth="1"/>
    <col min="7" max="7" width="9.140625" style="178" hidden="1" customWidth="1"/>
    <col min="8" max="8" width="9.140625" style="178"/>
    <col min="9" max="9" width="9.140625" style="178" customWidth="1"/>
    <col min="10" max="10" width="9.140625" style="178"/>
    <col min="11" max="11" width="60.5703125" style="178" customWidth="1"/>
    <col min="12" max="12" width="97.28515625" style="178" customWidth="1"/>
    <col min="13" max="13" width="79.28515625" style="178" customWidth="1"/>
    <col min="14" max="16384" width="9.140625" style="178"/>
  </cols>
  <sheetData>
    <row r="1" spans="3:13" ht="35.25" thickBot="1"/>
    <row r="2" spans="3:13">
      <c r="C2" s="199" t="s">
        <v>1565</v>
      </c>
      <c r="D2" s="202" t="s">
        <v>1566</v>
      </c>
      <c r="E2" s="203"/>
    </row>
    <row r="3" spans="3:13">
      <c r="C3" s="200"/>
      <c r="D3" s="204"/>
      <c r="E3" s="205"/>
    </row>
    <row r="4" spans="3:13">
      <c r="C4" s="200"/>
      <c r="D4" s="204"/>
      <c r="E4" s="205"/>
    </row>
    <row r="5" spans="3:13">
      <c r="C5" s="200"/>
      <c r="D5" s="204"/>
      <c r="E5" s="205"/>
    </row>
    <row r="6" spans="3:13">
      <c r="C6" s="200"/>
      <c r="D6" s="204"/>
      <c r="E6" s="205"/>
    </row>
    <row r="7" spans="3:13">
      <c r="C7" s="200"/>
      <c r="D7" s="204"/>
      <c r="E7" s="205"/>
    </row>
    <row r="8" spans="3:13" ht="35.25" customHeight="1" thickBot="1">
      <c r="C8" s="200"/>
      <c r="D8" s="204"/>
      <c r="E8" s="205"/>
    </row>
    <row r="9" spans="3:13" ht="34.5" customHeight="1" thickBot="1">
      <c r="C9" s="201"/>
      <c r="D9" s="206"/>
      <c r="E9" s="207"/>
      <c r="K9" s="199" t="s">
        <v>1567</v>
      </c>
      <c r="L9" s="208" t="s">
        <v>468</v>
      </c>
      <c r="M9" s="209"/>
    </row>
    <row r="10" spans="3:13" ht="35.25" customHeight="1" thickBot="1">
      <c r="K10" s="200"/>
      <c r="L10" s="210"/>
      <c r="M10" s="211"/>
    </row>
    <row r="11" spans="3:13" ht="34.5" customHeight="1">
      <c r="C11" s="199" t="s">
        <v>1568</v>
      </c>
      <c r="D11" s="202" t="s">
        <v>1569</v>
      </c>
      <c r="E11" s="203"/>
      <c r="K11" s="200"/>
      <c r="L11" s="212" t="s">
        <v>1570</v>
      </c>
      <c r="M11" s="213"/>
    </row>
    <row r="12" spans="3:13" ht="34.5" customHeight="1">
      <c r="C12" s="200"/>
      <c r="D12" s="204"/>
      <c r="E12" s="205"/>
      <c r="K12" s="200"/>
      <c r="L12" s="214"/>
      <c r="M12" s="215"/>
    </row>
    <row r="13" spans="3:13" ht="113.25" customHeight="1" thickBot="1">
      <c r="C13" s="200"/>
      <c r="D13" s="204"/>
      <c r="E13" s="205"/>
      <c r="K13" s="200"/>
      <c r="L13" s="214"/>
      <c r="M13" s="215"/>
    </row>
    <row r="14" spans="3:13" ht="36" hidden="1" customHeight="1" thickBot="1">
      <c r="C14" s="200"/>
      <c r="D14" s="204"/>
      <c r="E14" s="205"/>
      <c r="K14" s="200"/>
      <c r="L14" s="216"/>
      <c r="M14" s="217"/>
    </row>
    <row r="15" spans="3:13" ht="34.5" customHeight="1">
      <c r="C15" s="200"/>
      <c r="D15" s="204"/>
      <c r="E15" s="205"/>
      <c r="K15" s="200"/>
      <c r="L15" s="218" t="s">
        <v>1571</v>
      </c>
      <c r="M15" s="219"/>
    </row>
    <row r="16" spans="3:13" ht="35.25" customHeight="1">
      <c r="C16" s="200"/>
      <c r="D16" s="204"/>
      <c r="E16" s="205"/>
      <c r="K16" s="200"/>
      <c r="L16" s="220"/>
      <c r="M16" s="221"/>
    </row>
    <row r="17" spans="3:13">
      <c r="C17" s="200"/>
      <c r="D17" s="204"/>
      <c r="E17" s="205"/>
      <c r="K17" s="200"/>
      <c r="L17" s="220"/>
      <c r="M17" s="221"/>
    </row>
    <row r="18" spans="3:13" ht="34.5" customHeight="1" thickBot="1">
      <c r="C18" s="201"/>
      <c r="D18" s="206"/>
      <c r="E18" s="207"/>
      <c r="K18" s="200"/>
      <c r="L18" s="220"/>
      <c r="M18" s="221"/>
    </row>
    <row r="19" spans="3:13" ht="0.75" customHeight="1">
      <c r="K19" s="200"/>
      <c r="L19" s="220"/>
      <c r="M19" s="221"/>
    </row>
    <row r="20" spans="3:13" ht="34.5" customHeight="1" thickBot="1">
      <c r="K20" s="200"/>
      <c r="L20" s="220"/>
      <c r="M20" s="221"/>
    </row>
    <row r="21" spans="3:13" ht="9" customHeight="1">
      <c r="C21" s="199" t="s">
        <v>1572</v>
      </c>
      <c r="D21" s="202" t="s">
        <v>1573</v>
      </c>
      <c r="E21" s="203"/>
      <c r="K21" s="200"/>
      <c r="L21" s="220"/>
      <c r="M21" s="221"/>
    </row>
    <row r="22" spans="3:13" ht="35.25" hidden="1" customHeight="1">
      <c r="C22" s="200"/>
      <c r="D22" s="204"/>
      <c r="E22" s="205"/>
      <c r="K22" s="200"/>
      <c r="L22" s="220"/>
      <c r="M22" s="221"/>
    </row>
    <row r="23" spans="3:13" ht="173.25" hidden="1" customHeight="1">
      <c r="C23" s="200"/>
      <c r="D23" s="204"/>
      <c r="E23" s="205"/>
      <c r="K23" s="200"/>
      <c r="L23" s="220"/>
      <c r="M23" s="221"/>
    </row>
    <row r="24" spans="3:13" ht="22.5" customHeight="1" thickBot="1">
      <c r="C24" s="200"/>
      <c r="D24" s="204"/>
      <c r="E24" s="205"/>
      <c r="K24" s="201"/>
      <c r="L24" s="222"/>
      <c r="M24" s="223"/>
    </row>
    <row r="25" spans="3:13" ht="34.5" customHeight="1">
      <c r="C25" s="200"/>
      <c r="D25" s="204"/>
      <c r="E25" s="205"/>
    </row>
    <row r="26" spans="3:13" ht="35.25" customHeight="1" thickBot="1">
      <c r="C26" s="200"/>
      <c r="D26" s="204"/>
      <c r="E26" s="205"/>
    </row>
    <row r="27" spans="3:13" ht="34.5" customHeight="1">
      <c r="C27" s="200"/>
      <c r="D27" s="204"/>
      <c r="E27" s="205"/>
      <c r="K27" s="199" t="s">
        <v>1574</v>
      </c>
      <c r="L27" s="208" t="s">
        <v>469</v>
      </c>
      <c r="M27" s="209"/>
    </row>
    <row r="28" spans="3:13" ht="35.25" customHeight="1" thickBot="1">
      <c r="C28" s="200"/>
      <c r="D28" s="206"/>
      <c r="E28" s="207"/>
      <c r="K28" s="200"/>
      <c r="L28" s="210"/>
      <c r="M28" s="211"/>
    </row>
    <row r="29" spans="3:13" ht="6.75" customHeight="1">
      <c r="C29" s="200"/>
      <c r="D29" s="218" t="s">
        <v>1575</v>
      </c>
      <c r="E29" s="219"/>
      <c r="K29" s="200"/>
      <c r="L29" s="212" t="s">
        <v>1576</v>
      </c>
      <c r="M29" s="213"/>
    </row>
    <row r="30" spans="3:13" ht="36" hidden="1" customHeight="1" thickBot="1">
      <c r="C30" s="200"/>
      <c r="D30" s="220"/>
      <c r="E30" s="221"/>
      <c r="K30" s="200"/>
      <c r="L30" s="214"/>
      <c r="M30" s="215"/>
    </row>
    <row r="31" spans="3:13" ht="179.25" customHeight="1">
      <c r="C31" s="200"/>
      <c r="D31" s="220"/>
      <c r="E31" s="221"/>
      <c r="K31" s="200"/>
      <c r="L31" s="214"/>
      <c r="M31" s="215"/>
    </row>
    <row r="32" spans="3:13" ht="35.25" customHeight="1" thickBot="1">
      <c r="C32" s="200"/>
      <c r="D32" s="220"/>
      <c r="E32" s="221"/>
      <c r="K32" s="200"/>
      <c r="L32" s="216"/>
      <c r="M32" s="217"/>
    </row>
    <row r="33" spans="3:33" ht="34.5" customHeight="1">
      <c r="C33" s="200"/>
      <c r="D33" s="220"/>
      <c r="E33" s="221"/>
      <c r="K33" s="200"/>
      <c r="L33" s="224" t="s">
        <v>1577</v>
      </c>
      <c r="M33" s="225"/>
    </row>
    <row r="34" spans="3:33" ht="39.75" customHeight="1" thickBot="1">
      <c r="C34" s="201"/>
      <c r="D34" s="222"/>
      <c r="E34" s="223"/>
      <c r="K34" s="200"/>
      <c r="L34" s="226"/>
      <c r="M34" s="227"/>
    </row>
    <row r="35" spans="3:33" ht="34.5" customHeight="1" thickBot="1">
      <c r="K35" s="200"/>
      <c r="L35" s="226"/>
      <c r="M35" s="227"/>
      <c r="AG35" s="179"/>
    </row>
    <row r="36" spans="3:33" ht="35.25" customHeight="1">
      <c r="C36" s="199" t="s">
        <v>1578</v>
      </c>
      <c r="D36" s="208" t="s">
        <v>470</v>
      </c>
      <c r="E36" s="209"/>
      <c r="K36" s="200"/>
      <c r="L36" s="226"/>
      <c r="M36" s="227"/>
      <c r="AG36" s="179"/>
    </row>
    <row r="37" spans="3:33" ht="35.25" customHeight="1" thickBot="1">
      <c r="C37" s="200"/>
      <c r="D37" s="210"/>
      <c r="E37" s="211"/>
      <c r="K37" s="201"/>
      <c r="L37" s="228"/>
      <c r="M37" s="229"/>
      <c r="AG37" s="179"/>
    </row>
    <row r="38" spans="3:33" ht="34.5" customHeight="1">
      <c r="C38" s="200"/>
      <c r="D38" s="246" t="s">
        <v>1579</v>
      </c>
      <c r="E38" s="247"/>
      <c r="AG38" s="179"/>
    </row>
    <row r="39" spans="3:33" ht="35.25" customHeight="1" thickBot="1">
      <c r="C39" s="200"/>
      <c r="D39" s="248"/>
      <c r="E39" s="249"/>
      <c r="AG39" s="179"/>
    </row>
    <row r="40" spans="3:33" ht="83.25" customHeight="1">
      <c r="C40" s="200"/>
      <c r="D40" s="248"/>
      <c r="E40" s="249"/>
      <c r="K40" s="199" t="s">
        <v>1580</v>
      </c>
      <c r="L40" s="212" t="s">
        <v>1581</v>
      </c>
      <c r="M40" s="213"/>
      <c r="AG40" s="179"/>
    </row>
    <row r="41" spans="3:33" ht="218.25" customHeight="1" thickBot="1">
      <c r="C41" s="200"/>
      <c r="D41" s="248"/>
      <c r="E41" s="249"/>
      <c r="K41" s="200"/>
      <c r="L41" s="216"/>
      <c r="M41" s="217"/>
      <c r="AG41" s="179"/>
    </row>
    <row r="42" spans="3:33" ht="34.5" customHeight="1">
      <c r="C42" s="200"/>
      <c r="D42" s="248"/>
      <c r="E42" s="249"/>
      <c r="K42" s="200"/>
      <c r="L42" s="230" t="s">
        <v>471</v>
      </c>
      <c r="M42" s="231"/>
    </row>
    <row r="43" spans="3:33" ht="34.5" customHeight="1" thickBot="1">
      <c r="C43" s="200"/>
      <c r="D43" s="250"/>
      <c r="E43" s="251"/>
      <c r="K43" s="200"/>
      <c r="L43" s="232"/>
      <c r="M43" s="233"/>
    </row>
    <row r="44" spans="3:33" ht="34.5" customHeight="1">
      <c r="C44" s="200"/>
      <c r="D44" s="236" t="s">
        <v>1582</v>
      </c>
      <c r="E44" s="237"/>
      <c r="K44" s="200"/>
      <c r="L44" s="232"/>
      <c r="M44" s="233"/>
    </row>
    <row r="45" spans="3:33" ht="35.25" customHeight="1" thickBot="1">
      <c r="C45" s="200"/>
      <c r="D45" s="238"/>
      <c r="E45" s="239"/>
      <c r="K45" s="200"/>
      <c r="L45" s="234"/>
      <c r="M45" s="235"/>
    </row>
    <row r="46" spans="3:33" ht="34.5" customHeight="1">
      <c r="C46" s="200"/>
      <c r="D46" s="238"/>
      <c r="E46" s="239"/>
      <c r="K46" s="200"/>
      <c r="L46" s="218" t="s">
        <v>1583</v>
      </c>
      <c r="M46" s="219"/>
    </row>
    <row r="47" spans="3:33" ht="34.5" customHeight="1">
      <c r="C47" s="200"/>
      <c r="D47" s="238"/>
      <c r="E47" s="239"/>
      <c r="K47" s="200"/>
      <c r="L47" s="220"/>
      <c r="M47" s="221"/>
    </row>
    <row r="48" spans="3:33" ht="34.5" customHeight="1">
      <c r="C48" s="200"/>
      <c r="D48" s="238"/>
      <c r="E48" s="239"/>
      <c r="K48" s="200"/>
      <c r="L48" s="220"/>
      <c r="M48" s="221"/>
    </row>
    <row r="49" spans="3:13" ht="34.5" customHeight="1" thickBot="1">
      <c r="C49" s="201"/>
      <c r="D49" s="240"/>
      <c r="E49" s="241"/>
      <c r="K49" s="200"/>
      <c r="L49" s="220"/>
      <c r="M49" s="221"/>
    </row>
    <row r="50" spans="3:13" ht="34.5" customHeight="1" thickBot="1">
      <c r="K50" s="200"/>
      <c r="L50" s="220"/>
      <c r="M50" s="221"/>
    </row>
    <row r="51" spans="3:13" ht="35.25" customHeight="1">
      <c r="C51" s="199" t="s">
        <v>1584</v>
      </c>
      <c r="D51" s="202" t="s">
        <v>1585</v>
      </c>
      <c r="E51" s="203"/>
      <c r="K51" s="200"/>
      <c r="L51" s="220"/>
      <c r="M51" s="221"/>
    </row>
    <row r="52" spans="3:13" ht="34.5" customHeight="1">
      <c r="C52" s="200"/>
      <c r="D52" s="204"/>
      <c r="E52" s="205"/>
      <c r="K52" s="200"/>
      <c r="L52" s="220"/>
      <c r="M52" s="221"/>
    </row>
    <row r="53" spans="3:13" ht="34.5" customHeight="1">
      <c r="C53" s="200"/>
      <c r="D53" s="204"/>
      <c r="E53" s="205"/>
      <c r="K53" s="200"/>
      <c r="L53" s="220"/>
      <c r="M53" s="221"/>
    </row>
    <row r="54" spans="3:13" ht="34.5" customHeight="1">
      <c r="C54" s="200"/>
      <c r="D54" s="204"/>
      <c r="E54" s="205"/>
      <c r="K54" s="200"/>
      <c r="L54" s="220"/>
      <c r="M54" s="221"/>
    </row>
    <row r="55" spans="3:13" ht="35.25" customHeight="1" thickBot="1">
      <c r="C55" s="200"/>
      <c r="D55" s="204"/>
      <c r="E55" s="205"/>
      <c r="K55" s="201"/>
      <c r="L55" s="222"/>
      <c r="M55" s="223"/>
    </row>
    <row r="56" spans="3:13">
      <c r="C56" s="200"/>
      <c r="D56" s="204"/>
      <c r="E56" s="205"/>
    </row>
    <row r="57" spans="3:13" ht="35.25" thickBot="1">
      <c r="C57" s="200"/>
      <c r="D57" s="204"/>
      <c r="E57" s="205"/>
    </row>
    <row r="58" spans="3:13" ht="143.25" customHeight="1" thickBot="1">
      <c r="C58" s="201"/>
      <c r="D58" s="206"/>
      <c r="E58" s="207"/>
      <c r="K58" s="199" t="s">
        <v>1586</v>
      </c>
      <c r="L58" s="242" t="s">
        <v>1587</v>
      </c>
      <c r="M58" s="243"/>
    </row>
    <row r="59" spans="3:13" ht="143.25" customHeight="1" thickBot="1">
      <c r="K59" s="200"/>
      <c r="L59" s="244"/>
      <c r="M59" s="245"/>
    </row>
    <row r="60" spans="3:13" ht="34.5" customHeight="1">
      <c r="K60" s="200"/>
      <c r="L60" s="230" t="s">
        <v>471</v>
      </c>
      <c r="M60" s="231"/>
    </row>
    <row r="61" spans="3:13">
      <c r="K61" s="200"/>
      <c r="L61" s="232"/>
      <c r="M61" s="233"/>
    </row>
    <row r="62" spans="3:13">
      <c r="K62" s="200"/>
      <c r="L62" s="232"/>
      <c r="M62" s="233"/>
    </row>
    <row r="63" spans="3:13" ht="35.25" thickBot="1">
      <c r="K63" s="200"/>
      <c r="L63" s="234"/>
      <c r="M63" s="235"/>
    </row>
    <row r="64" spans="3:13">
      <c r="K64" s="200"/>
      <c r="L64" s="218" t="s">
        <v>1588</v>
      </c>
      <c r="M64" s="219"/>
    </row>
    <row r="65" spans="11:13">
      <c r="K65" s="200"/>
      <c r="L65" s="220"/>
      <c r="M65" s="221"/>
    </row>
    <row r="66" spans="11:13">
      <c r="K66" s="200"/>
      <c r="L66" s="220"/>
      <c r="M66" s="221"/>
    </row>
    <row r="67" spans="11:13">
      <c r="K67" s="200"/>
      <c r="L67" s="220"/>
      <c r="M67" s="221"/>
    </row>
    <row r="68" spans="11:13">
      <c r="K68" s="200"/>
      <c r="L68" s="220"/>
      <c r="M68" s="221"/>
    </row>
    <row r="69" spans="11:13">
      <c r="K69" s="200"/>
      <c r="L69" s="220"/>
      <c r="M69" s="221"/>
    </row>
    <row r="70" spans="11:13">
      <c r="K70" s="200"/>
      <c r="L70" s="220"/>
      <c r="M70" s="221"/>
    </row>
    <row r="71" spans="11:13">
      <c r="K71" s="200"/>
      <c r="L71" s="220"/>
      <c r="M71" s="221"/>
    </row>
    <row r="72" spans="11:13">
      <c r="K72" s="200"/>
      <c r="L72" s="220"/>
      <c r="M72" s="221"/>
    </row>
    <row r="73" spans="11:13" ht="35.25" thickBot="1">
      <c r="K73" s="201"/>
      <c r="L73" s="222"/>
      <c r="M73" s="223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D563"/>
  <sheetViews>
    <sheetView topLeftCell="A540" workbookViewId="0">
      <selection activeCell="B562" sqref="B562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49.85546875" style="112" customWidth="1"/>
    <col min="4" max="4" width="24.7109375" style="111" bestFit="1" customWidth="1"/>
    <col min="5" max="16384" width="9.140625" style="111"/>
  </cols>
  <sheetData>
    <row r="1" spans="1:4">
      <c r="A1" s="109" t="s">
        <v>848</v>
      </c>
      <c r="B1" s="109" t="s">
        <v>849</v>
      </c>
      <c r="C1" s="110" t="s">
        <v>850</v>
      </c>
      <c r="D1" s="110" t="s">
        <v>1615</v>
      </c>
    </row>
    <row r="2" spans="1:4">
      <c r="A2" s="111" t="s">
        <v>1488</v>
      </c>
      <c r="B2" s="83" t="s">
        <v>1598</v>
      </c>
      <c r="C2" s="86" t="s">
        <v>1509</v>
      </c>
      <c r="D2" s="111" t="s">
        <v>1616</v>
      </c>
    </row>
    <row r="3" spans="1:4">
      <c r="A3" s="82" t="s">
        <v>445</v>
      </c>
      <c r="B3" s="83" t="s">
        <v>838</v>
      </c>
      <c r="C3" s="84" t="s">
        <v>1302</v>
      </c>
      <c r="D3" s="111" t="s">
        <v>1617</v>
      </c>
    </row>
    <row r="4" spans="1:4">
      <c r="A4" s="82" t="s">
        <v>446</v>
      </c>
      <c r="B4" s="83" t="s">
        <v>839</v>
      </c>
      <c r="C4" s="84" t="s">
        <v>1302</v>
      </c>
      <c r="D4" s="111" t="s">
        <v>1617</v>
      </c>
    </row>
    <row r="5" spans="1:4">
      <c r="A5" s="82" t="s">
        <v>447</v>
      </c>
      <c r="B5" s="83" t="s">
        <v>840</v>
      </c>
      <c r="C5" s="84" t="s">
        <v>1303</v>
      </c>
      <c r="D5" s="111" t="s">
        <v>1617</v>
      </c>
    </row>
    <row r="6" spans="1:4">
      <c r="A6" s="82" t="s">
        <v>449</v>
      </c>
      <c r="B6" s="83" t="s">
        <v>840</v>
      </c>
      <c r="C6" s="84" t="s">
        <v>1303</v>
      </c>
      <c r="D6" s="111" t="s">
        <v>1617</v>
      </c>
    </row>
    <row r="7" spans="1:4">
      <c r="A7" s="82" t="s">
        <v>451</v>
      </c>
      <c r="B7" s="83" t="s">
        <v>842</v>
      </c>
      <c r="C7" s="84" t="s">
        <v>1304</v>
      </c>
      <c r="D7" s="111" t="s">
        <v>1617</v>
      </c>
    </row>
    <row r="8" spans="1:4">
      <c r="A8" s="82" t="s">
        <v>448</v>
      </c>
      <c r="B8" s="83" t="s">
        <v>841</v>
      </c>
      <c r="C8" s="84" t="s">
        <v>1303</v>
      </c>
      <c r="D8" s="111" t="s">
        <v>1617</v>
      </c>
    </row>
    <row r="9" spans="1:4">
      <c r="A9" s="82" t="s">
        <v>450</v>
      </c>
      <c r="B9" s="83" t="s">
        <v>841</v>
      </c>
      <c r="C9" s="84" t="s">
        <v>1303</v>
      </c>
      <c r="D9" s="111" t="s">
        <v>1617</v>
      </c>
    </row>
    <row r="10" spans="1:4">
      <c r="A10" s="82" t="s">
        <v>452</v>
      </c>
      <c r="B10" s="83" t="s">
        <v>841</v>
      </c>
      <c r="C10" s="84" t="s">
        <v>1304</v>
      </c>
      <c r="D10" s="111" t="s">
        <v>1617</v>
      </c>
    </row>
    <row r="11" spans="1:4">
      <c r="A11" s="82" t="s">
        <v>453</v>
      </c>
      <c r="B11" s="83" t="s">
        <v>843</v>
      </c>
      <c r="C11" s="84" t="s">
        <v>1305</v>
      </c>
      <c r="D11" s="111" t="s">
        <v>1617</v>
      </c>
    </row>
    <row r="12" spans="1:4">
      <c r="A12" s="82" t="s">
        <v>455</v>
      </c>
      <c r="B12" s="83" t="s">
        <v>845</v>
      </c>
      <c r="C12" s="84" t="s">
        <v>1306</v>
      </c>
      <c r="D12" s="111" t="s">
        <v>1617</v>
      </c>
    </row>
    <row r="13" spans="1:4">
      <c r="A13" s="82" t="s">
        <v>454</v>
      </c>
      <c r="B13" s="83" t="s">
        <v>844</v>
      </c>
      <c r="C13" s="84" t="s">
        <v>1305</v>
      </c>
      <c r="D13" s="111" t="s">
        <v>1617</v>
      </c>
    </row>
    <row r="14" spans="1:4">
      <c r="A14" s="82" t="s">
        <v>456</v>
      </c>
      <c r="B14" s="83" t="s">
        <v>844</v>
      </c>
      <c r="C14" s="84" t="s">
        <v>1306</v>
      </c>
      <c r="D14" s="111" t="s">
        <v>1617</v>
      </c>
    </row>
    <row r="15" spans="1:4">
      <c r="A15" s="82" t="s">
        <v>457</v>
      </c>
      <c r="B15" s="83" t="s">
        <v>846</v>
      </c>
      <c r="C15" s="84" t="s">
        <v>1307</v>
      </c>
      <c r="D15" s="111" t="s">
        <v>1617</v>
      </c>
    </row>
    <row r="16" spans="1:4">
      <c r="A16" s="82" t="s">
        <v>1480</v>
      </c>
      <c r="B16" s="83" t="s">
        <v>846</v>
      </c>
      <c r="C16" s="84" t="s">
        <v>1497</v>
      </c>
      <c r="D16" s="111" t="s">
        <v>1617</v>
      </c>
    </row>
    <row r="17" spans="1:4">
      <c r="A17" s="82" t="s">
        <v>458</v>
      </c>
      <c r="B17" s="83" t="s">
        <v>847</v>
      </c>
      <c r="C17" s="84" t="s">
        <v>1307</v>
      </c>
      <c r="D17" s="111" t="s">
        <v>1617</v>
      </c>
    </row>
    <row r="18" spans="1:4">
      <c r="A18" s="82" t="s">
        <v>1481</v>
      </c>
      <c r="B18" s="83" t="s">
        <v>847</v>
      </c>
      <c r="C18" s="84" t="s">
        <v>1498</v>
      </c>
      <c r="D18" s="111" t="s">
        <v>1617</v>
      </c>
    </row>
    <row r="19" spans="1:4">
      <c r="A19" s="85" t="s">
        <v>205</v>
      </c>
      <c r="B19" s="51" t="s">
        <v>623</v>
      </c>
      <c r="C19" s="84" t="s">
        <v>851</v>
      </c>
      <c r="D19" s="111" t="s">
        <v>1618</v>
      </c>
    </row>
    <row r="20" spans="1:4">
      <c r="A20" s="85" t="s">
        <v>207</v>
      </c>
      <c r="B20" s="51" t="s">
        <v>625</v>
      </c>
      <c r="C20" s="84" t="s">
        <v>852</v>
      </c>
      <c r="D20" s="111" t="s">
        <v>1618</v>
      </c>
    </row>
    <row r="21" spans="1:4">
      <c r="A21" s="82" t="s">
        <v>206</v>
      </c>
      <c r="B21" s="83" t="s">
        <v>624</v>
      </c>
      <c r="C21" s="84" t="s">
        <v>1075</v>
      </c>
      <c r="D21" s="111" t="s">
        <v>1618</v>
      </c>
    </row>
    <row r="22" spans="1:4">
      <c r="A22" s="82" t="s">
        <v>209</v>
      </c>
      <c r="B22" s="83" t="s">
        <v>627</v>
      </c>
      <c r="C22" s="84" t="s">
        <v>1077</v>
      </c>
      <c r="D22" s="111" t="s">
        <v>1618</v>
      </c>
    </row>
    <row r="23" spans="1:4">
      <c r="A23" s="82" t="s">
        <v>208</v>
      </c>
      <c r="B23" s="83" t="s">
        <v>626</v>
      </c>
      <c r="C23" s="84" t="s">
        <v>1076</v>
      </c>
      <c r="D23" s="111" t="s">
        <v>1618</v>
      </c>
    </row>
    <row r="24" spans="1:4">
      <c r="A24" s="85" t="s">
        <v>211</v>
      </c>
      <c r="B24" s="51" t="s">
        <v>623</v>
      </c>
      <c r="C24" s="84" t="s">
        <v>853</v>
      </c>
      <c r="D24" s="111" t="s">
        <v>1618</v>
      </c>
    </row>
    <row r="25" spans="1:4">
      <c r="A25" s="82" t="s">
        <v>210</v>
      </c>
      <c r="B25" s="83" t="s">
        <v>628</v>
      </c>
      <c r="C25" s="84" t="s">
        <v>1078</v>
      </c>
      <c r="D25" s="111" t="s">
        <v>1618</v>
      </c>
    </row>
    <row r="26" spans="1:4">
      <c r="A26" s="82" t="s">
        <v>212</v>
      </c>
      <c r="B26" s="83" t="s">
        <v>629</v>
      </c>
      <c r="C26" s="84" t="s">
        <v>1079</v>
      </c>
      <c r="D26" s="111" t="s">
        <v>1618</v>
      </c>
    </row>
    <row r="27" spans="1:4">
      <c r="A27" s="82" t="s">
        <v>213</v>
      </c>
      <c r="B27" s="83" t="s">
        <v>630</v>
      </c>
      <c r="C27" s="84" t="s">
        <v>1080</v>
      </c>
      <c r="D27" s="111" t="s">
        <v>1618</v>
      </c>
    </row>
    <row r="28" spans="1:4">
      <c r="A28" s="82" t="s">
        <v>214</v>
      </c>
      <c r="B28" s="83" t="s">
        <v>631</v>
      </c>
      <c r="C28" s="84" t="s">
        <v>1081</v>
      </c>
      <c r="D28" s="111" t="s">
        <v>1618</v>
      </c>
    </row>
    <row r="29" spans="1:4">
      <c r="A29" s="85" t="s">
        <v>215</v>
      </c>
      <c r="B29" s="51" t="s">
        <v>854</v>
      </c>
      <c r="C29" s="84" t="s">
        <v>855</v>
      </c>
      <c r="D29" s="111" t="s">
        <v>1618</v>
      </c>
    </row>
    <row r="30" spans="1:4">
      <c r="A30" s="82" t="s">
        <v>216</v>
      </c>
      <c r="B30" s="83" t="s">
        <v>632</v>
      </c>
      <c r="C30" s="84" t="s">
        <v>1082</v>
      </c>
      <c r="D30" s="111" t="s">
        <v>1618</v>
      </c>
    </row>
    <row r="31" spans="1:4">
      <c r="A31" s="82" t="s">
        <v>217</v>
      </c>
      <c r="B31" s="83" t="s">
        <v>633</v>
      </c>
      <c r="C31" s="84" t="s">
        <v>1083</v>
      </c>
      <c r="D31" s="111" t="s">
        <v>1618</v>
      </c>
    </row>
    <row r="32" spans="1:4">
      <c r="A32" s="85" t="s">
        <v>218</v>
      </c>
      <c r="B32" s="51" t="s">
        <v>634</v>
      </c>
      <c r="C32" s="84" t="s">
        <v>856</v>
      </c>
      <c r="D32" s="111" t="s">
        <v>1618</v>
      </c>
    </row>
    <row r="33" spans="1:4">
      <c r="A33" s="82" t="s">
        <v>219</v>
      </c>
      <c r="B33" s="83" t="s">
        <v>635</v>
      </c>
      <c r="C33" s="84" t="s">
        <v>1084</v>
      </c>
      <c r="D33" s="111" t="s">
        <v>1618</v>
      </c>
    </row>
    <row r="34" spans="1:4">
      <c r="A34" s="82" t="s">
        <v>220</v>
      </c>
      <c r="B34" s="83" t="s">
        <v>636</v>
      </c>
      <c r="C34" s="84" t="s">
        <v>1085</v>
      </c>
      <c r="D34" s="111" t="s">
        <v>1619</v>
      </c>
    </row>
    <row r="35" spans="1:4">
      <c r="A35" s="82" t="s">
        <v>221</v>
      </c>
      <c r="B35" s="83" t="s">
        <v>636</v>
      </c>
      <c r="C35" s="84" t="s">
        <v>1086</v>
      </c>
      <c r="D35" s="111" t="s">
        <v>1619</v>
      </c>
    </row>
    <row r="36" spans="1:4">
      <c r="A36" s="82" t="s">
        <v>388</v>
      </c>
      <c r="B36" s="83" t="s">
        <v>785</v>
      </c>
      <c r="C36" s="84" t="s">
        <v>1255</v>
      </c>
      <c r="D36" s="111" t="s">
        <v>1619</v>
      </c>
    </row>
    <row r="37" spans="1:4">
      <c r="A37" s="82" t="s">
        <v>389</v>
      </c>
      <c r="B37" s="83" t="s">
        <v>786</v>
      </c>
      <c r="C37" s="84" t="s">
        <v>1256</v>
      </c>
      <c r="D37" s="111" t="s">
        <v>1619</v>
      </c>
    </row>
    <row r="38" spans="1:4">
      <c r="A38" s="82" t="s">
        <v>390</v>
      </c>
      <c r="B38" s="83" t="s">
        <v>787</v>
      </c>
      <c r="C38" s="84" t="s">
        <v>1257</v>
      </c>
      <c r="D38" s="111" t="s">
        <v>1619</v>
      </c>
    </row>
    <row r="39" spans="1:4">
      <c r="A39" s="112" t="s">
        <v>1501</v>
      </c>
      <c r="B39" s="83" t="s">
        <v>785</v>
      </c>
      <c r="C39" s="112" t="s">
        <v>1502</v>
      </c>
      <c r="D39" s="111" t="s">
        <v>1619</v>
      </c>
    </row>
    <row r="40" spans="1:4">
      <c r="A40" s="82" t="s">
        <v>199</v>
      </c>
      <c r="B40" s="83" t="s">
        <v>620</v>
      </c>
      <c r="C40" s="84" t="s">
        <v>1072</v>
      </c>
      <c r="D40" s="111" t="s">
        <v>1620</v>
      </c>
    </row>
    <row r="41" spans="1:4">
      <c r="A41" s="82" t="s">
        <v>200</v>
      </c>
      <c r="B41" s="83" t="s">
        <v>621</v>
      </c>
      <c r="C41" s="84" t="s">
        <v>1073</v>
      </c>
      <c r="D41" s="111" t="s">
        <v>1620</v>
      </c>
    </row>
    <row r="42" spans="1:4">
      <c r="A42" s="111" t="s">
        <v>1621</v>
      </c>
      <c r="B42" s="173" t="s">
        <v>1622</v>
      </c>
      <c r="C42" s="112" t="s">
        <v>1623</v>
      </c>
      <c r="D42" s="111" t="s">
        <v>1624</v>
      </c>
    </row>
    <row r="43" spans="1:4">
      <c r="A43" s="111" t="s">
        <v>1625</v>
      </c>
      <c r="B43" s="173" t="s">
        <v>1626</v>
      </c>
      <c r="C43" s="112" t="s">
        <v>1627</v>
      </c>
      <c r="D43" s="111" t="s">
        <v>1624</v>
      </c>
    </row>
    <row r="44" spans="1:4">
      <c r="A44" s="111" t="s">
        <v>1628</v>
      </c>
      <c r="B44" s="173" t="s">
        <v>1629</v>
      </c>
      <c r="C44" s="112" t="s">
        <v>1630</v>
      </c>
      <c r="D44" s="111" t="s">
        <v>1624</v>
      </c>
    </row>
    <row r="45" spans="1:4">
      <c r="A45" s="111" t="s">
        <v>1631</v>
      </c>
      <c r="B45" s="173" t="s">
        <v>1632</v>
      </c>
      <c r="C45" s="112" t="s">
        <v>1633</v>
      </c>
      <c r="D45" s="111" t="s">
        <v>1624</v>
      </c>
    </row>
    <row r="46" spans="1:4">
      <c r="A46" s="111" t="s">
        <v>1634</v>
      </c>
      <c r="B46" s="173" t="s">
        <v>1635</v>
      </c>
      <c r="C46" s="112" t="s">
        <v>1636</v>
      </c>
      <c r="D46" s="111" t="s">
        <v>1624</v>
      </c>
    </row>
    <row r="47" spans="1:4">
      <c r="A47" s="111" t="s">
        <v>1637</v>
      </c>
      <c r="B47" s="173" t="s">
        <v>1638</v>
      </c>
      <c r="C47" s="112" t="s">
        <v>1639</v>
      </c>
      <c r="D47" s="111" t="s">
        <v>1624</v>
      </c>
    </row>
    <row r="48" spans="1:4">
      <c r="A48" s="111" t="s">
        <v>1640</v>
      </c>
      <c r="B48" s="173" t="s">
        <v>1641</v>
      </c>
      <c r="C48" s="112" t="s">
        <v>1642</v>
      </c>
      <c r="D48" s="111" t="s">
        <v>1624</v>
      </c>
    </row>
    <row r="49" spans="1:4">
      <c r="A49" s="111" t="s">
        <v>1643</v>
      </c>
      <c r="B49" s="173" t="s">
        <v>1644</v>
      </c>
      <c r="C49" s="112" t="s">
        <v>1645</v>
      </c>
      <c r="D49" s="111" t="s">
        <v>1624</v>
      </c>
    </row>
    <row r="50" spans="1:4">
      <c r="A50" s="111" t="s">
        <v>1646</v>
      </c>
      <c r="B50" s="173" t="s">
        <v>1647</v>
      </c>
      <c r="C50" s="112" t="s">
        <v>1648</v>
      </c>
      <c r="D50" s="111" t="s">
        <v>1624</v>
      </c>
    </row>
    <row r="51" spans="1:4">
      <c r="A51" s="111" t="s">
        <v>1649</v>
      </c>
      <c r="B51" s="173" t="s">
        <v>1650</v>
      </c>
      <c r="C51" s="112" t="s">
        <v>1651</v>
      </c>
      <c r="D51" s="111" t="s">
        <v>1624</v>
      </c>
    </row>
    <row r="52" spans="1:4">
      <c r="A52" s="111" t="s">
        <v>1652</v>
      </c>
      <c r="B52" s="173" t="s">
        <v>1653</v>
      </c>
      <c r="C52" s="112" t="s">
        <v>1654</v>
      </c>
      <c r="D52" s="111" t="s">
        <v>1624</v>
      </c>
    </row>
    <row r="53" spans="1:4">
      <c r="A53" s="111" t="s">
        <v>1655</v>
      </c>
      <c r="B53" s="173" t="s">
        <v>1656</v>
      </c>
      <c r="C53" s="112" t="s">
        <v>1657</v>
      </c>
      <c r="D53" s="111" t="s">
        <v>1624</v>
      </c>
    </row>
    <row r="54" spans="1:4">
      <c r="A54" s="82" t="s">
        <v>433</v>
      </c>
      <c r="B54" s="51" t="s">
        <v>829</v>
      </c>
      <c r="C54" s="84" t="s">
        <v>1290</v>
      </c>
      <c r="D54" s="111" t="s">
        <v>1658</v>
      </c>
    </row>
    <row r="55" spans="1:4">
      <c r="A55" s="82" t="s">
        <v>434</v>
      </c>
      <c r="B55" s="51" t="s">
        <v>830</v>
      </c>
      <c r="C55" s="84" t="s">
        <v>1291</v>
      </c>
      <c r="D55" s="111" t="s">
        <v>1658</v>
      </c>
    </row>
    <row r="56" spans="1:4">
      <c r="A56" s="82" t="s">
        <v>435</v>
      </c>
      <c r="B56" s="51" t="s">
        <v>830</v>
      </c>
      <c r="C56" s="84" t="s">
        <v>1292</v>
      </c>
      <c r="D56" s="111" t="s">
        <v>1658</v>
      </c>
    </row>
    <row r="57" spans="1:4">
      <c r="A57" s="82" t="s">
        <v>436</v>
      </c>
      <c r="B57" s="51" t="s">
        <v>831</v>
      </c>
      <c r="C57" s="84" t="s">
        <v>1293</v>
      </c>
      <c r="D57" s="111" t="s">
        <v>1619</v>
      </c>
    </row>
    <row r="58" spans="1:4">
      <c r="A58" s="82" t="s">
        <v>437</v>
      </c>
      <c r="B58" s="83" t="s">
        <v>829</v>
      </c>
      <c r="C58" s="84" t="s">
        <v>1294</v>
      </c>
      <c r="D58" s="111" t="s">
        <v>1658</v>
      </c>
    </row>
    <row r="59" spans="1:4">
      <c r="A59" s="82" t="s">
        <v>61</v>
      </c>
      <c r="B59" s="83" t="s">
        <v>514</v>
      </c>
      <c r="C59" s="84" t="s">
        <v>959</v>
      </c>
      <c r="D59" s="111" t="s">
        <v>1619</v>
      </c>
    </row>
    <row r="60" spans="1:4">
      <c r="A60" s="82" t="s">
        <v>62</v>
      </c>
      <c r="B60" s="83" t="s">
        <v>515</v>
      </c>
      <c r="C60" s="84" t="s">
        <v>960</v>
      </c>
      <c r="D60" s="111" t="s">
        <v>1619</v>
      </c>
    </row>
    <row r="61" spans="1:4">
      <c r="A61" s="82" t="s">
        <v>63</v>
      </c>
      <c r="B61" s="83" t="s">
        <v>516</v>
      </c>
      <c r="C61" s="84" t="s">
        <v>961</v>
      </c>
      <c r="D61" s="111" t="s">
        <v>1619</v>
      </c>
    </row>
    <row r="62" spans="1:4">
      <c r="A62" s="82" t="s">
        <v>444</v>
      </c>
      <c r="B62" s="83" t="s">
        <v>837</v>
      </c>
      <c r="C62" s="84" t="s">
        <v>1301</v>
      </c>
      <c r="D62" s="111" t="s">
        <v>1619</v>
      </c>
    </row>
    <row r="63" spans="1:4">
      <c r="A63" s="82" t="s">
        <v>64</v>
      </c>
      <c r="B63" s="83" t="s">
        <v>517</v>
      </c>
      <c r="C63" s="84" t="s">
        <v>962</v>
      </c>
      <c r="D63" s="111" t="s">
        <v>1659</v>
      </c>
    </row>
    <row r="64" spans="1:4">
      <c r="A64" s="82" t="s">
        <v>440</v>
      </c>
      <c r="B64" s="83" t="s">
        <v>834</v>
      </c>
      <c r="C64" s="84" t="s">
        <v>1297</v>
      </c>
      <c r="D64" s="111" t="s">
        <v>1619</v>
      </c>
    </row>
    <row r="65" spans="1:4">
      <c r="A65" s="82" t="s">
        <v>441</v>
      </c>
      <c r="B65" s="83" t="s">
        <v>835</v>
      </c>
      <c r="C65" s="84" t="s">
        <v>1298</v>
      </c>
      <c r="D65" s="111" t="s">
        <v>1619</v>
      </c>
    </row>
    <row r="66" spans="1:4">
      <c r="A66" s="82" t="s">
        <v>442</v>
      </c>
      <c r="B66" s="83" t="s">
        <v>835</v>
      </c>
      <c r="C66" s="84" t="s">
        <v>1299</v>
      </c>
      <c r="D66" s="111" t="s">
        <v>1619</v>
      </c>
    </row>
    <row r="67" spans="1:4">
      <c r="A67" s="82" t="s">
        <v>443</v>
      </c>
      <c r="B67" s="83" t="s">
        <v>836</v>
      </c>
      <c r="C67" s="84" t="s">
        <v>1300</v>
      </c>
      <c r="D67" s="111" t="s">
        <v>1619</v>
      </c>
    </row>
    <row r="68" spans="1:4">
      <c r="A68" s="82" t="s">
        <v>198</v>
      </c>
      <c r="B68" s="83" t="s">
        <v>619</v>
      </c>
      <c r="C68" s="84" t="s">
        <v>1071</v>
      </c>
      <c r="D68" s="111" t="s">
        <v>1619</v>
      </c>
    </row>
    <row r="69" spans="1:4">
      <c r="A69" s="82" t="s">
        <v>201</v>
      </c>
      <c r="B69" s="83" t="s">
        <v>622</v>
      </c>
      <c r="C69" s="84" t="s">
        <v>1074</v>
      </c>
      <c r="D69" s="111" t="s">
        <v>1619</v>
      </c>
    </row>
    <row r="70" spans="1:4">
      <c r="A70" s="82" t="s">
        <v>361</v>
      </c>
      <c r="B70" s="51" t="s">
        <v>761</v>
      </c>
      <c r="C70" s="84" t="s">
        <v>1233</v>
      </c>
      <c r="D70" s="111" t="s">
        <v>1660</v>
      </c>
    </row>
    <row r="71" spans="1:4">
      <c r="A71" s="82" t="s">
        <v>362</v>
      </c>
      <c r="B71" s="51" t="s">
        <v>762</v>
      </c>
      <c r="C71" s="84" t="s">
        <v>1234</v>
      </c>
      <c r="D71" s="111" t="s">
        <v>1660</v>
      </c>
    </row>
    <row r="72" spans="1:4">
      <c r="A72" s="82" t="s">
        <v>363</v>
      </c>
      <c r="B72" s="51" t="s">
        <v>763</v>
      </c>
      <c r="C72" s="84" t="s">
        <v>1235</v>
      </c>
      <c r="D72" s="111" t="s">
        <v>1619</v>
      </c>
    </row>
    <row r="73" spans="1:4">
      <c r="A73" s="82" t="s">
        <v>414</v>
      </c>
      <c r="B73" s="51" t="s">
        <v>811</v>
      </c>
      <c r="C73" s="84" t="s">
        <v>1278</v>
      </c>
      <c r="D73" s="111" t="s">
        <v>1661</v>
      </c>
    </row>
    <row r="74" spans="1:4">
      <c r="A74" s="82" t="s">
        <v>415</v>
      </c>
      <c r="B74" s="51" t="s">
        <v>811</v>
      </c>
      <c r="C74" s="84" t="s">
        <v>1279</v>
      </c>
      <c r="D74" s="111" t="s">
        <v>1661</v>
      </c>
    </row>
    <row r="75" spans="1:4">
      <c r="A75" s="85" t="s">
        <v>416</v>
      </c>
      <c r="B75" s="51" t="s">
        <v>812</v>
      </c>
      <c r="C75" s="84" t="s">
        <v>857</v>
      </c>
      <c r="D75" s="111" t="s">
        <v>1662</v>
      </c>
    </row>
    <row r="76" spans="1:4">
      <c r="A76" s="85" t="s">
        <v>417</v>
      </c>
      <c r="B76" s="51" t="s">
        <v>813</v>
      </c>
      <c r="C76" s="84" t="s">
        <v>858</v>
      </c>
      <c r="D76" s="111" t="s">
        <v>1662</v>
      </c>
    </row>
    <row r="77" spans="1:4">
      <c r="A77" s="85" t="s">
        <v>418</v>
      </c>
      <c r="B77" s="51" t="s">
        <v>814</v>
      </c>
      <c r="C77" s="84" t="s">
        <v>859</v>
      </c>
      <c r="D77" s="111" t="s">
        <v>1662</v>
      </c>
    </row>
    <row r="78" spans="1:4">
      <c r="A78" s="85" t="s">
        <v>419</v>
      </c>
      <c r="B78" s="51" t="s">
        <v>815</v>
      </c>
      <c r="C78" s="84" t="s">
        <v>860</v>
      </c>
      <c r="D78" s="111" t="s">
        <v>1662</v>
      </c>
    </row>
    <row r="79" spans="1:4">
      <c r="A79" s="82" t="s">
        <v>283</v>
      </c>
      <c r="B79" s="51" t="s">
        <v>694</v>
      </c>
      <c r="C79" s="84" t="s">
        <v>1162</v>
      </c>
      <c r="D79" s="111" t="s">
        <v>1663</v>
      </c>
    </row>
    <row r="80" spans="1:4">
      <c r="A80" s="111" t="s">
        <v>1357</v>
      </c>
      <c r="B80" s="83" t="s">
        <v>1358</v>
      </c>
      <c r="C80" s="86" t="s">
        <v>1359</v>
      </c>
      <c r="D80" s="111" t="s">
        <v>1663</v>
      </c>
    </row>
    <row r="81" spans="1:4">
      <c r="A81" s="82" t="s">
        <v>284</v>
      </c>
      <c r="B81" s="51" t="s">
        <v>695</v>
      </c>
      <c r="C81" s="84" t="s">
        <v>1163</v>
      </c>
      <c r="D81" s="111" t="s">
        <v>1663</v>
      </c>
    </row>
    <row r="82" spans="1:4">
      <c r="A82" s="82" t="s">
        <v>285</v>
      </c>
      <c r="B82" s="51" t="s">
        <v>696</v>
      </c>
      <c r="C82" s="84" t="s">
        <v>1164</v>
      </c>
      <c r="D82" s="111" t="s">
        <v>1663</v>
      </c>
    </row>
    <row r="83" spans="1:4">
      <c r="A83" s="82" t="s">
        <v>286</v>
      </c>
      <c r="B83" s="51" t="s">
        <v>697</v>
      </c>
      <c r="C83" s="84" t="s">
        <v>1165</v>
      </c>
      <c r="D83" s="111" t="s">
        <v>1663</v>
      </c>
    </row>
    <row r="84" spans="1:4">
      <c r="A84" s="82" t="s">
        <v>287</v>
      </c>
      <c r="B84" s="83" t="s">
        <v>698</v>
      </c>
      <c r="C84" s="84" t="s">
        <v>1166</v>
      </c>
      <c r="D84" s="111" t="s">
        <v>1663</v>
      </c>
    </row>
    <row r="85" spans="1:4">
      <c r="A85" s="82" t="s">
        <v>288</v>
      </c>
      <c r="B85" s="83" t="s">
        <v>699</v>
      </c>
      <c r="C85" s="84" t="s">
        <v>1167</v>
      </c>
      <c r="D85" s="111" t="s">
        <v>1663</v>
      </c>
    </row>
    <row r="86" spans="1:4">
      <c r="A86" s="82" t="s">
        <v>336</v>
      </c>
      <c r="B86" s="83" t="s">
        <v>741</v>
      </c>
      <c r="C86" s="84" t="s">
        <v>1207</v>
      </c>
      <c r="D86" s="111" t="s">
        <v>1663</v>
      </c>
    </row>
    <row r="87" spans="1:4">
      <c r="A87" s="85" t="s">
        <v>335</v>
      </c>
      <c r="B87" s="51" t="s">
        <v>1146</v>
      </c>
      <c r="C87" s="84" t="s">
        <v>1147</v>
      </c>
      <c r="D87" s="111" t="s">
        <v>1663</v>
      </c>
    </row>
    <row r="88" spans="1:4">
      <c r="A88" s="111" t="s">
        <v>1360</v>
      </c>
      <c r="B88" s="83" t="s">
        <v>1361</v>
      </c>
      <c r="C88" s="86" t="s">
        <v>1362</v>
      </c>
      <c r="D88" s="111" t="s">
        <v>1663</v>
      </c>
    </row>
    <row r="89" spans="1:4">
      <c r="A89" s="111" t="s">
        <v>1562</v>
      </c>
      <c r="B89" s="51" t="s">
        <v>1564</v>
      </c>
      <c r="C89" s="112" t="s">
        <v>1563</v>
      </c>
      <c r="D89" s="111" t="s">
        <v>1663</v>
      </c>
    </row>
    <row r="90" spans="1:4">
      <c r="A90" s="82" t="s">
        <v>465</v>
      </c>
      <c r="B90" s="83" t="s">
        <v>758</v>
      </c>
      <c r="C90" s="84" t="s">
        <v>1222</v>
      </c>
      <c r="D90" s="111" t="s">
        <v>1663</v>
      </c>
    </row>
    <row r="91" spans="1:4">
      <c r="A91" s="82" t="s">
        <v>289</v>
      </c>
      <c r="B91" s="51" t="s">
        <v>700</v>
      </c>
      <c r="C91" s="84" t="s">
        <v>1168</v>
      </c>
      <c r="D91" s="111" t="s">
        <v>1663</v>
      </c>
    </row>
    <row r="92" spans="1:4">
      <c r="A92" s="82" t="s">
        <v>290</v>
      </c>
      <c r="B92" s="51" t="s">
        <v>701</v>
      </c>
      <c r="C92" s="84" t="s">
        <v>1169</v>
      </c>
      <c r="D92" s="111" t="s">
        <v>1663</v>
      </c>
    </row>
    <row r="93" spans="1:4">
      <c r="A93" s="82" t="s">
        <v>357</v>
      </c>
      <c r="B93" s="83" t="s">
        <v>758</v>
      </c>
      <c r="C93" s="84" t="s">
        <v>1223</v>
      </c>
      <c r="D93" s="111" t="s">
        <v>1663</v>
      </c>
    </row>
    <row r="94" spans="1:4">
      <c r="A94" s="85" t="s">
        <v>358</v>
      </c>
      <c r="B94" s="51" t="s">
        <v>1148</v>
      </c>
      <c r="C94" s="84" t="s">
        <v>1149</v>
      </c>
      <c r="D94" s="111" t="s">
        <v>1663</v>
      </c>
    </row>
    <row r="95" spans="1:4">
      <c r="A95" s="82" t="s">
        <v>291</v>
      </c>
      <c r="B95" s="51" t="s">
        <v>702</v>
      </c>
      <c r="C95" s="84" t="s">
        <v>1170</v>
      </c>
      <c r="D95" s="111" t="s">
        <v>1663</v>
      </c>
    </row>
    <row r="96" spans="1:4">
      <c r="A96" s="85" t="s">
        <v>325</v>
      </c>
      <c r="B96" s="51" t="s">
        <v>732</v>
      </c>
      <c r="C96" s="84" t="s">
        <v>1150</v>
      </c>
      <c r="D96" s="111" t="s">
        <v>1663</v>
      </c>
    </row>
    <row r="97" spans="1:4">
      <c r="A97" s="111" t="s">
        <v>1510</v>
      </c>
      <c r="B97" s="83" t="s">
        <v>711</v>
      </c>
      <c r="C97" s="112" t="s">
        <v>1511</v>
      </c>
      <c r="D97" s="111" t="s">
        <v>1663</v>
      </c>
    </row>
    <row r="98" spans="1:4">
      <c r="A98" s="82" t="s">
        <v>292</v>
      </c>
      <c r="B98" s="51" t="s">
        <v>703</v>
      </c>
      <c r="C98" s="84" t="s">
        <v>1171</v>
      </c>
      <c r="D98" s="111" t="s">
        <v>1663</v>
      </c>
    </row>
    <row r="99" spans="1:4">
      <c r="A99" s="111" t="s">
        <v>1363</v>
      </c>
      <c r="B99" s="83" t="s">
        <v>1364</v>
      </c>
      <c r="C99" s="86" t="s">
        <v>1365</v>
      </c>
      <c r="D99" s="111" t="s">
        <v>1663</v>
      </c>
    </row>
    <row r="100" spans="1:4">
      <c r="A100" s="82" t="s">
        <v>293</v>
      </c>
      <c r="B100" s="51" t="s">
        <v>704</v>
      </c>
      <c r="C100" s="84" t="s">
        <v>1172</v>
      </c>
      <c r="D100" s="111" t="s">
        <v>1663</v>
      </c>
    </row>
    <row r="101" spans="1:4">
      <c r="A101" s="82" t="s">
        <v>294</v>
      </c>
      <c r="B101" s="51" t="s">
        <v>705</v>
      </c>
      <c r="C101" s="84" t="s">
        <v>1173</v>
      </c>
      <c r="D101" s="111" t="s">
        <v>1663</v>
      </c>
    </row>
    <row r="102" spans="1:4">
      <c r="A102" s="111" t="s">
        <v>1366</v>
      </c>
      <c r="B102" s="83" t="s">
        <v>1367</v>
      </c>
      <c r="C102" s="84" t="s">
        <v>1368</v>
      </c>
      <c r="D102" s="111" t="s">
        <v>1663</v>
      </c>
    </row>
    <row r="103" spans="1:4">
      <c r="A103" s="82" t="s">
        <v>295</v>
      </c>
      <c r="B103" s="51" t="s">
        <v>706</v>
      </c>
      <c r="C103" s="84" t="s">
        <v>1174</v>
      </c>
      <c r="D103" s="111" t="s">
        <v>1663</v>
      </c>
    </row>
    <row r="104" spans="1:4">
      <c r="A104" s="82" t="s">
        <v>326</v>
      </c>
      <c r="B104" s="83" t="s">
        <v>733</v>
      </c>
      <c r="C104" s="84" t="s">
        <v>1198</v>
      </c>
      <c r="D104" s="111" t="s">
        <v>1663</v>
      </c>
    </row>
    <row r="105" spans="1:4">
      <c r="A105" s="82" t="s">
        <v>327</v>
      </c>
      <c r="B105" s="83" t="s">
        <v>734</v>
      </c>
      <c r="C105" s="84" t="s">
        <v>1199</v>
      </c>
      <c r="D105" s="111" t="s">
        <v>1663</v>
      </c>
    </row>
    <row r="106" spans="1:4">
      <c r="A106" s="82" t="s">
        <v>328</v>
      </c>
      <c r="B106" s="83" t="s">
        <v>734</v>
      </c>
      <c r="C106" s="84" t="s">
        <v>1200</v>
      </c>
      <c r="D106" s="111" t="s">
        <v>1663</v>
      </c>
    </row>
    <row r="107" spans="1:4">
      <c r="A107" s="82" t="s">
        <v>329</v>
      </c>
      <c r="B107" s="83" t="s">
        <v>735</v>
      </c>
      <c r="C107" s="84" t="s">
        <v>1201</v>
      </c>
      <c r="D107" s="111" t="s">
        <v>1663</v>
      </c>
    </row>
    <row r="108" spans="1:4">
      <c r="A108" s="82" t="s">
        <v>330</v>
      </c>
      <c r="B108" s="83" t="s">
        <v>735</v>
      </c>
      <c r="C108" s="84" t="s">
        <v>1202</v>
      </c>
      <c r="D108" s="111" t="s">
        <v>1663</v>
      </c>
    </row>
    <row r="109" spans="1:4">
      <c r="A109" s="82" t="s">
        <v>331</v>
      </c>
      <c r="B109" s="83" t="s">
        <v>736</v>
      </c>
      <c r="C109" s="84" t="s">
        <v>1203</v>
      </c>
      <c r="D109" s="111" t="s">
        <v>1663</v>
      </c>
    </row>
    <row r="110" spans="1:4">
      <c r="A110" s="85" t="s">
        <v>467</v>
      </c>
      <c r="B110" s="51" t="s">
        <v>737</v>
      </c>
      <c r="C110" s="84" t="s">
        <v>1151</v>
      </c>
      <c r="D110" s="111" t="s">
        <v>1663</v>
      </c>
    </row>
    <row r="111" spans="1:4">
      <c r="A111" s="82" t="s">
        <v>296</v>
      </c>
      <c r="B111" s="83" t="s">
        <v>707</v>
      </c>
      <c r="C111" s="84" t="s">
        <v>1175</v>
      </c>
      <c r="D111" s="111" t="s">
        <v>1663</v>
      </c>
    </row>
    <row r="112" spans="1:4">
      <c r="A112" s="111" t="s">
        <v>1369</v>
      </c>
      <c r="B112" s="83" t="s">
        <v>1370</v>
      </c>
      <c r="C112" s="84" t="s">
        <v>1371</v>
      </c>
      <c r="D112" s="111" t="s">
        <v>1663</v>
      </c>
    </row>
    <row r="113" spans="1:4">
      <c r="A113" s="85" t="s">
        <v>297</v>
      </c>
      <c r="B113" s="51" t="s">
        <v>708</v>
      </c>
      <c r="C113" s="84" t="s">
        <v>1152</v>
      </c>
      <c r="D113" s="111" t="s">
        <v>1663</v>
      </c>
    </row>
    <row r="114" spans="1:4">
      <c r="A114" s="82" t="s">
        <v>298</v>
      </c>
      <c r="B114" s="83" t="s">
        <v>709</v>
      </c>
      <c r="C114" s="84" t="s">
        <v>1176</v>
      </c>
      <c r="D114" s="111" t="s">
        <v>1663</v>
      </c>
    </row>
    <row r="115" spans="1:4">
      <c r="A115" s="82" t="s">
        <v>299</v>
      </c>
      <c r="B115" s="83" t="s">
        <v>710</v>
      </c>
      <c r="C115" s="84" t="s">
        <v>1177</v>
      </c>
      <c r="D115" s="111" t="s">
        <v>1663</v>
      </c>
    </row>
    <row r="116" spans="1:4">
      <c r="A116" s="82" t="s">
        <v>300</v>
      </c>
      <c r="B116" s="83" t="s">
        <v>710</v>
      </c>
      <c r="C116" s="84" t="s">
        <v>1178</v>
      </c>
      <c r="D116" s="111" t="s">
        <v>1663</v>
      </c>
    </row>
    <row r="117" spans="1:4">
      <c r="A117" s="85" t="s">
        <v>301</v>
      </c>
      <c r="B117" s="51" t="s">
        <v>711</v>
      </c>
      <c r="C117" s="84" t="s">
        <v>1153</v>
      </c>
      <c r="D117" s="111" t="s">
        <v>1663</v>
      </c>
    </row>
    <row r="118" spans="1:4">
      <c r="A118" s="82" t="s">
        <v>302</v>
      </c>
      <c r="B118" s="83" t="s">
        <v>705</v>
      </c>
      <c r="C118" s="84" t="s">
        <v>1179</v>
      </c>
      <c r="D118" s="111" t="s">
        <v>1663</v>
      </c>
    </row>
    <row r="119" spans="1:4">
      <c r="A119" s="82" t="s">
        <v>303</v>
      </c>
      <c r="B119" s="83" t="s">
        <v>712</v>
      </c>
      <c r="C119" s="84" t="s">
        <v>1180</v>
      </c>
      <c r="D119" s="111" t="s">
        <v>1663</v>
      </c>
    </row>
    <row r="120" spans="1:4">
      <c r="A120" s="85" t="s">
        <v>304</v>
      </c>
      <c r="B120" s="51" t="s">
        <v>713</v>
      </c>
      <c r="C120" s="84" t="s">
        <v>1154</v>
      </c>
      <c r="D120" s="111" t="s">
        <v>1663</v>
      </c>
    </row>
    <row r="121" spans="1:4">
      <c r="A121" s="82" t="s">
        <v>305</v>
      </c>
      <c r="B121" s="83" t="s">
        <v>714</v>
      </c>
      <c r="C121" s="84" t="s">
        <v>1181</v>
      </c>
      <c r="D121" s="111" t="s">
        <v>1663</v>
      </c>
    </row>
    <row r="122" spans="1:4">
      <c r="A122" s="82" t="s">
        <v>306</v>
      </c>
      <c r="B122" s="83" t="s">
        <v>715</v>
      </c>
      <c r="C122" s="84" t="s">
        <v>1182</v>
      </c>
      <c r="D122" s="111" t="s">
        <v>1663</v>
      </c>
    </row>
    <row r="123" spans="1:4">
      <c r="A123" s="82" t="s">
        <v>308</v>
      </c>
      <c r="B123" s="83" t="s">
        <v>717</v>
      </c>
      <c r="C123" s="84" t="s">
        <v>1183</v>
      </c>
      <c r="D123" s="111" t="s">
        <v>1663</v>
      </c>
    </row>
    <row r="124" spans="1:4">
      <c r="A124" s="82" t="s">
        <v>309</v>
      </c>
      <c r="B124" s="83" t="s">
        <v>718</v>
      </c>
      <c r="C124" s="84" t="s">
        <v>1184</v>
      </c>
      <c r="D124" s="111" t="s">
        <v>1663</v>
      </c>
    </row>
    <row r="125" spans="1:4">
      <c r="A125" s="111" t="s">
        <v>1493</v>
      </c>
      <c r="B125" s="51" t="s">
        <v>718</v>
      </c>
      <c r="C125" s="112" t="s">
        <v>1496</v>
      </c>
      <c r="D125" s="111" t="s">
        <v>1663</v>
      </c>
    </row>
    <row r="126" spans="1:4">
      <c r="A126" s="85" t="s">
        <v>307</v>
      </c>
      <c r="B126" s="51" t="s">
        <v>716</v>
      </c>
      <c r="C126" s="84" t="s">
        <v>1155</v>
      </c>
      <c r="D126" s="111" t="s">
        <v>1663</v>
      </c>
    </row>
    <row r="127" spans="1:4">
      <c r="A127" s="82" t="s">
        <v>310</v>
      </c>
      <c r="B127" s="83" t="s">
        <v>719</v>
      </c>
      <c r="C127" s="84" t="s">
        <v>1185</v>
      </c>
      <c r="D127" s="111" t="s">
        <v>1663</v>
      </c>
    </row>
    <row r="128" spans="1:4">
      <c r="A128" s="85" t="s">
        <v>311</v>
      </c>
      <c r="B128" s="51" t="s">
        <v>720</v>
      </c>
      <c r="C128" s="84" t="s">
        <v>1156</v>
      </c>
      <c r="D128" s="111" t="s">
        <v>1663</v>
      </c>
    </row>
    <row r="129" spans="1:4">
      <c r="A129" s="82" t="s">
        <v>312</v>
      </c>
      <c r="B129" s="83" t="s">
        <v>721</v>
      </c>
      <c r="C129" s="84" t="s">
        <v>1186</v>
      </c>
      <c r="D129" s="111" t="s">
        <v>1663</v>
      </c>
    </row>
    <row r="130" spans="1:4">
      <c r="A130" s="85" t="s">
        <v>313</v>
      </c>
      <c r="B130" s="51" t="s">
        <v>722</v>
      </c>
      <c r="C130" s="84" t="s">
        <v>1157</v>
      </c>
      <c r="D130" s="111" t="s">
        <v>1663</v>
      </c>
    </row>
    <row r="131" spans="1:4">
      <c r="A131" s="82" t="s">
        <v>314</v>
      </c>
      <c r="B131" s="83" t="s">
        <v>723</v>
      </c>
      <c r="C131" s="84" t="s">
        <v>1187</v>
      </c>
      <c r="D131" s="111" t="s">
        <v>1663</v>
      </c>
    </row>
    <row r="132" spans="1:4">
      <c r="A132" s="82" t="s">
        <v>315</v>
      </c>
      <c r="B132" s="83" t="s">
        <v>724</v>
      </c>
      <c r="C132" s="84" t="s">
        <v>1188</v>
      </c>
      <c r="D132" s="111" t="s">
        <v>1663</v>
      </c>
    </row>
    <row r="133" spans="1:4">
      <c r="A133" s="82" t="s">
        <v>316</v>
      </c>
      <c r="B133" s="83" t="s">
        <v>725</v>
      </c>
      <c r="C133" s="84" t="s">
        <v>1189</v>
      </c>
      <c r="D133" s="111" t="s">
        <v>1663</v>
      </c>
    </row>
    <row r="134" spans="1:4">
      <c r="A134" s="111" t="s">
        <v>1372</v>
      </c>
      <c r="B134" s="83" t="s">
        <v>1373</v>
      </c>
      <c r="C134" s="84" t="s">
        <v>1374</v>
      </c>
      <c r="D134" s="111" t="s">
        <v>1663</v>
      </c>
    </row>
    <row r="135" spans="1:4">
      <c r="A135" s="82" t="s">
        <v>317</v>
      </c>
      <c r="B135" s="83" t="s">
        <v>726</v>
      </c>
      <c r="C135" s="84" t="s">
        <v>1190</v>
      </c>
      <c r="D135" s="111" t="s">
        <v>1663</v>
      </c>
    </row>
    <row r="136" spans="1:4">
      <c r="A136" s="82" t="s">
        <v>320</v>
      </c>
      <c r="B136" s="83" t="s">
        <v>729</v>
      </c>
      <c r="C136" s="84" t="s">
        <v>1193</v>
      </c>
      <c r="D136" s="111" t="s">
        <v>1663</v>
      </c>
    </row>
    <row r="137" spans="1:4">
      <c r="A137" s="82" t="s">
        <v>321</v>
      </c>
      <c r="B137" s="83" t="s">
        <v>727</v>
      </c>
      <c r="C137" s="84" t="s">
        <v>1194</v>
      </c>
      <c r="D137" s="111" t="s">
        <v>1663</v>
      </c>
    </row>
    <row r="138" spans="1:4">
      <c r="A138" s="82" t="s">
        <v>318</v>
      </c>
      <c r="B138" s="83" t="s">
        <v>727</v>
      </c>
      <c r="C138" s="84" t="s">
        <v>1191</v>
      </c>
      <c r="D138" s="111" t="s">
        <v>1663</v>
      </c>
    </row>
    <row r="139" spans="1:4">
      <c r="A139" s="82" t="s">
        <v>322</v>
      </c>
      <c r="B139" s="83" t="s">
        <v>728</v>
      </c>
      <c r="C139" s="84" t="s">
        <v>1195</v>
      </c>
      <c r="D139" s="111" t="s">
        <v>1663</v>
      </c>
    </row>
    <row r="140" spans="1:4">
      <c r="A140" s="82" t="s">
        <v>319</v>
      </c>
      <c r="B140" s="83" t="s">
        <v>728</v>
      </c>
      <c r="C140" s="84" t="s">
        <v>1192</v>
      </c>
      <c r="D140" s="111" t="s">
        <v>1663</v>
      </c>
    </row>
    <row r="141" spans="1:4">
      <c r="A141" s="82" t="s">
        <v>324</v>
      </c>
      <c r="B141" s="83" t="s">
        <v>731</v>
      </c>
      <c r="C141" s="84" t="s">
        <v>1197</v>
      </c>
      <c r="D141" s="111" t="s">
        <v>1663</v>
      </c>
    </row>
    <row r="142" spans="1:4">
      <c r="A142" s="82" t="s">
        <v>323</v>
      </c>
      <c r="B142" s="83" t="s">
        <v>730</v>
      </c>
      <c r="C142" s="84" t="s">
        <v>1196</v>
      </c>
      <c r="D142" s="111" t="s">
        <v>1663</v>
      </c>
    </row>
    <row r="143" spans="1:4">
      <c r="A143" s="82" t="s">
        <v>332</v>
      </c>
      <c r="B143" s="83" t="s">
        <v>738</v>
      </c>
      <c r="C143" s="84" t="s">
        <v>1204</v>
      </c>
      <c r="D143" s="111" t="s">
        <v>1663</v>
      </c>
    </row>
    <row r="144" spans="1:4">
      <c r="A144" s="82" t="s">
        <v>1327</v>
      </c>
      <c r="B144" s="83" t="s">
        <v>1328</v>
      </c>
      <c r="C144" s="84" t="s">
        <v>1329</v>
      </c>
      <c r="D144" s="111" t="s">
        <v>1663</v>
      </c>
    </row>
    <row r="145" spans="1:4">
      <c r="A145" s="82" t="s">
        <v>333</v>
      </c>
      <c r="B145" s="83" t="s">
        <v>739</v>
      </c>
      <c r="C145" s="84" t="s">
        <v>1205</v>
      </c>
      <c r="D145" s="111" t="s">
        <v>1663</v>
      </c>
    </row>
    <row r="146" spans="1:4">
      <c r="A146" s="82" t="s">
        <v>334</v>
      </c>
      <c r="B146" s="83" t="s">
        <v>740</v>
      </c>
      <c r="C146" s="84" t="s">
        <v>1206</v>
      </c>
      <c r="D146" s="111" t="s">
        <v>1663</v>
      </c>
    </row>
    <row r="147" spans="1:4">
      <c r="A147" s="85" t="s">
        <v>340</v>
      </c>
      <c r="B147" s="51" t="s">
        <v>744</v>
      </c>
      <c r="C147" s="84" t="s">
        <v>1158</v>
      </c>
      <c r="D147" s="111" t="s">
        <v>1663</v>
      </c>
    </row>
    <row r="148" spans="1:4">
      <c r="A148" s="82" t="s">
        <v>337</v>
      </c>
      <c r="B148" s="83" t="s">
        <v>742</v>
      </c>
      <c r="C148" s="84" t="s">
        <v>1208</v>
      </c>
      <c r="D148" s="111" t="s">
        <v>1663</v>
      </c>
    </row>
    <row r="149" spans="1:4">
      <c r="A149" s="82" t="s">
        <v>338</v>
      </c>
      <c r="B149" s="83" t="s">
        <v>742</v>
      </c>
      <c r="C149" s="84" t="s">
        <v>1209</v>
      </c>
      <c r="D149" s="111" t="s">
        <v>1663</v>
      </c>
    </row>
    <row r="150" spans="1:4">
      <c r="A150" s="82" t="s">
        <v>339</v>
      </c>
      <c r="B150" s="83" t="s">
        <v>743</v>
      </c>
      <c r="C150" s="84" t="s">
        <v>1210</v>
      </c>
      <c r="D150" s="111" t="s">
        <v>1663</v>
      </c>
    </row>
    <row r="151" spans="1:4">
      <c r="A151" s="82" t="s">
        <v>341</v>
      </c>
      <c r="B151" s="83" t="s">
        <v>745</v>
      </c>
      <c r="C151" s="84" t="s">
        <v>1211</v>
      </c>
      <c r="D151" s="111" t="s">
        <v>1663</v>
      </c>
    </row>
    <row r="152" spans="1:4">
      <c r="A152" s="82" t="s">
        <v>342</v>
      </c>
      <c r="B152" s="83" t="s">
        <v>746</v>
      </c>
      <c r="C152" s="84" t="s">
        <v>1212</v>
      </c>
      <c r="D152" s="111" t="s">
        <v>1663</v>
      </c>
    </row>
    <row r="153" spans="1:4">
      <c r="A153" s="85" t="s">
        <v>1323</v>
      </c>
      <c r="B153" s="51" t="s">
        <v>1554</v>
      </c>
      <c r="C153" s="86" t="s">
        <v>1324</v>
      </c>
      <c r="D153" s="111" t="s">
        <v>1663</v>
      </c>
    </row>
    <row r="154" spans="1:4">
      <c r="A154" s="82" t="s">
        <v>343</v>
      </c>
      <c r="B154" s="83" t="s">
        <v>747</v>
      </c>
      <c r="C154" s="84" t="s">
        <v>1213</v>
      </c>
      <c r="D154" s="111" t="s">
        <v>1663</v>
      </c>
    </row>
    <row r="155" spans="1:4">
      <c r="A155" s="85" t="s">
        <v>345</v>
      </c>
      <c r="B155" s="51" t="s">
        <v>748</v>
      </c>
      <c r="C155" s="84" t="s">
        <v>1159</v>
      </c>
      <c r="D155" s="111" t="s">
        <v>1663</v>
      </c>
    </row>
    <row r="156" spans="1:4">
      <c r="A156" s="82" t="s">
        <v>346</v>
      </c>
      <c r="B156" s="83" t="s">
        <v>749</v>
      </c>
      <c r="C156" s="84" t="s">
        <v>1214</v>
      </c>
      <c r="D156" s="111" t="s">
        <v>1663</v>
      </c>
    </row>
    <row r="157" spans="1:4">
      <c r="A157" s="82" t="s">
        <v>347</v>
      </c>
      <c r="B157" s="83" t="s">
        <v>750</v>
      </c>
      <c r="C157" s="84" t="s">
        <v>1215</v>
      </c>
      <c r="D157" s="111" t="s">
        <v>1663</v>
      </c>
    </row>
    <row r="158" spans="1:4">
      <c r="A158" s="82" t="s">
        <v>348</v>
      </c>
      <c r="B158" s="83" t="s">
        <v>751</v>
      </c>
      <c r="C158" s="84" t="s">
        <v>1216</v>
      </c>
      <c r="D158" s="111" t="s">
        <v>1663</v>
      </c>
    </row>
    <row r="159" spans="1:4">
      <c r="A159" s="82" t="s">
        <v>349</v>
      </c>
      <c r="B159" s="83" t="s">
        <v>752</v>
      </c>
      <c r="C159" s="84" t="s">
        <v>1217</v>
      </c>
      <c r="D159" s="111" t="s">
        <v>1663</v>
      </c>
    </row>
    <row r="160" spans="1:4">
      <c r="A160" s="111" t="s">
        <v>1375</v>
      </c>
      <c r="B160" s="83" t="s">
        <v>1376</v>
      </c>
      <c r="C160" s="86" t="s">
        <v>1377</v>
      </c>
      <c r="D160" s="111" t="s">
        <v>1663</v>
      </c>
    </row>
    <row r="161" spans="1:4">
      <c r="A161" s="85" t="s">
        <v>351</v>
      </c>
      <c r="B161" s="51" t="s">
        <v>753</v>
      </c>
      <c r="C161" s="84" t="s">
        <v>1160</v>
      </c>
      <c r="D161" s="111" t="s">
        <v>1663</v>
      </c>
    </row>
    <row r="162" spans="1:4">
      <c r="A162" s="111" t="s">
        <v>1378</v>
      </c>
      <c r="B162" s="51" t="s">
        <v>753</v>
      </c>
      <c r="C162" s="84" t="s">
        <v>1379</v>
      </c>
      <c r="D162" s="111" t="s">
        <v>1663</v>
      </c>
    </row>
    <row r="163" spans="1:4">
      <c r="A163" s="111" t="s">
        <v>1380</v>
      </c>
      <c r="B163" s="51" t="s">
        <v>754</v>
      </c>
      <c r="C163" s="84" t="s">
        <v>1381</v>
      </c>
      <c r="D163" s="111" t="s">
        <v>1663</v>
      </c>
    </row>
    <row r="164" spans="1:4">
      <c r="A164" s="85" t="s">
        <v>352</v>
      </c>
      <c r="B164" s="51" t="s">
        <v>754</v>
      </c>
      <c r="C164" s="84" t="s">
        <v>1161</v>
      </c>
      <c r="D164" s="111" t="s">
        <v>1663</v>
      </c>
    </row>
    <row r="165" spans="1:4">
      <c r="A165" s="111" t="s">
        <v>1382</v>
      </c>
      <c r="B165" s="51" t="s">
        <v>1383</v>
      </c>
      <c r="C165" s="84" t="s">
        <v>1384</v>
      </c>
      <c r="D165" s="111" t="s">
        <v>1663</v>
      </c>
    </row>
    <row r="166" spans="1:4">
      <c r="A166" s="82" t="s">
        <v>353</v>
      </c>
      <c r="B166" s="83" t="s">
        <v>755</v>
      </c>
      <c r="C166" s="84" t="s">
        <v>1218</v>
      </c>
      <c r="D166" s="111" t="s">
        <v>1619</v>
      </c>
    </row>
    <row r="167" spans="1:4">
      <c r="A167" s="82" t="s">
        <v>354</v>
      </c>
      <c r="B167" s="83" t="s">
        <v>755</v>
      </c>
      <c r="C167" s="84" t="s">
        <v>1219</v>
      </c>
      <c r="D167" s="111" t="s">
        <v>1619</v>
      </c>
    </row>
    <row r="168" spans="1:4">
      <c r="A168" s="82" t="s">
        <v>464</v>
      </c>
      <c r="B168" s="83" t="s">
        <v>759</v>
      </c>
      <c r="C168" s="84" t="s">
        <v>1224</v>
      </c>
      <c r="D168" s="111" t="s">
        <v>1663</v>
      </c>
    </row>
    <row r="169" spans="1:4">
      <c r="A169" s="82" t="s">
        <v>356</v>
      </c>
      <c r="B169" s="83" t="s">
        <v>760</v>
      </c>
      <c r="C169" s="84" t="s">
        <v>1225</v>
      </c>
      <c r="D169" s="111" t="s">
        <v>1619</v>
      </c>
    </row>
    <row r="170" spans="1:4">
      <c r="A170" s="82" t="s">
        <v>1508</v>
      </c>
      <c r="B170" s="83" t="s">
        <v>1512</v>
      </c>
      <c r="C170" s="84" t="s">
        <v>1513</v>
      </c>
      <c r="D170" s="111" t="s">
        <v>1619</v>
      </c>
    </row>
    <row r="171" spans="1:4">
      <c r="A171" s="112" t="s">
        <v>1514</v>
      </c>
      <c r="B171" s="83" t="s">
        <v>757</v>
      </c>
      <c r="C171" s="112" t="s">
        <v>1515</v>
      </c>
      <c r="D171" s="111" t="s">
        <v>1663</v>
      </c>
    </row>
    <row r="172" spans="1:4">
      <c r="A172" s="82" t="s">
        <v>359</v>
      </c>
      <c r="B172" s="83" t="s">
        <v>757</v>
      </c>
      <c r="C172" s="84" t="s">
        <v>1221</v>
      </c>
      <c r="D172" s="111" t="s">
        <v>1663</v>
      </c>
    </row>
    <row r="173" spans="1:4">
      <c r="A173" s="82" t="s">
        <v>355</v>
      </c>
      <c r="B173" s="83" t="s">
        <v>756</v>
      </c>
      <c r="C173" s="84" t="s">
        <v>1220</v>
      </c>
      <c r="D173" s="111" t="s">
        <v>1619</v>
      </c>
    </row>
    <row r="174" spans="1:4">
      <c r="A174" s="82" t="s">
        <v>222</v>
      </c>
      <c r="B174" s="83" t="s">
        <v>637</v>
      </c>
      <c r="C174" s="84" t="s">
        <v>1087</v>
      </c>
      <c r="D174" s="111" t="s">
        <v>1664</v>
      </c>
    </row>
    <row r="175" spans="1:4">
      <c r="A175" s="82" t="s">
        <v>223</v>
      </c>
      <c r="B175" s="83" t="s">
        <v>638</v>
      </c>
      <c r="C175" s="84" t="s">
        <v>1088</v>
      </c>
      <c r="D175" s="111" t="s">
        <v>1664</v>
      </c>
    </row>
    <row r="176" spans="1:4">
      <c r="A176" s="82" t="s">
        <v>224</v>
      </c>
      <c r="B176" s="83" t="s">
        <v>639</v>
      </c>
      <c r="C176" s="84" t="s">
        <v>1089</v>
      </c>
      <c r="D176" s="111" t="s">
        <v>1664</v>
      </c>
    </row>
    <row r="177" spans="1:4">
      <c r="A177" s="82" t="s">
        <v>65</v>
      </c>
      <c r="B177" s="83" t="s">
        <v>518</v>
      </c>
      <c r="C177" s="84" t="s">
        <v>963</v>
      </c>
      <c r="D177" s="111" t="s">
        <v>1665</v>
      </c>
    </row>
    <row r="178" spans="1:4">
      <c r="A178" s="82" t="s">
        <v>66</v>
      </c>
      <c r="B178" s="83" t="s">
        <v>518</v>
      </c>
      <c r="C178" s="84" t="s">
        <v>964</v>
      </c>
      <c r="D178" s="111" t="s">
        <v>1665</v>
      </c>
    </row>
    <row r="179" spans="1:4">
      <c r="A179" s="82" t="s">
        <v>438</v>
      </c>
      <c r="B179" s="83" t="s">
        <v>832</v>
      </c>
      <c r="C179" s="84" t="s">
        <v>1295</v>
      </c>
      <c r="D179" s="111" t="s">
        <v>1619</v>
      </c>
    </row>
    <row r="180" spans="1:4">
      <c r="A180" s="82" t="s">
        <v>439</v>
      </c>
      <c r="B180" s="83" t="s">
        <v>833</v>
      </c>
      <c r="C180" s="84" t="s">
        <v>1296</v>
      </c>
      <c r="D180" s="111" t="s">
        <v>1658</v>
      </c>
    </row>
    <row r="181" spans="1:4">
      <c r="A181" s="82" t="s">
        <v>52</v>
      </c>
      <c r="B181" s="83" t="s">
        <v>507</v>
      </c>
      <c r="C181" s="84" t="s">
        <v>951</v>
      </c>
      <c r="D181" s="111" t="s">
        <v>1666</v>
      </c>
    </row>
    <row r="182" spans="1:4">
      <c r="A182" s="82" t="s">
        <v>53</v>
      </c>
      <c r="B182" s="83" t="s">
        <v>507</v>
      </c>
      <c r="C182" s="84" t="s">
        <v>952</v>
      </c>
      <c r="D182" s="111" t="s">
        <v>1666</v>
      </c>
    </row>
    <row r="183" spans="1:4">
      <c r="A183" s="82" t="s">
        <v>54</v>
      </c>
      <c r="B183" s="83" t="s">
        <v>508</v>
      </c>
      <c r="C183" s="84" t="s">
        <v>953</v>
      </c>
      <c r="D183" s="111" t="s">
        <v>1666</v>
      </c>
    </row>
    <row r="184" spans="1:4">
      <c r="A184" s="82" t="s">
        <v>55</v>
      </c>
      <c r="B184" s="83" t="s">
        <v>509</v>
      </c>
      <c r="C184" s="84" t="s">
        <v>954</v>
      </c>
      <c r="D184" s="111" t="s">
        <v>1666</v>
      </c>
    </row>
    <row r="185" spans="1:4">
      <c r="A185" s="82" t="s">
        <v>56</v>
      </c>
      <c r="B185" s="83" t="s">
        <v>510</v>
      </c>
      <c r="C185" s="84" t="s">
        <v>955</v>
      </c>
      <c r="D185" s="111" t="s">
        <v>1666</v>
      </c>
    </row>
    <row r="186" spans="1:4">
      <c r="A186" s="82" t="s">
        <v>57</v>
      </c>
      <c r="B186" s="83" t="s">
        <v>511</v>
      </c>
      <c r="C186" s="84" t="s">
        <v>956</v>
      </c>
      <c r="D186" s="111" t="s">
        <v>1666</v>
      </c>
    </row>
    <row r="187" spans="1:4">
      <c r="A187" s="85" t="s">
        <v>58</v>
      </c>
      <c r="B187" s="51" t="s">
        <v>864</v>
      </c>
      <c r="C187" s="84" t="s">
        <v>865</v>
      </c>
      <c r="D187" s="111" t="s">
        <v>1666</v>
      </c>
    </row>
    <row r="188" spans="1:4">
      <c r="A188" s="82" t="s">
        <v>1335</v>
      </c>
      <c r="B188" s="83" t="s">
        <v>1337</v>
      </c>
      <c r="C188" s="84" t="s">
        <v>1336</v>
      </c>
      <c r="D188" s="111" t="s">
        <v>1666</v>
      </c>
    </row>
    <row r="189" spans="1:4">
      <c r="A189" s="82" t="s">
        <v>59</v>
      </c>
      <c r="B189" s="83" t="s">
        <v>512</v>
      </c>
      <c r="C189" s="84" t="s">
        <v>957</v>
      </c>
      <c r="D189" s="111" t="s">
        <v>1666</v>
      </c>
    </row>
    <row r="190" spans="1:4">
      <c r="A190" s="82" t="s">
        <v>60</v>
      </c>
      <c r="B190" s="83" t="s">
        <v>513</v>
      </c>
      <c r="C190" s="84" t="s">
        <v>958</v>
      </c>
      <c r="D190" s="111" t="s">
        <v>1666</v>
      </c>
    </row>
    <row r="191" spans="1:4">
      <c r="A191" s="111" t="s">
        <v>1385</v>
      </c>
      <c r="B191" s="83" t="s">
        <v>1386</v>
      </c>
      <c r="C191" s="84" t="s">
        <v>1387</v>
      </c>
      <c r="D191" s="111" t="s">
        <v>1620</v>
      </c>
    </row>
    <row r="192" spans="1:4">
      <c r="A192" s="82" t="s">
        <v>165</v>
      </c>
      <c r="B192" s="83" t="s">
        <v>593</v>
      </c>
      <c r="C192" s="84" t="s">
        <v>1043</v>
      </c>
      <c r="D192" s="111" t="s">
        <v>1620</v>
      </c>
    </row>
    <row r="193" spans="1:4">
      <c r="A193" s="82" t="s">
        <v>166</v>
      </c>
      <c r="B193" s="83" t="s">
        <v>594</v>
      </c>
      <c r="C193" s="84" t="s">
        <v>1044</v>
      </c>
      <c r="D193" s="111" t="s">
        <v>1620</v>
      </c>
    </row>
    <row r="194" spans="1:4">
      <c r="A194" s="85" t="s">
        <v>167</v>
      </c>
      <c r="B194" s="51" t="s">
        <v>595</v>
      </c>
      <c r="C194" s="84" t="s">
        <v>1018</v>
      </c>
      <c r="D194" s="111" t="s">
        <v>1620</v>
      </c>
    </row>
    <row r="195" spans="1:4">
      <c r="A195" s="113" t="s">
        <v>1345</v>
      </c>
      <c r="B195" s="51" t="s">
        <v>593</v>
      </c>
      <c r="C195" s="112" t="s">
        <v>1352</v>
      </c>
      <c r="D195" s="111" t="s">
        <v>1620</v>
      </c>
    </row>
    <row r="196" spans="1:4">
      <c r="A196" s="111" t="s">
        <v>1388</v>
      </c>
      <c r="B196" s="51" t="s">
        <v>595</v>
      </c>
      <c r="C196" s="84" t="s">
        <v>1389</v>
      </c>
      <c r="D196" s="111" t="s">
        <v>1620</v>
      </c>
    </row>
    <row r="197" spans="1:4">
      <c r="A197" s="82" t="s">
        <v>168</v>
      </c>
      <c r="B197" s="83" t="s">
        <v>596</v>
      </c>
      <c r="C197" s="84" t="s">
        <v>1045</v>
      </c>
      <c r="D197" s="111" t="s">
        <v>1620</v>
      </c>
    </row>
    <row r="198" spans="1:4">
      <c r="A198" s="82" t="s">
        <v>169</v>
      </c>
      <c r="B198" s="83" t="s">
        <v>596</v>
      </c>
      <c r="C198" s="84" t="s">
        <v>1046</v>
      </c>
      <c r="D198" s="111" t="s">
        <v>1620</v>
      </c>
    </row>
    <row r="199" spans="1:4">
      <c r="A199" s="111" t="s">
        <v>1346</v>
      </c>
      <c r="B199" s="83" t="s">
        <v>596</v>
      </c>
      <c r="C199" s="84" t="s">
        <v>1351</v>
      </c>
      <c r="D199" s="111" t="s">
        <v>1620</v>
      </c>
    </row>
    <row r="200" spans="1:4">
      <c r="A200" s="82" t="s">
        <v>170</v>
      </c>
      <c r="B200" s="83" t="s">
        <v>597</v>
      </c>
      <c r="C200" s="84" t="s">
        <v>1047</v>
      </c>
      <c r="D200" s="111" t="s">
        <v>1620</v>
      </c>
    </row>
    <row r="201" spans="1:4">
      <c r="A201" s="85" t="s">
        <v>1326</v>
      </c>
      <c r="B201" s="51" t="s">
        <v>1333</v>
      </c>
      <c r="C201" s="84" t="s">
        <v>1332</v>
      </c>
      <c r="D201" s="111" t="s">
        <v>1620</v>
      </c>
    </row>
    <row r="202" spans="1:4">
      <c r="A202" s="82" t="s">
        <v>171</v>
      </c>
      <c r="B202" s="83" t="s">
        <v>591</v>
      </c>
      <c r="C202" s="84" t="s">
        <v>1048</v>
      </c>
      <c r="D202" s="111" t="s">
        <v>1620</v>
      </c>
    </row>
    <row r="203" spans="1:4">
      <c r="A203" s="82" t="s">
        <v>172</v>
      </c>
      <c r="B203" s="83" t="s">
        <v>598</v>
      </c>
      <c r="C203" s="84" t="s">
        <v>1049</v>
      </c>
      <c r="D203" s="111" t="s">
        <v>1620</v>
      </c>
    </row>
    <row r="204" spans="1:4">
      <c r="A204" s="112" t="s">
        <v>1516</v>
      </c>
      <c r="B204" s="83" t="s">
        <v>1321</v>
      </c>
      <c r="C204" s="86" t="s">
        <v>1517</v>
      </c>
      <c r="D204" s="111" t="s">
        <v>1620</v>
      </c>
    </row>
    <row r="205" spans="1:4">
      <c r="A205" s="111" t="s">
        <v>1518</v>
      </c>
      <c r="B205" s="83" t="s">
        <v>1321</v>
      </c>
      <c r="C205" s="86" t="s">
        <v>1519</v>
      </c>
      <c r="D205" s="111" t="s">
        <v>1620</v>
      </c>
    </row>
    <row r="206" spans="1:4">
      <c r="A206" s="82" t="s">
        <v>173</v>
      </c>
      <c r="B206" s="83" t="s">
        <v>599</v>
      </c>
      <c r="C206" s="84" t="s">
        <v>1050</v>
      </c>
      <c r="D206" s="111" t="s">
        <v>1620</v>
      </c>
    </row>
    <row r="207" spans="1:4">
      <c r="A207" s="85" t="s">
        <v>1019</v>
      </c>
      <c r="B207" s="51" t="s">
        <v>1020</v>
      </c>
      <c r="C207" s="84" t="s">
        <v>1021</v>
      </c>
      <c r="D207" s="111" t="s">
        <v>1620</v>
      </c>
    </row>
    <row r="208" spans="1:4">
      <c r="A208" s="111" t="s">
        <v>1390</v>
      </c>
      <c r="B208" s="83" t="s">
        <v>601</v>
      </c>
      <c r="C208" s="84" t="s">
        <v>1391</v>
      </c>
      <c r="D208" s="111" t="s">
        <v>1620</v>
      </c>
    </row>
    <row r="209" spans="1:4">
      <c r="A209" s="82" t="s">
        <v>175</v>
      </c>
      <c r="B209" s="83" t="s">
        <v>601</v>
      </c>
      <c r="C209" s="84" t="s">
        <v>1052</v>
      </c>
      <c r="D209" s="111" t="s">
        <v>1620</v>
      </c>
    </row>
    <row r="210" spans="1:4">
      <c r="A210" s="82" t="s">
        <v>174</v>
      </c>
      <c r="B210" s="83" t="s">
        <v>600</v>
      </c>
      <c r="C210" s="84" t="s">
        <v>1051</v>
      </c>
      <c r="D210" s="111" t="s">
        <v>1619</v>
      </c>
    </row>
    <row r="211" spans="1:4">
      <c r="A211" s="85" t="s">
        <v>1022</v>
      </c>
      <c r="B211" s="51" t="s">
        <v>1023</v>
      </c>
      <c r="C211" s="84" t="s">
        <v>1024</v>
      </c>
      <c r="D211" s="111" t="s">
        <v>1620</v>
      </c>
    </row>
    <row r="212" spans="1:4">
      <c r="A212" s="111" t="s">
        <v>1392</v>
      </c>
      <c r="B212" s="51" t="s">
        <v>1023</v>
      </c>
      <c r="C212" s="84" t="s">
        <v>1393</v>
      </c>
      <c r="D212" s="111" t="s">
        <v>1620</v>
      </c>
    </row>
    <row r="213" spans="1:4">
      <c r="A213" s="82" t="s">
        <v>176</v>
      </c>
      <c r="B213" s="83" t="s">
        <v>596</v>
      </c>
      <c r="C213" s="84" t="s">
        <v>1053</v>
      </c>
      <c r="D213" s="111" t="s">
        <v>1620</v>
      </c>
    </row>
    <row r="214" spans="1:4">
      <c r="A214" s="82" t="s">
        <v>177</v>
      </c>
      <c r="B214" s="83" t="s">
        <v>602</v>
      </c>
      <c r="C214" s="84" t="s">
        <v>1054</v>
      </c>
      <c r="D214" s="111" t="s">
        <v>1620</v>
      </c>
    </row>
    <row r="215" spans="1:4">
      <c r="A215" s="85" t="s">
        <v>1025</v>
      </c>
      <c r="B215" s="51" t="s">
        <v>602</v>
      </c>
      <c r="C215" s="84" t="s">
        <v>1026</v>
      </c>
      <c r="D215" s="111" t="s">
        <v>1620</v>
      </c>
    </row>
    <row r="216" spans="1:4">
      <c r="A216" s="82" t="s">
        <v>178</v>
      </c>
      <c r="B216" s="83" t="s">
        <v>603</v>
      </c>
      <c r="C216" s="84" t="s">
        <v>1055</v>
      </c>
      <c r="D216" s="111" t="s">
        <v>1620</v>
      </c>
    </row>
    <row r="217" spans="1:4">
      <c r="A217" s="82" t="s">
        <v>179</v>
      </c>
      <c r="B217" s="83" t="s">
        <v>604</v>
      </c>
      <c r="C217" s="84" t="s">
        <v>1056</v>
      </c>
      <c r="D217" s="111" t="s">
        <v>1620</v>
      </c>
    </row>
    <row r="218" spans="1:4">
      <c r="A218" s="111" t="s">
        <v>1394</v>
      </c>
      <c r="B218" s="83" t="s">
        <v>604</v>
      </c>
      <c r="C218" s="84" t="s">
        <v>1395</v>
      </c>
      <c r="D218" s="111" t="s">
        <v>1620</v>
      </c>
    </row>
    <row r="219" spans="1:4">
      <c r="A219" s="82" t="s">
        <v>180</v>
      </c>
      <c r="B219" s="83" t="s">
        <v>583</v>
      </c>
      <c r="C219" s="84" t="s">
        <v>1057</v>
      </c>
      <c r="D219" s="111" t="s">
        <v>1620</v>
      </c>
    </row>
    <row r="220" spans="1:4">
      <c r="A220" s="85" t="s">
        <v>181</v>
      </c>
      <c r="B220" s="51" t="s">
        <v>1340</v>
      </c>
      <c r="C220" s="84" t="s">
        <v>1027</v>
      </c>
      <c r="D220" s="111" t="s">
        <v>1620</v>
      </c>
    </row>
    <row r="221" spans="1:4">
      <c r="A221" s="82" t="s">
        <v>182</v>
      </c>
      <c r="B221" s="83" t="s">
        <v>584</v>
      </c>
      <c r="C221" s="84" t="s">
        <v>1058</v>
      </c>
      <c r="D221" s="111" t="s">
        <v>1620</v>
      </c>
    </row>
    <row r="222" spans="1:4">
      <c r="A222" s="113" t="s">
        <v>1347</v>
      </c>
      <c r="B222" s="51" t="s">
        <v>609</v>
      </c>
      <c r="C222" s="86" t="s">
        <v>1349</v>
      </c>
      <c r="D222" s="111" t="s">
        <v>1620</v>
      </c>
    </row>
    <row r="223" spans="1:4">
      <c r="A223" s="82" t="s">
        <v>183</v>
      </c>
      <c r="B223" s="83" t="s">
        <v>605</v>
      </c>
      <c r="C223" s="84" t="s">
        <v>1059</v>
      </c>
      <c r="D223" s="111" t="s">
        <v>1620</v>
      </c>
    </row>
    <row r="224" spans="1:4">
      <c r="A224" s="111" t="s">
        <v>1348</v>
      </c>
      <c r="B224" s="83" t="s">
        <v>605</v>
      </c>
      <c r="C224" s="84" t="s">
        <v>1350</v>
      </c>
      <c r="D224" s="111" t="s">
        <v>1620</v>
      </c>
    </row>
    <row r="225" spans="1:4">
      <c r="A225" s="82" t="s">
        <v>184</v>
      </c>
      <c r="B225" s="83" t="s">
        <v>606</v>
      </c>
      <c r="C225" s="84" t="s">
        <v>1060</v>
      </c>
      <c r="D225" s="111" t="s">
        <v>1620</v>
      </c>
    </row>
    <row r="226" spans="1:4">
      <c r="A226" s="82" t="s">
        <v>185</v>
      </c>
      <c r="B226" s="83" t="s">
        <v>607</v>
      </c>
      <c r="C226" s="84" t="s">
        <v>1061</v>
      </c>
      <c r="D226" s="111" t="s">
        <v>1620</v>
      </c>
    </row>
    <row r="227" spans="1:4">
      <c r="A227" s="82" t="s">
        <v>186</v>
      </c>
      <c r="B227" s="83" t="s">
        <v>608</v>
      </c>
      <c r="C227" s="84" t="s">
        <v>1062</v>
      </c>
      <c r="D227" s="111" t="s">
        <v>1620</v>
      </c>
    </row>
    <row r="228" spans="1:4">
      <c r="A228" s="85" t="s">
        <v>187</v>
      </c>
      <c r="B228" s="51" t="s">
        <v>609</v>
      </c>
      <c r="C228" s="84" t="s">
        <v>1028</v>
      </c>
      <c r="D228" s="111" t="s">
        <v>1620</v>
      </c>
    </row>
    <row r="229" spans="1:4">
      <c r="A229" s="82" t="s">
        <v>188</v>
      </c>
      <c r="B229" s="83" t="s">
        <v>610</v>
      </c>
      <c r="C229" s="84" t="s">
        <v>1063</v>
      </c>
      <c r="D229" s="111" t="s">
        <v>1620</v>
      </c>
    </row>
    <row r="230" spans="1:4">
      <c r="A230" s="82" t="s">
        <v>189</v>
      </c>
      <c r="B230" s="83" t="s">
        <v>611</v>
      </c>
      <c r="C230" s="84" t="s">
        <v>1064</v>
      </c>
      <c r="D230" s="111" t="s">
        <v>1619</v>
      </c>
    </row>
    <row r="231" spans="1:4">
      <c r="A231" s="82" t="s">
        <v>196</v>
      </c>
      <c r="B231" s="83" t="s">
        <v>617</v>
      </c>
      <c r="C231" s="84" t="s">
        <v>1069</v>
      </c>
      <c r="D231" s="111" t="s">
        <v>1619</v>
      </c>
    </row>
    <row r="232" spans="1:4">
      <c r="A232" s="82" t="s">
        <v>190</v>
      </c>
      <c r="B232" s="83" t="s">
        <v>612</v>
      </c>
      <c r="C232" s="84" t="s">
        <v>1065</v>
      </c>
      <c r="D232" s="111" t="s">
        <v>1620</v>
      </c>
    </row>
    <row r="233" spans="1:4">
      <c r="A233" s="111" t="s">
        <v>1667</v>
      </c>
      <c r="B233" s="173" t="s">
        <v>596</v>
      </c>
      <c r="C233" s="112" t="s">
        <v>1668</v>
      </c>
      <c r="D233" s="111" t="s">
        <v>1620</v>
      </c>
    </row>
    <row r="234" spans="1:4">
      <c r="A234" s="82" t="s">
        <v>1316</v>
      </c>
      <c r="B234" s="83" t="s">
        <v>1321</v>
      </c>
      <c r="C234" s="86" t="s">
        <v>1322</v>
      </c>
      <c r="D234" s="111" t="s">
        <v>1620</v>
      </c>
    </row>
    <row r="235" spans="1:4">
      <c r="A235" s="111" t="s">
        <v>1396</v>
      </c>
      <c r="B235" s="83" t="s">
        <v>1321</v>
      </c>
      <c r="C235" s="84" t="s">
        <v>1397</v>
      </c>
      <c r="D235" s="111" t="s">
        <v>1620</v>
      </c>
    </row>
    <row r="236" spans="1:4">
      <c r="A236" s="85" t="s">
        <v>155</v>
      </c>
      <c r="B236" s="51" t="s">
        <v>583</v>
      </c>
      <c r="C236" s="84" t="s">
        <v>1029</v>
      </c>
      <c r="D236" s="111" t="s">
        <v>1620</v>
      </c>
    </row>
    <row r="237" spans="1:4">
      <c r="A237" s="85" t="s">
        <v>157</v>
      </c>
      <c r="B237" s="51" t="s">
        <v>585</v>
      </c>
      <c r="C237" s="84" t="s">
        <v>1030</v>
      </c>
      <c r="D237" s="111" t="s">
        <v>1620</v>
      </c>
    </row>
    <row r="238" spans="1:4">
      <c r="A238" s="85" t="s">
        <v>156</v>
      </c>
      <c r="B238" s="51" t="s">
        <v>584</v>
      </c>
      <c r="C238" s="84" t="s">
        <v>1031</v>
      </c>
      <c r="D238" s="111" t="s">
        <v>1620</v>
      </c>
    </row>
    <row r="239" spans="1:4">
      <c r="A239" s="82" t="s">
        <v>191</v>
      </c>
      <c r="B239" s="83" t="s">
        <v>613</v>
      </c>
      <c r="C239" s="84" t="s">
        <v>1066</v>
      </c>
      <c r="D239" s="111" t="s">
        <v>1620</v>
      </c>
    </row>
    <row r="240" spans="1:4">
      <c r="A240" s="82" t="s">
        <v>197</v>
      </c>
      <c r="B240" s="83" t="s">
        <v>618</v>
      </c>
      <c r="C240" s="84" t="s">
        <v>1070</v>
      </c>
      <c r="D240" s="111" t="s">
        <v>1619</v>
      </c>
    </row>
    <row r="241" spans="1:4">
      <c r="A241" s="82" t="s">
        <v>154</v>
      </c>
      <c r="B241" s="83" t="s">
        <v>582</v>
      </c>
      <c r="C241" s="84" t="s">
        <v>1039</v>
      </c>
      <c r="D241" s="111" t="s">
        <v>1620</v>
      </c>
    </row>
    <row r="242" spans="1:4">
      <c r="A242" s="85" t="s">
        <v>192</v>
      </c>
      <c r="B242" s="51" t="s">
        <v>614</v>
      </c>
      <c r="C242" s="84" t="s">
        <v>1032</v>
      </c>
      <c r="D242" s="111" t="s">
        <v>1620</v>
      </c>
    </row>
    <row r="243" spans="1:4">
      <c r="A243" s="85" t="s">
        <v>193</v>
      </c>
      <c r="B243" s="51" t="s">
        <v>609</v>
      </c>
      <c r="C243" s="84" t="s">
        <v>1033</v>
      </c>
      <c r="D243" s="111" t="s">
        <v>1620</v>
      </c>
    </row>
    <row r="244" spans="1:4">
      <c r="A244" s="82" t="s">
        <v>194</v>
      </c>
      <c r="B244" s="83" t="s">
        <v>615</v>
      </c>
      <c r="C244" s="84" t="s">
        <v>1067</v>
      </c>
      <c r="D244" s="111" t="s">
        <v>1620</v>
      </c>
    </row>
    <row r="245" spans="1:4">
      <c r="A245" s="82" t="s">
        <v>195</v>
      </c>
      <c r="B245" s="83" t="s">
        <v>616</v>
      </c>
      <c r="C245" s="84" t="s">
        <v>1068</v>
      </c>
      <c r="D245" s="111" t="s">
        <v>1619</v>
      </c>
    </row>
    <row r="246" spans="1:4">
      <c r="A246" s="85" t="s">
        <v>159</v>
      </c>
      <c r="B246" s="51" t="s">
        <v>587</v>
      </c>
      <c r="C246" s="84" t="s">
        <v>1034</v>
      </c>
      <c r="D246" s="111" t="s">
        <v>1620</v>
      </c>
    </row>
    <row r="247" spans="1:4">
      <c r="A247" s="82" t="s">
        <v>160</v>
      </c>
      <c r="B247" s="83" t="s">
        <v>588</v>
      </c>
      <c r="C247" s="84" t="s">
        <v>1040</v>
      </c>
      <c r="D247" s="111" t="s">
        <v>1620</v>
      </c>
    </row>
    <row r="248" spans="1:4">
      <c r="A248" s="85" t="s">
        <v>158</v>
      </c>
      <c r="B248" s="51" t="s">
        <v>586</v>
      </c>
      <c r="C248" s="84" t="s">
        <v>1035</v>
      </c>
      <c r="D248" s="111" t="s">
        <v>1620</v>
      </c>
    </row>
    <row r="249" spans="1:4">
      <c r="A249" s="85" t="s">
        <v>161</v>
      </c>
      <c r="B249" s="51" t="s">
        <v>589</v>
      </c>
      <c r="C249" s="84" t="s">
        <v>1036</v>
      </c>
      <c r="D249" s="111" t="s">
        <v>1620</v>
      </c>
    </row>
    <row r="250" spans="1:4">
      <c r="A250" s="82" t="s">
        <v>162</v>
      </c>
      <c r="B250" s="83" t="s">
        <v>590</v>
      </c>
      <c r="C250" s="84" t="s">
        <v>1041</v>
      </c>
      <c r="D250" s="111" t="s">
        <v>1620</v>
      </c>
    </row>
    <row r="251" spans="1:4">
      <c r="A251" s="85" t="s">
        <v>163</v>
      </c>
      <c r="B251" s="51" t="s">
        <v>591</v>
      </c>
      <c r="C251" s="84" t="s">
        <v>1037</v>
      </c>
      <c r="D251" s="111" t="s">
        <v>1620</v>
      </c>
    </row>
    <row r="252" spans="1:4">
      <c r="A252" s="82" t="s">
        <v>164</v>
      </c>
      <c r="B252" s="83" t="s">
        <v>592</v>
      </c>
      <c r="C252" s="84" t="s">
        <v>1042</v>
      </c>
      <c r="D252" s="111" t="s">
        <v>1620</v>
      </c>
    </row>
    <row r="253" spans="1:4">
      <c r="A253" s="85" t="s">
        <v>202</v>
      </c>
      <c r="B253" s="51" t="s">
        <v>807</v>
      </c>
      <c r="C253" s="84" t="s">
        <v>1038</v>
      </c>
      <c r="D253" s="111" t="s">
        <v>1658</v>
      </c>
    </row>
    <row r="254" spans="1:4">
      <c r="A254" s="82" t="s">
        <v>203</v>
      </c>
      <c r="B254" s="51" t="s">
        <v>808</v>
      </c>
      <c r="C254" s="84" t="s">
        <v>1276</v>
      </c>
      <c r="D254" s="111" t="s">
        <v>1658</v>
      </c>
    </row>
    <row r="255" spans="1:4">
      <c r="A255" s="82" t="s">
        <v>10</v>
      </c>
      <c r="B255" s="51" t="s">
        <v>478</v>
      </c>
      <c r="C255" s="84" t="s">
        <v>927</v>
      </c>
      <c r="D255" s="111" t="s">
        <v>1669</v>
      </c>
    </row>
    <row r="256" spans="1:4">
      <c r="A256" s="82" t="s">
        <v>72</v>
      </c>
      <c r="B256" s="83" t="s">
        <v>524</v>
      </c>
      <c r="C256" s="84" t="s">
        <v>969</v>
      </c>
      <c r="D256" s="111" t="s">
        <v>1669</v>
      </c>
    </row>
    <row r="257" spans="1:4">
      <c r="A257" s="111" t="s">
        <v>1489</v>
      </c>
      <c r="B257" s="83" t="s">
        <v>1495</v>
      </c>
      <c r="C257" s="112" t="s">
        <v>1494</v>
      </c>
      <c r="D257" s="111" t="s">
        <v>1619</v>
      </c>
    </row>
    <row r="258" spans="1:4">
      <c r="A258" s="82" t="s">
        <v>14</v>
      </c>
      <c r="B258" s="83" t="s">
        <v>482</v>
      </c>
      <c r="C258" s="84" t="s">
        <v>929</v>
      </c>
      <c r="D258" s="111" t="s">
        <v>1669</v>
      </c>
    </row>
    <row r="259" spans="1:4">
      <c r="A259" s="82" t="s">
        <v>1334</v>
      </c>
      <c r="B259" s="83" t="s">
        <v>1338</v>
      </c>
      <c r="C259" s="84" t="s">
        <v>1339</v>
      </c>
      <c r="D259" s="111" t="s">
        <v>1669</v>
      </c>
    </row>
    <row r="260" spans="1:4">
      <c r="A260" s="82" t="s">
        <v>15</v>
      </c>
      <c r="B260" s="83" t="s">
        <v>483</v>
      </c>
      <c r="C260" s="84" t="s">
        <v>930</v>
      </c>
      <c r="D260" s="111" t="s">
        <v>1669</v>
      </c>
    </row>
    <row r="261" spans="1:4">
      <c r="A261" s="82" t="s">
        <v>16</v>
      </c>
      <c r="B261" s="83" t="s">
        <v>483</v>
      </c>
      <c r="C261" s="84" t="s">
        <v>931</v>
      </c>
      <c r="D261" s="111" t="s">
        <v>1669</v>
      </c>
    </row>
    <row r="262" spans="1:4">
      <c r="A262" s="82" t="s">
        <v>17</v>
      </c>
      <c r="B262" s="83" t="s">
        <v>484</v>
      </c>
      <c r="C262" s="84" t="s">
        <v>932</v>
      </c>
      <c r="D262" s="111" t="s">
        <v>1669</v>
      </c>
    </row>
    <row r="263" spans="1:4">
      <c r="A263" s="82" t="s">
        <v>18</v>
      </c>
      <c r="B263" s="83" t="s">
        <v>484</v>
      </c>
      <c r="C263" s="84" t="s">
        <v>933</v>
      </c>
      <c r="D263" s="111" t="s">
        <v>1669</v>
      </c>
    </row>
    <row r="264" spans="1:4">
      <c r="A264" s="111" t="s">
        <v>1398</v>
      </c>
      <c r="B264" s="83" t="s">
        <v>1399</v>
      </c>
      <c r="C264" s="84" t="s">
        <v>1400</v>
      </c>
      <c r="D264" s="111" t="s">
        <v>1669</v>
      </c>
    </row>
    <row r="265" spans="1:4">
      <c r="A265" s="54" t="s">
        <v>1550</v>
      </c>
      <c r="B265" s="83" t="s">
        <v>1399</v>
      </c>
      <c r="C265" s="112" t="s">
        <v>1552</v>
      </c>
      <c r="D265" s="111" t="s">
        <v>1669</v>
      </c>
    </row>
    <row r="266" spans="1:4">
      <c r="A266" s="82" t="s">
        <v>19</v>
      </c>
      <c r="B266" s="83" t="s">
        <v>484</v>
      </c>
      <c r="C266" s="84" t="s">
        <v>934</v>
      </c>
      <c r="D266" s="111" t="s">
        <v>1669</v>
      </c>
    </row>
    <row r="267" spans="1:4">
      <c r="A267" s="82" t="s">
        <v>20</v>
      </c>
      <c r="B267" s="83" t="s">
        <v>485</v>
      </c>
      <c r="C267" s="84" t="s">
        <v>935</v>
      </c>
      <c r="D267" s="111" t="s">
        <v>1669</v>
      </c>
    </row>
    <row r="268" spans="1:4">
      <c r="A268" s="82" t="s">
        <v>1325</v>
      </c>
      <c r="B268" s="83" t="s">
        <v>1330</v>
      </c>
      <c r="C268" s="84" t="s">
        <v>1331</v>
      </c>
      <c r="D268" s="111" t="s">
        <v>1669</v>
      </c>
    </row>
    <row r="269" spans="1:4">
      <c r="A269" s="85" t="s">
        <v>21</v>
      </c>
      <c r="B269" s="51" t="s">
        <v>486</v>
      </c>
      <c r="C269" s="84" t="s">
        <v>866</v>
      </c>
      <c r="D269" s="111" t="s">
        <v>1669</v>
      </c>
    </row>
    <row r="270" spans="1:4">
      <c r="A270" s="82" t="s">
        <v>22</v>
      </c>
      <c r="B270" s="83" t="s">
        <v>487</v>
      </c>
      <c r="C270" s="84" t="s">
        <v>936</v>
      </c>
      <c r="D270" s="111" t="s">
        <v>1669</v>
      </c>
    </row>
    <row r="271" spans="1:4">
      <c r="A271" s="82" t="s">
        <v>23</v>
      </c>
      <c r="B271" s="83" t="s">
        <v>487</v>
      </c>
      <c r="C271" s="84" t="s">
        <v>937</v>
      </c>
      <c r="D271" s="111" t="s">
        <v>1669</v>
      </c>
    </row>
    <row r="272" spans="1:4">
      <c r="A272" s="82" t="s">
        <v>24</v>
      </c>
      <c r="B272" s="83" t="s">
        <v>488</v>
      </c>
      <c r="C272" s="84" t="s">
        <v>938</v>
      </c>
      <c r="D272" s="111" t="s">
        <v>1669</v>
      </c>
    </row>
    <row r="273" spans="1:4">
      <c r="A273" s="82" t="s">
        <v>25</v>
      </c>
      <c r="B273" s="83" t="s">
        <v>488</v>
      </c>
      <c r="C273" s="84" t="s">
        <v>939</v>
      </c>
      <c r="D273" s="111" t="s">
        <v>1669</v>
      </c>
    </row>
    <row r="274" spans="1:4">
      <c r="A274" s="82" t="s">
        <v>26</v>
      </c>
      <c r="B274" s="83" t="s">
        <v>487</v>
      </c>
      <c r="C274" s="84" t="s">
        <v>940</v>
      </c>
      <c r="D274" s="111" t="s">
        <v>1669</v>
      </c>
    </row>
    <row r="275" spans="1:4">
      <c r="A275" s="85" t="s">
        <v>12</v>
      </c>
      <c r="B275" s="51" t="s">
        <v>480</v>
      </c>
      <c r="C275" s="84" t="s">
        <v>867</v>
      </c>
      <c r="D275" s="111" t="s">
        <v>1669</v>
      </c>
    </row>
    <row r="276" spans="1:4">
      <c r="A276" s="85" t="s">
        <v>13</v>
      </c>
      <c r="B276" s="51" t="s">
        <v>481</v>
      </c>
      <c r="C276" s="84" t="s">
        <v>868</v>
      </c>
      <c r="D276" s="111" t="s">
        <v>1669</v>
      </c>
    </row>
    <row r="277" spans="1:4">
      <c r="A277" s="82" t="s">
        <v>11</v>
      </c>
      <c r="B277" s="51" t="s">
        <v>479</v>
      </c>
      <c r="C277" s="84" t="s">
        <v>928</v>
      </c>
      <c r="D277" s="111" t="s">
        <v>1669</v>
      </c>
    </row>
    <row r="278" spans="1:4">
      <c r="A278" s="85" t="s">
        <v>27</v>
      </c>
      <c r="B278" s="51" t="s">
        <v>489</v>
      </c>
      <c r="C278" s="84" t="s">
        <v>869</v>
      </c>
      <c r="D278" s="111" t="s">
        <v>1669</v>
      </c>
    </row>
    <row r="279" spans="1:4">
      <c r="A279" s="85" t="s">
        <v>28</v>
      </c>
      <c r="B279" s="51" t="s">
        <v>490</v>
      </c>
      <c r="C279" s="84" t="s">
        <v>870</v>
      </c>
      <c r="D279" s="111" t="s">
        <v>1669</v>
      </c>
    </row>
    <row r="280" spans="1:4">
      <c r="A280" s="85" t="s">
        <v>29</v>
      </c>
      <c r="B280" s="51" t="s">
        <v>491</v>
      </c>
      <c r="C280" s="84" t="s">
        <v>871</v>
      </c>
      <c r="D280" s="111" t="s">
        <v>1669</v>
      </c>
    </row>
    <row r="281" spans="1:4">
      <c r="A281" s="85" t="s">
        <v>30</v>
      </c>
      <c r="B281" s="51" t="s">
        <v>490</v>
      </c>
      <c r="C281" s="84" t="s">
        <v>872</v>
      </c>
      <c r="D281" s="111" t="s">
        <v>1669</v>
      </c>
    </row>
    <row r="282" spans="1:4">
      <c r="A282" s="85" t="s">
        <v>31</v>
      </c>
      <c r="B282" s="51" t="s">
        <v>491</v>
      </c>
      <c r="C282" s="84" t="s">
        <v>873</v>
      </c>
      <c r="D282" s="111" t="s">
        <v>1669</v>
      </c>
    </row>
    <row r="283" spans="1:4">
      <c r="A283" s="82" t="s">
        <v>32</v>
      </c>
      <c r="B283" s="83" t="s">
        <v>492</v>
      </c>
      <c r="C283" s="84" t="s">
        <v>941</v>
      </c>
      <c r="D283" s="111" t="s">
        <v>1669</v>
      </c>
    </row>
    <row r="284" spans="1:4">
      <c r="A284" s="82" t="s">
        <v>33</v>
      </c>
      <c r="B284" s="83" t="s">
        <v>493</v>
      </c>
      <c r="C284" s="84" t="s">
        <v>942</v>
      </c>
      <c r="D284" s="111" t="s">
        <v>1669</v>
      </c>
    </row>
    <row r="285" spans="1:4">
      <c r="A285" s="82" t="s">
        <v>34</v>
      </c>
      <c r="B285" s="83" t="s">
        <v>494</v>
      </c>
      <c r="C285" s="84" t="s">
        <v>943</v>
      </c>
      <c r="D285" s="111" t="s">
        <v>1669</v>
      </c>
    </row>
    <row r="286" spans="1:4">
      <c r="A286" s="82" t="s">
        <v>35</v>
      </c>
      <c r="B286" s="83" t="s">
        <v>493</v>
      </c>
      <c r="C286" s="84" t="s">
        <v>944</v>
      </c>
      <c r="D286" s="111" t="s">
        <v>1669</v>
      </c>
    </row>
    <row r="287" spans="1:4">
      <c r="A287" s="82" t="s">
        <v>36</v>
      </c>
      <c r="B287" s="83" t="s">
        <v>491</v>
      </c>
      <c r="C287" s="84" t="s">
        <v>945</v>
      </c>
      <c r="D287" s="111" t="s">
        <v>1669</v>
      </c>
    </row>
    <row r="288" spans="1:4">
      <c r="A288" s="82" t="s">
        <v>37</v>
      </c>
      <c r="B288" s="83" t="s">
        <v>495</v>
      </c>
      <c r="C288" s="84" t="s">
        <v>946</v>
      </c>
      <c r="D288" s="111" t="s">
        <v>1669</v>
      </c>
    </row>
    <row r="289" spans="1:4">
      <c r="A289" s="85" t="s">
        <v>38</v>
      </c>
      <c r="B289" s="51" t="s">
        <v>496</v>
      </c>
      <c r="C289" s="84" t="s">
        <v>874</v>
      </c>
      <c r="D289" s="111" t="s">
        <v>1669</v>
      </c>
    </row>
    <row r="290" spans="1:4">
      <c r="A290" s="85" t="s">
        <v>39</v>
      </c>
      <c r="B290" s="51" t="s">
        <v>497</v>
      </c>
      <c r="C290" s="84" t="s">
        <v>875</v>
      </c>
      <c r="D290" s="111" t="s">
        <v>1669</v>
      </c>
    </row>
    <row r="291" spans="1:4">
      <c r="A291" s="85" t="s">
        <v>40</v>
      </c>
      <c r="B291" s="51" t="s">
        <v>498</v>
      </c>
      <c r="C291" s="84" t="s">
        <v>876</v>
      </c>
      <c r="D291" s="111" t="s">
        <v>1669</v>
      </c>
    </row>
    <row r="292" spans="1:4">
      <c r="A292" s="85" t="s">
        <v>41</v>
      </c>
      <c r="B292" s="51" t="s">
        <v>499</v>
      </c>
      <c r="C292" s="84" t="s">
        <v>877</v>
      </c>
      <c r="D292" s="111" t="s">
        <v>1669</v>
      </c>
    </row>
    <row r="293" spans="1:4">
      <c r="A293" s="82" t="s">
        <v>42</v>
      </c>
      <c r="B293" s="83" t="s">
        <v>500</v>
      </c>
      <c r="C293" s="84" t="s">
        <v>947</v>
      </c>
      <c r="D293" s="111" t="s">
        <v>1669</v>
      </c>
    </row>
    <row r="294" spans="1:4">
      <c r="A294" s="85" t="s">
        <v>43</v>
      </c>
      <c r="B294" s="51" t="s">
        <v>495</v>
      </c>
      <c r="C294" s="84" t="s">
        <v>878</v>
      </c>
      <c r="D294" s="111" t="s">
        <v>1669</v>
      </c>
    </row>
    <row r="295" spans="1:4">
      <c r="A295" s="85" t="s">
        <v>44</v>
      </c>
      <c r="B295" s="51" t="s">
        <v>501</v>
      </c>
      <c r="C295" s="84" t="s">
        <v>879</v>
      </c>
      <c r="D295" s="111" t="s">
        <v>1669</v>
      </c>
    </row>
    <row r="296" spans="1:4">
      <c r="A296" s="85" t="s">
        <v>45</v>
      </c>
      <c r="B296" s="51" t="s">
        <v>502</v>
      </c>
      <c r="C296" s="84" t="s">
        <v>880</v>
      </c>
      <c r="D296" s="111" t="s">
        <v>1669</v>
      </c>
    </row>
    <row r="297" spans="1:4">
      <c r="A297" s="82" t="s">
        <v>46</v>
      </c>
      <c r="B297" s="83" t="s">
        <v>503</v>
      </c>
      <c r="C297" s="84" t="s">
        <v>948</v>
      </c>
      <c r="D297" s="111" t="s">
        <v>1669</v>
      </c>
    </row>
    <row r="298" spans="1:4">
      <c r="A298" s="82" t="s">
        <v>47</v>
      </c>
      <c r="B298" s="83" t="s">
        <v>504</v>
      </c>
      <c r="C298" s="84" t="s">
        <v>949</v>
      </c>
      <c r="D298" s="111" t="s">
        <v>1669</v>
      </c>
    </row>
    <row r="299" spans="1:4">
      <c r="A299" s="82" t="s">
        <v>49</v>
      </c>
      <c r="B299" s="83" t="s">
        <v>506</v>
      </c>
      <c r="C299" s="84" t="s">
        <v>950</v>
      </c>
      <c r="D299" s="111" t="s">
        <v>1669</v>
      </c>
    </row>
    <row r="300" spans="1:4">
      <c r="A300" s="111" t="s">
        <v>1401</v>
      </c>
      <c r="B300" s="83" t="s">
        <v>883</v>
      </c>
      <c r="C300" s="84" t="s">
        <v>1402</v>
      </c>
      <c r="D300" s="111" t="s">
        <v>1669</v>
      </c>
    </row>
    <row r="301" spans="1:4">
      <c r="A301" s="85" t="s">
        <v>48</v>
      </c>
      <c r="B301" s="51" t="s">
        <v>505</v>
      </c>
      <c r="C301" s="84" t="s">
        <v>881</v>
      </c>
      <c r="D301" s="111" t="s">
        <v>1669</v>
      </c>
    </row>
    <row r="302" spans="1:4">
      <c r="A302" s="85" t="s">
        <v>50</v>
      </c>
      <c r="B302" s="51" t="s">
        <v>506</v>
      </c>
      <c r="C302" s="84" t="s">
        <v>882</v>
      </c>
      <c r="D302" s="111" t="s">
        <v>1669</v>
      </c>
    </row>
    <row r="303" spans="1:4">
      <c r="A303" s="85" t="s">
        <v>51</v>
      </c>
      <c r="B303" s="51" t="s">
        <v>883</v>
      </c>
      <c r="C303" s="84" t="s">
        <v>884</v>
      </c>
      <c r="D303" s="111" t="s">
        <v>1669</v>
      </c>
    </row>
    <row r="304" spans="1:4">
      <c r="A304" s="82" t="s">
        <v>69</v>
      </c>
      <c r="B304" s="83" t="s">
        <v>521</v>
      </c>
      <c r="C304" s="84" t="s">
        <v>1559</v>
      </c>
      <c r="D304" s="111" t="s">
        <v>1659</v>
      </c>
    </row>
    <row r="305" spans="1:4">
      <c r="A305" s="82" t="s">
        <v>70</v>
      </c>
      <c r="B305" s="83" t="s">
        <v>522</v>
      </c>
      <c r="C305" s="84" t="s">
        <v>967</v>
      </c>
      <c r="D305" s="111" t="s">
        <v>1659</v>
      </c>
    </row>
    <row r="306" spans="1:4">
      <c r="A306" s="82" t="s">
        <v>71</v>
      </c>
      <c r="B306" s="83" t="s">
        <v>523</v>
      </c>
      <c r="C306" s="84" t="s">
        <v>968</v>
      </c>
      <c r="D306" s="111" t="s">
        <v>1659</v>
      </c>
    </row>
    <row r="307" spans="1:4">
      <c r="A307" s="82" t="s">
        <v>67</v>
      </c>
      <c r="B307" s="83" t="s">
        <v>519</v>
      </c>
      <c r="C307" s="84" t="s">
        <v>965</v>
      </c>
      <c r="D307" s="111" t="s">
        <v>1659</v>
      </c>
    </row>
    <row r="308" spans="1:4">
      <c r="A308" s="82" t="s">
        <v>68</v>
      </c>
      <c r="B308" s="83" t="s">
        <v>520</v>
      </c>
      <c r="C308" s="84" t="s">
        <v>966</v>
      </c>
      <c r="D308" s="111" t="s">
        <v>1659</v>
      </c>
    </row>
    <row r="309" spans="1:4">
      <c r="A309" s="82" t="s">
        <v>279</v>
      </c>
      <c r="B309" s="83" t="s">
        <v>691</v>
      </c>
      <c r="C309" s="84" t="s">
        <v>1143</v>
      </c>
      <c r="D309" s="111" t="s">
        <v>1670</v>
      </c>
    </row>
    <row r="310" spans="1:4">
      <c r="A310" s="82" t="s">
        <v>278</v>
      </c>
      <c r="B310" s="83" t="s">
        <v>690</v>
      </c>
      <c r="C310" s="84" t="s">
        <v>1142</v>
      </c>
      <c r="D310" s="111" t="s">
        <v>1670</v>
      </c>
    </row>
    <row r="311" spans="1:4">
      <c r="A311" s="111" t="s">
        <v>1520</v>
      </c>
      <c r="B311" s="83" t="s">
        <v>1521</v>
      </c>
      <c r="C311" s="86" t="s">
        <v>1522</v>
      </c>
      <c r="D311" s="111" t="s">
        <v>1670</v>
      </c>
    </row>
    <row r="312" spans="1:4">
      <c r="A312" s="82" t="s">
        <v>281</v>
      </c>
      <c r="B312" s="83" t="s">
        <v>693</v>
      </c>
      <c r="C312" s="84" t="s">
        <v>1145</v>
      </c>
      <c r="D312" s="111" t="s">
        <v>1670</v>
      </c>
    </row>
    <row r="313" spans="1:4">
      <c r="A313" s="82" t="s">
        <v>280</v>
      </c>
      <c r="B313" s="83" t="s">
        <v>692</v>
      </c>
      <c r="C313" s="84" t="s">
        <v>1144</v>
      </c>
      <c r="D313" s="111" t="s">
        <v>1670</v>
      </c>
    </row>
    <row r="314" spans="1:4">
      <c r="A314" s="82" t="s">
        <v>229</v>
      </c>
      <c r="B314" s="83" t="s">
        <v>643</v>
      </c>
      <c r="C314" s="84" t="s">
        <v>1100</v>
      </c>
      <c r="D314" s="111" t="s">
        <v>1670</v>
      </c>
    </row>
    <row r="315" spans="1:4">
      <c r="A315" s="82" t="s">
        <v>230</v>
      </c>
      <c r="B315" s="83" t="s">
        <v>644</v>
      </c>
      <c r="C315" s="84" t="s">
        <v>1101</v>
      </c>
      <c r="D315" s="111" t="s">
        <v>1670</v>
      </c>
    </row>
    <row r="316" spans="1:4">
      <c r="A316" s="82" t="s">
        <v>231</v>
      </c>
      <c r="B316" s="83" t="s">
        <v>644</v>
      </c>
      <c r="C316" s="84" t="s">
        <v>1102</v>
      </c>
      <c r="D316" s="111" t="s">
        <v>1670</v>
      </c>
    </row>
    <row r="317" spans="1:4">
      <c r="A317" s="82" t="s">
        <v>238</v>
      </c>
      <c r="B317" s="83" t="s">
        <v>651</v>
      </c>
      <c r="C317" s="84" t="s">
        <v>1107</v>
      </c>
      <c r="D317" s="111" t="s">
        <v>1670</v>
      </c>
    </row>
    <row r="318" spans="1:4">
      <c r="A318" s="82" t="s">
        <v>239</v>
      </c>
      <c r="B318" s="83" t="s">
        <v>652</v>
      </c>
      <c r="C318" s="84" t="s">
        <v>1108</v>
      </c>
      <c r="D318" s="111" t="s">
        <v>1670</v>
      </c>
    </row>
    <row r="319" spans="1:4">
      <c r="A319" s="82" t="s">
        <v>240</v>
      </c>
      <c r="B319" s="83" t="s">
        <v>653</v>
      </c>
      <c r="C319" s="84" t="s">
        <v>1109</v>
      </c>
      <c r="D319" s="111" t="s">
        <v>1670</v>
      </c>
    </row>
    <row r="320" spans="1:4">
      <c r="A320" s="82" t="s">
        <v>226</v>
      </c>
      <c r="B320" s="51" t="s">
        <v>640</v>
      </c>
      <c r="C320" s="84" t="s">
        <v>1097</v>
      </c>
      <c r="D320" s="111" t="s">
        <v>1670</v>
      </c>
    </row>
    <row r="321" spans="1:4">
      <c r="A321" s="82" t="s">
        <v>227</v>
      </c>
      <c r="B321" s="51" t="s">
        <v>641</v>
      </c>
      <c r="C321" s="84" t="s">
        <v>1098</v>
      </c>
      <c r="D321" s="111" t="s">
        <v>1670</v>
      </c>
    </row>
    <row r="322" spans="1:4">
      <c r="A322" s="82" t="s">
        <v>228</v>
      </c>
      <c r="B322" s="51" t="s">
        <v>642</v>
      </c>
      <c r="C322" s="84" t="s">
        <v>1099</v>
      </c>
      <c r="D322" s="111" t="s">
        <v>1670</v>
      </c>
    </row>
    <row r="323" spans="1:4">
      <c r="A323" s="85" t="s">
        <v>232</v>
      </c>
      <c r="B323" s="51" t="s">
        <v>645</v>
      </c>
      <c r="C323" s="84" t="s">
        <v>1090</v>
      </c>
      <c r="D323" s="111" t="s">
        <v>1670</v>
      </c>
    </row>
    <row r="324" spans="1:4">
      <c r="A324" s="82" t="s">
        <v>246</v>
      </c>
      <c r="B324" s="83" t="s">
        <v>659</v>
      </c>
      <c r="C324" s="84" t="s">
        <v>1111</v>
      </c>
      <c r="D324" s="111" t="s">
        <v>1670</v>
      </c>
    </row>
    <row r="325" spans="1:4">
      <c r="A325" s="82" t="s">
        <v>234</v>
      </c>
      <c r="B325" s="83" t="s">
        <v>647</v>
      </c>
      <c r="C325" s="84" t="s">
        <v>1104</v>
      </c>
      <c r="D325" s="111" t="s">
        <v>1670</v>
      </c>
    </row>
    <row r="326" spans="1:4">
      <c r="A326" s="82" t="s">
        <v>235</v>
      </c>
      <c r="B326" s="83" t="s">
        <v>648</v>
      </c>
      <c r="C326" s="84" t="s">
        <v>1105</v>
      </c>
      <c r="D326" s="111" t="s">
        <v>1670</v>
      </c>
    </row>
    <row r="327" spans="1:4">
      <c r="A327" s="85" t="s">
        <v>236</v>
      </c>
      <c r="B327" s="51" t="s">
        <v>649</v>
      </c>
      <c r="C327" s="84" t="s">
        <v>1091</v>
      </c>
      <c r="D327" s="111" t="s">
        <v>1670</v>
      </c>
    </row>
    <row r="328" spans="1:4">
      <c r="A328" s="111" t="s">
        <v>1403</v>
      </c>
      <c r="B328" s="51" t="s">
        <v>1404</v>
      </c>
      <c r="C328" s="84" t="s">
        <v>1405</v>
      </c>
      <c r="D328" s="111" t="s">
        <v>1670</v>
      </c>
    </row>
    <row r="329" spans="1:4">
      <c r="A329" s="82" t="s">
        <v>237</v>
      </c>
      <c r="B329" s="83" t="s">
        <v>650</v>
      </c>
      <c r="C329" s="84" t="s">
        <v>1106</v>
      </c>
      <c r="D329" s="111" t="s">
        <v>1670</v>
      </c>
    </row>
    <row r="330" spans="1:4">
      <c r="A330" s="82" t="s">
        <v>233</v>
      </c>
      <c r="B330" s="83" t="s">
        <v>646</v>
      </c>
      <c r="C330" s="84" t="s">
        <v>1103</v>
      </c>
      <c r="D330" s="111" t="s">
        <v>1670</v>
      </c>
    </row>
    <row r="331" spans="1:4">
      <c r="A331" s="85" t="s">
        <v>241</v>
      </c>
      <c r="B331" s="51" t="s">
        <v>654</v>
      </c>
      <c r="C331" s="84" t="s">
        <v>1092</v>
      </c>
      <c r="D331" s="111" t="s">
        <v>1670</v>
      </c>
    </row>
    <row r="332" spans="1:4">
      <c r="A332" s="85" t="s">
        <v>242</v>
      </c>
      <c r="B332" s="51" t="s">
        <v>655</v>
      </c>
      <c r="C332" s="84" t="s">
        <v>1093</v>
      </c>
      <c r="D332" s="111" t="s">
        <v>1670</v>
      </c>
    </row>
    <row r="333" spans="1:4">
      <c r="A333" s="85" t="s">
        <v>243</v>
      </c>
      <c r="B333" s="51" t="s">
        <v>656</v>
      </c>
      <c r="C333" s="84" t="s">
        <v>1094</v>
      </c>
      <c r="D333" s="111" t="s">
        <v>1670</v>
      </c>
    </row>
    <row r="334" spans="1:4">
      <c r="A334" s="82" t="s">
        <v>244</v>
      </c>
      <c r="B334" s="83" t="s">
        <v>657</v>
      </c>
      <c r="C334" s="84" t="s">
        <v>1110</v>
      </c>
      <c r="D334" s="111" t="s">
        <v>1670</v>
      </c>
    </row>
    <row r="335" spans="1:4">
      <c r="A335" s="85" t="s">
        <v>245</v>
      </c>
      <c r="B335" s="51" t="s">
        <v>658</v>
      </c>
      <c r="C335" s="84" t="s">
        <v>1095</v>
      </c>
      <c r="D335" s="111" t="s">
        <v>1670</v>
      </c>
    </row>
    <row r="336" spans="1:4">
      <c r="A336" s="111" t="s">
        <v>1406</v>
      </c>
      <c r="B336" s="51" t="s">
        <v>1407</v>
      </c>
      <c r="C336" s="84" t="s">
        <v>1408</v>
      </c>
      <c r="D336" s="111" t="s">
        <v>1670</v>
      </c>
    </row>
    <row r="337" spans="1:4">
      <c r="A337" s="82" t="s">
        <v>247</v>
      </c>
      <c r="B337" s="83" t="s">
        <v>660</v>
      </c>
      <c r="C337" s="84" t="s">
        <v>1112</v>
      </c>
      <c r="D337" s="111" t="s">
        <v>1670</v>
      </c>
    </row>
    <row r="338" spans="1:4">
      <c r="A338" s="82" t="s">
        <v>248</v>
      </c>
      <c r="B338" s="83" t="s">
        <v>661</v>
      </c>
      <c r="C338" s="84" t="s">
        <v>1113</v>
      </c>
      <c r="D338" s="111" t="s">
        <v>1670</v>
      </c>
    </row>
    <row r="339" spans="1:4">
      <c r="A339" s="82" t="s">
        <v>252</v>
      </c>
      <c r="B339" s="83" t="s">
        <v>665</v>
      </c>
      <c r="C339" s="84" t="s">
        <v>1117</v>
      </c>
      <c r="D339" s="111" t="s">
        <v>1670</v>
      </c>
    </row>
    <row r="340" spans="1:4">
      <c r="A340" s="82" t="s">
        <v>253</v>
      </c>
      <c r="B340" s="83" t="s">
        <v>666</v>
      </c>
      <c r="C340" s="84" t="s">
        <v>1118</v>
      </c>
      <c r="D340" s="111" t="s">
        <v>1670</v>
      </c>
    </row>
    <row r="341" spans="1:4">
      <c r="A341" s="82" t="s">
        <v>249</v>
      </c>
      <c r="B341" s="83" t="s">
        <v>662</v>
      </c>
      <c r="C341" s="84" t="s">
        <v>1114</v>
      </c>
      <c r="D341" s="111" t="s">
        <v>1670</v>
      </c>
    </row>
    <row r="342" spans="1:4">
      <c r="A342" s="82" t="s">
        <v>250</v>
      </c>
      <c r="B342" s="83" t="s">
        <v>663</v>
      </c>
      <c r="C342" s="84" t="s">
        <v>1115</v>
      </c>
      <c r="D342" s="111" t="s">
        <v>1670</v>
      </c>
    </row>
    <row r="343" spans="1:4">
      <c r="A343" s="111" t="s">
        <v>1409</v>
      </c>
      <c r="B343" s="83" t="s">
        <v>1410</v>
      </c>
      <c r="C343" s="84" t="s">
        <v>1411</v>
      </c>
      <c r="D343" s="111" t="s">
        <v>1670</v>
      </c>
    </row>
    <row r="344" spans="1:4">
      <c r="A344" s="82" t="s">
        <v>251</v>
      </c>
      <c r="B344" s="83" t="s">
        <v>664</v>
      </c>
      <c r="C344" s="84" t="s">
        <v>1116</v>
      </c>
      <c r="D344" s="111" t="s">
        <v>1670</v>
      </c>
    </row>
    <row r="345" spans="1:4">
      <c r="A345" s="82" t="s">
        <v>1507</v>
      </c>
      <c r="B345" s="83" t="s">
        <v>1523</v>
      </c>
      <c r="C345" s="84" t="s">
        <v>1524</v>
      </c>
      <c r="D345" s="111" t="s">
        <v>1670</v>
      </c>
    </row>
    <row r="346" spans="1:4">
      <c r="A346" s="85" t="s">
        <v>254</v>
      </c>
      <c r="B346" s="51" t="s">
        <v>667</v>
      </c>
      <c r="C346" s="84" t="s">
        <v>1096</v>
      </c>
      <c r="D346" s="111" t="s">
        <v>1670</v>
      </c>
    </row>
    <row r="347" spans="1:4">
      <c r="A347" s="82" t="s">
        <v>255</v>
      </c>
      <c r="B347" s="83" t="s">
        <v>668</v>
      </c>
      <c r="C347" s="84" t="s">
        <v>1119</v>
      </c>
      <c r="D347" s="111" t="s">
        <v>1670</v>
      </c>
    </row>
    <row r="348" spans="1:4">
      <c r="A348" s="82" t="s">
        <v>256</v>
      </c>
      <c r="B348" s="83" t="s">
        <v>669</v>
      </c>
      <c r="C348" s="84" t="s">
        <v>1120</v>
      </c>
      <c r="D348" s="111" t="s">
        <v>1619</v>
      </c>
    </row>
    <row r="349" spans="1:4">
      <c r="A349" s="82" t="s">
        <v>257</v>
      </c>
      <c r="B349" s="83" t="s">
        <v>670</v>
      </c>
      <c r="C349" s="84" t="s">
        <v>1121</v>
      </c>
      <c r="D349" s="111" t="s">
        <v>1670</v>
      </c>
    </row>
    <row r="350" spans="1:4">
      <c r="A350" s="82" t="s">
        <v>258</v>
      </c>
      <c r="B350" s="83" t="s">
        <v>671</v>
      </c>
      <c r="C350" s="84" t="s">
        <v>1122</v>
      </c>
      <c r="D350" s="111" t="s">
        <v>1670</v>
      </c>
    </row>
    <row r="351" spans="1:4">
      <c r="A351" s="82" t="s">
        <v>259</v>
      </c>
      <c r="B351" s="83" t="s">
        <v>672</v>
      </c>
      <c r="C351" s="84" t="s">
        <v>1123</v>
      </c>
      <c r="D351" s="111" t="s">
        <v>1670</v>
      </c>
    </row>
    <row r="352" spans="1:4">
      <c r="A352" s="111" t="s">
        <v>1525</v>
      </c>
      <c r="B352" s="83" t="s">
        <v>672</v>
      </c>
      <c r="C352" s="112" t="s">
        <v>1526</v>
      </c>
      <c r="D352" s="111" t="s">
        <v>1670</v>
      </c>
    </row>
    <row r="353" spans="1:4">
      <c r="A353" s="82" t="s">
        <v>260</v>
      </c>
      <c r="B353" s="83" t="s">
        <v>673</v>
      </c>
      <c r="C353" s="84" t="s">
        <v>1124</v>
      </c>
      <c r="D353" s="111" t="s">
        <v>1670</v>
      </c>
    </row>
    <row r="354" spans="1:4">
      <c r="A354" s="82" t="s">
        <v>261</v>
      </c>
      <c r="B354" s="83" t="s">
        <v>674</v>
      </c>
      <c r="C354" s="84" t="s">
        <v>1125</v>
      </c>
      <c r="D354" s="111" t="s">
        <v>1670</v>
      </c>
    </row>
    <row r="355" spans="1:4">
      <c r="A355" s="111" t="s">
        <v>1412</v>
      </c>
      <c r="B355" s="83" t="s">
        <v>1413</v>
      </c>
      <c r="C355" s="84" t="s">
        <v>1414</v>
      </c>
      <c r="D355" s="111" t="s">
        <v>1670</v>
      </c>
    </row>
    <row r="356" spans="1:4">
      <c r="A356" s="82" t="s">
        <v>262</v>
      </c>
      <c r="B356" s="83" t="s">
        <v>675</v>
      </c>
      <c r="C356" s="84" t="s">
        <v>1126</v>
      </c>
      <c r="D356" s="111" t="s">
        <v>1670</v>
      </c>
    </row>
    <row r="357" spans="1:4">
      <c r="A357" s="82" t="s">
        <v>263</v>
      </c>
      <c r="B357" s="83" t="s">
        <v>676</v>
      </c>
      <c r="C357" s="84" t="s">
        <v>1127</v>
      </c>
      <c r="D357" s="111" t="s">
        <v>1670</v>
      </c>
    </row>
    <row r="358" spans="1:4">
      <c r="A358" s="82" t="s">
        <v>264</v>
      </c>
      <c r="B358" s="83" t="s">
        <v>677</v>
      </c>
      <c r="C358" s="84" t="s">
        <v>1128</v>
      </c>
      <c r="D358" s="111" t="s">
        <v>1670</v>
      </c>
    </row>
    <row r="359" spans="1:4">
      <c r="A359" s="82" t="s">
        <v>265</v>
      </c>
      <c r="B359" s="83" t="s">
        <v>677</v>
      </c>
      <c r="C359" s="84" t="s">
        <v>1129</v>
      </c>
      <c r="D359" s="111" t="s">
        <v>1670</v>
      </c>
    </row>
    <row r="360" spans="1:4">
      <c r="A360" s="82" t="s">
        <v>266</v>
      </c>
      <c r="B360" s="83" t="s">
        <v>678</v>
      </c>
      <c r="C360" s="84" t="s">
        <v>1130</v>
      </c>
      <c r="D360" s="111" t="s">
        <v>1670</v>
      </c>
    </row>
    <row r="361" spans="1:4">
      <c r="A361" s="82" t="s">
        <v>267</v>
      </c>
      <c r="B361" s="83" t="s">
        <v>679</v>
      </c>
      <c r="C361" s="84" t="s">
        <v>1131</v>
      </c>
      <c r="D361" s="111" t="s">
        <v>1670</v>
      </c>
    </row>
    <row r="362" spans="1:4">
      <c r="A362" s="82" t="s">
        <v>268</v>
      </c>
      <c r="B362" s="83" t="s">
        <v>680</v>
      </c>
      <c r="C362" s="84" t="s">
        <v>1132</v>
      </c>
      <c r="D362" s="111" t="s">
        <v>1670</v>
      </c>
    </row>
    <row r="363" spans="1:4">
      <c r="A363" s="82" t="s">
        <v>269</v>
      </c>
      <c r="B363" s="83" t="s">
        <v>681</v>
      </c>
      <c r="C363" s="84" t="s">
        <v>1133</v>
      </c>
      <c r="D363" s="111" t="s">
        <v>1670</v>
      </c>
    </row>
    <row r="364" spans="1:4">
      <c r="A364" s="82" t="s">
        <v>270</v>
      </c>
      <c r="B364" s="83" t="s">
        <v>682</v>
      </c>
      <c r="C364" s="84" t="s">
        <v>1134</v>
      </c>
      <c r="D364" s="111" t="s">
        <v>1670</v>
      </c>
    </row>
    <row r="365" spans="1:4">
      <c r="A365" s="82" t="s">
        <v>271</v>
      </c>
      <c r="B365" s="83" t="s">
        <v>683</v>
      </c>
      <c r="C365" s="84" t="s">
        <v>1135</v>
      </c>
      <c r="D365" s="111" t="s">
        <v>1670</v>
      </c>
    </row>
    <row r="366" spans="1:4">
      <c r="A366" s="82" t="s">
        <v>273</v>
      </c>
      <c r="B366" s="83" t="s">
        <v>685</v>
      </c>
      <c r="C366" s="84" t="s">
        <v>1137</v>
      </c>
      <c r="D366" s="111" t="s">
        <v>1619</v>
      </c>
    </row>
    <row r="367" spans="1:4">
      <c r="A367" s="82" t="s">
        <v>274</v>
      </c>
      <c r="B367" s="83" t="s">
        <v>686</v>
      </c>
      <c r="C367" s="84" t="s">
        <v>1138</v>
      </c>
      <c r="D367" s="111" t="s">
        <v>1670</v>
      </c>
    </row>
    <row r="368" spans="1:4">
      <c r="A368" s="82" t="s">
        <v>275</v>
      </c>
      <c r="B368" s="83" t="s">
        <v>687</v>
      </c>
      <c r="C368" s="84" t="s">
        <v>1139</v>
      </c>
      <c r="D368" s="111" t="s">
        <v>1619</v>
      </c>
    </row>
    <row r="369" spans="1:4">
      <c r="A369" s="82" t="s">
        <v>276</v>
      </c>
      <c r="B369" s="83" t="s">
        <v>688</v>
      </c>
      <c r="C369" s="84" t="s">
        <v>1140</v>
      </c>
      <c r="D369" s="111" t="s">
        <v>1670</v>
      </c>
    </row>
    <row r="370" spans="1:4">
      <c r="A370" s="82" t="s">
        <v>277</v>
      </c>
      <c r="B370" s="83" t="s">
        <v>689</v>
      </c>
      <c r="C370" s="84" t="s">
        <v>1141</v>
      </c>
      <c r="D370" s="111" t="s">
        <v>1670</v>
      </c>
    </row>
    <row r="371" spans="1:4">
      <c r="A371" s="82" t="s">
        <v>272</v>
      </c>
      <c r="B371" s="83" t="s">
        <v>684</v>
      </c>
      <c r="C371" s="84" t="s">
        <v>1136</v>
      </c>
      <c r="D371" s="111" t="s">
        <v>1619</v>
      </c>
    </row>
    <row r="372" spans="1:4">
      <c r="A372" s="82" t="s">
        <v>423</v>
      </c>
      <c r="B372" s="51" t="s">
        <v>819</v>
      </c>
      <c r="C372" s="84" t="s">
        <v>1282</v>
      </c>
      <c r="D372" s="111" t="s">
        <v>1661</v>
      </c>
    </row>
    <row r="373" spans="1:4">
      <c r="A373" s="82" t="s">
        <v>424</v>
      </c>
      <c r="B373" s="51" t="s">
        <v>820</v>
      </c>
      <c r="C373" s="84" t="s">
        <v>1283</v>
      </c>
      <c r="D373" s="111" t="s">
        <v>1661</v>
      </c>
    </row>
    <row r="374" spans="1:4">
      <c r="A374" s="82" t="s">
        <v>425</v>
      </c>
      <c r="B374" s="51" t="s">
        <v>821</v>
      </c>
      <c r="C374" s="84" t="s">
        <v>1284</v>
      </c>
      <c r="D374" s="111" t="s">
        <v>1661</v>
      </c>
    </row>
    <row r="375" spans="1:4">
      <c r="A375" s="85" t="s">
        <v>426</v>
      </c>
      <c r="B375" s="51" t="s">
        <v>822</v>
      </c>
      <c r="C375" s="84" t="s">
        <v>862</v>
      </c>
      <c r="D375" s="111" t="s">
        <v>1661</v>
      </c>
    </row>
    <row r="376" spans="1:4">
      <c r="A376" s="82" t="s">
        <v>427</v>
      </c>
      <c r="B376" s="51" t="s">
        <v>823</v>
      </c>
      <c r="C376" s="84" t="s">
        <v>1285</v>
      </c>
      <c r="D376" s="111" t="s">
        <v>1661</v>
      </c>
    </row>
    <row r="377" spans="1:4">
      <c r="A377" s="82" t="s">
        <v>428</v>
      </c>
      <c r="B377" s="51" t="s">
        <v>824</v>
      </c>
      <c r="C377" s="84" t="s">
        <v>1286</v>
      </c>
      <c r="D377" s="111" t="s">
        <v>1661</v>
      </c>
    </row>
    <row r="378" spans="1:4">
      <c r="A378" s="85" t="s">
        <v>429</v>
      </c>
      <c r="B378" s="51" t="s">
        <v>825</v>
      </c>
      <c r="C378" s="84" t="s">
        <v>863</v>
      </c>
      <c r="D378" s="111" t="s">
        <v>1661</v>
      </c>
    </row>
    <row r="379" spans="1:4">
      <c r="A379" s="82" t="s">
        <v>430</v>
      </c>
      <c r="B379" s="51" t="s">
        <v>826</v>
      </c>
      <c r="C379" s="84" t="s">
        <v>1287</v>
      </c>
      <c r="D379" s="111" t="s">
        <v>1661</v>
      </c>
    </row>
    <row r="380" spans="1:4">
      <c r="A380" s="111" t="s">
        <v>1482</v>
      </c>
      <c r="B380" s="173" t="s">
        <v>1599</v>
      </c>
      <c r="C380" s="190" t="s">
        <v>1600</v>
      </c>
      <c r="D380" s="111" t="s">
        <v>1616</v>
      </c>
    </row>
    <row r="381" spans="1:4">
      <c r="A381" s="111" t="s">
        <v>1483</v>
      </c>
      <c r="B381" s="173" t="s">
        <v>1601</v>
      </c>
      <c r="C381" s="112" t="s">
        <v>1602</v>
      </c>
      <c r="D381" s="111" t="s">
        <v>1616</v>
      </c>
    </row>
    <row r="382" spans="1:4">
      <c r="A382" s="111" t="s">
        <v>1484</v>
      </c>
      <c r="B382" s="173" t="s">
        <v>1603</v>
      </c>
      <c r="C382" s="190" t="s">
        <v>1604</v>
      </c>
      <c r="D382" s="111" t="s">
        <v>1616</v>
      </c>
    </row>
    <row r="383" spans="1:4">
      <c r="A383" s="111" t="s">
        <v>1485</v>
      </c>
      <c r="B383" s="173" t="s">
        <v>1605</v>
      </c>
      <c r="C383" s="190" t="s">
        <v>1606</v>
      </c>
      <c r="D383" s="111" t="s">
        <v>1616</v>
      </c>
    </row>
    <row r="384" spans="1:4">
      <c r="A384" s="111" t="s">
        <v>1486</v>
      </c>
      <c r="B384" s="83" t="s">
        <v>1607</v>
      </c>
      <c r="C384" s="86" t="s">
        <v>1527</v>
      </c>
      <c r="D384" s="111" t="s">
        <v>1616</v>
      </c>
    </row>
    <row r="385" spans="1:4">
      <c r="A385" s="111" t="s">
        <v>1487</v>
      </c>
      <c r="B385" s="173" t="s">
        <v>1608</v>
      </c>
      <c r="C385" s="112" t="s">
        <v>1609</v>
      </c>
      <c r="D385" s="111" t="s">
        <v>1616</v>
      </c>
    </row>
    <row r="386" spans="1:4">
      <c r="A386" s="82" t="s">
        <v>1317</v>
      </c>
      <c r="B386" s="83" t="s">
        <v>476</v>
      </c>
      <c r="C386" s="84" t="s">
        <v>1308</v>
      </c>
      <c r="D386" s="111" t="s">
        <v>1658</v>
      </c>
    </row>
    <row r="387" spans="1:4">
      <c r="A387" s="82" t="s">
        <v>1318</v>
      </c>
      <c r="B387" s="83" t="s">
        <v>477</v>
      </c>
      <c r="C387" s="84" t="s">
        <v>1309</v>
      </c>
      <c r="D387" s="111" t="s">
        <v>1658</v>
      </c>
    </row>
    <row r="388" spans="1:4">
      <c r="A388" s="111" t="s">
        <v>1528</v>
      </c>
      <c r="B388" s="51" t="s">
        <v>565</v>
      </c>
      <c r="C388" s="86" t="s">
        <v>1529</v>
      </c>
      <c r="D388" s="111" t="s">
        <v>1671</v>
      </c>
    </row>
    <row r="389" spans="1:4">
      <c r="A389" s="85" t="s">
        <v>114</v>
      </c>
      <c r="B389" s="51" t="s">
        <v>885</v>
      </c>
      <c r="C389" s="84" t="s">
        <v>886</v>
      </c>
      <c r="D389" s="111" t="s">
        <v>1671</v>
      </c>
    </row>
    <row r="390" spans="1:4">
      <c r="A390" s="85" t="s">
        <v>113</v>
      </c>
      <c r="B390" s="51" t="s">
        <v>887</v>
      </c>
      <c r="C390" s="84" t="s">
        <v>888</v>
      </c>
      <c r="D390" s="111" t="s">
        <v>1671</v>
      </c>
    </row>
    <row r="391" spans="1:4">
      <c r="A391" s="85" t="s">
        <v>112</v>
      </c>
      <c r="B391" s="51" t="s">
        <v>889</v>
      </c>
      <c r="C391" s="84" t="s">
        <v>890</v>
      </c>
      <c r="D391" s="111" t="s">
        <v>1671</v>
      </c>
    </row>
    <row r="392" spans="1:4">
      <c r="A392" s="85" t="s">
        <v>115</v>
      </c>
      <c r="B392" s="51" t="s">
        <v>555</v>
      </c>
      <c r="C392" s="84" t="s">
        <v>891</v>
      </c>
      <c r="D392" s="111" t="s">
        <v>1671</v>
      </c>
    </row>
    <row r="393" spans="1:4">
      <c r="A393" s="82" t="s">
        <v>116</v>
      </c>
      <c r="B393" s="83" t="s">
        <v>556</v>
      </c>
      <c r="C393" s="84" t="s">
        <v>987</v>
      </c>
      <c r="D393" s="111" t="s">
        <v>1671</v>
      </c>
    </row>
    <row r="394" spans="1:4">
      <c r="A394" s="111" t="s">
        <v>1415</v>
      </c>
      <c r="B394" s="51" t="s">
        <v>562</v>
      </c>
      <c r="C394" s="84" t="s">
        <v>1416</v>
      </c>
      <c r="D394" s="111" t="s">
        <v>1671</v>
      </c>
    </row>
    <row r="395" spans="1:4">
      <c r="A395" s="82" t="s">
        <v>126</v>
      </c>
      <c r="B395" s="83" t="s">
        <v>554</v>
      </c>
      <c r="C395" s="84" t="s">
        <v>991</v>
      </c>
      <c r="D395" s="111" t="s">
        <v>1671</v>
      </c>
    </row>
    <row r="396" spans="1:4">
      <c r="A396" s="85" t="s">
        <v>127</v>
      </c>
      <c r="B396" s="51" t="s">
        <v>553</v>
      </c>
      <c r="C396" s="84" t="s">
        <v>892</v>
      </c>
      <c r="D396" s="111" t="s">
        <v>1671</v>
      </c>
    </row>
    <row r="397" spans="1:4">
      <c r="A397" s="85" t="s">
        <v>117</v>
      </c>
      <c r="B397" s="51" t="s">
        <v>557</v>
      </c>
      <c r="C397" s="84" t="s">
        <v>893</v>
      </c>
      <c r="D397" s="111" t="s">
        <v>1671</v>
      </c>
    </row>
    <row r="398" spans="1:4">
      <c r="A398" s="82" t="s">
        <v>118</v>
      </c>
      <c r="B398" s="83" t="s">
        <v>558</v>
      </c>
      <c r="C398" s="84" t="s">
        <v>988</v>
      </c>
      <c r="D398" s="111" t="s">
        <v>1671</v>
      </c>
    </row>
    <row r="399" spans="1:4">
      <c r="A399" s="111" t="s">
        <v>1417</v>
      </c>
      <c r="B399" s="83" t="s">
        <v>559</v>
      </c>
      <c r="C399" s="84" t="s">
        <v>1418</v>
      </c>
      <c r="D399" s="111" t="s">
        <v>1671</v>
      </c>
    </row>
    <row r="400" spans="1:4">
      <c r="A400" s="82" t="s">
        <v>119</v>
      </c>
      <c r="B400" s="83" t="s">
        <v>559</v>
      </c>
      <c r="C400" s="84" t="s">
        <v>989</v>
      </c>
      <c r="D400" s="111" t="s">
        <v>1671</v>
      </c>
    </row>
    <row r="401" spans="1:4">
      <c r="A401" s="82" t="s">
        <v>120</v>
      </c>
      <c r="B401" s="83" t="s">
        <v>560</v>
      </c>
      <c r="C401" s="84" t="s">
        <v>990</v>
      </c>
      <c r="D401" s="111" t="s">
        <v>1671</v>
      </c>
    </row>
    <row r="402" spans="1:4">
      <c r="A402" s="85" t="s">
        <v>121</v>
      </c>
      <c r="B402" s="51" t="s">
        <v>561</v>
      </c>
      <c r="C402" s="84" t="s">
        <v>894</v>
      </c>
      <c r="D402" s="111" t="s">
        <v>1671</v>
      </c>
    </row>
    <row r="403" spans="1:4">
      <c r="A403" s="111" t="s">
        <v>1419</v>
      </c>
      <c r="B403" s="51" t="s">
        <v>562</v>
      </c>
      <c r="C403" s="84" t="s">
        <v>1420</v>
      </c>
      <c r="D403" s="111" t="s">
        <v>1671</v>
      </c>
    </row>
    <row r="404" spans="1:4">
      <c r="A404" s="111" t="s">
        <v>1530</v>
      </c>
      <c r="B404" s="51" t="s">
        <v>562</v>
      </c>
      <c r="C404" s="112" t="s">
        <v>1531</v>
      </c>
      <c r="D404" s="111" t="s">
        <v>1671</v>
      </c>
    </row>
    <row r="405" spans="1:4">
      <c r="A405" s="85" t="s">
        <v>122</v>
      </c>
      <c r="B405" s="51" t="s">
        <v>562</v>
      </c>
      <c r="C405" s="84" t="s">
        <v>895</v>
      </c>
      <c r="D405" s="111" t="s">
        <v>1671</v>
      </c>
    </row>
    <row r="406" spans="1:4">
      <c r="A406" s="85" t="s">
        <v>123</v>
      </c>
      <c r="B406" s="51" t="s">
        <v>563</v>
      </c>
      <c r="C406" s="84" t="s">
        <v>896</v>
      </c>
      <c r="D406" s="111" t="s">
        <v>1671</v>
      </c>
    </row>
    <row r="407" spans="1:4">
      <c r="A407" s="85" t="s">
        <v>124</v>
      </c>
      <c r="B407" s="51" t="s">
        <v>564</v>
      </c>
      <c r="C407" s="84" t="s">
        <v>897</v>
      </c>
      <c r="D407" s="111" t="s">
        <v>1671</v>
      </c>
    </row>
    <row r="408" spans="1:4">
      <c r="A408" s="85" t="s">
        <v>125</v>
      </c>
      <c r="B408" s="51" t="s">
        <v>565</v>
      </c>
      <c r="C408" s="84" t="s">
        <v>898</v>
      </c>
      <c r="D408" s="111" t="s">
        <v>1671</v>
      </c>
    </row>
    <row r="409" spans="1:4">
      <c r="A409" s="85" t="s">
        <v>128</v>
      </c>
      <c r="B409" s="51" t="s">
        <v>554</v>
      </c>
      <c r="C409" s="84" t="s">
        <v>899</v>
      </c>
      <c r="D409" s="111" t="s">
        <v>1671</v>
      </c>
    </row>
    <row r="410" spans="1:4">
      <c r="A410" s="82" t="s">
        <v>111</v>
      </c>
      <c r="B410" s="83" t="s">
        <v>552</v>
      </c>
      <c r="C410" s="84" t="s">
        <v>986</v>
      </c>
      <c r="D410" s="111" t="s">
        <v>1671</v>
      </c>
    </row>
    <row r="411" spans="1:4">
      <c r="A411" s="82" t="s">
        <v>130</v>
      </c>
      <c r="B411" s="83" t="s">
        <v>552</v>
      </c>
      <c r="C411" s="84" t="s">
        <v>993</v>
      </c>
      <c r="D411" s="111" t="s">
        <v>1671</v>
      </c>
    </row>
    <row r="412" spans="1:4">
      <c r="A412" s="82" t="s">
        <v>131</v>
      </c>
      <c r="B412" s="83" t="s">
        <v>887</v>
      </c>
      <c r="C412" s="84" t="s">
        <v>994</v>
      </c>
      <c r="D412" s="111" t="s">
        <v>1671</v>
      </c>
    </row>
    <row r="413" spans="1:4">
      <c r="A413" s="82" t="s">
        <v>134</v>
      </c>
      <c r="B413" s="83" t="s">
        <v>997</v>
      </c>
      <c r="C413" s="84" t="s">
        <v>998</v>
      </c>
      <c r="D413" s="111" t="s">
        <v>1671</v>
      </c>
    </row>
    <row r="414" spans="1:4">
      <c r="A414" s="82" t="s">
        <v>129</v>
      </c>
      <c r="B414" s="83" t="s">
        <v>553</v>
      </c>
      <c r="C414" s="84" t="s">
        <v>992</v>
      </c>
      <c r="D414" s="111" t="s">
        <v>1671</v>
      </c>
    </row>
    <row r="415" spans="1:4">
      <c r="A415" s="82" t="s">
        <v>132</v>
      </c>
      <c r="B415" s="83" t="s">
        <v>566</v>
      </c>
      <c r="C415" s="84" t="s">
        <v>995</v>
      </c>
      <c r="D415" s="111" t="s">
        <v>1671</v>
      </c>
    </row>
    <row r="416" spans="1:4">
      <c r="A416" s="82" t="s">
        <v>133</v>
      </c>
      <c r="B416" s="83" t="s">
        <v>567</v>
      </c>
      <c r="C416" s="84" t="s">
        <v>996</v>
      </c>
      <c r="D416" s="111" t="s">
        <v>1671</v>
      </c>
    </row>
    <row r="417" spans="1:4">
      <c r="A417" s="85" t="s">
        <v>135</v>
      </c>
      <c r="B417" s="51" t="s">
        <v>568</v>
      </c>
      <c r="C417" s="84" t="s">
        <v>900</v>
      </c>
      <c r="D417" s="111" t="s">
        <v>1671</v>
      </c>
    </row>
    <row r="418" spans="1:4">
      <c r="A418" s="82" t="s">
        <v>473</v>
      </c>
      <c r="B418" s="83" t="s">
        <v>1014</v>
      </c>
      <c r="C418" s="84" t="s">
        <v>1015</v>
      </c>
      <c r="D418" s="111" t="s">
        <v>1672</v>
      </c>
    </row>
    <row r="419" spans="1:4">
      <c r="A419" s="82" t="s">
        <v>474</v>
      </c>
      <c r="B419" s="83" t="s">
        <v>1016</v>
      </c>
      <c r="C419" s="84" t="s">
        <v>1017</v>
      </c>
      <c r="D419" s="111" t="s">
        <v>1672</v>
      </c>
    </row>
    <row r="420" spans="1:4">
      <c r="A420" s="82" t="s">
        <v>136</v>
      </c>
      <c r="B420" s="83" t="s">
        <v>569</v>
      </c>
      <c r="C420" s="84" t="s">
        <v>999</v>
      </c>
      <c r="D420" s="111" t="s">
        <v>1672</v>
      </c>
    </row>
    <row r="421" spans="1:4">
      <c r="A421" s="111" t="s">
        <v>1344</v>
      </c>
      <c r="B421" s="83" t="s">
        <v>1353</v>
      </c>
      <c r="C421" s="84" t="s">
        <v>1354</v>
      </c>
      <c r="D421" s="111" t="s">
        <v>1672</v>
      </c>
    </row>
    <row r="422" spans="1:4">
      <c r="A422" s="82" t="s">
        <v>138</v>
      </c>
      <c r="B422" s="83" t="s">
        <v>570</v>
      </c>
      <c r="C422" s="84" t="s">
        <v>1001</v>
      </c>
      <c r="D422" s="111" t="s">
        <v>1672</v>
      </c>
    </row>
    <row r="423" spans="1:4">
      <c r="A423" s="82" t="s">
        <v>137</v>
      </c>
      <c r="B423" s="83" t="s">
        <v>570</v>
      </c>
      <c r="C423" s="84" t="s">
        <v>1000</v>
      </c>
      <c r="D423" s="111" t="s">
        <v>1672</v>
      </c>
    </row>
    <row r="424" spans="1:4">
      <c r="A424" s="82" t="s">
        <v>141</v>
      </c>
      <c r="B424" s="83" t="s">
        <v>573</v>
      </c>
      <c r="C424" s="84" t="s">
        <v>1003</v>
      </c>
      <c r="D424" s="111" t="s">
        <v>1672</v>
      </c>
    </row>
    <row r="425" spans="1:4">
      <c r="A425" s="85" t="s">
        <v>139</v>
      </c>
      <c r="B425" s="51" t="s">
        <v>571</v>
      </c>
      <c r="C425" s="84" t="s">
        <v>901</v>
      </c>
      <c r="D425" s="111" t="s">
        <v>1672</v>
      </c>
    </row>
    <row r="426" spans="1:4">
      <c r="A426" s="82" t="s">
        <v>140</v>
      </c>
      <c r="B426" s="83" t="s">
        <v>572</v>
      </c>
      <c r="C426" s="84" t="s">
        <v>1002</v>
      </c>
      <c r="D426" s="111" t="s">
        <v>1672</v>
      </c>
    </row>
    <row r="427" spans="1:4">
      <c r="A427" s="82" t="s">
        <v>142</v>
      </c>
      <c r="B427" s="83" t="s">
        <v>574</v>
      </c>
      <c r="C427" s="84" t="s">
        <v>1004</v>
      </c>
      <c r="D427" s="111" t="s">
        <v>1672</v>
      </c>
    </row>
    <row r="428" spans="1:4">
      <c r="A428" s="82" t="s">
        <v>143</v>
      </c>
      <c r="B428" s="83" t="s">
        <v>574</v>
      </c>
      <c r="C428" s="84" t="s">
        <v>1005</v>
      </c>
      <c r="D428" s="111" t="s">
        <v>1672</v>
      </c>
    </row>
    <row r="429" spans="1:4">
      <c r="A429" s="82" t="s">
        <v>144</v>
      </c>
      <c r="B429" s="83" t="s">
        <v>575</v>
      </c>
      <c r="C429" s="84" t="s">
        <v>1006</v>
      </c>
      <c r="D429" s="111" t="s">
        <v>1672</v>
      </c>
    </row>
    <row r="430" spans="1:4">
      <c r="A430" s="82" t="s">
        <v>145</v>
      </c>
      <c r="B430" s="83" t="s">
        <v>575</v>
      </c>
      <c r="C430" s="84" t="s">
        <v>1007</v>
      </c>
      <c r="D430" s="111" t="s">
        <v>1672</v>
      </c>
    </row>
    <row r="431" spans="1:4">
      <c r="A431" s="111" t="s">
        <v>1421</v>
      </c>
      <c r="B431" s="51" t="s">
        <v>576</v>
      </c>
      <c r="C431" s="84" t="s">
        <v>1422</v>
      </c>
      <c r="D431" s="111" t="s">
        <v>1672</v>
      </c>
    </row>
    <row r="432" spans="1:4">
      <c r="A432" s="85" t="s">
        <v>146</v>
      </c>
      <c r="B432" s="51" t="s">
        <v>576</v>
      </c>
      <c r="C432" s="84" t="s">
        <v>902</v>
      </c>
      <c r="D432" s="111" t="s">
        <v>1672</v>
      </c>
    </row>
    <row r="433" spans="1:4">
      <c r="A433" s="111" t="s">
        <v>1423</v>
      </c>
      <c r="B433" s="51" t="s">
        <v>576</v>
      </c>
      <c r="C433" s="84" t="s">
        <v>1424</v>
      </c>
      <c r="D433" s="111" t="s">
        <v>1672</v>
      </c>
    </row>
    <row r="434" spans="1:4">
      <c r="A434" s="82" t="s">
        <v>147</v>
      </c>
      <c r="B434" s="83" t="s">
        <v>577</v>
      </c>
      <c r="C434" s="84" t="s">
        <v>1008</v>
      </c>
      <c r="D434" s="111" t="s">
        <v>1672</v>
      </c>
    </row>
    <row r="435" spans="1:4">
      <c r="A435" s="82" t="s">
        <v>148</v>
      </c>
      <c r="B435" s="83" t="s">
        <v>578</v>
      </c>
      <c r="C435" s="84" t="s">
        <v>1009</v>
      </c>
      <c r="D435" s="111" t="s">
        <v>1672</v>
      </c>
    </row>
    <row r="436" spans="1:4">
      <c r="A436" s="111" t="s">
        <v>1425</v>
      </c>
      <c r="B436" s="83" t="s">
        <v>578</v>
      </c>
      <c r="C436" s="84" t="s">
        <v>1426</v>
      </c>
      <c r="D436" s="111" t="s">
        <v>1672</v>
      </c>
    </row>
    <row r="437" spans="1:4">
      <c r="A437" s="82" t="s">
        <v>149</v>
      </c>
      <c r="B437" s="83" t="s">
        <v>579</v>
      </c>
      <c r="C437" s="84" t="s">
        <v>1010</v>
      </c>
      <c r="D437" s="111" t="s">
        <v>1672</v>
      </c>
    </row>
    <row r="438" spans="1:4">
      <c r="A438" s="111" t="s">
        <v>1557</v>
      </c>
      <c r="B438" s="173" t="s">
        <v>579</v>
      </c>
      <c r="C438" s="190" t="s">
        <v>1610</v>
      </c>
      <c r="D438" s="111" t="s">
        <v>1672</v>
      </c>
    </row>
    <row r="439" spans="1:4">
      <c r="A439" s="111" t="s">
        <v>1532</v>
      </c>
      <c r="B439" s="83" t="s">
        <v>580</v>
      </c>
      <c r="C439" s="86" t="s">
        <v>1533</v>
      </c>
      <c r="D439" s="111" t="s">
        <v>1619</v>
      </c>
    </row>
    <row r="440" spans="1:4">
      <c r="A440" s="82" t="s">
        <v>151</v>
      </c>
      <c r="B440" s="83" t="s">
        <v>580</v>
      </c>
      <c r="C440" s="84" t="s">
        <v>1011</v>
      </c>
      <c r="D440" s="111" t="s">
        <v>1619</v>
      </c>
    </row>
    <row r="441" spans="1:4">
      <c r="A441" s="84" t="s">
        <v>1506</v>
      </c>
      <c r="B441" s="83" t="s">
        <v>580</v>
      </c>
      <c r="C441" s="84" t="s">
        <v>1534</v>
      </c>
      <c r="D441" s="111" t="s">
        <v>1619</v>
      </c>
    </row>
    <row r="442" spans="1:4">
      <c r="A442" s="111" t="s">
        <v>1427</v>
      </c>
      <c r="B442" s="83" t="s">
        <v>1428</v>
      </c>
      <c r="C442" s="84" t="s">
        <v>1429</v>
      </c>
      <c r="D442" s="111" t="s">
        <v>1672</v>
      </c>
    </row>
    <row r="443" spans="1:4">
      <c r="A443" s="82" t="s">
        <v>150</v>
      </c>
      <c r="B443" s="83" t="s">
        <v>581</v>
      </c>
      <c r="C443" s="84" t="s">
        <v>1012</v>
      </c>
      <c r="D443" s="111" t="s">
        <v>1619</v>
      </c>
    </row>
    <row r="444" spans="1:4">
      <c r="A444" s="82" t="s">
        <v>152</v>
      </c>
      <c r="B444" s="83" t="s">
        <v>1505</v>
      </c>
      <c r="C444" s="84" t="s">
        <v>1013</v>
      </c>
      <c r="D444" s="111" t="s">
        <v>1672</v>
      </c>
    </row>
    <row r="445" spans="1:4">
      <c r="A445" s="82" t="s">
        <v>1535</v>
      </c>
      <c r="B445" s="83" t="s">
        <v>1505</v>
      </c>
      <c r="C445" s="84" t="s">
        <v>1536</v>
      </c>
      <c r="D445" s="111" t="s">
        <v>1672</v>
      </c>
    </row>
    <row r="446" spans="1:4">
      <c r="A446" s="111" t="s">
        <v>1490</v>
      </c>
      <c r="B446" s="83" t="s">
        <v>1492</v>
      </c>
      <c r="C446" s="83" t="s">
        <v>1491</v>
      </c>
      <c r="D446" s="111" t="s">
        <v>1619</v>
      </c>
    </row>
    <row r="447" spans="1:4">
      <c r="A447" s="82" t="s">
        <v>421</v>
      </c>
      <c r="B447" s="51" t="s">
        <v>817</v>
      </c>
      <c r="C447" s="84" t="s">
        <v>1280</v>
      </c>
      <c r="D447" s="111" t="s">
        <v>1661</v>
      </c>
    </row>
    <row r="448" spans="1:4">
      <c r="A448" s="82" t="s">
        <v>422</v>
      </c>
      <c r="B448" s="51" t="s">
        <v>818</v>
      </c>
      <c r="C448" s="84" t="s">
        <v>1281</v>
      </c>
      <c r="D448" s="111" t="s">
        <v>1660</v>
      </c>
    </row>
    <row r="449" spans="1:4">
      <c r="A449" s="85" t="s">
        <v>364</v>
      </c>
      <c r="B449" s="51" t="s">
        <v>764</v>
      </c>
      <c r="C449" s="84" t="s">
        <v>1226</v>
      </c>
      <c r="D449" s="111" t="s">
        <v>1660</v>
      </c>
    </row>
    <row r="450" spans="1:4">
      <c r="A450" s="85" t="s">
        <v>365</v>
      </c>
      <c r="B450" s="51" t="s">
        <v>765</v>
      </c>
      <c r="C450" s="84" t="s">
        <v>1227</v>
      </c>
      <c r="D450" s="111" t="s">
        <v>1660</v>
      </c>
    </row>
    <row r="451" spans="1:4">
      <c r="A451" s="82" t="s">
        <v>366</v>
      </c>
      <c r="B451" s="83" t="s">
        <v>766</v>
      </c>
      <c r="C451" s="84" t="s">
        <v>1236</v>
      </c>
      <c r="D451" s="111" t="s">
        <v>1660</v>
      </c>
    </row>
    <row r="452" spans="1:4">
      <c r="A452" s="82" t="s">
        <v>367</v>
      </c>
      <c r="B452" s="83" t="s">
        <v>767</v>
      </c>
      <c r="C452" s="84" t="s">
        <v>1237</v>
      </c>
      <c r="D452" s="111" t="s">
        <v>1660</v>
      </c>
    </row>
    <row r="453" spans="1:4">
      <c r="A453" s="82" t="s">
        <v>368</v>
      </c>
      <c r="B453" s="83" t="s">
        <v>768</v>
      </c>
      <c r="C453" s="84" t="s">
        <v>1238</v>
      </c>
      <c r="D453" s="111" t="s">
        <v>1660</v>
      </c>
    </row>
    <row r="454" spans="1:4">
      <c r="A454" s="85" t="s">
        <v>369</v>
      </c>
      <c r="B454" s="51" t="s">
        <v>769</v>
      </c>
      <c r="C454" s="84" t="s">
        <v>1228</v>
      </c>
      <c r="D454" s="111" t="s">
        <v>1660</v>
      </c>
    </row>
    <row r="455" spans="1:4">
      <c r="A455" s="82" t="s">
        <v>370</v>
      </c>
      <c r="B455" s="83" t="s">
        <v>770</v>
      </c>
      <c r="C455" s="84" t="s">
        <v>1239</v>
      </c>
      <c r="D455" s="111" t="s">
        <v>1660</v>
      </c>
    </row>
    <row r="456" spans="1:4">
      <c r="A456" s="82" t="s">
        <v>371</v>
      </c>
      <c r="B456" s="83" t="s">
        <v>771</v>
      </c>
      <c r="C456" s="84" t="s">
        <v>1240</v>
      </c>
      <c r="D456" s="111" t="s">
        <v>1660</v>
      </c>
    </row>
    <row r="457" spans="1:4">
      <c r="A457" s="82" t="s">
        <v>372</v>
      </c>
      <c r="B457" s="83" t="s">
        <v>772</v>
      </c>
      <c r="C457" s="84" t="s">
        <v>1241</v>
      </c>
      <c r="D457" s="111" t="s">
        <v>1660</v>
      </c>
    </row>
    <row r="458" spans="1:4">
      <c r="A458" s="82" t="s">
        <v>373</v>
      </c>
      <c r="B458" s="83" t="s">
        <v>773</v>
      </c>
      <c r="C458" s="84" t="s">
        <v>1242</v>
      </c>
      <c r="D458" s="111" t="s">
        <v>1660</v>
      </c>
    </row>
    <row r="459" spans="1:4">
      <c r="A459" s="82" t="s">
        <v>374</v>
      </c>
      <c r="B459" s="83" t="s">
        <v>773</v>
      </c>
      <c r="C459" s="84" t="s">
        <v>1243</v>
      </c>
      <c r="D459" s="111" t="s">
        <v>1660</v>
      </c>
    </row>
    <row r="460" spans="1:4">
      <c r="A460" s="82" t="s">
        <v>375</v>
      </c>
      <c r="B460" s="83" t="s">
        <v>774</v>
      </c>
      <c r="C460" s="84" t="s">
        <v>1244</v>
      </c>
      <c r="D460" s="111" t="s">
        <v>1660</v>
      </c>
    </row>
    <row r="461" spans="1:4">
      <c r="A461" s="82" t="s">
        <v>376</v>
      </c>
      <c r="B461" s="83" t="s">
        <v>775</v>
      </c>
      <c r="C461" s="84" t="s">
        <v>1245</v>
      </c>
      <c r="D461" s="111" t="s">
        <v>1660</v>
      </c>
    </row>
    <row r="462" spans="1:4">
      <c r="A462" s="82" t="s">
        <v>377</v>
      </c>
      <c r="B462" s="83" t="s">
        <v>776</v>
      </c>
      <c r="C462" s="84" t="s">
        <v>1246</v>
      </c>
      <c r="D462" s="111" t="s">
        <v>1660</v>
      </c>
    </row>
    <row r="463" spans="1:4">
      <c r="A463" s="82" t="s">
        <v>378</v>
      </c>
      <c r="B463" s="83" t="s">
        <v>777</v>
      </c>
      <c r="C463" s="84" t="s">
        <v>1247</v>
      </c>
      <c r="D463" s="111" t="s">
        <v>1660</v>
      </c>
    </row>
    <row r="464" spans="1:4">
      <c r="A464" s="82" t="s">
        <v>379</v>
      </c>
      <c r="B464" s="83" t="s">
        <v>778</v>
      </c>
      <c r="C464" s="84" t="s">
        <v>1248</v>
      </c>
      <c r="D464" s="111" t="s">
        <v>1660</v>
      </c>
    </row>
    <row r="465" spans="1:4">
      <c r="A465" s="82" t="s">
        <v>380</v>
      </c>
      <c r="B465" s="83" t="s">
        <v>778</v>
      </c>
      <c r="C465" s="84" t="s">
        <v>1249</v>
      </c>
      <c r="D465" s="111" t="s">
        <v>1660</v>
      </c>
    </row>
    <row r="466" spans="1:4">
      <c r="A466" s="82" t="s">
        <v>381</v>
      </c>
      <c r="B466" s="83" t="s">
        <v>778</v>
      </c>
      <c r="C466" s="84" t="s">
        <v>1250</v>
      </c>
      <c r="D466" s="111" t="s">
        <v>1660</v>
      </c>
    </row>
    <row r="467" spans="1:4">
      <c r="A467" s="82" t="s">
        <v>382</v>
      </c>
      <c r="B467" s="83" t="s">
        <v>779</v>
      </c>
      <c r="C467" s="84" t="s">
        <v>1251</v>
      </c>
      <c r="D467" s="111" t="s">
        <v>1660</v>
      </c>
    </row>
    <row r="468" spans="1:4">
      <c r="A468" s="82" t="s">
        <v>383</v>
      </c>
      <c r="B468" s="83" t="s">
        <v>780</v>
      </c>
      <c r="C468" s="84" t="s">
        <v>1252</v>
      </c>
      <c r="D468" s="111" t="s">
        <v>1660</v>
      </c>
    </row>
    <row r="469" spans="1:4">
      <c r="A469" s="82" t="s">
        <v>384</v>
      </c>
      <c r="B469" s="83" t="s">
        <v>781</v>
      </c>
      <c r="C469" s="84" t="s">
        <v>1253</v>
      </c>
      <c r="D469" s="111" t="s">
        <v>1660</v>
      </c>
    </row>
    <row r="470" spans="1:4">
      <c r="A470" s="85" t="s">
        <v>385</v>
      </c>
      <c r="B470" s="51" t="s">
        <v>782</v>
      </c>
      <c r="C470" s="84" t="s">
        <v>1229</v>
      </c>
      <c r="D470" s="111" t="s">
        <v>1660</v>
      </c>
    </row>
    <row r="471" spans="1:4">
      <c r="A471" s="85" t="s">
        <v>386</v>
      </c>
      <c r="B471" s="51" t="s">
        <v>783</v>
      </c>
      <c r="C471" s="84" t="s">
        <v>1230</v>
      </c>
      <c r="D471" s="111" t="s">
        <v>1660</v>
      </c>
    </row>
    <row r="472" spans="1:4">
      <c r="A472" s="82" t="s">
        <v>387</v>
      </c>
      <c r="B472" s="83" t="s">
        <v>784</v>
      </c>
      <c r="C472" s="84" t="s">
        <v>1254</v>
      </c>
      <c r="D472" s="111" t="s">
        <v>1660</v>
      </c>
    </row>
    <row r="473" spans="1:4">
      <c r="A473" s="82" t="s">
        <v>431</v>
      </c>
      <c r="B473" s="51" t="s">
        <v>827</v>
      </c>
      <c r="C473" s="84" t="s">
        <v>1288</v>
      </c>
      <c r="D473" s="111" t="s">
        <v>1661</v>
      </c>
    </row>
    <row r="474" spans="1:4">
      <c r="A474" s="82" t="s">
        <v>432</v>
      </c>
      <c r="B474" s="51" t="s">
        <v>828</v>
      </c>
      <c r="C474" s="84" t="s">
        <v>1289</v>
      </c>
      <c r="D474" s="111" t="s">
        <v>1661</v>
      </c>
    </row>
    <row r="475" spans="1:4">
      <c r="A475" s="85" t="s">
        <v>391</v>
      </c>
      <c r="B475" s="51" t="s">
        <v>805</v>
      </c>
      <c r="C475" s="84" t="s">
        <v>1231</v>
      </c>
      <c r="D475" s="111" t="s">
        <v>1658</v>
      </c>
    </row>
    <row r="476" spans="1:4">
      <c r="A476" s="85" t="s">
        <v>392</v>
      </c>
      <c r="B476" s="51" t="s">
        <v>806</v>
      </c>
      <c r="C476" s="84" t="s">
        <v>1232</v>
      </c>
      <c r="D476" s="111" t="s">
        <v>1658</v>
      </c>
    </row>
    <row r="477" spans="1:4">
      <c r="A477" s="111" t="s">
        <v>1430</v>
      </c>
      <c r="B477" s="83" t="s">
        <v>1431</v>
      </c>
      <c r="C477" s="84" t="s">
        <v>1432</v>
      </c>
      <c r="D477" s="111" t="s">
        <v>1673</v>
      </c>
    </row>
    <row r="478" spans="1:4">
      <c r="A478" s="82" t="s">
        <v>397</v>
      </c>
      <c r="B478" s="51" t="s">
        <v>791</v>
      </c>
      <c r="C478" s="84" t="s">
        <v>1267</v>
      </c>
      <c r="D478" s="111" t="s">
        <v>1673</v>
      </c>
    </row>
    <row r="479" spans="1:4">
      <c r="A479" s="82" t="s">
        <v>398</v>
      </c>
      <c r="B479" s="83" t="s">
        <v>792</v>
      </c>
      <c r="C479" s="84" t="s">
        <v>1268</v>
      </c>
      <c r="D479" s="111" t="s">
        <v>1673</v>
      </c>
    </row>
    <row r="480" spans="1:4">
      <c r="A480" s="85" t="s">
        <v>399</v>
      </c>
      <c r="B480" s="51" t="s">
        <v>793</v>
      </c>
      <c r="C480" s="84" t="s">
        <v>1258</v>
      </c>
      <c r="D480" s="111" t="s">
        <v>1673</v>
      </c>
    </row>
    <row r="481" spans="1:4">
      <c r="A481" s="82" t="s">
        <v>400</v>
      </c>
      <c r="B481" s="83" t="s">
        <v>794</v>
      </c>
      <c r="C481" s="84" t="s">
        <v>1269</v>
      </c>
      <c r="D481" s="111" t="s">
        <v>1673</v>
      </c>
    </row>
    <row r="482" spans="1:4">
      <c r="A482" s="85" t="s">
        <v>401</v>
      </c>
      <c r="B482" s="51" t="s">
        <v>795</v>
      </c>
      <c r="C482" s="84" t="s">
        <v>1259</v>
      </c>
      <c r="D482" s="111" t="s">
        <v>1673</v>
      </c>
    </row>
    <row r="483" spans="1:4">
      <c r="A483" s="82" t="s">
        <v>402</v>
      </c>
      <c r="B483" s="51" t="s">
        <v>796</v>
      </c>
      <c r="C483" s="84" t="s">
        <v>1270</v>
      </c>
      <c r="D483" s="111" t="s">
        <v>1673</v>
      </c>
    </row>
    <row r="484" spans="1:4">
      <c r="A484" s="85" t="s">
        <v>394</v>
      </c>
      <c r="B484" s="51" t="s">
        <v>788</v>
      </c>
      <c r="C484" s="84" t="s">
        <v>1260</v>
      </c>
      <c r="D484" s="111" t="s">
        <v>1673</v>
      </c>
    </row>
    <row r="485" spans="1:4">
      <c r="A485" s="85" t="s">
        <v>396</v>
      </c>
      <c r="B485" s="51" t="s">
        <v>790</v>
      </c>
      <c r="C485" s="84" t="s">
        <v>1261</v>
      </c>
      <c r="D485" s="111" t="s">
        <v>1673</v>
      </c>
    </row>
    <row r="486" spans="1:4">
      <c r="A486" s="85" t="s">
        <v>395</v>
      </c>
      <c r="B486" s="51" t="s">
        <v>789</v>
      </c>
      <c r="C486" s="84" t="s">
        <v>1262</v>
      </c>
      <c r="D486" s="111" t="s">
        <v>1673</v>
      </c>
    </row>
    <row r="487" spans="1:4">
      <c r="A487" s="85" t="s">
        <v>403</v>
      </c>
      <c r="B487" s="51" t="s">
        <v>797</v>
      </c>
      <c r="C487" s="84" t="s">
        <v>1263</v>
      </c>
      <c r="D487" s="111" t="s">
        <v>1673</v>
      </c>
    </row>
    <row r="488" spans="1:4">
      <c r="A488" s="82" t="s">
        <v>404</v>
      </c>
      <c r="B488" s="51" t="s">
        <v>798</v>
      </c>
      <c r="C488" s="84" t="s">
        <v>1271</v>
      </c>
      <c r="D488" s="111" t="s">
        <v>1673</v>
      </c>
    </row>
    <row r="489" spans="1:4">
      <c r="A489" s="82" t="s">
        <v>405</v>
      </c>
      <c r="B489" s="51" t="s">
        <v>799</v>
      </c>
      <c r="C489" s="84" t="s">
        <v>1272</v>
      </c>
      <c r="D489" s="111" t="s">
        <v>1673</v>
      </c>
    </row>
    <row r="490" spans="1:4">
      <c r="A490" s="82" t="s">
        <v>406</v>
      </c>
      <c r="B490" s="51" t="s">
        <v>800</v>
      </c>
      <c r="C490" s="84" t="s">
        <v>1273</v>
      </c>
      <c r="D490" s="111" t="s">
        <v>1673</v>
      </c>
    </row>
    <row r="491" spans="1:4">
      <c r="A491" s="82" t="s">
        <v>407</v>
      </c>
      <c r="B491" s="51" t="s">
        <v>801</v>
      </c>
      <c r="C491" s="84" t="s">
        <v>1274</v>
      </c>
      <c r="D491" s="111" t="s">
        <v>1673</v>
      </c>
    </row>
    <row r="492" spans="1:4">
      <c r="A492" s="85" t="s">
        <v>408</v>
      </c>
      <c r="B492" s="51" t="s">
        <v>802</v>
      </c>
      <c r="C492" s="84" t="s">
        <v>1264</v>
      </c>
      <c r="D492" s="111" t="s">
        <v>1673</v>
      </c>
    </row>
    <row r="493" spans="1:4">
      <c r="A493" s="82" t="s">
        <v>409</v>
      </c>
      <c r="B493" s="51" t="s">
        <v>803</v>
      </c>
      <c r="C493" s="86" t="s">
        <v>1275</v>
      </c>
      <c r="D493" s="111" t="s">
        <v>1673</v>
      </c>
    </row>
    <row r="494" spans="1:4">
      <c r="A494" s="85" t="s">
        <v>410</v>
      </c>
      <c r="B494" s="51" t="s">
        <v>804</v>
      </c>
      <c r="C494" s="84" t="s">
        <v>1265</v>
      </c>
      <c r="D494" s="111" t="s">
        <v>1673</v>
      </c>
    </row>
    <row r="495" spans="1:4">
      <c r="A495" s="111" t="s">
        <v>1537</v>
      </c>
      <c r="B495" s="51" t="s">
        <v>1538</v>
      </c>
      <c r="C495" s="86" t="s">
        <v>1539</v>
      </c>
      <c r="D495" s="111" t="s">
        <v>1673</v>
      </c>
    </row>
    <row r="496" spans="1:4">
      <c r="A496" s="82" t="s">
        <v>411</v>
      </c>
      <c r="B496" s="51" t="s">
        <v>809</v>
      </c>
      <c r="C496" s="84" t="s">
        <v>1277</v>
      </c>
      <c r="D496" s="111" t="s">
        <v>1658</v>
      </c>
    </row>
    <row r="497" spans="1:4">
      <c r="A497" s="85" t="s">
        <v>412</v>
      </c>
      <c r="B497" s="51" t="s">
        <v>810</v>
      </c>
      <c r="C497" s="84" t="s">
        <v>1266</v>
      </c>
      <c r="D497" s="111" t="s">
        <v>1658</v>
      </c>
    </row>
    <row r="498" spans="1:4">
      <c r="A498" s="82" t="s">
        <v>74</v>
      </c>
      <c r="B498" s="83" t="s">
        <v>525</v>
      </c>
      <c r="C498" s="84" t="s">
        <v>970</v>
      </c>
      <c r="D498" s="111" t="s">
        <v>1674</v>
      </c>
    </row>
    <row r="499" spans="1:4">
      <c r="A499" s="85" t="s">
        <v>420</v>
      </c>
      <c r="B499" s="51" t="s">
        <v>816</v>
      </c>
      <c r="C499" s="84" t="s">
        <v>861</v>
      </c>
      <c r="D499" s="111" t="s">
        <v>1662</v>
      </c>
    </row>
    <row r="500" spans="1:4">
      <c r="A500" s="82" t="s">
        <v>75</v>
      </c>
      <c r="B500" s="83" t="s">
        <v>526</v>
      </c>
      <c r="C500" s="84" t="s">
        <v>971</v>
      </c>
      <c r="D500" s="111" t="s">
        <v>1674</v>
      </c>
    </row>
    <row r="501" spans="1:4">
      <c r="A501" s="111" t="s">
        <v>1433</v>
      </c>
      <c r="B501" s="83" t="s">
        <v>1434</v>
      </c>
      <c r="C501" s="84" t="s">
        <v>1435</v>
      </c>
      <c r="D501" s="111" t="s">
        <v>1674</v>
      </c>
    </row>
    <row r="502" spans="1:4">
      <c r="A502" s="85" t="s">
        <v>76</v>
      </c>
      <c r="B502" s="51" t="s">
        <v>526</v>
      </c>
      <c r="C502" s="84" t="s">
        <v>903</v>
      </c>
      <c r="D502" s="111" t="s">
        <v>1674</v>
      </c>
    </row>
    <row r="503" spans="1:4">
      <c r="A503" s="111" t="s">
        <v>1436</v>
      </c>
      <c r="B503" s="51" t="s">
        <v>526</v>
      </c>
      <c r="C503" s="84" t="s">
        <v>1437</v>
      </c>
      <c r="D503" s="111" t="s">
        <v>1674</v>
      </c>
    </row>
    <row r="504" spans="1:4">
      <c r="A504" s="111" t="s">
        <v>1438</v>
      </c>
      <c r="B504" s="83" t="s">
        <v>1434</v>
      </c>
      <c r="C504" s="84" t="s">
        <v>1439</v>
      </c>
      <c r="D504" s="111" t="s">
        <v>1674</v>
      </c>
    </row>
    <row r="505" spans="1:4">
      <c r="A505" s="85" t="s">
        <v>77</v>
      </c>
      <c r="B505" s="51" t="s">
        <v>527</v>
      </c>
      <c r="C505" s="84" t="s">
        <v>904</v>
      </c>
      <c r="D505" s="111" t="s">
        <v>1674</v>
      </c>
    </row>
    <row r="506" spans="1:4">
      <c r="A506" s="85" t="s">
        <v>78</v>
      </c>
      <c r="B506" s="51" t="s">
        <v>528</v>
      </c>
      <c r="C506" s="84" t="s">
        <v>905</v>
      </c>
      <c r="D506" s="111" t="s">
        <v>1674</v>
      </c>
    </row>
    <row r="507" spans="1:4">
      <c r="A507" s="49" t="s">
        <v>1555</v>
      </c>
      <c r="B507" s="83" t="s">
        <v>529</v>
      </c>
      <c r="C507" s="86" t="s">
        <v>1556</v>
      </c>
      <c r="D507" s="111" t="s">
        <v>1674</v>
      </c>
    </row>
    <row r="508" spans="1:4">
      <c r="A508" s="111" t="s">
        <v>1540</v>
      </c>
      <c r="B508" s="83" t="s">
        <v>529</v>
      </c>
      <c r="C508" s="112" t="s">
        <v>1541</v>
      </c>
      <c r="D508" s="111" t="s">
        <v>1674</v>
      </c>
    </row>
    <row r="509" spans="1:4">
      <c r="A509" s="82" t="s">
        <v>79</v>
      </c>
      <c r="B509" s="83" t="s">
        <v>529</v>
      </c>
      <c r="C509" s="84" t="s">
        <v>972</v>
      </c>
      <c r="D509" s="111" t="s">
        <v>1674</v>
      </c>
    </row>
    <row r="510" spans="1:4">
      <c r="A510" s="82" t="s">
        <v>80</v>
      </c>
      <c r="B510" s="83" t="s">
        <v>530</v>
      </c>
      <c r="C510" s="84" t="s">
        <v>973</v>
      </c>
      <c r="D510" s="111" t="s">
        <v>1674</v>
      </c>
    </row>
    <row r="511" spans="1:4">
      <c r="A511" s="111" t="s">
        <v>1542</v>
      </c>
      <c r="B511" s="51" t="s">
        <v>1543</v>
      </c>
      <c r="C511" s="112" t="s">
        <v>1544</v>
      </c>
      <c r="D511" s="111" t="s">
        <v>1674</v>
      </c>
    </row>
    <row r="512" spans="1:4">
      <c r="A512" s="114" t="s">
        <v>1475</v>
      </c>
      <c r="B512" s="83" t="s">
        <v>1477</v>
      </c>
      <c r="C512" s="84" t="s">
        <v>1476</v>
      </c>
      <c r="D512" s="111" t="s">
        <v>1674</v>
      </c>
    </row>
    <row r="513" spans="1:4">
      <c r="A513" s="82" t="s">
        <v>81</v>
      </c>
      <c r="B513" s="83" t="s">
        <v>531</v>
      </c>
      <c r="C513" s="84" t="s">
        <v>974</v>
      </c>
      <c r="D513" s="111" t="s">
        <v>1674</v>
      </c>
    </row>
    <row r="514" spans="1:4">
      <c r="A514" s="82" t="s">
        <v>82</v>
      </c>
      <c r="B514" s="83" t="s">
        <v>532</v>
      </c>
      <c r="C514" s="84" t="s">
        <v>975</v>
      </c>
      <c r="D514" s="111" t="s">
        <v>1674</v>
      </c>
    </row>
    <row r="515" spans="1:4">
      <c r="A515" s="85" t="s">
        <v>83</v>
      </c>
      <c r="B515" s="51" t="s">
        <v>533</v>
      </c>
      <c r="C515" s="84" t="s">
        <v>906</v>
      </c>
      <c r="D515" s="111" t="s">
        <v>1674</v>
      </c>
    </row>
    <row r="516" spans="1:4">
      <c r="A516" s="85" t="s">
        <v>1440</v>
      </c>
      <c r="B516" s="83" t="s">
        <v>533</v>
      </c>
      <c r="C516" s="84" t="s">
        <v>1503</v>
      </c>
      <c r="D516" s="111" t="s">
        <v>1674</v>
      </c>
    </row>
    <row r="517" spans="1:4">
      <c r="A517" s="82" t="s">
        <v>84</v>
      </c>
      <c r="B517" s="83" t="s">
        <v>525</v>
      </c>
      <c r="C517" s="84" t="s">
        <v>976</v>
      </c>
      <c r="D517" s="111" t="s">
        <v>1674</v>
      </c>
    </row>
    <row r="518" spans="1:4">
      <c r="A518" s="82" t="s">
        <v>85</v>
      </c>
      <c r="B518" s="83" t="s">
        <v>525</v>
      </c>
      <c r="C518" s="84" t="s">
        <v>977</v>
      </c>
      <c r="D518" s="111" t="s">
        <v>1674</v>
      </c>
    </row>
    <row r="519" spans="1:4">
      <c r="A519" s="111" t="s">
        <v>1441</v>
      </c>
      <c r="B519" s="83" t="s">
        <v>534</v>
      </c>
      <c r="C519" s="84" t="s">
        <v>1442</v>
      </c>
      <c r="D519" s="111" t="s">
        <v>1674</v>
      </c>
    </row>
    <row r="520" spans="1:4">
      <c r="A520" s="111" t="s">
        <v>1443</v>
      </c>
      <c r="B520" s="51" t="s">
        <v>535</v>
      </c>
      <c r="C520" s="84" t="s">
        <v>1444</v>
      </c>
      <c r="D520" s="111" t="s">
        <v>1674</v>
      </c>
    </row>
    <row r="521" spans="1:4">
      <c r="A521" s="82" t="s">
        <v>86</v>
      </c>
      <c r="B521" s="83" t="s">
        <v>534</v>
      </c>
      <c r="C521" s="84" t="s">
        <v>978</v>
      </c>
      <c r="D521" s="111" t="s">
        <v>1674</v>
      </c>
    </row>
    <row r="522" spans="1:4">
      <c r="A522" s="85" t="s">
        <v>87</v>
      </c>
      <c r="B522" s="51" t="s">
        <v>535</v>
      </c>
      <c r="C522" s="84" t="s">
        <v>907</v>
      </c>
      <c r="D522" s="111" t="s">
        <v>1674</v>
      </c>
    </row>
    <row r="523" spans="1:4">
      <c r="A523" s="85" t="s">
        <v>1445</v>
      </c>
      <c r="B523" s="83" t="s">
        <v>535</v>
      </c>
      <c r="C523" s="84" t="s">
        <v>1504</v>
      </c>
      <c r="D523" s="111" t="s">
        <v>1674</v>
      </c>
    </row>
    <row r="524" spans="1:4">
      <c r="A524" s="85" t="s">
        <v>1545</v>
      </c>
      <c r="B524" s="51" t="s">
        <v>536</v>
      </c>
      <c r="C524" s="84" t="s">
        <v>1546</v>
      </c>
      <c r="D524" s="111" t="s">
        <v>1674</v>
      </c>
    </row>
    <row r="525" spans="1:4">
      <c r="A525" s="85" t="s">
        <v>88</v>
      </c>
      <c r="B525" s="51" t="s">
        <v>536</v>
      </c>
      <c r="C525" s="84" t="s">
        <v>908</v>
      </c>
      <c r="D525" s="111" t="s">
        <v>1674</v>
      </c>
    </row>
    <row r="526" spans="1:4">
      <c r="A526" s="111" t="s">
        <v>1446</v>
      </c>
      <c r="B526" s="83" t="s">
        <v>537</v>
      </c>
      <c r="C526" s="84" t="s">
        <v>1447</v>
      </c>
      <c r="D526" s="111" t="s">
        <v>1674</v>
      </c>
    </row>
    <row r="527" spans="1:4">
      <c r="A527" s="82" t="s">
        <v>89</v>
      </c>
      <c r="B527" s="83" t="s">
        <v>537</v>
      </c>
      <c r="C527" s="84" t="s">
        <v>979</v>
      </c>
      <c r="D527" s="111" t="s">
        <v>1674</v>
      </c>
    </row>
    <row r="528" spans="1:4">
      <c r="A528" s="111" t="s">
        <v>1448</v>
      </c>
      <c r="B528" s="51" t="s">
        <v>538</v>
      </c>
      <c r="C528" s="84" t="s">
        <v>1449</v>
      </c>
      <c r="D528" s="111" t="s">
        <v>1674</v>
      </c>
    </row>
    <row r="529" spans="1:4">
      <c r="A529" s="85" t="s">
        <v>90</v>
      </c>
      <c r="B529" s="51" t="s">
        <v>538</v>
      </c>
      <c r="C529" s="84" t="s">
        <v>909</v>
      </c>
      <c r="D529" s="111" t="s">
        <v>1674</v>
      </c>
    </row>
    <row r="530" spans="1:4">
      <c r="A530" s="85" t="s">
        <v>91</v>
      </c>
      <c r="B530" s="51" t="s">
        <v>539</v>
      </c>
      <c r="C530" s="84" t="s">
        <v>910</v>
      </c>
      <c r="D530" s="111" t="s">
        <v>1674</v>
      </c>
    </row>
    <row r="531" spans="1:4">
      <c r="A531" s="111" t="s">
        <v>1450</v>
      </c>
      <c r="B531" s="51" t="s">
        <v>539</v>
      </c>
      <c r="C531" s="84" t="s">
        <v>1451</v>
      </c>
      <c r="D531" s="111" t="s">
        <v>1674</v>
      </c>
    </row>
    <row r="532" spans="1:4">
      <c r="A532" s="111" t="s">
        <v>1452</v>
      </c>
      <c r="B532" s="83" t="s">
        <v>1453</v>
      </c>
      <c r="C532" s="84" t="s">
        <v>1478</v>
      </c>
      <c r="D532" s="111" t="s">
        <v>1674</v>
      </c>
    </row>
    <row r="533" spans="1:4">
      <c r="A533" s="85" t="s">
        <v>92</v>
      </c>
      <c r="B533" s="51" t="s">
        <v>540</v>
      </c>
      <c r="C533" s="84" t="s">
        <v>911</v>
      </c>
      <c r="D533" s="111" t="s">
        <v>1674</v>
      </c>
    </row>
    <row r="534" spans="1:4">
      <c r="A534" s="111" t="s">
        <v>1454</v>
      </c>
      <c r="B534" s="83" t="s">
        <v>540</v>
      </c>
      <c r="C534" s="84" t="s">
        <v>1479</v>
      </c>
      <c r="D534" s="111" t="s">
        <v>1674</v>
      </c>
    </row>
    <row r="535" spans="1:4">
      <c r="A535" s="85" t="s">
        <v>93</v>
      </c>
      <c r="B535" s="51" t="s">
        <v>541</v>
      </c>
      <c r="C535" s="84" t="s">
        <v>912</v>
      </c>
      <c r="D535" s="111" t="s">
        <v>1674</v>
      </c>
    </row>
    <row r="536" spans="1:4">
      <c r="A536" s="85" t="s">
        <v>94</v>
      </c>
      <c r="B536" s="51" t="s">
        <v>913</v>
      </c>
      <c r="C536" s="84" t="s">
        <v>914</v>
      </c>
      <c r="D536" s="111" t="s">
        <v>1674</v>
      </c>
    </row>
    <row r="537" spans="1:4">
      <c r="A537" s="111" t="s">
        <v>1455</v>
      </c>
      <c r="B537" s="83" t="s">
        <v>1456</v>
      </c>
      <c r="C537" s="84" t="s">
        <v>1457</v>
      </c>
      <c r="D537" s="111" t="s">
        <v>1674</v>
      </c>
    </row>
    <row r="538" spans="1:4">
      <c r="A538" s="82" t="s">
        <v>95</v>
      </c>
      <c r="B538" s="83" t="s">
        <v>526</v>
      </c>
      <c r="C538" s="84" t="s">
        <v>980</v>
      </c>
      <c r="D538" s="111" t="s">
        <v>1674</v>
      </c>
    </row>
    <row r="539" spans="1:4">
      <c r="A539" s="82" t="s">
        <v>96</v>
      </c>
      <c r="B539" s="83" t="s">
        <v>542</v>
      </c>
      <c r="C539" s="84" t="s">
        <v>981</v>
      </c>
      <c r="D539" s="111" t="s">
        <v>1674</v>
      </c>
    </row>
    <row r="540" spans="1:4">
      <c r="A540" s="111" t="s">
        <v>1458</v>
      </c>
      <c r="B540" s="83" t="s">
        <v>531</v>
      </c>
      <c r="C540" s="84" t="s">
        <v>1459</v>
      </c>
      <c r="D540" s="111" t="s">
        <v>1674</v>
      </c>
    </row>
    <row r="541" spans="1:4">
      <c r="A541" s="82" t="s">
        <v>97</v>
      </c>
      <c r="B541" s="83" t="s">
        <v>538</v>
      </c>
      <c r="C541" s="84" t="s">
        <v>982</v>
      </c>
      <c r="D541" s="111" t="s">
        <v>1674</v>
      </c>
    </row>
    <row r="542" spans="1:4">
      <c r="A542" s="111" t="s">
        <v>1460</v>
      </c>
      <c r="B542" s="83" t="s">
        <v>1461</v>
      </c>
      <c r="C542" s="86" t="s">
        <v>1462</v>
      </c>
      <c r="D542" s="111" t="s">
        <v>1674</v>
      </c>
    </row>
    <row r="543" spans="1:4">
      <c r="A543" s="82" t="s">
        <v>98</v>
      </c>
      <c r="B543" s="83" t="s">
        <v>543</v>
      </c>
      <c r="C543" s="84" t="s">
        <v>983</v>
      </c>
      <c r="D543" s="111" t="s">
        <v>1674</v>
      </c>
    </row>
    <row r="544" spans="1:4">
      <c r="A544" s="111" t="s">
        <v>1463</v>
      </c>
      <c r="B544" s="51" t="s">
        <v>546</v>
      </c>
      <c r="C544" s="84" t="s">
        <v>1464</v>
      </c>
      <c r="D544" s="111" t="s">
        <v>1675</v>
      </c>
    </row>
    <row r="545" spans="1:4">
      <c r="A545" s="85" t="s">
        <v>1315</v>
      </c>
      <c r="B545" s="51" t="s">
        <v>1320</v>
      </c>
      <c r="C545" s="86" t="s">
        <v>1319</v>
      </c>
      <c r="D545" s="111" t="s">
        <v>1675</v>
      </c>
    </row>
    <row r="546" spans="1:4">
      <c r="A546" s="82" t="s">
        <v>103</v>
      </c>
      <c r="B546" s="83" t="s">
        <v>544</v>
      </c>
      <c r="C546" s="84" t="s">
        <v>984</v>
      </c>
      <c r="D546" s="111" t="s">
        <v>1675</v>
      </c>
    </row>
    <row r="547" spans="1:4">
      <c r="A547" s="85" t="s">
        <v>104</v>
      </c>
      <c r="B547" s="51" t="s">
        <v>546</v>
      </c>
      <c r="C547" s="84" t="s">
        <v>915</v>
      </c>
      <c r="D547" s="111" t="s">
        <v>1675</v>
      </c>
    </row>
    <row r="548" spans="1:4">
      <c r="A548" s="111" t="s">
        <v>1465</v>
      </c>
      <c r="B548" s="51" t="s">
        <v>1466</v>
      </c>
      <c r="C548" s="84" t="s">
        <v>1467</v>
      </c>
      <c r="D548" s="111" t="s">
        <v>1675</v>
      </c>
    </row>
    <row r="549" spans="1:4">
      <c r="A549" s="85" t="s">
        <v>100</v>
      </c>
      <c r="B549" s="51" t="s">
        <v>544</v>
      </c>
      <c r="C549" s="84" t="s">
        <v>916</v>
      </c>
      <c r="D549" s="111" t="s">
        <v>1675</v>
      </c>
    </row>
    <row r="550" spans="1:4">
      <c r="A550" s="113" t="s">
        <v>1343</v>
      </c>
      <c r="B550" s="51" t="s">
        <v>1355</v>
      </c>
      <c r="C550" s="112" t="s">
        <v>1356</v>
      </c>
      <c r="D550" s="111" t="s">
        <v>1675</v>
      </c>
    </row>
    <row r="551" spans="1:4">
      <c r="A551" s="85" t="s">
        <v>101</v>
      </c>
      <c r="B551" s="51" t="s">
        <v>544</v>
      </c>
      <c r="C551" s="84" t="s">
        <v>917</v>
      </c>
      <c r="D551" s="111" t="s">
        <v>1675</v>
      </c>
    </row>
    <row r="552" spans="1:4">
      <c r="A552" s="85" t="s">
        <v>105</v>
      </c>
      <c r="B552" s="51" t="s">
        <v>547</v>
      </c>
      <c r="C552" s="84" t="s">
        <v>918</v>
      </c>
      <c r="D552" s="111" t="s">
        <v>1675</v>
      </c>
    </row>
    <row r="553" spans="1:4">
      <c r="A553" s="85" t="s">
        <v>919</v>
      </c>
      <c r="B553" s="51" t="s">
        <v>920</v>
      </c>
      <c r="C553" s="84" t="s">
        <v>921</v>
      </c>
      <c r="D553" s="111" t="s">
        <v>1675</v>
      </c>
    </row>
    <row r="554" spans="1:4">
      <c r="A554" s="85" t="s">
        <v>106</v>
      </c>
      <c r="B554" s="51" t="s">
        <v>548</v>
      </c>
      <c r="C554" s="84" t="s">
        <v>922</v>
      </c>
      <c r="D554" s="111" t="s">
        <v>1675</v>
      </c>
    </row>
    <row r="555" spans="1:4">
      <c r="A555" s="85" t="s">
        <v>107</v>
      </c>
      <c r="B555" s="51" t="s">
        <v>549</v>
      </c>
      <c r="C555" s="84" t="s">
        <v>923</v>
      </c>
      <c r="D555" s="111" t="s">
        <v>1675</v>
      </c>
    </row>
    <row r="556" spans="1:4">
      <c r="A556" s="85" t="s">
        <v>108</v>
      </c>
      <c r="B556" s="51" t="s">
        <v>550</v>
      </c>
      <c r="C556" s="84" t="s">
        <v>924</v>
      </c>
      <c r="D556" s="111" t="s">
        <v>1675</v>
      </c>
    </row>
    <row r="557" spans="1:4">
      <c r="A557" s="82" t="s">
        <v>472</v>
      </c>
      <c r="B557" s="83" t="s">
        <v>550</v>
      </c>
      <c r="C557" s="84" t="s">
        <v>985</v>
      </c>
      <c r="D557" s="111" t="s">
        <v>1675</v>
      </c>
    </row>
    <row r="558" spans="1:4">
      <c r="A558" s="85" t="s">
        <v>1312</v>
      </c>
      <c r="B558" s="51" t="s">
        <v>1313</v>
      </c>
      <c r="C558" s="84" t="s">
        <v>1314</v>
      </c>
      <c r="D558" s="111" t="s">
        <v>1675</v>
      </c>
    </row>
    <row r="559" spans="1:4">
      <c r="A559" s="85" t="s">
        <v>109</v>
      </c>
      <c r="B559" s="51" t="s">
        <v>551</v>
      </c>
      <c r="C559" s="84" t="s">
        <v>925</v>
      </c>
      <c r="D559" s="111" t="s">
        <v>1675</v>
      </c>
    </row>
    <row r="560" spans="1:4">
      <c r="A560" s="111" t="s">
        <v>1468</v>
      </c>
      <c r="B560" s="51" t="s">
        <v>545</v>
      </c>
      <c r="C560" s="84" t="s">
        <v>1469</v>
      </c>
      <c r="D560" s="111" t="s">
        <v>1675</v>
      </c>
    </row>
    <row r="561" spans="1:4">
      <c r="A561" s="85" t="s">
        <v>102</v>
      </c>
      <c r="B561" s="51" t="s">
        <v>545</v>
      </c>
      <c r="C561" s="84" t="s">
        <v>926</v>
      </c>
      <c r="D561" s="111" t="s">
        <v>1675</v>
      </c>
    </row>
    <row r="562" spans="1:4">
      <c r="A562" s="111" t="s">
        <v>1470</v>
      </c>
      <c r="B562" s="51" t="s">
        <v>1471</v>
      </c>
      <c r="C562" s="84" t="s">
        <v>1472</v>
      </c>
      <c r="D562" s="111" t="s">
        <v>1675</v>
      </c>
    </row>
    <row r="563" spans="1:4">
      <c r="A563" s="111" t="s">
        <v>1473</v>
      </c>
      <c r="B563" s="51" t="s">
        <v>548</v>
      </c>
      <c r="C563" s="84" t="s">
        <v>1474</v>
      </c>
      <c r="D563" s="111" t="s">
        <v>1675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A88294F0-711F-4753-983D-11C33EF265BE}"/>
    <hyperlink ref="C2" r:id="rId2" xr:uid="{1DCCDDF7-7D37-47C8-AB1B-30D516EF2642}"/>
    <hyperlink ref="B3" r:id="rId3" xr:uid="{53ABBFC6-C28F-4857-9630-FAA947B88119}"/>
    <hyperlink ref="B4" r:id="rId4" xr:uid="{2BD7012F-B846-4453-BEFA-47337A7D7952}"/>
    <hyperlink ref="B5" r:id="rId5" xr:uid="{17BEBE18-BB0F-4DB2-BBD2-9EBBADD9DC04}"/>
    <hyperlink ref="B6" r:id="rId6" xr:uid="{8934794D-804F-49D6-AB6E-9B4A780B0DF8}"/>
    <hyperlink ref="B7" r:id="rId7" xr:uid="{2881D5EB-A321-45AC-978F-16F98ABB8F99}"/>
    <hyperlink ref="B8" r:id="rId8" xr:uid="{4434DFE3-FD1B-4A5A-A210-7EB994696DC8}"/>
    <hyperlink ref="B9" r:id="rId9" xr:uid="{474B684B-169E-4CBE-86C8-BDE76430A107}"/>
    <hyperlink ref="B10" r:id="rId10" xr:uid="{D80062D7-9FA3-4087-A41F-46526DE7F4AB}"/>
    <hyperlink ref="B11" r:id="rId11" xr:uid="{DF578E06-FCD5-4194-9D11-6C90897B602F}"/>
    <hyperlink ref="B12" r:id="rId12" xr:uid="{31E22581-FD4F-4D7A-B2BF-A25B39EEE922}"/>
    <hyperlink ref="B13" r:id="rId13" xr:uid="{3D93119C-D3D7-4F4D-9459-D47781FD3C31}"/>
    <hyperlink ref="B14" r:id="rId14" xr:uid="{D5692075-7DC9-4D65-A23C-2F098B5249F5}"/>
    <hyperlink ref="B15" r:id="rId15" xr:uid="{011EEE5D-CE34-4C32-BD88-356CDEBC2680}"/>
    <hyperlink ref="B16" r:id="rId16" xr:uid="{6211BFB7-7D27-4ADD-9E7B-CEF970DF221E}"/>
    <hyperlink ref="B17" r:id="rId17" xr:uid="{5A38DF43-5CF6-4073-8CBC-0345783E5938}"/>
    <hyperlink ref="B18" r:id="rId18" xr:uid="{EA179554-4C46-41B3-92CC-1249D4447A5C}"/>
    <hyperlink ref="B19" r:id="rId19" xr:uid="{FEF66033-C36D-4D6D-8B5A-605FAB095923}"/>
    <hyperlink ref="B20" r:id="rId20" xr:uid="{197887E3-7441-495D-9197-58166F56C2F2}"/>
    <hyperlink ref="B21" r:id="rId21" xr:uid="{9B636938-8AE2-4FB3-B724-C67128326ACF}"/>
    <hyperlink ref="B22" r:id="rId22" xr:uid="{590EE07C-C7A9-4073-B05B-91A005098FE3}"/>
    <hyperlink ref="B23" r:id="rId23" xr:uid="{349FEAEB-EB75-4174-A877-7E2E709D8921}"/>
    <hyperlink ref="B24" r:id="rId24" xr:uid="{6682397A-8938-4A0C-ACE8-9737C14E69DA}"/>
    <hyperlink ref="B25" r:id="rId25" xr:uid="{459A7CBA-AC47-4F2A-B480-6EFC2BC280DC}"/>
    <hyperlink ref="B26" r:id="rId26" xr:uid="{6AB4CC3A-DD02-4492-98C9-B6886FB77206}"/>
    <hyperlink ref="B27" r:id="rId27" location="/Tabs=section-spareparts/" xr:uid="{F941FE0C-4EFA-44FD-A033-CF3573CF19C4}"/>
    <hyperlink ref="B28" r:id="rId28" xr:uid="{38989675-36D7-43B9-BD25-3DBF2100F936}"/>
    <hyperlink ref="B29" r:id="rId29" xr:uid="{E2E168CC-EE25-443A-BF74-57E0A25C71B6}"/>
    <hyperlink ref="B30" r:id="rId30" xr:uid="{C38CEA92-F739-4AFB-98EB-2C56707244D0}"/>
    <hyperlink ref="B31" r:id="rId31" xr:uid="{2DD78DB4-3332-4960-AC4C-53AD5224D718}"/>
    <hyperlink ref="B32" r:id="rId32" xr:uid="{53DCC1C2-0648-4D56-A75B-56194774BE87}"/>
    <hyperlink ref="B33" r:id="rId33" xr:uid="{8A5BE837-DF72-449E-8C51-BBFECAD60369}"/>
    <hyperlink ref="B34" r:id="rId34" xr:uid="{8719B09C-88F9-4468-A72A-4B830AFBD7D5}"/>
    <hyperlink ref="B35" r:id="rId35" xr:uid="{FF05F086-FB14-486A-9529-660A7006D45B}"/>
    <hyperlink ref="B36" r:id="rId36" xr:uid="{7291D26C-6A63-4CE9-839A-682C5B6A8461}"/>
    <hyperlink ref="B37" r:id="rId37" xr:uid="{B8A0901D-701A-43F7-B019-CC5A27541B4D}"/>
    <hyperlink ref="B38" r:id="rId38" xr:uid="{E4D6C70A-FCA4-411B-A10A-0E419C5DC743}"/>
    <hyperlink ref="B39" r:id="rId39" xr:uid="{BC749993-D04B-4D8E-82A9-0E11591628BB}"/>
    <hyperlink ref="B40" r:id="rId40" xr:uid="{BCD96C1F-1CD0-4250-92C2-885A61970FB1}"/>
    <hyperlink ref="B41" r:id="rId41" xr:uid="{62ED297A-DFD6-4885-9BB2-DCDEF37E17EE}"/>
    <hyperlink ref="B54" r:id="rId42" xr:uid="{A1AB82FA-BDE6-42EC-833F-1D2FEF34D13D}"/>
    <hyperlink ref="B55" r:id="rId43" xr:uid="{2FABBE31-D20C-410B-969A-AC1ED3717930}"/>
    <hyperlink ref="B56" r:id="rId44" xr:uid="{BBAA0E7A-46E0-4A19-A253-31D4758AD07F}"/>
    <hyperlink ref="B57" r:id="rId45" xr:uid="{86EE830C-2C57-4B2F-913F-7438C040B735}"/>
    <hyperlink ref="B58" r:id="rId46" xr:uid="{06B93723-6A3D-4849-9F9F-ECE188D50219}"/>
    <hyperlink ref="B59" r:id="rId47" xr:uid="{EC172582-C65A-4F7B-86E9-8BB55812E7B2}"/>
    <hyperlink ref="B60" r:id="rId48" xr:uid="{99552C90-268A-4D37-B2EC-4B17A245AD2C}"/>
    <hyperlink ref="B61" r:id="rId49" xr:uid="{BADA9675-A86E-4A90-A17E-C55C74851B78}"/>
    <hyperlink ref="B62" r:id="rId50" location="/Tabs=section-spareparts/" xr:uid="{6A17F2B1-8EDC-4678-BA90-E3359716EDFC}"/>
    <hyperlink ref="B63" r:id="rId51" xr:uid="{40A44F0D-8A0C-45F9-894C-735D1A6D4E39}"/>
    <hyperlink ref="B64" r:id="rId52" xr:uid="{BAE75DFA-565F-40D4-8440-BBC0A6816B8C}"/>
    <hyperlink ref="B65" r:id="rId53" xr:uid="{070095F4-AA68-4C90-9A21-63B3F929B87C}"/>
    <hyperlink ref="B66" r:id="rId54" xr:uid="{35B85215-31E6-4DEB-9A34-2B3D9B0E8C50}"/>
    <hyperlink ref="B67" r:id="rId55" xr:uid="{2FE9B961-F120-488F-83D8-FF2761ABD115}"/>
    <hyperlink ref="B68" r:id="rId56" xr:uid="{2F2AC81C-0EC7-4EEF-8949-32E4192E23DF}"/>
    <hyperlink ref="B69" r:id="rId57" xr:uid="{A5FEABC0-E10D-44C0-8D7F-2258896098CF}"/>
    <hyperlink ref="B70" r:id="rId58" xr:uid="{C12EFE65-38A6-4D24-861C-15D60BA99F11}"/>
    <hyperlink ref="B71" r:id="rId59" xr:uid="{45958741-C0B5-4685-968E-5AE314A9195D}"/>
    <hyperlink ref="B72" r:id="rId60" xr:uid="{80A83AAF-9A94-4405-971B-A11F9A94E937}"/>
    <hyperlink ref="B73" r:id="rId61" xr:uid="{5142A994-477D-453E-ACE9-0C65D1340A0F}"/>
    <hyperlink ref="B74" r:id="rId62" xr:uid="{24E08B61-55CF-4515-AB5F-67C83F880C15}"/>
    <hyperlink ref="B75" r:id="rId63" xr:uid="{47E6AEBF-7100-44AE-9A05-02AE555CA368}"/>
    <hyperlink ref="B76" r:id="rId64" xr:uid="{52E9E690-7A2A-440F-ACEB-38A3D0828B88}"/>
    <hyperlink ref="B77" r:id="rId65" xr:uid="{D18E8FB3-3E85-4B56-AD57-0E8EEBAF8CD5}"/>
    <hyperlink ref="B78" r:id="rId66" xr:uid="{6616E97B-FBA7-4514-BF17-79637078A3D2}"/>
    <hyperlink ref="B79" r:id="rId67" xr:uid="{3E6769D7-D360-48F0-87D9-063378A6FB6A}"/>
    <hyperlink ref="B80" r:id="rId68" xr:uid="{716CFA6C-2400-4FBE-B15A-7E749FC374B2}"/>
    <hyperlink ref="C80" r:id="rId69" xr:uid="{F863ACAB-DA1A-45A6-98EB-859E4EF410DC}"/>
    <hyperlink ref="B81" r:id="rId70" xr:uid="{A777540F-5B46-4523-A184-8ABFEDE45010}"/>
    <hyperlink ref="B82" r:id="rId71" xr:uid="{897A8749-9826-4D88-BFA6-0143B9987B52}"/>
    <hyperlink ref="B83" r:id="rId72" xr:uid="{341AE9F4-F313-4D63-ABF2-541E55C2D65D}"/>
    <hyperlink ref="B84" r:id="rId73" xr:uid="{5A1A391A-718F-4C08-B006-7DACA541B09F}"/>
    <hyperlink ref="B85" r:id="rId74" xr:uid="{B2BEFF31-E5B3-4069-A64B-80EE52763C35}"/>
    <hyperlink ref="B86" r:id="rId75" xr:uid="{0FCB7974-F642-4E3F-AD03-B1C6F297747C}"/>
    <hyperlink ref="B87" r:id="rId76" xr:uid="{BE0AFA6E-3758-4702-AE54-8C604FF3DAA2}"/>
    <hyperlink ref="B88" r:id="rId77" xr:uid="{ABC190E4-F309-4999-8CC5-3CC32BEAE5D9}"/>
    <hyperlink ref="C88" r:id="rId78" xr:uid="{B7D2E893-DC6A-4E87-B44E-8D01E41A37C8}"/>
    <hyperlink ref="B90" r:id="rId79" xr:uid="{E4D121BA-5B07-4D24-8231-0B7DF81A734A}"/>
    <hyperlink ref="B91" r:id="rId80" xr:uid="{4BE2AC4D-C704-4C98-981C-E48D06A6E8FD}"/>
    <hyperlink ref="B92" r:id="rId81" xr:uid="{F53FB415-7DF2-43AA-9C0E-858D40A6DD0D}"/>
    <hyperlink ref="B93" r:id="rId82" xr:uid="{3B7FB50A-F7A5-499D-9C55-F5E50A98C3FD}"/>
    <hyperlink ref="B94" r:id="rId83" xr:uid="{C9272F8A-08B2-4563-AFA7-7E7F2925F93B}"/>
    <hyperlink ref="B95" r:id="rId84" xr:uid="{04EF0429-5A09-47EB-A695-BB5B2D16FFAC}"/>
    <hyperlink ref="B96" r:id="rId85" xr:uid="{F5A365A6-72C5-422C-A502-883656A61FFA}"/>
    <hyperlink ref="B98" r:id="rId86" xr:uid="{0081E591-E14B-4D71-A32F-AB99C4168526}"/>
    <hyperlink ref="B99" r:id="rId87" xr:uid="{A4AD5764-77DF-4D15-BC53-29EB10B30608}"/>
    <hyperlink ref="C99" r:id="rId88" xr:uid="{F5FB3A96-2B79-4479-8B3B-1B3F2C991D09}"/>
    <hyperlink ref="B100" r:id="rId89" xr:uid="{7B254B70-4B77-4D03-AD14-667637F4C1B2}"/>
    <hyperlink ref="B101" r:id="rId90" xr:uid="{F374CFF4-596B-464A-8AD7-62D2A02A0F8A}"/>
    <hyperlink ref="B102" r:id="rId91" xr:uid="{BA75BFB0-6E76-4FDA-A2FB-9E78E0698B45}"/>
    <hyperlink ref="B103" r:id="rId92" xr:uid="{695B4958-8354-4D59-8914-8854FDDA82DE}"/>
    <hyperlink ref="B104" r:id="rId93" xr:uid="{20A4FC01-7656-474C-9A4F-686A936BB5A2}"/>
    <hyperlink ref="B105" r:id="rId94" xr:uid="{47041233-7466-4599-9CA4-1FEAA4B7D3CD}"/>
    <hyperlink ref="B106" r:id="rId95" xr:uid="{4C02F9FE-2832-41B6-A499-52926E293681}"/>
    <hyperlink ref="B107" r:id="rId96" xr:uid="{91ADD6F0-5884-4E95-BBC7-1EF0C7CAEEC7}"/>
    <hyperlink ref="B108" r:id="rId97" xr:uid="{9949466F-A7C5-4B35-AC82-5DBF88A1944C}"/>
    <hyperlink ref="B109" r:id="rId98" xr:uid="{1CEFA38B-8C91-48C8-AEAB-5DC75052E74E}"/>
    <hyperlink ref="B110" r:id="rId99" xr:uid="{6009E04F-6A0B-477E-B0C5-058A8EB3EF3F}"/>
    <hyperlink ref="B111" r:id="rId100" xr:uid="{607C9333-773A-4ECD-8EE0-AA00122BBEF7}"/>
    <hyperlink ref="B112" r:id="rId101" xr:uid="{47D4CDD5-FB6D-4E90-8500-F20548223F50}"/>
    <hyperlink ref="B113" r:id="rId102" xr:uid="{B3BEAA94-69E8-464A-945B-8A386273EC3C}"/>
    <hyperlink ref="B114" r:id="rId103" xr:uid="{B7489727-70F5-464C-8F09-A363FAEF405A}"/>
    <hyperlink ref="B115" r:id="rId104" xr:uid="{209CEDB8-0FE8-4BA9-A0CE-879CF2F594AA}"/>
    <hyperlink ref="B116" r:id="rId105" xr:uid="{432D1067-FBE2-40D6-86F0-DE6E8A372810}"/>
    <hyperlink ref="B117" r:id="rId106" xr:uid="{F83A0F23-4700-4C1C-953D-AEA3138810B8}"/>
    <hyperlink ref="B118" r:id="rId107" xr:uid="{996795FC-F4BB-4241-984B-B6516E0506B5}"/>
    <hyperlink ref="B119" r:id="rId108" xr:uid="{3E51375A-8734-40FA-B81C-67FAC3663ED2}"/>
    <hyperlink ref="B120" r:id="rId109" xr:uid="{742463B1-2C81-48B8-870C-F221222A0B19}"/>
    <hyperlink ref="B121" r:id="rId110" xr:uid="{9CCDC41D-BB3E-4CBE-B528-D9BED00FA815}"/>
    <hyperlink ref="B122" r:id="rId111" xr:uid="{E7039F78-1C08-4637-B989-F3154DA23ED1}"/>
    <hyperlink ref="B123" r:id="rId112" xr:uid="{C52BA100-7A54-4188-8459-45BB5CC5190F}"/>
    <hyperlink ref="B124" r:id="rId113" xr:uid="{217900A5-ADDB-4549-A342-B61B519236D1}"/>
    <hyperlink ref="B125" r:id="rId114" xr:uid="{DC91388C-74C1-45E1-AC5B-07A8AB6EE692}"/>
    <hyperlink ref="B126" r:id="rId115" xr:uid="{4CCC0691-5DDE-4209-AEC6-D97AB3D8CEE4}"/>
    <hyperlink ref="B127" r:id="rId116" xr:uid="{764D8BD2-58D0-4574-89CB-BECA8E953E17}"/>
    <hyperlink ref="B128" r:id="rId117" xr:uid="{8E21D42D-F683-4ABD-BBF2-5D8C14C1D08B}"/>
    <hyperlink ref="B129" r:id="rId118" xr:uid="{D718FF5F-3FCF-40CF-BF18-F91CF6461942}"/>
    <hyperlink ref="B130" r:id="rId119" xr:uid="{3FB27911-CA4A-4A27-9024-19533CD59B30}"/>
    <hyperlink ref="B131" r:id="rId120" xr:uid="{268D3388-5066-4DAB-9F3F-7C8DAF7CC8F5}"/>
    <hyperlink ref="B132" r:id="rId121" xr:uid="{756C82D6-3D02-4356-8A65-DE69CFCDAFD8}"/>
    <hyperlink ref="B133" r:id="rId122" xr:uid="{9211F1AC-22DE-4242-9E4E-80E288EF627A}"/>
    <hyperlink ref="B134" r:id="rId123" xr:uid="{654BE178-F2FF-4881-9240-DC16BAA4593D}"/>
    <hyperlink ref="B135" r:id="rId124" xr:uid="{C44F0344-38AC-4A12-B2D3-64FF97A8865F}"/>
    <hyperlink ref="B136" r:id="rId125" xr:uid="{A6D81515-A6BC-4C61-967F-5686165A037E}"/>
    <hyperlink ref="B137" r:id="rId126" xr:uid="{B39AD5AD-20A5-4AA9-90A2-0191F200F234}"/>
    <hyperlink ref="B138" r:id="rId127" xr:uid="{B7DA799D-C87B-4A00-8CAD-0F32F9E99059}"/>
    <hyperlink ref="B139" r:id="rId128" xr:uid="{6609490A-B554-4E77-B030-986048A38AFD}"/>
    <hyperlink ref="B140" r:id="rId129" xr:uid="{4735C1C3-83A5-4D22-BBF0-83079E9CA223}"/>
    <hyperlink ref="B141" r:id="rId130" xr:uid="{DE88F6FA-C1C6-4450-B0C5-0BB92A089A47}"/>
    <hyperlink ref="B142" r:id="rId131" xr:uid="{C3AD668A-08E9-46FF-B5A0-738EA96356BA}"/>
    <hyperlink ref="B143" r:id="rId132" xr:uid="{A1FC68BA-734A-454B-B33F-912E7F7A23AD}"/>
    <hyperlink ref="B144" r:id="rId133" xr:uid="{B3304C92-C1A5-45D8-B5B4-DE8F1E217AF3}"/>
    <hyperlink ref="B145" r:id="rId134" xr:uid="{13D092B5-1DDC-458C-A82C-1B1BB19AEBA1}"/>
    <hyperlink ref="B146" r:id="rId135" xr:uid="{C49EA628-91E0-462B-9F42-4FDC79D6C652}"/>
    <hyperlink ref="B147" r:id="rId136" xr:uid="{D92C37AA-BB8F-4677-BD59-C51673A346CB}"/>
    <hyperlink ref="B148" r:id="rId137" xr:uid="{DD9D707B-E27F-4049-B2A3-B6F61108B492}"/>
    <hyperlink ref="B149" r:id="rId138" xr:uid="{4F050E24-7DE8-4C35-B8EE-DDDB0C221092}"/>
    <hyperlink ref="B150" r:id="rId139" xr:uid="{C5750BD8-802E-4BA6-889B-24232E812D42}"/>
    <hyperlink ref="B151" r:id="rId140" xr:uid="{38115612-4BF4-4DBD-8A58-FBBAC6A7ACC9}"/>
    <hyperlink ref="B152" r:id="rId141" xr:uid="{5F250882-2402-476F-9DE7-42BAA4C8C684}"/>
    <hyperlink ref="B153" r:id="rId142" xr:uid="{17C6E174-6DF1-4F3E-BF39-C03D751C733E}"/>
    <hyperlink ref="C153" r:id="rId143" xr:uid="{537792CE-70CC-4A3A-95AF-D18394822D29}"/>
    <hyperlink ref="B154" r:id="rId144" xr:uid="{9A8A33AA-5A64-4908-8845-2DDFCE7A196B}"/>
    <hyperlink ref="B155" r:id="rId145" xr:uid="{42A0633A-BC38-4141-A1E6-AEAC3DCE42D3}"/>
    <hyperlink ref="B156" r:id="rId146" xr:uid="{D490EF3A-2880-4D34-9ED8-2F3923E2A840}"/>
    <hyperlink ref="B157" r:id="rId147" xr:uid="{0885BC5F-CD71-4CE1-A421-EDB6C5C33851}"/>
    <hyperlink ref="B158" r:id="rId148" xr:uid="{7972D660-935C-40FE-89B7-895DD464B5EC}"/>
    <hyperlink ref="B159" r:id="rId149" xr:uid="{02953B40-4C74-4D83-AFB5-3347F1CC77A8}"/>
    <hyperlink ref="B160" r:id="rId150" xr:uid="{77FA2465-7E25-4224-A784-8123878CF013}"/>
    <hyperlink ref="C160" r:id="rId151" xr:uid="{835074E9-06CA-4B1E-8A56-EE1176AF7D36}"/>
    <hyperlink ref="B161" r:id="rId152" xr:uid="{08B7BB11-D782-4BA1-85FE-EDB76BB1B9E1}"/>
    <hyperlink ref="B162" r:id="rId153" xr:uid="{3869D136-0B51-4AB2-8EB8-1978AAF74384}"/>
    <hyperlink ref="B163" r:id="rId154" xr:uid="{2F478EA3-6F2C-4AAE-8B32-936690453B4E}"/>
    <hyperlink ref="B164" r:id="rId155" xr:uid="{133AD1E2-E07F-423E-8503-3D8A797EC1F4}"/>
    <hyperlink ref="B165" r:id="rId156" xr:uid="{0EED00A6-CF37-497A-A72C-DEFD57C4FA8E}"/>
    <hyperlink ref="B166" r:id="rId157" xr:uid="{EBFF506F-52A0-467A-956D-97FD5A968E2C}"/>
    <hyperlink ref="B167" r:id="rId158" xr:uid="{F82F199B-F114-4D33-8017-2E18A000314F}"/>
    <hyperlink ref="B168" r:id="rId159" xr:uid="{C4BAA140-82D2-417B-93A7-1F5070F1C81C}"/>
    <hyperlink ref="B169" r:id="rId160" xr:uid="{BA761DEB-8339-44D5-8839-819A5F80C198}"/>
    <hyperlink ref="B171" r:id="rId161" xr:uid="{7171F5D7-3EF3-4E2F-8E61-413EEFA5D804}"/>
    <hyperlink ref="B172" r:id="rId162" xr:uid="{0D07E959-AF26-4A1D-8414-0AB063BAFF83}"/>
    <hyperlink ref="B173" r:id="rId163" xr:uid="{25BFC0CF-2A27-4AAE-AC85-D06C0FCB75F6}"/>
    <hyperlink ref="B174" r:id="rId164" xr:uid="{0B87A652-BDAE-428A-B399-A7365988310E}"/>
    <hyperlink ref="B175" r:id="rId165" xr:uid="{688C913A-98E8-44DD-A8BB-1E2A0C5BD9DE}"/>
    <hyperlink ref="B176" r:id="rId166" xr:uid="{4B1EFD11-AFBA-4FB9-800D-3AC528E9E4C3}"/>
    <hyperlink ref="B177" r:id="rId167" xr:uid="{9090B2E9-14E2-4B21-A8D0-88E204CD163C}"/>
    <hyperlink ref="B178" r:id="rId168" xr:uid="{124D12FE-BEB2-48DB-9362-BDD0D13596B0}"/>
    <hyperlink ref="B179" r:id="rId169" xr:uid="{191A788F-5AA6-4854-8BEA-E439F86ACE6F}"/>
    <hyperlink ref="B180" r:id="rId170" xr:uid="{F34B2C2C-AED8-4AB8-9A9E-10DAD5C9E7DF}"/>
    <hyperlink ref="B181" r:id="rId171" xr:uid="{5BEF1F2F-972F-4593-BAE7-ADAB981FFC26}"/>
    <hyperlink ref="B182" r:id="rId172" xr:uid="{E9B9518B-A6E1-40EB-9EB5-DABA17A71FD3}"/>
    <hyperlink ref="B183" r:id="rId173" xr:uid="{E4213D59-8AA7-44C7-85C1-95981A57253B}"/>
    <hyperlink ref="B184" r:id="rId174" xr:uid="{422A9633-4727-4408-8F35-3CD06CDB5EB6}"/>
    <hyperlink ref="B185" r:id="rId175" xr:uid="{0873699F-CF38-4598-A601-2342803BD0B9}"/>
    <hyperlink ref="B186" r:id="rId176" xr:uid="{11EDD132-7744-4D42-B6F8-DC9363FB6C76}"/>
    <hyperlink ref="B187" r:id="rId177" xr:uid="{8787561A-34BC-4883-B7EF-601DED185A82}"/>
    <hyperlink ref="B188" r:id="rId178" xr:uid="{D0C0BDCB-212A-4D73-A5CB-E509A1A1E72C}"/>
    <hyperlink ref="B189" r:id="rId179" xr:uid="{2299C19E-53DF-4ADF-9A50-4B959693D7DE}"/>
    <hyperlink ref="B190" r:id="rId180" xr:uid="{AB803131-891D-48E6-91F0-80C9EE23E587}"/>
    <hyperlink ref="B191" r:id="rId181" xr:uid="{6F569942-C384-4877-8B3F-D3093C5A2425}"/>
    <hyperlink ref="B192" r:id="rId182" xr:uid="{EBC72B12-D82C-4755-B3D0-016962DB3645}"/>
    <hyperlink ref="B193" r:id="rId183" xr:uid="{0DBF5DEF-E539-40CF-909D-0253089F7129}"/>
    <hyperlink ref="B194" r:id="rId184" xr:uid="{0C96CA4A-6EC0-4163-8A1A-5AC4F0C8F640}"/>
    <hyperlink ref="B195" r:id="rId185" xr:uid="{4A1F4471-68FB-40C0-BD6C-33064BD1ED7B}"/>
    <hyperlink ref="B196" r:id="rId186" xr:uid="{774455C0-DC9D-4870-AECF-BF6183C14CCB}"/>
    <hyperlink ref="B197" r:id="rId187" xr:uid="{D05E92F9-6888-4038-A657-EF3A4720B2AC}"/>
    <hyperlink ref="B198" r:id="rId188" xr:uid="{AB193A7C-7A2D-4A29-BD60-FAF770465D63}"/>
    <hyperlink ref="B199" r:id="rId189" xr:uid="{89A8DC59-6C72-403A-95D5-C1C25F7D745F}"/>
    <hyperlink ref="B200" r:id="rId190" xr:uid="{6DBB2B53-AE6C-4EE8-8296-9DEDFED8AAC6}"/>
    <hyperlink ref="B201" r:id="rId191" xr:uid="{2B290644-4CF8-4DD2-88CB-5EAD0023DD1A}"/>
    <hyperlink ref="B202" r:id="rId192" xr:uid="{C0DF966F-4832-4641-BAD6-45CBF62C6987}"/>
    <hyperlink ref="B203" r:id="rId193" xr:uid="{ACEC261A-E480-41AD-A5F0-A1CA049A7FAA}"/>
    <hyperlink ref="B204" r:id="rId194" xr:uid="{87B008B1-94F6-4ADB-BA29-4E3CC670F0B4}"/>
    <hyperlink ref="C204" r:id="rId195" xr:uid="{80A9A68F-D980-4448-940A-F6118F5A529E}"/>
    <hyperlink ref="B205" r:id="rId196" xr:uid="{D4A9BF68-6CF3-4500-889B-316F10731130}"/>
    <hyperlink ref="C205" r:id="rId197" xr:uid="{72FB12B3-EE08-4960-8103-4D493DED90DC}"/>
    <hyperlink ref="B206" r:id="rId198" xr:uid="{70D588A2-DBBC-4C94-9FAB-F481665B0CB2}"/>
    <hyperlink ref="B207" r:id="rId199" xr:uid="{51F3853A-DA73-4E58-85AC-39E38297066D}"/>
    <hyperlink ref="B208" r:id="rId200" xr:uid="{CB3B4D74-1715-45B7-BBC2-5F82C5D0A6AF}"/>
    <hyperlink ref="B209" r:id="rId201" xr:uid="{807698F8-28C1-4105-9ECC-2EDD9325E20E}"/>
    <hyperlink ref="B210" r:id="rId202" xr:uid="{0F1D61AA-302B-40F7-8C34-FFE1219CE527}"/>
    <hyperlink ref="B211" r:id="rId203" xr:uid="{8FD21AF4-18C9-49AB-9D1D-506B903765D6}"/>
    <hyperlink ref="B212" r:id="rId204" xr:uid="{19BC785B-9FB9-46E1-9492-19FF6A266A2E}"/>
    <hyperlink ref="B213" r:id="rId205" xr:uid="{56341B81-B6F5-49BF-8535-F2BF41F6971D}"/>
    <hyperlink ref="B214" r:id="rId206" xr:uid="{6419A0A2-EE02-472D-A6F6-B53A60FC73DF}"/>
    <hyperlink ref="B215" r:id="rId207" xr:uid="{2F18678D-2E53-4E82-A8CF-BE4C02E9B68F}"/>
    <hyperlink ref="B216" r:id="rId208" xr:uid="{18FA3631-D13D-4A86-A1E3-617F9F84D679}"/>
    <hyperlink ref="B217" r:id="rId209" xr:uid="{3C52317E-03AE-41B1-8451-CEE7080A25E7}"/>
    <hyperlink ref="B218" r:id="rId210" xr:uid="{61970EE1-B5BA-47D6-BEFE-47E52BD9992A}"/>
    <hyperlink ref="B219" r:id="rId211" xr:uid="{46B749CF-D842-4E57-9E2B-76834D8FC48B}"/>
    <hyperlink ref="B220" r:id="rId212" xr:uid="{249AC508-013F-4AE1-9921-49EE096F4C47}"/>
    <hyperlink ref="B221" r:id="rId213" xr:uid="{730909D1-DD05-4203-98DF-644132506868}"/>
    <hyperlink ref="B222" r:id="rId214" xr:uid="{B62318A0-378C-486D-B9C4-AACC161E650C}"/>
    <hyperlink ref="C222" r:id="rId215" xr:uid="{0F265DE0-E0B0-4378-8527-046D0499C6B1}"/>
    <hyperlink ref="B223" r:id="rId216" xr:uid="{B2C947CB-1641-42ED-B056-13E06A23060F}"/>
    <hyperlink ref="B224" r:id="rId217" xr:uid="{9344ED03-E65E-4DBE-B617-9F6B96B1B9AF}"/>
    <hyperlink ref="B225" r:id="rId218" xr:uid="{16ECD5D3-D481-4942-B8FE-75F6E67FC2BF}"/>
    <hyperlink ref="B226" r:id="rId219" xr:uid="{9D9D2EEE-260C-4638-B1E0-E546BD97CCFB}"/>
    <hyperlink ref="B227" r:id="rId220" xr:uid="{4F02CF40-C6CF-433C-9830-8E7570486626}"/>
    <hyperlink ref="B228" r:id="rId221" xr:uid="{B22F195D-E485-4DE0-900C-A60F63A8E0D0}"/>
    <hyperlink ref="B229" r:id="rId222" xr:uid="{B4C56AE0-5B9A-4583-832D-E1884684379D}"/>
    <hyperlink ref="B230" r:id="rId223" xr:uid="{12CFA4FA-5A1A-43B2-B466-D5EF57ACFEF1}"/>
    <hyperlink ref="B231" r:id="rId224" xr:uid="{4CE06F70-E4F7-4CA4-A1D8-2054DAAC8CE8}"/>
    <hyperlink ref="B232" r:id="rId225" xr:uid="{B9C9C94A-EC04-4477-B2FD-1FAC0B3270E2}"/>
    <hyperlink ref="B234" r:id="rId226" xr:uid="{030611F3-330D-42C5-8AD0-12BE6C673EB2}"/>
    <hyperlink ref="C234" r:id="rId227" xr:uid="{8899C966-8D2C-474B-8473-A67BB1C4103C}"/>
    <hyperlink ref="B235" r:id="rId228" xr:uid="{77DFF876-BE66-43B8-9A50-CF2B52B4B68C}"/>
    <hyperlink ref="B236" r:id="rId229" xr:uid="{05A1DB29-D4D6-4B27-B73D-75ABC736F03C}"/>
    <hyperlink ref="B237" r:id="rId230" xr:uid="{0220BB1A-73B4-40A4-BF94-B2113B5B4662}"/>
    <hyperlink ref="B238" r:id="rId231" xr:uid="{0E13E708-84FA-47F7-AD0B-C3F7C15FFB62}"/>
    <hyperlink ref="B239" r:id="rId232" xr:uid="{7B68C096-0895-48F4-BF12-FEB1ED750CA8}"/>
    <hyperlink ref="B240" r:id="rId233" xr:uid="{CCE7B824-3F58-42B0-8720-BCD7DD4888D9}"/>
    <hyperlink ref="B241" r:id="rId234" xr:uid="{DD3EA1DF-E7C5-48B8-A8A4-682C2496AA90}"/>
    <hyperlink ref="B242" r:id="rId235" xr:uid="{29D69B95-5DF7-4391-956A-D4FD6747781B}"/>
    <hyperlink ref="B243" r:id="rId236" xr:uid="{03E6A4DF-49A5-4E13-ACB4-C60668015D36}"/>
    <hyperlink ref="B244" r:id="rId237" xr:uid="{1B8D9316-42B9-4755-9B8A-A37BCB59A9EE}"/>
    <hyperlink ref="B245" r:id="rId238" xr:uid="{EF3A173E-EA69-4801-AE74-A95562821790}"/>
    <hyperlink ref="B246" r:id="rId239" xr:uid="{C88DD256-63E4-4BCD-A3ED-AA8A8F61B8CC}"/>
    <hyperlink ref="B247" r:id="rId240" xr:uid="{60B90B46-D011-4305-A458-7CA922EE41E3}"/>
    <hyperlink ref="B248" r:id="rId241" xr:uid="{C24D82EA-DE6B-4C28-AEA2-FD6A60329AE4}"/>
    <hyperlink ref="B249" r:id="rId242" xr:uid="{5F42F282-B91F-4326-9099-BC338ADA7F16}"/>
    <hyperlink ref="B250" r:id="rId243" xr:uid="{4B70ABB7-3644-42FB-9374-C46756C986B7}"/>
    <hyperlink ref="B251" r:id="rId244" xr:uid="{FDF9177F-FA2C-4D84-A2F8-813C39BF91E3}"/>
    <hyperlink ref="B252" r:id="rId245" xr:uid="{38C49E32-0C6A-4874-8A01-E7053ED3CBE4}"/>
    <hyperlink ref="B253" r:id="rId246" xr:uid="{AC0D5C7D-D463-4752-BDFF-33823FFD3CF1}"/>
    <hyperlink ref="B254" r:id="rId247" xr:uid="{15BB9667-169C-4DB2-BFAD-2328CECD2057}"/>
    <hyperlink ref="B255" r:id="rId248" xr:uid="{61F752A6-E118-4877-8A6D-1173266E9888}"/>
    <hyperlink ref="B256" r:id="rId249" xr:uid="{968B1091-E3DD-40F4-BAD6-9995665686B6}"/>
    <hyperlink ref="B257" r:id="rId250" xr:uid="{E40300D6-7627-4FBD-B519-8AE1F59BAB4C}"/>
    <hyperlink ref="B258" r:id="rId251" xr:uid="{D0BFAE67-9B41-4A0C-A257-D9442FA4DDB0}"/>
    <hyperlink ref="B259" r:id="rId252" xr:uid="{61FA6F07-C58C-4F51-8B3E-CA7F1939C2C3}"/>
    <hyperlink ref="B260" r:id="rId253" xr:uid="{A55C92D3-1F94-4F52-9D75-762EC921C59F}"/>
    <hyperlink ref="B261" r:id="rId254" xr:uid="{2D8659B4-2AF6-487E-B143-5070D03B0C08}"/>
    <hyperlink ref="B262" r:id="rId255" xr:uid="{C7E7C337-2132-4A13-A6AE-378BBD5DEC74}"/>
    <hyperlink ref="B263" r:id="rId256" xr:uid="{C3EA886A-760E-4A39-B0E7-EF3B2A1D9867}"/>
    <hyperlink ref="B264" r:id="rId257" xr:uid="{319D2F0A-DAC3-410F-9A73-E41AF29A6B09}"/>
    <hyperlink ref="B266" r:id="rId258" xr:uid="{F58E4D7D-5BEA-4939-ADB4-B8B2885DE0FC}"/>
    <hyperlink ref="B267" r:id="rId259" xr:uid="{05D1D3FE-7A45-44E3-B831-14D3B4082D3E}"/>
    <hyperlink ref="B268" r:id="rId260" xr:uid="{AB53599C-3367-4660-8A53-3E45D8B291AF}"/>
    <hyperlink ref="B269" r:id="rId261" xr:uid="{A4625030-8844-4CD4-8E2D-07301A922A25}"/>
    <hyperlink ref="B270" r:id="rId262" xr:uid="{7AD86123-EC30-4EC4-BAD7-5E52469C06A6}"/>
    <hyperlink ref="B271" r:id="rId263" xr:uid="{86A33BD9-F7EC-4249-8654-91A6AF820155}"/>
    <hyperlink ref="B272" r:id="rId264" xr:uid="{883C980D-BD6D-480C-8600-A14EDB64ED1F}"/>
    <hyperlink ref="B273" r:id="rId265" xr:uid="{2DC73B92-7344-4609-AF23-A20B39A606A7}"/>
    <hyperlink ref="B274" r:id="rId266" xr:uid="{79A7C031-4D0B-40D1-8013-88D4A062DBB2}"/>
    <hyperlink ref="B275" r:id="rId267" xr:uid="{DD0B4DA0-CCF6-48FC-B4F0-E8C1DA3FE5B8}"/>
    <hyperlink ref="B276" r:id="rId268" xr:uid="{76A8D342-C1AD-446A-BB3B-99A1CE0C9102}"/>
    <hyperlink ref="B277" r:id="rId269" xr:uid="{1B10CC4E-3AD0-4F96-A942-C8A3109F85DE}"/>
    <hyperlink ref="B278" r:id="rId270" xr:uid="{DA32A64E-AC06-4D43-B4AC-D1536258C061}"/>
    <hyperlink ref="B279" r:id="rId271" xr:uid="{9870CD34-E101-43D4-9F2D-4392939F9C9D}"/>
    <hyperlink ref="B280" r:id="rId272" xr:uid="{B4C49B94-2D4E-47F7-9F66-108A0099D143}"/>
    <hyperlink ref="B281" r:id="rId273" xr:uid="{FA274D47-4A39-4076-9CF6-02FB2D0276DE}"/>
    <hyperlink ref="B282" r:id="rId274" xr:uid="{872BDE5F-BA71-4DDA-BF78-1A8F208FED53}"/>
    <hyperlink ref="B283" r:id="rId275" xr:uid="{0001C146-573E-42D1-935A-1BFE345C41BE}"/>
    <hyperlink ref="B284" r:id="rId276" xr:uid="{001B69B2-0A3F-4DA1-8110-9C526F29B6A3}"/>
    <hyperlink ref="B285" r:id="rId277" xr:uid="{780CFCF1-F9C5-4112-8412-1F0F0A974B29}"/>
    <hyperlink ref="B286" r:id="rId278" xr:uid="{5000D438-E82D-4CB1-A979-85A715B89C9E}"/>
    <hyperlink ref="B287" r:id="rId279" xr:uid="{63EE58B5-D3E2-4AC1-AD7A-CD482F0B001F}"/>
    <hyperlink ref="B288" r:id="rId280" xr:uid="{2AEF7C56-72CE-4BE6-A31F-BD6BBBA2C00B}"/>
    <hyperlink ref="B289" r:id="rId281" xr:uid="{D3C13560-4DAE-4BB3-BD76-B4E286709C64}"/>
    <hyperlink ref="B290" r:id="rId282" xr:uid="{8E83C622-5241-4088-AC9F-F09D4C26C21D}"/>
    <hyperlink ref="B291" r:id="rId283" xr:uid="{E3A523DC-6567-45DD-9CAD-9566B71A4D89}"/>
    <hyperlink ref="B292" r:id="rId284" xr:uid="{7D323DBC-E115-41E1-8FEE-1F02137737A5}"/>
    <hyperlink ref="B293" r:id="rId285" xr:uid="{146BF21B-D7AD-42E7-B8AF-0F63F176590C}"/>
    <hyperlink ref="B294" r:id="rId286" xr:uid="{F3C76EE5-4030-41B9-B33F-935F11046189}"/>
    <hyperlink ref="B295" r:id="rId287" xr:uid="{CB54C8DD-59BE-4747-84F1-1F375FD930AD}"/>
    <hyperlink ref="B296" r:id="rId288" xr:uid="{B10ACF40-8CDA-4DB1-8476-AB69F848F203}"/>
    <hyperlink ref="B297" r:id="rId289" xr:uid="{EE815B90-6EA6-4438-AE58-1C9BAF4C5AA7}"/>
    <hyperlink ref="B298" r:id="rId290" xr:uid="{035E5F0B-5191-4FA1-8E1C-0BBB5E599372}"/>
    <hyperlink ref="B299" r:id="rId291" xr:uid="{64C51FFC-9495-442B-85E2-F2FC31C5FE04}"/>
    <hyperlink ref="B300" r:id="rId292" xr:uid="{06A8DF20-4952-492E-AAA6-BF9FB3E8E1B7}"/>
    <hyperlink ref="B301" r:id="rId293" xr:uid="{F5947321-B228-4986-8875-D80D860F5C01}"/>
    <hyperlink ref="B302" r:id="rId294" xr:uid="{C29851FA-3E39-4F75-BB27-40AE78B584AC}"/>
    <hyperlink ref="B303" r:id="rId295" xr:uid="{D29CA22A-A614-4D4D-92E7-BA20C89F3D6C}"/>
    <hyperlink ref="B304" r:id="rId296" xr:uid="{8F089ECC-E146-438E-9EE9-FFCB5E1E4040}"/>
    <hyperlink ref="B305" r:id="rId297" xr:uid="{5344613F-EB87-42F9-AD3B-20B8A9DA14CB}"/>
    <hyperlink ref="B306" r:id="rId298" xr:uid="{B3753FB9-15E1-4ACA-846A-EEE4976FF9F0}"/>
    <hyperlink ref="B307" r:id="rId299" xr:uid="{95C44E3A-FD0F-4BA6-A3B9-EA2C6F23C8C3}"/>
    <hyperlink ref="B308" r:id="rId300" xr:uid="{F2D064A5-06CD-42C3-9CBF-615C0CFD14D7}"/>
    <hyperlink ref="B309" r:id="rId301" xr:uid="{5F8E13DF-73C6-43BF-B45B-05DB55B4B402}"/>
    <hyperlink ref="B310" r:id="rId302" xr:uid="{155165D9-700D-4E29-8B8A-A373EA4E3B72}"/>
    <hyperlink ref="B311" r:id="rId303" xr:uid="{2D7CDA41-3235-4C4E-95C5-380495AC6587}"/>
    <hyperlink ref="C311" r:id="rId304" xr:uid="{0240FCC2-AA8E-44AF-B5E1-BDB888009F1E}"/>
    <hyperlink ref="B312" r:id="rId305" xr:uid="{7455D330-9867-4E17-909D-88AE5A3BE964}"/>
    <hyperlink ref="B313" r:id="rId306" xr:uid="{6EADC82D-8158-47E0-931E-27DD79313BAA}"/>
    <hyperlink ref="B314" r:id="rId307" xr:uid="{4B6C7314-FE50-4872-B1DA-7F940EA97E22}"/>
    <hyperlink ref="B315" r:id="rId308" xr:uid="{E6F7D80A-2C2A-4C11-A2AF-5299AFBA2106}"/>
    <hyperlink ref="B316" r:id="rId309" xr:uid="{BAC0A92A-1B11-4F70-A01F-087BF7E3933B}"/>
    <hyperlink ref="B317" r:id="rId310" xr:uid="{A2B62EF2-2199-439C-8C8D-E189109019C6}"/>
    <hyperlink ref="B318" r:id="rId311" xr:uid="{4895824C-1804-4286-89BB-0ECE6CF13FDB}"/>
    <hyperlink ref="B319" r:id="rId312" xr:uid="{B4522B75-6CBB-4502-81B5-1EE8CCBFFCD9}"/>
    <hyperlink ref="B320" r:id="rId313" xr:uid="{4CC3FAC2-2F86-4BE1-B374-0FD0ABF7F2E3}"/>
    <hyperlink ref="B321" r:id="rId314" xr:uid="{90813C49-FA17-4B49-AACB-7ACEC34AAAC8}"/>
    <hyperlink ref="B322" r:id="rId315" xr:uid="{E140F92F-7463-49D0-8F4E-DB5EF9B12069}"/>
    <hyperlink ref="B323" r:id="rId316" xr:uid="{C5310608-C80B-4932-AB14-8DCB60F9D9D8}"/>
    <hyperlink ref="B324" r:id="rId317" xr:uid="{3C7936B7-A75E-472B-B6FE-FED6DDC14DAF}"/>
    <hyperlink ref="B325" r:id="rId318" xr:uid="{7FCE28EF-E2F9-4A30-A181-D39CA695B5A7}"/>
    <hyperlink ref="B326" r:id="rId319" xr:uid="{4276B32C-93A9-449A-91DF-551198CAF483}"/>
    <hyperlink ref="B327" r:id="rId320" xr:uid="{1E5F8888-1514-488D-806E-B85139DE8242}"/>
    <hyperlink ref="B328" r:id="rId321" xr:uid="{D5A858E4-13AD-4D3A-A4A5-E33D99636268}"/>
    <hyperlink ref="B329" r:id="rId322" xr:uid="{3440F014-0BCF-49E8-B0A4-AEEE86627124}"/>
    <hyperlink ref="B330" r:id="rId323" xr:uid="{530AC7A2-29FF-4862-959E-951692072563}"/>
    <hyperlink ref="B331" r:id="rId324" xr:uid="{36EE9EA1-EDBD-4773-9E83-B51BB4B0E2A7}"/>
    <hyperlink ref="B332" r:id="rId325" xr:uid="{326EEB56-8657-442F-AA36-949C8798AF90}"/>
    <hyperlink ref="B333" r:id="rId326" xr:uid="{AF2B39CA-7333-4776-9A3C-656B2F168C64}"/>
    <hyperlink ref="B334" r:id="rId327" xr:uid="{6FBC5CF6-0770-40E5-A450-5AFC6D329E71}"/>
    <hyperlink ref="B335" r:id="rId328" xr:uid="{C63E264F-F6B6-4D0E-A3D7-666D57BA8E41}"/>
    <hyperlink ref="B336" r:id="rId329" xr:uid="{3A62C8F1-4E2D-4643-93A6-83B822C730B9}"/>
    <hyperlink ref="B337" r:id="rId330" xr:uid="{E272061D-43FA-4479-AF52-33843BF71CA6}"/>
    <hyperlink ref="B338" r:id="rId331" xr:uid="{F21B15C2-54F9-4C3E-BD51-BE17C08B364B}"/>
    <hyperlink ref="B339" r:id="rId332" xr:uid="{0871EB70-5ABD-499F-B932-98ADA5EF09BC}"/>
    <hyperlink ref="B340" r:id="rId333" xr:uid="{458A0822-B7AA-4D74-A18D-19D1AA1F2023}"/>
    <hyperlink ref="B341" r:id="rId334" xr:uid="{21C4DAD4-DD77-4216-BAD7-7CA2CEDE40A3}"/>
    <hyperlink ref="B342" r:id="rId335" xr:uid="{C59E554E-661F-420A-B9C5-A5DB100924EB}"/>
    <hyperlink ref="B343" r:id="rId336" xr:uid="{00D58BB7-3048-44F8-9A37-09B9CDC3BB0B}"/>
    <hyperlink ref="B344" r:id="rId337" xr:uid="{1C736284-99A7-4C2E-903F-C5A188FF3358}"/>
    <hyperlink ref="B346" r:id="rId338" xr:uid="{04F1C66B-FCA8-4A7E-A913-01EA64B813F9}"/>
    <hyperlink ref="B347" r:id="rId339" xr:uid="{8BAD02ED-BC12-4593-B66E-E78A4EC42B2A}"/>
    <hyperlink ref="B348" r:id="rId340" xr:uid="{C02CC17A-124D-422E-8AD8-93F2D55786AD}"/>
    <hyperlink ref="B349" r:id="rId341" xr:uid="{B59CDADA-8921-45D6-9887-CB5567B6069E}"/>
    <hyperlink ref="B350" r:id="rId342" xr:uid="{029E1342-6289-42AD-AAEB-E15C6BAF6B48}"/>
    <hyperlink ref="B351" r:id="rId343" xr:uid="{8BF43C1C-BFDF-4474-9D5F-243BF1D6FC86}"/>
    <hyperlink ref="B352" r:id="rId344" xr:uid="{FD4B44C3-9D50-4A89-B95D-88B5F974B5F6}"/>
    <hyperlink ref="B353" r:id="rId345" xr:uid="{C0BB620E-4639-4F42-B179-0148465F2DBE}"/>
    <hyperlink ref="B354" r:id="rId346" xr:uid="{DFD16AA5-B279-47A2-B481-627A340CE1F6}"/>
    <hyperlink ref="B355" r:id="rId347" xr:uid="{CCA24CE3-3160-4ADB-972D-A6840D0CCF5B}"/>
    <hyperlink ref="B356" r:id="rId348" xr:uid="{186B0A4D-D7AF-436A-8A1E-9FCA048E8FCB}"/>
    <hyperlink ref="B357" r:id="rId349" xr:uid="{84B65C21-3447-40E0-B602-DB116AE55BED}"/>
    <hyperlink ref="B358" r:id="rId350" xr:uid="{BCAA7725-2A2D-486D-AD4E-91CD1F0E0D19}"/>
    <hyperlink ref="B359" r:id="rId351" xr:uid="{9B0EDAF6-CFE0-4B3C-B963-9CDFDCF2F515}"/>
    <hyperlink ref="B360" r:id="rId352" xr:uid="{94BCBA07-3C1B-4F78-A327-F42DCABACE37}"/>
    <hyperlink ref="B361" r:id="rId353" xr:uid="{EF324A27-9D58-4FBF-B889-019ADDB008C9}"/>
    <hyperlink ref="B362" r:id="rId354" xr:uid="{BBF0A229-910F-46E0-81AB-46EC4C44BBFA}"/>
    <hyperlink ref="B363" r:id="rId355" xr:uid="{F9DCB8D0-0167-4520-A0D9-8B94A8F721AB}"/>
    <hyperlink ref="B364" r:id="rId356" xr:uid="{7700401F-92C7-47AB-B840-F0720A784110}"/>
    <hyperlink ref="B365" r:id="rId357" xr:uid="{A2DB167A-A463-4A50-89EA-7D7EBF7AA8B1}"/>
    <hyperlink ref="B366" r:id="rId358" xr:uid="{184147EB-67E1-4048-8211-CDABC95BED73}"/>
    <hyperlink ref="B367" r:id="rId359" xr:uid="{AB1C77AA-25D4-4126-BD3D-D8E111C6F6B4}"/>
    <hyperlink ref="B368" r:id="rId360" xr:uid="{0F65655D-6309-4D7B-B7E8-7AFF374D5058}"/>
    <hyperlink ref="B369" r:id="rId361" xr:uid="{E87BF542-1A34-4E99-98EE-C68E94267FE3}"/>
    <hyperlink ref="B370" r:id="rId362" xr:uid="{E5D29815-2D81-47CB-8116-E5F4894CF60E}"/>
    <hyperlink ref="B371" r:id="rId363" xr:uid="{30FC1078-6DFE-4839-9F78-6E9F45BE573F}"/>
    <hyperlink ref="B372" r:id="rId364" xr:uid="{5F683875-1E7E-4EF8-BD8A-595C347F0962}"/>
    <hyperlink ref="B373" r:id="rId365" xr:uid="{F92B53C4-532F-4FC7-BBF0-3A6BE28BA599}"/>
    <hyperlink ref="B374" r:id="rId366" xr:uid="{6F691E63-8B36-4CB9-9827-1C0C58662D1A}"/>
    <hyperlink ref="B375" r:id="rId367" xr:uid="{F45ACA9C-06B5-41BC-89A1-3E83B16D49C9}"/>
    <hyperlink ref="B376" r:id="rId368" xr:uid="{76D7AAB6-86EE-4B51-9077-9E82660A5F43}"/>
    <hyperlink ref="B377" r:id="rId369" xr:uid="{ECDC512A-01B0-441B-8569-78289DFE25D7}"/>
    <hyperlink ref="B378" r:id="rId370" xr:uid="{8EEF3751-AD5D-44BC-A6CA-DC701BE36D4B}"/>
    <hyperlink ref="B379" r:id="rId371" xr:uid="{8A27106F-3914-4569-BC72-E4F26F0B33E6}"/>
    <hyperlink ref="B384" r:id="rId372" display="Philips 65&quot; 4K Ambilight LED TV (65PUS8548/62)" xr:uid="{7952327E-D4F0-40ED-9B8E-57C3D660CD67}"/>
    <hyperlink ref="C384" r:id="rId373" xr:uid="{BF7FD05F-522A-49B0-A082-73B798A87F87}"/>
    <hyperlink ref="B386" r:id="rId374" xr:uid="{7AD8E0F1-E230-4249-B335-2F9F769A3625}"/>
    <hyperlink ref="B387" r:id="rId375" xr:uid="{3EBF2652-BAE6-49B9-BCEE-2358226F229B}"/>
    <hyperlink ref="B388" r:id="rId376" xr:uid="{BF434AAE-6801-45BF-AE07-97B806796DC3}"/>
    <hyperlink ref="C388" r:id="rId377" xr:uid="{AC9F50ED-C9BE-4B0D-8989-4EFF9C4D27C6}"/>
    <hyperlink ref="B389" r:id="rId378" xr:uid="{990F72B8-E6FC-40C7-9F1D-7175FB2F28EC}"/>
    <hyperlink ref="B390" r:id="rId379" xr:uid="{1EDFC812-0954-4033-9582-47E226036E9D}"/>
    <hyperlink ref="B391" r:id="rId380" xr:uid="{547E529C-9F5D-48CF-8A80-7B33CEEB6A32}"/>
    <hyperlink ref="B392" r:id="rId381" xr:uid="{87C9E258-B603-485E-8A50-804B3618E14D}"/>
    <hyperlink ref="B393" r:id="rId382" xr:uid="{17BFA3FE-3573-498F-955B-30E32F2C58D5}"/>
    <hyperlink ref="B394" r:id="rId383" xr:uid="{814D478E-FBF7-41EE-B0FC-6FE173DBDD6B}"/>
    <hyperlink ref="B395" r:id="rId384" xr:uid="{A07291AB-F1C1-44EB-B7C0-910C11640CA7}"/>
    <hyperlink ref="B396" r:id="rId385" xr:uid="{EF490CB2-FAD5-4B2B-8DD0-B5F3ED2E232C}"/>
    <hyperlink ref="B397" r:id="rId386" xr:uid="{E9940EE0-5652-4958-B2E9-66769ABB1AC1}"/>
    <hyperlink ref="B398" r:id="rId387" xr:uid="{5A50EAE9-8615-4234-91B7-1380F942BBE2}"/>
    <hyperlink ref="B399" r:id="rId388" xr:uid="{EB82A5A6-E656-40F8-A24A-BB54A67C57F6}"/>
    <hyperlink ref="B400" r:id="rId389" xr:uid="{74B5CE49-EAAF-4733-831D-758840D11AD1}"/>
    <hyperlink ref="B401" r:id="rId390" xr:uid="{48F5C105-CE41-471E-9697-C01F8B8B2C08}"/>
    <hyperlink ref="B402" r:id="rId391" xr:uid="{45F55DFA-B9AD-49C6-ADA5-DBA3315FA806}"/>
    <hyperlink ref="B403" r:id="rId392" xr:uid="{E68D0070-D41E-40AC-82A1-FEDF76751C32}"/>
    <hyperlink ref="B404" r:id="rId393" xr:uid="{C140E9CE-F151-4A29-8A56-F802462B9223}"/>
    <hyperlink ref="B405" r:id="rId394" xr:uid="{0E490AA8-4758-4070-A46A-3C239240209D}"/>
    <hyperlink ref="B406" r:id="rId395" xr:uid="{B0661029-D33C-48E1-895E-13249129F789}"/>
    <hyperlink ref="B407" r:id="rId396" xr:uid="{01367AF0-A699-4B75-8EA0-6D295678B42E}"/>
    <hyperlink ref="B408" r:id="rId397" xr:uid="{CFBC6ABE-E9E0-425B-AF7D-3CAC67D53C37}"/>
    <hyperlink ref="B409" r:id="rId398" xr:uid="{4CB8B836-C192-4D6E-A354-C4D972AC7908}"/>
    <hyperlink ref="B410" r:id="rId399" xr:uid="{58C850F4-C559-4D81-9AF9-87418E6E5ABB}"/>
    <hyperlink ref="B411" r:id="rId400" xr:uid="{AE194092-2AE5-4DD8-9309-B5618E8BE102}"/>
    <hyperlink ref="B412" r:id="rId401" xr:uid="{EF842AF7-C3CC-4A75-8C20-A2E35839A9D6}"/>
    <hyperlink ref="B413" r:id="rId402" xr:uid="{0EA3437C-A255-4316-BA00-4681C14E8F27}"/>
    <hyperlink ref="B414" r:id="rId403" xr:uid="{EC80EA34-10E4-4667-A7A2-799AB909F74F}"/>
    <hyperlink ref="B415" r:id="rId404" xr:uid="{B134E808-67EF-4491-A90F-01CA45D6741C}"/>
    <hyperlink ref="B416" r:id="rId405" xr:uid="{8C97D494-F7E1-4DCC-A97D-47FBCE609A76}"/>
    <hyperlink ref="B417" r:id="rId406" xr:uid="{1C49AD4E-81C9-4DD8-9E9F-B5D2A289B2BF}"/>
    <hyperlink ref="B418" r:id="rId407" xr:uid="{2C884B47-C037-45FE-87F4-7DAA9C570FF2}"/>
    <hyperlink ref="C418" r:id="rId408" xr:uid="{4C50AEBC-5B52-4E0E-A52D-1A895EC24266}"/>
    <hyperlink ref="B419" r:id="rId409" xr:uid="{2C105D7A-68A8-46AB-970A-627FD7425C16}"/>
    <hyperlink ref="C419" r:id="rId410" xr:uid="{435F61A1-79C7-4BE2-90A6-527631154B8D}"/>
    <hyperlink ref="B420" r:id="rId411" xr:uid="{8B17C106-4399-4424-BF4C-7684DBA129CC}"/>
    <hyperlink ref="B421" r:id="rId412" xr:uid="{970934E1-87CF-4DFF-AFDE-D76762EBE679}"/>
    <hyperlink ref="B422" r:id="rId413" xr:uid="{F5572DD4-0D9E-4932-9AFA-768672EC94A4}"/>
    <hyperlink ref="B423" r:id="rId414" xr:uid="{D02CFFA2-D8FE-40A8-949F-1C42C64857A6}"/>
    <hyperlink ref="B424" r:id="rId415" xr:uid="{D506419B-E3AA-4049-B582-23F415E527C6}"/>
    <hyperlink ref="B425" r:id="rId416" xr:uid="{EC111C56-84DB-41D3-A09C-85DC67B6B59B}"/>
    <hyperlink ref="B426" r:id="rId417" xr:uid="{A7FB6954-7BC2-45DE-8744-9856D3C0BC9F}"/>
    <hyperlink ref="B427" r:id="rId418" xr:uid="{01387686-2FCC-4A26-AC4E-A2FE9899772F}"/>
    <hyperlink ref="B428" r:id="rId419" xr:uid="{392E25C1-448F-44B7-8C8B-5E91242174D3}"/>
    <hyperlink ref="B429" r:id="rId420" xr:uid="{A1935E72-9858-4EBB-B7A2-47BD4F51C514}"/>
    <hyperlink ref="B430" r:id="rId421" xr:uid="{658ABD05-6782-4703-AC9B-2686470225C9}"/>
    <hyperlink ref="B431" r:id="rId422" xr:uid="{9251A1E1-4E73-4A16-A5BF-6AEAA02A8536}"/>
    <hyperlink ref="B432" r:id="rId423" xr:uid="{11A3C9D6-61F5-4DD0-B2BB-FA131560076F}"/>
    <hyperlink ref="B433" r:id="rId424" xr:uid="{A972B334-054C-4322-B453-C4DD313DBE83}"/>
    <hyperlink ref="B434" r:id="rId425" xr:uid="{FDC6ABA6-318B-404C-9623-4376F931A9C0}"/>
    <hyperlink ref="B435" r:id="rId426" xr:uid="{6AE96C90-D3B5-4738-86A3-201B4AEF7F89}"/>
    <hyperlink ref="B436" r:id="rId427" xr:uid="{BADA88D3-8133-4D44-859D-2D1409D03872}"/>
    <hyperlink ref="B437" r:id="rId428" xr:uid="{274DE849-30C7-4E56-AC88-930ADC353E2C}"/>
    <hyperlink ref="B439" r:id="rId429" xr:uid="{DE537D9D-A640-4AAA-B7B7-3D91EB68A977}"/>
    <hyperlink ref="C439" r:id="rId430" xr:uid="{B3C8FA49-F114-4A8D-8F92-E7AA8BF6E337}"/>
    <hyperlink ref="B440" r:id="rId431" xr:uid="{293308F5-23E5-4B9C-86EC-41EE8B41D684}"/>
    <hyperlink ref="B442" r:id="rId432" xr:uid="{60BEF15C-1788-4ED7-989E-6C0F80866309}"/>
    <hyperlink ref="B443" r:id="rId433" xr:uid="{F32C5DDA-7BD3-4B72-BCB1-F4372C0E9E6B}"/>
    <hyperlink ref="B444" r:id="rId434" xr:uid="{56565C63-27AD-4035-80D1-B3D28E2A803E}"/>
    <hyperlink ref="B446" r:id="rId435" xr:uid="{7840D2DD-F423-49B5-89FE-0771AE5F072F}"/>
    <hyperlink ref="C446" r:id="rId436" xr:uid="{87AF62E4-91CF-4195-8D06-BA1CC29A070D}"/>
    <hyperlink ref="B447" r:id="rId437" xr:uid="{CAE5D665-8757-4967-BE6A-BC7C311E9A9D}"/>
    <hyperlink ref="B448" r:id="rId438" xr:uid="{507F2487-0CD4-4554-9C71-332F71E2F6DF}"/>
    <hyperlink ref="B449" r:id="rId439" xr:uid="{006AC95A-2CEB-457B-B5C9-D00A75478EF0}"/>
    <hyperlink ref="B450" r:id="rId440" xr:uid="{75D1A536-D70C-4627-8FB2-FE5F3E23BE34}"/>
    <hyperlink ref="B451" r:id="rId441" xr:uid="{3BBA81F1-31CC-469F-B6A9-C9FE80FAD6B1}"/>
    <hyperlink ref="B452" r:id="rId442" xr:uid="{25F2FBFF-1A62-41F8-B4BA-F552A4D15771}"/>
    <hyperlink ref="B453" r:id="rId443" xr:uid="{EF340F29-236F-45AC-870C-664B5956EFC4}"/>
    <hyperlink ref="B454" r:id="rId444" xr:uid="{34F41E46-F362-4C59-88B9-1492DC5BA566}"/>
    <hyperlink ref="B455" r:id="rId445" xr:uid="{4CF615BA-5E97-4E5F-95DF-0FE5E663B7FB}"/>
    <hyperlink ref="B456" r:id="rId446" xr:uid="{4ABB7E8F-D5FC-4744-8706-E8275475033C}"/>
    <hyperlink ref="B457" r:id="rId447" xr:uid="{BC6DE717-69BF-411D-9C73-D182D01D627A}"/>
    <hyperlink ref="B458" r:id="rId448" xr:uid="{F1D5AD7F-E9CC-4075-B2E8-09DC23C9DC5C}"/>
    <hyperlink ref="B459" r:id="rId449" xr:uid="{F3C946A1-ABA6-4390-B75A-D04380C3C0AD}"/>
    <hyperlink ref="B460" r:id="rId450" xr:uid="{AF6EDDCB-1C1D-48C3-8F43-05B386EBB675}"/>
    <hyperlink ref="B461" r:id="rId451" xr:uid="{D17C51BF-D7AE-4009-8DB6-F9F510472AB6}"/>
    <hyperlink ref="B462" r:id="rId452" xr:uid="{689C8B32-1ED2-41CE-8DC8-2F596AD8B309}"/>
    <hyperlink ref="B463" r:id="rId453" xr:uid="{1B342659-AFAA-4831-B1F1-2D4B5F08D672}"/>
    <hyperlink ref="B464" r:id="rId454" xr:uid="{56948CAE-C1AE-4265-87ED-A9FF59ADB3B6}"/>
    <hyperlink ref="B465" r:id="rId455" xr:uid="{37AA6540-374C-42DB-AA14-86ACDBA100B2}"/>
    <hyperlink ref="B466" r:id="rId456" xr:uid="{7088CE58-F2B1-47A5-894A-9EF3AA071F51}"/>
    <hyperlink ref="B467" r:id="rId457" xr:uid="{A71F03D5-49FF-46D0-8DC4-A073AEC0103B}"/>
    <hyperlink ref="B468" r:id="rId458" xr:uid="{43CB3E90-D142-4EEF-962C-E825BD7F93E3}"/>
    <hyperlink ref="B469" r:id="rId459" xr:uid="{FDF6DBD7-D80B-4367-8D42-99C39E56BC56}"/>
    <hyperlink ref="B470" r:id="rId460" xr:uid="{73170A9D-2141-45ED-85FD-C458586DF5C4}"/>
    <hyperlink ref="B471" r:id="rId461" xr:uid="{7E9A7A65-BC8B-41C3-8BE4-563E1602EB1F}"/>
    <hyperlink ref="B472" r:id="rId462" xr:uid="{29618648-FC63-4F5B-8C38-5ED6EC0921DD}"/>
    <hyperlink ref="B473" r:id="rId463" xr:uid="{7089851A-E53F-4725-B8A3-6039EDDCC58D}"/>
    <hyperlink ref="B474" r:id="rId464" xr:uid="{733F8B3F-C1BC-49AC-9A84-E34F138F6A5D}"/>
    <hyperlink ref="B475" r:id="rId465" xr:uid="{58A7D195-80C9-4F77-BF41-BCC5A8B7C528}"/>
    <hyperlink ref="B476" r:id="rId466" xr:uid="{FE6B08EB-139B-4249-B32A-EACC572C5B96}"/>
    <hyperlink ref="B477" r:id="rId467" xr:uid="{B4ECD094-3F81-403B-BC00-C1F3CD71FBF2}"/>
    <hyperlink ref="B478" r:id="rId468" xr:uid="{1BEE19A8-3D0A-4D89-9521-4800E804039B}"/>
    <hyperlink ref="B479" r:id="rId469" xr:uid="{AA3A1757-DD04-4523-950A-08605B32E0BF}"/>
    <hyperlink ref="B480" r:id="rId470" xr:uid="{E0FA3B26-DAD7-4661-BE67-7C6C7B3626EB}"/>
    <hyperlink ref="B481" r:id="rId471" xr:uid="{E27D1A8B-74C2-4E6F-A3B9-01C2563EC065}"/>
    <hyperlink ref="B482" r:id="rId472" xr:uid="{8FF12615-9E97-439C-B134-9137A5A1BAAE}"/>
    <hyperlink ref="B483" r:id="rId473" xr:uid="{50C6C8A9-6CAB-4A29-8EB8-54FC9482AC55}"/>
    <hyperlink ref="B484" r:id="rId474" xr:uid="{43B32174-B1EB-4850-8EE8-8FF0353231F2}"/>
    <hyperlink ref="B485" r:id="rId475" xr:uid="{369F3925-CC9A-407D-B517-AAD18E25543C}"/>
    <hyperlink ref="B486" r:id="rId476" xr:uid="{B18C0947-029A-45CC-A830-4E69B8FC09A1}"/>
    <hyperlink ref="B487" r:id="rId477" xr:uid="{7262B61A-BD8D-4B39-88E7-33C189A085BF}"/>
    <hyperlink ref="B488" r:id="rId478" xr:uid="{F55D3F2C-CAAD-4143-9BB1-FBD31530440C}"/>
    <hyperlink ref="B489" r:id="rId479" xr:uid="{D0CFB7C5-5E32-4422-A2E5-83274D93DBD8}"/>
    <hyperlink ref="B490" r:id="rId480" xr:uid="{2EDB2E85-75EA-493A-BA03-41BBDBD684A4}"/>
    <hyperlink ref="B491" r:id="rId481" xr:uid="{BA1F66D4-4BD5-4B3A-BD32-93271AAB8935}"/>
    <hyperlink ref="B492" r:id="rId482" xr:uid="{158A0BAD-730B-4DF6-A3E2-6B1BEB4DDE46}"/>
    <hyperlink ref="B493" r:id="rId483" xr:uid="{BE4D78C5-066C-4C6A-9401-CA51F9DE2D02}"/>
    <hyperlink ref="C493" r:id="rId484" xr:uid="{3245F5DA-6BF6-47CB-ACE6-EAD2D76161F4}"/>
    <hyperlink ref="B494" r:id="rId485" xr:uid="{38F1808C-B606-45A6-8E03-A06445F1398A}"/>
    <hyperlink ref="B495" r:id="rId486" xr:uid="{0C0C4E76-706E-4E87-9D4C-D6C1AF290870}"/>
    <hyperlink ref="C495" r:id="rId487" xr:uid="{19BE7BB6-B172-4571-AD11-96FD1219986E}"/>
    <hyperlink ref="B496" r:id="rId488" xr:uid="{2613C029-8854-4E14-8A3A-FE09AD91DD37}"/>
    <hyperlink ref="B497" r:id="rId489" xr:uid="{7FE9C210-C387-40AC-BEF0-CE6C2A150D92}"/>
    <hyperlink ref="B498" r:id="rId490" xr:uid="{5145A29A-03B8-48C0-A981-CA9D4A10EF57}"/>
    <hyperlink ref="B499" r:id="rId491" xr:uid="{59296035-FE04-47B9-9655-FF36E1F0AA59}"/>
    <hyperlink ref="B500" r:id="rId492" xr:uid="{620046E7-285F-4421-A229-2806D795F13E}"/>
    <hyperlink ref="B501" r:id="rId493" xr:uid="{699F7928-90D2-49FD-B13A-FDE76833954D}"/>
    <hyperlink ref="B502" r:id="rId494" xr:uid="{6E13D316-6845-4EA4-93B8-8B82428B9AD9}"/>
    <hyperlink ref="B503" r:id="rId495" xr:uid="{0052A5C8-5293-40F4-86B7-5D211749A823}"/>
    <hyperlink ref="B504" r:id="rId496" xr:uid="{158BBBED-7682-4565-A0D1-97F92AE7E87E}"/>
    <hyperlink ref="B505" r:id="rId497" xr:uid="{BF6BA712-8AE9-4B69-9717-DF254FC8D7DC}"/>
    <hyperlink ref="B506" r:id="rId498" xr:uid="{04A71653-9C3B-4D99-A17C-5B2E1DDEFD40}"/>
    <hyperlink ref="B508" r:id="rId499" xr:uid="{61F4868E-8DDF-4416-ADA2-88B78EE017B7}"/>
    <hyperlink ref="B509" r:id="rId500" xr:uid="{8F9EC5AB-C0A9-4C73-AA17-F208F3CE6922}"/>
    <hyperlink ref="B510" r:id="rId501" xr:uid="{FDBF0CD7-7E15-4056-89EE-310C02AFA934}"/>
    <hyperlink ref="B511" r:id="rId502" xr:uid="{1A996724-C35D-4058-94A3-3F017DFB2623}"/>
    <hyperlink ref="B512" r:id="rId503" xr:uid="{BE3B929B-055D-41CC-AFAF-4C04888CD7E4}"/>
    <hyperlink ref="B513" r:id="rId504" xr:uid="{BD5AA687-FAA1-4C97-9DD5-B89AC703D23A}"/>
    <hyperlink ref="B514" r:id="rId505" xr:uid="{F564EA4A-73E0-4324-A5F5-20B2250575BB}"/>
    <hyperlink ref="B515" r:id="rId506" xr:uid="{1FA7D45E-300B-4454-A30D-BD13B70EF535}"/>
    <hyperlink ref="B516" r:id="rId507" xr:uid="{E01ED07C-4BAA-4709-A14C-64CCDFCE3882}"/>
    <hyperlink ref="B517" r:id="rId508" xr:uid="{03ED5090-786F-4318-AA3A-ACE75F068174}"/>
    <hyperlink ref="B518" r:id="rId509" xr:uid="{4827DE97-A593-47A3-805F-F1341F97DB36}"/>
    <hyperlink ref="B519" r:id="rId510" xr:uid="{AC6A01B8-8265-483A-B143-D6FAD9B4ACBC}"/>
    <hyperlink ref="B520" r:id="rId511" xr:uid="{631E7691-D333-4880-BF29-09DC3277D6F6}"/>
    <hyperlink ref="B521" r:id="rId512" xr:uid="{AC780F8B-603C-4449-998F-AEC324120840}"/>
    <hyperlink ref="B522" r:id="rId513" xr:uid="{6D02D087-1436-4770-863D-CE7C517505D2}"/>
    <hyperlink ref="B523" r:id="rId514" xr:uid="{11823800-FF15-4E76-B344-DF2154805B9A}"/>
    <hyperlink ref="B525" r:id="rId515" xr:uid="{BF825E9E-67FD-4CC3-B63B-C73E073CA887}"/>
    <hyperlink ref="B526" r:id="rId516" xr:uid="{8A71A73E-CF0E-4A73-A693-94F3DB9C1BEC}"/>
    <hyperlink ref="B527" r:id="rId517" xr:uid="{9E50302F-00A2-47DE-A0B5-32D57BF2AE2C}"/>
    <hyperlink ref="B528" r:id="rId518" xr:uid="{477C5CA0-F970-4F6B-9D40-0E38EED0C088}"/>
    <hyperlink ref="B529" r:id="rId519" xr:uid="{9E99D38D-5F7F-49A2-AAD6-CAA878124AAB}"/>
    <hyperlink ref="B530" r:id="rId520" xr:uid="{4630D3F1-0322-4330-8223-521251F7E73B}"/>
    <hyperlink ref="B531" r:id="rId521" xr:uid="{D7D412CE-6834-4D2C-A9A0-9BB73E0908CC}"/>
    <hyperlink ref="B532" r:id="rId522" xr:uid="{53A84C3A-89EF-4077-981B-657CC473B0F5}"/>
    <hyperlink ref="B533" r:id="rId523" xr:uid="{A96A3A8F-EB12-4F86-8485-E87A449D9CE9}"/>
    <hyperlink ref="B534" r:id="rId524" xr:uid="{23814040-C69C-496E-BF4B-D4999B92869B}"/>
    <hyperlink ref="B535" r:id="rId525" xr:uid="{FDC5F0EC-1D66-4D6A-8DDC-94D3C256042D}"/>
    <hyperlink ref="B536" r:id="rId526" xr:uid="{4D9C427B-0AAD-444C-9221-67100D27397F}"/>
    <hyperlink ref="B537" r:id="rId527" xr:uid="{D680ECAF-D359-49CD-AC7F-5EA65559094F}"/>
    <hyperlink ref="B538" r:id="rId528" xr:uid="{F041B075-C9D4-416C-920B-4FB07E5F6F89}"/>
    <hyperlink ref="B539" r:id="rId529" xr:uid="{E6FEA5AA-D992-4799-A644-3322CB165F0F}"/>
    <hyperlink ref="B540" r:id="rId530" xr:uid="{0158E96E-87EB-40BB-BFD3-4069DE6C76C8}"/>
    <hyperlink ref="B541" r:id="rId531" xr:uid="{B23D9427-C5BF-40C3-943F-4AB6802C74F5}"/>
    <hyperlink ref="B542" r:id="rId532" xr:uid="{7D85163E-C170-441C-9848-5F016D623B3C}"/>
    <hyperlink ref="C542" r:id="rId533" xr:uid="{96A9F3E3-FCA1-49A6-99DD-88A36CF27863}"/>
    <hyperlink ref="B543" r:id="rId534" xr:uid="{274A1FE2-B93F-42FC-9684-B89B45259EB7}"/>
    <hyperlink ref="B544" r:id="rId535" xr:uid="{DB87AB21-39EA-4C28-8373-8921BE4E1C36}"/>
    <hyperlink ref="B545" r:id="rId536" xr:uid="{43D4648E-88F0-43C3-8DA2-68B55C9C2C5C}"/>
    <hyperlink ref="C545" r:id="rId537" xr:uid="{39AD2592-3C69-4EA4-AD5C-2EBE48B5EA44}"/>
    <hyperlink ref="B546" r:id="rId538" xr:uid="{48B11796-FF83-43E9-AE44-19B498A843CE}"/>
    <hyperlink ref="B547" r:id="rId539" xr:uid="{78D93899-B12E-4628-B8F9-05AA0BF46B43}"/>
    <hyperlink ref="B548" r:id="rId540" xr:uid="{0A918C87-64A7-469C-9542-55AA461DA71D}"/>
    <hyperlink ref="B549" r:id="rId541" xr:uid="{565BC989-35A3-4A4B-94FC-56A46B65D2B8}"/>
    <hyperlink ref="B550" r:id="rId542" xr:uid="{286BCBDE-56FA-491C-A30B-EC1AF046486E}"/>
    <hyperlink ref="B551" r:id="rId543" xr:uid="{A87B0DFF-E616-4ADC-B931-99146BE830B9}"/>
    <hyperlink ref="B552" r:id="rId544" xr:uid="{2D34B3BF-3041-44B2-967E-D34E584B67AB}"/>
    <hyperlink ref="B553" r:id="rId545" xr:uid="{0A2442B6-183C-4619-A6BE-4619E1D1B9C8}"/>
    <hyperlink ref="B554" r:id="rId546" xr:uid="{6D9E742F-F482-49F4-BDE1-408F3F90ECCE}"/>
    <hyperlink ref="B555" r:id="rId547" xr:uid="{3C38D9FC-DC5A-41BA-85D1-5F461D1CBBF0}"/>
    <hyperlink ref="B556" r:id="rId548" xr:uid="{FFAD438B-AB54-49DC-BEEA-312B7B88CA26}"/>
    <hyperlink ref="B557" r:id="rId549" xr:uid="{573080CF-B01F-433C-8C5D-787EC7D4CC36}"/>
    <hyperlink ref="C558" r:id="rId550" xr:uid="{7DBEEB74-83D1-4EB8-98B0-C5B177F84641}"/>
    <hyperlink ref="B559" r:id="rId551" xr:uid="{F0218EFD-5357-44E6-B728-591699ACDD6F}"/>
    <hyperlink ref="B560" r:id="rId552" xr:uid="{73F18EDA-9C00-4F70-A06B-1FFA5E35180D}"/>
    <hyperlink ref="B561" r:id="rId553" xr:uid="{8ADAFDD3-B141-461C-84C1-DADE30725DC5}"/>
    <hyperlink ref="B562" r:id="rId554" xr:uid="{164B9154-3775-4C6C-9751-BE3E1A59A7D4}"/>
    <hyperlink ref="B563" r:id="rId555" xr:uid="{B4A86597-ABD8-48C0-AEA2-F9887291BE01}"/>
    <hyperlink ref="B97" r:id="rId556" xr:uid="{B181C4BB-7C01-4BDE-9197-8AC2372B8F1C}"/>
    <hyperlink ref="B441" r:id="rId557" xr:uid="{DBA74393-29BD-4B36-B635-4F173D4FFAAF}"/>
    <hyperlink ref="B170" r:id="rId558" xr:uid="{1BCFC9AE-8017-4EB5-8C0E-17F816CA3B0E}"/>
    <hyperlink ref="B524" r:id="rId559" xr:uid="{B2E48E42-B0DE-4C43-B1C4-1F7ADC7A731E}"/>
    <hyperlink ref="B345" r:id="rId560" xr:uid="{5D8202FD-E61C-43F4-B89A-EF1B41B2FBB6}"/>
    <hyperlink ref="B445" r:id="rId561" xr:uid="{82E9C2CE-61B3-4206-BDDB-06D60486A134}"/>
    <hyperlink ref="B507" r:id="rId562" xr:uid="{6C898DA4-261F-43E0-9865-02B9ADEABCDE}"/>
    <hyperlink ref="C507" r:id="rId563" xr:uid="{1386D0D9-E252-42A7-BFDB-09A1BACB6C74}"/>
    <hyperlink ref="B265" r:id="rId564" display="iQ500 Üstten Donduruculu Kulplu Buzdolabı, 75cm, Inox" xr:uid="{7F9400B9-B84E-431E-A31D-180DB939FAC8}"/>
    <hyperlink ref="B438" r:id="rId565" xr:uid="{B6CB2625-4D32-4F24-85A1-872630246F59}"/>
    <hyperlink ref="B89" r:id="rId566" display="iQ300 İndüksiyonlu Ocak, 90cm, Çerçeveli, Siyah" xr:uid="{C4101553-F755-427D-A881-CDC2BC8DDFAB}"/>
    <hyperlink ref="C438" r:id="rId567" xr:uid="{8DCEC0E2-176A-42F5-A6B6-E6EE8ECB7F93}"/>
    <hyperlink ref="B380" r:id="rId568" display="Philips 50&quot; 4K Ambilight LED TV" xr:uid="{B45D1906-A7C2-4D4E-8CF4-6223F2C4471F}"/>
    <hyperlink ref="C380" r:id="rId569" xr:uid="{875E79EF-3FDE-426E-AE5E-DA00C77C4FAC}"/>
    <hyperlink ref="B381" r:id="rId570" display="Philips 50&quot; 4K Ambilight LED TV" xr:uid="{67C6AD8B-5426-4713-82BA-910512082B5E}"/>
    <hyperlink ref="B382" r:id="rId571" display="Philips 50&quot; 4K Ambilight LED TV (Android)" xr:uid="{8CBB574D-6176-4930-98D2-85850E26C11A}"/>
    <hyperlink ref="C382" r:id="rId572" xr:uid="{78AF9313-81AA-442E-B41C-30D91DBE722F}"/>
    <hyperlink ref="B383" r:id="rId573" display="Philips 55&quot; 4K Ambilight LED TV (Android)" xr:uid="{8FB8A8A8-82F1-49B3-93FB-71C9F9159EB8}"/>
    <hyperlink ref="C383" r:id="rId574" xr:uid="{7463B35B-3980-4994-912C-6CCB599B5B18}"/>
    <hyperlink ref="B385" r:id="rId575" xr:uid="{1024EB2A-C74B-4E83-95DB-69B33C9C734D}"/>
    <hyperlink ref="B53" r:id="rId576" xr:uid="{B8243C59-A17B-46FE-ABE5-F6445ACF0659}"/>
    <hyperlink ref="B52" r:id="rId577" xr:uid="{7D86AF3A-5313-4627-9816-C8E45DC9F1B0}"/>
    <hyperlink ref="B51" r:id="rId578" xr:uid="{BFE29161-5506-4DE5-9757-2DD053A192FF}"/>
    <hyperlink ref="B50" r:id="rId579" xr:uid="{E2E5F3EB-E8F1-489E-84FE-CF45ED16231F}"/>
    <hyperlink ref="B49" r:id="rId580" xr:uid="{5B8DEC3E-22F5-4F06-AAF4-3840B339D716}"/>
    <hyperlink ref="B48" r:id="rId581" xr:uid="{A354F9E5-FE47-43EC-B1D4-E047FA7331C3}"/>
    <hyperlink ref="B47" r:id="rId582" xr:uid="{654C9B99-5BC0-49C9-8E24-934AA3CF01CB}"/>
    <hyperlink ref="B46" r:id="rId583" xr:uid="{CF9299E5-0906-418D-973E-C91625CD1B51}"/>
    <hyperlink ref="B45" r:id="rId584" xr:uid="{659EFAF5-F957-4C1F-976F-A5E7015BA68F}"/>
    <hyperlink ref="B44" r:id="rId585" xr:uid="{1D8C4838-E8ED-4D86-87A9-27EC933D6275}"/>
    <hyperlink ref="B43" r:id="rId586" xr:uid="{93BF014B-10EE-4794-AF85-E3B52D132F5E}"/>
    <hyperlink ref="B42" r:id="rId587" xr:uid="{C3B03791-5447-46F9-936E-68BCF43DA226}"/>
    <hyperlink ref="B233" r:id="rId588" xr:uid="{09BD6CAE-C655-49B4-A1B6-14DB7F41B3E6}"/>
  </hyperlinks>
  <pageMargins left="0.7" right="0.7" top="0.75" bottom="0.75" header="0.3" footer="0.3"/>
  <pageSetup paperSize="9" orientation="portrait" verticalDpi="0" r:id="rId5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2026-05-26T09:30:23Z</dcterms:modified>
</cp:coreProperties>
</file>