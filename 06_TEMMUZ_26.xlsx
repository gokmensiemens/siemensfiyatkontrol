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795" documentId="8_{04D112BD-6BD0-48D2-BCD0-B02DB0158664}" xr6:coauthVersionLast="47" xr6:coauthVersionMax="47" xr10:uidLastSave="{674ED82A-C982-43D6-B006-C1F51FD8292C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8" i="1" s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420" i="1" s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9" i="1" s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87" i="1" s="1"/>
  <c r="N237" i="1"/>
  <c r="N236" i="1"/>
  <c r="N235" i="1"/>
  <c r="N23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14" i="1" s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62" i="1" s="1"/>
  <c r="N141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4" i="1" s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70" i="1" s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AEACF2B6-6632-46AD-A541-F7DA0A405B12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2106F5E8-E103-4EBB-9412-6623331533B5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<sst xmlns="http://schemas.openxmlformats.org/spreadsheetml/2006/main" count="3839" uniqueCount="1797">
  <si>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</si>
  <si>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</si>
  <si>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</si>
  <si>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</si>
  <si>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</si>
  <si>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</si>
  <si>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</si>
  <si>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</si>
  <si>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</si>
  <si>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</si>
  <si>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</si>
  <si>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</si>
  <si>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</si>
  <si>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</si>
  <si>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</si>
  <si>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</si>
  <si>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</si>
  <si>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</si>
  <si>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</si>
  <si>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</si>
  <si>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</si>
  <si>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</si>
  <si>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</si>
  <si>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</si>
  <si>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</si>
  <si>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</si>
  <si>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</si>
  <si>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</si>
  <si>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</si>
  <si>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</si>
  <si>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</si>
  <si>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</si>
  <si>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</si>
  <si>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</si>
  <si>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</si>
  <si>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</si>
  <si>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</si>
  <si>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</si>
  <si>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</si>
  <si>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</si>
  <si>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</si>
  <si>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</si>
  <si>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</si>
  <si>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</si>
  <si>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</si>
  <si>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</si>
  <si>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</si>
  <si>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</si>
  <si>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</si>
  <si>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</si>
  <si>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</si>
  <si>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</si>
  <si>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</si>
  <si>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</si>
  <si>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</si>
  <si>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</si>
  <si>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</si>
  <si>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</si>
  <si>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</si>
  <si>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</si>
  <si>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</si>
  <si>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</si>
  <si>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</si>
  <si>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</si>
  <si>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</si>
  <si>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</si>
  <si>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</si>
  <si>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</si>
  <si>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</si>
  <si>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</si>
  <si>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</si>
  <si>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</si>
  <si>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</si>
  <si>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</si>
  <si>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</si>
  <si>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</si>
  <si>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</si>
  <si>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</si>
  <si>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</si>
  <si>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</si>
  <si>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</si>
  <si>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</si>
  <si>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</si>
  <si>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</si>
  <si>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</si>
  <si>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</si>
  <si>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</si>
  <si>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</si>
  <si>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</si>
  <si>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</si>
  <si>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</si>
  <si>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</si>
  <si>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</si>
  <si>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</si>
  <si>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</si>
  <si>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</si>
  <si>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</si>
  <si>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</si>
  <si>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</si>
  <si>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</si>
  <si>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</si>
  <si>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</si>
  <si>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</si>
  <si>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</si>
  <si>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</si>
  <si>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</si>
  <si>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</si>
  <si>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</si>
  <si>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</si>
  <si>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</si>
  <si>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</si>
  <si>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</si>
  <si>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</si>
  <si>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</si>
  <si>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</si>
  <si>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</si>
  <si>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</si>
  <si>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</si>
  <si>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</si>
  <si>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</si>
  <si>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</si>
  <si>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</si>
  <si>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</si>
  <si>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</si>
  <si>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</si>
  <si>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</si>
  <si>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</si>
  <si>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</si>
  <si>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</si>
  <si>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</si>
  <si>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</si>
  <si>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</si>
  <si>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</si>
  <si>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</si>
  <si>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</si>
  <si>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</si>
  <si>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</si>
  <si>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</si>
  <si>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</si>
  <si>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</si>
  <si>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</si>
  <si>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</si>
  <si>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</si>
  <si>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</si>
  <si>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</si>
  <si>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</si>
  <si>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</si>
  <si>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</si>
  <si>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</si>
  <si>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</si>
  <si>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</si>
  <si>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</si>
  <si>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</si>
  <si>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</si>
  <si>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</si>
  <si>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</si>
  <si>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</si>
  <si>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</si>
  <si>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</si>
  <si>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</si>
  <si>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</si>
  <si>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</si>
  <si>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</si>
  <si>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</si>
  <si>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</si>
  <si>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</si>
  <si>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</si>
  <si>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</si>
  <si>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</si>
  <si>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</si>
  <si>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</si>
  <si>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</si>
  <si>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</si>
  <si>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</si>
  <si>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</si>
  <si>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</si>
  <si>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</si>
  <si>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</si>
  <si>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</si>
  <si>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</si>
  <si>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</si>
  <si>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</si>
  <si>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</si>
  <si>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</si>
  <si>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</si>
  <si>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</si>
  <si>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</si>
  <si>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</si>
  <si>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</si>
  <si>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</si>
  <si>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</si>
  <si>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</si>
  <si>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</si>
  <si>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</si>
  <si>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</si>
  <si>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</si>
  <si>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</si>
  <si>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</si>
  <si>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</si>
  <si>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</si>
  <si>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</si>
  <si>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</si>
  <si>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</si>
  <si>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</si>
  <si>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</si>
  <si>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</si>
  <si>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</si>
  <si>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</si>
  <si>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</si>
  <si>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</si>
  <si>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</si>
  <si>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</si>
  <si>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</si>
  <si>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</si>
  <si>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</si>
  <si>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</si>
  <si>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</si>
  <si>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</si>
  <si>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</si>
  <si>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</si>
  <si>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</si>
  <si>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</si>
  <si>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</si>
  <si>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</si>
  <si>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</si>
  <si>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</si>
  <si>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</si>
  <si>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</si>
  <si>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</si>
  <si>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</si>
  <si>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</si>
  <si>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</si>
  <si>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</si>
  <si>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</si>
  <si>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</si>
  <si>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</si>
  <si>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</si>
  <si>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</si>
  <si>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</si>
  <si>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</si>
  <si>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</si>
  <si>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</si>
  <si>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</si>
  <si>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</si>
  <si>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</si>
  <si>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</si>
  <si>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</si>
  <si>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</si>
  <si>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</si>
  <si>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</si>
  <si>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</si>
  <si>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</si>
  <si>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</si>
  <si>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</si>
  <si>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</si>
  <si>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</si>
  <si>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</si>
  <si>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</si>
  <si>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</si>
  <si>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</si>
  <si>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</si>
  <si>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</si>
  <si>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</si>
  <si>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</si>
  <si>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</si>
  <si>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</si>
  <si>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</si>
  <si>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</si>
  <si>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</si>
  <si>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</si>
  <si>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</si>
  <si>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</si>
  <si>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</si>
  <si>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</si>
  <si>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</si>
  <si>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</si>
  <si>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</si>
  <si>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</si>
  <si>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</si>
  <si>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</si>
  <si>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</si>
  <si>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</si>
  <si>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</si>
  <si>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</si>
  <si>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</si>
  <si>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</si>
  <si>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</si>
  <si>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</si>
  <si>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</si>
  <si>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</si>
  <si>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</si>
  <si>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</si>
  <si>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</si>
  <si>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</si>
  <si>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</si>
  <si>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</si>
  <si>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</si>
  <si>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</si>
  <si>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</si>
  <si>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</si>
  <si>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</si>
  <si>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</si>
  <si>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</si>
  <si>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</si>
  <si>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</si>
  <si>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</si>
  <si>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</si>
  <si>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</si>
  <si>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</si>
  <si>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</si>
  <si>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</si>
  <si>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</si>
  <si>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</si>
  <si>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</si>
  <si>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</si>
  <si>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</si>
  <si>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</si>
  <si>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</si>
  <si>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</si>
  <si>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</si>
  <si>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</si>
  <si>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</si>
  <si>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</si>
  <si>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</si>
  <si>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</si>
  <si>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</si>
  <si>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</si>
  <si>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</si>
  <si>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</si>
  <si>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</si>
  <si>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</si>
  <si>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</si>
  <si>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</si>
  <si>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</si>
  <si>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</si>
  <si>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</si>
  <si>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</si>
  <si>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</si>
  <si>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</si>
  <si>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</si>
  <si>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</si>
  <si>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</si>
  <si>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</si>
  <si>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</si>
  <si>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</si>
  <si>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</si>
  <si>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</si>
  <si>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</si>
  <si>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</si>
  <si>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</si>
  <si>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</si>
  <si>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</si>
  <si>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</si>
  <si>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</si>
  <si>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</si>
  <si>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</si>
  <si>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</si>
  <si>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</si>
  <si>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</si>
  <si>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</si>
  <si>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</si>
  <si>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</si>
  <si>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</si>
  <si>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</si>
  <si>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</si>
  <si>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</si>
  <si>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</si>
  <si>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</si>
  <si>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</si>
  <si>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</si>
  <si>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</si>
  <si>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</si>
  <si>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</si>
  <si>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</si>
  <si>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</si>
  <si>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</si>
  <si>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</si>
  <si>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</si>
  <si>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</si>
  <si>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</si>
  <si>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</si>
  <si>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</si>
  <si>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</si>
  <si>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</si>
  <si>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</si>
  <si>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</si>
  <si>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</si>
  <si>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</si>
  <si>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</si>
  <si>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</si>
  <si>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</si>
  <si>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</si>
  <si>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</si>
  <si>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</si>
  <si>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</si>
  <si>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</si>
  <si>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</si>
  <si>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</si>
  <si>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</si>
  <si>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</si>
  <si>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</si>
  <si>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</si>
  <si>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</si>
  <si>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</si>
  <si>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</si>
  <si>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</si>
  <si>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</si>
  <si>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</si>
  <si>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</si>
  <si>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</si>
  <si>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</si>
  <si>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</si>
  <si>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</si>
  <si>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</si>
  <si>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</si>
  <si>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</si>
  <si>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</si>
  <si>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</si>
  <si>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</si>
  <si>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</si>
  <si>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</si>
  <si>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</si>
  <si>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</si>
  <si>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</si>
  <si>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</si>
  <si>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</si>
  <si>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</si>
  <si>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</si>
  <si>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</si>
  <si>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</si>
  <si>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</si>
  <si>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</si>
  <si>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</si>
  <si>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</si>
  <si>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</si>
  <si>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</si>
  <si>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</si>
  <si>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</si>
  <si>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</si>
  <si>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</si>
  <si>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</si>
  <si>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</si>
  <si>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</si>
  <si>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</si>
  <si>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</si>
  <si>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</si>
  <si>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</si>
  <si>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</si>
  <si>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</si>
  <si>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</si>
  <si>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</si>
  <si>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</si>
  <si>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</si>
  <si>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</si>
  <si>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</si>
  <si>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</si>
  <si>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</si>
  <si>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</si>
  <si>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</si>
  <si>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</si>
  <si>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</si>
  <si>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</si>
  <si>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</si>
  <si>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</si>
  <si>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</si>
  <si>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</si>
  <si>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</si>
  <si>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</si>
  <si>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</si>
  <si>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</si>
  <si>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</si>
  <si>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</si>
  <si>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</si>
  <si>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</si>
  <si>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</si>
  <si>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</si>
  <si>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</si>
  <si>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</si>
  <si>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</si>
  <si>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</si>
  <si>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</si>
  <si>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</si>
  <si>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</si>
  <si>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</si>
  <si>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</si>
  <si>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</si>
  <si>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</si>
  <si>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</si>
  <si>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</si>
  <si>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</si>
  <si>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</si>
  <si>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</si>
  <si>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</si>
  <si>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</si>
  <si>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</si>
  <si>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</si>
  <si>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</si>
  <si>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</si>
  <si>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</si>
  <si>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</si>
  <si>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</si>
  <si>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</si>
  <si>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</si>
  <si>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</si>
  <si>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</si>
  <si>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</si>
  <si>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</si>
  <si>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</si>
  <si>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</si>
  <si>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</si>
  <si>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</si>
  <si>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</si>
  <si>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</si>
  <si>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</si>
  <si>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</si>
  <si>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</si>
  <si>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</si>
  <si>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</si>
  <si>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</si>
  <si>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</si>
  <si>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</si>
  <si>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</si>
  <si>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</si>
  <si>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</si>
  <si>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</si>
  <si>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</si>
  <si>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</si>
  <si>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</si>
  <si>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</si>
  <si>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</si>
  <si>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</si>
  <si>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</si>
  <si>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</si>
  <si>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</si>
  <si>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</si>
  <si>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</si>
  <si>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</si>
  <si>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</si>
  <si>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</si>
  <si>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</si>
  <si>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</si>
  <si>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</si>
  <si>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</si>
  <si>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</si>
  <si>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</si>
  <si>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</si>
  <si>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</si>
  <si>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</si>
  <si>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</si>
  <si>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</si>
  <si>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</si>
  <si>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</si>
  <si>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</si>
  <si>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</si>
  <si>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</si>
  <si>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</si>
  <si>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</si>
  <si>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</si>
  <si>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</si>
  <si>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</si>
  <si>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</si>
  <si>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</si>
  <si>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</si>
  <si>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</si>
  <si>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</si>
  <si>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</si>
  <si>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</si>
  <si>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</si>
  <si>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</si>
  <si>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</si>
  <si>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</si>
  <si>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</si>
  <si>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</si>
  <si>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</si>
  <si>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</si>
  <si>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</si>
  <si>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</si>
  <si>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</si>
  <si>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</si>
  <si>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</si>
  <si>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</si>
  <si>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</si>
  <si>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</si>
  <si>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</si>
  <si>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</si>
  <si>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</si>
  <si>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</si>
  <si>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</si>
  <si>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</si>
  <si>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</si>
  <si>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</si>
  <si>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</si>
  <si>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</si>
  <si>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</si>
  <si>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</si>
  <si>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</si>
  <si>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</si>
  <si>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</si>
  <si>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</si>
  <si>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</si>
  <si>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</si>
  <si>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</si>
  <si>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</si>
  <si>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</si>
  <si>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</si>
  <si>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</si>
  <si>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</si>
  <si>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</si>
  <si>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</si>
  <si>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</si>
  <si>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</si>
  <si>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</si>
  <si>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</si>
  <si>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</si>
  <si>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</si>
  <si>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</si>
  <si>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</si>
  <si>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</si>
  <si>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</si>
  <si>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</si>
  <si>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</si>
  <si>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</si>
  <si>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</si>
  <si>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</si>
  <si>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</si>
  <si>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</si>
  <si>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</si>
  <si>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</si>
  <si>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</si>
  <si>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</si>
  <si>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</si>
  <si>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</si>
  <si>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</si>
  <si>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</si>
  <si>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</si>
  <si>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</si>
  <si>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</si>
  <si>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</si>
  <si>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</si>
  <si>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</si>
  <si>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</si>
  <si>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</si>
  <si>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</si>
  <si>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</si>
  <si>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</si>
  <si>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</si>
  <si>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</si>
  <si>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</si>
  <si>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</si>
  <si>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</si>
  <si>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</si>
  <si>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</si>
  <si>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</si>
  <si>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</si>
  <si>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</si>
  <si>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</si>
  <si>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</si>
  <si>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</si>
  <si>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</si>
  <si>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</si>
  <si>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</si>
  <si>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</si>
  <si>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</si>
  <si>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</si>
  <si>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</si>
  <si>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</si>
  <si>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</si>
  <si>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</si>
  <si>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</si>
  <si>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</si>
  <si>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</si>
  <si>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</si>
  <si>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</si>
  <si>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</si>
  <si>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</si>
  <si>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</si>
  <si>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</si>
  <si>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</si>
  <si>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</si>
  <si>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</si>
  <si>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</si>
  <si>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</si>
  <si>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</si>
  <si>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</si>
  <si>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</si>
  <si>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</si>
  <si>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</si>
  <si>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</si>
  <si>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</si>
  <si>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</si>
  <si>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</si>
  <si>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</si>
  <si>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</si>
  <si>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</si>
  <si>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</si>
  <si>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</si>
  <si>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</si>
  <si>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</si>
  <si>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</si>
  <si>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</si>
  <si>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</si>
  <si>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</si>
  <si>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</si>
  <si>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</si>
  <si>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</si>
  <si>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</si>
  <si>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</si>
  <si>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</si>
  <si>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</si>
  <si>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</si>
  <si>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</si>
  <si>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</si>
  <si>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</si>
  <si>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</si>
  <si>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</si>
  <si>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</si>
  <si>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</si>
  <si>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</si>
  <si>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</si>
  <si>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</si>
  <si>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</si>
  <si>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</si>
  <si>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</si>
  <si>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</si>
  <si>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</si>
  <si>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</si>
  <si>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</si>
  <si>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</si>
  <si>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</si>
  <si>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</si>
  <si>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</si>
  <si>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</si>
  <si>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</si>
  <si>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</si>
  <si>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</si>
  <si>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</si>
  <si>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</si>
  <si>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</si>
  <si>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</si>
  <si>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</si>
  <si>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</si>
  <si>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</si>
  <si>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</si>
  <si>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</si>
  <si>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</si>
  <si>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</si>
  <si>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</si>
  <si>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</si>
  <si>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</si>
  <si>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</si>
  <si>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</si>
  <si>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</si>
  <si>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</si>
  <si>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</si>
  <si>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</si>
  <si>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</si>
  <si>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</si>
  <si>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</si>
  <si>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</si>
  <si>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</si>
  <si>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</si>
  <si>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</si>
  <si>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</si>
  <si>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</si>
  <si>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</si>
  <si>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</si>
  <si>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</si>
  <si>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</si>
  <si>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</si>
  <si>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</si>
  <si>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</si>
  <si>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</si>
  <si>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</si>
  <si>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</si>
  <si>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</si>
  <si>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</si>
  <si>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</si>
  <si>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</si>
  <si>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</si>
  <si>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</si>
  <si>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</si>
  <si>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</si>
  <si>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</si>
  <si>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</si>
  <si>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</si>
  <si>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</si>
  <si>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</si>
  <si>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</si>
  <si>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</si>
  <si>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</si>
  <si>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</si>
  <si>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</si>
  <si>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</si>
  <si>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</si>
  <si>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</si>
  <si>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</si>
  <si>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</si>
  <si>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</si>
  <si>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</si>
  <si>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</si>
  <si>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</si>
  <si>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</si>
  <si>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</si>
  <si>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</si>
  <si>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</si>
  <si>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</si>
  <si>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</si>
  <si>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</si>
  <si>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</si>
  <si>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</si>
  <si>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</si>
  <si>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</si>
  <si>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</si>
  <si>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</si>
  <si>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</si>
  <si>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</si>
  <si>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</si>
  <si>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</si>
  <si>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</si>
  <si>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</si>
  <si>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</si>
  <si>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</si>
  <si>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</si>
  <si>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</si>
  <si>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</si>
  <si>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</si>
  <si>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</si>
  <si>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</si>
  <si>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</si>
  <si>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</si>
  <si>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</si>
  <si>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</si>
  <si>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</si>
  <si>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</si>
  <si>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</si>
  <si>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</si>
  <si>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</si>
  <si>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</si>
  <si>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</si>
  <si>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</si>
  <si>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</si>
  <si>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</si>
  <si>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</si>
  <si>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</si>
  <si>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</si>
  <si>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</si>
  <si>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</si>
  <si>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</si>
  <si>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</si>
  <si>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</si>
  <si>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</si>
  <si>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</si>
  <si>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</si>
  <si>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</si>
  <si>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</si>
  <si>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</si>
  <si>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</si>
  <si>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</si>
  <si>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</si>
  <si>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</si>
  <si>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</si>
  <si>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</si>
  <si>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</si>
  <si>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</si>
  <si>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</si>
  <si>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</si>
  <si>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</si>
  <si>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</si>
  <si>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</si>
  <si>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</si>
  <si>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</si>
  <si>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</si>
  <si>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</si>
  <si>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</si>
  <si>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</si>
  <si>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</si>
  <si>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</si>
  <si>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</si>
  <si>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</si>
  <si>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</si>
  <si>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</si>
  <si>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</si>
  <si>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</si>
  <si>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</si>
  <si>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</si>
  <si>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</si>
  <si>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</si>
  <si>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</si>
  <si>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</si>
  <si>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</si>
  <si>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</si>
  <si>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</si>
  <si>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</si>
  <si>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</si>
  <si>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</si>
  <si>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</si>
  <si>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</si>
  <si>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</si>
  <si>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</si>
  <si>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</si>
  <si>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</si>
  <si>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</si>
  <si>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</si>
  <si>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</si>
  <si>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</si>
  <si>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</si>
  <si>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</si>
  <si>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</si>
  <si>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</si>
  <si>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</si>
  <si>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</si>
  <si>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</si>
  <si>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</si>
  <si>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</si>
  <si>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</si>
  <si>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</si>
  <si>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</si>
  <si>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</si>
  <si>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</si>
  <si>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</si>
  <si>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</si>
  <si>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</si>
  <si>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</si>
  <si>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</si>
  <si>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</si>
  <si>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</si>
  <si>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</si>
  <si>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</si>
  <si>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</si>
  <si>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</si>
  <si>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</si>
  <si>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</si>
  <si>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</si>
  <si>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</si>
  <si>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</si>
  <si>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</si>
  <si>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</si>
  <si>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</si>
  <si>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</si>
  <si>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</si>
  <si>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</si>
  <si>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</si>
  <si>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</si>
  <si>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</si>
  <si>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</si>
  <si>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</si>
  <si>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</si>
  <si>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</si>
  <si>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</si>
  <si>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</si>
  <si>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</si>
  <si>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</si>
  <si>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</si>
  <si>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</si>
  <si>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</si>
  <si>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</si>
  <si>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</si>
  <si>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</si>
  <si>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</si>
  <si>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</si>
  <si>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</si>
  <si>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</si>
  <si>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</si>
  <si>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</si>
  <si>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</si>
  <si>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</si>
  <si>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</si>
  <si>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</si>
  <si>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</si>
  <si>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</si>
  <si>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</si>
  <si>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</si>
  <si>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</si>
  <si>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</si>
  <si>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</si>
  <si>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</si>
  <si>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</si>
  <si>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</si>
  <si>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</si>
  <si>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</si>
  <si>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</si>
  <si>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</si>
  <si>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</si>
  <si>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</si>
  <si>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</si>
  <si>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</si>
  <si>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</si>
  <si>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</si>
  <si>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</si>
  <si>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</si>
  <si>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</si>
  <si>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</si>
  <si>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</si>
  <si>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</si>
  <si>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</si>
  <si>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</si>
  <si>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</si>
  <si>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</si>
  <si>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</si>
  <si>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</si>
  <si>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</si>
  <si>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</si>
  <si>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</si>
  <si>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</si>
  <si>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</si>
  <si>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</si>
  <si>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</si>
  <si>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</si>
  <si>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</si>
  <si>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</si>
  <si>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</si>
  <si>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</si>
  <si>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</si>
  <si>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</si>
  <si>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</si>
  <si>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</si>
  <si>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</si>
  <si>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</si>
  <si>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</si>
  <si>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</si>
  <si>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</si>
  <si>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</si>
  <si>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</si>
  <si>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</si>
  <si>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</si>
  <si>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</si>
  <si>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</si>
  <si>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</si>
  <si>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</si>
  <si>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</si>
  <si>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</si>
  <si>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</si>
  <si>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</si>
  <si>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</si>
  <si>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</si>
  <si>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</si>
  <si>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</si>
  <si>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</si>
  <si>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</si>
  <si>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</si>
  <si>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</si>
  <si>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</si>
  <si>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</si>
  <si>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</si>
  <si>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</si>
  <si>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</si>
  <si>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</si>
  <si>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</si>
  <si>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</si>
  <si>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</si>
  <si>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</si>
  <si>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</si>
  <si>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</si>
  <si>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</si>
  <si>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</si>
  <si>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</si>
  <si>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</si>
  <si>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</si>
  <si>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</si>
  <si>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</si>
  <si>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</si>
  <si>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</si>
  <si>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</si>
  <si>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</si>
  <si>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</si>
  <si>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</si>
  <si>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</si>
  <si>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</si>
  <si>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</si>
  <si>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</si>
  <si>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</si>
  <si>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</si>
  <si>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</si>
  <si>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</si>
  <si>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</si>
  <si>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</si>
  <si>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</si>
  <si>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</si>
  <si>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</si>
  <si>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</si>
  <si>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</si>
  <si>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</si>
  <si>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</si>
  <si>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</si>
  <si>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</si>
  <si>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</si>
  <si>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</si>
  <si>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</si>
  <si>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</si>
  <si>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</si>
  <si>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</si>
  <si>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</si>
  <si>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</si>
  <si>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</si>
  <si>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</si>
  <si>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</si>
  <si>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</si>
  <si>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</si>
  <si>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</si>
  <si>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</si>
  <si>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</si>
  <si>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</si>
  <si>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</si>
  <si>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</si>
  <si>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</si>
  <si>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</si>
  <si>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</si>
  <si>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</si>
  <si>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</si>
  <si>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</si>
  <si>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</si>
  <si>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</si>
  <si>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</si>
  <si>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</si>
  <si>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</si>
  <si>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</si>
  <si>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</si>
  <si>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</si>
  <si>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</si>
  <si>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</si>
  <si>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</si>
  <si>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</si>
  <si>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</si>
  <si>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</si>
  <si>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</si>
  <si>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</si>
  <si>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</si>
  <si>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</si>
  <si>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</si>
  <si>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</si>
  <si>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</si>
  <si>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</si>
  <si>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</si>
  <si>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</si>
  <si>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</si>
  <si>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</si>
  <si>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</si>
  <si>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</si>
  <si>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</si>
  <si>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</si>
  <si>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</si>
  <si>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</si>
  <si>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</si>
  <si>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</si>
  <si>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</si>
  <si>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</si>
  <si>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</si>
  <si>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</si>
  <si>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</si>
  <si>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</si>
  <si>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</si>
  <si>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</si>
  <si>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</si>
  <si>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</si>
  <si>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</si>
  <si>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</si>
  <si>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</si>
  <si>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</si>
  <si>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</si>
  <si>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</si>
  <si>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</si>
  <si>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</si>
  <si>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</si>
  <si>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</si>
  <si>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</si>
  <si>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</si>
  <si>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</si>
  <si>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</si>
  <si>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</si>
  <si>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</si>
  <si>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</si>
  <si>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</si>
  <si>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</si>
  <si>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</si>
  <si>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</si>
  <si>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</si>
  <si>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</si>
  <si>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</si>
  <si>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</si>
  <si>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</si>
  <si>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</si>
  <si>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</si>
  <si>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</si>
  <si>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</si>
  <si>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</si>
  <si>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</si>
  <si>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</si>
  <si>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</si>
  <si>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</si>
  <si>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</si>
  <si>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</si>
  <si>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</si>
  <si>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</si>
  <si>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</si>
  <si>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</si>
  <si>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</si>
  <si>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</si>
  <si>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</si>
  <si>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</si>
  <si>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</si>
  <si>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</si>
  <si>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</si>
  <si>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</si>
  <si>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</si>
  <si>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</si>
  <si>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</si>
  <si>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</si>
  <si>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</si>
  <si>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</si>
  <si>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</si>
  <si>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</si>
  <si>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</si>
  <si>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</si>
  <si>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</si>
  <si>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</si>
  <si>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</si>
  <si>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</si>
  <si>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</si>
  <si>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</si>
  <si>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</si>
  <si>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</si>
  <si>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</si>
  <si>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</si>
  <si>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</si>
  <si>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</si>
  <si>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</si>
  <si>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</si>
  <si>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</si>
  <si>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</si>
  <si>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</si>
  <si>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</si>
  <si>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</si>
  <si>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</si>
  <si>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</si>
  <si>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</si>
  <si>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</si>
  <si>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</si>
  <si>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</si>
  <si>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</si>
  <si>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</si>
  <si>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</si>
  <si>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</si>
  <si>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</si>
  <si>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</si>
  <si>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</si>
  <si>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</si>
  <si>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</si>
  <si>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</si>
  <si>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</si>
  <si>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</si>
  <si>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</si>
  <si>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</si>
  <si>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</si>
  <si>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</si>
  <si>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</si>
  <si>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</si>
  <si>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</si>
  <si>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</si>
  <si>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</si>
  <si>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</si>
  <si>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</si>
  <si>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</si>
  <si>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</si>
  <si>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</si>
  <si>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</si>
  <si>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</si>
  <si>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</si>
  <si>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</si>
  <si>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</si>
  <si>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</si>
  <si>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</si>
  <si>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</si>
  <si>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</si>
  <si>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</si>
  <si>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</si>
  <si>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</si>
  <si>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</si>
  <si>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</si>
  <si>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</si>
  <si>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</si>
  <si>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</si>
  <si>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</si>
  <si>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</si>
  <si>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</si>
  <si>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</si>
  <si>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</si>
  <si>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</si>
  <si>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</si>
  <si>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</si>
  <si>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</si>
  <si>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</si>
  <si>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</si>
  <si>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</si>
  <si>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</si>
  <si>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</si>
  <si>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</si>
  <si>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</si>
  <si>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</si>
  <si>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</si>
  <si>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</si>
  <si>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</si>
  <si>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</si>
  <si>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</si>
  <si>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</si>
  <si>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</si>
  <si>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</si>
  <si>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</si>
  <si>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</si>
  <si>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</si>
  <si>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</si>
  <si>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</si>
  <si>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</si>
  <si>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</si>
  <si>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</si>
  <si>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</si>
  <si>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</si>
  <si>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</si>
  <si>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</si>
  <si>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</si>
  <si>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</si>
  <si>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</si>
  <si>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</si>
  <si>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</si>
  <si>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</si>
  <si>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</si>
  <si>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</si>
  <si>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</si>
  <si>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</si>
  <si>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</si>
  <si>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</si>
  <si>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</si>
  <si>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</si>
  <si>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</si>
  <si>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</si>
  <si>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</si>
  <si>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</si>
  <si>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</si>
  <si>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</si>
  <si>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</si>
  <si>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</si>
  <si>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</si>
  <si>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</si>
  <si>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</si>
  <si>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</si>
  <si>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</si>
  <si>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</si>
  <si>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</si>
  <si>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</si>
  <si>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</si>
  <si>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</si>
  <si>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</si>
  <si>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</si>
  <si>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</si>
  <si>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</si>
  <si>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</si>
  <si>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</si>
  <si>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</si>
  <si>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</si>
  <si>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</si>
  <si>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</si>
  <si>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</si>
  <si>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</si>
  <si>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</si>
  <si>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</si>
  <si>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</si>
  <si>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</si>
  <si>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</si>
  <si>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</si>
  <si>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</si>
  <si>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</si>
  <si>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</si>
  <si>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</si>
  <si>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</si>
  <si>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</si>
  <si>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</si>
  <si>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</si>
  <si>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</si>
  <si>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</si>
  <si>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</si>
  <si>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</si>
  <si>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</si>
  <si>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</si>
  <si>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</si>
  <si>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</si>
  <si>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</si>
  <si>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</si>
  <si>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</si>
  <si>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</si>
  <si>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</si>
  <si>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</si>
  <si>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</si>
  <si>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</si>
  <si>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</si>
  <si>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</si>
  <si>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</si>
  <si>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</si>
  <si>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</si>
  <si>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</si>
  <si>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</si>
  <si>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</si>
  <si>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</si>
  <si>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</si>
  <si>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</si>
  <si>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</si>
  <si>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</si>
  <si>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</si>
  <si>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</si>
  <si>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</si>
  <si>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</si>
  <si>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</si>
  <si>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</si>
  <si>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</si>
  <si>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</si>
  <si>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</si>
  <si>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</si>
  <si>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</si>
  <si>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</si>
  <si>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</si>
  <si>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</si>
  <si>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</si>
  <si>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</si>
  <si>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</si>
  <si>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</si>
  <si>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</si>
  <si>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</si>
  <si>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</si>
  <si>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</si>
  <si>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</si>
  <si>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</si>
  <si>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</si>
  <si>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</si>
  <si>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</si>
  <si>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</si>
  <si>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</si>
  <si>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</si>
  <si>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</si>
  <si>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</si>
  <si>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</si>
  <si>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</si>
  <si>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</si>
  <si>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</si>
  <si>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</si>
  <si>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</si>
  <si>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</si>
  <si>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</si>
  <si>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</si>
  <si>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</si>
  <si>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</si>
  <si>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</si>
  <si>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</si>
  <si>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</si>
  <si>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</si>
  <si>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</si>
  <si>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</si>
  <si>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</si>
  <si>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</si>
  <si>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</si>
  <si>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</si>
  <si>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</si>
  <si>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</si>
  <si>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</si>
  <si>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</si>
  <si>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</si>
  <si>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</si>
  <si>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</si>
  <si>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</si>
  <si>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</si>
  <si>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</si>
  <si>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</si>
  <si>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</si>
  <si>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</si>
  <si>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</si>
  <si>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</si>
  <si>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</si>
  <si>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</si>
  <si>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</si>
  <si>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</si>
  <si>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</si>
  <si>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</si>
  <si>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</si>
  <si>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</si>
  <si>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</si>
  <si>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</si>
  <si>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</si>
  <si>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</si>
  <si>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</si>
  <si>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</si>
  <si>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</si>
  <si>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</si>
  <si>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</si>
  <si>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</si>
  <si>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</si>
  <si>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</si>
  <si>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</si>
  <si>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</si>
  <si>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</si>
  <si>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</si>
  <si>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</si>
  <si>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</si>
  <si>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</si>
  <si>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</si>
  <si>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</si>
  <si>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</si>
  <si>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</si>
  <si>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</si>
  <si>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</si>
  <si>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</si>
  <si>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</si>
  <si>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</si>
  <si>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</si>
  <si>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</si>
  <si>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</si>
  <si>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</si>
  <si>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</si>
  <si>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</si>
  <si>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</si>
  <si>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</si>
  <si>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</si>
  <si>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</si>
  <si>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</si>
  <si>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</si>
  <si>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</si>
  <si>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</si>
  <si>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</si>
  <si>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</si>
  <si>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</si>
  <si>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</si>
  <si>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</si>
  <si>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</si>
  <si>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</si>
  <si>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</si>
  <si>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</si>
  <si>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</si>
  <si>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</si>
  <si>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</si>
  <si>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</si>
  <si>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</si>
  <si>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</si>
  <si>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</si>
  <si>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</si>
  <si>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</si>
  <si>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</si>
  <si>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</si>
  <si>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</si>
  <si>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</si>
  <si>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</si>
  <si>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</si>
  <si>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</si>
  <si>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</si>
  <si>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</si>
  <si>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</si>
  <si>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</si>
  <si>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</si>
  <si>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</si>
  <si>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</si>
  <si>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</si>
  <si>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</si>
  <si>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</si>
  <si>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</si>
  <si>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</si>
  <si>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</si>
  <si>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</si>
  <si>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</si>
  <si>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</si>
  <si>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</si>
  <si>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</si>
  <si>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</si>
  <si>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</si>
  <si>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</si>
  <si>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</si>
  <si>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</si>
  <si>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</si>
  <si>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</si>
  <si>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</si>
  <si>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</si>
  <si>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</si>
  <si>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</si>
  <si>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</si>
  <si>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</si>
  <si>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</si>
  <si>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</si>
  <si>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</si>
  <si>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</si>
  <si>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</si>
  <si>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</si>
  <si>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</si>
  <si>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</si>
  <si>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</si>
  <si>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</si>
  <si>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</si>
  <si>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</si>
  <si>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</si>
  <si>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</si>
  <si>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</si>
  <si>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</si>
  <si>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</si>
  <si>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</si>
  <si>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</si>
  <si>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</si>
  <si>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</si>
  <si>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</si>
  <si>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</si>
  <si>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</si>
  <si>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</si>
  <si>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</si>
  <si>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</si>
  <si>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</si>
  <si>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</si>
  <si>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</si>
  <si>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</si>
  <si>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</si>
  <si>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</si>
  <si>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</si>
  <si>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</si>
  <si>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</si>
  <si>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</si>
  <si>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</si>
  <si>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</si>
  <si>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</si>
  <si>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</si>
  <si>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</si>
  <si>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</si>
  <si>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</si>
  <si>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</si>
  <si>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</si>
  <si>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</si>
  <si>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</si>
  <si>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</si>
  <si>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</si>
  <si>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</si>
  <si>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</si>
  <si>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</si>
  <si>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</si>
  <si>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</si>
  <si>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</si>
  <si>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</si>
  <si>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</si>
  <si>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</si>
  <si>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</si>
  <si>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</si>
  <si>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</si>
  <si>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</si>
  <si>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</si>
  <si>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</si>
  <si>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</si>
  <si>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</si>
  <si>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</si>
  <si>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</si>
  <si>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</si>
  <si>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</si>
  <si>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</si>
  <si>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</si>
  <si>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</si>
  <si>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</si>
  <si>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</si>
  <si>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</si>
  <si>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</si>
  <si>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</si>
  <si>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</si>
  <si>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</si>
  <si>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</si>
  <si>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</si>
  <si>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</si>
  <si>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</si>
  <si>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</si>
  <si>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</si>
  <si>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</si>
  <si>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</si>
  <si>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</si>
  <si>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</si>
  <si>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</si>
  <si>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</si>
  <si>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</si>
  <si>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</si>
  <si>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</si>
  <si>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</si>
  <si>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</si>
  <si>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</si>
  <si>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</si>
  <si>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</si>
  <si>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</si>
  <si>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</si>
  <si>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</si>
  <si>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</si>
  <si>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</si>
  <si>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</si>
  <si>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</si>
  <si>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</si>
  <si>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</si>
  <si>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</si>
  <si>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</si>
  <si>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</si>
  <si>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</si>
  <si>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</si>
  <si>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</si>
  <si>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</si>
  <si>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</si>
  <si>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</si>
  <si>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</si>
  <si>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</si>
  <si>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</si>
  <si>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</si>
  <si>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</si>
  <si>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</si>
  <si>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</si>
  <si>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</si>
  <si>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</si>
  <si>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</si>
  <si>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</si>
  <si>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</si>
  <si>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</si>
  <si>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</si>
  <si>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</si>
  <si>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</si>
  <si>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</si>
  <si>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</si>
  <si>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</si>
  <si>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</si>
  <si>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</si>
  <si>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</si>
  <si>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</si>
  <si>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</si>
  <si>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</si>
  <si>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</si>
  <si>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</si>
  <si>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</si>
  <si>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</si>
  <si>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</si>
  <si>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</si>
  <si>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</si>
  <si>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</si>
  <si>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</si>
  <si>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</si>
  <si>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</si>
  <si>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</si>
  <si>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</si>
  <si>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</si>
  <si>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</si>
  <si>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</si>
  <si>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</si>
  <si>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</si>
  <si>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</si>
  <si>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</si>
  <si>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</si>
  <si>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</si>
  <si>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</si>
  <si>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</si>
  <si>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</si>
  <si>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</si>
  <si>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</si>
  <si>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</si>
  <si>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</si>
  <si>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</si>
  <si>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</si>
  <si>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</si>
  <si>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</si>
  <si>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</si>
  <si>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26 HAZİRAN YILDIZ DEPO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</si>
  <si>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</si>
  <si>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</si>
  <si>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</si>
  <si>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</si>
  <si>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</si>
  <si>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</si>
  <si>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</si>
  <si>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</si>
  <si>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</si>
  <si>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04 TEMMUZ HOROZ</t>
  </si>
  <si>
    <t>TEMMUZ  TOPTAN</t>
  </si>
  <si>
    <t>WEB TAHSİLAT BONUS 9</t>
  </si>
  <si>
    <t>31.08.2026 montaj zorunlu phase out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</si>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</sst>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5" fillId="0" borderId="1" xfId="1" applyNumberFormat="1" applyFont="1" applyFill="1" applyBorder="1" applyAlignment="1">
      <alignment horizontal="center" vertical="center" wrapText="1"/>
    </xf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57" activePane="bottomLeft" state="frozen"/>
      <selection pane="bottomLeft" activeCell="X72" sqref="X72"/>
    </sheetView>
  </sheetViews>
  <sheetFormatPr defaultColWidth="17.85546875" defaultRowHeight="17.25"/>
  <cols>
    <col min="1" max="1" width="15.85546875" style="118" customWidth="1"/>
    <col min="2" max="2" width="38.5703125" style="81" customWidth="1"/>
    <col min="3" max="3" width="7.5703125" style="29" bestFit="1" customWidth="1"/>
    <col min="4" max="4" width="7" style="33" customWidth="1"/>
    <col min="5" max="5" width="7" style="34" customWidth="1"/>
    <col min="6" max="6" width="4.5703125" style="34" customWidth="1"/>
    <col min="7" max="7" width="5" style="35" customWidth="1"/>
    <col min="8" max="8" width="5.85546875" style="35" customWidth="1"/>
    <col min="9" max="9" width="6.5703125" customWidth="1"/>
    <col min="10" max="10" width="4.5703125" customWidth="1"/>
    <col min="11" max="11" width="6.42578125" style="87" customWidth="1"/>
    <col min="12" max="12" width="7.140625" customWidth="1"/>
    <col min="13" max="13" width="8.28515625" style="25" customWidth="1"/>
    <col min="14" max="14" width="7" style="114" customWidth="1"/>
    <col min="15" max="15" width="7.85546875" style="113" bestFit="1" customWidth="1"/>
    <col min="16" max="16" width="7.85546875" style="101" bestFit="1" customWidth="1"/>
    <col min="17" max="17" width="12.5703125" style="46" bestFit="1" customWidth="1"/>
    <col min="18" max="18" width="12" style="15" bestFit="1" customWidth="1"/>
    <col min="19" max="19" width="9.85546875" style="37" bestFit="1" customWidth="1"/>
    <col min="20" max="21" width="9.5703125" style="37" customWidth="1"/>
    <col min="22" max="22" width="10.5703125" style="152" customWidth="1"/>
    <col min="23" max="23" width="8.85546875" style="174" bestFit="1" customWidth="1"/>
    <col min="24" max="24" width="13.140625" style="38" bestFit="1" customWidth="1"/>
  </cols>
  <sheetData>
    <row r="1" spans="1:28" s="7" customFormat="1" ht="69" customHeight="1">
      <c r="A1" s="93" t="s">
        <v>0</v>
      </c>
      <c r="B1" s="93" t="s">
        <v>1</v>
      </c>
      <c r="C1" s="2" t="s">
        <v>1767</v>
      </c>
      <c r="D1" s="41" t="s">
        <v>1754</v>
      </c>
      <c r="E1" s="3" t="s">
        <v>1757</v>
      </c>
      <c r="F1" s="88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5" t="s">
        <v>5</v>
      </c>
      <c r="L1" s="5" t="s">
        <v>6</v>
      </c>
      <c r="M1" s="85" t="s">
        <v>1755</v>
      </c>
      <c r="N1" s="6" t="s">
        <v>7</v>
      </c>
      <c r="O1" s="109" t="s">
        <v>1756</v>
      </c>
      <c r="P1" s="97" t="s">
        <v>1545</v>
      </c>
      <c r="Q1" s="150" t="s">
        <v>1768</v>
      </c>
      <c r="R1" s="68" t="s">
        <v>8</v>
      </c>
      <c r="S1" s="39" t="s">
        <v>9</v>
      </c>
      <c r="T1" s="39" t="s">
        <v>1666</v>
      </c>
      <c r="U1" s="175" t="s">
        <v>1769</v>
      </c>
      <c r="V1" s="150" t="s">
        <v>1758</v>
      </c>
      <c r="W1" s="176" t="s">
        <v>1770</v>
      </c>
      <c r="X1" s="92" t="s">
        <v>466</v>
      </c>
      <c r="Y1" s="21"/>
    </row>
    <row r="2" spans="1:28">
      <c r="A2" s="22" t="s">
        <v>10</v>
      </c>
      <c r="B2" s="4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53"/>
      <c r="N2" s="110">
        <f t="shared" ref="N2:N44" si="0">L2+M2+K2+J2+I2+H2+G2+F2+E2+D2+C2</f>
        <v>2</v>
      </c>
      <c r="O2" s="111"/>
      <c r="P2" s="98"/>
      <c r="Q2" s="67" t="s">
        <v>1559</v>
      </c>
      <c r="R2" s="19">
        <v>80000</v>
      </c>
      <c r="S2" s="12">
        <v>83200</v>
      </c>
      <c r="T2" s="12">
        <v>86400</v>
      </c>
      <c r="U2" s="12">
        <v>88000</v>
      </c>
      <c r="V2" s="13"/>
      <c r="W2" s="168"/>
      <c r="X2" s="14">
        <v>250</v>
      </c>
    </row>
    <row r="3" spans="1:28">
      <c r="A3" s="115" t="s">
        <v>11</v>
      </c>
      <c r="B3" s="4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53"/>
      <c r="N3" s="110">
        <f t="shared" si="0"/>
        <v>11</v>
      </c>
      <c r="O3" s="111"/>
      <c r="P3" s="98"/>
      <c r="Q3" s="46">
        <v>210521.1387075088</v>
      </c>
      <c r="R3" s="18">
        <v>199995.08177213336</v>
      </c>
      <c r="S3" s="12">
        <v>207994.8850430187</v>
      </c>
      <c r="T3" s="12">
        <v>215994.68831390401</v>
      </c>
      <c r="U3" s="12">
        <v>219994.5899493467</v>
      </c>
      <c r="V3" s="13"/>
      <c r="W3" s="168"/>
      <c r="X3" s="14"/>
    </row>
    <row r="4" spans="1:28">
      <c r="A4" s="115" t="s">
        <v>12</v>
      </c>
      <c r="B4" s="45" t="str">
        <f>IFERROR(HYPERLINK(VLOOKUP(A4,ÜRÜNLER!A:C,3,FALSE),VLOOKUP(A4,ÜRÜNLER!A:B,2,FALSE)),"")</f>
        <v>iQ300 Gardırop Tipi Buzdolabı, 90.5cm, BlackSteel</v>
      </c>
      <c r="C4" s="8">
        <v>22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53"/>
      <c r="N4" s="110">
        <f t="shared" si="0"/>
        <v>27</v>
      </c>
      <c r="O4" s="111"/>
      <c r="P4" s="98"/>
      <c r="Q4" s="46">
        <v>128387.14926793992</v>
      </c>
      <c r="R4" s="167">
        <v>119400.04881918413</v>
      </c>
      <c r="S4" s="12">
        <v>124176.0507719515</v>
      </c>
      <c r="T4" s="12">
        <v>128952.05272471886</v>
      </c>
      <c r="U4" s="12">
        <v>131340.05370110253</v>
      </c>
      <c r="V4" s="13">
        <v>32818.515008680683</v>
      </c>
      <c r="W4" s="168"/>
      <c r="X4" s="14"/>
    </row>
    <row r="5" spans="1:28">
      <c r="A5" s="22" t="s">
        <v>13</v>
      </c>
      <c r="B5" s="45" t="str">
        <f>IFERROR(HYPERLINK(VLOOKUP(A5,ÜRÜNLER!A:C,3,FALSE),VLOOKUP(A5,ÜRÜNLER!A:B,2,FALSE)),"")</f>
        <v>iQ300 Gardırop Tipi Buzdolabı, 90.5cm, Inox</v>
      </c>
      <c r="C5" s="8">
        <v>39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53"/>
      <c r="N5" s="110">
        <f t="shared" si="0"/>
        <v>42</v>
      </c>
      <c r="O5" s="111"/>
      <c r="P5" s="98"/>
      <c r="Q5" s="46">
        <v>113545.45097557975</v>
      </c>
      <c r="R5" s="167">
        <v>105597.26940728916</v>
      </c>
      <c r="S5" s="12">
        <v>109821.16018358072</v>
      </c>
      <c r="T5" s="12">
        <v>114045.05095987229</v>
      </c>
      <c r="U5" s="12">
        <v>116156.99634801807</v>
      </c>
      <c r="V5" s="13">
        <v>18996.613766277427</v>
      </c>
      <c r="W5" s="168"/>
      <c r="X5" s="14"/>
    </row>
    <row r="6" spans="1:28">
      <c r="A6" s="22" t="s">
        <v>14</v>
      </c>
      <c r="B6" s="4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53"/>
      <c r="N6" s="110">
        <f t="shared" si="0"/>
        <v>3</v>
      </c>
      <c r="O6" s="111"/>
      <c r="P6" s="98" t="s">
        <v>1546</v>
      </c>
      <c r="Q6" s="46">
        <v>31769.317170298298</v>
      </c>
      <c r="R6" s="18">
        <v>31769.317170298298</v>
      </c>
      <c r="S6" s="12">
        <v>33040.08985711023</v>
      </c>
      <c r="T6" s="12">
        <v>34310.862543922165</v>
      </c>
      <c r="U6" s="12">
        <v>34946.248887328125</v>
      </c>
      <c r="V6" s="13"/>
      <c r="W6" s="168"/>
      <c r="X6" s="14"/>
    </row>
    <row r="7" spans="1:28">
      <c r="A7" s="22" t="s">
        <v>15</v>
      </c>
      <c r="B7" s="45" t="str">
        <f>IFERROR(HYPERLINK(VLOOKUP(A7,ÜRÜNLER!A:C,3,FALSE),VLOOKUP(A7,ÜRÜNLER!A:B,2,FALSE)),"")</f>
        <v>iQ300 Üstten Donduruculu Kulpsuz Buzdolabı, 70cm, Beyaz</v>
      </c>
      <c r="C7" s="8">
        <v>6</v>
      </c>
      <c r="D7" s="8"/>
      <c r="E7" s="9"/>
      <c r="F7" s="9"/>
      <c r="G7" s="10"/>
      <c r="H7" s="10"/>
      <c r="I7" s="11"/>
      <c r="J7" s="11"/>
      <c r="K7" s="10"/>
      <c r="L7" s="11"/>
      <c r="M7" s="153"/>
      <c r="N7" s="110">
        <f t="shared" si="0"/>
        <v>6</v>
      </c>
      <c r="O7" s="111"/>
      <c r="P7" s="98" t="s">
        <v>1546</v>
      </c>
      <c r="Q7" s="46">
        <v>35726.772991589431</v>
      </c>
      <c r="R7" s="167">
        <v>35000</v>
      </c>
      <c r="S7" s="12">
        <v>36400</v>
      </c>
      <c r="T7" s="12">
        <v>37800</v>
      </c>
      <c r="U7" s="12">
        <v>38500</v>
      </c>
      <c r="V7" s="13">
        <v>979.09857298477436</v>
      </c>
      <c r="W7" s="168"/>
      <c r="X7" s="14"/>
    </row>
    <row r="8" spans="1:28">
      <c r="A8" s="22" t="s">
        <v>1332</v>
      </c>
      <c r="B8" s="4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53"/>
      <c r="N8" s="110">
        <f t="shared" si="0"/>
        <v>8</v>
      </c>
      <c r="O8" s="111"/>
      <c r="P8" s="98" t="s">
        <v>1546</v>
      </c>
      <c r="Q8" s="46">
        <v>41958.59538636652</v>
      </c>
      <c r="R8" s="167">
        <v>41000</v>
      </c>
      <c r="S8" s="12">
        <v>42640</v>
      </c>
      <c r="T8" s="12">
        <v>44280</v>
      </c>
      <c r="U8" s="12">
        <v>45100</v>
      </c>
      <c r="V8" s="13">
        <v>5859.7581770641918</v>
      </c>
      <c r="W8" s="168"/>
      <c r="X8" s="14"/>
    </row>
    <row r="9" spans="1:28">
      <c r="A9" s="22" t="s">
        <v>16</v>
      </c>
      <c r="B9" s="4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53"/>
      <c r="N9" s="110">
        <f t="shared" si="0"/>
        <v>1</v>
      </c>
      <c r="O9" s="111"/>
      <c r="P9" s="98"/>
      <c r="Q9" s="67" t="s">
        <v>1559</v>
      </c>
      <c r="R9" s="15">
        <v>40000</v>
      </c>
      <c r="S9" s="12">
        <v>41600</v>
      </c>
      <c r="T9" s="12">
        <v>43200</v>
      </c>
      <c r="U9" s="12">
        <v>44000</v>
      </c>
      <c r="V9" s="13"/>
      <c r="W9" s="168"/>
      <c r="X9" s="14">
        <v>250</v>
      </c>
      <c r="Z9" s="16"/>
      <c r="AA9" s="16"/>
      <c r="AB9" s="16"/>
    </row>
    <row r="10" spans="1:28">
      <c r="A10" s="22" t="s">
        <v>18</v>
      </c>
      <c r="B10" s="4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53"/>
      <c r="N10" s="110">
        <f t="shared" si="0"/>
        <v>12</v>
      </c>
      <c r="O10" s="111"/>
      <c r="P10" s="98"/>
      <c r="Q10" s="46">
        <v>82878.063449484252</v>
      </c>
      <c r="R10" s="167">
        <v>77000</v>
      </c>
      <c r="S10" s="12">
        <v>80080</v>
      </c>
      <c r="T10" s="12">
        <v>83160</v>
      </c>
      <c r="U10" s="12">
        <v>84700</v>
      </c>
      <c r="V10" s="13">
        <v>14278.063449484282</v>
      </c>
      <c r="W10" s="168"/>
      <c r="X10" s="14"/>
    </row>
    <row r="11" spans="1:28">
      <c r="A11" s="22" t="s">
        <v>1548</v>
      </c>
      <c r="B11" s="45" t="str">
        <f>IFERROR(HYPERLINK(VLOOKUP(A11,ÜRÜNLER!A:C,3,FALSE),VLOOKUP(A11,ÜRÜNLER!A:B,2,FALSE)),"")</f>
        <v>iQ500 Üstten Donduruculu Kulplu Buzdolabı, 75cm, Beyaz</v>
      </c>
      <c r="C11" s="8">
        <v>5</v>
      </c>
      <c r="D11" s="8"/>
      <c r="E11" s="9"/>
      <c r="F11" s="9"/>
      <c r="G11" s="10"/>
      <c r="H11" s="10"/>
      <c r="I11" s="11"/>
      <c r="J11" s="11"/>
      <c r="K11" s="10"/>
      <c r="L11" s="11"/>
      <c r="M11" s="153"/>
      <c r="N11" s="110">
        <f t="shared" si="0"/>
        <v>5</v>
      </c>
      <c r="O11" s="111"/>
      <c r="P11" s="98"/>
      <c r="Q11" s="46">
        <v>60820.822674418603</v>
      </c>
      <c r="R11" s="18">
        <v>57779.781540697673</v>
      </c>
      <c r="S11" s="12">
        <v>60090.972802325581</v>
      </c>
      <c r="T11" s="12">
        <v>62402.164063953489</v>
      </c>
      <c r="U11" s="12">
        <v>63557.759694767439</v>
      </c>
      <c r="V11" s="13"/>
      <c r="W11" s="168"/>
      <c r="X11" s="14"/>
    </row>
    <row r="12" spans="1:28">
      <c r="A12" s="116" t="s">
        <v>20</v>
      </c>
      <c r="B12" s="4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53"/>
      <c r="N12" s="110">
        <f t="shared" si="0"/>
        <v>13</v>
      </c>
      <c r="O12" s="111"/>
      <c r="P12" s="98"/>
      <c r="Q12" s="46">
        <v>66166.491473588918</v>
      </c>
      <c r="R12" s="167">
        <v>61000</v>
      </c>
      <c r="S12" s="12">
        <v>63440</v>
      </c>
      <c r="T12" s="12">
        <v>65880</v>
      </c>
      <c r="U12" s="12">
        <v>67100</v>
      </c>
      <c r="V12" s="13">
        <v>4802.5379852168335</v>
      </c>
      <c r="W12" s="168"/>
      <c r="X12" s="17"/>
    </row>
    <row r="13" spans="1:28">
      <c r="A13" s="116" t="s">
        <v>21</v>
      </c>
      <c r="B13" s="45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53"/>
      <c r="N13" s="110">
        <f t="shared" si="0"/>
        <v>8</v>
      </c>
      <c r="O13" s="111">
        <v>1</v>
      </c>
      <c r="P13" s="98"/>
      <c r="Q13" s="46">
        <v>61265.269882952707</v>
      </c>
      <c r="R13" s="18">
        <v>58202.006388805072</v>
      </c>
      <c r="S13" s="12">
        <v>60530.086644357274</v>
      </c>
      <c r="T13" s="12">
        <v>62858.166899909476</v>
      </c>
      <c r="U13" s="12">
        <v>64022.207027685581</v>
      </c>
      <c r="V13" s="13">
        <v>3669.9210457434092</v>
      </c>
      <c r="W13" s="168"/>
      <c r="X13" s="17"/>
    </row>
    <row r="14" spans="1:28">
      <c r="A14" s="116" t="s">
        <v>1323</v>
      </c>
      <c r="B14" s="4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53"/>
      <c r="N14" s="110">
        <f t="shared" si="0"/>
        <v>1</v>
      </c>
      <c r="O14" s="111"/>
      <c r="P14" s="98"/>
      <c r="Q14" s="67" t="s">
        <v>1559</v>
      </c>
      <c r="R14" s="23">
        <v>55000</v>
      </c>
      <c r="S14" s="12">
        <v>57200</v>
      </c>
      <c r="T14" s="12">
        <v>59400</v>
      </c>
      <c r="U14" s="12">
        <v>60500</v>
      </c>
      <c r="V14" s="13"/>
      <c r="W14" s="168"/>
      <c r="X14" s="14">
        <v>250</v>
      </c>
    </row>
    <row r="15" spans="1:28">
      <c r="A15" s="22" t="s">
        <v>22</v>
      </c>
      <c r="B15" s="45" t="str">
        <f>IFERROR(HYPERLINK(VLOOKUP(A15,ÜRÜNLER!A:C,3,FALSE),VLOOKUP(A15,ÜRÜNLER!A:B,2,FALSE)),"")</f>
        <v>iQ500 Üstten Donduruculu Kulplu Buzdolabı, 86cm, Inox</v>
      </c>
      <c r="C15" s="8">
        <v>11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53">
        <v>1</v>
      </c>
      <c r="N15" s="110">
        <f t="shared" si="0"/>
        <v>15</v>
      </c>
      <c r="O15" s="111">
        <v>2</v>
      </c>
      <c r="P15" s="98"/>
      <c r="Q15" s="46">
        <v>95662.202301541009</v>
      </c>
      <c r="R15" s="18">
        <v>90879.092186463953</v>
      </c>
      <c r="S15" s="12">
        <v>94514.255873922506</v>
      </c>
      <c r="T15" s="12">
        <v>98149.419561381073</v>
      </c>
      <c r="U15" s="12">
        <v>99967.00140511035</v>
      </c>
      <c r="V15" s="13">
        <v>20501.737185261954</v>
      </c>
      <c r="W15" s="168"/>
      <c r="X15" s="14"/>
    </row>
    <row r="16" spans="1:28">
      <c r="A16" s="22" t="s">
        <v>25</v>
      </c>
      <c r="B16" s="4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53"/>
      <c r="N16" s="110">
        <f t="shared" si="0"/>
        <v>8</v>
      </c>
      <c r="O16" s="111"/>
      <c r="P16" s="98"/>
      <c r="Q16" s="46">
        <v>83239.541994694649</v>
      </c>
      <c r="R16" s="18">
        <v>79077.564894959913</v>
      </c>
      <c r="S16" s="12">
        <v>82240.667490758307</v>
      </c>
      <c r="T16" s="12">
        <v>85403.770086556702</v>
      </c>
      <c r="U16" s="12">
        <v>86985.321384455907</v>
      </c>
      <c r="V16" s="13">
        <v>13182.565250508635</v>
      </c>
      <c r="W16" s="168"/>
      <c r="X16" s="14"/>
    </row>
    <row r="17" spans="1:28" s="16" customFormat="1">
      <c r="A17" s="22" t="s">
        <v>26</v>
      </c>
      <c r="B17" s="4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53"/>
      <c r="N17" s="110">
        <f t="shared" si="0"/>
        <v>1</v>
      </c>
      <c r="O17" s="111"/>
      <c r="P17" s="98"/>
      <c r="Q17" s="67" t="s">
        <v>1559</v>
      </c>
      <c r="R17" s="15">
        <v>55000</v>
      </c>
      <c r="S17" s="12">
        <v>57200</v>
      </c>
      <c r="T17" s="12">
        <v>59400</v>
      </c>
      <c r="U17" s="12">
        <v>60500</v>
      </c>
      <c r="V17" s="13"/>
      <c r="W17" s="168"/>
      <c r="X17" s="14">
        <v>250</v>
      </c>
      <c r="Y17"/>
      <c r="Z17"/>
      <c r="AA17"/>
      <c r="AB17"/>
    </row>
    <row r="18" spans="1:28">
      <c r="A18" s="116" t="s">
        <v>27</v>
      </c>
      <c r="B18" s="4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53"/>
      <c r="N18" s="110">
        <f t="shared" si="0"/>
        <v>1</v>
      </c>
      <c r="O18" s="111"/>
      <c r="P18" s="98"/>
      <c r="Q18" s="67" t="s">
        <v>1559</v>
      </c>
      <c r="R18" s="15">
        <v>40000</v>
      </c>
      <c r="S18" s="12">
        <v>41600</v>
      </c>
      <c r="T18" s="12">
        <v>43200</v>
      </c>
      <c r="U18" s="12">
        <v>44000</v>
      </c>
      <c r="V18" s="13"/>
      <c r="W18" s="168"/>
      <c r="X18" s="14">
        <v>250</v>
      </c>
      <c r="Y18" s="16"/>
    </row>
    <row r="19" spans="1:28">
      <c r="A19" s="22" t="s">
        <v>28</v>
      </c>
      <c r="B19" s="45" t="str">
        <f>IFERROR(HYPERLINK(VLOOKUP(A19,ÜRÜNLER!A:C,3,FALSE),VLOOKUP(A19,ÜRÜNLER!A:B,2,FALSE)),"")</f>
        <v>iQ300 Alttan Donduruculu Kulpsuz Buzdolabı, 70cm, Inox</v>
      </c>
      <c r="C19" s="8">
        <v>112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53"/>
      <c r="N19" s="110">
        <f t="shared" si="0"/>
        <v>121</v>
      </c>
      <c r="O19" s="111"/>
      <c r="P19" s="98"/>
      <c r="Q19" s="46">
        <v>63469.622177112884</v>
      </c>
      <c r="R19" s="167">
        <v>59026.748624714979</v>
      </c>
      <c r="S19" s="12">
        <v>61387.818569703581</v>
      </c>
      <c r="T19" s="12">
        <v>63748.888514692175</v>
      </c>
      <c r="U19" s="12">
        <v>64929.423487186476</v>
      </c>
      <c r="V19" s="13">
        <v>15763.808223624525</v>
      </c>
      <c r="W19" s="168"/>
      <c r="X19" s="14"/>
    </row>
    <row r="20" spans="1:28">
      <c r="A20" s="22" t="s">
        <v>29</v>
      </c>
      <c r="B20" s="45" t="str">
        <f>IFERROR(HYPERLINK(VLOOKUP(A20,ÜRÜNLER!A:C,3,FALSE),VLOOKUP(A20,ÜRÜNLER!A:B,2,FALSE)),"")</f>
        <v>iQ300 Alttan Donduruculu Kulpsuz Buzdolabı, 70cm, Beyaz</v>
      </c>
      <c r="C20" s="8">
        <v>93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53"/>
      <c r="N20" s="110">
        <f t="shared" si="0"/>
        <v>96</v>
      </c>
      <c r="O20" s="111"/>
      <c r="P20" s="98"/>
      <c r="Q20" s="46">
        <v>57039.061267121113</v>
      </c>
      <c r="R20" s="167">
        <v>53046.326978422636</v>
      </c>
      <c r="S20" s="12">
        <v>55168.180057559541</v>
      </c>
      <c r="T20" s="12">
        <v>57290.033136696446</v>
      </c>
      <c r="U20" s="12">
        <v>58350.959676264902</v>
      </c>
      <c r="V20" s="13">
        <v>11099.526383400196</v>
      </c>
      <c r="W20" s="168"/>
      <c r="X20" s="14"/>
    </row>
    <row r="21" spans="1:28">
      <c r="A21" s="22" t="s">
        <v>30</v>
      </c>
      <c r="B21" s="45" t="str">
        <f>IFERROR(HYPERLINK(VLOOKUP(A21,ÜRÜNLER!A:C,3,FALSE),VLOOKUP(A21,ÜRÜNLER!A:B,2,FALSE)),"")</f>
        <v>iQ300 Alttan Donduruculu Kulpsuz Buzdolabı, 70cm, Inox</v>
      </c>
      <c r="C21" s="8">
        <v>15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53"/>
      <c r="N21" s="110">
        <f t="shared" si="0"/>
        <v>17</v>
      </c>
      <c r="O21" s="111"/>
      <c r="P21" s="98"/>
      <c r="Q21" s="46">
        <v>51274.362665302433</v>
      </c>
      <c r="R21" s="167">
        <v>47685.157278731262</v>
      </c>
      <c r="S21" s="12">
        <v>49592.563569880513</v>
      </c>
      <c r="T21" s="12">
        <v>51499.969861029764</v>
      </c>
      <c r="U21" s="12">
        <v>52453.673006604389</v>
      </c>
      <c r="V21" s="13">
        <v>7695.2928978605705</v>
      </c>
      <c r="W21" s="168"/>
      <c r="X21" s="14"/>
    </row>
    <row r="22" spans="1:28">
      <c r="A22" s="22" t="s">
        <v>31</v>
      </c>
      <c r="B22" s="4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53"/>
      <c r="N22" s="110">
        <f t="shared" si="0"/>
        <v>3</v>
      </c>
      <c r="O22" s="111"/>
      <c r="P22" s="98"/>
      <c r="Q22" s="46">
        <v>46796.712690055007</v>
      </c>
      <c r="R22" s="18">
        <v>44456.877055552257</v>
      </c>
      <c r="S22" s="12">
        <v>46235.152137774348</v>
      </c>
      <c r="T22" s="12">
        <v>48013.42721999644</v>
      </c>
      <c r="U22" s="12">
        <v>48902.564761107482</v>
      </c>
      <c r="V22" s="13">
        <v>6481.5964109852357</v>
      </c>
      <c r="W22" s="168"/>
      <c r="X22" s="14"/>
    </row>
    <row r="23" spans="1:28">
      <c r="A23" s="115" t="s">
        <v>32</v>
      </c>
      <c r="B23" s="45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53">
        <v>1</v>
      </c>
      <c r="N23" s="110">
        <f t="shared" si="0"/>
        <v>16</v>
      </c>
      <c r="O23" s="111"/>
      <c r="P23" s="98"/>
      <c r="Q23" s="46">
        <v>58065.821991796955</v>
      </c>
      <c r="R23" s="18">
        <v>55162.530892207105</v>
      </c>
      <c r="S23" s="12">
        <v>57369.032127895392</v>
      </c>
      <c r="T23" s="12">
        <v>59575.533363583672</v>
      </c>
      <c r="U23" s="12">
        <v>60678.783981427812</v>
      </c>
      <c r="V23" s="13"/>
      <c r="W23" s="168"/>
      <c r="X23" s="14"/>
    </row>
    <row r="24" spans="1:28">
      <c r="A24" s="117" t="s">
        <v>33</v>
      </c>
      <c r="B24" s="4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53"/>
      <c r="N24" s="110">
        <f t="shared" si="0"/>
        <v>1</v>
      </c>
      <c r="O24" s="111"/>
      <c r="P24" s="98"/>
      <c r="Q24" s="67" t="s">
        <v>1559</v>
      </c>
      <c r="R24" s="19">
        <v>48000</v>
      </c>
      <c r="S24" s="12">
        <v>49920</v>
      </c>
      <c r="T24" s="12">
        <v>51840</v>
      </c>
      <c r="U24" s="12">
        <v>52800</v>
      </c>
      <c r="V24" s="13"/>
      <c r="W24" s="168"/>
      <c r="X24" s="14">
        <v>250</v>
      </c>
    </row>
    <row r="25" spans="1:28">
      <c r="A25" s="117" t="s">
        <v>34</v>
      </c>
      <c r="B25" s="4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53"/>
      <c r="N25" s="110">
        <f t="shared" si="0"/>
        <v>1</v>
      </c>
      <c r="O25" s="111"/>
      <c r="P25" s="98"/>
      <c r="Q25" s="67" t="s">
        <v>1559</v>
      </c>
      <c r="R25" s="19">
        <v>48000</v>
      </c>
      <c r="S25" s="12">
        <v>49920</v>
      </c>
      <c r="T25" s="12">
        <v>51840</v>
      </c>
      <c r="U25" s="12">
        <v>52800</v>
      </c>
      <c r="V25" s="13"/>
      <c r="W25" s="168"/>
      <c r="X25" s="14">
        <v>250</v>
      </c>
    </row>
    <row r="26" spans="1:28">
      <c r="A26" s="117" t="s">
        <v>35</v>
      </c>
      <c r="B26" s="4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>
        <v>1</v>
      </c>
      <c r="J26" s="11"/>
      <c r="K26" s="10">
        <v>1</v>
      </c>
      <c r="L26" s="11"/>
      <c r="M26" s="153"/>
      <c r="N26" s="110">
        <f t="shared" si="0"/>
        <v>2</v>
      </c>
      <c r="O26" s="111"/>
      <c r="P26" s="98"/>
      <c r="Q26" s="67" t="s">
        <v>1559</v>
      </c>
      <c r="R26" s="19">
        <v>48000</v>
      </c>
      <c r="S26" s="12">
        <v>49920</v>
      </c>
      <c r="T26" s="12">
        <v>51840</v>
      </c>
      <c r="U26" s="12">
        <v>52800</v>
      </c>
      <c r="V26" s="13"/>
      <c r="W26" s="168"/>
      <c r="X26" s="14">
        <v>250</v>
      </c>
    </row>
    <row r="27" spans="1:28">
      <c r="A27" s="117" t="s">
        <v>1650</v>
      </c>
      <c r="B27" s="45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53"/>
      <c r="N27" s="110">
        <f t="shared" si="0"/>
        <v>5</v>
      </c>
      <c r="O27" s="111"/>
      <c r="P27" s="98"/>
      <c r="Q27" s="46">
        <v>38507.813953488374</v>
      </c>
      <c r="R27" s="19">
        <v>38507.813953488374</v>
      </c>
      <c r="S27" s="12">
        <v>40048.12651162791</v>
      </c>
      <c r="T27" s="12">
        <v>41588.439069767446</v>
      </c>
      <c r="U27" s="12">
        <v>42358.595348837211</v>
      </c>
      <c r="V27" s="13"/>
      <c r="W27" s="168"/>
      <c r="X27" s="14"/>
    </row>
    <row r="28" spans="1:28">
      <c r="A28" s="22" t="s">
        <v>1656</v>
      </c>
      <c r="B28" s="45" t="str">
        <f>IFERROR(HYPERLINK(VLOOKUP(A28,ÜRÜNLER!A:C,3,FALSE),VLOOKUP(A28,ÜRÜNLER!A:B,2,FALSE)),"")</f>
        <v>iQ300 Alttan Donduruculu Kulpsuz Buzdolabı, 70cm, Inox (Wi-Fi)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1"/>
      <c r="M28" s="153"/>
      <c r="N28" s="110">
        <f t="shared" si="0"/>
        <v>1</v>
      </c>
      <c r="O28" s="111"/>
      <c r="P28" s="98"/>
      <c r="Q28" s="46">
        <v>45794.451374207194</v>
      </c>
      <c r="R28" s="19">
        <v>45794.451374207194</v>
      </c>
      <c r="S28" s="12">
        <v>47626.229429175481</v>
      </c>
      <c r="T28" s="12">
        <v>49458.007484143767</v>
      </c>
      <c r="U28" s="12">
        <v>50373.896511627914</v>
      </c>
      <c r="V28" s="13">
        <v>367.70718816068256</v>
      </c>
      <c r="W28" s="168"/>
      <c r="X28" s="14"/>
    </row>
    <row r="29" spans="1:28">
      <c r="A29" s="22" t="s">
        <v>1653</v>
      </c>
      <c r="B29" s="45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53"/>
      <c r="N29" s="110">
        <f t="shared" si="0"/>
        <v>0</v>
      </c>
      <c r="O29" s="111">
        <v>5</v>
      </c>
      <c r="P29" s="98"/>
      <c r="Q29" s="46">
        <v>42393.398520084571</v>
      </c>
      <c r="R29" s="19">
        <v>42393.398520084571</v>
      </c>
      <c r="S29" s="12">
        <v>44089.134460887952</v>
      </c>
      <c r="T29" s="12">
        <v>45784.87040169134</v>
      </c>
      <c r="U29" s="12">
        <v>46632.73837209303</v>
      </c>
      <c r="V29" s="13"/>
      <c r="W29" s="168"/>
      <c r="X29" s="14"/>
    </row>
    <row r="30" spans="1:28">
      <c r="A30" s="22" t="s">
        <v>37</v>
      </c>
      <c r="B30" s="45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1"/>
      <c r="M30" s="153"/>
      <c r="N30" s="110">
        <f t="shared" si="0"/>
        <v>16</v>
      </c>
      <c r="O30" s="111"/>
      <c r="P30" s="98"/>
      <c r="Q30" s="46">
        <v>82180.742173545514</v>
      </c>
      <c r="R30" s="18">
        <v>78071.705064868234</v>
      </c>
      <c r="S30" s="12">
        <v>81194.573267462969</v>
      </c>
      <c r="T30" s="12">
        <v>84317.441470057689</v>
      </c>
      <c r="U30" s="12">
        <v>85878.875571355064</v>
      </c>
      <c r="V30" s="13">
        <v>2991.2072898245679</v>
      </c>
      <c r="W30" s="168"/>
      <c r="X30" s="14">
        <v>250</v>
      </c>
    </row>
    <row r="31" spans="1:28">
      <c r="A31" s="22" t="s">
        <v>38</v>
      </c>
      <c r="B31" s="45" t="str">
        <f>IFERROR(HYPERLINK(VLOOKUP(A31,ÜRÜNLER!A:C,3,FALSE),VLOOKUP(A31,ÜRÜNLER!A:B,2,FALSE)),"")</f>
        <v>iQ500 Alttan Donduruculu Kulplu Buzdolabı, 75cm, Inox</v>
      </c>
      <c r="C31" s="8">
        <v>34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53"/>
      <c r="N31" s="110">
        <f t="shared" si="0"/>
        <v>40</v>
      </c>
      <c r="O31" s="111">
        <v>1</v>
      </c>
      <c r="P31" s="98"/>
      <c r="Q31" s="46">
        <v>84280.725891198905</v>
      </c>
      <c r="R31" s="18">
        <v>80066.689596638957</v>
      </c>
      <c r="S31" s="12">
        <v>83269.357180504521</v>
      </c>
      <c r="T31" s="12">
        <v>86472.024764370071</v>
      </c>
      <c r="U31" s="12">
        <v>88073.358556302846</v>
      </c>
      <c r="V31" s="13">
        <v>13930.725891198936</v>
      </c>
      <c r="W31" s="168"/>
      <c r="X31" s="14"/>
      <c r="Y31" s="20"/>
    </row>
    <row r="32" spans="1:28" s="20" customFormat="1">
      <c r="A32" s="22" t="s">
        <v>39</v>
      </c>
      <c r="B32" s="45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53"/>
      <c r="N32" s="110">
        <f t="shared" si="0"/>
        <v>48</v>
      </c>
      <c r="O32" s="111"/>
      <c r="P32" s="98"/>
      <c r="Q32" s="46">
        <v>77045.04375450201</v>
      </c>
      <c r="R32" s="18">
        <v>73192.791566776912</v>
      </c>
      <c r="S32" s="12">
        <v>76120.50322944799</v>
      </c>
      <c r="T32" s="12">
        <v>79048.214892119067</v>
      </c>
      <c r="U32" s="12">
        <v>80512.070723454599</v>
      </c>
      <c r="V32" s="13">
        <v>9714.8111963624833</v>
      </c>
      <c r="W32" s="168"/>
      <c r="X32" s="14"/>
      <c r="Y32"/>
    </row>
    <row r="33" spans="1:24">
      <c r="A33" s="115" t="s">
        <v>40</v>
      </c>
      <c r="B33" s="45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53"/>
      <c r="N33" s="110">
        <f t="shared" si="0"/>
        <v>3</v>
      </c>
      <c r="O33" s="111">
        <v>39</v>
      </c>
      <c r="P33" s="98"/>
      <c r="Q33" s="46">
        <v>95152.057390036483</v>
      </c>
      <c r="R33" s="23">
        <v>95152.057390036483</v>
      </c>
      <c r="S33" s="12">
        <v>98958.139685637943</v>
      </c>
      <c r="T33" s="12">
        <v>102764.2219812394</v>
      </c>
      <c r="U33" s="12">
        <v>104667.26312904013</v>
      </c>
      <c r="V33" s="13">
        <v>23157.871343524868</v>
      </c>
      <c r="W33" s="168"/>
      <c r="X33" s="14"/>
    </row>
    <row r="34" spans="1:24">
      <c r="A34" s="22" t="s">
        <v>41</v>
      </c>
      <c r="B34" s="4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53"/>
      <c r="N34" s="110">
        <f t="shared" si="0"/>
        <v>41</v>
      </c>
      <c r="O34" s="111">
        <v>1</v>
      </c>
      <c r="P34" s="98"/>
      <c r="Q34" s="46">
        <v>76173.043294544681</v>
      </c>
      <c r="R34" s="18">
        <v>72364.39112981745</v>
      </c>
      <c r="S34" s="12">
        <v>75258.966775010151</v>
      </c>
      <c r="T34" s="12">
        <v>78153.542420202852</v>
      </c>
      <c r="U34" s="12">
        <v>79600.830242799188</v>
      </c>
      <c r="V34" s="13">
        <v>12090.48515500981</v>
      </c>
      <c r="W34" s="168"/>
      <c r="X34" s="14"/>
    </row>
    <row r="35" spans="1:24">
      <c r="A35" s="22" t="s">
        <v>42</v>
      </c>
      <c r="B35" s="45" t="str">
        <f>IFERROR(HYPERLINK(VLOOKUP(A35,ÜRÜNLER!A:C,3,FALSE),VLOOKUP(A35,ÜRÜNLER!A:B,2,FALSE)),"")</f>
        <v>iQ300 Alttan Donduruculu Kulpsuz Buzdolabı, 75cm, Beyaz</v>
      </c>
      <c r="C35" s="8">
        <v>48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53"/>
      <c r="N35" s="110">
        <f t="shared" si="0"/>
        <v>51</v>
      </c>
      <c r="O35" s="111"/>
      <c r="P35" s="98"/>
      <c r="Q35" s="46">
        <v>68727.331170743899</v>
      </c>
      <c r="R35" s="167">
        <v>63916.417988791829</v>
      </c>
      <c r="S35" s="12">
        <v>66473.074708343498</v>
      </c>
      <c r="T35" s="12">
        <v>69029.731427895182</v>
      </c>
      <c r="U35" s="12">
        <v>70308.059787671009</v>
      </c>
      <c r="V35" s="13">
        <v>7119.1916358601738</v>
      </c>
      <c r="W35" s="168"/>
      <c r="X35" s="14"/>
    </row>
    <row r="36" spans="1:24">
      <c r="A36" s="22" t="s">
        <v>43</v>
      </c>
      <c r="B36" s="45" t="str">
        <f>IFERROR(HYPERLINK(VLOOKUP(A36,ÜRÜNLER!A:C,3,FALSE),VLOOKUP(A36,ÜRÜNLER!A:B,2,FALSE)),"")</f>
        <v>iQ700 Alttan Donduruculu Kulplu Buzdolabı, 75cm, Inox</v>
      </c>
      <c r="C36" s="8">
        <v>59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53"/>
      <c r="N36" s="110">
        <f t="shared" si="0"/>
        <v>65</v>
      </c>
      <c r="O36" s="111">
        <v>1</v>
      </c>
      <c r="P36" s="98"/>
      <c r="Q36" s="46">
        <v>89108.337432470944</v>
      </c>
      <c r="R36" s="167">
        <v>82870.753812197974</v>
      </c>
      <c r="S36" s="12">
        <v>86185.583964685895</v>
      </c>
      <c r="T36" s="12">
        <v>89500.414117173816</v>
      </c>
      <c r="U36" s="12">
        <v>91157.829193417769</v>
      </c>
      <c r="V36" s="13">
        <v>11562.988595261648</v>
      </c>
      <c r="W36" s="168"/>
      <c r="X36" s="14"/>
    </row>
    <row r="37" spans="1:24">
      <c r="A37" s="22" t="s">
        <v>44</v>
      </c>
      <c r="B37" s="4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53"/>
      <c r="N37" s="110">
        <f t="shared" si="0"/>
        <v>38</v>
      </c>
      <c r="O37" s="111">
        <v>1</v>
      </c>
      <c r="P37" s="99"/>
      <c r="Q37" s="46">
        <v>82556.234666907607</v>
      </c>
      <c r="R37" s="167">
        <v>76777.298240224074</v>
      </c>
      <c r="S37" s="12">
        <v>79848.39016983303</v>
      </c>
      <c r="T37" s="12">
        <v>82919.482099442001</v>
      </c>
      <c r="U37" s="12">
        <v>84455.028064246479</v>
      </c>
      <c r="V37" s="13">
        <v>9308.5602483029652</v>
      </c>
      <c r="W37" s="168"/>
      <c r="X37" s="14"/>
    </row>
    <row r="38" spans="1:24" s="20" customFormat="1">
      <c r="A38" s="21" t="s">
        <v>45</v>
      </c>
      <c r="B38" s="45" t="str">
        <f>IFERROR(HYPERLINK(VLOOKUP(A38,ÜRÜNLER!A:C,3,FALSE),VLOOKUP(A38,ÜRÜNLER!A:B,2,FALSE)),"")</f>
        <v>iQ500 Alttan Donduruculu Kulplu Buzdolabı, 86cm, Inox</v>
      </c>
      <c r="C38" s="8">
        <v>189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53"/>
      <c r="N38" s="110">
        <f t="shared" si="0"/>
        <v>196</v>
      </c>
      <c r="O38" s="111"/>
      <c r="P38" s="98"/>
      <c r="Q38" s="46">
        <v>97945.23362132156</v>
      </c>
      <c r="R38" s="167">
        <v>91089.067267829058</v>
      </c>
      <c r="S38" s="12">
        <v>94732.629958542224</v>
      </c>
      <c r="T38" s="12">
        <v>98376.192649255376</v>
      </c>
      <c r="U38" s="12">
        <v>100197.97399461197</v>
      </c>
      <c r="V38" s="13">
        <v>22125.466179461117</v>
      </c>
      <c r="W38" s="168"/>
      <c r="X38" s="14"/>
    </row>
    <row r="39" spans="1:24" s="20" customFormat="1">
      <c r="A39" s="22" t="s">
        <v>46</v>
      </c>
      <c r="B39" s="45" t="str">
        <f>IFERROR(HYPERLINK(VLOOKUP(A39,ÜRÜNLER!A:C,3,FALSE),VLOOKUP(A39,ÜRÜNLER!A:B,2,FALSE)),"")</f>
        <v>iQ500 Alttan Donduruculu Kulplu Buzdolabı, 86cm, Beyaz</v>
      </c>
      <c r="C39" s="8">
        <v>23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53"/>
      <c r="N39" s="110">
        <f t="shared" si="0"/>
        <v>25</v>
      </c>
      <c r="O39" s="111"/>
      <c r="P39" s="99"/>
      <c r="Q39" s="46">
        <v>84927.532970575048</v>
      </c>
      <c r="R39" s="167">
        <v>78982.6056626348</v>
      </c>
      <c r="S39" s="12">
        <v>82141.909889140195</v>
      </c>
      <c r="T39" s="12">
        <v>85301.214115645591</v>
      </c>
      <c r="U39" s="12">
        <v>86880.866228898274</v>
      </c>
      <c r="V39" s="13">
        <v>13169.393435691338</v>
      </c>
      <c r="W39" s="168"/>
      <c r="X39" s="14"/>
    </row>
    <row r="40" spans="1:24" s="20" customFormat="1">
      <c r="A40" s="22" t="s">
        <v>47</v>
      </c>
      <c r="B40" s="45" t="str">
        <f>IFERROR(HYPERLINK(VLOOKUP(A40,ÜRÜNLER!A:C,3,FALSE),VLOOKUP(A40,ÜRÜNLER!A:B,2,FALSE)),"")</f>
        <v>iQ500 Alttan Donduruculu Kulpsuz Buzdolabı, 86cm, Beyaz</v>
      </c>
      <c r="C40" s="8">
        <v>47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53"/>
      <c r="N40" s="110">
        <f t="shared" si="0"/>
        <v>49</v>
      </c>
      <c r="O40" s="111">
        <v>1</v>
      </c>
      <c r="P40" s="98"/>
      <c r="Q40" s="46">
        <v>75297.092684184434</v>
      </c>
      <c r="R40" s="167">
        <v>70026.296196291529</v>
      </c>
      <c r="S40" s="12">
        <v>72827.348044143189</v>
      </c>
      <c r="T40" s="12">
        <v>75628.39989199485</v>
      </c>
      <c r="U40" s="12">
        <v>77028.92581592068</v>
      </c>
      <c r="V40" s="13">
        <v>7901.743846975136</v>
      </c>
      <c r="W40" s="168"/>
      <c r="X40" s="14"/>
    </row>
    <row r="41" spans="1:24" s="20" customFormat="1">
      <c r="A41" s="115" t="s">
        <v>48</v>
      </c>
      <c r="B41" s="45" t="str">
        <f>IFERROR(HYPERLINK(VLOOKUP(A41,ÜRÜNLER!A:C,3,FALSE),VLOOKUP(A41,ÜRÜNLER!A:B,2,FALSE)),"")</f>
        <v>iQ700 Alttan Donduruculu Kulpsuz Buzdolabı, 86cm, darkSteel</v>
      </c>
      <c r="C41" s="8">
        <v>76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53"/>
      <c r="N41" s="110">
        <f t="shared" si="0"/>
        <v>78</v>
      </c>
      <c r="O41" s="111">
        <v>2</v>
      </c>
      <c r="P41" s="98"/>
      <c r="Q41" s="46">
        <v>113177.54019884831</v>
      </c>
      <c r="R41" s="167">
        <v>110913.98939487134</v>
      </c>
      <c r="S41" s="12">
        <v>115350.54897066619</v>
      </c>
      <c r="T41" s="12">
        <v>119787.10854646105</v>
      </c>
      <c r="U41" s="12">
        <v>122005.38833435847</v>
      </c>
      <c r="V41" s="13">
        <v>22340.330896522733</v>
      </c>
      <c r="W41" s="168"/>
      <c r="X41" s="14"/>
    </row>
    <row r="42" spans="1:24" s="20" customFormat="1">
      <c r="A42" s="22" t="s">
        <v>49</v>
      </c>
      <c r="B42" s="4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53"/>
      <c r="N42" s="110">
        <f t="shared" si="0"/>
        <v>2</v>
      </c>
      <c r="O42" s="111"/>
      <c r="P42" s="98"/>
      <c r="Q42" s="67" t="s">
        <v>1559</v>
      </c>
      <c r="R42" s="19">
        <v>80000</v>
      </c>
      <c r="S42" s="12">
        <v>83200</v>
      </c>
      <c r="T42" s="12">
        <v>86400</v>
      </c>
      <c r="U42" s="12">
        <v>88000</v>
      </c>
      <c r="V42" s="13"/>
      <c r="W42" s="168"/>
      <c r="X42" s="14"/>
    </row>
    <row r="43" spans="1:24" s="20" customFormat="1">
      <c r="A43" s="22" t="s">
        <v>50</v>
      </c>
      <c r="B43" s="45" t="str">
        <f>IFERROR(HYPERLINK(VLOOKUP(A43,ÜRÜNLER!A:C,3,FALSE),VLOOKUP(A43,ÜRÜNLER!A:B,2,FALSE)),"")</f>
        <v>iQ700 Alttan Donduruculu Kulplu Buzdolabı, 86cm, Inox</v>
      </c>
      <c r="C43" s="8">
        <v>185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53"/>
      <c r="N43" s="110">
        <f t="shared" si="0"/>
        <v>189</v>
      </c>
      <c r="O43" s="111">
        <v>1</v>
      </c>
      <c r="P43" s="99"/>
      <c r="Q43" s="46">
        <v>106366.38100913838</v>
      </c>
      <c r="R43" s="18">
        <v>101048.06195868146</v>
      </c>
      <c r="S43" s="12">
        <v>105089.98443702872</v>
      </c>
      <c r="T43" s="12">
        <v>109131.90691537598</v>
      </c>
      <c r="U43" s="12">
        <v>111152.86815454961</v>
      </c>
      <c r="V43" s="13">
        <v>23351.264730068637</v>
      </c>
      <c r="W43" s="168"/>
      <c r="X43" s="14"/>
    </row>
    <row r="44" spans="1:24">
      <c r="A44" s="22" t="s">
        <v>51</v>
      </c>
      <c r="B44" s="4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53"/>
      <c r="N44" s="110">
        <f t="shared" si="0"/>
        <v>75</v>
      </c>
      <c r="O44" s="111">
        <v>1</v>
      </c>
      <c r="P44" s="98"/>
      <c r="Q44" s="46">
        <v>98399.958748058751</v>
      </c>
      <c r="R44" s="167">
        <v>91511.961635694635</v>
      </c>
      <c r="S44" s="12">
        <v>95172.440101122425</v>
      </c>
      <c r="T44" s="12">
        <v>98832.918566550201</v>
      </c>
      <c r="U44" s="12">
        <v>100663.1577992641</v>
      </c>
      <c r="V44" s="13">
        <v>18892.982003872719</v>
      </c>
      <c r="W44" s="168"/>
      <c r="X44" s="14"/>
    </row>
    <row r="45" spans="1:24" ht="45.75" customHeight="1">
      <c r="A45" s="49" t="s">
        <v>1497</v>
      </c>
      <c r="B45" s="4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53"/>
      <c r="N45" s="110">
        <f>SUM(N2:N44)</f>
        <v>1343</v>
      </c>
      <c r="O45" s="111">
        <f>SUM(O2:O44)</f>
        <v>56</v>
      </c>
      <c r="P45" s="9"/>
      <c r="Q45" s="67"/>
      <c r="R45" s="14"/>
      <c r="S45" s="12"/>
      <c r="T45" s="12"/>
      <c r="U45" s="12"/>
      <c r="V45" s="13"/>
      <c r="W45" s="168"/>
      <c r="X45" s="14"/>
    </row>
    <row r="46" spans="1:24">
      <c r="A46" s="22" t="s">
        <v>52</v>
      </c>
      <c r="B46" s="45" t="str">
        <f>IFERROR(HYPERLINK(VLOOKUP(A46,ÜRÜNLER!A:C,3,FALSE),VLOOKUP(A46,ÜRÜNLER!A:B,2,FALSE)),"")</f>
        <v>iQ300 Derin Dondurucu, 146x60cm, Statik, Beyaz</v>
      </c>
      <c r="C46" s="8">
        <v>93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53"/>
      <c r="N46" s="110">
        <f t="shared" ref="N46:N55" si="1">L46+M46+K46+J46+I46+H46+G46+F46+E46+D46+C46</f>
        <v>94</v>
      </c>
      <c r="O46" s="111"/>
      <c r="P46" s="98" t="s">
        <v>1546</v>
      </c>
      <c r="Q46" s="46">
        <v>24592.564804472826</v>
      </c>
      <c r="R46" s="18">
        <v>22754</v>
      </c>
      <c r="S46" s="12">
        <v>23664.16</v>
      </c>
      <c r="T46" s="12">
        <v>24574.32</v>
      </c>
      <c r="U46" s="12">
        <v>25029.4</v>
      </c>
      <c r="V46" s="13"/>
      <c r="W46" s="168"/>
      <c r="X46" s="14"/>
    </row>
    <row r="47" spans="1:24">
      <c r="A47" s="22" t="s">
        <v>53</v>
      </c>
      <c r="B47" s="4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53"/>
      <c r="N47" s="110">
        <f t="shared" si="1"/>
        <v>2</v>
      </c>
      <c r="O47" s="111"/>
      <c r="P47" s="98" t="s">
        <v>1546</v>
      </c>
      <c r="Q47" s="67" t="s">
        <v>1559</v>
      </c>
      <c r="R47" s="19">
        <v>18000</v>
      </c>
      <c r="S47" s="12">
        <v>18720</v>
      </c>
      <c r="T47" s="12">
        <v>19440</v>
      </c>
      <c r="U47" s="12">
        <v>19800</v>
      </c>
      <c r="V47" s="13"/>
      <c r="W47" s="168"/>
      <c r="X47" s="14">
        <v>250</v>
      </c>
    </row>
    <row r="48" spans="1:24">
      <c r="A48" s="116" t="s">
        <v>54</v>
      </c>
      <c r="B48" s="45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53"/>
      <c r="N48" s="110">
        <f t="shared" si="1"/>
        <v>16</v>
      </c>
      <c r="O48" s="111"/>
      <c r="P48" s="98" t="s">
        <v>1546</v>
      </c>
      <c r="Q48" s="46">
        <v>37824.325084093936</v>
      </c>
      <c r="R48" s="18">
        <v>39715.54133829863</v>
      </c>
      <c r="S48" s="12">
        <v>41304.162991830577</v>
      </c>
      <c r="T48" s="12">
        <v>42892.784645362517</v>
      </c>
      <c r="U48" s="12">
        <v>43687.095472128494</v>
      </c>
      <c r="V48" s="13"/>
      <c r="W48" s="168"/>
      <c r="X48" s="14"/>
    </row>
    <row r="49" spans="1:24">
      <c r="A49" s="116" t="s">
        <v>55</v>
      </c>
      <c r="B49" s="45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53"/>
      <c r="N49" s="110">
        <f t="shared" si="1"/>
        <v>115</v>
      </c>
      <c r="O49" s="111"/>
      <c r="P49" s="98" t="s">
        <v>1546</v>
      </c>
      <c r="Q49" s="46">
        <v>25437.803391758665</v>
      </c>
      <c r="R49" s="18">
        <v>26709.693561346598</v>
      </c>
      <c r="S49" s="12">
        <v>27778.08130380046</v>
      </c>
      <c r="T49" s="12">
        <v>28846.469046254326</v>
      </c>
      <c r="U49" s="12">
        <v>29380.662917481255</v>
      </c>
      <c r="V49" s="13"/>
      <c r="W49" s="168"/>
      <c r="X49" s="14"/>
    </row>
    <row r="50" spans="1:24">
      <c r="A50" s="116" t="s">
        <v>56</v>
      </c>
      <c r="B50" s="45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53"/>
      <c r="N50" s="110">
        <f t="shared" si="1"/>
        <v>108</v>
      </c>
      <c r="O50" s="111"/>
      <c r="P50" s="98" t="s">
        <v>1546</v>
      </c>
      <c r="Q50" s="46">
        <v>31580.842639611688</v>
      </c>
      <c r="R50" s="18">
        <v>33159.884771592275</v>
      </c>
      <c r="S50" s="12">
        <v>34486.280162455965</v>
      </c>
      <c r="T50" s="12">
        <v>35812.675553319656</v>
      </c>
      <c r="U50" s="12">
        <v>36475.873248751501</v>
      </c>
      <c r="V50" s="13"/>
      <c r="W50" s="168"/>
      <c r="X50" s="14"/>
    </row>
    <row r="51" spans="1:24">
      <c r="A51" s="116" t="s">
        <v>57</v>
      </c>
      <c r="B51" s="45" t="str">
        <f>IFERROR(HYPERLINK(VLOOKUP(A51,ÜRÜNLER!A:C,3,FALSE),VLOOKUP(A51,ÜRÜNLER!A:B,2,FALSE)),"")</f>
        <v>iQ300 Derin Dondurucu, 176x60cm, Statik, Beyaz</v>
      </c>
      <c r="C51" s="8">
        <v>107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53"/>
      <c r="N51" s="110">
        <f t="shared" si="1"/>
        <v>114</v>
      </c>
      <c r="O51" s="111"/>
      <c r="P51" s="98" t="s">
        <v>1546</v>
      </c>
      <c r="Q51" s="46">
        <v>28432.702244249125</v>
      </c>
      <c r="R51" s="18">
        <v>29854.337356461583</v>
      </c>
      <c r="S51" s="12">
        <v>31048.510850720046</v>
      </c>
      <c r="T51" s="12">
        <v>32242.684344978508</v>
      </c>
      <c r="U51" s="12">
        <v>32839.771092107738</v>
      </c>
      <c r="V51" s="13"/>
      <c r="W51" s="168"/>
      <c r="X51" s="14"/>
    </row>
    <row r="52" spans="1:24">
      <c r="A52" s="116" t="s">
        <v>1333</v>
      </c>
      <c r="B52" s="4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53"/>
      <c r="N52" s="110">
        <f t="shared" si="1"/>
        <v>0</v>
      </c>
      <c r="O52" s="111">
        <v>29</v>
      </c>
      <c r="P52" s="98" t="s">
        <v>1546</v>
      </c>
      <c r="Q52" s="46">
        <v>34578.68292151163</v>
      </c>
      <c r="R52" s="18">
        <v>36307.617067587213</v>
      </c>
      <c r="S52" s="12">
        <v>37759.921750290698</v>
      </c>
      <c r="T52" s="12">
        <v>39212.22643299419</v>
      </c>
      <c r="U52" s="12">
        <v>39938.378774345932</v>
      </c>
      <c r="V52" s="13"/>
      <c r="W52" s="168"/>
      <c r="X52" s="14"/>
    </row>
    <row r="53" spans="1:24">
      <c r="A53" s="78" t="s">
        <v>58</v>
      </c>
      <c r="B53" s="45" t="str">
        <f>IFERROR(HYPERLINK(VLOOKUP(A53,ÜRÜNLER!A:C,3,FALSE),VLOOKUP(A53,ÜRÜNLER!A:B,2,FALSE)),"")</f>
        <v>iQ300 Derin Dondurucu, 186x60cm, No-Frost Inox</v>
      </c>
      <c r="C53" s="8">
        <v>1</v>
      </c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53"/>
      <c r="N53" s="110">
        <f t="shared" si="1"/>
        <v>2</v>
      </c>
      <c r="O53" s="111"/>
      <c r="P53" s="98" t="s">
        <v>1546</v>
      </c>
      <c r="Q53" s="67" t="s">
        <v>1559</v>
      </c>
      <c r="R53" s="19">
        <v>37000</v>
      </c>
      <c r="S53" s="12">
        <v>38480</v>
      </c>
      <c r="T53" s="12">
        <v>39960</v>
      </c>
      <c r="U53" s="12">
        <v>40700</v>
      </c>
      <c r="V53" s="13"/>
      <c r="W53" s="168"/>
      <c r="X53" s="14"/>
    </row>
    <row r="54" spans="1:24">
      <c r="A54" s="116" t="s">
        <v>59</v>
      </c>
      <c r="B54" s="4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53"/>
      <c r="N54" s="110">
        <f t="shared" si="1"/>
        <v>1</v>
      </c>
      <c r="O54" s="111"/>
      <c r="P54" s="98" t="s">
        <v>1546</v>
      </c>
      <c r="Q54" s="67" t="s">
        <v>1559</v>
      </c>
      <c r="R54" s="19">
        <v>30000</v>
      </c>
      <c r="S54" s="12">
        <v>31200</v>
      </c>
      <c r="T54" s="12">
        <v>32400</v>
      </c>
      <c r="U54" s="12">
        <v>33000</v>
      </c>
      <c r="V54" s="13"/>
      <c r="W54" s="168"/>
      <c r="X54" s="14">
        <v>250</v>
      </c>
    </row>
    <row r="55" spans="1:24">
      <c r="A55" s="78" t="s">
        <v>60</v>
      </c>
      <c r="B55" s="45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53"/>
      <c r="N55" s="110">
        <f t="shared" si="1"/>
        <v>92</v>
      </c>
      <c r="O55" s="111"/>
      <c r="P55" s="98" t="s">
        <v>1546</v>
      </c>
      <c r="Q55" s="46">
        <v>41328.219470344258</v>
      </c>
      <c r="R55" s="18">
        <v>43394.630443861468</v>
      </c>
      <c r="S55" s="12">
        <v>45130.415661615923</v>
      </c>
      <c r="T55" s="12">
        <v>46866.200879370386</v>
      </c>
      <c r="U55" s="12">
        <v>47734.093488247614</v>
      </c>
      <c r="V55" s="13"/>
      <c r="W55" s="168"/>
      <c r="X55" s="14"/>
    </row>
    <row r="56" spans="1:24" ht="30" customHeight="1">
      <c r="A56" s="49" t="s">
        <v>1498</v>
      </c>
      <c r="B56" s="4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53"/>
      <c r="N56" s="110">
        <f>SUM(N46:N55)</f>
        <v>544</v>
      </c>
      <c r="O56" s="111"/>
      <c r="P56" s="9"/>
      <c r="Q56" s="67"/>
      <c r="R56" s="14"/>
      <c r="S56" s="12"/>
      <c r="T56" s="12"/>
      <c r="U56" s="12">
        <v>0</v>
      </c>
      <c r="V56" s="13"/>
      <c r="W56" s="168"/>
      <c r="X56" s="14"/>
    </row>
    <row r="57" spans="1:24">
      <c r="A57" s="22" t="s">
        <v>61</v>
      </c>
      <c r="B57" s="4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53"/>
      <c r="N57" s="110">
        <f t="shared" ref="N57:N69" si="2">L57+M57+K57+J57+I57+H57+G57+F57+E57+D57+C57</f>
        <v>5</v>
      </c>
      <c r="O57" s="111"/>
      <c r="P57" s="98"/>
      <c r="Q57" s="169">
        <v>320728.45808950713</v>
      </c>
      <c r="R57" s="169">
        <v>288655.61228055641</v>
      </c>
      <c r="S57" s="12">
        <v>300201.83677177865</v>
      </c>
      <c r="T57" s="12">
        <v>311748.06126300094</v>
      </c>
      <c r="U57" s="12">
        <v>317521.17350861203</v>
      </c>
      <c r="V57" s="13"/>
      <c r="W57" s="168"/>
      <c r="X57" s="14">
        <v>250</v>
      </c>
    </row>
    <row r="58" spans="1:24">
      <c r="A58" s="22" t="s">
        <v>62</v>
      </c>
      <c r="B58" s="4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53"/>
      <c r="N58" s="110">
        <f t="shared" si="2"/>
        <v>4</v>
      </c>
      <c r="O58" s="111"/>
      <c r="P58" s="98"/>
      <c r="Q58" s="67" t="s">
        <v>1559</v>
      </c>
      <c r="R58" s="169">
        <v>290000</v>
      </c>
      <c r="S58" s="12">
        <v>301600</v>
      </c>
      <c r="T58" s="12">
        <v>313200</v>
      </c>
      <c r="U58" s="12">
        <v>319000</v>
      </c>
      <c r="V58" s="13"/>
      <c r="W58" s="168"/>
      <c r="X58" s="14">
        <v>250</v>
      </c>
    </row>
    <row r="59" spans="1:24">
      <c r="A59" s="118" t="s">
        <v>63</v>
      </c>
      <c r="B59" s="4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1"/>
      <c r="M59" s="153"/>
      <c r="N59" s="110">
        <f t="shared" si="2"/>
        <v>9</v>
      </c>
      <c r="O59" s="111"/>
      <c r="P59" s="98"/>
      <c r="Q59" s="67" t="s">
        <v>1559</v>
      </c>
      <c r="R59" s="169">
        <v>300000</v>
      </c>
      <c r="S59" s="12">
        <v>312000</v>
      </c>
      <c r="T59" s="12">
        <v>324000</v>
      </c>
      <c r="U59" s="12">
        <v>330000</v>
      </c>
      <c r="V59" s="13"/>
      <c r="W59" s="168"/>
      <c r="X59" s="14">
        <v>250</v>
      </c>
    </row>
    <row r="60" spans="1:24">
      <c r="A60" s="22" t="s">
        <v>64</v>
      </c>
      <c r="B60" s="4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53"/>
      <c r="N60" s="110">
        <f t="shared" si="2"/>
        <v>3</v>
      </c>
      <c r="O60" s="111"/>
      <c r="P60" s="98"/>
      <c r="Q60" s="67" t="s">
        <v>1559</v>
      </c>
      <c r="R60" s="19">
        <v>325000</v>
      </c>
      <c r="S60" s="12">
        <v>338000</v>
      </c>
      <c r="T60" s="12">
        <v>351000</v>
      </c>
      <c r="U60" s="12">
        <v>357500</v>
      </c>
      <c r="V60" s="13"/>
      <c r="W60" s="168"/>
      <c r="X60" s="14">
        <v>250</v>
      </c>
    </row>
    <row r="61" spans="1:24">
      <c r="A61" s="118" t="s">
        <v>65</v>
      </c>
      <c r="B61" s="4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53"/>
      <c r="N61" s="110">
        <f t="shared" si="2"/>
        <v>3</v>
      </c>
      <c r="O61" s="111"/>
      <c r="P61" s="98"/>
      <c r="Q61" s="67" t="s">
        <v>1559</v>
      </c>
      <c r="R61" s="19">
        <v>255000</v>
      </c>
      <c r="S61" s="12">
        <v>265200</v>
      </c>
      <c r="T61" s="12">
        <v>275400</v>
      </c>
      <c r="U61" s="12">
        <v>280500</v>
      </c>
      <c r="V61" s="13"/>
      <c r="W61" s="168"/>
      <c r="X61" s="14">
        <v>250</v>
      </c>
    </row>
    <row r="62" spans="1:24">
      <c r="A62" s="118" t="s">
        <v>66</v>
      </c>
      <c r="B62" s="4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53"/>
      <c r="N62" s="110">
        <f t="shared" si="2"/>
        <v>1</v>
      </c>
      <c r="O62" s="111"/>
      <c r="P62" s="98"/>
      <c r="Q62" s="46">
        <v>323156.50178004295</v>
      </c>
      <c r="R62" s="18">
        <v>306998.6766910408</v>
      </c>
      <c r="S62" s="12">
        <v>319278.62375868246</v>
      </c>
      <c r="T62" s="12">
        <v>331558.57082632405</v>
      </c>
      <c r="U62" s="12">
        <v>337698.54436014488</v>
      </c>
      <c r="V62" s="13"/>
      <c r="W62" s="168"/>
      <c r="X62" s="14"/>
    </row>
    <row r="63" spans="1:24">
      <c r="A63" s="118" t="s">
        <v>67</v>
      </c>
      <c r="B63" s="4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53"/>
      <c r="N63" s="110">
        <f t="shared" si="2"/>
        <v>1</v>
      </c>
      <c r="O63" s="111"/>
      <c r="P63" s="98"/>
      <c r="Q63" s="46">
        <v>64012.591189514038</v>
      </c>
      <c r="R63" s="18">
        <v>60811.961630038335</v>
      </c>
      <c r="S63" s="12">
        <v>63244.440095239872</v>
      </c>
      <c r="T63" s="12">
        <v>65676.918560441409</v>
      </c>
      <c r="U63" s="12">
        <v>66893.157793042163</v>
      </c>
      <c r="V63" s="13"/>
      <c r="W63" s="168"/>
      <c r="X63" s="14"/>
    </row>
    <row r="64" spans="1:24">
      <c r="A64" s="118" t="s">
        <v>68</v>
      </c>
      <c r="B64" s="4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53"/>
      <c r="N64" s="110">
        <f t="shared" si="2"/>
        <v>4</v>
      </c>
      <c r="O64" s="111"/>
      <c r="P64" s="98"/>
      <c r="Q64" s="46">
        <v>92991.579395542474</v>
      </c>
      <c r="R64" s="18">
        <v>88342.000425765349</v>
      </c>
      <c r="S64" s="12">
        <v>91875.680442795958</v>
      </c>
      <c r="T64" s="12">
        <v>95409.360459826581</v>
      </c>
      <c r="U64" s="12">
        <v>97176.200468341878</v>
      </c>
      <c r="V64" s="13"/>
      <c r="W64" s="168"/>
      <c r="X64" s="14"/>
    </row>
    <row r="65" spans="1:25">
      <c r="A65" s="119" t="s">
        <v>69</v>
      </c>
      <c r="B65" s="4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10"/>
      <c r="H65" s="10"/>
      <c r="I65" s="11"/>
      <c r="J65" s="11"/>
      <c r="K65" s="10"/>
      <c r="L65" s="11"/>
      <c r="M65" s="153"/>
      <c r="N65" s="110">
        <f t="shared" si="2"/>
        <v>11</v>
      </c>
      <c r="O65" s="111">
        <v>1</v>
      </c>
      <c r="P65" s="98"/>
      <c r="Q65" s="46">
        <v>95992.543845008942</v>
      </c>
      <c r="R65" s="18">
        <v>91192.916652758489</v>
      </c>
      <c r="S65" s="12">
        <v>94840.63331886883</v>
      </c>
      <c r="T65" s="12">
        <v>98488.34998497917</v>
      </c>
      <c r="U65" s="12">
        <v>100312.20831803433</v>
      </c>
      <c r="V65" s="13"/>
      <c r="W65" s="168"/>
      <c r="X65" s="14"/>
    </row>
    <row r="66" spans="1:25">
      <c r="A66" s="118" t="s">
        <v>70</v>
      </c>
      <c r="B66" s="4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53"/>
      <c r="N66" s="110">
        <f t="shared" si="2"/>
        <v>1</v>
      </c>
      <c r="O66" s="111"/>
      <c r="P66" s="98"/>
      <c r="Q66" s="67" t="s">
        <v>1559</v>
      </c>
      <c r="R66" s="19">
        <v>72499</v>
      </c>
      <c r="S66" s="12">
        <v>75398.960000000006</v>
      </c>
      <c r="T66" s="12">
        <v>78298.92</v>
      </c>
      <c r="U66" s="12">
        <v>79748.899999999994</v>
      </c>
      <c r="V66" s="13"/>
      <c r="W66" s="168"/>
      <c r="X66" s="14">
        <v>250</v>
      </c>
    </row>
    <row r="67" spans="1:25">
      <c r="A67" s="22" t="s">
        <v>71</v>
      </c>
      <c r="B67" s="4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>
        <v>1</v>
      </c>
      <c r="I67" s="11"/>
      <c r="J67" s="11"/>
      <c r="K67" s="10">
        <v>1</v>
      </c>
      <c r="L67" s="11"/>
      <c r="M67" s="153"/>
      <c r="N67" s="110">
        <f t="shared" si="2"/>
        <v>14</v>
      </c>
      <c r="O67" s="111"/>
      <c r="P67" s="98"/>
      <c r="Q67" s="46">
        <v>91843.554166915521</v>
      </c>
      <c r="R67" s="18">
        <v>87251.37645856975</v>
      </c>
      <c r="S67" s="12">
        <v>90741.431516912533</v>
      </c>
      <c r="T67" s="12">
        <v>94231.486575255331</v>
      </c>
      <c r="U67" s="12">
        <v>95976.514104426722</v>
      </c>
      <c r="V67" s="13"/>
      <c r="W67" s="168"/>
      <c r="X67" s="14"/>
    </row>
    <row r="68" spans="1:25">
      <c r="A68" s="118" t="s">
        <v>72</v>
      </c>
      <c r="B68" s="4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53"/>
      <c r="N68" s="110">
        <f t="shared" si="2"/>
        <v>4</v>
      </c>
      <c r="O68" s="111">
        <v>1</v>
      </c>
      <c r="P68" s="98"/>
      <c r="Q68" s="46">
        <v>109622.92418610587</v>
      </c>
      <c r="R68" s="23">
        <v>109622.92418610587</v>
      </c>
      <c r="S68" s="12">
        <v>114007.84115355011</v>
      </c>
      <c r="T68" s="12">
        <v>118392.75812099435</v>
      </c>
      <c r="U68" s="12">
        <v>120585.21660471645</v>
      </c>
      <c r="V68" s="13"/>
      <c r="W68" s="168"/>
      <c r="X68" s="14"/>
    </row>
    <row r="69" spans="1:25">
      <c r="A69" s="118" t="s">
        <v>1487</v>
      </c>
      <c r="B69" s="4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53"/>
      <c r="N69" s="110">
        <f t="shared" si="2"/>
        <v>2</v>
      </c>
      <c r="O69" s="111"/>
      <c r="P69" s="98"/>
      <c r="Q69" s="159">
        <v>128044.86167258718</v>
      </c>
      <c r="R69" s="159">
        <v>115240.37550532847</v>
      </c>
      <c r="S69" s="12">
        <v>119849.99052554161</v>
      </c>
      <c r="T69" s="12">
        <v>124459.60554575475</v>
      </c>
      <c r="U69" s="12">
        <v>126764.41305586131</v>
      </c>
      <c r="V69" s="13"/>
      <c r="W69" s="168"/>
      <c r="X69" s="14"/>
    </row>
    <row r="70" spans="1:25" s="24" customFormat="1" ht="30">
      <c r="A70" s="49" t="s">
        <v>73</v>
      </c>
      <c r="B70" s="4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53"/>
      <c r="N70" s="110">
        <f>SUM(N57:N69)</f>
        <v>62</v>
      </c>
      <c r="O70" s="111"/>
      <c r="P70" s="9"/>
      <c r="Q70" s="67"/>
      <c r="R70" s="67"/>
      <c r="S70" s="67"/>
      <c r="T70" s="12"/>
      <c r="U70" s="12">
        <v>0</v>
      </c>
      <c r="V70" s="13"/>
      <c r="W70" s="168"/>
      <c r="X70" s="23"/>
    </row>
    <row r="71" spans="1:25">
      <c r="A71" s="22" t="s">
        <v>76</v>
      </c>
      <c r="B71" s="45" t="str">
        <f>IFERROR(HYPERLINK(VLOOKUP(A71,ÜRÜNLER!A:C,3,FALSE),VLOOKUP(A71,ÜRÜNLER!A:B,2,FALSE)),"")</f>
        <v>iQ300 Çamaşır Makinesi, 9kg/1200devir, Beyaz</v>
      </c>
      <c r="C71" s="8">
        <v>98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53"/>
      <c r="N71" s="110">
        <f t="shared" ref="N71:N99" si="3">L71+M71+K71+J71+I71+H71+G71+F71+E71+D71+C71</f>
        <v>107</v>
      </c>
      <c r="O71" s="111"/>
      <c r="P71" s="99"/>
      <c r="Q71" s="46">
        <v>32029.313138755253</v>
      </c>
      <c r="R71" s="47">
        <v>31388.726875980148</v>
      </c>
      <c r="S71" s="12">
        <v>32644.275951019354</v>
      </c>
      <c r="T71" s="12">
        <v>33899.825026058563</v>
      </c>
      <c r="U71" s="12">
        <v>34527.599563578166</v>
      </c>
      <c r="V71" s="13">
        <v>2092.1039999999998</v>
      </c>
      <c r="W71" s="168"/>
      <c r="X71" s="14"/>
    </row>
    <row r="72" spans="1:25">
      <c r="A72" s="22" t="s">
        <v>77</v>
      </c>
      <c r="B72" s="4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53"/>
      <c r="N72" s="110">
        <f t="shared" si="3"/>
        <v>29</v>
      </c>
      <c r="O72" s="111"/>
      <c r="P72" s="98"/>
      <c r="Q72" s="46">
        <v>39086.165446655425</v>
      </c>
      <c r="R72" s="167">
        <v>36350.133865389544</v>
      </c>
      <c r="S72" s="12">
        <v>37804.139220005127</v>
      </c>
      <c r="T72" s="12">
        <v>39258.14457462071</v>
      </c>
      <c r="U72" s="12">
        <v>39985.147251928502</v>
      </c>
      <c r="V72" s="13"/>
      <c r="W72" s="168"/>
      <c r="X72" s="14"/>
    </row>
    <row r="73" spans="1:25">
      <c r="A73" s="79" t="s">
        <v>78</v>
      </c>
      <c r="B73" s="45" t="str">
        <f>IFERROR(HYPERLINK(VLOOKUP(A73,ÜRÜNLER!A:C,3,FALSE),VLOOKUP(A73,ÜRÜNLER!A:B,2,FALSE)),"")</f>
        <v>iQ500 Çamaşır Makinesi, 9kg/1200devir, Gümüş</v>
      </c>
      <c r="C73" s="8">
        <v>79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53">
        <v>1</v>
      </c>
      <c r="N73" s="110">
        <f t="shared" si="3"/>
        <v>83</v>
      </c>
      <c r="O73" s="111">
        <v>10</v>
      </c>
      <c r="P73" s="99"/>
      <c r="Q73" s="46">
        <v>40758.944558583775</v>
      </c>
      <c r="R73" s="18">
        <v>38720.997330654587</v>
      </c>
      <c r="S73" s="19">
        <v>40269.837223880771</v>
      </c>
      <c r="T73" s="12">
        <v>41818.677117106956</v>
      </c>
      <c r="U73" s="12">
        <v>42593.097063720044</v>
      </c>
      <c r="V73" s="13"/>
      <c r="W73" s="168"/>
      <c r="X73" s="14"/>
    </row>
    <row r="74" spans="1:25">
      <c r="A74" s="22" t="s">
        <v>79</v>
      </c>
      <c r="B74" s="4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53"/>
      <c r="N74" s="110">
        <f t="shared" si="3"/>
        <v>1</v>
      </c>
      <c r="O74" s="111"/>
      <c r="P74" s="98"/>
      <c r="Q74" s="67" t="s">
        <v>1559</v>
      </c>
      <c r="R74" s="15">
        <v>32000</v>
      </c>
      <c r="S74" s="12">
        <v>33280</v>
      </c>
      <c r="T74" s="12">
        <v>34560</v>
      </c>
      <c r="U74" s="12">
        <v>35200</v>
      </c>
      <c r="V74" s="13"/>
      <c r="W74" s="168"/>
      <c r="X74" s="14">
        <v>250</v>
      </c>
    </row>
    <row r="75" spans="1:25">
      <c r="A75" s="115" t="s">
        <v>80</v>
      </c>
      <c r="B75" s="4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1">
        <v>1</v>
      </c>
      <c r="M75" s="153"/>
      <c r="N75" s="110">
        <f t="shared" si="3"/>
        <v>2</v>
      </c>
      <c r="O75" s="111"/>
      <c r="P75" s="98"/>
      <c r="Q75" s="67" t="s">
        <v>1559</v>
      </c>
      <c r="R75" s="15">
        <v>33000</v>
      </c>
      <c r="S75" s="154">
        <v>34320</v>
      </c>
      <c r="T75" s="154">
        <v>35640</v>
      </c>
      <c r="U75" s="12">
        <v>36300</v>
      </c>
      <c r="V75" s="13"/>
      <c r="W75" s="170">
        <v>4166.6400000000003</v>
      </c>
      <c r="X75" s="14">
        <v>250</v>
      </c>
    </row>
    <row r="76" spans="1:25">
      <c r="A76" s="22" t="s">
        <v>81</v>
      </c>
      <c r="B76" s="45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53"/>
      <c r="N76" s="110">
        <f t="shared" si="3"/>
        <v>4</v>
      </c>
      <c r="O76" s="111">
        <v>2</v>
      </c>
      <c r="P76" s="98"/>
      <c r="Q76" s="46">
        <v>50877.593851705358</v>
      </c>
      <c r="R76" s="23">
        <v>50878</v>
      </c>
      <c r="S76" s="12">
        <v>52913.120000000003</v>
      </c>
      <c r="T76" s="12">
        <v>54948.24</v>
      </c>
      <c r="U76" s="12">
        <v>55965.8</v>
      </c>
      <c r="V76" s="13"/>
      <c r="W76" s="168"/>
      <c r="X76" s="14"/>
    </row>
    <row r="77" spans="1:25">
      <c r="A77" s="22" t="s">
        <v>1473</v>
      </c>
      <c r="B77" s="4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53"/>
      <c r="N77" s="110">
        <f t="shared" si="3"/>
        <v>1</v>
      </c>
      <c r="O77" s="111"/>
      <c r="P77" s="98"/>
      <c r="Q77" s="67" t="s">
        <v>1559</v>
      </c>
      <c r="R77" s="19">
        <v>46000</v>
      </c>
      <c r="S77" s="12">
        <v>47840</v>
      </c>
      <c r="T77" s="12">
        <v>49680</v>
      </c>
      <c r="U77" s="12">
        <v>50600</v>
      </c>
      <c r="V77" s="13"/>
      <c r="W77" s="168"/>
      <c r="X77" s="14"/>
    </row>
    <row r="78" spans="1:25">
      <c r="A78" s="22" t="s">
        <v>82</v>
      </c>
      <c r="B78" s="45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53"/>
      <c r="N78" s="110">
        <f t="shared" si="3"/>
        <v>23</v>
      </c>
      <c r="O78" s="111"/>
      <c r="P78" s="98"/>
      <c r="Q78" s="46">
        <v>40815.965271312692</v>
      </c>
      <c r="R78" s="167">
        <v>37958.847702320803</v>
      </c>
      <c r="S78" s="12">
        <v>39477.201610413635</v>
      </c>
      <c r="T78" s="12">
        <v>40995.555518506466</v>
      </c>
      <c r="U78" s="12">
        <v>41754.732472552882</v>
      </c>
      <c r="V78" s="13"/>
      <c r="W78" s="168"/>
      <c r="X78" s="14"/>
    </row>
    <row r="79" spans="1:25" s="25" customFormat="1">
      <c r="A79" s="22" t="s">
        <v>83</v>
      </c>
      <c r="B79" s="45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53"/>
      <c r="N79" s="110">
        <f t="shared" si="3"/>
        <v>3</v>
      </c>
      <c r="O79" s="111"/>
      <c r="P79" s="98"/>
      <c r="Q79" s="67" t="s">
        <v>1559</v>
      </c>
      <c r="R79" s="19">
        <v>35189</v>
      </c>
      <c r="S79" s="12">
        <v>36596.559999999998</v>
      </c>
      <c r="T79" s="12">
        <v>38004.120000000003</v>
      </c>
      <c r="U79" s="12">
        <v>38707.9</v>
      </c>
      <c r="V79" s="13">
        <v>1528.7631531086954</v>
      </c>
      <c r="W79" s="168"/>
      <c r="X79" s="14"/>
      <c r="Y79"/>
    </row>
    <row r="80" spans="1:25" s="25" customFormat="1">
      <c r="A80" s="22" t="s">
        <v>1438</v>
      </c>
      <c r="B80" s="45" t="str">
        <f>IFERROR(HYPERLINK(VLOOKUP(A80,ÜRÜNLER!A:C,3,FALSE),VLOOKUP(A80,ÜRÜNLER!A:B,2,FALSE)),"")</f>
        <v>iQ300 Çamaşır Makinesi, 10kg/1200devir, Beyaz</v>
      </c>
      <c r="C80" s="8">
        <v>36</v>
      </c>
      <c r="D80" s="8"/>
      <c r="E80" s="9"/>
      <c r="F80" s="9"/>
      <c r="G80" s="10"/>
      <c r="H80" s="10"/>
      <c r="I80" s="11"/>
      <c r="J80" s="11"/>
      <c r="K80" s="10"/>
      <c r="L80" s="11"/>
      <c r="M80" s="153">
        <v>1</v>
      </c>
      <c r="N80" s="110">
        <f t="shared" si="3"/>
        <v>37</v>
      </c>
      <c r="O80" s="111"/>
      <c r="P80" s="98"/>
      <c r="Q80" s="46">
        <v>36136.409717967625</v>
      </c>
      <c r="R80" s="154">
        <v>35052.317426428599</v>
      </c>
      <c r="S80" s="12">
        <v>36454.410123485744</v>
      </c>
      <c r="T80" s="12">
        <v>37856.50282054289</v>
      </c>
      <c r="U80" s="12">
        <v>38557.549169071455</v>
      </c>
      <c r="V80" s="13">
        <v>1266.6479999999999</v>
      </c>
      <c r="W80" s="168"/>
      <c r="X80" s="14"/>
      <c r="Y80"/>
    </row>
    <row r="81" spans="1:25" s="25" customFormat="1">
      <c r="A81" s="79" t="s">
        <v>1543</v>
      </c>
      <c r="B81" s="4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53"/>
      <c r="N81" s="110">
        <f t="shared" si="3"/>
        <v>1</v>
      </c>
      <c r="O81" s="111"/>
      <c r="P81" s="98"/>
      <c r="Q81" s="46">
        <v>44174.737506259044</v>
      </c>
      <c r="R81" s="23">
        <v>44174.737506259044</v>
      </c>
      <c r="S81" s="12">
        <v>45941.727006509405</v>
      </c>
      <c r="T81" s="12">
        <v>47708.716506759767</v>
      </c>
      <c r="U81" s="12">
        <v>48592.211256884948</v>
      </c>
      <c r="V81" s="13"/>
      <c r="W81" s="168"/>
      <c r="X81" s="14"/>
      <c r="Y81"/>
    </row>
    <row r="82" spans="1:25">
      <c r="A82" s="116" t="s">
        <v>84</v>
      </c>
      <c r="B82" s="4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53"/>
      <c r="N82" s="110">
        <f t="shared" si="3"/>
        <v>1</v>
      </c>
      <c r="O82" s="111"/>
      <c r="P82" s="98"/>
      <c r="Q82" s="67" t="s">
        <v>1559</v>
      </c>
      <c r="R82" s="19">
        <v>27000</v>
      </c>
      <c r="S82" s="12">
        <v>28080</v>
      </c>
      <c r="T82" s="12">
        <v>29160</v>
      </c>
      <c r="U82" s="12">
        <v>29700</v>
      </c>
      <c r="V82" s="13"/>
      <c r="W82" s="168"/>
      <c r="X82" s="14">
        <v>250</v>
      </c>
    </row>
    <row r="83" spans="1:25">
      <c r="A83" s="116" t="s">
        <v>85</v>
      </c>
      <c r="B83" s="4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53"/>
      <c r="N83" s="110">
        <f t="shared" si="3"/>
        <v>6</v>
      </c>
      <c r="O83" s="111"/>
      <c r="P83" s="98"/>
      <c r="Q83" s="67" t="s">
        <v>1559</v>
      </c>
      <c r="R83" s="15">
        <v>35000</v>
      </c>
      <c r="S83" s="12">
        <v>36400</v>
      </c>
      <c r="T83" s="12">
        <v>37800</v>
      </c>
      <c r="U83" s="12">
        <v>38500</v>
      </c>
      <c r="V83" s="13"/>
      <c r="W83" s="168"/>
      <c r="X83" s="14">
        <v>250</v>
      </c>
    </row>
    <row r="84" spans="1:25">
      <c r="A84" s="79" t="s">
        <v>86</v>
      </c>
      <c r="B84" s="4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1"/>
      <c r="M84" s="153"/>
      <c r="N84" s="110">
        <f t="shared" si="3"/>
        <v>2</v>
      </c>
      <c r="O84" s="111"/>
      <c r="P84" s="98"/>
      <c r="Q84" s="67" t="s">
        <v>1559</v>
      </c>
      <c r="R84" s="15">
        <v>35000</v>
      </c>
      <c r="S84" s="12">
        <v>36400</v>
      </c>
      <c r="T84" s="12">
        <v>37800</v>
      </c>
      <c r="U84" s="12">
        <v>38500</v>
      </c>
      <c r="V84" s="13"/>
      <c r="W84" s="168"/>
      <c r="X84" s="14">
        <v>250</v>
      </c>
    </row>
    <row r="85" spans="1:25">
      <c r="A85" s="80" t="s">
        <v>87</v>
      </c>
      <c r="B85" s="45" t="str">
        <f>IFERROR(HYPERLINK(VLOOKUP(A85,ÜRÜNLER!A:C,3,FALSE),VLOOKUP(A85,ÜRÜNLER!A:B,2,FALSE)),"")</f>
        <v>iQ500 Çamaşır Makinesi, 10kg/1200devir, Beyaz</v>
      </c>
      <c r="C85" s="8">
        <v>6</v>
      </c>
      <c r="D85" s="8"/>
      <c r="E85" s="9"/>
      <c r="F85" s="9"/>
      <c r="G85" s="10"/>
      <c r="H85" s="10"/>
      <c r="I85" s="11">
        <v>1</v>
      </c>
      <c r="J85" s="11"/>
      <c r="K85" s="10"/>
      <c r="L85" s="11"/>
      <c r="M85" s="153"/>
      <c r="N85" s="110">
        <f t="shared" si="3"/>
        <v>7</v>
      </c>
      <c r="O85" s="111"/>
      <c r="P85" s="98"/>
      <c r="Q85" s="67" t="s">
        <v>1559</v>
      </c>
      <c r="R85" s="19">
        <v>37000</v>
      </c>
      <c r="S85" s="12">
        <v>38480</v>
      </c>
      <c r="T85" s="12">
        <v>39960</v>
      </c>
      <c r="U85" s="12">
        <v>40700</v>
      </c>
      <c r="V85" s="13"/>
      <c r="W85" s="168"/>
      <c r="X85" s="14"/>
    </row>
    <row r="86" spans="1:25">
      <c r="A86" s="79" t="s">
        <v>88</v>
      </c>
      <c r="B86" s="4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53"/>
      <c r="N86" s="110">
        <f t="shared" si="3"/>
        <v>1</v>
      </c>
      <c r="O86" s="111"/>
      <c r="P86" s="98"/>
      <c r="Q86" s="67" t="s">
        <v>1559</v>
      </c>
      <c r="R86" s="19">
        <v>39000</v>
      </c>
      <c r="S86" s="12">
        <v>40560</v>
      </c>
      <c r="T86" s="12">
        <v>42120</v>
      </c>
      <c r="U86" s="12">
        <v>42900</v>
      </c>
      <c r="V86" s="13"/>
      <c r="W86" s="168"/>
      <c r="X86" s="14"/>
    </row>
    <row r="87" spans="1:25">
      <c r="A87" s="22" t="s">
        <v>89</v>
      </c>
      <c r="B87" s="4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53"/>
      <c r="N87" s="110">
        <f t="shared" si="3"/>
        <v>1</v>
      </c>
      <c r="O87" s="111"/>
      <c r="P87" s="98"/>
      <c r="Q87" s="67" t="s">
        <v>1559</v>
      </c>
      <c r="R87" s="15">
        <v>35000</v>
      </c>
      <c r="S87" s="12">
        <v>36400</v>
      </c>
      <c r="T87" s="12">
        <v>37800</v>
      </c>
      <c r="U87" s="12">
        <v>38500</v>
      </c>
      <c r="V87" s="13"/>
      <c r="W87" s="168"/>
      <c r="X87" s="14">
        <v>250</v>
      </c>
    </row>
    <row r="88" spans="1:25">
      <c r="A88" s="22" t="s">
        <v>90</v>
      </c>
      <c r="B88" s="4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1"/>
      <c r="M88" s="153"/>
      <c r="N88" s="110">
        <f t="shared" si="3"/>
        <v>6</v>
      </c>
      <c r="O88" s="111">
        <v>1</v>
      </c>
      <c r="P88" s="98"/>
      <c r="Q88" s="67" t="s">
        <v>1559</v>
      </c>
      <c r="R88" s="19">
        <v>53000</v>
      </c>
      <c r="S88" s="154">
        <v>55120</v>
      </c>
      <c r="T88" s="154">
        <v>57240</v>
      </c>
      <c r="U88" s="12">
        <v>58300</v>
      </c>
      <c r="V88" s="13"/>
      <c r="W88" s="168"/>
      <c r="X88" s="14">
        <v>250</v>
      </c>
    </row>
    <row r="89" spans="1:25">
      <c r="A89" s="79" t="s">
        <v>91</v>
      </c>
      <c r="B89" s="4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1">
        <v>1</v>
      </c>
      <c r="M89" s="153"/>
      <c r="N89" s="110">
        <f t="shared" si="3"/>
        <v>2</v>
      </c>
      <c r="O89" s="111">
        <v>1</v>
      </c>
      <c r="P89" s="98"/>
      <c r="Q89" s="67" t="s">
        <v>1559</v>
      </c>
      <c r="R89" s="23">
        <v>56000</v>
      </c>
      <c r="S89" s="154">
        <v>58240</v>
      </c>
      <c r="T89" s="154">
        <v>60480</v>
      </c>
      <c r="U89" s="12">
        <v>61600</v>
      </c>
      <c r="V89" s="13"/>
      <c r="W89" s="168"/>
      <c r="X89" s="14">
        <v>250</v>
      </c>
    </row>
    <row r="90" spans="1:25">
      <c r="A90" s="120" t="s">
        <v>1443</v>
      </c>
      <c r="B90" s="45" t="str">
        <f>IFERROR(HYPERLINK(VLOOKUP(A90,ÜRÜNLER!A:C,3,FALSE),VLOOKUP(A90,ÜRÜNLER!A:B,2,FALSE)),"")</f>
        <v>iQ500 Çamaşır Makinesi, 10kg/1200devir, Beyaz</v>
      </c>
      <c r="C90" s="8">
        <v>20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53">
        <v>1</v>
      </c>
      <c r="N90" s="110">
        <f t="shared" si="3"/>
        <v>22</v>
      </c>
      <c r="O90" s="111"/>
      <c r="P90" s="98"/>
      <c r="Q90" s="46">
        <v>42441.249973781582</v>
      </c>
      <c r="R90" s="18">
        <v>40319.187475092505</v>
      </c>
      <c r="S90" s="12">
        <v>41931.954974096203</v>
      </c>
      <c r="T90" s="12">
        <v>43544.722473099908</v>
      </c>
      <c r="U90" s="12">
        <v>44351.106222601753</v>
      </c>
      <c r="V90" s="13"/>
      <c r="W90" s="168"/>
      <c r="X90" s="14"/>
    </row>
    <row r="91" spans="1:25">
      <c r="A91" s="120" t="s">
        <v>1450</v>
      </c>
      <c r="B91" s="45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/>
      <c r="M91" s="153"/>
      <c r="N91" s="110">
        <f t="shared" si="3"/>
        <v>2</v>
      </c>
      <c r="O91" s="111">
        <v>1</v>
      </c>
      <c r="P91" s="98"/>
      <c r="Q91" s="46">
        <v>42978.238657227113</v>
      </c>
      <c r="R91" s="23">
        <v>42978.238657227113</v>
      </c>
      <c r="S91" s="12">
        <v>44697.368203516198</v>
      </c>
      <c r="T91" s="12">
        <v>46416.497749805283</v>
      </c>
      <c r="U91" s="12">
        <v>47276.062522949826</v>
      </c>
      <c r="V91" s="13"/>
      <c r="W91" s="168"/>
      <c r="X91" s="14"/>
    </row>
    <row r="92" spans="1:25">
      <c r="A92" s="120" t="s">
        <v>1452</v>
      </c>
      <c r="B92" s="45" t="str">
        <f>IFERROR(HYPERLINK(VLOOKUP(A92,ÜRÜNLER!A:C,3,FALSE),VLOOKUP(A92,ÜRÜNLER!A:B,2,FALSE)),"")</f>
        <v>iQ500 Çamaşır Makinesi, 11kg/1400devir, i-dos, Beyaz</v>
      </c>
      <c r="C92" s="8">
        <v>8</v>
      </c>
      <c r="D92" s="8"/>
      <c r="E92" s="9"/>
      <c r="F92" s="9"/>
      <c r="G92" s="10"/>
      <c r="H92" s="10"/>
      <c r="I92" s="11"/>
      <c r="J92" s="11"/>
      <c r="K92" s="10"/>
      <c r="L92" s="11"/>
      <c r="M92" s="153"/>
      <c r="N92" s="110">
        <f t="shared" si="3"/>
        <v>8</v>
      </c>
      <c r="O92" s="111">
        <v>1</v>
      </c>
      <c r="P92" s="98"/>
      <c r="Q92" s="46">
        <v>46571.564000639832</v>
      </c>
      <c r="R92" s="23">
        <v>46571.564000639832</v>
      </c>
      <c r="S92" s="12">
        <v>48434.426560665423</v>
      </c>
      <c r="T92" s="12">
        <v>50297.289120691021</v>
      </c>
      <c r="U92" s="12">
        <v>51228.720400703816</v>
      </c>
      <c r="V92" s="13"/>
      <c r="W92" s="168"/>
      <c r="X92" s="14"/>
    </row>
    <row r="93" spans="1:25">
      <c r="A93" s="116" t="s">
        <v>92</v>
      </c>
      <c r="B93" s="45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53"/>
      <c r="N93" s="110">
        <f t="shared" si="3"/>
        <v>2</v>
      </c>
      <c r="O93" s="111"/>
      <c r="P93" s="98"/>
      <c r="Q93" s="67" t="s">
        <v>1559</v>
      </c>
      <c r="R93" s="19">
        <v>37000</v>
      </c>
      <c r="S93" s="12">
        <v>38480</v>
      </c>
      <c r="T93" s="12">
        <v>39960</v>
      </c>
      <c r="U93" s="12">
        <v>40700</v>
      </c>
      <c r="V93" s="13"/>
      <c r="W93" s="168"/>
      <c r="X93" s="14"/>
    </row>
    <row r="94" spans="1:25">
      <c r="A94" s="116" t="s">
        <v>93</v>
      </c>
      <c r="B94" s="45" t="str">
        <f>IFERROR(HYPERLINK(VLOOKUP(A94,ÜRÜNLER!A:C,3,FALSE),VLOOKUP(A94,ÜRÜNLER!A:B,2,FALSE)),"")</f>
        <v>iQ500 Çamaşır Makinesi, 11kg/1400devir, Beyaz</v>
      </c>
      <c r="C94" s="8">
        <v>11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53"/>
      <c r="N94" s="110">
        <f t="shared" si="3"/>
        <v>16</v>
      </c>
      <c r="O94" s="111"/>
      <c r="P94" s="98"/>
      <c r="Q94" s="46">
        <v>45300.333209471537</v>
      </c>
      <c r="R94" s="47">
        <v>44394.326545282107</v>
      </c>
      <c r="S94" s="12">
        <v>46170.099607093391</v>
      </c>
      <c r="T94" s="12">
        <v>47945.872668904674</v>
      </c>
      <c r="U94" s="12">
        <v>48833.759199810316</v>
      </c>
      <c r="V94" s="13"/>
      <c r="W94" s="168"/>
      <c r="X94" s="14"/>
    </row>
    <row r="95" spans="1:25">
      <c r="A95" s="115" t="s">
        <v>94</v>
      </c>
      <c r="B95" s="45" t="str">
        <f>IFERROR(HYPERLINK(VLOOKUP(A95,ÜRÜNLER!A:C,3,FALSE),VLOOKUP(A95,ÜRÜNLER!A:B,2,FALSE)),"")</f>
        <v>iQ500 Çamaşır Makinesi, 11kg/1400devir, Antrasit/Dark</v>
      </c>
      <c r="C95" s="8">
        <v>113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53"/>
      <c r="N95" s="110">
        <f t="shared" si="3"/>
        <v>116</v>
      </c>
      <c r="O95" s="111"/>
      <c r="P95" s="98"/>
      <c r="Q95" s="46">
        <v>49893.288864141352</v>
      </c>
      <c r="R95" s="18">
        <v>47398.624420934284</v>
      </c>
      <c r="S95" s="12">
        <v>49294.569397771658</v>
      </c>
      <c r="T95" s="12">
        <v>51190.514374609025</v>
      </c>
      <c r="U95" s="12">
        <v>52138.486863027712</v>
      </c>
      <c r="V95" s="13"/>
      <c r="W95" s="168"/>
      <c r="X95" s="14"/>
    </row>
    <row r="96" spans="1:25">
      <c r="A96" s="22" t="s">
        <v>95</v>
      </c>
      <c r="B96" s="4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1"/>
      <c r="M96" s="153"/>
      <c r="N96" s="110">
        <f t="shared" si="3"/>
        <v>2</v>
      </c>
      <c r="O96" s="111"/>
      <c r="P96" s="100" t="s">
        <v>1546</v>
      </c>
      <c r="Q96" s="67" t="s">
        <v>1559</v>
      </c>
      <c r="R96" s="19">
        <v>27000</v>
      </c>
      <c r="S96" s="12">
        <v>28080</v>
      </c>
      <c r="T96" s="12">
        <v>29160</v>
      </c>
      <c r="U96" s="12">
        <v>29700</v>
      </c>
      <c r="V96" s="13"/>
      <c r="W96" s="168"/>
      <c r="X96" s="14">
        <v>250</v>
      </c>
    </row>
    <row r="97" spans="1:24">
      <c r="A97" s="116" t="s">
        <v>96</v>
      </c>
      <c r="B97" s="4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53"/>
      <c r="N97" s="110">
        <f t="shared" si="3"/>
        <v>2</v>
      </c>
      <c r="O97" s="111"/>
      <c r="P97" s="98"/>
      <c r="Q97" s="67" t="s">
        <v>1559</v>
      </c>
      <c r="R97" s="19">
        <v>30000</v>
      </c>
      <c r="S97" s="12">
        <v>31200</v>
      </c>
      <c r="T97" s="12">
        <v>32400</v>
      </c>
      <c r="U97" s="12">
        <v>33000</v>
      </c>
      <c r="V97" s="13"/>
      <c r="W97" s="168"/>
      <c r="X97" s="14">
        <v>250</v>
      </c>
    </row>
    <row r="98" spans="1:24">
      <c r="A98" s="116" t="s">
        <v>97</v>
      </c>
      <c r="B98" s="4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53"/>
      <c r="N98" s="110">
        <f t="shared" si="3"/>
        <v>1</v>
      </c>
      <c r="O98" s="111"/>
      <c r="P98" s="98"/>
      <c r="Q98" s="67" t="s">
        <v>1559</v>
      </c>
      <c r="R98" s="19">
        <v>32000</v>
      </c>
      <c r="S98" s="12">
        <v>33280</v>
      </c>
      <c r="T98" s="12">
        <v>34560</v>
      </c>
      <c r="U98" s="12">
        <v>35200</v>
      </c>
      <c r="V98" s="13"/>
      <c r="W98" s="168"/>
      <c r="X98" s="14">
        <v>250</v>
      </c>
    </row>
    <row r="99" spans="1:24">
      <c r="A99" s="116" t="s">
        <v>98</v>
      </c>
      <c r="B99" s="4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53"/>
      <c r="N99" s="110">
        <f t="shared" si="3"/>
        <v>3</v>
      </c>
      <c r="O99" s="111"/>
      <c r="P99" s="98"/>
      <c r="Q99" s="46">
        <v>80702.411827662814</v>
      </c>
      <c r="R99" s="18">
        <v>76667.291236279678</v>
      </c>
      <c r="S99" s="12">
        <v>79733.98288573086</v>
      </c>
      <c r="T99" s="12">
        <v>82800.674535182057</v>
      </c>
      <c r="U99" s="12">
        <v>84334.020359907649</v>
      </c>
      <c r="V99" s="13"/>
      <c r="W99" s="168"/>
      <c r="X99" s="14"/>
    </row>
    <row r="100" spans="1:24" ht="30">
      <c r="A100" s="90" t="s">
        <v>99</v>
      </c>
      <c r="B100" s="4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53"/>
      <c r="N100" s="110">
        <f>SUM(N71:N99)</f>
        <v>491</v>
      </c>
      <c r="O100" s="111"/>
      <c r="Q100" s="67"/>
      <c r="R100" s="14"/>
      <c r="S100" s="12"/>
      <c r="T100" s="12"/>
      <c r="U100" s="12">
        <v>0</v>
      </c>
      <c r="V100" s="13"/>
      <c r="W100" s="168"/>
      <c r="X100" s="14"/>
    </row>
    <row r="101" spans="1:24">
      <c r="A101" s="22" t="s">
        <v>103</v>
      </c>
      <c r="B101" s="4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53"/>
      <c r="N101" s="110">
        <f t="shared" ref="N101:N113" si="4">L101+M101+K101+J101+I101+H101+G101+F101+E101+D101+C101</f>
        <v>1</v>
      </c>
      <c r="O101" s="111"/>
      <c r="P101" s="98"/>
      <c r="Q101" s="67" t="s">
        <v>1559</v>
      </c>
      <c r="R101" s="40">
        <v>35000</v>
      </c>
      <c r="S101" s="12">
        <v>36400</v>
      </c>
      <c r="T101" s="12">
        <v>37800</v>
      </c>
      <c r="U101" s="12">
        <v>38500</v>
      </c>
      <c r="V101" s="13"/>
      <c r="W101" s="168"/>
      <c r="X101" s="14">
        <v>250</v>
      </c>
    </row>
    <row r="102" spans="1:24">
      <c r="A102" s="71" t="s">
        <v>1313</v>
      </c>
      <c r="B102" s="4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1"/>
      <c r="M102" s="153"/>
      <c r="N102" s="110">
        <f t="shared" si="4"/>
        <v>2</v>
      </c>
      <c r="O102" s="111"/>
      <c r="P102" s="98"/>
      <c r="Q102" s="67" t="s">
        <v>1559</v>
      </c>
      <c r="R102" s="40">
        <v>36000</v>
      </c>
      <c r="S102" s="12">
        <v>37440</v>
      </c>
      <c r="T102" s="12">
        <v>38880</v>
      </c>
      <c r="U102" s="12">
        <v>39600</v>
      </c>
      <c r="V102" s="13"/>
      <c r="W102" s="168"/>
      <c r="X102" s="14">
        <v>250</v>
      </c>
    </row>
    <row r="103" spans="1:24">
      <c r="A103" s="22" t="s">
        <v>104</v>
      </c>
      <c r="B103" s="45" t="str">
        <f>IFERROR(HYPERLINK(VLOOKUP(A103,ÜRÜNLER!A:C,3,FALSE),VLOOKUP(A103,ÜRÜNLER!A:B,2,FALSE)),"")</f>
        <v>iQ300 Isı Pompalı Kurutma Makinesi, 9kg, Beyaz</v>
      </c>
      <c r="C103" s="8">
        <v>89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53">
        <v>1</v>
      </c>
      <c r="N103" s="110">
        <f t="shared" si="4"/>
        <v>94</v>
      </c>
      <c r="O103" s="111">
        <v>337</v>
      </c>
      <c r="P103" s="98"/>
      <c r="Q103" s="46">
        <v>39552.883298190849</v>
      </c>
      <c r="R103" s="42">
        <v>38366.296799245123</v>
      </c>
      <c r="S103" s="12">
        <v>39900.94867121493</v>
      </c>
      <c r="T103" s="12">
        <v>41435.60054318473</v>
      </c>
      <c r="U103" s="12">
        <v>42202.926479169633</v>
      </c>
      <c r="V103" s="13">
        <v>1508.6972516792157</v>
      </c>
      <c r="W103" s="168"/>
      <c r="X103" s="14"/>
    </row>
    <row r="104" spans="1:24">
      <c r="A104" s="121" t="s">
        <v>100</v>
      </c>
      <c r="B104" s="45" t="str">
        <f>IFERROR(HYPERLINK(VLOOKUP(A104,ÜRÜNLER!A:C,3,FALSE),VLOOKUP(A104,ÜRÜNLER!A:B,2,FALSE)),"")</f>
        <v>iQ500 Isı Pompalı Kurutma Makinesi, 9kg, Beyaz</v>
      </c>
      <c r="C104" s="8">
        <v>43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53"/>
      <c r="N104" s="110">
        <f t="shared" si="4"/>
        <v>44</v>
      </c>
      <c r="O104" s="111">
        <v>21</v>
      </c>
      <c r="P104" s="98"/>
      <c r="Q104" s="46">
        <v>43183.847091032105</v>
      </c>
      <c r="R104" s="167">
        <v>40160.977794659855</v>
      </c>
      <c r="S104" s="12">
        <v>41767.416906446248</v>
      </c>
      <c r="T104" s="12">
        <v>43373.856018232647</v>
      </c>
      <c r="U104" s="12">
        <v>44177.07557412584</v>
      </c>
      <c r="V104" s="13">
        <v>1330.3587189390819</v>
      </c>
      <c r="W104" s="168"/>
      <c r="X104" s="14"/>
    </row>
    <row r="105" spans="1:24">
      <c r="A105" s="71" t="s">
        <v>1341</v>
      </c>
      <c r="B105" s="45" t="str">
        <f>IFERROR(HYPERLINK(VLOOKUP(A105,ÜRÜNLER!A:C,3,FALSE),VLOOKUP(A105,ÜRÜNLER!A:B,2,FALSE)),"")</f>
        <v>iQ500 Isı Pompalı Kurutma Makinesi, 9kg, Gümüş</v>
      </c>
      <c r="C105" s="8">
        <v>60</v>
      </c>
      <c r="D105" s="8"/>
      <c r="E105" s="9"/>
      <c r="F105" s="9"/>
      <c r="G105" s="10"/>
      <c r="H105" s="10"/>
      <c r="I105" s="11">
        <v>2</v>
      </c>
      <c r="J105" s="11"/>
      <c r="K105" s="10"/>
      <c r="L105" s="11"/>
      <c r="M105" s="153"/>
      <c r="N105" s="110">
        <f t="shared" si="4"/>
        <v>62</v>
      </c>
      <c r="O105" s="111">
        <v>174</v>
      </c>
      <c r="P105" s="98"/>
      <c r="Q105" s="46">
        <v>43404.733782129748</v>
      </c>
      <c r="R105" s="167">
        <v>40366.402417380668</v>
      </c>
      <c r="S105" s="12">
        <v>41981.058514075892</v>
      </c>
      <c r="T105" s="12">
        <v>43595.714610771123</v>
      </c>
      <c r="U105" s="12">
        <v>44403.042659118735</v>
      </c>
      <c r="V105" s="13"/>
      <c r="W105" s="168"/>
      <c r="X105" s="14"/>
    </row>
    <row r="106" spans="1:24">
      <c r="A106" s="122" t="s">
        <v>101</v>
      </c>
      <c r="B106" s="45" t="str">
        <f>IFERROR(HYPERLINK(VLOOKUP(A106,ÜRÜNLER!A:C,3,FALSE),VLOOKUP(A106,ÜRÜNLER!A:B,2,FALSE)),"")</f>
        <v>iQ500 Isı Pompalı Kurutma Makinesi, 9kg, Beyaz</v>
      </c>
      <c r="C106" s="8">
        <v>112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53"/>
      <c r="N106" s="110">
        <f t="shared" si="4"/>
        <v>114</v>
      </c>
      <c r="O106" s="111">
        <v>51</v>
      </c>
      <c r="P106" s="99"/>
      <c r="Q106" s="46">
        <v>46206.703389937567</v>
      </c>
      <c r="R106" s="167">
        <v>42972.23415264194</v>
      </c>
      <c r="S106" s="12">
        <v>44691.12351874762</v>
      </c>
      <c r="T106" s="12">
        <v>46410.012884853299</v>
      </c>
      <c r="U106" s="12">
        <v>47269.457567906138</v>
      </c>
      <c r="V106" s="13">
        <v>1642.7499015654757</v>
      </c>
      <c r="W106" s="168"/>
      <c r="X106" s="17"/>
    </row>
    <row r="107" spans="1:24">
      <c r="A107" s="22" t="s">
        <v>105</v>
      </c>
      <c r="B107" s="4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53"/>
      <c r="N107" s="110">
        <f t="shared" si="4"/>
        <v>52</v>
      </c>
      <c r="O107" s="111"/>
      <c r="P107" s="98"/>
      <c r="Q107" s="67" t="s">
        <v>1559</v>
      </c>
      <c r="R107" s="19">
        <v>38000</v>
      </c>
      <c r="S107" s="12">
        <v>39520</v>
      </c>
      <c r="T107" s="12">
        <v>41040</v>
      </c>
      <c r="U107" s="12">
        <v>41800</v>
      </c>
      <c r="V107" s="13"/>
      <c r="W107" s="168"/>
      <c r="X107" s="14">
        <v>250</v>
      </c>
    </row>
    <row r="108" spans="1:24">
      <c r="A108" s="22" t="s">
        <v>106</v>
      </c>
      <c r="B108" s="45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53"/>
      <c r="N108" s="110">
        <f t="shared" si="4"/>
        <v>161</v>
      </c>
      <c r="O108" s="111">
        <v>9</v>
      </c>
      <c r="P108" s="98"/>
      <c r="Q108" s="46">
        <v>61286.692413916055</v>
      </c>
      <c r="R108" s="167">
        <v>56996.62394494193</v>
      </c>
      <c r="S108" s="12">
        <v>59276.488902739606</v>
      </c>
      <c r="T108" s="12">
        <v>61556.353860537281</v>
      </c>
      <c r="U108" s="12">
        <v>62696.286339436119</v>
      </c>
      <c r="V108" s="13"/>
      <c r="W108" s="168"/>
      <c r="X108" s="14"/>
    </row>
    <row r="109" spans="1:24">
      <c r="A109" s="71" t="s">
        <v>107</v>
      </c>
      <c r="B109" s="45" t="str">
        <f>IFERROR(HYPERLINK(VLOOKUP(A109,ÜRÜNLER!A:C,3,FALSE),VLOOKUP(A109,ÜRÜNLER!A:B,2,FALSE)),"")</f>
        <v>iQ700 Isı Pompalı Kurutma Makinesi, 9kg, Gümüş</v>
      </c>
      <c r="C109" s="8">
        <v>110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53"/>
      <c r="N109" s="110">
        <f t="shared" si="4"/>
        <v>113</v>
      </c>
      <c r="O109" s="111">
        <v>10</v>
      </c>
      <c r="P109" s="98"/>
      <c r="Q109" s="46">
        <v>62304.674762486175</v>
      </c>
      <c r="R109" s="167">
        <v>57943.347529112143</v>
      </c>
      <c r="S109" s="12">
        <v>60261.08143027663</v>
      </c>
      <c r="T109" s="12">
        <v>62578.815331441117</v>
      </c>
      <c r="U109" s="12">
        <v>63737.682282023357</v>
      </c>
      <c r="V109" s="13"/>
      <c r="W109" s="168"/>
      <c r="X109" s="14"/>
    </row>
    <row r="110" spans="1:24">
      <c r="A110" s="22" t="s">
        <v>470</v>
      </c>
      <c r="B110" s="45" t="str">
        <f>IFERROR(HYPERLINK(VLOOKUP(A110,ÜRÜNLER!A:C,3,FALSE),VLOOKUP(A110,ÜRÜNLER!A:B,2,FALSE)),"")</f>
        <v>iQ300 Isı Pompalı Kurutma Makinesi, 10kg, Beyaz</v>
      </c>
      <c r="C110" s="8">
        <v>231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53"/>
      <c r="N110" s="110">
        <f t="shared" si="4"/>
        <v>232</v>
      </c>
      <c r="O110" s="111">
        <v>118</v>
      </c>
      <c r="P110" s="98"/>
      <c r="Q110" s="46">
        <v>42717.122969696531</v>
      </c>
      <c r="R110" s="167">
        <v>39726.924361817772</v>
      </c>
      <c r="S110" s="12">
        <v>41316.001336290479</v>
      </c>
      <c r="T110" s="12">
        <v>42905.078310763194</v>
      </c>
      <c r="U110" s="12">
        <v>43699.616797999552</v>
      </c>
      <c r="V110" s="13">
        <v>904.3322720221114</v>
      </c>
      <c r="W110" s="168"/>
      <c r="X110" s="171"/>
    </row>
    <row r="111" spans="1:24">
      <c r="A111" s="115" t="s">
        <v>1310</v>
      </c>
      <c r="B111" s="45" t="str">
        <f>IFERROR(HYPERLINK(VLOOKUP(A111,ÜRÜNLER!A:C,3,FALSE),VLOOKUP(A111,ÜRÜNLER!A:B,2,FALSE)),"")</f>
        <v>iQ500 Isı Pompalı Kurutma Makinesi, 10kg, Antrasit/Dark</v>
      </c>
      <c r="C111" s="8">
        <v>91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53"/>
      <c r="N111" s="110">
        <f t="shared" si="4"/>
        <v>94</v>
      </c>
      <c r="O111" s="111">
        <v>80</v>
      </c>
      <c r="P111" s="98"/>
      <c r="Q111" s="46">
        <v>45281.496328029381</v>
      </c>
      <c r="R111" s="42">
        <v>43923.0514381885</v>
      </c>
      <c r="S111" s="12">
        <v>45679.97349571604</v>
      </c>
      <c r="T111" s="12">
        <v>47436.895553243579</v>
      </c>
      <c r="U111" s="12">
        <v>48315.356582007349</v>
      </c>
      <c r="V111" s="13"/>
      <c r="W111" s="168"/>
      <c r="X111" s="171"/>
    </row>
    <row r="112" spans="1:24">
      <c r="A112" s="22" t="s">
        <v>109</v>
      </c>
      <c r="B112" s="4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53"/>
      <c r="N112" s="110">
        <f t="shared" si="4"/>
        <v>1</v>
      </c>
      <c r="O112" s="111">
        <v>31</v>
      </c>
      <c r="P112" s="98"/>
      <c r="Q112" s="46">
        <v>45280.150347878327</v>
      </c>
      <c r="R112" s="23">
        <v>45280.150347878327</v>
      </c>
      <c r="S112" s="12">
        <v>47091.356361793463</v>
      </c>
      <c r="T112" s="12">
        <v>48902.562375708592</v>
      </c>
      <c r="U112" s="12">
        <v>49808.165382666164</v>
      </c>
      <c r="V112" s="13"/>
      <c r="W112" s="168"/>
      <c r="X112" s="14"/>
    </row>
    <row r="113" spans="1:24">
      <c r="A113" s="22" t="s">
        <v>102</v>
      </c>
      <c r="B113" s="4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1">
        <v>1</v>
      </c>
      <c r="M113" s="153"/>
      <c r="N113" s="110">
        <f t="shared" si="4"/>
        <v>4</v>
      </c>
      <c r="O113" s="111"/>
      <c r="P113" s="98"/>
      <c r="Q113" s="67" t="s">
        <v>1559</v>
      </c>
      <c r="R113" s="40">
        <v>34000</v>
      </c>
      <c r="S113" s="12">
        <v>35360</v>
      </c>
      <c r="T113" s="12">
        <v>36720</v>
      </c>
      <c r="U113" s="12">
        <v>37400</v>
      </c>
      <c r="V113" s="13"/>
      <c r="W113" s="168"/>
      <c r="X113" s="14">
        <v>250</v>
      </c>
    </row>
    <row r="114" spans="1:24" s="24" customFormat="1" ht="29.25" customHeight="1">
      <c r="A114" s="108" t="s">
        <v>110</v>
      </c>
      <c r="B114" s="4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53"/>
      <c r="N114" s="110">
        <f>SUM(N101:N113)</f>
        <v>974</v>
      </c>
      <c r="O114" s="111"/>
      <c r="P114" s="98"/>
      <c r="Q114" s="67"/>
      <c r="R114" s="23"/>
      <c r="S114" s="12"/>
      <c r="T114" s="12"/>
      <c r="U114" s="12">
        <v>0</v>
      </c>
      <c r="V114" s="13"/>
      <c r="W114" s="168"/>
      <c r="X114" s="23"/>
    </row>
    <row r="115" spans="1:24">
      <c r="A115" s="22" t="s">
        <v>113</v>
      </c>
      <c r="B115" s="45" t="str">
        <f>IFERROR(HYPERLINK(VLOOKUP(A115,ÜRÜNLER!A:C,3,FALSE),VLOOKUP(A115,ÜRÜNLER!A:B,2,FALSE)),"")</f>
        <v>iQ500 Solo Bulaşık Makinesi, autoOpen dry, glassZone, Inox</v>
      </c>
      <c r="C115" s="8">
        <v>38</v>
      </c>
      <c r="D115" s="8"/>
      <c r="E115" s="9"/>
      <c r="F115" s="9"/>
      <c r="G115" s="10"/>
      <c r="H115" s="10"/>
      <c r="I115" s="11"/>
      <c r="J115" s="11"/>
      <c r="K115" s="10"/>
      <c r="L115" s="11"/>
      <c r="M115" s="153">
        <v>1</v>
      </c>
      <c r="N115" s="110">
        <f t="shared" ref="N115:N139" si="5">L115+M115+K115+J115+I115+H115+G115+F115+E115+D115+C115</f>
        <v>39</v>
      </c>
      <c r="O115" s="111">
        <v>3</v>
      </c>
      <c r="P115" s="98"/>
      <c r="Q115" s="46">
        <v>37712.864764586921</v>
      </c>
      <c r="R115" s="42">
        <v>36958.607469295181</v>
      </c>
      <c r="S115" s="12">
        <v>38436.951768066989</v>
      </c>
      <c r="T115" s="12">
        <v>39915.296066838797</v>
      </c>
      <c r="U115" s="12">
        <v>40654.468216224697</v>
      </c>
      <c r="V115" s="13"/>
      <c r="W115" s="168"/>
      <c r="X115" s="14"/>
    </row>
    <row r="116" spans="1:24">
      <c r="A116" s="123" t="s">
        <v>114</v>
      </c>
      <c r="B116" s="45" t="str">
        <f>IFERROR(HYPERLINK(VLOOKUP(A116,ÜRÜNLER!A:C,3,FALSE),VLOOKUP(A116,ÜRÜNLER!A:B,2,FALSE)),"")</f>
        <v>iQ500 Solo Bulaşık Makinesi, autoOpen dry, glassZone, darkSteel</v>
      </c>
      <c r="C116" s="8">
        <v>27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53"/>
      <c r="N116" s="110">
        <f t="shared" si="5"/>
        <v>30</v>
      </c>
      <c r="O116" s="111">
        <v>145</v>
      </c>
      <c r="P116" s="98"/>
      <c r="Q116" s="46">
        <v>39581.428523728311</v>
      </c>
      <c r="R116" s="42">
        <v>38789.799953253743</v>
      </c>
      <c r="S116" s="12">
        <v>40341.391951383892</v>
      </c>
      <c r="T116" s="12">
        <v>41892.98394951404</v>
      </c>
      <c r="U116" s="12">
        <v>42668.779948579118</v>
      </c>
      <c r="V116" s="13"/>
      <c r="W116" s="168"/>
      <c r="X116" s="14"/>
    </row>
    <row r="117" spans="1:24">
      <c r="A117" s="22" t="s">
        <v>112</v>
      </c>
      <c r="B117" s="4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53"/>
      <c r="N117" s="110">
        <f t="shared" si="5"/>
        <v>50</v>
      </c>
      <c r="O117" s="111">
        <v>4</v>
      </c>
      <c r="P117" s="98"/>
      <c r="Q117" s="46">
        <v>35844.327837007149</v>
      </c>
      <c r="R117" s="42">
        <v>35127.441280267005</v>
      </c>
      <c r="S117" s="12">
        <v>36532.538931477684</v>
      </c>
      <c r="T117" s="12">
        <v>37937.636582688363</v>
      </c>
      <c r="U117" s="12">
        <v>38640.185408293706</v>
      </c>
      <c r="V117" s="13"/>
      <c r="W117" s="168"/>
      <c r="X117" s="14"/>
    </row>
    <row r="118" spans="1:24">
      <c r="A118" s="22" t="s">
        <v>115</v>
      </c>
      <c r="B118" s="45" t="str">
        <f>IFERROR(HYPERLINK(VLOOKUP(A118,ÜRÜNLER!A:C,3,FALSE),VLOOKUP(A118,ÜRÜNLER!A:B,2,FALSE)),"")</f>
        <v>iQ100 Solo Bulaşık Makinesi, Inox</v>
      </c>
      <c r="C118" s="8">
        <v>82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53"/>
      <c r="N118" s="110">
        <f t="shared" si="5"/>
        <v>88</v>
      </c>
      <c r="O118" s="111"/>
      <c r="P118" s="102" t="s">
        <v>1546</v>
      </c>
      <c r="Q118" s="46">
        <v>26912.422161822386</v>
      </c>
      <c r="R118" s="46">
        <v>26000</v>
      </c>
      <c r="S118" s="12">
        <v>27040</v>
      </c>
      <c r="T118" s="12">
        <v>28080</v>
      </c>
      <c r="U118" s="12">
        <v>28600</v>
      </c>
      <c r="V118" s="13">
        <v>1167.073324613084</v>
      </c>
      <c r="W118" s="168"/>
      <c r="X118" s="14"/>
    </row>
    <row r="119" spans="1:24">
      <c r="A119" s="22" t="s">
        <v>116</v>
      </c>
      <c r="B119" s="45" t="str">
        <f>IFERROR(HYPERLINK(VLOOKUP(A119,ÜRÜNLER!A:C,3,FALSE),VLOOKUP(A119,ÜRÜNLER!A:B,2,FALSE)),"")</f>
        <v>iQ100 Solo Bulaşık Makinesi, Beyaz</v>
      </c>
      <c r="C119" s="8">
        <v>36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53"/>
      <c r="N119" s="110">
        <f t="shared" si="5"/>
        <v>40</v>
      </c>
      <c r="O119" s="111"/>
      <c r="P119" s="102" t="s">
        <v>1546</v>
      </c>
      <c r="Q119" s="46">
        <v>25739.691797415708</v>
      </c>
      <c r="R119" s="23">
        <v>25740</v>
      </c>
      <c r="S119" s="12">
        <v>26769.599999999999</v>
      </c>
      <c r="T119" s="12">
        <v>27799.200000000001</v>
      </c>
      <c r="U119" s="12">
        <v>28314</v>
      </c>
      <c r="V119" s="13">
        <v>2403.6452857877994</v>
      </c>
      <c r="W119" s="168"/>
      <c r="X119" s="14"/>
    </row>
    <row r="120" spans="1:24">
      <c r="A120" s="26" t="s">
        <v>126</v>
      </c>
      <c r="B120" s="4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53"/>
      <c r="N120" s="110">
        <f t="shared" si="5"/>
        <v>0</v>
      </c>
      <c r="O120" s="111"/>
      <c r="P120" s="98"/>
      <c r="Q120" s="67" t="s">
        <v>1559</v>
      </c>
      <c r="R120" s="15">
        <v>32000</v>
      </c>
      <c r="S120" s="12">
        <v>33280</v>
      </c>
      <c r="T120" s="12">
        <v>34560</v>
      </c>
      <c r="U120" s="12">
        <v>35200</v>
      </c>
      <c r="V120" s="13"/>
      <c r="W120" s="170">
        <v>7673.54</v>
      </c>
      <c r="X120" s="14">
        <v>250</v>
      </c>
    </row>
    <row r="121" spans="1:24">
      <c r="A121" s="22" t="s">
        <v>127</v>
      </c>
      <c r="B121" s="4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53"/>
      <c r="N121" s="110">
        <f t="shared" si="5"/>
        <v>4</v>
      </c>
      <c r="O121" s="111"/>
      <c r="P121" s="98"/>
      <c r="Q121" s="67" t="s">
        <v>1559</v>
      </c>
      <c r="R121" s="40">
        <v>33000</v>
      </c>
      <c r="S121" s="12">
        <v>34320</v>
      </c>
      <c r="T121" s="12">
        <v>35640</v>
      </c>
      <c r="U121" s="12">
        <v>36300</v>
      </c>
      <c r="V121" s="13"/>
      <c r="W121" s="170">
        <v>7385.22</v>
      </c>
      <c r="X121" s="14">
        <v>250</v>
      </c>
    </row>
    <row r="122" spans="1:24">
      <c r="A122" s="22" t="s">
        <v>117</v>
      </c>
      <c r="B122" s="45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53"/>
      <c r="N122" s="110">
        <f t="shared" si="5"/>
        <v>28</v>
      </c>
      <c r="O122" s="111">
        <v>5</v>
      </c>
      <c r="P122" s="98"/>
      <c r="Q122" s="46">
        <v>32345.602571936837</v>
      </c>
      <c r="R122" s="23">
        <v>32345.602571936837</v>
      </c>
      <c r="S122" s="12">
        <v>33639.426674814313</v>
      </c>
      <c r="T122" s="12">
        <v>34933.250777691785</v>
      </c>
      <c r="U122" s="12">
        <v>35580.162829130524</v>
      </c>
      <c r="V122" s="13">
        <v>5004.9048975182341</v>
      </c>
      <c r="W122" s="168"/>
      <c r="X122" s="14"/>
    </row>
    <row r="123" spans="1:24">
      <c r="A123" s="123" t="s">
        <v>118</v>
      </c>
      <c r="B123" s="45" t="str">
        <f>IFERROR(HYPERLINK(VLOOKUP(A123,ÜRÜNLER!A:C,3,FALSE),VLOOKUP(A123,ÜRÜNLER!A:B,2,FALSE)),"")</f>
        <v>iQ500 Solo Bulaşık Makinesi, Üstten Sepetli, Siyah Cam</v>
      </c>
      <c r="C123" s="8">
        <v>1</v>
      </c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53"/>
      <c r="N123" s="110">
        <f t="shared" si="5"/>
        <v>2</v>
      </c>
      <c r="O123" s="111"/>
      <c r="P123" s="98"/>
      <c r="Q123" s="67" t="s">
        <v>1559</v>
      </c>
      <c r="R123" s="40">
        <v>43883.733034453959</v>
      </c>
      <c r="S123" s="12">
        <v>45639.082355832114</v>
      </c>
      <c r="T123" s="12">
        <v>47394.431677210276</v>
      </c>
      <c r="U123" s="12">
        <v>48272.106337899357</v>
      </c>
      <c r="V123" s="13">
        <v>765.47776519042975</v>
      </c>
      <c r="W123" s="168"/>
      <c r="X123" s="14">
        <v>250</v>
      </c>
    </row>
    <row r="124" spans="1:24">
      <c r="A124" s="26" t="s">
        <v>119</v>
      </c>
      <c r="B124" s="4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53"/>
      <c r="N124" s="110">
        <f t="shared" si="5"/>
        <v>1</v>
      </c>
      <c r="O124" s="111"/>
      <c r="P124" s="98"/>
      <c r="Q124" s="67" t="s">
        <v>1559</v>
      </c>
      <c r="R124" s="40">
        <v>43000</v>
      </c>
      <c r="S124" s="12">
        <v>44720</v>
      </c>
      <c r="T124" s="12">
        <v>46440</v>
      </c>
      <c r="U124" s="12">
        <v>47300</v>
      </c>
      <c r="V124" s="13">
        <v>765.47476309561171</v>
      </c>
      <c r="W124" s="168"/>
      <c r="X124" s="14">
        <v>250</v>
      </c>
    </row>
    <row r="125" spans="1:24">
      <c r="A125" s="72" t="s">
        <v>120</v>
      </c>
      <c r="B125" s="45" t="str">
        <f>IFERROR(HYPERLINK(VLOOKUP(A125,ÜRÜNLER!A:C,3,FALSE),VLOOKUP(A125,ÜRÜNLER!A:B,2,FALSE)),"")</f>
        <v>iQ500 Solo Bulaşık Makinesi, Üstten Sepetli, Antrasit Cam</v>
      </c>
      <c r="C125" s="8">
        <v>6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53"/>
      <c r="N125" s="110">
        <f t="shared" si="5"/>
        <v>8</v>
      </c>
      <c r="O125" s="111"/>
      <c r="P125" s="98"/>
      <c r="Q125" s="46">
        <v>45858.498018909566</v>
      </c>
      <c r="R125" s="42">
        <v>44482.743078342282</v>
      </c>
      <c r="S125" s="12">
        <v>46262.052801475977</v>
      </c>
      <c r="T125" s="12">
        <v>48041.362524609664</v>
      </c>
      <c r="U125" s="12">
        <v>48931.017386176507</v>
      </c>
      <c r="V125" s="13">
        <v>765.47476309561171</v>
      </c>
      <c r="W125" s="168"/>
      <c r="X125" s="14"/>
    </row>
    <row r="126" spans="1:24">
      <c r="A126" s="115" t="s">
        <v>121</v>
      </c>
      <c r="B126" s="4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53"/>
      <c r="N126" s="110">
        <f t="shared" si="5"/>
        <v>4</v>
      </c>
      <c r="O126" s="111"/>
      <c r="P126" s="98"/>
      <c r="Q126" s="67" t="s">
        <v>1559</v>
      </c>
      <c r="R126" s="40">
        <v>33250</v>
      </c>
      <c r="S126" s="12">
        <v>34580</v>
      </c>
      <c r="T126" s="12">
        <v>35910</v>
      </c>
      <c r="U126" s="12">
        <v>36575</v>
      </c>
      <c r="V126" s="13"/>
      <c r="W126" s="168"/>
      <c r="X126" s="14"/>
    </row>
    <row r="127" spans="1:24">
      <c r="A127" s="26" t="s">
        <v>122</v>
      </c>
      <c r="B127" s="45" t="str">
        <f>IFERROR(HYPERLINK(VLOOKUP(A127,ÜRÜNLER!A:C,3,FALSE),VLOOKUP(A127,ÜRÜNLER!A:B,2,FALSE)),"")</f>
        <v>iQ300 Solo Bulaşık Makinesi, Inox</v>
      </c>
      <c r="C127" s="8">
        <v>51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53">
        <v>1</v>
      </c>
      <c r="N127" s="110">
        <f t="shared" si="5"/>
        <v>55</v>
      </c>
      <c r="O127" s="111">
        <v>59</v>
      </c>
      <c r="P127" s="99"/>
      <c r="Q127" s="46">
        <v>33869.608742468881</v>
      </c>
      <c r="R127" s="42">
        <v>32853.520480194813</v>
      </c>
      <c r="S127" s="12">
        <v>34167.661299402607</v>
      </c>
      <c r="T127" s="12">
        <v>35481.802118610402</v>
      </c>
      <c r="U127" s="12">
        <v>36138.872528214291</v>
      </c>
      <c r="V127" s="13">
        <v>5592.8645564223698</v>
      </c>
      <c r="W127" s="168"/>
      <c r="X127" s="14"/>
    </row>
    <row r="128" spans="1:24">
      <c r="A128" s="26" t="s">
        <v>124</v>
      </c>
      <c r="B128" s="45" t="str">
        <f>IFERROR(HYPERLINK(VLOOKUP(A128,ÜRÜNLER!A:C,3,FALSE),VLOOKUP(A128,ÜRÜNLER!A:B,2,FALSE)),"")</f>
        <v>iQ300 Solo Bulaşık Makinesi, Beyaz</v>
      </c>
      <c r="C128" s="8">
        <v>172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53"/>
      <c r="N128" s="110">
        <f t="shared" si="5"/>
        <v>177</v>
      </c>
      <c r="O128" s="111">
        <v>54</v>
      </c>
      <c r="P128" s="99"/>
      <c r="Q128" s="46">
        <v>31727.44101962983</v>
      </c>
      <c r="R128" s="167">
        <v>29506.520148255742</v>
      </c>
      <c r="S128" s="12">
        <v>30686.780954185971</v>
      </c>
      <c r="T128" s="12">
        <v>31867.041760116201</v>
      </c>
      <c r="U128" s="12">
        <v>32457.172163081315</v>
      </c>
      <c r="V128" s="13">
        <v>5363.4875312577387</v>
      </c>
      <c r="W128" s="168"/>
      <c r="X128" s="14"/>
    </row>
    <row r="129" spans="1:24">
      <c r="A129" s="26" t="s">
        <v>123</v>
      </c>
      <c r="B129" s="45" t="str">
        <f>IFERROR(HYPERLINK(VLOOKUP(A129,ÜRÜNLER!A:C,3,FALSE),VLOOKUP(A129,ÜRÜNLER!A:B,2,FALSE)),"")</f>
        <v>iQ300 Solo Bulaşık Makinesi, Üstten Sepetli, Inox</v>
      </c>
      <c r="C129" s="8">
        <v>18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53"/>
      <c r="N129" s="110">
        <f t="shared" si="5"/>
        <v>21</v>
      </c>
      <c r="O129" s="111">
        <v>1</v>
      </c>
      <c r="P129" s="98"/>
      <c r="Q129" s="46">
        <v>34092.320440763455</v>
      </c>
      <c r="R129" s="18">
        <v>32387.704418725283</v>
      </c>
      <c r="S129" s="12">
        <v>33683.212595474295</v>
      </c>
      <c r="T129" s="12">
        <v>34978.720772223307</v>
      </c>
      <c r="U129" s="12">
        <v>35626.474860597809</v>
      </c>
      <c r="V129" s="13">
        <v>1281.8553244843788</v>
      </c>
      <c r="W129" s="168"/>
      <c r="X129" s="14"/>
    </row>
    <row r="130" spans="1:24">
      <c r="A130" s="22" t="s">
        <v>125</v>
      </c>
      <c r="B130" s="45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53"/>
      <c r="N130" s="110">
        <f t="shared" si="5"/>
        <v>17</v>
      </c>
      <c r="O130" s="111"/>
      <c r="P130" s="98"/>
      <c r="Q130" s="46">
        <v>31969.828311913185</v>
      </c>
      <c r="R130" s="18">
        <v>30371.336896317523</v>
      </c>
      <c r="S130" s="12">
        <v>31586.190372170226</v>
      </c>
      <c r="T130" s="12">
        <v>32801.043848022928</v>
      </c>
      <c r="U130" s="12">
        <v>33408.470585949275</v>
      </c>
      <c r="V130" s="13">
        <v>1625.6422654015553</v>
      </c>
      <c r="W130" s="168"/>
      <c r="X130" s="14"/>
    </row>
    <row r="131" spans="1:24">
      <c r="A131" s="22" t="s">
        <v>128</v>
      </c>
      <c r="B131" s="45" t="str">
        <f>IFERROR(HYPERLINK(VLOOKUP(A131,ÜRÜNLER!A:C,3,FALSE),VLOOKUP(A131,ÜRÜNLER!A:B,2,FALSE)),"")</f>
        <v>iQ500 Solo Bulaşık Makinesi, autoOpen dry, Inox</v>
      </c>
      <c r="C131" s="8">
        <v>8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53"/>
      <c r="N131" s="110">
        <f t="shared" si="5"/>
        <v>9</v>
      </c>
      <c r="O131" s="111">
        <v>1</v>
      </c>
      <c r="P131" s="98"/>
      <c r="Q131" s="46">
        <v>36857.809892066325</v>
      </c>
      <c r="R131" s="18">
        <v>35014.919397463011</v>
      </c>
      <c r="S131" s="12">
        <v>36415.516173361531</v>
      </c>
      <c r="T131" s="12">
        <v>37816.112949260052</v>
      </c>
      <c r="U131" s="12">
        <v>38516.411337209312</v>
      </c>
      <c r="V131" s="13"/>
      <c r="W131" s="168"/>
      <c r="X131" s="14"/>
    </row>
    <row r="132" spans="1:24">
      <c r="A132" s="22" t="s">
        <v>111</v>
      </c>
      <c r="B132" s="45" t="str">
        <f>IFERROR(HYPERLINK(VLOOKUP(A132,ÜRÜNLER!A:C,3,FALSE),VLOOKUP(A132,ÜRÜNLER!A:B,2,FALSE)),"")</f>
        <v>iQ500 Solo Bulaşık Makinesi, autoOpen dry, Üstten Sepetli, Inox</v>
      </c>
      <c r="C132" s="8">
        <v>10</v>
      </c>
      <c r="D132" s="8"/>
      <c r="E132" s="9"/>
      <c r="F132" s="9"/>
      <c r="G132" s="10"/>
      <c r="H132" s="10"/>
      <c r="I132" s="11"/>
      <c r="J132" s="11"/>
      <c r="K132" s="10"/>
      <c r="L132" s="11"/>
      <c r="M132" s="153"/>
      <c r="N132" s="110">
        <f t="shared" si="5"/>
        <v>10</v>
      </c>
      <c r="O132" s="111"/>
      <c r="P132" s="98"/>
      <c r="Q132" s="46">
        <v>39009.942514519971</v>
      </c>
      <c r="R132" s="18">
        <v>37059.445388793974</v>
      </c>
      <c r="S132" s="12">
        <v>38541.823204345732</v>
      </c>
      <c r="T132" s="12">
        <v>40024.201019897489</v>
      </c>
      <c r="U132" s="12">
        <v>40765.389927673372</v>
      </c>
      <c r="V132" s="13"/>
      <c r="W132" s="168"/>
      <c r="X132" s="14"/>
    </row>
    <row r="133" spans="1:24">
      <c r="A133" s="26" t="s">
        <v>130</v>
      </c>
      <c r="B133" s="4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53"/>
      <c r="N133" s="110">
        <f t="shared" si="5"/>
        <v>6</v>
      </c>
      <c r="O133" s="111">
        <v>16</v>
      </c>
      <c r="P133" s="98"/>
      <c r="Q133" s="46">
        <v>46240.767259781307</v>
      </c>
      <c r="R133" s="18">
        <v>43928.728896792243</v>
      </c>
      <c r="S133" s="12">
        <v>45685.878052663931</v>
      </c>
      <c r="T133" s="12">
        <v>47443.027208535626</v>
      </c>
      <c r="U133" s="12">
        <v>48321.601786471467</v>
      </c>
      <c r="V133" s="13"/>
      <c r="W133" s="168"/>
      <c r="X133" s="14"/>
    </row>
    <row r="134" spans="1:24">
      <c r="A134" s="26" t="s">
        <v>131</v>
      </c>
      <c r="B134" s="4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53"/>
      <c r="N134" s="110">
        <f t="shared" si="5"/>
        <v>2</v>
      </c>
      <c r="O134" s="111"/>
      <c r="P134" s="98"/>
      <c r="Q134" s="67" t="s">
        <v>1559</v>
      </c>
      <c r="R134" s="40">
        <v>41000</v>
      </c>
      <c r="S134" s="12">
        <v>42640</v>
      </c>
      <c r="T134" s="12">
        <v>44280</v>
      </c>
      <c r="U134" s="12">
        <v>45100</v>
      </c>
      <c r="V134" s="13"/>
      <c r="W134" s="168"/>
      <c r="X134" s="14">
        <v>250</v>
      </c>
    </row>
    <row r="135" spans="1:24">
      <c r="A135" s="22" t="s">
        <v>134</v>
      </c>
      <c r="B135" s="45" t="str">
        <f>IFERROR(HYPERLINK(VLOOKUP(A135,ÜRÜNLER!A:C,3,FALSE),VLOOKUP(A135,ÜRÜNLER!A:B,2,FALSE)),"")</f>
        <v>iQ500 Solo Bulaşık Makinesi, autoOpen dry, glassZone, Üstten Sepetli, Inox</v>
      </c>
      <c r="C135" s="8">
        <v>10</v>
      </c>
      <c r="D135" s="8"/>
      <c r="E135" s="9"/>
      <c r="F135" s="9"/>
      <c r="G135" s="10"/>
      <c r="H135" s="10"/>
      <c r="I135" s="11"/>
      <c r="J135" s="11"/>
      <c r="K135" s="10"/>
      <c r="L135" s="11"/>
      <c r="M135" s="153"/>
      <c r="N135" s="110">
        <f t="shared" si="5"/>
        <v>10</v>
      </c>
      <c r="O135" s="111"/>
      <c r="P135" s="98"/>
      <c r="Q135" s="46">
        <v>51229.806472047414</v>
      </c>
      <c r="R135" s="167">
        <v>47643.720019004097</v>
      </c>
      <c r="S135" s="12">
        <v>49549.468819764261</v>
      </c>
      <c r="T135" s="12">
        <v>51455.217620524425</v>
      </c>
      <c r="U135" s="12">
        <v>52408.092020904507</v>
      </c>
      <c r="V135" s="13"/>
      <c r="W135" s="168"/>
      <c r="X135" s="14"/>
    </row>
    <row r="136" spans="1:24">
      <c r="A136" s="22" t="s">
        <v>129</v>
      </c>
      <c r="B136" s="45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53"/>
      <c r="N136" s="110">
        <f t="shared" si="5"/>
        <v>7</v>
      </c>
      <c r="O136" s="111"/>
      <c r="P136" s="98"/>
      <c r="Q136" s="46">
        <v>35182.844355966678</v>
      </c>
      <c r="R136" s="18">
        <v>33423.702138168344</v>
      </c>
      <c r="S136" s="12">
        <v>34760.650223695076</v>
      </c>
      <c r="T136" s="12">
        <v>36097.598309221808</v>
      </c>
      <c r="U136" s="12">
        <v>36766.072351985182</v>
      </c>
      <c r="V136" s="13">
        <v>663.07691410620464</v>
      </c>
      <c r="W136" s="168"/>
      <c r="X136" s="14"/>
    </row>
    <row r="137" spans="1:24">
      <c r="A137" s="22" t="s">
        <v>132</v>
      </c>
      <c r="B137" s="4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53"/>
      <c r="N137" s="110">
        <f t="shared" si="5"/>
        <v>1</v>
      </c>
      <c r="O137" s="111"/>
      <c r="P137" s="98"/>
      <c r="Q137" s="67" t="s">
        <v>1559</v>
      </c>
      <c r="R137" s="40">
        <v>33000</v>
      </c>
      <c r="S137" s="12">
        <v>34320</v>
      </c>
      <c r="T137" s="12">
        <v>35640</v>
      </c>
      <c r="U137" s="12">
        <v>36300</v>
      </c>
      <c r="V137" s="13"/>
      <c r="W137" s="168"/>
      <c r="X137" s="17"/>
    </row>
    <row r="138" spans="1:24">
      <c r="A138" s="22" t="s">
        <v>133</v>
      </c>
      <c r="B138" s="4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53"/>
      <c r="N138" s="110">
        <f t="shared" si="5"/>
        <v>1</v>
      </c>
      <c r="O138" s="111"/>
      <c r="P138" s="98"/>
      <c r="Q138" s="67" t="s">
        <v>1559</v>
      </c>
      <c r="R138" s="19">
        <v>33000</v>
      </c>
      <c r="S138" s="12">
        <v>34320</v>
      </c>
      <c r="T138" s="12">
        <v>35640</v>
      </c>
      <c r="U138" s="12">
        <v>36300</v>
      </c>
      <c r="V138" s="13"/>
      <c r="W138" s="168"/>
      <c r="X138" s="14">
        <v>250</v>
      </c>
    </row>
    <row r="139" spans="1:24">
      <c r="A139" s="26" t="s">
        <v>135</v>
      </c>
      <c r="B139" s="45" t="str">
        <f>IFERROR(HYPERLINK(VLOOKUP(A139,ÜRÜNLER!A:C,3,FALSE),VLOOKUP(A139,ÜRÜNLER!A:B,2,FALSE)),"")</f>
        <v>iQ700 Solo Bulaşık Makinesi, Zeolith dry, glassZone, Inox</v>
      </c>
      <c r="C139" s="8">
        <v>41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53"/>
      <c r="N139" s="110">
        <f t="shared" si="5"/>
        <v>46</v>
      </c>
      <c r="O139" s="111"/>
      <c r="P139" s="99"/>
      <c r="Q139" s="46">
        <v>55279.299644490326</v>
      </c>
      <c r="R139" s="18">
        <v>52515.334662265806</v>
      </c>
      <c r="S139" s="12">
        <v>54615.948048756436</v>
      </c>
      <c r="T139" s="12">
        <v>56716.561435247073</v>
      </c>
      <c r="U139" s="12">
        <v>57766.868128492388</v>
      </c>
      <c r="V139" s="13"/>
      <c r="W139" s="168"/>
      <c r="X139" s="17"/>
    </row>
    <row r="140" spans="1:24" s="28" customFormat="1" ht="34.5" customHeight="1">
      <c r="A140" s="27" t="s">
        <v>1549</v>
      </c>
      <c r="B140" s="4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53"/>
      <c r="N140" s="110">
        <f>SUM(N115:N139)</f>
        <v>656</v>
      </c>
      <c r="O140" s="111"/>
      <c r="P140" s="98"/>
      <c r="Q140" s="67"/>
      <c r="R140" s="14"/>
      <c r="S140" s="12"/>
      <c r="T140" s="12"/>
      <c r="U140" s="12">
        <v>0</v>
      </c>
      <c r="V140" s="13"/>
      <c r="W140" s="168"/>
      <c r="X140" s="14"/>
    </row>
    <row r="141" spans="1:24">
      <c r="A141" s="119" t="s">
        <v>471</v>
      </c>
      <c r="B141" s="4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53">
        <v>1</v>
      </c>
      <c r="N141" s="110">
        <f t="shared" ref="N141:N161" si="6">L141+M141+K141+J141+I141+H141+G141+F141+E141+D141+C141</f>
        <v>27</v>
      </c>
      <c r="O141" s="111"/>
      <c r="P141" s="98"/>
      <c r="Q141" s="46">
        <v>43564.835899519996</v>
      </c>
      <c r="R141" s="18">
        <v>41386.594104543998</v>
      </c>
      <c r="S141" s="12">
        <v>43042.057868725758</v>
      </c>
      <c r="T141" s="12">
        <v>44697.521632907519</v>
      </c>
      <c r="U141" s="12">
        <v>45525.253514998396</v>
      </c>
      <c r="V141" s="13"/>
      <c r="W141" s="168"/>
      <c r="X141" s="14"/>
    </row>
    <row r="142" spans="1:24">
      <c r="A142" s="119" t="s">
        <v>472</v>
      </c>
      <c r="B142" s="4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53"/>
      <c r="N142" s="110">
        <f t="shared" si="6"/>
        <v>12</v>
      </c>
      <c r="O142" s="111"/>
      <c r="P142" s="98"/>
      <c r="Q142" s="46">
        <v>43564.835899519996</v>
      </c>
      <c r="R142" s="18">
        <v>41386.594104543998</v>
      </c>
      <c r="S142" s="12">
        <v>43042.057868725758</v>
      </c>
      <c r="T142" s="12">
        <v>44697.521632907519</v>
      </c>
      <c r="U142" s="12">
        <v>45525.253514998396</v>
      </c>
      <c r="V142" s="13"/>
      <c r="W142" s="168"/>
      <c r="X142" s="14"/>
    </row>
    <row r="143" spans="1:24">
      <c r="A143" s="118" t="s">
        <v>138</v>
      </c>
      <c r="B143" s="4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53"/>
      <c r="N143" s="110">
        <f t="shared" si="6"/>
        <v>1</v>
      </c>
      <c r="O143" s="111"/>
      <c r="P143" s="98"/>
      <c r="Q143" s="67" t="s">
        <v>1559</v>
      </c>
      <c r="R143" s="19">
        <v>18000</v>
      </c>
      <c r="S143" s="12">
        <v>18720</v>
      </c>
      <c r="T143" s="12">
        <v>19440</v>
      </c>
      <c r="U143" s="12">
        <v>19800</v>
      </c>
      <c r="V143" s="13"/>
      <c r="W143" s="168"/>
      <c r="X143" s="14">
        <v>250</v>
      </c>
    </row>
    <row r="144" spans="1:24">
      <c r="A144" s="118" t="s">
        <v>137</v>
      </c>
      <c r="B144" s="4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53"/>
      <c r="N144" s="110">
        <f t="shared" si="6"/>
        <v>2</v>
      </c>
      <c r="O144" s="111"/>
      <c r="P144" s="98"/>
      <c r="Q144" s="67" t="s">
        <v>1559</v>
      </c>
      <c r="R144" s="19">
        <v>20000</v>
      </c>
      <c r="S144" s="12">
        <v>20800</v>
      </c>
      <c r="T144" s="12">
        <v>21600</v>
      </c>
      <c r="U144" s="12">
        <v>22000</v>
      </c>
      <c r="V144" s="13"/>
      <c r="W144" s="170">
        <v>2164.92</v>
      </c>
      <c r="X144" s="14">
        <v>250</v>
      </c>
    </row>
    <row r="145" spans="1:24">
      <c r="A145" s="118" t="s">
        <v>141</v>
      </c>
      <c r="B145" s="45" t="str">
        <f>IFERROR(HYPERLINK(VLOOKUP(A145,ÜRÜNLER!A:C,3,FALSE),VLOOKUP(A145,ÜRÜNLER!A:B,2,FALSE)),"")</f>
        <v>iQ300 Yarı Ankastre Bulaşık Makinesi, Siyah/Inox</v>
      </c>
      <c r="C145" s="8">
        <v>12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53">
        <v>1</v>
      </c>
      <c r="N145" s="110">
        <f t="shared" si="6"/>
        <v>14</v>
      </c>
      <c r="O145" s="111"/>
      <c r="P145" s="98"/>
      <c r="Q145" s="46">
        <v>33092.024417554705</v>
      </c>
      <c r="R145" s="47">
        <v>32099.263685028065</v>
      </c>
      <c r="S145" s="12">
        <v>33383.234232429189</v>
      </c>
      <c r="T145" s="12">
        <v>34667.20477983031</v>
      </c>
      <c r="U145" s="12">
        <v>35309.190053530874</v>
      </c>
      <c r="V145" s="13"/>
      <c r="W145" s="168"/>
      <c r="X145" s="14"/>
    </row>
    <row r="146" spans="1:24">
      <c r="A146" s="21" t="s">
        <v>139</v>
      </c>
      <c r="B146" s="45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53"/>
      <c r="N146" s="110">
        <f t="shared" si="6"/>
        <v>8</v>
      </c>
      <c r="O146" s="111"/>
      <c r="P146" s="98"/>
      <c r="Q146" s="46">
        <v>34651.948063429598</v>
      </c>
      <c r="R146" s="47">
        <v>33612.389621526709</v>
      </c>
      <c r="S146" s="12">
        <v>34956.885206387778</v>
      </c>
      <c r="T146" s="12">
        <v>36301.380791248848</v>
      </c>
      <c r="U146" s="12">
        <v>36973.628583679383</v>
      </c>
      <c r="V146" s="13"/>
      <c r="W146" s="168"/>
      <c r="X146" s="14"/>
    </row>
    <row r="147" spans="1:24">
      <c r="A147" s="118" t="s">
        <v>140</v>
      </c>
      <c r="B147" s="45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53"/>
      <c r="N147" s="110">
        <f t="shared" si="6"/>
        <v>4</v>
      </c>
      <c r="O147" s="111"/>
      <c r="P147" s="98"/>
      <c r="Q147" s="67" t="s">
        <v>1559</v>
      </c>
      <c r="R147" s="40">
        <v>27756.046587678491</v>
      </c>
      <c r="S147" s="12">
        <v>28866.288451185632</v>
      </c>
      <c r="T147" s="12">
        <v>29976.530314692769</v>
      </c>
      <c r="U147" s="12">
        <v>30531.651246446341</v>
      </c>
      <c r="V147" s="13"/>
      <c r="W147" s="168"/>
      <c r="X147" s="14"/>
    </row>
    <row r="148" spans="1:24">
      <c r="A148" s="124" t="s">
        <v>143</v>
      </c>
      <c r="B148" s="4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53"/>
      <c r="N148" s="110">
        <f t="shared" si="6"/>
        <v>17</v>
      </c>
      <c r="O148" s="111"/>
      <c r="P148" s="98"/>
      <c r="Q148" s="46">
        <v>51145.09185598667</v>
      </c>
      <c r="R148" s="23">
        <v>51145</v>
      </c>
      <c r="S148" s="12">
        <v>53190.8</v>
      </c>
      <c r="T148" s="12">
        <v>55236.6</v>
      </c>
      <c r="U148" s="12">
        <v>56259.5</v>
      </c>
      <c r="V148" s="13"/>
      <c r="W148" s="168"/>
      <c r="X148" s="14"/>
    </row>
    <row r="149" spans="1:24">
      <c r="A149" s="118" t="s">
        <v>144</v>
      </c>
      <c r="B149" s="4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53"/>
      <c r="N149" s="110">
        <f t="shared" si="6"/>
        <v>2</v>
      </c>
      <c r="O149" s="111"/>
      <c r="P149" s="98"/>
      <c r="Q149" s="67" t="s">
        <v>1559</v>
      </c>
      <c r="R149" s="15">
        <v>50000</v>
      </c>
      <c r="S149" s="12">
        <v>52000</v>
      </c>
      <c r="T149" s="12">
        <v>54000</v>
      </c>
      <c r="U149" s="12">
        <v>55000</v>
      </c>
      <c r="V149" s="13"/>
      <c r="W149" s="168"/>
      <c r="X149" s="14">
        <v>250</v>
      </c>
    </row>
    <row r="150" spans="1:24">
      <c r="A150" s="124" t="s">
        <v>145</v>
      </c>
      <c r="B150" s="4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53"/>
      <c r="N150" s="110">
        <f t="shared" si="6"/>
        <v>4</v>
      </c>
      <c r="O150" s="111"/>
      <c r="P150" s="98"/>
      <c r="Q150" s="46">
        <v>70618.460022560103</v>
      </c>
      <c r="R150" s="23">
        <v>70618.460022560103</v>
      </c>
      <c r="S150" s="12">
        <v>73443.198423462512</v>
      </c>
      <c r="T150" s="12">
        <v>76267.936824364908</v>
      </c>
      <c r="U150" s="12">
        <v>77680.30602481612</v>
      </c>
      <c r="V150" s="13"/>
      <c r="W150" s="168"/>
      <c r="X150" s="14"/>
    </row>
    <row r="151" spans="1:24">
      <c r="A151" s="118" t="s">
        <v>146</v>
      </c>
      <c r="B151" s="45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53"/>
      <c r="N151" s="110">
        <f t="shared" si="6"/>
        <v>22</v>
      </c>
      <c r="O151" s="111"/>
      <c r="P151" s="98"/>
      <c r="Q151" s="46">
        <v>34347.633246062505</v>
      </c>
      <c r="R151" s="167">
        <v>31943.298918838129</v>
      </c>
      <c r="S151" s="12">
        <v>33221.030875591656</v>
      </c>
      <c r="T151" s="12">
        <v>34498.762832345179</v>
      </c>
      <c r="U151" s="12">
        <v>35137.628810721944</v>
      </c>
      <c r="V151" s="13"/>
      <c r="W151" s="168"/>
      <c r="X151" s="14"/>
    </row>
    <row r="152" spans="1:24">
      <c r="A152" s="26" t="s">
        <v>1421</v>
      </c>
      <c r="B152" s="4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53"/>
      <c r="N152" s="110">
        <f t="shared" si="6"/>
        <v>2</v>
      </c>
      <c r="O152" s="111"/>
      <c r="P152" s="98"/>
      <c r="Q152" s="46" t="s">
        <v>1559</v>
      </c>
      <c r="R152" s="23">
        <v>25000</v>
      </c>
      <c r="S152" s="12">
        <v>26000</v>
      </c>
      <c r="T152" s="12">
        <v>27000</v>
      </c>
      <c r="U152" s="12">
        <v>27500</v>
      </c>
      <c r="V152" s="13"/>
      <c r="W152" s="168"/>
      <c r="X152" s="14">
        <v>250</v>
      </c>
    </row>
    <row r="153" spans="1:24">
      <c r="A153" s="21" t="s">
        <v>147</v>
      </c>
      <c r="B153" s="4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53"/>
      <c r="N153" s="110">
        <f t="shared" si="6"/>
        <v>1</v>
      </c>
      <c r="O153" s="111"/>
      <c r="P153" s="98"/>
      <c r="Q153" s="67" t="s">
        <v>1559</v>
      </c>
      <c r="R153" s="19">
        <v>27000</v>
      </c>
      <c r="S153" s="12">
        <v>28080</v>
      </c>
      <c r="T153" s="12">
        <v>29160</v>
      </c>
      <c r="U153" s="12">
        <v>29700</v>
      </c>
      <c r="V153" s="13"/>
      <c r="W153" s="168"/>
      <c r="X153" s="14">
        <v>250</v>
      </c>
    </row>
    <row r="154" spans="1:24">
      <c r="A154" s="125" t="s">
        <v>148</v>
      </c>
      <c r="B154" s="45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53"/>
      <c r="N154" s="110">
        <f t="shared" si="6"/>
        <v>5</v>
      </c>
      <c r="O154" s="111"/>
      <c r="P154" s="98"/>
      <c r="Q154" s="67" t="s">
        <v>1559</v>
      </c>
      <c r="R154" s="19">
        <v>41000</v>
      </c>
      <c r="S154" s="12">
        <v>42640</v>
      </c>
      <c r="T154" s="12">
        <v>44280</v>
      </c>
      <c r="U154" s="12">
        <v>45100</v>
      </c>
      <c r="V154" s="13"/>
      <c r="W154" s="168"/>
      <c r="X154" s="14">
        <v>250</v>
      </c>
    </row>
    <row r="155" spans="1:24">
      <c r="A155" s="26" t="s">
        <v>1553</v>
      </c>
      <c r="B155" s="45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/>
      <c r="K155" s="10"/>
      <c r="L155" s="11"/>
      <c r="M155" s="153"/>
      <c r="N155" s="110">
        <f t="shared" si="6"/>
        <v>10</v>
      </c>
      <c r="O155" s="111">
        <v>4</v>
      </c>
      <c r="P155" s="98"/>
      <c r="Q155" s="46">
        <v>56636.161647058827</v>
      </c>
      <c r="R155" s="167">
        <v>52671.630331764711</v>
      </c>
      <c r="S155" s="12">
        <v>54778.495545035301</v>
      </c>
      <c r="T155" s="12">
        <v>56885.360758305891</v>
      </c>
      <c r="U155" s="12">
        <v>57938.793364941179</v>
      </c>
      <c r="V155" s="13"/>
      <c r="W155" s="168"/>
      <c r="X155" s="14"/>
    </row>
    <row r="156" spans="1:24">
      <c r="A156" s="21" t="s">
        <v>151</v>
      </c>
      <c r="B156" s="4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53"/>
      <c r="N156" s="110">
        <f t="shared" si="6"/>
        <v>3</v>
      </c>
      <c r="O156" s="111"/>
      <c r="P156" s="98"/>
      <c r="Q156" s="67" t="s">
        <v>1559</v>
      </c>
      <c r="R156" s="169">
        <v>71200</v>
      </c>
      <c r="S156" s="12">
        <v>74048</v>
      </c>
      <c r="T156" s="12">
        <v>76896</v>
      </c>
      <c r="U156" s="12">
        <v>78320</v>
      </c>
      <c r="V156" s="13"/>
      <c r="W156" s="168"/>
      <c r="X156" s="14">
        <v>250</v>
      </c>
    </row>
    <row r="157" spans="1:24">
      <c r="A157" s="21" t="s">
        <v>1504</v>
      </c>
      <c r="B157" s="4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53"/>
      <c r="N157" s="110">
        <f t="shared" si="6"/>
        <v>0</v>
      </c>
      <c r="O157" s="111"/>
      <c r="P157" s="98"/>
      <c r="Q157" s="159">
        <v>87573.371063033162</v>
      </c>
      <c r="R157" s="159">
        <v>78816.033956729851</v>
      </c>
      <c r="S157" s="12">
        <v>81968.67531499904</v>
      </c>
      <c r="T157" s="12">
        <v>85121.316673268244</v>
      </c>
      <c r="U157" s="12">
        <v>86697.637352402831</v>
      </c>
      <c r="V157" s="13"/>
      <c r="W157" s="168"/>
      <c r="X157" s="14"/>
    </row>
    <row r="158" spans="1:24">
      <c r="A158" s="21" t="s">
        <v>150</v>
      </c>
      <c r="B158" s="4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53"/>
      <c r="N158" s="110">
        <f t="shared" si="6"/>
        <v>3</v>
      </c>
      <c r="O158" s="111"/>
      <c r="P158" s="98"/>
      <c r="Q158" s="159">
        <v>102409.20846291253</v>
      </c>
      <c r="R158" s="159">
        <v>92168.287616621281</v>
      </c>
      <c r="S158" s="12">
        <v>95855.019121286139</v>
      </c>
      <c r="T158" s="12">
        <v>99541.750625950983</v>
      </c>
      <c r="U158" s="12">
        <v>101385.1163782834</v>
      </c>
      <c r="V158" s="13"/>
      <c r="W158" s="168"/>
      <c r="X158" s="14">
        <v>250</v>
      </c>
    </row>
    <row r="159" spans="1:24">
      <c r="A159" s="21" t="s">
        <v>152</v>
      </c>
      <c r="B159" s="4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1"/>
      <c r="M159" s="153"/>
      <c r="N159" s="110">
        <f t="shared" si="6"/>
        <v>1</v>
      </c>
      <c r="O159" s="111"/>
      <c r="P159" s="98"/>
      <c r="Q159" s="67" t="s">
        <v>1559</v>
      </c>
      <c r="R159" s="40">
        <v>47500</v>
      </c>
      <c r="S159" s="12">
        <v>49400</v>
      </c>
      <c r="T159" s="12">
        <v>51300</v>
      </c>
      <c r="U159" s="12">
        <v>52250</v>
      </c>
      <c r="V159" s="13"/>
      <c r="W159" s="168"/>
      <c r="X159" s="14">
        <v>250</v>
      </c>
    </row>
    <row r="160" spans="1:24">
      <c r="A160" s="21" t="s">
        <v>1533</v>
      </c>
      <c r="B160" s="4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53"/>
      <c r="N160" s="110">
        <f t="shared" si="6"/>
        <v>0</v>
      </c>
      <c r="O160" s="111">
        <v>4</v>
      </c>
      <c r="P160" s="98"/>
      <c r="Q160" s="46">
        <v>57984.855764705884</v>
      </c>
      <c r="R160" s="171">
        <v>57984.855764705884</v>
      </c>
      <c r="S160" s="12">
        <v>60304.249995294122</v>
      </c>
      <c r="T160" s="12">
        <v>62623.644225882352</v>
      </c>
      <c r="U160" s="12">
        <v>63783.34134117647</v>
      </c>
      <c r="V160" s="13"/>
      <c r="W160" s="168"/>
      <c r="X160" s="19"/>
    </row>
    <row r="161" spans="1:24">
      <c r="A161" s="21" t="s">
        <v>1488</v>
      </c>
      <c r="B161" s="4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53"/>
      <c r="N161" s="110">
        <f t="shared" si="6"/>
        <v>12</v>
      </c>
      <c r="O161" s="111"/>
      <c r="P161" s="98"/>
      <c r="Q161" s="67"/>
      <c r="R161" s="172">
        <v>1250</v>
      </c>
      <c r="S161" s="12">
        <v>1300</v>
      </c>
      <c r="T161" s="12">
        <v>1350</v>
      </c>
      <c r="U161" s="12">
        <v>1375</v>
      </c>
      <c r="V161" s="13"/>
      <c r="W161" s="168"/>
      <c r="X161" s="14"/>
    </row>
    <row r="162" spans="1:24" s="28" customFormat="1" ht="30">
      <c r="A162" s="50" t="s">
        <v>153</v>
      </c>
      <c r="B162" s="45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53"/>
      <c r="N162" s="110">
        <f>SUM(N141:N161)</f>
        <v>150</v>
      </c>
      <c r="O162" s="111"/>
      <c r="P162" s="98"/>
      <c r="Q162" s="67"/>
      <c r="R162" s="14"/>
      <c r="S162" s="12"/>
      <c r="T162" s="12"/>
      <c r="U162" s="12">
        <v>0</v>
      </c>
      <c r="V162" s="13"/>
      <c r="W162" s="168"/>
      <c r="X162" s="14"/>
    </row>
    <row r="163" spans="1:24">
      <c r="A163" s="126" t="s">
        <v>199</v>
      </c>
      <c r="B163" s="4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53"/>
      <c r="N163" s="110">
        <f t="shared" ref="N163:N213" si="7">L163+M163+K163+J163+I163+H163+G163+F163+E163+D163+C163</f>
        <v>1</v>
      </c>
      <c r="O163" s="111"/>
      <c r="P163" s="98"/>
      <c r="Q163" s="67" t="s">
        <v>1559</v>
      </c>
      <c r="R163" s="19">
        <v>65000</v>
      </c>
      <c r="S163" s="12">
        <v>67600</v>
      </c>
      <c r="T163" s="12">
        <v>70200</v>
      </c>
      <c r="U163" s="12">
        <v>71500</v>
      </c>
      <c r="V163" s="13"/>
      <c r="W163" s="168"/>
      <c r="X163" s="14">
        <v>250</v>
      </c>
    </row>
    <row r="164" spans="1:24">
      <c r="A164" s="126" t="s">
        <v>200</v>
      </c>
      <c r="B164" s="4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53"/>
      <c r="N164" s="110">
        <f t="shared" si="7"/>
        <v>4</v>
      </c>
      <c r="O164" s="111"/>
      <c r="P164" s="98"/>
      <c r="Q164" s="46">
        <v>81643.747128662522</v>
      </c>
      <c r="R164" s="23">
        <v>81643.747128662522</v>
      </c>
      <c r="S164" s="12">
        <v>84909.497013809028</v>
      </c>
      <c r="T164" s="12">
        <v>88175.24689895552</v>
      </c>
      <c r="U164" s="12">
        <v>89808.121841528773</v>
      </c>
      <c r="V164" s="13"/>
      <c r="W164" s="168"/>
      <c r="X164" s="14">
        <v>250</v>
      </c>
    </row>
    <row r="165" spans="1:24">
      <c r="A165" s="118" t="s">
        <v>198</v>
      </c>
      <c r="B165" s="4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53"/>
      <c r="N165" s="110">
        <f t="shared" si="7"/>
        <v>2</v>
      </c>
      <c r="O165" s="111"/>
      <c r="P165" s="98"/>
      <c r="Q165" s="159">
        <v>172552.6583569324</v>
      </c>
      <c r="R165" s="159">
        <v>155297.39252123915</v>
      </c>
      <c r="S165" s="12">
        <v>161509.28822208871</v>
      </c>
      <c r="T165" s="12">
        <v>167721.18392293827</v>
      </c>
      <c r="U165" s="12">
        <v>170827.13177336307</v>
      </c>
      <c r="V165" s="13"/>
      <c r="W165" s="168"/>
      <c r="X165" s="14">
        <v>250</v>
      </c>
    </row>
    <row r="166" spans="1:24">
      <c r="A166" s="118" t="s">
        <v>201</v>
      </c>
      <c r="B166" s="4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53"/>
      <c r="N166" s="110">
        <f t="shared" si="7"/>
        <v>4</v>
      </c>
      <c r="O166" s="111"/>
      <c r="P166" s="98"/>
      <c r="Q166" s="67" t="s">
        <v>1559</v>
      </c>
      <c r="R166" s="169">
        <v>120000</v>
      </c>
      <c r="S166" s="12">
        <v>124800</v>
      </c>
      <c r="T166" s="12">
        <v>129600</v>
      </c>
      <c r="U166" s="12">
        <v>132000</v>
      </c>
      <c r="V166" s="13"/>
      <c r="W166" s="168"/>
      <c r="X166" s="14">
        <v>250</v>
      </c>
    </row>
    <row r="167" spans="1:24">
      <c r="A167" s="124" t="s">
        <v>165</v>
      </c>
      <c r="B167" s="4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/>
      <c r="K167" s="10"/>
      <c r="L167" s="11"/>
      <c r="M167" s="153"/>
      <c r="N167" s="110">
        <f t="shared" si="7"/>
        <v>24</v>
      </c>
      <c r="O167" s="111"/>
      <c r="P167" s="103"/>
      <c r="Q167" s="46">
        <v>21545.266477189278</v>
      </c>
      <c r="R167" s="167">
        <v>20037.097823786029</v>
      </c>
      <c r="S167" s="12">
        <v>20838.581736737469</v>
      </c>
      <c r="T167" s="12">
        <v>21640.065649688913</v>
      </c>
      <c r="U167" s="12">
        <v>22040.807606164632</v>
      </c>
      <c r="V167" s="13"/>
      <c r="W167" s="168"/>
      <c r="X167" s="14"/>
    </row>
    <row r="168" spans="1:24">
      <c r="A168" s="127" t="s">
        <v>166</v>
      </c>
      <c r="B168" s="45" t="str">
        <f>IFERROR(HYPERLINK(VLOOKUP(A168,ÜRÜNLER!A:C,3,FALSE),VLOOKUP(A168,ÜRÜNLER!A:B,2,FALSE)),"")</f>
        <v>iQ100 Ankastre Fırın, Antrasit</v>
      </c>
      <c r="C168" s="8">
        <v>48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53"/>
      <c r="N168" s="110">
        <f t="shared" si="7"/>
        <v>50</v>
      </c>
      <c r="O168" s="111"/>
      <c r="P168" s="103"/>
      <c r="Q168" s="46">
        <v>21545.266477189278</v>
      </c>
      <c r="R168" s="167">
        <v>20037.097823786029</v>
      </c>
      <c r="S168" s="12">
        <v>20838.581736737469</v>
      </c>
      <c r="T168" s="12">
        <v>21640.065649688913</v>
      </c>
      <c r="U168" s="12">
        <v>22040.807606164632</v>
      </c>
      <c r="V168" s="13"/>
      <c r="W168" s="168"/>
      <c r="X168" s="14"/>
    </row>
    <row r="169" spans="1:24">
      <c r="A169" s="118" t="s">
        <v>167</v>
      </c>
      <c r="B169" s="45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53"/>
      <c r="N169" s="110">
        <f t="shared" si="7"/>
        <v>27</v>
      </c>
      <c r="O169" s="111"/>
      <c r="P169" s="103"/>
      <c r="Q169" s="46">
        <v>21545.266477189278</v>
      </c>
      <c r="R169" s="167">
        <v>20037.097823786029</v>
      </c>
      <c r="S169" s="12">
        <v>20838.581736737469</v>
      </c>
      <c r="T169" s="12">
        <v>21640.065649688913</v>
      </c>
      <c r="U169" s="12">
        <v>22040.807606164632</v>
      </c>
      <c r="V169" s="13"/>
      <c r="W169" s="168"/>
      <c r="X169" s="14"/>
    </row>
    <row r="170" spans="1:24">
      <c r="A170" s="21" t="s">
        <v>1343</v>
      </c>
      <c r="B170" s="4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/>
      <c r="L170" s="11"/>
      <c r="M170" s="153"/>
      <c r="N170" s="110">
        <f t="shared" si="7"/>
        <v>3</v>
      </c>
      <c r="O170" s="111"/>
      <c r="P170" s="98"/>
      <c r="Q170" s="67" t="s">
        <v>1559</v>
      </c>
      <c r="R170" s="167">
        <v>15500</v>
      </c>
      <c r="S170" s="12">
        <v>16120</v>
      </c>
      <c r="T170" s="12">
        <v>16740</v>
      </c>
      <c r="U170" s="12">
        <v>17050</v>
      </c>
      <c r="V170" s="13"/>
      <c r="W170" s="170">
        <v>2813.96</v>
      </c>
      <c r="X170" s="14">
        <v>250</v>
      </c>
    </row>
    <row r="171" spans="1:24">
      <c r="A171" s="128" t="s">
        <v>169</v>
      </c>
      <c r="B171" s="4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53"/>
      <c r="N171" s="110">
        <f t="shared" si="7"/>
        <v>1</v>
      </c>
      <c r="O171" s="111"/>
      <c r="P171" s="98"/>
      <c r="Q171" s="67" t="s">
        <v>1559</v>
      </c>
      <c r="R171" s="19">
        <v>15000</v>
      </c>
      <c r="S171" s="12">
        <v>15600</v>
      </c>
      <c r="T171" s="12">
        <v>16200</v>
      </c>
      <c r="U171" s="12">
        <v>16500</v>
      </c>
      <c r="V171" s="13"/>
      <c r="W171" s="168"/>
      <c r="X171" s="14">
        <v>250</v>
      </c>
    </row>
    <row r="172" spans="1:24">
      <c r="A172" s="127" t="s">
        <v>171</v>
      </c>
      <c r="B172" s="4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53"/>
      <c r="N172" s="110">
        <f t="shared" si="7"/>
        <v>1</v>
      </c>
      <c r="O172" s="111"/>
      <c r="P172" s="98"/>
      <c r="Q172" s="67" t="s">
        <v>1559</v>
      </c>
      <c r="R172" s="19">
        <v>15000</v>
      </c>
      <c r="S172" s="12">
        <v>15600</v>
      </c>
      <c r="T172" s="12">
        <v>16200</v>
      </c>
      <c r="U172" s="12">
        <v>16500</v>
      </c>
      <c r="V172" s="13"/>
      <c r="W172" s="168"/>
      <c r="X172" s="14">
        <v>250</v>
      </c>
    </row>
    <row r="173" spans="1:24">
      <c r="A173" s="127" t="s">
        <v>172</v>
      </c>
      <c r="B173" s="4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53"/>
      <c r="N173" s="110">
        <f t="shared" si="7"/>
        <v>1</v>
      </c>
      <c r="O173" s="111"/>
      <c r="P173" s="98"/>
      <c r="Q173" s="67" t="s">
        <v>1559</v>
      </c>
      <c r="R173" s="19">
        <v>22000</v>
      </c>
      <c r="S173" s="12">
        <v>22880</v>
      </c>
      <c r="T173" s="12">
        <v>23760</v>
      </c>
      <c r="U173" s="12">
        <v>24200</v>
      </c>
      <c r="V173" s="13"/>
      <c r="W173" s="170">
        <v>3115.14</v>
      </c>
      <c r="X173" s="14">
        <v>250</v>
      </c>
    </row>
    <row r="174" spans="1:24">
      <c r="A174" s="124" t="s">
        <v>173</v>
      </c>
      <c r="B174" s="4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1"/>
      <c r="M174" s="153"/>
      <c r="N174" s="110">
        <f t="shared" si="7"/>
        <v>2</v>
      </c>
      <c r="O174" s="111"/>
      <c r="P174" s="98"/>
      <c r="Q174" s="67" t="s">
        <v>1559</v>
      </c>
      <c r="R174" s="19">
        <v>19000</v>
      </c>
      <c r="S174" s="12">
        <v>19760</v>
      </c>
      <c r="T174" s="12">
        <v>20520</v>
      </c>
      <c r="U174" s="12">
        <v>20900</v>
      </c>
      <c r="V174" s="13"/>
      <c r="W174" s="168"/>
      <c r="X174" s="14"/>
    </row>
    <row r="175" spans="1:24">
      <c r="A175" s="124" t="s">
        <v>174</v>
      </c>
      <c r="B175" s="4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53"/>
      <c r="N175" s="110">
        <f t="shared" si="7"/>
        <v>3</v>
      </c>
      <c r="O175" s="111"/>
      <c r="P175" s="98"/>
      <c r="Q175" s="67" t="s">
        <v>1559</v>
      </c>
      <c r="R175" s="169">
        <v>85000</v>
      </c>
      <c r="S175" s="12">
        <v>88400</v>
      </c>
      <c r="T175" s="12">
        <v>91800</v>
      </c>
      <c r="U175" s="12">
        <v>93500</v>
      </c>
      <c r="V175" s="13"/>
      <c r="W175" s="168"/>
      <c r="X175" s="14">
        <v>250</v>
      </c>
    </row>
    <row r="176" spans="1:24">
      <c r="A176" s="21" t="s">
        <v>1020</v>
      </c>
      <c r="B176" s="45" t="str">
        <f>IFERROR(HYPERLINK(VLOOKUP(A176,ÜRÜNLER!A:C,3,FALSE),VLOOKUP(A176,ÜRÜNLER!A:B,2,FALSE)),"")</f>
        <v>iQ300 Ankastre Fırın, Titanyum Gri</v>
      </c>
      <c r="C176" s="8">
        <v>2</v>
      </c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53"/>
      <c r="N176" s="110">
        <f t="shared" si="7"/>
        <v>3</v>
      </c>
      <c r="O176" s="111"/>
      <c r="P176" s="98"/>
      <c r="Q176" s="67" t="s">
        <v>1559</v>
      </c>
      <c r="R176" s="19">
        <v>16000</v>
      </c>
      <c r="S176" s="12">
        <v>16640</v>
      </c>
      <c r="T176" s="12">
        <v>17280</v>
      </c>
      <c r="U176" s="12">
        <v>17600</v>
      </c>
      <c r="V176" s="13"/>
      <c r="W176" s="170">
        <v>1497.55</v>
      </c>
      <c r="X176" s="14">
        <v>250</v>
      </c>
    </row>
    <row r="177" spans="1:24">
      <c r="A177" s="21" t="s">
        <v>176</v>
      </c>
      <c r="B177" s="45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>
        <v>1</v>
      </c>
      <c r="J177" s="11"/>
      <c r="K177" s="10"/>
      <c r="L177" s="11"/>
      <c r="M177" s="153"/>
      <c r="N177" s="110">
        <f t="shared" si="7"/>
        <v>8</v>
      </c>
      <c r="O177" s="111"/>
      <c r="P177" s="98"/>
      <c r="Q177" s="67" t="s">
        <v>1559</v>
      </c>
      <c r="R177" s="19">
        <v>18000</v>
      </c>
      <c r="S177" s="12">
        <v>18720</v>
      </c>
      <c r="T177" s="12">
        <v>19440</v>
      </c>
      <c r="U177" s="12">
        <v>19800</v>
      </c>
      <c r="V177" s="13"/>
      <c r="W177" s="170">
        <v>3692.27</v>
      </c>
      <c r="X177" s="14">
        <v>250</v>
      </c>
    </row>
    <row r="178" spans="1:24">
      <c r="A178" s="124" t="s">
        <v>177</v>
      </c>
      <c r="B178" s="4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>
        <v>1</v>
      </c>
      <c r="M178" s="153"/>
      <c r="N178" s="110">
        <f t="shared" si="7"/>
        <v>2</v>
      </c>
      <c r="O178" s="111"/>
      <c r="P178" s="98"/>
      <c r="Q178" s="67" t="s">
        <v>1559</v>
      </c>
      <c r="R178" s="19">
        <v>17000</v>
      </c>
      <c r="S178" s="12">
        <v>17680</v>
      </c>
      <c r="T178" s="12">
        <v>18360</v>
      </c>
      <c r="U178" s="12">
        <v>18700</v>
      </c>
      <c r="V178" s="13"/>
      <c r="W178" s="170">
        <v>1656.58</v>
      </c>
      <c r="X178" s="14">
        <v>250</v>
      </c>
    </row>
    <row r="179" spans="1:24">
      <c r="A179" s="124" t="s">
        <v>178</v>
      </c>
      <c r="B179" s="45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53"/>
      <c r="N179" s="110">
        <f t="shared" si="7"/>
        <v>7</v>
      </c>
      <c r="O179" s="111"/>
      <c r="P179" s="98"/>
      <c r="Q179" s="46">
        <v>34226.938927452145</v>
      </c>
      <c r="R179" s="18">
        <v>32515.591981079539</v>
      </c>
      <c r="S179" s="12">
        <v>33816.215660322719</v>
      </c>
      <c r="T179" s="12">
        <v>35116.8393395659</v>
      </c>
      <c r="U179" s="12">
        <v>35767.151179187495</v>
      </c>
      <c r="V179" s="13"/>
      <c r="W179" s="168"/>
      <c r="X179" s="14"/>
    </row>
    <row r="180" spans="1:24">
      <c r="A180" s="127" t="s">
        <v>179</v>
      </c>
      <c r="B180" s="4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53"/>
      <c r="N180" s="110">
        <f t="shared" si="7"/>
        <v>3</v>
      </c>
      <c r="O180" s="111"/>
      <c r="P180" s="98"/>
      <c r="Q180" s="67" t="s">
        <v>1559</v>
      </c>
      <c r="R180" s="19">
        <v>20000</v>
      </c>
      <c r="S180" s="12">
        <v>20800</v>
      </c>
      <c r="T180" s="12">
        <v>21600</v>
      </c>
      <c r="U180" s="12">
        <v>22000</v>
      </c>
      <c r="V180" s="13"/>
      <c r="W180" s="168"/>
      <c r="X180" s="14">
        <v>250</v>
      </c>
    </row>
    <row r="181" spans="1:24">
      <c r="A181" s="156" t="s">
        <v>1383</v>
      </c>
      <c r="B181" s="4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53"/>
      <c r="N181" s="110">
        <f t="shared" si="7"/>
        <v>0</v>
      </c>
      <c r="O181" s="111"/>
      <c r="P181" s="98"/>
      <c r="Q181" s="67" t="s">
        <v>1559</v>
      </c>
      <c r="R181" s="19">
        <v>11000</v>
      </c>
      <c r="S181" s="12">
        <v>11440</v>
      </c>
      <c r="T181" s="12">
        <v>11880</v>
      </c>
      <c r="U181" s="12">
        <v>12100</v>
      </c>
      <c r="V181" s="13"/>
      <c r="W181" s="170">
        <v>194.09</v>
      </c>
      <c r="X181" s="14">
        <v>250</v>
      </c>
    </row>
    <row r="182" spans="1:24">
      <c r="A182" s="156" t="s">
        <v>1638</v>
      </c>
      <c r="B182" s="4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53"/>
      <c r="N182" s="110">
        <f t="shared" si="7"/>
        <v>4</v>
      </c>
      <c r="O182" s="111"/>
      <c r="P182" s="98"/>
      <c r="Q182" s="46">
        <v>15307.657304072218</v>
      </c>
      <c r="R182" s="18">
        <v>14542.274438868608</v>
      </c>
      <c r="S182" s="12">
        <v>15123.965416423353</v>
      </c>
      <c r="T182" s="12">
        <v>15705.656393978097</v>
      </c>
      <c r="U182" s="12">
        <v>15996.501882755469</v>
      </c>
      <c r="V182" s="13"/>
      <c r="W182" s="168"/>
      <c r="X182" s="14">
        <v>250</v>
      </c>
    </row>
    <row r="183" spans="1:24">
      <c r="A183" s="156" t="s">
        <v>1639</v>
      </c>
      <c r="B183" s="45" t="str">
        <f>IFERROR(HYPERLINK(VLOOKUP(A183,ÜRÜNLER!A:C,3,FALSE),VLOOKUP(A183,ÜRÜNLER!A:B,2,FALSE)),"")</f>
        <v>iQ300 Ankastre Fırın, 1 Teleskopik Ray, Arkası Kendini Temizler, Beyaz</v>
      </c>
      <c r="C183" s="8">
        <v>4</v>
      </c>
      <c r="D183" s="8"/>
      <c r="E183" s="9"/>
      <c r="F183" s="9"/>
      <c r="G183" s="10"/>
      <c r="H183" s="10"/>
      <c r="I183" s="11"/>
      <c r="J183" s="11"/>
      <c r="K183" s="10"/>
      <c r="L183" s="11"/>
      <c r="M183" s="153"/>
      <c r="N183" s="110">
        <f t="shared" si="7"/>
        <v>4</v>
      </c>
      <c r="O183" s="111"/>
      <c r="P183" s="98"/>
      <c r="Q183" s="67" t="s">
        <v>1559</v>
      </c>
      <c r="R183" s="19">
        <v>16000</v>
      </c>
      <c r="S183" s="12">
        <v>16640</v>
      </c>
      <c r="T183" s="12">
        <v>17280</v>
      </c>
      <c r="U183" s="12">
        <v>17600</v>
      </c>
      <c r="V183" s="13"/>
      <c r="W183" s="170">
        <v>4444.58</v>
      </c>
      <c r="X183" s="14">
        <v>250</v>
      </c>
    </row>
    <row r="184" spans="1:24">
      <c r="A184" s="156" t="s">
        <v>1017</v>
      </c>
      <c r="B184" s="4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53"/>
      <c r="N184" s="110">
        <f t="shared" si="7"/>
        <v>5</v>
      </c>
      <c r="O184" s="111"/>
      <c r="P184" s="98"/>
      <c r="Q184" s="67" t="s">
        <v>1559</v>
      </c>
      <c r="R184" s="19">
        <v>21000</v>
      </c>
      <c r="S184" s="12">
        <v>21840</v>
      </c>
      <c r="T184" s="12">
        <v>22680</v>
      </c>
      <c r="U184" s="12">
        <v>23100</v>
      </c>
      <c r="V184" s="13"/>
      <c r="W184" s="168"/>
      <c r="X184" s="14">
        <v>250</v>
      </c>
    </row>
    <row r="185" spans="1:24">
      <c r="A185" s="156" t="s">
        <v>175</v>
      </c>
      <c r="B185" s="45" t="str">
        <f>IFERROR(HYPERLINK(VLOOKUP(A185,ÜRÜNLER!A:C,3,FALSE),VLOOKUP(A185,ÜRÜNLER!A:B,2,FALSE)),"")</f>
        <v>iQ500 Ankastre Fırın, 1 Teleskopik Ray, Arkası Kendini Temizler, Siyah</v>
      </c>
      <c r="C185" s="8">
        <v>13</v>
      </c>
      <c r="D185" s="8"/>
      <c r="E185" s="9"/>
      <c r="F185" s="9"/>
      <c r="G185" s="10"/>
      <c r="H185" s="10"/>
      <c r="I185" s="11"/>
      <c r="J185" s="11"/>
      <c r="K185" s="10"/>
      <c r="L185" s="11"/>
      <c r="M185" s="153"/>
      <c r="N185" s="110">
        <f t="shared" si="7"/>
        <v>13</v>
      </c>
      <c r="O185" s="111"/>
      <c r="P185" s="98"/>
      <c r="Q185" s="67" t="s">
        <v>1559</v>
      </c>
      <c r="R185" s="19">
        <v>19750</v>
      </c>
      <c r="S185" s="12">
        <v>20540</v>
      </c>
      <c r="T185" s="12">
        <v>21330</v>
      </c>
      <c r="U185" s="12">
        <v>21725</v>
      </c>
      <c r="V185" s="13"/>
      <c r="W185" s="170">
        <v>5292.89</v>
      </c>
      <c r="X185" s="14">
        <v>250</v>
      </c>
    </row>
    <row r="186" spans="1:24">
      <c r="A186" s="156" t="s">
        <v>1390</v>
      </c>
      <c r="B186" s="4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53"/>
      <c r="N186" s="110">
        <f t="shared" si="7"/>
        <v>2</v>
      </c>
      <c r="O186" s="111"/>
      <c r="P186" s="98"/>
      <c r="Q186" s="67" t="s">
        <v>1559</v>
      </c>
      <c r="R186" s="19">
        <v>17000</v>
      </c>
      <c r="S186" s="12">
        <v>17680</v>
      </c>
      <c r="T186" s="12">
        <v>18360</v>
      </c>
      <c r="U186" s="12">
        <v>18700</v>
      </c>
      <c r="V186" s="13"/>
      <c r="W186" s="170">
        <v>1480.88</v>
      </c>
      <c r="X186" s="14">
        <v>250</v>
      </c>
    </row>
    <row r="187" spans="1:24">
      <c r="A187" s="156" t="s">
        <v>1023</v>
      </c>
      <c r="B187" s="45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53"/>
      <c r="N187" s="110">
        <f t="shared" si="7"/>
        <v>5</v>
      </c>
      <c r="O187" s="111"/>
      <c r="P187" s="98"/>
      <c r="Q187" s="67" t="s">
        <v>1559</v>
      </c>
      <c r="R187" s="19">
        <v>18000</v>
      </c>
      <c r="S187" s="12">
        <v>18720</v>
      </c>
      <c r="T187" s="12">
        <v>19440</v>
      </c>
      <c r="U187" s="12">
        <v>19800</v>
      </c>
      <c r="V187" s="13"/>
      <c r="W187" s="170">
        <v>2983.37</v>
      </c>
      <c r="X187" s="14">
        <v>250</v>
      </c>
    </row>
    <row r="188" spans="1:24">
      <c r="A188" s="156" t="s">
        <v>181</v>
      </c>
      <c r="B188" s="45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53"/>
      <c r="N188" s="110">
        <f t="shared" si="7"/>
        <v>0</v>
      </c>
      <c r="O188" s="111"/>
      <c r="P188" s="98"/>
      <c r="Q188" s="67" t="s">
        <v>1559</v>
      </c>
      <c r="R188" s="19">
        <v>23164</v>
      </c>
      <c r="S188" s="12">
        <v>24090.560000000001</v>
      </c>
      <c r="T188" s="12">
        <v>25017.119999999999</v>
      </c>
      <c r="U188" s="12">
        <v>25480.400000000001</v>
      </c>
      <c r="V188" s="13"/>
      <c r="W188" s="170">
        <v>4000.57</v>
      </c>
      <c r="X188" s="14">
        <v>250</v>
      </c>
    </row>
    <row r="189" spans="1:24">
      <c r="A189" s="21" t="s">
        <v>1345</v>
      </c>
      <c r="B189" s="45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>
        <v>1</v>
      </c>
      <c r="L189" s="11"/>
      <c r="M189" s="153"/>
      <c r="N189" s="110">
        <f t="shared" si="7"/>
        <v>1</v>
      </c>
      <c r="O189" s="111"/>
      <c r="P189" s="98"/>
      <c r="Q189" s="67" t="s">
        <v>1559</v>
      </c>
      <c r="R189" s="19">
        <v>45000</v>
      </c>
      <c r="S189" s="12">
        <v>46800</v>
      </c>
      <c r="T189" s="12">
        <v>48600</v>
      </c>
      <c r="U189" s="12">
        <v>49500</v>
      </c>
      <c r="V189" s="13"/>
      <c r="W189" s="168"/>
      <c r="X189" s="14">
        <v>250</v>
      </c>
    </row>
    <row r="190" spans="1:24">
      <c r="A190" s="21" t="s">
        <v>1346</v>
      </c>
      <c r="B190" s="45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53"/>
      <c r="N190" s="110">
        <f t="shared" si="7"/>
        <v>1</v>
      </c>
      <c r="O190" s="111"/>
      <c r="P190" s="98"/>
      <c r="Q190" s="67" t="s">
        <v>1559</v>
      </c>
      <c r="R190" s="19">
        <v>45000</v>
      </c>
      <c r="S190" s="12">
        <v>46800</v>
      </c>
      <c r="T190" s="12">
        <v>48600</v>
      </c>
      <c r="U190" s="12">
        <v>49500</v>
      </c>
      <c r="V190" s="13"/>
      <c r="W190" s="168"/>
      <c r="X190" s="14">
        <v>250</v>
      </c>
    </row>
    <row r="191" spans="1:24">
      <c r="A191" s="118" t="s">
        <v>185</v>
      </c>
      <c r="B191" s="45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53">
        <v>1</v>
      </c>
      <c r="N191" s="110">
        <f t="shared" si="7"/>
        <v>8</v>
      </c>
      <c r="O191" s="111"/>
      <c r="P191" s="98"/>
      <c r="Q191" s="46">
        <v>55973.834689972704</v>
      </c>
      <c r="R191" s="18">
        <v>53175.142955474068</v>
      </c>
      <c r="S191" s="12">
        <v>55302.148673693031</v>
      </c>
      <c r="T191" s="12">
        <v>57429.154391911994</v>
      </c>
      <c r="U191" s="12">
        <v>58492.657251021476</v>
      </c>
      <c r="V191" s="13"/>
      <c r="W191" s="168"/>
      <c r="X191" s="14">
        <v>250</v>
      </c>
    </row>
    <row r="192" spans="1:24">
      <c r="A192" s="118" t="s">
        <v>186</v>
      </c>
      <c r="B192" s="45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53"/>
      <c r="N192" s="110">
        <f t="shared" si="7"/>
        <v>4</v>
      </c>
      <c r="O192" s="111"/>
      <c r="P192" s="98"/>
      <c r="Q192" s="67" t="s">
        <v>1559</v>
      </c>
      <c r="R192" s="19">
        <v>60000</v>
      </c>
      <c r="S192" s="12">
        <v>62400</v>
      </c>
      <c r="T192" s="12">
        <v>64800</v>
      </c>
      <c r="U192" s="12">
        <v>66000</v>
      </c>
      <c r="V192" s="13"/>
      <c r="W192" s="168"/>
      <c r="X192" s="14">
        <v>250</v>
      </c>
    </row>
    <row r="193" spans="1:24">
      <c r="A193" s="124" t="s">
        <v>187</v>
      </c>
      <c r="B193" s="45" t="str">
        <f>IFERROR(HYPERLINK(VLOOKUP(A193,ÜRÜNLER!A:C,3,FALSE),VLOOKUP(A193,ÜRÜNLER!A:B,2,FALSE)),"")</f>
        <v>iQ700 Ankastre Fırın, Siyah</v>
      </c>
      <c r="C193" s="8">
        <v>9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53"/>
      <c r="N193" s="110">
        <f t="shared" si="7"/>
        <v>11</v>
      </c>
      <c r="O193" s="111"/>
      <c r="P193" s="98"/>
      <c r="Q193" s="46">
        <v>71176.60460576773</v>
      </c>
      <c r="R193" s="18">
        <v>67617.774375479348</v>
      </c>
      <c r="S193" s="12">
        <v>70322.485350498522</v>
      </c>
      <c r="T193" s="12">
        <v>73027.196325517696</v>
      </c>
      <c r="U193" s="12">
        <v>74379.551813027283</v>
      </c>
      <c r="V193" s="13"/>
      <c r="W193" s="168"/>
      <c r="X193" s="14">
        <v>250</v>
      </c>
    </row>
    <row r="194" spans="1:24">
      <c r="A194" s="124" t="s">
        <v>188</v>
      </c>
      <c r="B194" s="45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53"/>
      <c r="N194" s="110">
        <f t="shared" si="7"/>
        <v>3</v>
      </c>
      <c r="O194" s="111">
        <v>6</v>
      </c>
      <c r="P194" s="98"/>
      <c r="Q194" s="46">
        <v>82769.163149454966</v>
      </c>
      <c r="R194" s="18">
        <v>78630.704991982217</v>
      </c>
      <c r="S194" s="12">
        <v>81775.933191661505</v>
      </c>
      <c r="T194" s="12">
        <v>84921.161391340793</v>
      </c>
      <c r="U194" s="12">
        <v>86493.775491180437</v>
      </c>
      <c r="V194" s="13"/>
      <c r="W194" s="168"/>
      <c r="X194" s="14">
        <v>250</v>
      </c>
    </row>
    <row r="195" spans="1:24">
      <c r="A195" s="124" t="s">
        <v>189</v>
      </c>
      <c r="B195" s="45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53"/>
      <c r="N195" s="110">
        <f t="shared" si="7"/>
        <v>3</v>
      </c>
      <c r="O195" s="111"/>
      <c r="P195" s="98"/>
      <c r="Q195" s="67" t="s">
        <v>1559</v>
      </c>
      <c r="R195" s="169">
        <v>90000</v>
      </c>
      <c r="S195" s="12">
        <v>93600</v>
      </c>
      <c r="T195" s="12">
        <v>97200</v>
      </c>
      <c r="U195" s="12">
        <v>99000</v>
      </c>
      <c r="V195" s="13"/>
      <c r="W195" s="168"/>
      <c r="X195" s="14">
        <v>250</v>
      </c>
    </row>
    <row r="196" spans="1:24">
      <c r="A196" s="124" t="s">
        <v>196</v>
      </c>
      <c r="B196" s="45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53"/>
      <c r="N196" s="110">
        <f t="shared" si="7"/>
        <v>3</v>
      </c>
      <c r="O196" s="111"/>
      <c r="P196" s="98"/>
      <c r="Q196" s="159">
        <v>127688.96718412994</v>
      </c>
      <c r="R196" s="159">
        <v>114920.07046571694</v>
      </c>
      <c r="S196" s="12">
        <v>119516.87328434562</v>
      </c>
      <c r="T196" s="12">
        <v>124113.67610297429</v>
      </c>
      <c r="U196" s="12">
        <v>126412.07751228864</v>
      </c>
      <c r="V196" s="13"/>
      <c r="W196" s="168"/>
      <c r="X196" s="14">
        <v>250</v>
      </c>
    </row>
    <row r="197" spans="1:24">
      <c r="A197" s="126" t="s">
        <v>1314</v>
      </c>
      <c r="B197" s="45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2</v>
      </c>
      <c r="L197" s="11"/>
      <c r="M197" s="153"/>
      <c r="N197" s="110">
        <f t="shared" si="7"/>
        <v>3</v>
      </c>
      <c r="O197" s="111"/>
      <c r="P197" s="98"/>
      <c r="Q197" s="67" t="s">
        <v>1559</v>
      </c>
      <c r="R197" s="19">
        <v>16000</v>
      </c>
      <c r="S197" s="12">
        <v>16640</v>
      </c>
      <c r="T197" s="12">
        <v>17280</v>
      </c>
      <c r="U197" s="12">
        <v>17600</v>
      </c>
      <c r="V197" s="13"/>
      <c r="W197" s="168"/>
      <c r="X197" s="14">
        <v>250</v>
      </c>
    </row>
    <row r="198" spans="1:24">
      <c r="A198" s="128" t="s">
        <v>155</v>
      </c>
      <c r="B198" s="45" t="str">
        <f>IFERROR(HYPERLINK(VLOOKUP(A198,ÜRÜNLER!A:C,3,FALSE),VLOOKUP(A198,ÜRÜNLER!A:B,2,FALSE)),"")</f>
        <v>iQ500 Ankastre Fırın, 2 Teleskopik Ray, Komple Kendini Temizler, Siyah</v>
      </c>
      <c r="C198" s="8">
        <v>92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53"/>
      <c r="N198" s="110">
        <f t="shared" si="7"/>
        <v>95</v>
      </c>
      <c r="O198" s="111"/>
      <c r="P198" s="103"/>
      <c r="Q198" s="46">
        <v>33249.810682493691</v>
      </c>
      <c r="R198" s="18">
        <v>31587.320148369006</v>
      </c>
      <c r="S198" s="12">
        <v>32850.812954303765</v>
      </c>
      <c r="T198" s="12">
        <v>34114.305760238523</v>
      </c>
      <c r="U198" s="12">
        <v>34746.05216320591</v>
      </c>
      <c r="V198" s="13"/>
      <c r="W198" s="168"/>
      <c r="X198" s="14"/>
    </row>
    <row r="199" spans="1:24">
      <c r="A199" s="127" t="s">
        <v>157</v>
      </c>
      <c r="B199" s="45" t="str">
        <f>IFERROR(HYPERLINK(VLOOKUP(A199,ÜRÜNLER!A:C,3,FALSE),VLOOKUP(A199,ÜRÜNLER!A:B,2,FALSE)),"")</f>
        <v>iQ500 Ankastre Fırın, 2 Teleskopik Ray, Komple Kendini Temizler, Antrasit</v>
      </c>
      <c r="C199" s="8">
        <v>40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53"/>
      <c r="N199" s="110">
        <f t="shared" si="7"/>
        <v>41</v>
      </c>
      <c r="O199" s="111"/>
      <c r="P199" s="103"/>
      <c r="Q199" s="46">
        <v>33249.810682493691</v>
      </c>
      <c r="R199" s="18">
        <v>31587.320148369006</v>
      </c>
      <c r="S199" s="12">
        <v>32850.812954303765</v>
      </c>
      <c r="T199" s="12">
        <v>34114.305760238523</v>
      </c>
      <c r="U199" s="12">
        <v>34746.05216320591</v>
      </c>
      <c r="V199" s="13"/>
      <c r="W199" s="168"/>
      <c r="X199" s="14"/>
    </row>
    <row r="200" spans="1:24">
      <c r="A200" s="118" t="s">
        <v>156</v>
      </c>
      <c r="B200" s="45" t="str">
        <f>IFERROR(HYPERLINK(VLOOKUP(A200,ÜRÜNLER!A:C,3,FALSE),VLOOKUP(A200,ÜRÜNLER!A:B,2,FALSE)),"")</f>
        <v>iQ500 Ankastre Fırın, 2 Teleskopik Ray, Komple Kendini Temizler, Beyaz</v>
      </c>
      <c r="C200" s="8">
        <v>31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53"/>
      <c r="N200" s="110">
        <f t="shared" si="7"/>
        <v>33</v>
      </c>
      <c r="O200" s="111"/>
      <c r="P200" s="103"/>
      <c r="Q200" s="46">
        <v>33249.810682493691</v>
      </c>
      <c r="R200" s="18">
        <v>31587.320148369006</v>
      </c>
      <c r="S200" s="12">
        <v>32850.812954303765</v>
      </c>
      <c r="T200" s="12">
        <v>34114.305760238523</v>
      </c>
      <c r="U200" s="12">
        <v>34746.05216320591</v>
      </c>
      <c r="V200" s="13"/>
      <c r="W200" s="168"/>
      <c r="X200" s="14"/>
    </row>
    <row r="201" spans="1:24">
      <c r="A201" s="118" t="s">
        <v>197</v>
      </c>
      <c r="B201" s="45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53"/>
      <c r="N201" s="110">
        <f t="shared" si="7"/>
        <v>0</v>
      </c>
      <c r="O201" s="111"/>
      <c r="P201" s="98"/>
      <c r="Q201" s="159">
        <v>221273.4089518309</v>
      </c>
      <c r="R201" s="23">
        <v>221273</v>
      </c>
      <c r="S201" s="12">
        <v>230123.92</v>
      </c>
      <c r="T201" s="12">
        <v>238974.84</v>
      </c>
      <c r="U201" s="12">
        <v>243400.3</v>
      </c>
      <c r="V201" s="13"/>
      <c r="W201" s="168"/>
      <c r="X201" s="14">
        <v>250</v>
      </c>
    </row>
    <row r="202" spans="1:24">
      <c r="A202" s="128" t="s">
        <v>154</v>
      </c>
      <c r="B202" s="45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53"/>
      <c r="N202" s="110">
        <f t="shared" si="7"/>
        <v>1</v>
      </c>
      <c r="O202" s="111">
        <v>1</v>
      </c>
      <c r="P202" s="98"/>
      <c r="Q202" s="46">
        <v>36464.70344025833</v>
      </c>
      <c r="R202" s="23">
        <v>36464.70344025833</v>
      </c>
      <c r="S202" s="12">
        <v>37923.291577868666</v>
      </c>
      <c r="T202" s="12">
        <v>39381.879715478994</v>
      </c>
      <c r="U202" s="12">
        <v>40111.173784284161</v>
      </c>
      <c r="V202" s="13"/>
      <c r="W202" s="168"/>
      <c r="X202" s="14"/>
    </row>
    <row r="203" spans="1:24">
      <c r="A203" s="124" t="s">
        <v>192</v>
      </c>
      <c r="B203" s="45" t="str">
        <f>IFERROR(HYPERLINK(VLOOKUP(A203,ÜRÜNLER!A:C,3,FALSE),VLOOKUP(A203,ÜRÜNLER!A:B,2,FALSE)),"")</f>
        <v>iQ500 Buhar Destekli Ankastre Fırın, Arkası Kendini Temizler, Siyah/Inox</v>
      </c>
      <c r="C203" s="8">
        <v>6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1">
        <v>1</v>
      </c>
      <c r="M203" s="153"/>
      <c r="N203" s="110">
        <f t="shared" si="7"/>
        <v>10</v>
      </c>
      <c r="O203" s="111"/>
      <c r="P203" s="98"/>
      <c r="Q203" s="67" t="s">
        <v>1559</v>
      </c>
      <c r="R203" s="19">
        <v>26144</v>
      </c>
      <c r="S203" s="12">
        <v>27189.759999999998</v>
      </c>
      <c r="T203" s="12">
        <v>28235.52</v>
      </c>
      <c r="U203" s="12">
        <v>28758.400000000001</v>
      </c>
      <c r="V203" s="13"/>
      <c r="W203" s="168"/>
      <c r="X203" s="14">
        <v>250</v>
      </c>
    </row>
    <row r="204" spans="1:24">
      <c r="A204" s="118" t="s">
        <v>193</v>
      </c>
      <c r="B204" s="45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53"/>
      <c r="N204" s="110">
        <f t="shared" si="7"/>
        <v>4</v>
      </c>
      <c r="O204" s="111">
        <v>6</v>
      </c>
      <c r="P204" s="98"/>
      <c r="Q204" s="46">
        <v>85097.911094836993</v>
      </c>
      <c r="R204" s="19">
        <v>85097.911094836993</v>
      </c>
      <c r="S204" s="12">
        <v>88501.827538630474</v>
      </c>
      <c r="T204" s="12">
        <v>91905.743982423955</v>
      </c>
      <c r="U204" s="12">
        <v>93607.702204320696</v>
      </c>
      <c r="V204" s="13"/>
      <c r="W204" s="168"/>
      <c r="X204" s="17">
        <v>250</v>
      </c>
    </row>
    <row r="205" spans="1:24">
      <c r="A205" s="126" t="s">
        <v>194</v>
      </c>
      <c r="B205" s="45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53"/>
      <c r="N205" s="110">
        <f t="shared" si="7"/>
        <v>2</v>
      </c>
      <c r="O205" s="111"/>
      <c r="P205" s="98"/>
      <c r="Q205" s="67" t="s">
        <v>1559</v>
      </c>
      <c r="R205" s="19">
        <v>66000</v>
      </c>
      <c r="S205" s="12">
        <v>68640</v>
      </c>
      <c r="T205" s="12">
        <v>71280</v>
      </c>
      <c r="U205" s="12">
        <v>72600</v>
      </c>
      <c r="V205" s="13"/>
      <c r="W205" s="168"/>
      <c r="X205" s="14">
        <v>250</v>
      </c>
    </row>
    <row r="206" spans="1:24">
      <c r="A206" s="124" t="s">
        <v>195</v>
      </c>
      <c r="B206" s="45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53"/>
      <c r="N206" s="110">
        <f t="shared" si="7"/>
        <v>1</v>
      </c>
      <c r="O206" s="111"/>
      <c r="P206" s="98"/>
      <c r="Q206" s="67" t="s">
        <v>1559</v>
      </c>
      <c r="R206" s="19">
        <v>75000</v>
      </c>
      <c r="S206" s="12">
        <v>78000</v>
      </c>
      <c r="T206" s="12">
        <v>81000</v>
      </c>
      <c r="U206" s="12">
        <v>82500</v>
      </c>
      <c r="V206" s="13"/>
      <c r="W206" s="168"/>
      <c r="X206" s="14">
        <v>250</v>
      </c>
    </row>
    <row r="207" spans="1:24">
      <c r="A207" s="128" t="s">
        <v>159</v>
      </c>
      <c r="B207" s="45" t="str">
        <f>IFERROR(HYPERLINK(VLOOKUP(A207,ÜRÜNLER!A:C,3,FALSE),VLOOKUP(A207,ÜRÜNLER!A:B,2,FALSE)),"")</f>
        <v>iQ300 Buhar Destekli Ankastre Fırın, Siyah</v>
      </c>
      <c r="C207" s="8">
        <v>44</v>
      </c>
      <c r="D207" s="8"/>
      <c r="E207" s="9"/>
      <c r="F207" s="9"/>
      <c r="G207" s="10"/>
      <c r="H207" s="10"/>
      <c r="I207" s="11"/>
      <c r="J207" s="11">
        <v>1</v>
      </c>
      <c r="K207" s="10"/>
      <c r="L207" s="11"/>
      <c r="M207" s="153"/>
      <c r="N207" s="110">
        <f t="shared" si="7"/>
        <v>45</v>
      </c>
      <c r="O207" s="111">
        <v>9</v>
      </c>
      <c r="P207" s="103"/>
      <c r="Q207" s="46">
        <v>23976.726312691659</v>
      </c>
      <c r="R207" s="167">
        <v>22298.355470803242</v>
      </c>
      <c r="S207" s="12">
        <v>23190.28968963537</v>
      </c>
      <c r="T207" s="12">
        <v>24082.223908467502</v>
      </c>
      <c r="U207" s="12">
        <v>24528.191017883568</v>
      </c>
      <c r="V207" s="13"/>
      <c r="W207" s="168"/>
      <c r="X207" s="14"/>
    </row>
    <row r="208" spans="1:24">
      <c r="A208" s="127" t="s">
        <v>160</v>
      </c>
      <c r="B208" s="45" t="str">
        <f>IFERROR(HYPERLINK(VLOOKUP(A208,ÜRÜNLER!A:C,3,FALSE),VLOOKUP(A208,ÜRÜNLER!A:B,2,FALSE)),"")</f>
        <v>iQ300 Buhar Destekli Ankastre Fırın, Antrasit</v>
      </c>
      <c r="C208" s="8">
        <v>13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53"/>
      <c r="N208" s="110">
        <f t="shared" si="7"/>
        <v>16</v>
      </c>
      <c r="O208" s="111"/>
      <c r="P208" s="103"/>
      <c r="Q208" s="46">
        <v>23976.726312691659</v>
      </c>
      <c r="R208" s="167">
        <v>22298.355470803242</v>
      </c>
      <c r="S208" s="12">
        <v>23190.28968963537</v>
      </c>
      <c r="T208" s="12">
        <v>24082.223908467502</v>
      </c>
      <c r="U208" s="12">
        <v>24528.191017883568</v>
      </c>
      <c r="V208" s="13"/>
      <c r="W208" s="168"/>
      <c r="X208" s="14"/>
    </row>
    <row r="209" spans="1:24">
      <c r="A209" s="118" t="s">
        <v>158</v>
      </c>
      <c r="B209" s="45" t="str">
        <f>IFERROR(HYPERLINK(VLOOKUP(A209,ÜRÜNLER!A:C,3,FALSE),VLOOKUP(A209,ÜRÜNLER!A:B,2,FALSE)),"")</f>
        <v>iQ300 Buhar Destekli Ankastre Fırın, Beyaz</v>
      </c>
      <c r="C209" s="8">
        <v>17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53">
        <v>1</v>
      </c>
      <c r="N209" s="110">
        <f t="shared" si="7"/>
        <v>20</v>
      </c>
      <c r="O209" s="111"/>
      <c r="P209" s="103"/>
      <c r="Q209" s="46">
        <v>23976.726312691659</v>
      </c>
      <c r="R209" s="167">
        <v>22298.355470803242</v>
      </c>
      <c r="S209" s="12">
        <v>23190.28968963537</v>
      </c>
      <c r="T209" s="12">
        <v>24082.223908467502</v>
      </c>
      <c r="U209" s="12">
        <v>24528.191017883568</v>
      </c>
      <c r="V209" s="13"/>
      <c r="W209" s="168"/>
      <c r="X209" s="14"/>
    </row>
    <row r="210" spans="1:24">
      <c r="A210" s="128" t="s">
        <v>161</v>
      </c>
      <c r="B210" s="45" t="str">
        <f>IFERROR(HYPERLINK(VLOOKUP(A210,ÜRÜNLER!A:C,3,FALSE),VLOOKUP(A210,ÜRÜNLER!A:B,2,FALSE)),"")</f>
        <v>iQ300 Ankastre Fırın, 1 Teleskopik Ray, Arkası Kendini Temizler, Siyah</v>
      </c>
      <c r="C210" s="8">
        <v>27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53"/>
      <c r="N210" s="110">
        <f t="shared" si="7"/>
        <v>28</v>
      </c>
      <c r="O210" s="111"/>
      <c r="P210" s="103"/>
      <c r="Q210" s="46">
        <v>27526.687020140191</v>
      </c>
      <c r="R210" s="167">
        <v>25599.818928730376</v>
      </c>
      <c r="S210" s="12">
        <v>26623.811685879591</v>
      </c>
      <c r="T210" s="12">
        <v>27647.804443028806</v>
      </c>
      <c r="U210" s="12">
        <v>28159.800821603414</v>
      </c>
      <c r="V210" s="13"/>
      <c r="W210" s="168"/>
      <c r="X210" s="14"/>
    </row>
    <row r="211" spans="1:24">
      <c r="A211" s="128" t="s">
        <v>162</v>
      </c>
      <c r="B211" s="45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53"/>
      <c r="N211" s="110">
        <f t="shared" si="7"/>
        <v>27</v>
      </c>
      <c r="O211" s="111"/>
      <c r="P211" s="103"/>
      <c r="Q211" s="46">
        <v>27526.687020140191</v>
      </c>
      <c r="R211" s="167">
        <v>25599.818928730376</v>
      </c>
      <c r="S211" s="12">
        <v>26623.811685879591</v>
      </c>
      <c r="T211" s="12">
        <v>27647.804443028806</v>
      </c>
      <c r="U211" s="12">
        <v>28159.800821603414</v>
      </c>
      <c r="V211" s="13"/>
      <c r="W211" s="168"/>
      <c r="X211" s="14"/>
    </row>
    <row r="212" spans="1:24">
      <c r="A212" s="127" t="s">
        <v>163</v>
      </c>
      <c r="B212" s="45" t="str">
        <f>IFERROR(HYPERLINK(VLOOKUP(A212,ÜRÜNLER!A:C,3,FALSE),VLOOKUP(A212,ÜRÜNLER!A:B,2,FALSE)),"")</f>
        <v>iQ300 Ankastre Fırın, 1 Teleskopik Ray, Arkası Kendini Temizler, Antrasit</v>
      </c>
      <c r="C212" s="8">
        <v>28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53"/>
      <c r="N212" s="110">
        <f t="shared" si="7"/>
        <v>30</v>
      </c>
      <c r="O212" s="111"/>
      <c r="P212" s="103"/>
      <c r="Q212" s="46">
        <v>27267.001293535101</v>
      </c>
      <c r="R212" s="167">
        <v>25358.311202987643</v>
      </c>
      <c r="S212" s="12">
        <v>26372.643651107148</v>
      </c>
      <c r="T212" s="12">
        <v>27386.976099226653</v>
      </c>
      <c r="U212" s="12">
        <v>27894.142323286407</v>
      </c>
      <c r="V212" s="13"/>
      <c r="W212" s="168"/>
      <c r="X212" s="14"/>
    </row>
    <row r="213" spans="1:24">
      <c r="A213" s="118" t="s">
        <v>164</v>
      </c>
      <c r="B213" s="45" t="str">
        <f>IFERROR(HYPERLINK(VLOOKUP(A213,ÜRÜNLER!A:C,3,FALSE),VLOOKUP(A213,ÜRÜNLER!A:B,2,FALSE)),"")</f>
        <v>iQ300 Buhar Destekli Ankastre Fırın, 1 Teleskopik Ray, Arkası Kendini Temizler, Beyaz</v>
      </c>
      <c r="C213" s="8">
        <v>14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53"/>
      <c r="N213" s="110">
        <f t="shared" si="7"/>
        <v>16</v>
      </c>
      <c r="O213" s="111"/>
      <c r="P213" s="103"/>
      <c r="Q213" s="46">
        <v>27526.687020140191</v>
      </c>
      <c r="R213" s="167">
        <v>25599.818928730376</v>
      </c>
      <c r="S213" s="12">
        <v>26623.811685879591</v>
      </c>
      <c r="T213" s="12">
        <v>27647.804443028806</v>
      </c>
      <c r="U213" s="12">
        <v>28159.800821603414</v>
      </c>
      <c r="V213" s="13"/>
      <c r="W213" s="168"/>
      <c r="X213" s="14"/>
    </row>
    <row r="214" spans="1:24" s="28" customFormat="1" ht="36" customHeight="1">
      <c r="A214" s="30" t="s">
        <v>204</v>
      </c>
      <c r="B214" s="45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53"/>
      <c r="N214" s="110">
        <f>SUM(N163:N213)</f>
        <v>585</v>
      </c>
      <c r="O214" s="111"/>
      <c r="P214" s="98"/>
      <c r="Q214" s="67"/>
      <c r="R214" s="67"/>
      <c r="S214" s="12"/>
      <c r="T214" s="12"/>
      <c r="U214" s="12">
        <v>0</v>
      </c>
      <c r="V214" s="13"/>
      <c r="W214" s="168"/>
      <c r="X214" s="17"/>
    </row>
    <row r="215" spans="1:24">
      <c r="A215" s="125" t="s">
        <v>205</v>
      </c>
      <c r="B215" s="45" t="str">
        <f>IFERROR(HYPERLINK(VLOOKUP(A215,ÜRÜNLER!A:C,3,FALSE),VLOOKUP(A215,ÜRÜNLER!A:B,2,FALSE)),"")</f>
        <v>iQ500 Ankastre Mikrodalga, Izgaralı, Siyah</v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53"/>
      <c r="N215" s="110">
        <f t="shared" ref="N215:N232" si="8">L215+M215+K215+J215+I215+H215+G215+F215+E215+D215+C215</f>
        <v>0</v>
      </c>
      <c r="O215" s="111">
        <v>20</v>
      </c>
      <c r="P215" s="98"/>
      <c r="Q215" s="46">
        <v>20924.055717906023</v>
      </c>
      <c r="R215" s="23">
        <v>20924.055717906023</v>
      </c>
      <c r="S215" s="12">
        <v>21761.017946622265</v>
      </c>
      <c r="T215" s="12">
        <v>22597.980175338504</v>
      </c>
      <c r="U215" s="12">
        <v>23016.461289696625</v>
      </c>
      <c r="V215" s="13"/>
      <c r="W215" s="168"/>
      <c r="X215" s="17"/>
    </row>
    <row r="216" spans="1:24">
      <c r="A216" s="129" t="s">
        <v>206</v>
      </c>
      <c r="B216" s="45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53"/>
      <c r="N216" s="110">
        <f t="shared" si="8"/>
        <v>4</v>
      </c>
      <c r="O216" s="111">
        <v>11</v>
      </c>
      <c r="P216" s="98"/>
      <c r="Q216" s="46">
        <v>20924.055717906023</v>
      </c>
      <c r="R216" s="23">
        <v>20924.055717906023</v>
      </c>
      <c r="S216" s="12">
        <v>21761.017946622265</v>
      </c>
      <c r="T216" s="12">
        <v>22597.980175338504</v>
      </c>
      <c r="U216" s="12">
        <v>23016.461289696625</v>
      </c>
      <c r="V216" s="13"/>
      <c r="W216" s="168"/>
      <c r="X216" s="14"/>
    </row>
    <row r="217" spans="1:24">
      <c r="A217" s="127" t="s">
        <v>207</v>
      </c>
      <c r="B217" s="45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53"/>
      <c r="N217" s="110">
        <f t="shared" si="8"/>
        <v>0</v>
      </c>
      <c r="O217" s="111">
        <v>5</v>
      </c>
      <c r="P217" s="98"/>
      <c r="Q217" s="46">
        <v>20924.055717906023</v>
      </c>
      <c r="R217" s="23">
        <v>20924.055717906023</v>
      </c>
      <c r="S217" s="12">
        <v>21761.017946622265</v>
      </c>
      <c r="T217" s="12">
        <v>22597.980175338504</v>
      </c>
      <c r="U217" s="12">
        <v>23016.461289696625</v>
      </c>
      <c r="V217" s="13"/>
      <c r="W217" s="168"/>
      <c r="X217" s="14"/>
    </row>
    <row r="218" spans="1:24">
      <c r="A218" s="21" t="s">
        <v>208</v>
      </c>
      <c r="B218" s="45" t="str">
        <f>IFERROR(HYPERLINK(VLOOKUP(A218,ÜRÜNLER!A:C,3,FALSE),VLOOKUP(A218,ÜRÜNLER!A:B,2,FALSE)),"")</f>
        <v>iQ500 Ankastre Mikrodalga, Izgara Fonksiyonlu, 20L, Beyaz</v>
      </c>
      <c r="C218" s="8">
        <v>6</v>
      </c>
      <c r="D218" s="8"/>
      <c r="E218" s="9"/>
      <c r="F218" s="9"/>
      <c r="G218" s="10"/>
      <c r="H218" s="10"/>
      <c r="I218" s="11"/>
      <c r="J218" s="11"/>
      <c r="K218" s="10"/>
      <c r="L218" s="11"/>
      <c r="M218" s="153"/>
      <c r="N218" s="110">
        <f t="shared" si="8"/>
        <v>6</v>
      </c>
      <c r="O218" s="111"/>
      <c r="P218" s="98"/>
      <c r="Q218" s="46">
        <v>20924.055717906023</v>
      </c>
      <c r="R218" s="23">
        <v>20924.055717906023</v>
      </c>
      <c r="S218" s="12">
        <v>21761.017946622265</v>
      </c>
      <c r="T218" s="12">
        <v>22597.980175338504</v>
      </c>
      <c r="U218" s="12">
        <v>23016.461289696625</v>
      </c>
      <c r="V218" s="13"/>
      <c r="W218" s="168"/>
      <c r="X218" s="14"/>
    </row>
    <row r="219" spans="1:24">
      <c r="A219" s="21" t="s">
        <v>209</v>
      </c>
      <c r="B219" s="45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53"/>
      <c r="N219" s="110">
        <f t="shared" si="8"/>
        <v>1</v>
      </c>
      <c r="O219" s="111"/>
      <c r="P219" s="98"/>
      <c r="Q219" s="67" t="s">
        <v>1559</v>
      </c>
      <c r="R219" s="19">
        <v>15000</v>
      </c>
      <c r="S219" s="12">
        <v>15600</v>
      </c>
      <c r="T219" s="12">
        <v>16200</v>
      </c>
      <c r="U219" s="12">
        <v>16500</v>
      </c>
      <c r="V219" s="13"/>
      <c r="W219" s="168"/>
      <c r="X219" s="17"/>
    </row>
    <row r="220" spans="1:24">
      <c r="A220" s="125" t="s">
        <v>211</v>
      </c>
      <c r="B220" s="45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53"/>
      <c r="N220" s="110">
        <f t="shared" si="8"/>
        <v>2</v>
      </c>
      <c r="O220" s="111">
        <v>11</v>
      </c>
      <c r="P220" s="98"/>
      <c r="Q220" s="46">
        <v>23676.411179763967</v>
      </c>
      <c r="R220" s="23">
        <v>23676.411179763967</v>
      </c>
      <c r="S220" s="12">
        <v>24623.467626954527</v>
      </c>
      <c r="T220" s="12">
        <v>25570.524074145083</v>
      </c>
      <c r="U220" s="12">
        <v>26044.052297740363</v>
      </c>
      <c r="V220" s="13"/>
      <c r="W220" s="168"/>
      <c r="X220" s="17"/>
    </row>
    <row r="221" spans="1:24">
      <c r="A221" s="21" t="s">
        <v>212</v>
      </c>
      <c r="B221" s="45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53"/>
      <c r="N221" s="110">
        <f t="shared" si="8"/>
        <v>4</v>
      </c>
      <c r="O221" s="111"/>
      <c r="P221" s="98"/>
      <c r="Q221" s="46">
        <v>35356.873336884768</v>
      </c>
      <c r="R221" s="23">
        <v>35356.873336884768</v>
      </c>
      <c r="S221" s="12">
        <v>36771.148270360158</v>
      </c>
      <c r="T221" s="12">
        <v>38185.423203835548</v>
      </c>
      <c r="U221" s="12">
        <v>38892.560670573243</v>
      </c>
      <c r="V221" s="13"/>
      <c r="W221" s="168"/>
      <c r="X221" s="17"/>
    </row>
    <row r="222" spans="1:24">
      <c r="A222" s="125" t="s">
        <v>213</v>
      </c>
      <c r="B222" s="45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53"/>
      <c r="N222" s="110">
        <f t="shared" si="8"/>
        <v>0</v>
      </c>
      <c r="O222" s="111"/>
      <c r="P222" s="98"/>
      <c r="Q222" s="46">
        <v>17586.184902369674</v>
      </c>
      <c r="R222" s="23">
        <v>17586.184902369674</v>
      </c>
      <c r="S222" s="12">
        <v>18289.632298464461</v>
      </c>
      <c r="T222" s="12">
        <v>18993.079694559248</v>
      </c>
      <c r="U222" s="12">
        <v>19344.803392606642</v>
      </c>
      <c r="V222" s="13"/>
      <c r="W222" s="168"/>
      <c r="X222" s="17"/>
    </row>
    <row r="223" spans="1:24">
      <c r="A223" s="21" t="s">
        <v>214</v>
      </c>
      <c r="B223" s="45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1"/>
      <c r="M223" s="153"/>
      <c r="N223" s="110">
        <f t="shared" si="8"/>
        <v>3</v>
      </c>
      <c r="O223" s="111"/>
      <c r="P223" s="98"/>
      <c r="Q223" s="67" t="s">
        <v>1559</v>
      </c>
      <c r="R223" s="19">
        <v>15500</v>
      </c>
      <c r="S223" s="12">
        <v>16120</v>
      </c>
      <c r="T223" s="12">
        <v>16740</v>
      </c>
      <c r="U223" s="12">
        <v>17050</v>
      </c>
      <c r="V223" s="13"/>
      <c r="W223" s="168"/>
      <c r="X223" s="17">
        <v>100</v>
      </c>
    </row>
    <row r="224" spans="1:24">
      <c r="A224" s="21" t="s">
        <v>216</v>
      </c>
      <c r="B224" s="45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53"/>
      <c r="N224" s="110">
        <f t="shared" si="8"/>
        <v>4</v>
      </c>
      <c r="O224" s="111"/>
      <c r="P224" s="98"/>
      <c r="Q224" s="67" t="s">
        <v>1559</v>
      </c>
      <c r="R224" s="19">
        <v>17000</v>
      </c>
      <c r="S224" s="12">
        <v>17680</v>
      </c>
      <c r="T224" s="12">
        <v>18360</v>
      </c>
      <c r="U224" s="12">
        <v>18700</v>
      </c>
      <c r="V224" s="13"/>
      <c r="W224" s="168"/>
      <c r="X224" s="17">
        <v>100</v>
      </c>
    </row>
    <row r="225" spans="1:24">
      <c r="A225" s="127" t="s">
        <v>217</v>
      </c>
      <c r="B225" s="45" t="str">
        <f>IFERROR(HYPERLINK(VLOOKUP(A225,ÜRÜNLER!A:C,3,FALSE),VLOOKUP(A225,ÜRÜNLER!A:B,2,FALSE)),"")</f>
        <v>iQ300 Ankastre Mikrodalga, 20L, Antrasit/Titanyum Gri</v>
      </c>
      <c r="C225" s="8">
        <v>7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53"/>
      <c r="N225" s="110">
        <f t="shared" si="8"/>
        <v>9</v>
      </c>
      <c r="O225" s="111"/>
      <c r="P225" s="98"/>
      <c r="Q225" s="46">
        <v>16101.775578738503</v>
      </c>
      <c r="R225" s="23">
        <v>16101.775578738503</v>
      </c>
      <c r="S225" s="12">
        <v>16745.846601888043</v>
      </c>
      <c r="T225" s="12">
        <v>17389.917625037582</v>
      </c>
      <c r="U225" s="12">
        <v>17711.953136612352</v>
      </c>
      <c r="V225" s="13"/>
      <c r="W225" s="168"/>
      <c r="X225" s="17"/>
    </row>
    <row r="226" spans="1:24">
      <c r="A226" s="21" t="s">
        <v>218</v>
      </c>
      <c r="B226" s="45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53"/>
      <c r="N226" s="110">
        <f t="shared" si="8"/>
        <v>11</v>
      </c>
      <c r="O226" s="111">
        <v>1</v>
      </c>
      <c r="P226" s="98"/>
      <c r="Q226" s="46">
        <v>16098.539450831582</v>
      </c>
      <c r="R226" s="23">
        <v>16098.539450831582</v>
      </c>
      <c r="S226" s="12">
        <v>16742.481028864844</v>
      </c>
      <c r="T226" s="12">
        <v>17386.422606898108</v>
      </c>
      <c r="U226" s="12">
        <v>17708.39339591474</v>
      </c>
      <c r="V226" s="13"/>
      <c r="W226" s="168"/>
      <c r="X226" s="14"/>
    </row>
    <row r="227" spans="1:24">
      <c r="A227" s="21" t="s">
        <v>219</v>
      </c>
      <c r="B227" s="45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53"/>
      <c r="N227" s="110">
        <f t="shared" si="8"/>
        <v>10</v>
      </c>
      <c r="O227" s="111"/>
      <c r="P227" s="98"/>
      <c r="Q227" s="46">
        <v>16098.539450831582</v>
      </c>
      <c r="R227" s="23">
        <v>16098.539450831582</v>
      </c>
      <c r="S227" s="12">
        <v>16742.481028864844</v>
      </c>
      <c r="T227" s="12">
        <v>17386.422606898108</v>
      </c>
      <c r="U227" s="12">
        <v>17708.39339591474</v>
      </c>
      <c r="V227" s="13"/>
      <c r="W227" s="168"/>
      <c r="X227" s="14"/>
    </row>
    <row r="228" spans="1:24">
      <c r="A228" s="21" t="s">
        <v>220</v>
      </c>
      <c r="B228" s="45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53"/>
      <c r="N228" s="110">
        <f t="shared" si="8"/>
        <v>3</v>
      </c>
      <c r="O228" s="111"/>
      <c r="P228" s="98"/>
      <c r="Q228" s="67" t="s">
        <v>1559</v>
      </c>
      <c r="R228" s="169">
        <v>45000</v>
      </c>
      <c r="S228" s="12">
        <v>46800</v>
      </c>
      <c r="T228" s="12">
        <v>48600</v>
      </c>
      <c r="U228" s="12">
        <v>49500</v>
      </c>
      <c r="V228" s="13"/>
      <c r="W228" s="168"/>
      <c r="X228" s="14">
        <v>250</v>
      </c>
    </row>
    <row r="229" spans="1:24">
      <c r="A229" s="125" t="s">
        <v>221</v>
      </c>
      <c r="B229" s="45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53"/>
      <c r="N229" s="110">
        <f t="shared" si="8"/>
        <v>0</v>
      </c>
      <c r="O229" s="111"/>
      <c r="P229" s="98"/>
      <c r="Q229" s="159">
        <v>50934.759963721684</v>
      </c>
      <c r="R229" s="23">
        <v>50935</v>
      </c>
      <c r="S229" s="12">
        <v>52972.4</v>
      </c>
      <c r="T229" s="12">
        <v>55009.8</v>
      </c>
      <c r="U229" s="12">
        <v>56028.5</v>
      </c>
      <c r="V229" s="13"/>
      <c r="W229" s="168"/>
      <c r="X229" s="14">
        <v>250</v>
      </c>
    </row>
    <row r="230" spans="1:24">
      <c r="A230" s="116" t="s">
        <v>222</v>
      </c>
      <c r="B230" s="45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53"/>
      <c r="N230" s="110">
        <f t="shared" si="8"/>
        <v>5</v>
      </c>
      <c r="O230" s="111">
        <v>10</v>
      </c>
      <c r="P230" s="98"/>
      <c r="Q230" s="46">
        <v>7157.2313106298088</v>
      </c>
      <c r="R230" s="23">
        <v>7157.2313106298088</v>
      </c>
      <c r="S230" s="12">
        <v>7443.5205630550008</v>
      </c>
      <c r="T230" s="12">
        <v>7729.8098154801937</v>
      </c>
      <c r="U230" s="12">
        <v>7872.9544416927893</v>
      </c>
      <c r="V230" s="13"/>
      <c r="W230" s="168"/>
      <c r="X230" s="17"/>
    </row>
    <row r="231" spans="1:24">
      <c r="A231" s="116" t="s">
        <v>223</v>
      </c>
      <c r="B231" s="45" t="str">
        <f>IFERROR(HYPERLINK(VLOOKUP(A231,ÜRÜNLER!A:C,3,FALSE),VLOOKUP(A231,ÜRÜNLER!A:B,2,FALSE)),"")</f>
        <v>iQ300 Solo Mikrodalga, 20L, Beyaz</v>
      </c>
      <c r="C231" s="8">
        <v>14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53"/>
      <c r="N231" s="110">
        <f t="shared" si="8"/>
        <v>18</v>
      </c>
      <c r="O231" s="111">
        <v>1</v>
      </c>
      <c r="P231" s="98"/>
      <c r="Q231" s="46">
        <v>6640.3160587332723</v>
      </c>
      <c r="R231" s="23">
        <v>6640.3160587332723</v>
      </c>
      <c r="S231" s="12">
        <v>6905.9287010826029</v>
      </c>
      <c r="T231" s="12">
        <v>7171.5413434319344</v>
      </c>
      <c r="U231" s="12">
        <v>7304.3476646065992</v>
      </c>
      <c r="V231" s="13"/>
      <c r="W231" s="168"/>
      <c r="X231" s="17"/>
    </row>
    <row r="232" spans="1:24">
      <c r="A232" s="116" t="s">
        <v>224</v>
      </c>
      <c r="B232" s="45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53"/>
      <c r="N232" s="110">
        <f t="shared" si="8"/>
        <v>7</v>
      </c>
      <c r="O232" s="111">
        <v>10</v>
      </c>
      <c r="P232" s="98"/>
      <c r="Q232" s="46">
        <v>7931.333620194534</v>
      </c>
      <c r="R232" s="23">
        <v>7931.333620194534</v>
      </c>
      <c r="S232" s="12">
        <v>8248.586965002316</v>
      </c>
      <c r="T232" s="12">
        <v>8565.8403098100971</v>
      </c>
      <c r="U232" s="12">
        <v>8724.4669822139876</v>
      </c>
      <c r="V232" s="13"/>
      <c r="W232" s="168"/>
      <c r="X232" s="17"/>
    </row>
    <row r="233" spans="1:24" ht="33.75" customHeight="1">
      <c r="A233" s="27" t="s">
        <v>225</v>
      </c>
      <c r="B233" s="45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53"/>
      <c r="N233" s="110">
        <f>SUM(N215:N232)</f>
        <v>87</v>
      </c>
      <c r="O233" s="111"/>
      <c r="P233" s="98"/>
      <c r="Q233" s="67"/>
      <c r="R233" s="67"/>
      <c r="S233" s="12"/>
      <c r="T233" s="12"/>
      <c r="U233" s="12">
        <v>0</v>
      </c>
      <c r="V233" s="13"/>
      <c r="W233" s="168"/>
      <c r="X233" s="17"/>
    </row>
    <row r="234" spans="1:24">
      <c r="A234" s="118" t="s">
        <v>226</v>
      </c>
      <c r="B234" s="45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53"/>
      <c r="N234" s="110">
        <f t="shared" ref="N234:N286" si="9">L234+M234+K234+J234+I234+H234+G234+F234+E234+D234+C234</f>
        <v>4</v>
      </c>
      <c r="O234" s="111"/>
      <c r="P234" s="98"/>
      <c r="Q234" s="67" t="s">
        <v>1559</v>
      </c>
      <c r="R234" s="19">
        <v>7500</v>
      </c>
      <c r="S234" s="12">
        <v>7800</v>
      </c>
      <c r="T234" s="12">
        <v>8100</v>
      </c>
      <c r="U234" s="12">
        <v>8250</v>
      </c>
      <c r="V234" s="13"/>
      <c r="W234" s="168"/>
      <c r="X234" s="14">
        <v>250</v>
      </c>
    </row>
    <row r="235" spans="1:24">
      <c r="A235" s="157" t="s">
        <v>1640</v>
      </c>
      <c r="B235" s="45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53"/>
      <c r="N235" s="110">
        <f t="shared" si="9"/>
        <v>1</v>
      </c>
      <c r="O235" s="111"/>
      <c r="P235" s="98"/>
      <c r="Q235" s="46">
        <v>18296.350661364198</v>
      </c>
      <c r="R235" s="19">
        <v>18296.350661364198</v>
      </c>
      <c r="S235" s="12">
        <v>19028.204687818765</v>
      </c>
      <c r="T235" s="12">
        <v>19760.058714273335</v>
      </c>
      <c r="U235" s="12">
        <v>20125.985727500618</v>
      </c>
      <c r="V235" s="13"/>
      <c r="W235" s="168"/>
      <c r="X235" s="14">
        <v>250</v>
      </c>
    </row>
    <row r="236" spans="1:24">
      <c r="A236" s="157" t="s">
        <v>1404</v>
      </c>
      <c r="B236" s="45" t="str">
        <f>IFERROR(HYPERLINK(VLOOKUP(A236,ÜRÜNLER!A:C,3,FALSE),VLOOKUP(A236,ÜRÜNLER!A:B,2,FALSE)),"")</f>
        <v>iQ300 Düz Davlumbaz, 60cm, 582m3, Titanyum Gri/Inox</v>
      </c>
      <c r="C236" s="8">
        <v>2</v>
      </c>
      <c r="D236" s="8"/>
      <c r="E236" s="9"/>
      <c r="F236" s="9"/>
      <c r="G236" s="10"/>
      <c r="H236" s="10"/>
      <c r="I236" s="11"/>
      <c r="J236" s="11"/>
      <c r="K236" s="10"/>
      <c r="L236" s="11"/>
      <c r="M236" s="153"/>
      <c r="N236" s="110">
        <f t="shared" si="9"/>
        <v>2</v>
      </c>
      <c r="O236" s="111"/>
      <c r="P236" s="98"/>
      <c r="Q236" s="67" t="s">
        <v>1559</v>
      </c>
      <c r="R236" s="19">
        <v>16000</v>
      </c>
      <c r="S236" s="12">
        <v>16640</v>
      </c>
      <c r="T236" s="12">
        <v>17280</v>
      </c>
      <c r="U236" s="12">
        <v>17600</v>
      </c>
      <c r="V236" s="13"/>
      <c r="W236" s="168"/>
      <c r="X236" s="14">
        <v>250</v>
      </c>
    </row>
    <row r="237" spans="1:24">
      <c r="A237" s="157" t="s">
        <v>1523</v>
      </c>
      <c r="B237" s="45" t="str">
        <f>IFERROR(HYPERLINK(VLOOKUP(A237,ÜRÜNLER!A:C,3,FALSE),VLOOKUP(A237,ÜRÜNLER!A:B,2,FALSE)),"")</f>
        <v>iQ300 Düz Davlumbaz, 90cm, 649m3, Beyaz Cam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53"/>
      <c r="N237" s="110">
        <f t="shared" si="9"/>
        <v>1</v>
      </c>
      <c r="O237" s="111"/>
      <c r="P237" s="98"/>
      <c r="Q237" s="46">
        <v>26145.867556408855</v>
      </c>
      <c r="R237" s="19">
        <v>26145.867556408855</v>
      </c>
      <c r="S237" s="12">
        <v>27191.702258665209</v>
      </c>
      <c r="T237" s="12">
        <v>28237.536960921563</v>
      </c>
      <c r="U237" s="12">
        <v>28760.45431204974</v>
      </c>
      <c r="V237" s="13"/>
      <c r="W237" s="168"/>
      <c r="X237" s="14">
        <v>250</v>
      </c>
    </row>
    <row r="238" spans="1:24">
      <c r="A238" s="157" t="s">
        <v>1410</v>
      </c>
      <c r="B238" s="45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53"/>
      <c r="N238" s="110">
        <f t="shared" si="9"/>
        <v>0</v>
      </c>
      <c r="O238" s="111"/>
      <c r="P238" s="98"/>
      <c r="Q238" s="67" t="s">
        <v>1559</v>
      </c>
      <c r="R238" s="19">
        <v>25000</v>
      </c>
      <c r="S238" s="12">
        <v>26000</v>
      </c>
      <c r="T238" s="12">
        <v>27000</v>
      </c>
      <c r="U238" s="12">
        <v>27500</v>
      </c>
      <c r="V238" s="13"/>
      <c r="W238" s="168"/>
      <c r="X238" s="14">
        <v>250</v>
      </c>
    </row>
    <row r="239" spans="1:24">
      <c r="A239" s="118" t="s">
        <v>227</v>
      </c>
      <c r="B239" s="45" t="str">
        <f>IFERROR(HYPERLINK(VLOOKUP(A239,ÜRÜNLER!A:C,3,FALSE),VLOOKUP(A239,ÜRÜNLER!A:B,2,FALSE)),"")</f>
        <v>iQ100 Düz Davlumbaz, 60cm, 380m3, Inox</v>
      </c>
      <c r="C239" s="8">
        <v>7</v>
      </c>
      <c r="D239" s="8"/>
      <c r="E239" s="9"/>
      <c r="F239" s="9"/>
      <c r="G239" s="10"/>
      <c r="H239" s="10"/>
      <c r="I239" s="11">
        <v>1</v>
      </c>
      <c r="J239" s="11"/>
      <c r="K239" s="10"/>
      <c r="L239" s="11"/>
      <c r="M239" s="153"/>
      <c r="N239" s="110">
        <f t="shared" si="9"/>
        <v>8</v>
      </c>
      <c r="O239" s="111"/>
      <c r="P239" s="104" t="s">
        <v>1547</v>
      </c>
      <c r="Q239" s="67" t="s">
        <v>1559</v>
      </c>
      <c r="R239" s="19">
        <v>9000</v>
      </c>
      <c r="S239" s="12">
        <v>9360</v>
      </c>
      <c r="T239" s="12">
        <v>9720</v>
      </c>
      <c r="U239" s="12">
        <v>9900</v>
      </c>
      <c r="V239" s="13"/>
      <c r="W239" s="168"/>
      <c r="X239" s="14">
        <v>250</v>
      </c>
    </row>
    <row r="240" spans="1:24">
      <c r="A240" s="118" t="s">
        <v>228</v>
      </c>
      <c r="B240" s="45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53"/>
      <c r="N240" s="110">
        <f t="shared" si="9"/>
        <v>6</v>
      </c>
      <c r="O240" s="111"/>
      <c r="P240" s="98"/>
      <c r="Q240" s="67" t="s">
        <v>1559</v>
      </c>
      <c r="R240" s="19">
        <v>9000</v>
      </c>
      <c r="S240" s="12">
        <v>9360</v>
      </c>
      <c r="T240" s="12">
        <v>9720</v>
      </c>
      <c r="U240" s="12">
        <v>9900</v>
      </c>
      <c r="V240" s="13"/>
      <c r="W240" s="168"/>
      <c r="X240" s="14">
        <v>250</v>
      </c>
    </row>
    <row r="241" spans="1:24">
      <c r="A241" s="118" t="s">
        <v>229</v>
      </c>
      <c r="B241" s="45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53"/>
      <c r="N241" s="110">
        <f t="shared" si="9"/>
        <v>1</v>
      </c>
      <c r="O241" s="111"/>
      <c r="P241" s="98" t="s">
        <v>1546</v>
      </c>
      <c r="Q241" s="46">
        <v>9567.2215549669108</v>
      </c>
      <c r="R241" s="19">
        <v>9567.2215549669108</v>
      </c>
      <c r="S241" s="12">
        <v>9949.9104171655872</v>
      </c>
      <c r="T241" s="12">
        <v>10332.599279364264</v>
      </c>
      <c r="U241" s="12">
        <v>10523.943710463602</v>
      </c>
      <c r="V241" s="13"/>
      <c r="W241" s="168"/>
      <c r="X241" s="17"/>
    </row>
    <row r="242" spans="1:24">
      <c r="A242" s="118" t="s">
        <v>230</v>
      </c>
      <c r="B242" s="45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53"/>
      <c r="N242" s="110">
        <f t="shared" si="9"/>
        <v>1</v>
      </c>
      <c r="O242" s="111"/>
      <c r="P242" s="98" t="s">
        <v>1546</v>
      </c>
      <c r="Q242" s="46">
        <v>9567.2215549669108</v>
      </c>
      <c r="R242" s="19">
        <v>9567.2215549669108</v>
      </c>
      <c r="S242" s="12">
        <v>9949.9104171655872</v>
      </c>
      <c r="T242" s="12">
        <v>10332.599279364264</v>
      </c>
      <c r="U242" s="12">
        <v>10523.943710463602</v>
      </c>
      <c r="V242" s="13"/>
      <c r="W242" s="168"/>
      <c r="X242" s="17"/>
    </row>
    <row r="243" spans="1:24">
      <c r="A243" s="118" t="s">
        <v>231</v>
      </c>
      <c r="B243" s="45" t="str">
        <f>IFERROR(HYPERLINK(VLOOKUP(A243,ÜRÜNLER!A:C,3,FALSE),VLOOKUP(A243,ÜRÜNLER!A:B,2,FALSE)),"")</f>
        <v>iQ100 Eğimli Davlumbaz, 59cm, 360m3, Siyah Cam</v>
      </c>
      <c r="C243" s="8">
        <v>3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53"/>
      <c r="N243" s="110">
        <f t="shared" si="9"/>
        <v>5</v>
      </c>
      <c r="O243" s="111"/>
      <c r="P243" s="98" t="s">
        <v>1546</v>
      </c>
      <c r="Q243" s="46">
        <v>9567.2215549669108</v>
      </c>
      <c r="R243" s="19">
        <v>9567.2215549669108</v>
      </c>
      <c r="S243" s="12">
        <v>9949.9104171655872</v>
      </c>
      <c r="T243" s="12">
        <v>10332.599279364264</v>
      </c>
      <c r="U243" s="12">
        <v>10523.943710463602</v>
      </c>
      <c r="V243" s="13"/>
      <c r="W243" s="168"/>
      <c r="X243" s="17"/>
    </row>
    <row r="244" spans="1:24">
      <c r="A244" s="118" t="s">
        <v>232</v>
      </c>
      <c r="B244" s="45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53"/>
      <c r="N244" s="110">
        <f t="shared" si="9"/>
        <v>7</v>
      </c>
      <c r="O244" s="111"/>
      <c r="P244" s="98"/>
      <c r="Q244" s="46">
        <v>16806.444037938429</v>
      </c>
      <c r="R244" s="19">
        <v>16806.444037938429</v>
      </c>
      <c r="S244" s="12">
        <v>17478.701799455965</v>
      </c>
      <c r="T244" s="12">
        <v>18150.959560973504</v>
      </c>
      <c r="U244" s="12">
        <v>18487.08844173227</v>
      </c>
      <c r="V244" s="13"/>
      <c r="W244" s="168"/>
      <c r="X244" s="17"/>
    </row>
    <row r="245" spans="1:24">
      <c r="A245" s="118" t="s">
        <v>234</v>
      </c>
      <c r="B245" s="45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53"/>
      <c r="N245" s="110">
        <f t="shared" si="9"/>
        <v>14</v>
      </c>
      <c r="O245" s="111"/>
      <c r="P245" s="98"/>
      <c r="Q245" s="46">
        <v>19807.493618522563</v>
      </c>
      <c r="R245" s="19">
        <v>19807.493618522563</v>
      </c>
      <c r="S245" s="12">
        <v>20599.793363263467</v>
      </c>
      <c r="T245" s="12">
        <v>21392.093108004367</v>
      </c>
      <c r="U245" s="12">
        <v>21788.24298037482</v>
      </c>
      <c r="V245" s="13"/>
      <c r="W245" s="168"/>
      <c r="X245" s="17"/>
    </row>
    <row r="246" spans="1:24">
      <c r="A246" s="118" t="s">
        <v>235</v>
      </c>
      <c r="B246" s="45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53"/>
      <c r="N246" s="110">
        <f t="shared" si="9"/>
        <v>5</v>
      </c>
      <c r="O246" s="111"/>
      <c r="P246" s="98"/>
      <c r="Q246" s="46">
        <v>19807.493618522563</v>
      </c>
      <c r="R246" s="23">
        <v>19807.493618522563</v>
      </c>
      <c r="S246" s="12">
        <v>20599.793363263467</v>
      </c>
      <c r="T246" s="12">
        <v>21392.093108004367</v>
      </c>
      <c r="U246" s="12">
        <v>21788.24298037482</v>
      </c>
      <c r="V246" s="13"/>
      <c r="W246" s="168"/>
      <c r="X246" s="17"/>
    </row>
    <row r="247" spans="1:24">
      <c r="A247" s="125" t="s">
        <v>236</v>
      </c>
      <c r="B247" s="45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>
        <v>1</v>
      </c>
      <c r="J247" s="11"/>
      <c r="K247" s="10"/>
      <c r="L247" s="11"/>
      <c r="M247" s="153"/>
      <c r="N247" s="110">
        <f t="shared" si="9"/>
        <v>2</v>
      </c>
      <c r="O247" s="111"/>
      <c r="P247" s="98"/>
      <c r="Q247" s="67" t="s">
        <v>1559</v>
      </c>
      <c r="R247" s="19">
        <v>13000</v>
      </c>
      <c r="S247" s="12">
        <v>13520</v>
      </c>
      <c r="T247" s="12">
        <v>14040</v>
      </c>
      <c r="U247" s="12">
        <v>14300</v>
      </c>
      <c r="V247" s="13"/>
      <c r="W247" s="168"/>
      <c r="X247" s="17">
        <v>250</v>
      </c>
    </row>
    <row r="248" spans="1:24">
      <c r="A248" s="21" t="s">
        <v>238</v>
      </c>
      <c r="B248" s="45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53"/>
      <c r="N248" s="110">
        <f t="shared" si="9"/>
        <v>9</v>
      </c>
      <c r="O248" s="111">
        <v>1</v>
      </c>
      <c r="P248" s="98"/>
      <c r="Q248" s="46">
        <v>14287.559051648706</v>
      </c>
      <c r="R248" s="23">
        <v>14287.559051648706</v>
      </c>
      <c r="S248" s="12">
        <v>14859.061413714655</v>
      </c>
      <c r="T248" s="12">
        <v>15430.563775780603</v>
      </c>
      <c r="U248" s="12">
        <v>15716.314956813578</v>
      </c>
      <c r="V248" s="13"/>
      <c r="W248" s="168"/>
      <c r="X248" s="17"/>
    </row>
    <row r="249" spans="1:24">
      <c r="A249" s="21" t="s">
        <v>239</v>
      </c>
      <c r="B249" s="45" t="str">
        <f>IFERROR(HYPERLINK(VLOOKUP(A249,ÜRÜNLER!A:C,3,FALSE),VLOOKUP(A249,ÜRÜNLER!A:B,2,FALSE)),"")</f>
        <v>iQ100 Eğimli Davlumbaz, 60cm, 400m3, Siyah Cam</v>
      </c>
      <c r="C249" s="8">
        <v>13</v>
      </c>
      <c r="D249" s="8"/>
      <c r="E249" s="9"/>
      <c r="F249" s="9"/>
      <c r="G249" s="10"/>
      <c r="H249" s="10"/>
      <c r="I249" s="11"/>
      <c r="J249" s="11"/>
      <c r="K249" s="10"/>
      <c r="L249" s="11"/>
      <c r="M249" s="153"/>
      <c r="N249" s="110">
        <f t="shared" si="9"/>
        <v>13</v>
      </c>
      <c r="O249" s="111">
        <v>1</v>
      </c>
      <c r="P249" s="98"/>
      <c r="Q249" s="46">
        <v>14287.559051648706</v>
      </c>
      <c r="R249" s="23">
        <v>14287.559051648706</v>
      </c>
      <c r="S249" s="12">
        <v>14859.061413714655</v>
      </c>
      <c r="T249" s="12">
        <v>15430.563775780603</v>
      </c>
      <c r="U249" s="12">
        <v>15716.314956813578</v>
      </c>
      <c r="V249" s="13"/>
      <c r="W249" s="168"/>
      <c r="X249" s="17"/>
    </row>
    <row r="250" spans="1:24">
      <c r="A250" s="127" t="s">
        <v>240</v>
      </c>
      <c r="B250" s="45" t="str">
        <f>IFERROR(HYPERLINK(VLOOKUP(A250,ÜRÜNLER!A:C,3,FALSE),VLOOKUP(A250,ÜRÜNLER!A:B,2,FALSE)),"")</f>
        <v>iQ100 Eğimli Davlumbaz, 60cm, 400m3, Antrasit Gri Cam</v>
      </c>
      <c r="C250" s="8">
        <v>12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53">
        <v>1</v>
      </c>
      <c r="N250" s="110">
        <f t="shared" si="9"/>
        <v>16</v>
      </c>
      <c r="O250" s="111">
        <v>1</v>
      </c>
      <c r="P250" s="98"/>
      <c r="Q250" s="46">
        <v>14287.559051648706</v>
      </c>
      <c r="R250" s="23">
        <v>14287.559051648706</v>
      </c>
      <c r="S250" s="12">
        <v>14859.061413714655</v>
      </c>
      <c r="T250" s="12">
        <v>15430.563775780603</v>
      </c>
      <c r="U250" s="12">
        <v>15716.314956813578</v>
      </c>
      <c r="V250" s="13"/>
      <c r="W250" s="168"/>
      <c r="X250" s="17"/>
    </row>
    <row r="251" spans="1:24">
      <c r="A251" s="21" t="s">
        <v>241</v>
      </c>
      <c r="B251" s="45" t="str">
        <f>IFERROR(HYPERLINK(VLOOKUP(A251,ÜRÜNLER!A:C,3,FALSE),VLOOKUP(A251,ÜRÜNLER!A:B,2,FALSE)),"")</f>
        <v>iQ300 Eğimli Davlumbaz, 60cm, 510m3, Beyaz Cam</v>
      </c>
      <c r="C251" s="8">
        <v>5</v>
      </c>
      <c r="D251" s="8"/>
      <c r="E251" s="9"/>
      <c r="F251" s="9"/>
      <c r="G251" s="10"/>
      <c r="H251" s="10"/>
      <c r="I251" s="11"/>
      <c r="J251" s="11"/>
      <c r="K251" s="10"/>
      <c r="L251" s="11">
        <v>1</v>
      </c>
      <c r="M251" s="153"/>
      <c r="N251" s="110">
        <f t="shared" si="9"/>
        <v>6</v>
      </c>
      <c r="O251" s="111">
        <v>20</v>
      </c>
      <c r="P251" s="98"/>
      <c r="Q251" s="46">
        <v>17712.824691220652</v>
      </c>
      <c r="R251" s="23">
        <v>17712.824691220652</v>
      </c>
      <c r="S251" s="12">
        <v>18421.337678869477</v>
      </c>
      <c r="T251" s="12">
        <v>19129.850666518305</v>
      </c>
      <c r="U251" s="12">
        <v>19484.107160342719</v>
      </c>
      <c r="V251" s="13"/>
      <c r="W251" s="168"/>
      <c r="X251" s="17"/>
    </row>
    <row r="252" spans="1:24">
      <c r="A252" s="125" t="s">
        <v>242</v>
      </c>
      <c r="B252" s="45" t="str">
        <f>IFERROR(HYPERLINK(VLOOKUP(A252,ÜRÜNLER!A:C,3,FALSE),VLOOKUP(A252,ÜRÜNLER!A:B,2,FALSE)),"")</f>
        <v>iQ300 Eğimli Davlumbaz, 60cm, 510m3, Siyah Cam</v>
      </c>
      <c r="C252" s="8">
        <v>3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53">
        <v>1</v>
      </c>
      <c r="N252" s="110">
        <f t="shared" si="9"/>
        <v>5</v>
      </c>
      <c r="O252" s="111">
        <v>20</v>
      </c>
      <c r="P252" s="98"/>
      <c r="Q252" s="46">
        <v>17712.824691220652</v>
      </c>
      <c r="R252" s="23">
        <v>17712.824691220652</v>
      </c>
      <c r="S252" s="12">
        <v>18421.337678869477</v>
      </c>
      <c r="T252" s="12">
        <v>19129.850666518305</v>
      </c>
      <c r="U252" s="12">
        <v>19484.107160342719</v>
      </c>
      <c r="V252" s="13"/>
      <c r="W252" s="168"/>
      <c r="X252" s="17"/>
    </row>
    <row r="253" spans="1:24">
      <c r="A253" s="127" t="s">
        <v>243</v>
      </c>
      <c r="B253" s="45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53"/>
      <c r="N253" s="110">
        <f t="shared" si="9"/>
        <v>0</v>
      </c>
      <c r="O253" s="111">
        <v>51</v>
      </c>
      <c r="P253" s="98"/>
      <c r="Q253" s="46">
        <v>17712.824691220652</v>
      </c>
      <c r="R253" s="23">
        <v>17712.824691220652</v>
      </c>
      <c r="S253" s="12">
        <v>18421.337678869477</v>
      </c>
      <c r="T253" s="12">
        <v>19129.850666518305</v>
      </c>
      <c r="U253" s="12">
        <v>19484.107160342719</v>
      </c>
      <c r="V253" s="13"/>
      <c r="W253" s="168"/>
      <c r="X253" s="17"/>
    </row>
    <row r="254" spans="1:24">
      <c r="A254" s="118" t="s">
        <v>244</v>
      </c>
      <c r="B254" s="45" t="str">
        <f>IFERROR(HYPERLINK(VLOOKUP(A254,ÜRÜNLER!A:C,3,FALSE),VLOOKUP(A254,ÜRÜNLER!A:B,2,FALSE)),"")</f>
        <v>iQ300 Düz Davlumbaz, 60cm, 582m3, Beyaz/Inox</v>
      </c>
      <c r="C254" s="8">
        <v>21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53"/>
      <c r="N254" s="110">
        <f t="shared" si="9"/>
        <v>22</v>
      </c>
      <c r="O254" s="111">
        <v>1</v>
      </c>
      <c r="P254" s="98"/>
      <c r="Q254" s="46">
        <v>18296.350661364198</v>
      </c>
      <c r="R254" s="23">
        <v>18296.350661364198</v>
      </c>
      <c r="S254" s="154">
        <v>19028.204687818765</v>
      </c>
      <c r="T254" s="154">
        <v>19760.058714273335</v>
      </c>
      <c r="U254" s="12">
        <v>20125.985727500618</v>
      </c>
      <c r="V254" s="13"/>
      <c r="W254" s="168"/>
      <c r="X254" s="14">
        <v>250</v>
      </c>
    </row>
    <row r="255" spans="1:24">
      <c r="A255" s="124" t="s">
        <v>245</v>
      </c>
      <c r="B255" s="45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53"/>
      <c r="N255" s="110">
        <f t="shared" si="9"/>
        <v>7</v>
      </c>
      <c r="O255" s="111">
        <v>36</v>
      </c>
      <c r="P255" s="98"/>
      <c r="Q255" s="46">
        <v>18296.350661364198</v>
      </c>
      <c r="R255" s="23">
        <v>18296.350661364198</v>
      </c>
      <c r="S255" s="12">
        <v>19028.204687818765</v>
      </c>
      <c r="T255" s="12">
        <v>19760.058714273335</v>
      </c>
      <c r="U255" s="12">
        <v>20125.985727500618</v>
      </c>
      <c r="V255" s="13"/>
      <c r="W255" s="168"/>
      <c r="X255" s="17"/>
    </row>
    <row r="256" spans="1:24">
      <c r="A256" s="127" t="s">
        <v>246</v>
      </c>
      <c r="B256" s="45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53"/>
      <c r="N256" s="110">
        <f t="shared" si="9"/>
        <v>7</v>
      </c>
      <c r="O256" s="111">
        <v>1</v>
      </c>
      <c r="P256" s="98"/>
      <c r="Q256" s="46">
        <v>19807.493618522563</v>
      </c>
      <c r="R256" s="23">
        <v>19807.493618522563</v>
      </c>
      <c r="S256" s="12">
        <v>20599.793363263467</v>
      </c>
      <c r="T256" s="12">
        <v>21392.093108004367</v>
      </c>
      <c r="U256" s="12">
        <v>21788.24298037482</v>
      </c>
      <c r="V256" s="13"/>
      <c r="W256" s="168"/>
      <c r="X256" s="17"/>
    </row>
    <row r="257" spans="1:24">
      <c r="A257" s="118" t="s">
        <v>247</v>
      </c>
      <c r="B257" s="45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/>
      <c r="J257" s="11"/>
      <c r="K257" s="10"/>
      <c r="L257" s="11"/>
      <c r="M257" s="153"/>
      <c r="N257" s="110">
        <f t="shared" si="9"/>
        <v>14</v>
      </c>
      <c r="O257" s="111"/>
      <c r="P257" s="98"/>
      <c r="Q257" s="67" t="s">
        <v>1559</v>
      </c>
      <c r="R257" s="19">
        <v>19000</v>
      </c>
      <c r="S257" s="12">
        <v>19760</v>
      </c>
      <c r="T257" s="12">
        <v>20520</v>
      </c>
      <c r="U257" s="12">
        <v>20900</v>
      </c>
      <c r="V257" s="13"/>
      <c r="W257" s="168"/>
      <c r="X257" s="14">
        <v>250</v>
      </c>
    </row>
    <row r="258" spans="1:24">
      <c r="A258" s="124" t="s">
        <v>248</v>
      </c>
      <c r="B258" s="45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53"/>
      <c r="N258" s="110">
        <f t="shared" si="9"/>
        <v>1</v>
      </c>
      <c r="O258" s="111"/>
      <c r="P258" s="98"/>
      <c r="Q258" s="67" t="s">
        <v>1559</v>
      </c>
      <c r="R258" s="19">
        <v>16000</v>
      </c>
      <c r="S258" s="12">
        <v>16640</v>
      </c>
      <c r="T258" s="12">
        <v>17280</v>
      </c>
      <c r="U258" s="12">
        <v>17600</v>
      </c>
      <c r="V258" s="13"/>
      <c r="W258" s="168"/>
      <c r="X258" s="17">
        <v>250</v>
      </c>
    </row>
    <row r="259" spans="1:24">
      <c r="A259" s="124" t="s">
        <v>249</v>
      </c>
      <c r="B259" s="45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53"/>
      <c r="N259" s="110">
        <f t="shared" si="9"/>
        <v>1</v>
      </c>
      <c r="O259" s="111">
        <v>21</v>
      </c>
      <c r="P259" s="98"/>
      <c r="Q259" s="46">
        <v>20158.780754850566</v>
      </c>
      <c r="R259" s="23">
        <v>20158.780754850566</v>
      </c>
      <c r="S259" s="12">
        <v>20965.131985044587</v>
      </c>
      <c r="T259" s="12">
        <v>21771.483215238612</v>
      </c>
      <c r="U259" s="12">
        <v>22174.658830335622</v>
      </c>
      <c r="V259" s="13"/>
      <c r="W259" s="168"/>
      <c r="X259" s="17"/>
    </row>
    <row r="260" spans="1:24">
      <c r="A260" s="127" t="s">
        <v>250</v>
      </c>
      <c r="B260" s="45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53"/>
      <c r="N260" s="110">
        <f t="shared" si="9"/>
        <v>2</v>
      </c>
      <c r="O260" s="111">
        <v>21</v>
      </c>
      <c r="P260" s="98"/>
      <c r="Q260" s="46">
        <v>20158.780754850566</v>
      </c>
      <c r="R260" s="23">
        <v>20158.780754850566</v>
      </c>
      <c r="S260" s="12">
        <v>20965.131985044587</v>
      </c>
      <c r="T260" s="12">
        <v>21771.483215238612</v>
      </c>
      <c r="U260" s="12">
        <v>22174.658830335622</v>
      </c>
      <c r="V260" s="13"/>
      <c r="W260" s="168"/>
      <c r="X260" s="17"/>
    </row>
    <row r="261" spans="1:24">
      <c r="A261" s="118" t="s">
        <v>251</v>
      </c>
      <c r="B261" s="45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2</v>
      </c>
      <c r="L261" s="11">
        <v>1</v>
      </c>
      <c r="M261" s="153"/>
      <c r="N261" s="110">
        <f t="shared" si="9"/>
        <v>4</v>
      </c>
      <c r="O261" s="111"/>
      <c r="P261" s="98"/>
      <c r="Q261" s="67" t="s">
        <v>1559</v>
      </c>
      <c r="R261" s="19">
        <v>17000</v>
      </c>
      <c r="S261" s="12">
        <v>17680</v>
      </c>
      <c r="T261" s="12">
        <v>18360</v>
      </c>
      <c r="U261" s="12">
        <v>18700</v>
      </c>
      <c r="V261" s="13"/>
      <c r="W261" s="168"/>
      <c r="X261" s="17">
        <v>250</v>
      </c>
    </row>
    <row r="262" spans="1:24">
      <c r="A262" s="130" t="s">
        <v>252</v>
      </c>
      <c r="B262" s="45" t="str">
        <f>IFERROR(HYPERLINK(VLOOKUP(A262,ÜRÜNLER!A:C,3,FALSE),VLOOKUP(A262,ÜRÜNLER!A:B,2,FALSE)),"")</f>
        <v>iQ500 Eğimli Davlumbaz, 60cm, 510m3, Beyaz Cam</v>
      </c>
      <c r="C262" s="8">
        <v>11</v>
      </c>
      <c r="D262" s="8"/>
      <c r="E262" s="9"/>
      <c r="F262" s="9"/>
      <c r="G262" s="10"/>
      <c r="H262" s="10"/>
      <c r="I262" s="11"/>
      <c r="J262" s="11"/>
      <c r="K262" s="10"/>
      <c r="L262" s="11"/>
      <c r="M262" s="153"/>
      <c r="N262" s="110">
        <f t="shared" si="9"/>
        <v>11</v>
      </c>
      <c r="O262" s="111">
        <v>1</v>
      </c>
      <c r="P262" s="98"/>
      <c r="Q262" s="46">
        <v>20158.780754850566</v>
      </c>
      <c r="R262" s="23">
        <v>20158.780754850566</v>
      </c>
      <c r="S262" s="12">
        <v>20965.131985044587</v>
      </c>
      <c r="T262" s="12">
        <v>21771.483215238612</v>
      </c>
      <c r="U262" s="12">
        <v>22174.658830335622</v>
      </c>
      <c r="V262" s="13"/>
      <c r="W262" s="168"/>
      <c r="X262" s="17"/>
    </row>
    <row r="263" spans="1:24">
      <c r="A263" s="124" t="s">
        <v>253</v>
      </c>
      <c r="B263" s="45" t="str">
        <f>IFERROR(HYPERLINK(VLOOKUP(A263,ÜRÜNLER!A:C,3,FALSE),VLOOKUP(A263,ÜRÜNLER!A:B,2,FALSE)),"")</f>
        <v>iQ500 Eğimli Davlumbaz, 60cm, 700m3, Siyah Cam</v>
      </c>
      <c r="C263" s="8">
        <v>5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53"/>
      <c r="N263" s="110">
        <f t="shared" si="9"/>
        <v>6</v>
      </c>
      <c r="O263" s="111">
        <v>11</v>
      </c>
      <c r="P263" s="98"/>
      <c r="Q263" s="46">
        <v>20158.780754850566</v>
      </c>
      <c r="R263" s="46">
        <v>20158.780754850566</v>
      </c>
      <c r="S263" s="12">
        <v>20965.131985044587</v>
      </c>
      <c r="T263" s="12">
        <v>21771.483215238612</v>
      </c>
      <c r="U263" s="12">
        <v>22174.658830335622</v>
      </c>
      <c r="V263" s="13"/>
      <c r="W263" s="168"/>
      <c r="X263" s="17"/>
    </row>
    <row r="264" spans="1:24">
      <c r="A264" s="124" t="s">
        <v>1505</v>
      </c>
      <c r="B264" s="45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/>
      <c r="J264" s="11"/>
      <c r="K264" s="10"/>
      <c r="L264" s="11"/>
      <c r="M264" s="153">
        <v>1</v>
      </c>
      <c r="N264" s="110">
        <f t="shared" si="9"/>
        <v>12</v>
      </c>
      <c r="O264" s="111"/>
      <c r="P264" s="98"/>
      <c r="Q264" s="46">
        <v>33953.114896082538</v>
      </c>
      <c r="R264" s="46">
        <v>33953.114896082538</v>
      </c>
      <c r="S264" s="12">
        <v>35311.239491925837</v>
      </c>
      <c r="T264" s="12">
        <v>36669.364087769143</v>
      </c>
      <c r="U264" s="12">
        <v>37348.426385690793</v>
      </c>
      <c r="V264" s="13"/>
      <c r="W264" s="168"/>
      <c r="X264" s="17"/>
    </row>
    <row r="265" spans="1:24">
      <c r="A265" s="131" t="s">
        <v>254</v>
      </c>
      <c r="B265" s="45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53"/>
      <c r="N265" s="110">
        <f t="shared" si="9"/>
        <v>0</v>
      </c>
      <c r="O265" s="111"/>
      <c r="P265" s="98"/>
      <c r="Q265" s="67" t="s">
        <v>1559</v>
      </c>
      <c r="R265" s="19">
        <v>45000</v>
      </c>
      <c r="S265" s="12">
        <v>46800</v>
      </c>
      <c r="T265" s="12">
        <v>48600</v>
      </c>
      <c r="U265" s="12">
        <v>49500</v>
      </c>
      <c r="V265" s="13"/>
      <c r="W265" s="168"/>
      <c r="X265" s="17"/>
    </row>
    <row r="266" spans="1:24">
      <c r="A266" s="118" t="s">
        <v>255</v>
      </c>
      <c r="B266" s="45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53"/>
      <c r="N266" s="110">
        <f t="shared" si="9"/>
        <v>1</v>
      </c>
      <c r="O266" s="111">
        <v>1</v>
      </c>
      <c r="P266" s="98"/>
      <c r="Q266" s="46">
        <v>60337.895349557381</v>
      </c>
      <c r="R266" s="23">
        <v>60337.895349557381</v>
      </c>
      <c r="S266" s="12">
        <v>62751.411163539677</v>
      </c>
      <c r="T266" s="12">
        <v>65164.926977521973</v>
      </c>
      <c r="U266" s="12">
        <v>66371.684884513117</v>
      </c>
      <c r="V266" s="13"/>
      <c r="W266" s="168"/>
      <c r="X266" s="17"/>
    </row>
    <row r="267" spans="1:24">
      <c r="A267" s="118" t="s">
        <v>256</v>
      </c>
      <c r="B267" s="45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53"/>
      <c r="N267" s="110">
        <f t="shared" si="9"/>
        <v>2</v>
      </c>
      <c r="O267" s="111"/>
      <c r="P267" s="98"/>
      <c r="Q267" s="159">
        <v>86164.737606286217</v>
      </c>
      <c r="R267" s="159">
        <v>77548.263845657595</v>
      </c>
      <c r="S267" s="12">
        <v>80650.194399483895</v>
      </c>
      <c r="T267" s="12">
        <v>83752.124953310209</v>
      </c>
      <c r="U267" s="12">
        <v>85303.090230223359</v>
      </c>
      <c r="V267" s="13"/>
      <c r="W267" s="168"/>
      <c r="X267" s="14">
        <v>250</v>
      </c>
    </row>
    <row r="268" spans="1:24">
      <c r="A268" s="118" t="s">
        <v>257</v>
      </c>
      <c r="B268" s="45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53"/>
      <c r="N268" s="110">
        <f t="shared" si="9"/>
        <v>2</v>
      </c>
      <c r="O268" s="111"/>
      <c r="P268" s="98"/>
      <c r="Q268" s="46">
        <v>25031.799878946815</v>
      </c>
      <c r="R268" s="23">
        <v>25031.799878946815</v>
      </c>
      <c r="S268" s="12">
        <v>26033.071874104688</v>
      </c>
      <c r="T268" s="12">
        <v>27034.34386926256</v>
      </c>
      <c r="U268" s="12">
        <v>27534.979866841495</v>
      </c>
      <c r="V268" s="13"/>
      <c r="W268" s="168"/>
      <c r="X268" s="17"/>
    </row>
    <row r="269" spans="1:24">
      <c r="A269" s="132" t="s">
        <v>258</v>
      </c>
      <c r="B269" s="45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53"/>
      <c r="N269" s="110">
        <f t="shared" si="9"/>
        <v>4</v>
      </c>
      <c r="O269" s="111"/>
      <c r="P269" s="98"/>
      <c r="Q269" s="46">
        <v>26145.867556408855</v>
      </c>
      <c r="R269" s="23">
        <v>26145.867556408855</v>
      </c>
      <c r="S269" s="12">
        <v>27191.702258665209</v>
      </c>
      <c r="T269" s="12">
        <v>28237.536960921563</v>
      </c>
      <c r="U269" s="12">
        <v>28760.45431204974</v>
      </c>
      <c r="V269" s="13"/>
      <c r="W269" s="168"/>
      <c r="X269" s="17"/>
    </row>
    <row r="270" spans="1:24">
      <c r="A270" s="129" t="s">
        <v>259</v>
      </c>
      <c r="B270" s="45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53"/>
      <c r="N270" s="110">
        <f t="shared" si="9"/>
        <v>18</v>
      </c>
      <c r="O270" s="111"/>
      <c r="P270" s="98"/>
      <c r="Q270" s="46">
        <v>26145.867556408855</v>
      </c>
      <c r="R270" s="18">
        <v>24838.574178588413</v>
      </c>
      <c r="S270" s="12">
        <v>25832.117145731951</v>
      </c>
      <c r="T270" s="12">
        <v>26825.660112875485</v>
      </c>
      <c r="U270" s="12">
        <v>27322.431596447255</v>
      </c>
      <c r="V270" s="13"/>
      <c r="W270" s="168"/>
      <c r="X270" s="17"/>
    </row>
    <row r="271" spans="1:24">
      <c r="A271" s="127" t="s">
        <v>260</v>
      </c>
      <c r="B271" s="45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53"/>
      <c r="N271" s="110">
        <f t="shared" si="9"/>
        <v>4</v>
      </c>
      <c r="O271" s="111"/>
      <c r="P271" s="98"/>
      <c r="Q271" s="67" t="s">
        <v>1559</v>
      </c>
      <c r="R271" s="19">
        <v>29999</v>
      </c>
      <c r="S271" s="12">
        <v>31198.959999999999</v>
      </c>
      <c r="T271" s="12">
        <v>32398.92</v>
      </c>
      <c r="U271" s="12">
        <v>32998.9</v>
      </c>
      <c r="V271" s="13"/>
      <c r="W271" s="168"/>
      <c r="X271" s="17"/>
    </row>
    <row r="272" spans="1:24">
      <c r="A272" s="118" t="s">
        <v>261</v>
      </c>
      <c r="B272" s="45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53">
        <v>1</v>
      </c>
      <c r="N272" s="110">
        <f t="shared" si="9"/>
        <v>24</v>
      </c>
      <c r="O272" s="111"/>
      <c r="P272" s="98"/>
      <c r="Q272" s="67" t="s">
        <v>1559</v>
      </c>
      <c r="R272" s="19">
        <v>25000</v>
      </c>
      <c r="S272" s="12">
        <v>26000</v>
      </c>
      <c r="T272" s="12">
        <v>27000</v>
      </c>
      <c r="U272" s="12">
        <v>27500</v>
      </c>
      <c r="V272" s="13"/>
      <c r="W272" s="168"/>
      <c r="X272" s="14">
        <v>250</v>
      </c>
    </row>
    <row r="273" spans="1:24">
      <c r="A273" s="118" t="s">
        <v>262</v>
      </c>
      <c r="B273" s="45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53"/>
      <c r="N273" s="110">
        <f t="shared" si="9"/>
        <v>5</v>
      </c>
      <c r="O273" s="111"/>
      <c r="P273" s="98"/>
      <c r="Q273" s="46">
        <v>39195.714086911241</v>
      </c>
      <c r="R273" s="18">
        <v>37235.928382565682</v>
      </c>
      <c r="S273" s="12">
        <v>38725.365517868311</v>
      </c>
      <c r="T273" s="12">
        <v>40214.802653170933</v>
      </c>
      <c r="U273" s="12">
        <v>40959.521220822251</v>
      </c>
      <c r="V273" s="13"/>
      <c r="W273" s="168"/>
      <c r="X273" s="17"/>
    </row>
    <row r="274" spans="1:24">
      <c r="A274" s="118" t="s">
        <v>263</v>
      </c>
      <c r="B274" s="45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53"/>
      <c r="N274" s="110">
        <f t="shared" si="9"/>
        <v>4</v>
      </c>
      <c r="O274" s="111"/>
      <c r="P274" s="98"/>
      <c r="Q274" s="67" t="s">
        <v>1559</v>
      </c>
      <c r="R274" s="19">
        <v>51000</v>
      </c>
      <c r="S274" s="12">
        <v>53040</v>
      </c>
      <c r="T274" s="12">
        <v>55080</v>
      </c>
      <c r="U274" s="12">
        <v>56100</v>
      </c>
      <c r="V274" s="13"/>
      <c r="W274" s="168"/>
      <c r="X274" s="14">
        <v>250</v>
      </c>
    </row>
    <row r="275" spans="1:24">
      <c r="A275" s="118" t="s">
        <v>264</v>
      </c>
      <c r="B275" s="45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53"/>
      <c r="N275" s="110">
        <f t="shared" si="9"/>
        <v>3</v>
      </c>
      <c r="O275" s="111"/>
      <c r="P275" s="98"/>
      <c r="Q275" s="67" t="s">
        <v>1559</v>
      </c>
      <c r="R275" s="19">
        <v>51000</v>
      </c>
      <c r="S275" s="12">
        <v>53040</v>
      </c>
      <c r="T275" s="12">
        <v>55080</v>
      </c>
      <c r="U275" s="12">
        <v>56100</v>
      </c>
      <c r="V275" s="13"/>
      <c r="W275" s="168"/>
      <c r="X275" s="14">
        <v>250</v>
      </c>
    </row>
    <row r="276" spans="1:24">
      <c r="A276" s="118" t="s">
        <v>265</v>
      </c>
      <c r="B276" s="45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53"/>
      <c r="N276" s="110">
        <f t="shared" si="9"/>
        <v>1</v>
      </c>
      <c r="O276" s="111"/>
      <c r="P276" s="98"/>
      <c r="Q276" s="67" t="s">
        <v>1559</v>
      </c>
      <c r="R276" s="19">
        <v>51000</v>
      </c>
      <c r="S276" s="12">
        <v>53040</v>
      </c>
      <c r="T276" s="12">
        <v>55080</v>
      </c>
      <c r="U276" s="12">
        <v>56100</v>
      </c>
      <c r="V276" s="13"/>
      <c r="W276" s="168"/>
      <c r="X276" s="14">
        <v>250</v>
      </c>
    </row>
    <row r="277" spans="1:24">
      <c r="A277" s="130" t="s">
        <v>266</v>
      </c>
      <c r="B277" s="45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53"/>
      <c r="N277" s="110">
        <f t="shared" si="9"/>
        <v>7</v>
      </c>
      <c r="O277" s="111"/>
      <c r="P277" s="98"/>
      <c r="Q277" s="46">
        <v>30394.582542650354</v>
      </c>
      <c r="R277" s="18">
        <v>28874.853415517835</v>
      </c>
      <c r="S277" s="12">
        <v>30029.847552138548</v>
      </c>
      <c r="T277" s="12">
        <v>31184.841688759261</v>
      </c>
      <c r="U277" s="12">
        <v>31762.338757069618</v>
      </c>
      <c r="V277" s="13"/>
      <c r="W277" s="168"/>
      <c r="X277" s="17"/>
    </row>
    <row r="278" spans="1:24">
      <c r="A278" s="124" t="s">
        <v>267</v>
      </c>
      <c r="B278" s="45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53"/>
      <c r="N278" s="110">
        <f t="shared" si="9"/>
        <v>0</v>
      </c>
      <c r="O278" s="111">
        <v>6</v>
      </c>
      <c r="P278" s="98"/>
      <c r="Q278" s="46">
        <v>30394.582542650354</v>
      </c>
      <c r="R278" s="23">
        <v>30394.582542650354</v>
      </c>
      <c r="S278" s="12">
        <v>31610.365844356369</v>
      </c>
      <c r="T278" s="12">
        <v>32826.14914606238</v>
      </c>
      <c r="U278" s="12">
        <v>33434.040796915389</v>
      </c>
      <c r="V278" s="13"/>
      <c r="W278" s="168"/>
      <c r="X278" s="17"/>
    </row>
    <row r="279" spans="1:24">
      <c r="A279" s="127" t="s">
        <v>268</v>
      </c>
      <c r="B279" s="45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53"/>
      <c r="N279" s="110">
        <f t="shared" si="9"/>
        <v>6</v>
      </c>
      <c r="O279" s="111">
        <v>1</v>
      </c>
      <c r="P279" s="98"/>
      <c r="Q279" s="46">
        <v>30394.582542650354</v>
      </c>
      <c r="R279" s="18">
        <v>28874.853415517835</v>
      </c>
      <c r="S279" s="12">
        <v>30029.847552138548</v>
      </c>
      <c r="T279" s="12">
        <v>31184.841688759261</v>
      </c>
      <c r="U279" s="12">
        <v>31762.338757069618</v>
      </c>
      <c r="V279" s="13"/>
      <c r="W279" s="168"/>
      <c r="X279" s="17"/>
    </row>
    <row r="280" spans="1:24">
      <c r="A280" s="118" t="s">
        <v>269</v>
      </c>
      <c r="B280" s="45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53"/>
      <c r="N280" s="110">
        <f t="shared" si="9"/>
        <v>2</v>
      </c>
      <c r="O280" s="111"/>
      <c r="P280" s="98"/>
      <c r="Q280" s="67" t="s">
        <v>1559</v>
      </c>
      <c r="R280" s="19">
        <v>26000</v>
      </c>
      <c r="S280" s="12">
        <v>27040</v>
      </c>
      <c r="T280" s="12">
        <v>28080</v>
      </c>
      <c r="U280" s="12">
        <v>28600</v>
      </c>
      <c r="V280" s="13"/>
      <c r="W280" s="168"/>
      <c r="X280" s="14">
        <v>250</v>
      </c>
    </row>
    <row r="281" spans="1:24">
      <c r="A281" s="118" t="s">
        <v>270</v>
      </c>
      <c r="B281" s="45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53"/>
      <c r="N281" s="110">
        <f t="shared" si="9"/>
        <v>7</v>
      </c>
      <c r="O281" s="111"/>
      <c r="P281" s="98"/>
      <c r="Q281" s="67" t="s">
        <v>1559</v>
      </c>
      <c r="R281" s="19">
        <v>26000</v>
      </c>
      <c r="S281" s="12">
        <v>27040</v>
      </c>
      <c r="T281" s="12">
        <v>28080</v>
      </c>
      <c r="U281" s="12">
        <v>28600</v>
      </c>
      <c r="V281" s="13"/>
      <c r="W281" s="168"/>
      <c r="X281" s="14">
        <v>250</v>
      </c>
    </row>
    <row r="282" spans="1:24">
      <c r="A282" s="118" t="s">
        <v>271</v>
      </c>
      <c r="B282" s="45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53"/>
      <c r="N282" s="110">
        <f t="shared" si="9"/>
        <v>1</v>
      </c>
      <c r="O282" s="111"/>
      <c r="P282" s="98"/>
      <c r="Q282" s="67" t="s">
        <v>1559</v>
      </c>
      <c r="R282" s="19">
        <v>55000</v>
      </c>
      <c r="S282" s="12">
        <v>57200</v>
      </c>
      <c r="T282" s="12">
        <v>59400</v>
      </c>
      <c r="U282" s="12">
        <v>60500</v>
      </c>
      <c r="V282" s="13"/>
      <c r="W282" s="168"/>
      <c r="X282" s="14">
        <v>250</v>
      </c>
    </row>
    <row r="283" spans="1:24">
      <c r="A283" s="118" t="s">
        <v>272</v>
      </c>
      <c r="B283" s="45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53"/>
      <c r="N283" s="110">
        <f t="shared" si="9"/>
        <v>8</v>
      </c>
      <c r="O283" s="111"/>
      <c r="P283" s="98"/>
      <c r="Q283" s="159">
        <v>269627.34965865395</v>
      </c>
      <c r="R283" s="159">
        <v>242664.61469278857</v>
      </c>
      <c r="S283" s="12">
        <v>252371.19928050012</v>
      </c>
      <c r="T283" s="12">
        <v>262077.78386821167</v>
      </c>
      <c r="U283" s="12">
        <v>266931.07616206742</v>
      </c>
      <c r="V283" s="13"/>
      <c r="W283" s="168"/>
      <c r="X283" s="14">
        <v>250</v>
      </c>
    </row>
    <row r="284" spans="1:24">
      <c r="A284" s="118" t="s">
        <v>273</v>
      </c>
      <c r="B284" s="45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53"/>
      <c r="N284" s="110">
        <f t="shared" si="9"/>
        <v>3</v>
      </c>
      <c r="O284" s="111"/>
      <c r="P284" s="98"/>
      <c r="Q284" s="159">
        <v>152703.40361477379</v>
      </c>
      <c r="R284" s="159">
        <v>137433.06325329642</v>
      </c>
      <c r="S284" s="12">
        <v>142930.38578342827</v>
      </c>
      <c r="T284" s="12">
        <v>148427.70831356014</v>
      </c>
      <c r="U284" s="12">
        <v>151176.36957862607</v>
      </c>
      <c r="V284" s="13"/>
      <c r="W284" s="168"/>
      <c r="X284" s="14">
        <v>250</v>
      </c>
    </row>
    <row r="285" spans="1:24">
      <c r="A285" s="118" t="s">
        <v>275</v>
      </c>
      <c r="B285" s="45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53"/>
      <c r="N285" s="110">
        <f t="shared" si="9"/>
        <v>3</v>
      </c>
      <c r="O285" s="111"/>
      <c r="P285" s="98"/>
      <c r="Q285" s="159">
        <v>91338.158029057871</v>
      </c>
      <c r="R285" s="159">
        <v>82204.342226152075</v>
      </c>
      <c r="S285" s="12">
        <v>85492.515915198164</v>
      </c>
      <c r="T285" s="12">
        <v>88780.689604244239</v>
      </c>
      <c r="U285" s="12">
        <v>90424.776448767283</v>
      </c>
      <c r="V285" s="13"/>
      <c r="W285" s="168"/>
      <c r="X285" s="14">
        <v>250</v>
      </c>
    </row>
    <row r="286" spans="1:24">
      <c r="A286" s="118" t="s">
        <v>274</v>
      </c>
      <c r="B286" s="45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53"/>
      <c r="N286" s="110">
        <f t="shared" si="9"/>
        <v>5</v>
      </c>
      <c r="O286" s="111">
        <v>1</v>
      </c>
      <c r="P286" s="98"/>
      <c r="Q286" s="46">
        <v>57610.337736702524</v>
      </c>
      <c r="R286" s="18">
        <v>54729.820849867399</v>
      </c>
      <c r="S286" s="12">
        <v>56919.013683862097</v>
      </c>
      <c r="T286" s="12">
        <v>59108.206517856794</v>
      </c>
      <c r="U286" s="12">
        <v>60202.802934854139</v>
      </c>
      <c r="V286" s="13"/>
      <c r="W286" s="168"/>
      <c r="X286" s="17"/>
    </row>
    <row r="287" spans="1:24" ht="42" customHeight="1">
      <c r="A287" s="27" t="s">
        <v>1753</v>
      </c>
      <c r="B287" s="45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53"/>
      <c r="N287" s="110">
        <f>SUM(N234:N286)</f>
        <v>303</v>
      </c>
      <c r="O287" s="111"/>
      <c r="P287" s="9"/>
      <c r="Q287" s="67"/>
      <c r="R287" s="19"/>
      <c r="S287" s="12"/>
      <c r="T287" s="12"/>
      <c r="U287" s="12">
        <v>0</v>
      </c>
      <c r="V287" s="13"/>
      <c r="W287" s="168"/>
      <c r="X287" s="17"/>
    </row>
    <row r="288" spans="1:24">
      <c r="A288" s="21" t="s">
        <v>279</v>
      </c>
      <c r="B288" s="45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53"/>
      <c r="N288" s="110">
        <f t="shared" ref="N288:N298" si="10">L288+M288+K288+J288+I288+H288+G288+F288+E288+D288+C288</f>
        <v>8</v>
      </c>
      <c r="O288" s="111"/>
      <c r="P288" s="98"/>
      <c r="Q288" s="46">
        <v>11588.01382984625</v>
      </c>
      <c r="R288" s="23">
        <v>11588.01382984625</v>
      </c>
      <c r="S288" s="12">
        <v>12051.5343830401</v>
      </c>
      <c r="T288" s="12">
        <v>12515.05493623395</v>
      </c>
      <c r="U288" s="12">
        <v>12746.815212830876</v>
      </c>
      <c r="V288" s="13"/>
      <c r="W288" s="168"/>
      <c r="X288" s="17"/>
    </row>
    <row r="289" spans="1:24">
      <c r="A289" s="22" t="s">
        <v>278</v>
      </c>
      <c r="B289" s="45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53"/>
      <c r="N289" s="110">
        <f t="shared" si="10"/>
        <v>0</v>
      </c>
      <c r="O289" s="111">
        <v>5</v>
      </c>
      <c r="P289" s="98"/>
      <c r="Q289" s="46">
        <v>29239.425472541512</v>
      </c>
      <c r="R289" s="23">
        <v>29239.425472541512</v>
      </c>
      <c r="S289" s="12">
        <v>30409.002491443174</v>
      </c>
      <c r="T289" s="12">
        <v>31578.579510344833</v>
      </c>
      <c r="U289" s="12">
        <v>32163.368019795664</v>
      </c>
      <c r="V289" s="13"/>
      <c r="W289" s="168"/>
      <c r="X289" s="17"/>
    </row>
    <row r="290" spans="1:24">
      <c r="A290" s="21" t="s">
        <v>1641</v>
      </c>
      <c r="B290" s="45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53"/>
      <c r="N290" s="110">
        <f t="shared" si="10"/>
        <v>3</v>
      </c>
      <c r="O290" s="111"/>
      <c r="P290" s="98"/>
      <c r="Q290" s="46">
        <v>12757.115157199167</v>
      </c>
      <c r="R290" s="23">
        <v>12757.115157199167</v>
      </c>
      <c r="S290" s="12">
        <v>13267.399763487134</v>
      </c>
      <c r="T290" s="12">
        <v>13777.684369775099</v>
      </c>
      <c r="U290" s="12">
        <v>14032.826672919084</v>
      </c>
      <c r="V290" s="13"/>
      <c r="W290" s="168"/>
      <c r="X290" s="17"/>
    </row>
    <row r="291" spans="1:24">
      <c r="A291" s="21" t="s">
        <v>1518</v>
      </c>
      <c r="B291" s="45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/>
      <c r="J291" s="11"/>
      <c r="K291" s="10"/>
      <c r="L291" s="11"/>
      <c r="M291" s="153"/>
      <c r="N291" s="110">
        <f t="shared" si="10"/>
        <v>1</v>
      </c>
      <c r="O291" s="111"/>
      <c r="P291" s="98"/>
      <c r="Q291" s="67" t="s">
        <v>1559</v>
      </c>
      <c r="R291" s="19">
        <v>35000</v>
      </c>
      <c r="S291" s="12">
        <v>36400</v>
      </c>
      <c r="T291" s="12">
        <v>37800</v>
      </c>
      <c r="U291" s="12">
        <v>38500</v>
      </c>
      <c r="V291" s="13"/>
      <c r="W291" s="168"/>
      <c r="X291" s="17">
        <v>250</v>
      </c>
    </row>
    <row r="292" spans="1:24">
      <c r="A292" s="21" t="s">
        <v>281</v>
      </c>
      <c r="B292" s="45" t="str">
        <f>IFERROR(HYPERLINK(VLOOKUP(A292,ÜRÜNLER!A:C,3,FALSE),VLOOKUP(A292,ÜRÜNLER!A:B,2,FALSE)),"")</f>
        <v>iQ500 Gömme Aspiratör, 86cm, 600m3, Inox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53"/>
      <c r="N292" s="110">
        <f t="shared" si="10"/>
        <v>0</v>
      </c>
      <c r="O292" s="111">
        <v>5</v>
      </c>
      <c r="P292" s="98"/>
      <c r="Q292" s="46">
        <v>39765.61864265646</v>
      </c>
      <c r="R292" s="23">
        <v>39765.61864265646</v>
      </c>
      <c r="S292" s="12">
        <v>41356.243388362716</v>
      </c>
      <c r="T292" s="12">
        <v>42946.86813406898</v>
      </c>
      <c r="U292" s="12">
        <v>43742.180506922108</v>
      </c>
      <c r="V292" s="13"/>
      <c r="W292" s="168"/>
      <c r="X292" s="17"/>
    </row>
    <row r="293" spans="1:24">
      <c r="A293" s="125" t="s">
        <v>280</v>
      </c>
      <c r="B293" s="45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53"/>
      <c r="N293" s="110">
        <f t="shared" si="10"/>
        <v>0</v>
      </c>
      <c r="O293" s="111">
        <v>6</v>
      </c>
      <c r="P293" s="98"/>
      <c r="Q293" s="46">
        <v>44534.104385608312</v>
      </c>
      <c r="R293" s="23">
        <v>44534.104385608312</v>
      </c>
      <c r="S293" s="12">
        <v>46315.468561032641</v>
      </c>
      <c r="T293" s="12">
        <v>48096.832736456978</v>
      </c>
      <c r="U293" s="12">
        <v>48987.514824169142</v>
      </c>
      <c r="V293" s="13"/>
      <c r="W293" s="168"/>
      <c r="X293" s="17"/>
    </row>
    <row r="294" spans="1:24">
      <c r="A294" s="21" t="s">
        <v>276</v>
      </c>
      <c r="B294" s="45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53"/>
      <c r="N294" s="110">
        <f t="shared" si="10"/>
        <v>3</v>
      </c>
      <c r="O294" s="111">
        <v>1</v>
      </c>
      <c r="P294" s="98"/>
      <c r="Q294" s="46">
        <v>7711.0096519718609</v>
      </c>
      <c r="R294" s="23">
        <v>7711.0096519718609</v>
      </c>
      <c r="S294" s="12">
        <v>8019.4500380507352</v>
      </c>
      <c r="T294" s="12">
        <v>8327.8904241296095</v>
      </c>
      <c r="U294" s="12">
        <v>8482.1106171690462</v>
      </c>
      <c r="V294" s="13"/>
      <c r="W294" s="168"/>
      <c r="X294" s="17"/>
    </row>
    <row r="295" spans="1:24">
      <c r="A295" s="21" t="s">
        <v>277</v>
      </c>
      <c r="B295" s="45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53"/>
      <c r="N295" s="110">
        <f t="shared" si="10"/>
        <v>10</v>
      </c>
      <c r="O295" s="111">
        <v>1</v>
      </c>
      <c r="P295" s="98"/>
      <c r="Q295" s="46">
        <v>7713.1786639885086</v>
      </c>
      <c r="R295" s="23">
        <v>7713.1786639885086</v>
      </c>
      <c r="S295" s="12">
        <v>8021.7058105480492</v>
      </c>
      <c r="T295" s="12">
        <v>8330.2329571075898</v>
      </c>
      <c r="U295" s="12">
        <v>8484.4965303873596</v>
      </c>
      <c r="V295" s="13"/>
      <c r="W295" s="168"/>
      <c r="X295" s="17"/>
    </row>
    <row r="296" spans="1:24">
      <c r="A296" s="21" t="s">
        <v>1744</v>
      </c>
      <c r="B296" s="45" t="str">
        <f>IFERROR(HYPERLINK(VLOOKUP(A296,ÜRÜNLER!A:C,3,FALSE),VLOOKUP(A296,ÜRÜNLER!A:B,2,FALSE)),"")</f>
        <v>iQ300 Tam Entegre Davlumbaz, 60cm, 582m3,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53"/>
      <c r="N296" s="110">
        <f t="shared" si="10"/>
        <v>0</v>
      </c>
      <c r="O296" s="111">
        <v>4</v>
      </c>
      <c r="P296" s="98"/>
      <c r="Q296" s="46">
        <v>21841.916397017911</v>
      </c>
      <c r="R296" s="23">
        <v>21841.916397017911</v>
      </c>
      <c r="S296" s="12">
        <v>22715.593052898628</v>
      </c>
      <c r="T296" s="12">
        <v>23589.269708779342</v>
      </c>
      <c r="U296" s="12">
        <v>24026.108036719703</v>
      </c>
      <c r="V296" s="13"/>
      <c r="W296" s="168"/>
      <c r="X296" s="17"/>
    </row>
    <row r="297" spans="1:24">
      <c r="A297" s="21" t="s">
        <v>1747</v>
      </c>
      <c r="B297" s="45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53"/>
      <c r="N297" s="110">
        <f t="shared" si="10"/>
        <v>0</v>
      </c>
      <c r="O297" s="111">
        <v>4</v>
      </c>
      <c r="P297" s="98"/>
      <c r="Q297" s="46">
        <v>33557.056000000004</v>
      </c>
      <c r="R297" s="23">
        <v>33557.056000000004</v>
      </c>
      <c r="S297" s="12">
        <v>34899.338240000005</v>
      </c>
      <c r="T297" s="12">
        <v>36241.620480000005</v>
      </c>
      <c r="U297" s="12">
        <v>36912.761600000005</v>
      </c>
      <c r="V297" s="13"/>
      <c r="W297" s="168"/>
      <c r="X297" s="17"/>
    </row>
    <row r="298" spans="1:24">
      <c r="A298" s="21" t="s">
        <v>1750</v>
      </c>
      <c r="B298" s="45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53"/>
      <c r="N298" s="110">
        <f t="shared" si="10"/>
        <v>0</v>
      </c>
      <c r="O298" s="111">
        <v>4</v>
      </c>
      <c r="P298" s="98"/>
      <c r="Q298" s="46">
        <v>29273.146711917219</v>
      </c>
      <c r="R298" s="23">
        <v>29273.146711917219</v>
      </c>
      <c r="S298" s="12">
        <v>30444.072580393909</v>
      </c>
      <c r="T298" s="12">
        <v>31614.998448870596</v>
      </c>
      <c r="U298" s="12">
        <v>32200.461383108941</v>
      </c>
      <c r="V298" s="13"/>
      <c r="W298" s="168"/>
      <c r="X298" s="17"/>
    </row>
    <row r="299" spans="1:24" ht="30">
      <c r="A299" s="27" t="s">
        <v>282</v>
      </c>
      <c r="B299" s="45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53"/>
      <c r="N299" s="110"/>
      <c r="O299" s="111"/>
      <c r="P299" s="9"/>
      <c r="Q299" s="67"/>
      <c r="R299" s="19"/>
      <c r="S299" s="12"/>
      <c r="T299" s="12"/>
      <c r="U299" s="12">
        <v>0</v>
      </c>
      <c r="V299" s="13"/>
      <c r="W299" s="168"/>
      <c r="X299" s="17"/>
    </row>
    <row r="300" spans="1:24">
      <c r="A300" s="86" t="s">
        <v>1491</v>
      </c>
      <c r="B300" s="45" t="str">
        <f>IFERROR(HYPERLINK(VLOOKUP(A300,ÜRÜNLER!A:C,3,FALSE),VLOOKUP(A300,ÜRÜNLER!A:B,2,FALSE)),"")</f>
        <v>iQ300 Gazlı Ocak, 67cm, Sert Cam, Beyaz</v>
      </c>
      <c r="C300" s="8">
        <v>2</v>
      </c>
      <c r="D300" s="8"/>
      <c r="E300" s="9"/>
      <c r="F300" s="9"/>
      <c r="G300" s="10"/>
      <c r="H300" s="10"/>
      <c r="I300" s="11"/>
      <c r="J300" s="11"/>
      <c r="K300" s="10"/>
      <c r="L300" s="11"/>
      <c r="M300" s="153"/>
      <c r="N300" s="110">
        <f t="shared" ref="N300:N363" si="11">L300+M300+K300+J300+I300+H300+G300+F300+E300+D300+C300</f>
        <v>2</v>
      </c>
      <c r="O300" s="111"/>
      <c r="P300" s="9"/>
      <c r="Q300" s="46">
        <v>15096.459829139936</v>
      </c>
      <c r="R300" s="19">
        <v>15096.459829139936</v>
      </c>
      <c r="S300" s="12">
        <v>15700.318222305534</v>
      </c>
      <c r="T300" s="12">
        <v>16304.176615471131</v>
      </c>
      <c r="U300" s="12">
        <v>16606.105812053931</v>
      </c>
      <c r="V300" s="13"/>
      <c r="W300" s="168"/>
      <c r="X300" s="17"/>
    </row>
    <row r="301" spans="1:24">
      <c r="A301" s="133" t="s">
        <v>283</v>
      </c>
      <c r="B301" s="45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1"/>
      <c r="M301" s="153"/>
      <c r="N301" s="110">
        <f t="shared" si="11"/>
        <v>1</v>
      </c>
      <c r="O301" s="111"/>
      <c r="P301" s="98"/>
      <c r="Q301" s="67" t="s">
        <v>1559</v>
      </c>
      <c r="R301" s="19">
        <v>9000</v>
      </c>
      <c r="S301" s="12">
        <v>9360</v>
      </c>
      <c r="T301" s="12">
        <v>9720</v>
      </c>
      <c r="U301" s="12">
        <v>9900</v>
      </c>
      <c r="V301" s="13"/>
      <c r="W301" s="168"/>
      <c r="X301" s="14">
        <v>250</v>
      </c>
    </row>
    <row r="302" spans="1:24">
      <c r="A302" s="133" t="s">
        <v>284</v>
      </c>
      <c r="B302" s="45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2</v>
      </c>
      <c r="J302" s="11"/>
      <c r="K302" s="10">
        <v>1</v>
      </c>
      <c r="L302" s="11"/>
      <c r="M302" s="153"/>
      <c r="N302" s="110">
        <f t="shared" si="11"/>
        <v>3</v>
      </c>
      <c r="O302" s="111"/>
      <c r="P302" s="98"/>
      <c r="Q302" s="67" t="s">
        <v>1559</v>
      </c>
      <c r="R302" s="19">
        <v>9000</v>
      </c>
      <c r="S302" s="12">
        <v>9360</v>
      </c>
      <c r="T302" s="12">
        <v>9720</v>
      </c>
      <c r="U302" s="12">
        <v>9900</v>
      </c>
      <c r="V302" s="13"/>
      <c r="W302" s="168"/>
      <c r="X302" s="14">
        <v>250</v>
      </c>
    </row>
    <row r="303" spans="1:24">
      <c r="A303" s="158" t="s">
        <v>1642</v>
      </c>
      <c r="B303" s="45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53"/>
      <c r="N303" s="110">
        <f t="shared" si="11"/>
        <v>0</v>
      </c>
      <c r="O303" s="111"/>
      <c r="P303" s="98"/>
      <c r="Q303" s="67" t="s">
        <v>1559</v>
      </c>
      <c r="R303" s="19">
        <v>6000</v>
      </c>
      <c r="S303" s="12">
        <v>6240</v>
      </c>
      <c r="T303" s="12">
        <v>6480</v>
      </c>
      <c r="U303" s="12">
        <v>6600</v>
      </c>
      <c r="V303" s="13"/>
      <c r="W303" s="168"/>
      <c r="X303" s="17"/>
    </row>
    <row r="304" spans="1:24">
      <c r="A304" s="158" t="s">
        <v>1508</v>
      </c>
      <c r="B304" s="45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53"/>
      <c r="N304" s="110">
        <f t="shared" si="11"/>
        <v>0</v>
      </c>
      <c r="O304" s="111"/>
      <c r="P304" s="98"/>
      <c r="Q304" s="67" t="s">
        <v>1559</v>
      </c>
      <c r="R304" s="19">
        <v>15000</v>
      </c>
      <c r="S304" s="12">
        <v>15600</v>
      </c>
      <c r="T304" s="12">
        <v>16200</v>
      </c>
      <c r="U304" s="12">
        <v>16500</v>
      </c>
      <c r="V304" s="13"/>
      <c r="W304" s="168"/>
      <c r="X304" s="17"/>
    </row>
    <row r="305" spans="1:24">
      <c r="A305" s="158" t="s">
        <v>292</v>
      </c>
      <c r="B305" s="45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53"/>
      <c r="N305" s="110">
        <f t="shared" si="11"/>
        <v>2</v>
      </c>
      <c r="O305" s="111"/>
      <c r="P305" s="98"/>
      <c r="Q305" s="46">
        <v>21396.457539553983</v>
      </c>
      <c r="R305" s="19">
        <v>21396.457539553983</v>
      </c>
      <c r="S305" s="12">
        <v>22252.315841136144</v>
      </c>
      <c r="T305" s="12">
        <v>23108.174142718301</v>
      </c>
      <c r="U305" s="12">
        <v>23536.103293509383</v>
      </c>
      <c r="V305" s="13"/>
      <c r="W305" s="168"/>
      <c r="X305" s="17"/>
    </row>
    <row r="306" spans="1:24">
      <c r="A306" s="158" t="s">
        <v>1643</v>
      </c>
      <c r="B306" s="45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53"/>
      <c r="N306" s="110">
        <f t="shared" si="11"/>
        <v>4</v>
      </c>
      <c r="O306" s="111"/>
      <c r="P306" s="98"/>
      <c r="Q306" s="67" t="s">
        <v>1559</v>
      </c>
      <c r="R306" s="19">
        <v>12500</v>
      </c>
      <c r="S306" s="12">
        <v>13000</v>
      </c>
      <c r="T306" s="12">
        <v>13500</v>
      </c>
      <c r="U306" s="12">
        <v>13750</v>
      </c>
      <c r="V306" s="13"/>
      <c r="W306" s="168"/>
      <c r="X306" s="17"/>
    </row>
    <row r="307" spans="1:24">
      <c r="A307" s="158" t="s">
        <v>1367</v>
      </c>
      <c r="B307" s="45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53"/>
      <c r="N307" s="110">
        <f t="shared" si="11"/>
        <v>6</v>
      </c>
      <c r="O307" s="111"/>
      <c r="P307" s="98"/>
      <c r="Q307" s="67" t="s">
        <v>1559</v>
      </c>
      <c r="R307" s="19">
        <v>13000</v>
      </c>
      <c r="S307" s="12">
        <v>13520</v>
      </c>
      <c r="T307" s="12">
        <v>14040</v>
      </c>
      <c r="U307" s="12">
        <v>14300</v>
      </c>
      <c r="V307" s="13"/>
      <c r="W307" s="168"/>
      <c r="X307" s="17"/>
    </row>
    <row r="308" spans="1:24">
      <c r="A308" s="158" t="s">
        <v>1644</v>
      </c>
      <c r="B308" s="45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53"/>
      <c r="N308" s="110">
        <f t="shared" si="11"/>
        <v>4</v>
      </c>
      <c r="O308" s="111"/>
      <c r="P308" s="98"/>
      <c r="Q308" s="67" t="s">
        <v>1559</v>
      </c>
      <c r="R308" s="19">
        <v>12500</v>
      </c>
      <c r="S308" s="12">
        <v>13000</v>
      </c>
      <c r="T308" s="12">
        <v>13500</v>
      </c>
      <c r="U308" s="12">
        <v>13750</v>
      </c>
      <c r="V308" s="13"/>
      <c r="W308" s="168"/>
      <c r="X308" s="17"/>
    </row>
    <row r="309" spans="1:24">
      <c r="A309" s="117" t="s">
        <v>285</v>
      </c>
      <c r="B309" s="45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53"/>
      <c r="N309" s="110">
        <f t="shared" si="11"/>
        <v>6</v>
      </c>
      <c r="O309" s="111"/>
      <c r="P309" s="98"/>
      <c r="Q309" s="67" t="s">
        <v>1559</v>
      </c>
      <c r="R309" s="19">
        <v>7500</v>
      </c>
      <c r="S309" s="12">
        <v>7800</v>
      </c>
      <c r="T309" s="12">
        <v>8100</v>
      </c>
      <c r="U309" s="12">
        <v>8250</v>
      </c>
      <c r="V309" s="13"/>
      <c r="W309" s="168"/>
      <c r="X309" s="14">
        <v>250</v>
      </c>
    </row>
    <row r="310" spans="1:24">
      <c r="A310" s="117" t="s">
        <v>286</v>
      </c>
      <c r="B310" s="45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53"/>
      <c r="N310" s="110">
        <f t="shared" si="11"/>
        <v>3</v>
      </c>
      <c r="O310" s="111"/>
      <c r="P310" s="98"/>
      <c r="Q310" s="67" t="s">
        <v>1559</v>
      </c>
      <c r="R310" s="19">
        <v>9000</v>
      </c>
      <c r="S310" s="12">
        <v>9360</v>
      </c>
      <c r="T310" s="12">
        <v>9720</v>
      </c>
      <c r="U310" s="12">
        <v>9900</v>
      </c>
      <c r="V310" s="13"/>
      <c r="W310" s="168"/>
      <c r="X310" s="14">
        <v>250</v>
      </c>
    </row>
    <row r="311" spans="1:24">
      <c r="A311" s="117" t="s">
        <v>287</v>
      </c>
      <c r="B311" s="45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53"/>
      <c r="N311" s="110">
        <f t="shared" si="11"/>
        <v>7</v>
      </c>
      <c r="O311" s="111"/>
      <c r="P311" s="98"/>
      <c r="Q311" s="67" t="s">
        <v>1559</v>
      </c>
      <c r="R311" s="19">
        <v>7500</v>
      </c>
      <c r="S311" s="12">
        <v>7800</v>
      </c>
      <c r="T311" s="12">
        <v>8100</v>
      </c>
      <c r="U311" s="12">
        <v>8250</v>
      </c>
      <c r="V311" s="13"/>
      <c r="W311" s="168"/>
      <c r="X311" s="14">
        <v>250</v>
      </c>
    </row>
    <row r="312" spans="1:24">
      <c r="A312" s="133" t="s">
        <v>288</v>
      </c>
      <c r="B312" s="45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53"/>
      <c r="N312" s="110">
        <f t="shared" si="11"/>
        <v>1</v>
      </c>
      <c r="O312" s="111"/>
      <c r="P312" s="98"/>
      <c r="Q312" s="67" t="s">
        <v>1559</v>
      </c>
      <c r="R312" s="19">
        <v>32000</v>
      </c>
      <c r="S312" s="12">
        <v>33280</v>
      </c>
      <c r="T312" s="12">
        <v>34560</v>
      </c>
      <c r="U312" s="12">
        <v>35200</v>
      </c>
      <c r="V312" s="13"/>
      <c r="W312" s="168"/>
      <c r="X312" s="14">
        <v>250</v>
      </c>
    </row>
    <row r="313" spans="1:24">
      <c r="A313" s="118" t="s">
        <v>290</v>
      </c>
      <c r="B313" s="45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53"/>
      <c r="N313" s="110">
        <f t="shared" si="11"/>
        <v>1</v>
      </c>
      <c r="O313" s="111"/>
      <c r="P313" s="98"/>
      <c r="Q313" s="67" t="s">
        <v>1559</v>
      </c>
      <c r="R313" s="19">
        <v>20000</v>
      </c>
      <c r="S313" s="12">
        <v>20800</v>
      </c>
      <c r="T313" s="12">
        <v>21600</v>
      </c>
      <c r="U313" s="12">
        <v>22000</v>
      </c>
      <c r="V313" s="13"/>
      <c r="W313" s="168"/>
      <c r="X313" s="14">
        <v>250</v>
      </c>
    </row>
    <row r="314" spans="1:24">
      <c r="A314" s="118" t="s">
        <v>291</v>
      </c>
      <c r="B314" s="45" t="str">
        <f>IFERROR(HYPERLINK(VLOOKUP(A314,ÜRÜNLER!A:C,3,FALSE),VLOOKUP(A314,ÜRÜNLER!A:B,2,FALSE)),"")</f>
        <v>iQ300 Gazlı Ocak, 60cm, Sert Cam, Beyaz, Döküm</v>
      </c>
      <c r="C314" s="8">
        <v>6</v>
      </c>
      <c r="D314" s="8"/>
      <c r="E314" s="9"/>
      <c r="F314" s="9"/>
      <c r="G314" s="10"/>
      <c r="H314" s="10"/>
      <c r="I314" s="11"/>
      <c r="J314" s="11"/>
      <c r="K314" s="10"/>
      <c r="L314" s="11"/>
      <c r="M314" s="153"/>
      <c r="N314" s="110">
        <f t="shared" si="11"/>
        <v>6</v>
      </c>
      <c r="O314" s="111"/>
      <c r="P314" s="98"/>
      <c r="Q314" s="46">
        <v>21396.457539553983</v>
      </c>
      <c r="R314" s="18">
        <v>20326.634662576285</v>
      </c>
      <c r="S314" s="12">
        <v>21139.700049079336</v>
      </c>
      <c r="T314" s="12">
        <v>21952.765435582387</v>
      </c>
      <c r="U314" s="12">
        <v>22359.298128833914</v>
      </c>
      <c r="V314" s="13"/>
      <c r="W314" s="168"/>
      <c r="X314" s="19"/>
    </row>
    <row r="315" spans="1:24">
      <c r="A315" s="124" t="s">
        <v>293</v>
      </c>
      <c r="B315" s="45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53"/>
      <c r="N315" s="110">
        <f t="shared" si="11"/>
        <v>1</v>
      </c>
      <c r="O315" s="111"/>
      <c r="P315" s="98"/>
      <c r="Q315" s="67" t="s">
        <v>1559</v>
      </c>
      <c r="R315" s="19">
        <v>20000</v>
      </c>
      <c r="S315" s="12">
        <v>20800</v>
      </c>
      <c r="T315" s="12">
        <v>21600</v>
      </c>
      <c r="U315" s="12">
        <v>22000</v>
      </c>
      <c r="V315" s="13"/>
      <c r="W315" s="168"/>
      <c r="X315" s="14">
        <v>250</v>
      </c>
    </row>
    <row r="316" spans="1:24">
      <c r="A316" s="127" t="s">
        <v>294</v>
      </c>
      <c r="B316" s="45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53"/>
      <c r="N316" s="110">
        <f t="shared" si="11"/>
        <v>3</v>
      </c>
      <c r="O316" s="111"/>
      <c r="P316" s="98"/>
      <c r="Q316" s="67" t="s">
        <v>1559</v>
      </c>
      <c r="R316" s="19">
        <v>17000</v>
      </c>
      <c r="S316" s="12">
        <v>17680</v>
      </c>
      <c r="T316" s="12">
        <v>18360</v>
      </c>
      <c r="U316" s="12">
        <v>18700</v>
      </c>
      <c r="V316" s="13"/>
      <c r="W316" s="168"/>
      <c r="X316" s="14">
        <v>250</v>
      </c>
    </row>
    <row r="317" spans="1:24">
      <c r="A317" s="127" t="s">
        <v>295</v>
      </c>
      <c r="B317" s="45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2</v>
      </c>
      <c r="L317" s="11"/>
      <c r="M317" s="153"/>
      <c r="N317" s="110">
        <f t="shared" si="11"/>
        <v>26</v>
      </c>
      <c r="O317" s="111"/>
      <c r="P317" s="98"/>
      <c r="Q317" s="67" t="s">
        <v>1559</v>
      </c>
      <c r="R317" s="19">
        <v>16500</v>
      </c>
      <c r="S317" s="12">
        <v>17160</v>
      </c>
      <c r="T317" s="12">
        <v>17820</v>
      </c>
      <c r="U317" s="12">
        <v>18150</v>
      </c>
      <c r="V317" s="13"/>
      <c r="W317" s="168"/>
      <c r="X317" s="14">
        <v>250</v>
      </c>
    </row>
    <row r="318" spans="1:24">
      <c r="A318" s="134" t="s">
        <v>296</v>
      </c>
      <c r="B318" s="45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53"/>
      <c r="N318" s="110">
        <f t="shared" si="11"/>
        <v>8</v>
      </c>
      <c r="O318" s="111"/>
      <c r="P318" s="98"/>
      <c r="Q318" s="67" t="s">
        <v>1559</v>
      </c>
      <c r="R318" s="19">
        <v>12000</v>
      </c>
      <c r="S318" s="12">
        <v>12480</v>
      </c>
      <c r="T318" s="12">
        <v>12960</v>
      </c>
      <c r="U318" s="12">
        <v>13200</v>
      </c>
      <c r="V318" s="13"/>
      <c r="W318" s="168"/>
      <c r="X318" s="17"/>
    </row>
    <row r="319" spans="1:24">
      <c r="A319" s="118" t="s">
        <v>297</v>
      </c>
      <c r="B319" s="45" t="str">
        <f>IFERROR(HYPERLINK(VLOOKUP(A319,ÜRÜNLER!A:C,3,FALSE),VLOOKUP(A319,ÜRÜNLER!A:B,2,FALSE)),"")</f>
        <v>iQ300 Gazlı Ocak, 60cm, Sert Cam, Beyaz</v>
      </c>
      <c r="C319" s="8"/>
      <c r="D319" s="8"/>
      <c r="E319" s="9"/>
      <c r="F319" s="9"/>
      <c r="G319" s="10"/>
      <c r="H319" s="10"/>
      <c r="I319" s="11"/>
      <c r="J319" s="11"/>
      <c r="K319" s="10"/>
      <c r="L319" s="11"/>
      <c r="M319" s="153"/>
      <c r="N319" s="110">
        <f t="shared" si="11"/>
        <v>0</v>
      </c>
      <c r="O319" s="111">
        <v>15</v>
      </c>
      <c r="P319" s="98"/>
      <c r="Q319" s="46">
        <v>13503.039617528162</v>
      </c>
      <c r="R319" s="23">
        <v>13503.039617528162</v>
      </c>
      <c r="S319" s="12">
        <v>14043.161202229288</v>
      </c>
      <c r="T319" s="12">
        <v>14583.282786930415</v>
      </c>
      <c r="U319" s="12">
        <v>14853.343579280978</v>
      </c>
      <c r="V319" s="13"/>
      <c r="W319" s="168"/>
      <c r="X319" s="17"/>
    </row>
    <row r="320" spans="1:24">
      <c r="A320" s="135" t="s">
        <v>298</v>
      </c>
      <c r="B320" s="45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/>
      <c r="L320" s="11"/>
      <c r="M320" s="153"/>
      <c r="N320" s="110">
        <f t="shared" si="11"/>
        <v>0</v>
      </c>
      <c r="O320" s="111"/>
      <c r="P320" s="98"/>
      <c r="Q320" s="67" t="s">
        <v>1559</v>
      </c>
      <c r="R320" s="19">
        <v>10000</v>
      </c>
      <c r="S320" s="12">
        <v>10400</v>
      </c>
      <c r="T320" s="12">
        <v>10800</v>
      </c>
      <c r="U320" s="12">
        <v>11000</v>
      </c>
      <c r="V320" s="13"/>
      <c r="W320" s="168"/>
      <c r="X320" s="17">
        <v>250</v>
      </c>
    </row>
    <row r="321" spans="1:24">
      <c r="A321" s="118" t="s">
        <v>299</v>
      </c>
      <c r="B321" s="45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>
        <v>1</v>
      </c>
      <c r="L321" s="11"/>
      <c r="M321" s="153"/>
      <c r="N321" s="110">
        <f t="shared" si="11"/>
        <v>3</v>
      </c>
      <c r="O321" s="111"/>
      <c r="P321" s="98"/>
      <c r="Q321" s="67" t="s">
        <v>1559</v>
      </c>
      <c r="R321" s="19">
        <v>10000</v>
      </c>
      <c r="S321" s="12">
        <v>10400</v>
      </c>
      <c r="T321" s="12">
        <v>10800</v>
      </c>
      <c r="U321" s="12">
        <v>11000</v>
      </c>
      <c r="V321" s="13"/>
      <c r="W321" s="168"/>
      <c r="X321" s="17">
        <v>250</v>
      </c>
    </row>
    <row r="322" spans="1:24">
      <c r="A322" s="118" t="s">
        <v>300</v>
      </c>
      <c r="B322" s="45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1"/>
      <c r="M322" s="153"/>
      <c r="N322" s="110">
        <f t="shared" si="11"/>
        <v>1</v>
      </c>
      <c r="O322" s="111"/>
      <c r="P322" s="98"/>
      <c r="Q322" s="67" t="s">
        <v>1559</v>
      </c>
      <c r="R322" s="19">
        <v>10000</v>
      </c>
      <c r="S322" s="12">
        <v>10400</v>
      </c>
      <c r="T322" s="12">
        <v>10800</v>
      </c>
      <c r="U322" s="12">
        <v>11000</v>
      </c>
      <c r="V322" s="13"/>
      <c r="W322" s="168"/>
      <c r="X322" s="17">
        <v>250</v>
      </c>
    </row>
    <row r="323" spans="1:24">
      <c r="A323" s="124" t="s">
        <v>301</v>
      </c>
      <c r="B323" s="45" t="str">
        <f>IFERROR(HYPERLINK(VLOOKUP(A323,ÜRÜNLER!A:C,3,FALSE),VLOOKUP(A323,ÜRÜNLER!A:B,2,FALSE)),"")</f>
        <v>iQ300 Gazlı Ocak, 60cm, Sert Cam, Siyah</v>
      </c>
      <c r="C323" s="8">
        <v>18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53"/>
      <c r="N323" s="110">
        <f t="shared" si="11"/>
        <v>20</v>
      </c>
      <c r="O323" s="111"/>
      <c r="P323" s="98"/>
      <c r="Q323" s="46">
        <v>13503.039617528162</v>
      </c>
      <c r="R323" s="23">
        <v>13503.039617528162</v>
      </c>
      <c r="S323" s="12">
        <v>14043.161202229288</v>
      </c>
      <c r="T323" s="12">
        <v>14583.282786930415</v>
      </c>
      <c r="U323" s="12">
        <v>14853.343579280978</v>
      </c>
      <c r="V323" s="13"/>
      <c r="W323" s="168"/>
      <c r="X323" s="17"/>
    </row>
    <row r="324" spans="1:24">
      <c r="A324" s="127" t="s">
        <v>302</v>
      </c>
      <c r="B324" s="45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53"/>
      <c r="N324" s="110">
        <f t="shared" si="11"/>
        <v>1</v>
      </c>
      <c r="O324" s="111"/>
      <c r="P324" s="98"/>
      <c r="Q324" s="67" t="s">
        <v>1559</v>
      </c>
      <c r="R324" s="19">
        <v>12000</v>
      </c>
      <c r="S324" s="12">
        <v>12480</v>
      </c>
      <c r="T324" s="12">
        <v>12960</v>
      </c>
      <c r="U324" s="12">
        <v>13200</v>
      </c>
      <c r="V324" s="13"/>
      <c r="W324" s="168"/>
      <c r="X324" s="17">
        <v>250</v>
      </c>
    </row>
    <row r="325" spans="1:24">
      <c r="A325" s="127" t="s">
        <v>303</v>
      </c>
      <c r="B325" s="45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53"/>
      <c r="N325" s="110">
        <f t="shared" si="11"/>
        <v>4</v>
      </c>
      <c r="O325" s="111"/>
      <c r="P325" s="98"/>
      <c r="Q325" s="67" t="s">
        <v>1559</v>
      </c>
      <c r="R325" s="19">
        <v>17999</v>
      </c>
      <c r="S325" s="12">
        <v>18718.96</v>
      </c>
      <c r="T325" s="12">
        <v>19438.919999999998</v>
      </c>
      <c r="U325" s="12">
        <v>19798.900000000001</v>
      </c>
      <c r="V325" s="13"/>
      <c r="W325" s="168"/>
      <c r="X325" s="17">
        <v>250</v>
      </c>
    </row>
    <row r="326" spans="1:24">
      <c r="A326" s="127" t="s">
        <v>304</v>
      </c>
      <c r="B326" s="45" t="str">
        <f>IFERROR(HYPERLINK(VLOOKUP(A326,ÜRÜNLER!A:C,3,FALSE),VLOOKUP(A326,ÜRÜNLER!A:B,2,FALSE)),"")</f>
        <v>iQ300 Gazlı Ocak, 60cm, Sert Cam, Antrasit</v>
      </c>
      <c r="C326" s="8">
        <v>6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53">
        <v>1</v>
      </c>
      <c r="N326" s="110">
        <f t="shared" si="11"/>
        <v>9</v>
      </c>
      <c r="O326" s="111"/>
      <c r="P326" s="98"/>
      <c r="Q326" s="46">
        <v>13503.039617528162</v>
      </c>
      <c r="R326" s="23">
        <v>13503.039617528162</v>
      </c>
      <c r="S326" s="12">
        <v>14043.161202229288</v>
      </c>
      <c r="T326" s="12">
        <v>14583.282786930415</v>
      </c>
      <c r="U326" s="12">
        <v>14853.343579280978</v>
      </c>
      <c r="V326" s="13"/>
      <c r="W326" s="168"/>
      <c r="X326" s="17"/>
    </row>
    <row r="327" spans="1:24">
      <c r="A327" s="127" t="s">
        <v>305</v>
      </c>
      <c r="B327" s="45" t="str">
        <f>IFERROR(HYPERLINK(VLOOKUP(A327,ÜRÜNLER!A:C,3,FALSE),VLOOKUP(A327,ÜRÜNLER!A:B,2,FALSE)),"")</f>
        <v>iQ300 Gazlı Ocak, 60cm, Sert Cam, Antrasit Gri</v>
      </c>
      <c r="C327" s="8">
        <v>13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53"/>
      <c r="N327" s="110">
        <f t="shared" si="11"/>
        <v>16</v>
      </c>
      <c r="O327" s="111"/>
      <c r="P327" s="98"/>
      <c r="Q327" s="67" t="s">
        <v>1559</v>
      </c>
      <c r="R327" s="19">
        <v>12000</v>
      </c>
      <c r="S327" s="12">
        <v>12480</v>
      </c>
      <c r="T327" s="12">
        <v>12960</v>
      </c>
      <c r="U327" s="12">
        <v>13200</v>
      </c>
      <c r="V327" s="13"/>
      <c r="W327" s="168"/>
      <c r="X327" s="14">
        <v>250</v>
      </c>
    </row>
    <row r="328" spans="1:24">
      <c r="A328" s="21" t="s">
        <v>306</v>
      </c>
      <c r="B328" s="45" t="str">
        <f>IFERROR(HYPERLINK(VLOOKUP(A328,ÜRÜNLER!A:C,3,FALSE),VLOOKUP(A328,ÜRÜNLER!A:B,2,FALSE)),"")</f>
        <v>iQ300 Gazlı Ocak, 67cm, Sert Cam, Beyaz, Wok</v>
      </c>
      <c r="C328" s="8">
        <v>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53"/>
      <c r="N328" s="110">
        <f t="shared" si="11"/>
        <v>9</v>
      </c>
      <c r="O328" s="111">
        <v>10</v>
      </c>
      <c r="P328" s="98"/>
      <c r="Q328" s="46">
        <v>18880.676496696815</v>
      </c>
      <c r="R328" s="23">
        <v>18880.676496696815</v>
      </c>
      <c r="S328" s="12">
        <v>19635.903556564688</v>
      </c>
      <c r="T328" s="12">
        <v>20391.130616432562</v>
      </c>
      <c r="U328" s="12">
        <v>20768.744146366495</v>
      </c>
      <c r="V328" s="13"/>
      <c r="W328" s="168"/>
      <c r="X328" s="17"/>
    </row>
    <row r="329" spans="1:24">
      <c r="A329" s="21" t="s">
        <v>307</v>
      </c>
      <c r="B329" s="45" t="str">
        <f>IFERROR(HYPERLINK(VLOOKUP(A329,ÜRÜNLER!A:C,3,FALSE),VLOOKUP(A329,ÜRÜNLER!A:B,2,FALSE)),"")</f>
        <v>iQ300 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/>
      <c r="L329" s="11"/>
      <c r="M329" s="153"/>
      <c r="N329" s="110">
        <f t="shared" si="11"/>
        <v>0</v>
      </c>
      <c r="O329" s="111">
        <v>10</v>
      </c>
      <c r="P329" s="98"/>
      <c r="Q329" s="46">
        <v>15096.459829139936</v>
      </c>
      <c r="R329" s="23">
        <v>15096.459829139936</v>
      </c>
      <c r="S329" s="12">
        <v>15700.318222305534</v>
      </c>
      <c r="T329" s="12">
        <v>16304.176615471131</v>
      </c>
      <c r="U329" s="12">
        <v>16606.105812053931</v>
      </c>
      <c r="V329" s="13"/>
      <c r="W329" s="168"/>
      <c r="X329" s="17"/>
    </row>
    <row r="330" spans="1:24">
      <c r="A330" s="21" t="s">
        <v>308</v>
      </c>
      <c r="B330" s="45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53"/>
      <c r="N330" s="110">
        <f t="shared" si="11"/>
        <v>1</v>
      </c>
      <c r="O330" s="111"/>
      <c r="P330" s="98"/>
      <c r="Q330" s="67" t="s">
        <v>1559</v>
      </c>
      <c r="R330" s="19">
        <v>15000</v>
      </c>
      <c r="S330" s="12">
        <v>15600</v>
      </c>
      <c r="T330" s="12">
        <v>16200</v>
      </c>
      <c r="U330" s="12">
        <v>16500</v>
      </c>
      <c r="V330" s="13"/>
      <c r="W330" s="168"/>
      <c r="X330" s="14">
        <v>250</v>
      </c>
    </row>
    <row r="331" spans="1:24">
      <c r="A331" s="136" t="s">
        <v>309</v>
      </c>
      <c r="B331" s="45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53"/>
      <c r="N331" s="110">
        <f t="shared" si="11"/>
        <v>7</v>
      </c>
      <c r="O331" s="111"/>
      <c r="P331" s="98"/>
      <c r="Q331" s="67" t="s">
        <v>1559</v>
      </c>
      <c r="R331" s="19">
        <v>16000</v>
      </c>
      <c r="S331" s="12">
        <v>16640</v>
      </c>
      <c r="T331" s="12">
        <v>17280</v>
      </c>
      <c r="U331" s="12">
        <v>17600</v>
      </c>
      <c r="V331" s="13"/>
      <c r="W331" s="168"/>
      <c r="X331" s="14">
        <v>250</v>
      </c>
    </row>
    <row r="332" spans="1:24">
      <c r="A332" s="21" t="s">
        <v>310</v>
      </c>
      <c r="B332" s="45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1"/>
      <c r="M332" s="153"/>
      <c r="N332" s="110">
        <f t="shared" si="11"/>
        <v>1</v>
      </c>
      <c r="O332" s="111"/>
      <c r="P332" s="98"/>
      <c r="Q332" s="67" t="s">
        <v>1559</v>
      </c>
      <c r="R332" s="19">
        <v>18000</v>
      </c>
      <c r="S332" s="12">
        <v>18720</v>
      </c>
      <c r="T332" s="12">
        <v>19440</v>
      </c>
      <c r="U332" s="12">
        <v>19800</v>
      </c>
      <c r="V332" s="13"/>
      <c r="W332" s="168"/>
      <c r="X332" s="14">
        <v>250</v>
      </c>
    </row>
    <row r="333" spans="1:24">
      <c r="A333" s="21" t="s">
        <v>311</v>
      </c>
      <c r="B333" s="45" t="str">
        <f>IFERROR(HYPERLINK(VLOOKUP(A333,ÜRÜNLER!A:C,3,FALSE),VLOOKUP(A333,ÜRÜNLER!A:B,2,FALSE)),"")</f>
        <v>iQ300 Gazlı Ocak, 67cm, Sert Cam, Siyah, Wok</v>
      </c>
      <c r="C333" s="8">
        <v>14</v>
      </c>
      <c r="D333" s="8"/>
      <c r="E333" s="9"/>
      <c r="F333" s="9"/>
      <c r="G333" s="10"/>
      <c r="H333" s="10"/>
      <c r="I333" s="11"/>
      <c r="J333" s="11"/>
      <c r="K333" s="10"/>
      <c r="L333" s="11"/>
      <c r="M333" s="153"/>
      <c r="N333" s="110">
        <f t="shared" si="11"/>
        <v>14</v>
      </c>
      <c r="O333" s="111">
        <v>3</v>
      </c>
      <c r="P333" s="98"/>
      <c r="Q333" s="46">
        <v>18880.676496696815</v>
      </c>
      <c r="R333" s="46">
        <v>18880.676496696815</v>
      </c>
      <c r="S333" s="12">
        <v>19635.903556564688</v>
      </c>
      <c r="T333" s="12">
        <v>20391.130616432562</v>
      </c>
      <c r="U333" s="12">
        <v>20768.744146366495</v>
      </c>
      <c r="V333" s="13"/>
      <c r="W333" s="168"/>
      <c r="X333" s="17"/>
    </row>
    <row r="334" spans="1:24">
      <c r="A334" s="21" t="s">
        <v>312</v>
      </c>
      <c r="B334" s="45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53"/>
      <c r="N334" s="110">
        <f t="shared" si="11"/>
        <v>5</v>
      </c>
      <c r="O334" s="111"/>
      <c r="P334" s="98"/>
      <c r="Q334" s="67" t="s">
        <v>1559</v>
      </c>
      <c r="R334" s="19">
        <v>14000</v>
      </c>
      <c r="S334" s="12">
        <v>14560</v>
      </c>
      <c r="T334" s="12">
        <v>15120</v>
      </c>
      <c r="U334" s="12">
        <v>15400</v>
      </c>
      <c r="V334" s="13"/>
      <c r="W334" s="168"/>
      <c r="X334" s="14">
        <v>250</v>
      </c>
    </row>
    <row r="335" spans="1:24">
      <c r="A335" s="21" t="s">
        <v>313</v>
      </c>
      <c r="B335" s="45" t="str">
        <f>IFERROR(HYPERLINK(VLOOKUP(A335,ÜRÜNLER!A:C,3,FALSE),VLOOKUP(A335,ÜRÜNLER!A:B,2,FALSE)),"")</f>
        <v>iQ300 Gazlı Ocak, 67cm, Sert Cam, Siyah</v>
      </c>
      <c r="C335" s="8">
        <v>16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53"/>
      <c r="N335" s="110">
        <f t="shared" si="11"/>
        <v>19</v>
      </c>
      <c r="O335" s="111"/>
      <c r="P335" s="98"/>
      <c r="Q335" s="46">
        <v>15096.459829139936</v>
      </c>
      <c r="R335" s="23">
        <v>15096.459829139936</v>
      </c>
      <c r="S335" s="12">
        <v>15700.318222305534</v>
      </c>
      <c r="T335" s="12">
        <v>16304.176615471131</v>
      </c>
      <c r="U335" s="12">
        <v>16606.105812053931</v>
      </c>
      <c r="V335" s="13"/>
      <c r="W335" s="168"/>
      <c r="X335" s="17"/>
    </row>
    <row r="336" spans="1:24">
      <c r="A336" s="127" t="s">
        <v>314</v>
      </c>
      <c r="B336" s="45" t="str">
        <f>IFERROR(HYPERLINK(VLOOKUP(A336,ÜRÜNLER!A:C,3,FALSE),VLOOKUP(A336,ÜRÜNLER!A:B,2,FALSE)),"")</f>
        <v>iQ300 Gazlı Ocak, 67cm, Sert Cam, Antrasit Gri, Wok</v>
      </c>
      <c r="C336" s="8">
        <v>9</v>
      </c>
      <c r="D336" s="8"/>
      <c r="E336" s="9"/>
      <c r="F336" s="9"/>
      <c r="G336" s="10"/>
      <c r="H336" s="10"/>
      <c r="I336" s="11"/>
      <c r="J336" s="11"/>
      <c r="K336" s="10"/>
      <c r="L336" s="11"/>
      <c r="M336" s="153"/>
      <c r="N336" s="110">
        <f t="shared" si="11"/>
        <v>9</v>
      </c>
      <c r="O336" s="111">
        <v>6</v>
      </c>
      <c r="P336" s="98"/>
      <c r="Q336" s="46">
        <v>18880.676496696815</v>
      </c>
      <c r="R336" s="23">
        <v>18880.676496696815</v>
      </c>
      <c r="S336" s="12">
        <v>19635.903556564688</v>
      </c>
      <c r="T336" s="12">
        <v>20391.130616432562</v>
      </c>
      <c r="U336" s="12">
        <v>20768.744146366495</v>
      </c>
      <c r="V336" s="13"/>
      <c r="W336" s="168"/>
      <c r="X336" s="17"/>
    </row>
    <row r="337" spans="1:24">
      <c r="A337" s="127" t="s">
        <v>315</v>
      </c>
      <c r="B337" s="45" t="str">
        <f>IFERROR(HYPERLINK(VLOOKUP(A337,ÜRÜNLER!A:C,3,FALSE),VLOOKUP(A337,ÜRÜNLER!A:B,2,FALSE)),"")</f>
        <v>iQ100 Gazlı Ocak, 67cm, Sert Cam, Titanyum Gri</v>
      </c>
      <c r="C337" s="8">
        <v>13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53"/>
      <c r="N337" s="110">
        <f t="shared" si="11"/>
        <v>15</v>
      </c>
      <c r="O337" s="111"/>
      <c r="P337" s="98"/>
      <c r="Q337" s="67" t="s">
        <v>1559</v>
      </c>
      <c r="R337" s="19">
        <v>12500</v>
      </c>
      <c r="S337" s="12">
        <v>13000</v>
      </c>
      <c r="T337" s="12">
        <v>13500</v>
      </c>
      <c r="U337" s="12">
        <v>13750</v>
      </c>
      <c r="V337" s="13"/>
      <c r="W337" s="168"/>
      <c r="X337" s="14">
        <v>250</v>
      </c>
    </row>
    <row r="338" spans="1:24">
      <c r="A338" s="127" t="s">
        <v>316</v>
      </c>
      <c r="B338" s="45" t="str">
        <f>IFERROR(HYPERLINK(VLOOKUP(A338,ÜRÜNLER!A:C,3,FALSE),VLOOKUP(A338,ÜRÜNLER!A:B,2,FALSE)),"")</f>
        <v>iQ300 Gazlı Ocak, 67cm, Sert Cam, Antrasit Gri</v>
      </c>
      <c r="C338" s="8">
        <v>9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53"/>
      <c r="N338" s="110">
        <f t="shared" si="11"/>
        <v>12</v>
      </c>
      <c r="O338" s="111"/>
      <c r="P338" s="98"/>
      <c r="Q338" s="46">
        <v>15096.459829139936</v>
      </c>
      <c r="R338" s="23">
        <v>15096.459829139936</v>
      </c>
      <c r="S338" s="12">
        <v>15700.318222305534</v>
      </c>
      <c r="T338" s="12">
        <v>16304.176615471131</v>
      </c>
      <c r="U338" s="12">
        <v>16606.105812053931</v>
      </c>
      <c r="V338" s="13"/>
      <c r="W338" s="168"/>
      <c r="X338" s="17"/>
    </row>
    <row r="339" spans="1:24">
      <c r="A339" s="127" t="s">
        <v>317</v>
      </c>
      <c r="B339" s="45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53"/>
      <c r="N339" s="110">
        <f t="shared" si="11"/>
        <v>2</v>
      </c>
      <c r="O339" s="111"/>
      <c r="P339" s="98"/>
      <c r="Q339" s="67" t="s">
        <v>1559</v>
      </c>
      <c r="R339" s="19">
        <v>15000</v>
      </c>
      <c r="S339" s="12">
        <v>15600</v>
      </c>
      <c r="T339" s="12">
        <v>16200</v>
      </c>
      <c r="U339" s="12">
        <v>16500</v>
      </c>
      <c r="V339" s="13"/>
      <c r="W339" s="168"/>
      <c r="X339" s="17"/>
    </row>
    <row r="340" spans="1:24">
      <c r="A340" s="125" t="s">
        <v>318</v>
      </c>
      <c r="B340" s="45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53"/>
      <c r="N340" s="110">
        <f t="shared" si="11"/>
        <v>1</v>
      </c>
      <c r="O340" s="111"/>
      <c r="P340" s="98"/>
      <c r="Q340" s="46">
        <v>38471.917118322781</v>
      </c>
      <c r="R340" s="23">
        <v>38471.917118322781</v>
      </c>
      <c r="S340" s="12">
        <v>40010.793803055691</v>
      </c>
      <c r="T340" s="12">
        <v>41549.6704877886</v>
      </c>
      <c r="U340" s="12">
        <v>42319.108830155063</v>
      </c>
      <c r="V340" s="13"/>
      <c r="W340" s="168"/>
      <c r="X340" s="17"/>
    </row>
    <row r="341" spans="1:24">
      <c r="A341" s="125" t="s">
        <v>319</v>
      </c>
      <c r="B341" s="45" t="str">
        <f>IFERROR(HYPERLINK(VLOOKUP(A341,ÜRÜNLER!A:C,3,FALSE),VLOOKUP(A341,ÜRÜNLER!A:B,2,FALSE)),"")</f>
        <v>iQ500 Gazlı Ocak, 60cm, Sert Cam, Siyah, Döküm</v>
      </c>
      <c r="C341" s="8">
        <v>2</v>
      </c>
      <c r="D341" s="8"/>
      <c r="E341" s="9"/>
      <c r="F341" s="9"/>
      <c r="G341" s="10"/>
      <c r="H341" s="10"/>
      <c r="I341" s="11"/>
      <c r="J341" s="11"/>
      <c r="K341" s="10"/>
      <c r="L341" s="11">
        <v>1</v>
      </c>
      <c r="M341" s="153"/>
      <c r="N341" s="110">
        <f t="shared" si="11"/>
        <v>3</v>
      </c>
      <c r="O341" s="111"/>
      <c r="P341" s="98"/>
      <c r="Q341" s="46">
        <v>36717.135679323066</v>
      </c>
      <c r="R341" s="23">
        <v>36717.135679323066</v>
      </c>
      <c r="S341" s="12">
        <v>38185.821106495991</v>
      </c>
      <c r="T341" s="12">
        <v>39654.506533668915</v>
      </c>
      <c r="U341" s="12">
        <v>40388.84924725537</v>
      </c>
      <c r="V341" s="13"/>
      <c r="W341" s="168"/>
      <c r="X341" s="17"/>
    </row>
    <row r="342" spans="1:24">
      <c r="A342" s="118" t="s">
        <v>320</v>
      </c>
      <c r="B342" s="45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53"/>
      <c r="N342" s="110">
        <f t="shared" si="11"/>
        <v>7</v>
      </c>
      <c r="O342" s="111"/>
      <c r="P342" s="98"/>
      <c r="Q342" s="67" t="s">
        <v>1559</v>
      </c>
      <c r="R342" s="19">
        <v>30000</v>
      </c>
      <c r="S342" s="12">
        <v>31200</v>
      </c>
      <c r="T342" s="12">
        <v>32400</v>
      </c>
      <c r="U342" s="12">
        <v>33000</v>
      </c>
      <c r="V342" s="13"/>
      <c r="W342" s="168"/>
      <c r="X342" s="14">
        <v>250</v>
      </c>
    </row>
    <row r="343" spans="1:24">
      <c r="A343" s="118" t="s">
        <v>321</v>
      </c>
      <c r="B343" s="45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53"/>
      <c r="N343" s="110">
        <f t="shared" si="11"/>
        <v>4</v>
      </c>
      <c r="O343" s="111"/>
      <c r="P343" s="98"/>
      <c r="Q343" s="67" t="s">
        <v>1559</v>
      </c>
      <c r="R343" s="19">
        <v>30000</v>
      </c>
      <c r="S343" s="12">
        <v>31200</v>
      </c>
      <c r="T343" s="12">
        <v>32400</v>
      </c>
      <c r="U343" s="12">
        <v>33000</v>
      </c>
      <c r="V343" s="13"/>
      <c r="W343" s="168"/>
      <c r="X343" s="14">
        <v>250</v>
      </c>
    </row>
    <row r="344" spans="1:24">
      <c r="A344" s="118" t="s">
        <v>322</v>
      </c>
      <c r="B344" s="45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53"/>
      <c r="N344" s="110">
        <f t="shared" si="11"/>
        <v>4</v>
      </c>
      <c r="O344" s="111"/>
      <c r="P344" s="98"/>
      <c r="Q344" s="67" t="s">
        <v>1559</v>
      </c>
      <c r="R344" s="19">
        <v>28000</v>
      </c>
      <c r="S344" s="12">
        <v>29120</v>
      </c>
      <c r="T344" s="12">
        <v>30240</v>
      </c>
      <c r="U344" s="12">
        <v>30800</v>
      </c>
      <c r="V344" s="13"/>
      <c r="W344" s="168"/>
      <c r="X344" s="14">
        <v>250</v>
      </c>
    </row>
    <row r="345" spans="1:24">
      <c r="A345" s="127" t="s">
        <v>324</v>
      </c>
      <c r="B345" s="45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53"/>
      <c r="N345" s="110">
        <f t="shared" si="11"/>
        <v>2</v>
      </c>
      <c r="O345" s="111"/>
      <c r="P345" s="98"/>
      <c r="Q345" s="67" t="s">
        <v>1559</v>
      </c>
      <c r="R345" s="19">
        <v>21000</v>
      </c>
      <c r="S345" s="12">
        <v>21840</v>
      </c>
      <c r="T345" s="12">
        <v>22680</v>
      </c>
      <c r="U345" s="12">
        <v>23100</v>
      </c>
      <c r="V345" s="13"/>
      <c r="W345" s="168"/>
      <c r="X345" s="14">
        <v>250</v>
      </c>
    </row>
    <row r="346" spans="1:24">
      <c r="A346" s="127" t="s">
        <v>1364</v>
      </c>
      <c r="B346" s="45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53"/>
      <c r="N346" s="110">
        <f t="shared" si="11"/>
        <v>1</v>
      </c>
      <c r="O346" s="111"/>
      <c r="P346" s="98"/>
      <c r="Q346" s="67" t="s">
        <v>1559</v>
      </c>
      <c r="R346" s="19">
        <v>20000</v>
      </c>
      <c r="S346" s="12">
        <v>20800</v>
      </c>
      <c r="T346" s="12">
        <v>21600</v>
      </c>
      <c r="U346" s="12">
        <v>22000</v>
      </c>
      <c r="V346" s="13"/>
      <c r="W346" s="168"/>
      <c r="X346" s="14">
        <v>250</v>
      </c>
    </row>
    <row r="347" spans="1:24">
      <c r="A347" s="118" t="s">
        <v>325</v>
      </c>
      <c r="B347" s="45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53"/>
      <c r="N347" s="110">
        <f t="shared" si="11"/>
        <v>0</v>
      </c>
      <c r="O347" s="111">
        <v>6</v>
      </c>
      <c r="P347" s="98"/>
      <c r="Q347" s="46">
        <v>21396.457539553983</v>
      </c>
      <c r="R347" s="23">
        <v>21396.457539553983</v>
      </c>
      <c r="S347" s="12">
        <v>22252.315841136144</v>
      </c>
      <c r="T347" s="12">
        <v>23108.174142718301</v>
      </c>
      <c r="U347" s="12">
        <v>23536.103293509383</v>
      </c>
      <c r="V347" s="13"/>
      <c r="W347" s="168"/>
      <c r="X347" s="17"/>
    </row>
    <row r="348" spans="1:24">
      <c r="A348" s="118" t="s">
        <v>326</v>
      </c>
      <c r="B348" s="45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53"/>
      <c r="N348" s="110">
        <f t="shared" si="11"/>
        <v>1</v>
      </c>
      <c r="O348" s="111"/>
      <c r="P348" s="98"/>
      <c r="Q348" s="67" t="s">
        <v>1559</v>
      </c>
      <c r="R348" s="19">
        <v>14000</v>
      </c>
      <c r="S348" s="12">
        <v>14560</v>
      </c>
      <c r="T348" s="12">
        <v>15120</v>
      </c>
      <c r="U348" s="12">
        <v>15400</v>
      </c>
      <c r="V348" s="13"/>
      <c r="W348" s="168"/>
      <c r="X348" s="17"/>
    </row>
    <row r="349" spans="1:24">
      <c r="A349" s="118" t="s">
        <v>327</v>
      </c>
      <c r="B349" s="45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>
        <v>1</v>
      </c>
      <c r="G349" s="10"/>
      <c r="H349" s="10"/>
      <c r="I349" s="11"/>
      <c r="J349" s="11">
        <v>1</v>
      </c>
      <c r="K349" s="10"/>
      <c r="L349" s="11"/>
      <c r="M349" s="153"/>
      <c r="N349" s="110">
        <f t="shared" si="11"/>
        <v>2</v>
      </c>
      <c r="O349" s="111"/>
      <c r="P349" s="98"/>
      <c r="Q349" s="67" t="s">
        <v>1559</v>
      </c>
      <c r="R349" s="19">
        <v>25000</v>
      </c>
      <c r="S349" s="12">
        <v>26000</v>
      </c>
      <c r="T349" s="12">
        <v>27000</v>
      </c>
      <c r="U349" s="12">
        <v>27500</v>
      </c>
      <c r="V349" s="13"/>
      <c r="W349" s="168"/>
      <c r="X349" s="14">
        <v>250</v>
      </c>
    </row>
    <row r="350" spans="1:24">
      <c r="A350" s="21" t="s">
        <v>328</v>
      </c>
      <c r="B350" s="45" t="str">
        <f>IFERROR(HYPERLINK(VLOOKUP(A350,ÜRÜNLER!A:C,3,FALSE),VLOOKUP(A350,ÜRÜNLER!A:B,2,FALSE)),"")</f>
        <v>iQ300 Gazlı Ocak, 75cm, 5 Gözlü, Sert Cam, Beyaz, Wok</v>
      </c>
      <c r="C350" s="8">
        <v>7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53">
        <v>1</v>
      </c>
      <c r="N350" s="110">
        <f t="shared" si="11"/>
        <v>9</v>
      </c>
      <c r="O350" s="111"/>
      <c r="P350" s="98"/>
      <c r="Q350" s="46">
        <v>25072.895861034562</v>
      </c>
      <c r="R350" s="23">
        <v>25072.895861034562</v>
      </c>
      <c r="S350" s="12">
        <v>26075.811695475943</v>
      </c>
      <c r="T350" s="12">
        <v>27078.727529917327</v>
      </c>
      <c r="U350" s="12">
        <v>27580.185447138017</v>
      </c>
      <c r="V350" s="13"/>
      <c r="W350" s="168"/>
      <c r="X350" s="17"/>
    </row>
    <row r="351" spans="1:24">
      <c r="A351" s="118" t="s">
        <v>329</v>
      </c>
      <c r="B351" s="4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53"/>
      <c r="N351" s="110">
        <f t="shared" si="11"/>
        <v>1</v>
      </c>
      <c r="O351" s="111"/>
      <c r="P351" s="98"/>
      <c r="Q351" s="67" t="s">
        <v>1559</v>
      </c>
      <c r="R351" s="19">
        <v>20000</v>
      </c>
      <c r="S351" s="12">
        <v>20800</v>
      </c>
      <c r="T351" s="12">
        <v>21600</v>
      </c>
      <c r="U351" s="12">
        <v>22000</v>
      </c>
      <c r="V351" s="13"/>
      <c r="W351" s="168"/>
      <c r="X351" s="14">
        <v>250</v>
      </c>
    </row>
    <row r="352" spans="1:24">
      <c r="A352" s="125" t="s">
        <v>330</v>
      </c>
      <c r="B352" s="45" t="str">
        <f>IFERROR(HYPERLINK(VLOOKUP(A352,ÜRÜNLER!A:C,3,FALSE),VLOOKUP(A352,ÜRÜNLER!A:B,2,FALSE)),"")</f>
        <v>iQ300 Gazlı Ocak, 75cm, 5 Gözlü, Sert Cam, Siyah,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53"/>
      <c r="N352" s="110">
        <f t="shared" si="11"/>
        <v>0</v>
      </c>
      <c r="O352" s="111"/>
      <c r="P352" s="98"/>
      <c r="Q352" s="46">
        <v>25072.895861034562</v>
      </c>
      <c r="R352" s="23">
        <v>25072.895861034562</v>
      </c>
      <c r="S352" s="12">
        <v>26075.811695475943</v>
      </c>
      <c r="T352" s="12">
        <v>27078.727529917327</v>
      </c>
      <c r="U352" s="12">
        <v>27580.185447138017</v>
      </c>
      <c r="V352" s="13"/>
      <c r="W352" s="168"/>
      <c r="X352" s="17"/>
    </row>
    <row r="353" spans="1:24">
      <c r="A353" s="127" t="s">
        <v>331</v>
      </c>
      <c r="B353" s="45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53"/>
      <c r="N353" s="110">
        <f t="shared" si="11"/>
        <v>7</v>
      </c>
      <c r="O353" s="111"/>
      <c r="P353" s="98"/>
      <c r="Q353" s="67" t="s">
        <v>1559</v>
      </c>
      <c r="R353" s="19">
        <v>25000</v>
      </c>
      <c r="S353" s="12">
        <v>26000</v>
      </c>
      <c r="T353" s="12">
        <v>27000</v>
      </c>
      <c r="U353" s="12">
        <v>27500</v>
      </c>
      <c r="V353" s="13"/>
      <c r="W353" s="168"/>
      <c r="X353" s="14">
        <v>250</v>
      </c>
    </row>
    <row r="354" spans="1:24">
      <c r="A354" s="127" t="s">
        <v>467</v>
      </c>
      <c r="B354" s="45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53"/>
      <c r="N354" s="110">
        <f t="shared" si="11"/>
        <v>2</v>
      </c>
      <c r="O354" s="111">
        <v>5</v>
      </c>
      <c r="P354" s="98"/>
      <c r="Q354" s="46">
        <v>25072.895861034562</v>
      </c>
      <c r="R354" s="19">
        <v>25072.895861034562</v>
      </c>
      <c r="S354" s="12">
        <v>26075.811695475943</v>
      </c>
      <c r="T354" s="12">
        <v>27078.727529917327</v>
      </c>
      <c r="U354" s="12">
        <v>27580.185447138017</v>
      </c>
      <c r="V354" s="13"/>
      <c r="W354" s="168"/>
      <c r="X354" s="17"/>
    </row>
    <row r="355" spans="1:24">
      <c r="A355" s="118" t="s">
        <v>1325</v>
      </c>
      <c r="B355" s="45" t="str">
        <f>IFERROR(HYPERLINK(VLOOKUP(A355,ÜRÜNLER!A:C,3,FALSE),VLOOKUP(A355,ÜRÜNLER!A:B,2,FALSE)),"")</f>
        <v>iQ500 Gazlı Ocak, 75cm, 5 Gözlü, Sert Cam, Beyaz, Wok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1"/>
      <c r="M355" s="153"/>
      <c r="N355" s="110">
        <f t="shared" si="11"/>
        <v>2</v>
      </c>
      <c r="O355" s="111">
        <v>6</v>
      </c>
      <c r="P355" s="98"/>
      <c r="Q355" s="46">
        <v>49544.810122643714</v>
      </c>
      <c r="R355" s="19">
        <v>49544.810122643714</v>
      </c>
      <c r="S355" s="12">
        <v>51526.602527549461</v>
      </c>
      <c r="T355" s="12">
        <v>53508.394932455209</v>
      </c>
      <c r="U355" s="12">
        <v>54499.291134908082</v>
      </c>
      <c r="V355" s="13"/>
      <c r="W355" s="168"/>
      <c r="X355" s="14">
        <v>250</v>
      </c>
    </row>
    <row r="356" spans="1:24">
      <c r="A356" s="118" t="s">
        <v>332</v>
      </c>
      <c r="B356" s="45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53"/>
      <c r="N356" s="110">
        <f t="shared" si="11"/>
        <v>6</v>
      </c>
      <c r="O356" s="111"/>
      <c r="P356" s="98"/>
      <c r="Q356" s="67" t="s">
        <v>1559</v>
      </c>
      <c r="R356" s="19">
        <v>42000</v>
      </c>
      <c r="S356" s="12">
        <v>43680</v>
      </c>
      <c r="T356" s="12">
        <v>45360</v>
      </c>
      <c r="U356" s="12">
        <v>46200</v>
      </c>
      <c r="V356" s="13"/>
      <c r="W356" s="168"/>
      <c r="X356" s="14">
        <v>250</v>
      </c>
    </row>
    <row r="357" spans="1:24">
      <c r="A357" s="118" t="s">
        <v>333</v>
      </c>
      <c r="B357" s="45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53"/>
      <c r="N357" s="110">
        <f t="shared" si="11"/>
        <v>4</v>
      </c>
      <c r="O357" s="111"/>
      <c r="P357" s="98"/>
      <c r="Q357" s="67" t="s">
        <v>1559</v>
      </c>
      <c r="R357" s="19">
        <v>42000</v>
      </c>
      <c r="S357" s="12">
        <v>43680</v>
      </c>
      <c r="T357" s="12">
        <v>45360</v>
      </c>
      <c r="U357" s="12">
        <v>46200</v>
      </c>
      <c r="V357" s="13"/>
      <c r="W357" s="168"/>
      <c r="X357" s="14">
        <v>250</v>
      </c>
    </row>
    <row r="358" spans="1:24">
      <c r="A358" s="21" t="s">
        <v>334</v>
      </c>
      <c r="B358" s="45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53"/>
      <c r="N358" s="110">
        <f t="shared" si="11"/>
        <v>1</v>
      </c>
      <c r="O358" s="111"/>
      <c r="P358" s="98"/>
      <c r="Q358" s="67" t="s">
        <v>1559</v>
      </c>
      <c r="R358" s="19">
        <v>42000</v>
      </c>
      <c r="S358" s="12">
        <v>43680</v>
      </c>
      <c r="T358" s="12">
        <v>45360</v>
      </c>
      <c r="U358" s="12">
        <v>46200</v>
      </c>
      <c r="V358" s="13"/>
      <c r="W358" s="168"/>
      <c r="X358" s="14">
        <v>250</v>
      </c>
    </row>
    <row r="359" spans="1:24">
      <c r="A359" s="21" t="s">
        <v>335</v>
      </c>
      <c r="B359" s="45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53"/>
      <c r="N359" s="110">
        <f t="shared" si="11"/>
        <v>2</v>
      </c>
      <c r="O359" s="111"/>
      <c r="P359" s="98"/>
      <c r="Q359" s="46">
        <v>45035.79397055701</v>
      </c>
      <c r="R359" s="23">
        <v>45035.79397055701</v>
      </c>
      <c r="S359" s="12">
        <v>46837.225729379294</v>
      </c>
      <c r="T359" s="12">
        <v>48638.65748820157</v>
      </c>
      <c r="U359" s="12">
        <v>49539.373367612709</v>
      </c>
      <c r="V359" s="13"/>
      <c r="W359" s="168"/>
      <c r="X359" s="17"/>
    </row>
    <row r="360" spans="1:24">
      <c r="A360" s="118" t="s">
        <v>336</v>
      </c>
      <c r="B360" s="45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53"/>
      <c r="N360" s="110">
        <f t="shared" si="11"/>
        <v>1</v>
      </c>
      <c r="O360" s="111"/>
      <c r="P360" s="98"/>
      <c r="Q360" s="67" t="s">
        <v>1559</v>
      </c>
      <c r="R360" s="19">
        <v>40000</v>
      </c>
      <c r="S360" s="12">
        <v>41600</v>
      </c>
      <c r="T360" s="12">
        <v>43200</v>
      </c>
      <c r="U360" s="12">
        <v>44000</v>
      </c>
      <c r="V360" s="13"/>
      <c r="W360" s="168"/>
      <c r="X360" s="14">
        <v>250</v>
      </c>
    </row>
    <row r="361" spans="1:24">
      <c r="A361" s="137" t="s">
        <v>337</v>
      </c>
      <c r="B361" s="45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53"/>
      <c r="N361" s="110">
        <f t="shared" si="11"/>
        <v>1</v>
      </c>
      <c r="O361" s="111"/>
      <c r="P361" s="98"/>
      <c r="Q361" s="67" t="s">
        <v>1559</v>
      </c>
      <c r="R361" s="19">
        <v>45000</v>
      </c>
      <c r="S361" s="12">
        <v>46800</v>
      </c>
      <c r="T361" s="12">
        <v>48600</v>
      </c>
      <c r="U361" s="12">
        <v>49500</v>
      </c>
      <c r="V361" s="13"/>
      <c r="W361" s="168"/>
      <c r="X361" s="14">
        <v>250</v>
      </c>
    </row>
    <row r="362" spans="1:24">
      <c r="A362" s="138" t="s">
        <v>338</v>
      </c>
      <c r="B362" s="45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53"/>
      <c r="N362" s="110">
        <f t="shared" si="11"/>
        <v>4</v>
      </c>
      <c r="O362" s="111"/>
      <c r="P362" s="98"/>
      <c r="Q362" s="46">
        <v>61806.067772363233</v>
      </c>
      <c r="R362" s="42">
        <v>60569.946416915969</v>
      </c>
      <c r="S362" s="12">
        <v>62992.744273592609</v>
      </c>
      <c r="T362" s="12">
        <v>65415.542130269248</v>
      </c>
      <c r="U362" s="12">
        <v>66626.941058607568</v>
      </c>
      <c r="V362" s="13"/>
      <c r="W362" s="168"/>
      <c r="X362" s="14">
        <v>250</v>
      </c>
    </row>
    <row r="363" spans="1:24">
      <c r="A363" s="21" t="s">
        <v>340</v>
      </c>
      <c r="B363" s="45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53">
        <v>1</v>
      </c>
      <c r="N363" s="110">
        <f t="shared" si="11"/>
        <v>1</v>
      </c>
      <c r="O363" s="111"/>
      <c r="P363" s="98"/>
      <c r="Q363" s="46">
        <v>49544.810122643714</v>
      </c>
      <c r="R363" s="42">
        <v>48553.91392019084</v>
      </c>
      <c r="S363" s="12">
        <v>50496.070476998473</v>
      </c>
      <c r="T363" s="12">
        <v>52438.227033806106</v>
      </c>
      <c r="U363" s="12">
        <v>53409.305312209923</v>
      </c>
      <c r="V363" s="13"/>
      <c r="W363" s="168"/>
      <c r="X363" s="17"/>
    </row>
    <row r="364" spans="1:24">
      <c r="A364" s="137" t="s">
        <v>1321</v>
      </c>
      <c r="B364" s="45" t="str">
        <f>IFERROR(HYPERLINK(VLOOKUP(A364,ÜRÜNLER!A:C,3,FALSE),VLOOKUP(A364,ÜRÜNLER!A:B,2,FALSE)),"")</f>
        <v>iQ700 studioLine 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53"/>
      <c r="N364" s="110">
        <f t="shared" ref="N364:N368" si="12">L364+M364+K364+J364+I364+H364+G364+F364+E364+D364+C364</f>
        <v>1</v>
      </c>
      <c r="O364" s="111"/>
      <c r="P364" s="98"/>
      <c r="Q364" s="159">
        <v>88440.549330000023</v>
      </c>
      <c r="R364" s="159">
        <v>79596.494397000017</v>
      </c>
      <c r="S364" s="12">
        <v>82780.354172880019</v>
      </c>
      <c r="T364" s="12">
        <v>85964.213948760022</v>
      </c>
      <c r="U364" s="12">
        <v>87556.143836700023</v>
      </c>
      <c r="V364" s="13"/>
      <c r="W364" s="168"/>
      <c r="X364" s="17"/>
    </row>
    <row r="365" spans="1:24">
      <c r="A365" s="137" t="s">
        <v>342</v>
      </c>
      <c r="B365" s="45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53"/>
      <c r="N365" s="110">
        <f t="shared" si="12"/>
        <v>4</v>
      </c>
      <c r="O365" s="111"/>
      <c r="P365" s="98"/>
      <c r="Q365" s="67" t="s">
        <v>1559</v>
      </c>
      <c r="R365" s="19">
        <v>40000</v>
      </c>
      <c r="S365" s="12">
        <v>41600</v>
      </c>
      <c r="T365" s="12">
        <v>43200</v>
      </c>
      <c r="U365" s="12">
        <v>44000</v>
      </c>
      <c r="V365" s="13"/>
      <c r="W365" s="168"/>
      <c r="X365" s="14">
        <v>250</v>
      </c>
    </row>
    <row r="366" spans="1:24">
      <c r="A366" s="21" t="s">
        <v>343</v>
      </c>
      <c r="B366" s="45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53"/>
      <c r="N366" s="110">
        <f t="shared" si="12"/>
        <v>2</v>
      </c>
      <c r="O366" s="111"/>
      <c r="P366" s="98"/>
      <c r="Q366" s="67" t="s">
        <v>1559</v>
      </c>
      <c r="R366" s="19">
        <v>100000</v>
      </c>
      <c r="S366" s="12">
        <v>104000</v>
      </c>
      <c r="T366" s="12">
        <v>108000</v>
      </c>
      <c r="U366" s="12">
        <v>110000</v>
      </c>
      <c r="V366" s="13"/>
      <c r="W366" s="168"/>
      <c r="X366" s="14">
        <v>250</v>
      </c>
    </row>
    <row r="367" spans="1:24">
      <c r="A367" s="21" t="s">
        <v>341</v>
      </c>
      <c r="B367" s="45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53"/>
      <c r="N367" s="110">
        <f t="shared" si="12"/>
        <v>2</v>
      </c>
      <c r="O367" s="111"/>
      <c r="P367" s="98"/>
      <c r="Q367" s="67" t="s">
        <v>1559</v>
      </c>
      <c r="R367" s="19">
        <v>35000</v>
      </c>
      <c r="S367" s="12">
        <v>36400</v>
      </c>
      <c r="T367" s="12">
        <v>37800</v>
      </c>
      <c r="U367" s="12">
        <v>38500</v>
      </c>
      <c r="V367" s="13"/>
      <c r="W367" s="168"/>
      <c r="X367" s="14">
        <v>250</v>
      </c>
    </row>
    <row r="368" spans="1:24">
      <c r="A368" s="21" t="s">
        <v>339</v>
      </c>
      <c r="B368" s="45" t="str">
        <f>IFERROR(HYPERLINK(VLOOKUP(A368,ÜRÜNLER!A:C,3,FALSE),VLOOKUP(A368,ÜRÜNLER!A:B,2,FALSE)),"")</f>
        <v>iQ700 Gazlı Domino Ocak, 30cm, Tek Gözlü, Seramik, Siyah, Wok</v>
      </c>
      <c r="C368" s="8">
        <v>5</v>
      </c>
      <c r="D368" s="8"/>
      <c r="E368" s="9"/>
      <c r="F368" s="9"/>
      <c r="G368" s="10"/>
      <c r="H368" s="10"/>
      <c r="I368" s="11"/>
      <c r="J368" s="11"/>
      <c r="K368" s="10"/>
      <c r="L368" s="11"/>
      <c r="M368" s="153"/>
      <c r="N368" s="110">
        <f t="shared" si="12"/>
        <v>5</v>
      </c>
      <c r="O368" s="111"/>
      <c r="P368" s="98"/>
      <c r="Q368" s="67" t="s">
        <v>1559</v>
      </c>
      <c r="R368" s="19">
        <v>35000</v>
      </c>
      <c r="S368" s="12">
        <v>36400</v>
      </c>
      <c r="T368" s="12">
        <v>37800</v>
      </c>
      <c r="U368" s="12">
        <v>38500</v>
      </c>
      <c r="V368" s="13"/>
      <c r="W368" s="168"/>
      <c r="X368" s="14">
        <v>250</v>
      </c>
    </row>
    <row r="369" spans="1:24" ht="27.75" customHeight="1">
      <c r="A369" s="51" t="s">
        <v>344</v>
      </c>
      <c r="B369" s="45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53"/>
      <c r="N369" s="110">
        <f>SUM(N301:N368)</f>
        <v>310</v>
      </c>
      <c r="O369" s="111"/>
      <c r="P369" s="9"/>
      <c r="Q369" s="67"/>
      <c r="R369" s="19"/>
      <c r="S369" s="12"/>
      <c r="T369" s="12"/>
      <c r="U369" s="12">
        <v>0</v>
      </c>
      <c r="V369" s="13"/>
      <c r="W369" s="168"/>
      <c r="X369" s="17"/>
    </row>
    <row r="370" spans="1:24">
      <c r="A370" s="118" t="s">
        <v>345</v>
      </c>
      <c r="B370" s="45" t="str">
        <f>IFERROR(HYPERLINK(VLOOKUP(A370,ÜRÜNLER!A:C,3,FALSE),VLOOKUP(A370,ÜRÜNLER!A:B,2,FALSE)),"")</f>
        <v>iQ100 Elektrikli Ocak, 60cm, Çerçevesiz, Siyah</v>
      </c>
      <c r="C370" s="8"/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53">
        <v>1</v>
      </c>
      <c r="N370" s="110">
        <f>L370+M370+K370+J370+I370+H370+G370+F370+E370+D370+C370</f>
        <v>5</v>
      </c>
      <c r="O370" s="111">
        <v>10</v>
      </c>
      <c r="P370" s="98"/>
      <c r="Q370" s="46">
        <v>24658.332980284184</v>
      </c>
      <c r="R370" s="23">
        <v>24658.332980284184</v>
      </c>
      <c r="S370" s="12">
        <v>25644.666299495551</v>
      </c>
      <c r="T370" s="12">
        <v>26630.999618706919</v>
      </c>
      <c r="U370" s="12">
        <v>27124.166278312601</v>
      </c>
      <c r="V370" s="13"/>
      <c r="W370" s="168"/>
      <c r="X370" s="17"/>
    </row>
    <row r="371" spans="1:24">
      <c r="A371" s="118" t="s">
        <v>346</v>
      </c>
      <c r="B371" s="45" t="str">
        <f>IFERROR(HYPERLINK(VLOOKUP(A371,ÜRÜNLER!A:C,3,FALSE),VLOOKUP(A371,ÜRÜNLER!A:B,2,FALSE)),"")</f>
        <v>iQ100 Elektrikli Ocak, 60cm, Çerçevesiz, Beyaz</v>
      </c>
      <c r="C371" s="8">
        <v>11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53"/>
      <c r="N371" s="110">
        <f>L371+M371+K371+J371+I371+H371+G371+F371+E371+D371+C371</f>
        <v>13</v>
      </c>
      <c r="O371" s="111">
        <v>1</v>
      </c>
      <c r="P371" s="98"/>
      <c r="Q371" s="46">
        <v>30722.890536074443</v>
      </c>
      <c r="R371" s="23">
        <v>30722.890536074443</v>
      </c>
      <c r="S371" s="12">
        <v>31951.806157517422</v>
      </c>
      <c r="T371" s="12">
        <v>33180.721778960396</v>
      </c>
      <c r="U371" s="12">
        <v>33795.179589681888</v>
      </c>
      <c r="V371" s="13"/>
      <c r="W371" s="168"/>
      <c r="X371" s="17"/>
    </row>
    <row r="372" spans="1:24">
      <c r="A372" s="118" t="s">
        <v>347</v>
      </c>
      <c r="B372" s="45" t="str">
        <f>IFERROR(HYPERLINK(VLOOKUP(A372,ÜRÜNLER!A:C,3,FALSE),VLOOKUP(A372,ÜRÜNLER!A:B,2,FALSE)),"")</f>
        <v>iQ300 Elektrikli Ocak, 60cm, Çerçevesiz, Siyah</v>
      </c>
      <c r="C372" s="8">
        <v>18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53"/>
      <c r="N372" s="110">
        <f>L372+M372+K372+J372+I372+H372+G372+F372+E372+D372+C372</f>
        <v>19</v>
      </c>
      <c r="O372" s="111">
        <v>1</v>
      </c>
      <c r="P372" s="98"/>
      <c r="Q372" s="46">
        <v>31063.54259656238</v>
      </c>
      <c r="R372" s="23">
        <v>31063.54259656238</v>
      </c>
      <c r="S372" s="12">
        <v>32306.084300424875</v>
      </c>
      <c r="T372" s="12">
        <v>33548.626004287369</v>
      </c>
      <c r="U372" s="12">
        <v>34169.89685621862</v>
      </c>
      <c r="V372" s="13"/>
      <c r="W372" s="168"/>
      <c r="X372" s="17"/>
    </row>
    <row r="373" spans="1:24">
      <c r="A373" s="118" t="s">
        <v>348</v>
      </c>
      <c r="B373" s="45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>
        <v>1</v>
      </c>
      <c r="J373" s="11"/>
      <c r="K373" s="10"/>
      <c r="L373" s="11"/>
      <c r="M373" s="153"/>
      <c r="N373" s="110">
        <f>L373+M373+K373+J373+I373+H373+G373+F373+E373+D373+C373</f>
        <v>2</v>
      </c>
      <c r="O373" s="111"/>
      <c r="P373" s="98"/>
      <c r="Q373" s="67" t="s">
        <v>1559</v>
      </c>
      <c r="R373" s="23">
        <v>50000</v>
      </c>
      <c r="S373" s="12">
        <v>52000</v>
      </c>
      <c r="T373" s="12">
        <v>54000</v>
      </c>
      <c r="U373" s="12">
        <v>55000</v>
      </c>
      <c r="V373" s="13"/>
      <c r="W373" s="168"/>
      <c r="X373" s="14">
        <v>250</v>
      </c>
    </row>
    <row r="374" spans="1:24">
      <c r="A374" s="118" t="s">
        <v>349</v>
      </c>
      <c r="B374" s="45" t="str">
        <f>IFERROR(HYPERLINK(VLOOKUP(A374,ÜRÜNLER!A:C,3,FALSE),VLOOKUP(A374,ÜRÜNLER!A:B,2,FALSE)),"")</f>
        <v>iQ500 Elektrikli Ocak, 80cm, Çerçeveli, Siyah</v>
      </c>
      <c r="C374" s="8">
        <v>6</v>
      </c>
      <c r="D374" s="8"/>
      <c r="E374" s="9"/>
      <c r="F374" s="9"/>
      <c r="G374" s="10"/>
      <c r="H374" s="10"/>
      <c r="I374" s="11"/>
      <c r="J374" s="11"/>
      <c r="K374" s="10"/>
      <c r="L374" s="11"/>
      <c r="M374" s="153"/>
      <c r="N374" s="110">
        <f>L374+M374+K374+J374+I374+H374+G374+F374+E374+D374+C374</f>
        <v>6</v>
      </c>
      <c r="O374" s="111">
        <v>1</v>
      </c>
      <c r="P374" s="98"/>
      <c r="Q374" s="46">
        <v>59154.354044729989</v>
      </c>
      <c r="R374" s="23">
        <v>59154.354044729989</v>
      </c>
      <c r="S374" s="12">
        <v>61520.528206519186</v>
      </c>
      <c r="T374" s="12">
        <v>63886.70236830839</v>
      </c>
      <c r="U374" s="12">
        <v>65069.789449202988</v>
      </c>
      <c r="V374" s="13"/>
      <c r="W374" s="168"/>
      <c r="X374" s="17"/>
    </row>
    <row r="375" spans="1:24" ht="30">
      <c r="A375" s="51" t="s">
        <v>350</v>
      </c>
      <c r="B375" s="45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53"/>
      <c r="N375" s="110"/>
      <c r="O375" s="111"/>
      <c r="P375" s="9"/>
      <c r="Q375" s="67"/>
      <c r="R375" s="19"/>
      <c r="S375" s="12"/>
      <c r="T375" s="12"/>
      <c r="U375" s="12">
        <v>0</v>
      </c>
      <c r="V375" s="13"/>
      <c r="W375" s="168"/>
      <c r="X375" s="17"/>
    </row>
    <row r="376" spans="1:24">
      <c r="A376" s="118" t="s">
        <v>351</v>
      </c>
      <c r="B376" s="45" t="str">
        <f>IFERROR(HYPERLINK(VLOOKUP(A376,ÜRÜNLER!A:C,3,FALSE),VLOOKUP(A376,ÜRÜNLER!A:B,2,FALSE)),"")</f>
        <v>iQ100 İndüksiyonlu Ocak, 60cm, Çerçevesiz, Siyah</v>
      </c>
      <c r="C376" s="8">
        <v>4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53"/>
      <c r="N376" s="110">
        <f t="shared" ref="N376:N383" si="13">L376+M376+K376+J376+I376+H376+G376+F376+E376+D376+C376</f>
        <v>8</v>
      </c>
      <c r="O376" s="111">
        <v>6</v>
      </c>
      <c r="P376" s="98"/>
      <c r="Q376" s="46">
        <v>24678.606804942418</v>
      </c>
      <c r="R376" s="23">
        <v>24678.606804942418</v>
      </c>
      <c r="S376" s="12">
        <v>25665.751077140114</v>
      </c>
      <c r="T376" s="12">
        <v>26652.89534933781</v>
      </c>
      <c r="U376" s="12">
        <v>27146.46748543666</v>
      </c>
      <c r="V376" s="13"/>
      <c r="W376" s="168"/>
      <c r="X376" s="17"/>
    </row>
    <row r="377" spans="1:24">
      <c r="A377" s="22" t="s">
        <v>352</v>
      </c>
      <c r="B377" s="45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53"/>
      <c r="N377" s="110">
        <f t="shared" si="13"/>
        <v>2</v>
      </c>
      <c r="O377" s="111">
        <v>1</v>
      </c>
      <c r="P377" s="98"/>
      <c r="Q377" s="46">
        <v>79095.797018534606</v>
      </c>
      <c r="R377" s="23">
        <v>79095.797018534606</v>
      </c>
      <c r="S377" s="12">
        <v>82259.628899275995</v>
      </c>
      <c r="T377" s="12">
        <v>85423.460780017369</v>
      </c>
      <c r="U377" s="12">
        <v>87005.376720388071</v>
      </c>
      <c r="V377" s="13"/>
      <c r="W377" s="168"/>
      <c r="X377" s="14">
        <v>250</v>
      </c>
    </row>
    <row r="378" spans="1:24">
      <c r="A378" s="22" t="s">
        <v>353</v>
      </c>
      <c r="B378" s="4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53"/>
      <c r="N378" s="110">
        <f t="shared" si="13"/>
        <v>3</v>
      </c>
      <c r="O378" s="111"/>
      <c r="P378" s="98"/>
      <c r="Q378" s="159">
        <v>85363.64886690701</v>
      </c>
      <c r="R378" s="159">
        <v>76827.283980216307</v>
      </c>
      <c r="S378" s="12">
        <v>79900.375339424965</v>
      </c>
      <c r="T378" s="12">
        <v>82973.466698633609</v>
      </c>
      <c r="U378" s="12">
        <v>84510.012378237938</v>
      </c>
      <c r="V378" s="13"/>
      <c r="W378" s="168"/>
      <c r="X378" s="14">
        <v>250</v>
      </c>
    </row>
    <row r="379" spans="1:24">
      <c r="A379" s="22" t="s">
        <v>354</v>
      </c>
      <c r="B379" s="45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53"/>
      <c r="N379" s="110">
        <f t="shared" si="13"/>
        <v>4</v>
      </c>
      <c r="O379" s="111"/>
      <c r="P379" s="98"/>
      <c r="Q379" s="67" t="s">
        <v>1559</v>
      </c>
      <c r="R379" s="169">
        <v>105000</v>
      </c>
      <c r="S379" s="12">
        <v>109200</v>
      </c>
      <c r="T379" s="12">
        <v>113400</v>
      </c>
      <c r="U379" s="12">
        <v>115500</v>
      </c>
      <c r="V379" s="13"/>
      <c r="W379" s="168"/>
      <c r="X379" s="14">
        <v>250</v>
      </c>
    </row>
    <row r="380" spans="1:24">
      <c r="A380" s="118" t="s">
        <v>358</v>
      </c>
      <c r="B380" s="45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53"/>
      <c r="N380" s="110">
        <f t="shared" si="13"/>
        <v>4</v>
      </c>
      <c r="O380" s="111"/>
      <c r="P380" s="98"/>
      <c r="Q380" s="46">
        <v>105080.73546715875</v>
      </c>
      <c r="R380" s="23">
        <v>105080.73546715875</v>
      </c>
      <c r="S380" s="12">
        <v>109283.9648858451</v>
      </c>
      <c r="T380" s="12">
        <v>113487.19430453145</v>
      </c>
      <c r="U380" s="12">
        <v>115588.80901387462</v>
      </c>
      <c r="V380" s="13"/>
      <c r="W380" s="168"/>
      <c r="X380" s="14">
        <v>250</v>
      </c>
    </row>
    <row r="381" spans="1:24">
      <c r="A381" s="118" t="s">
        <v>1506</v>
      </c>
      <c r="B381" s="45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53"/>
      <c r="N381" s="110">
        <f t="shared" si="13"/>
        <v>3</v>
      </c>
      <c r="O381" s="111"/>
      <c r="P381" s="98"/>
      <c r="Q381" s="159">
        <v>126683.94117647062</v>
      </c>
      <c r="R381" s="159">
        <v>114015.54705882355</v>
      </c>
      <c r="S381" s="12">
        <v>118576.1689411765</v>
      </c>
      <c r="T381" s="12">
        <v>123136.79082352943</v>
      </c>
      <c r="U381" s="12">
        <v>125417.10176470591</v>
      </c>
      <c r="V381" s="13"/>
      <c r="W381" s="168"/>
      <c r="X381" s="17"/>
    </row>
    <row r="382" spans="1:24">
      <c r="A382" s="22" t="s">
        <v>359</v>
      </c>
      <c r="B382" s="45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53"/>
      <c r="N382" s="110">
        <f t="shared" si="13"/>
        <v>5</v>
      </c>
      <c r="O382" s="111"/>
      <c r="P382" s="98"/>
      <c r="Q382" s="46">
        <v>112782.84561865209</v>
      </c>
      <c r="R382" s="23">
        <v>112782.84561865209</v>
      </c>
      <c r="S382" s="12">
        <v>117294.15944339818</v>
      </c>
      <c r="T382" s="12">
        <v>121805.47326814425</v>
      </c>
      <c r="U382" s="12">
        <v>124061.1301805173</v>
      </c>
      <c r="V382" s="13"/>
      <c r="W382" s="168"/>
      <c r="X382" s="14">
        <v>250</v>
      </c>
    </row>
    <row r="383" spans="1:24">
      <c r="A383" s="118" t="s">
        <v>1555</v>
      </c>
      <c r="B383" s="45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53"/>
      <c r="N383" s="110">
        <f t="shared" si="13"/>
        <v>0</v>
      </c>
      <c r="O383" s="111"/>
      <c r="P383" s="98"/>
      <c r="Q383" s="46">
        <v>58125.947152000015</v>
      </c>
      <c r="R383" s="23">
        <v>58125.947152000015</v>
      </c>
      <c r="S383" s="12">
        <v>60450.985038080013</v>
      </c>
      <c r="T383" s="12">
        <v>62776.022924160017</v>
      </c>
      <c r="U383" s="12">
        <v>63938.541867200016</v>
      </c>
      <c r="V383" s="13"/>
      <c r="W383" s="168"/>
      <c r="X383" s="17"/>
    </row>
    <row r="384" spans="1:24" ht="33.75">
      <c r="A384" s="52" t="s">
        <v>473</v>
      </c>
      <c r="B384" s="45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53"/>
      <c r="N384" s="110"/>
      <c r="O384" s="111"/>
      <c r="P384" s="9"/>
      <c r="Q384" s="67"/>
      <c r="R384" s="19"/>
      <c r="S384" s="12"/>
      <c r="T384" s="12"/>
      <c r="U384" s="12">
        <v>0</v>
      </c>
      <c r="V384" s="13"/>
      <c r="W384" s="168"/>
      <c r="X384" s="17"/>
    </row>
    <row r="385" spans="1:24">
      <c r="A385" s="118" t="s">
        <v>465</v>
      </c>
      <c r="B385" s="45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53"/>
      <c r="N385" s="110">
        <f>L385+M385+K385+J385+I385+H385+G385+F385+E385+D385+C385</f>
        <v>4</v>
      </c>
      <c r="O385" s="111"/>
      <c r="P385" s="98"/>
      <c r="Q385" s="46">
        <v>90180.243945514841</v>
      </c>
      <c r="R385" s="23">
        <v>90180.243945514841</v>
      </c>
      <c r="S385" s="12">
        <v>93787.453703335428</v>
      </c>
      <c r="T385" s="12">
        <v>97394.663461156029</v>
      </c>
      <c r="U385" s="12">
        <v>99198.268340066323</v>
      </c>
      <c r="V385" s="13"/>
      <c r="W385" s="168"/>
      <c r="X385" s="14">
        <v>250</v>
      </c>
    </row>
    <row r="386" spans="1:24">
      <c r="A386" s="118" t="s">
        <v>357</v>
      </c>
      <c r="B386" s="45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53"/>
      <c r="N386" s="110">
        <f>L386+M386+K386+J386+I386+H386+G386+F386+E386+D386+C386</f>
        <v>1</v>
      </c>
      <c r="O386" s="111"/>
      <c r="P386" s="98"/>
      <c r="Q386" s="67" t="s">
        <v>1559</v>
      </c>
      <c r="R386" s="19">
        <v>80000</v>
      </c>
      <c r="S386" s="12">
        <v>83200</v>
      </c>
      <c r="T386" s="12">
        <v>86400</v>
      </c>
      <c r="U386" s="12">
        <v>88000</v>
      </c>
      <c r="V386" s="13"/>
      <c r="W386" s="168"/>
      <c r="X386" s="14">
        <v>250</v>
      </c>
    </row>
    <row r="387" spans="1:24">
      <c r="A387" s="118" t="s">
        <v>464</v>
      </c>
      <c r="B387" s="45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53"/>
      <c r="N387" s="110">
        <f>L387+M387+K387+J387+I387+H387+G387+F387+E387+D387+C387</f>
        <v>0</v>
      </c>
      <c r="O387" s="111">
        <v>1</v>
      </c>
      <c r="P387" s="98"/>
      <c r="Q387" s="46">
        <v>108817.27293445369</v>
      </c>
      <c r="R387" s="23">
        <v>108817.27293445369</v>
      </c>
      <c r="S387" s="12">
        <v>113169.96385183184</v>
      </c>
      <c r="T387" s="12">
        <v>117522.65476920998</v>
      </c>
      <c r="U387" s="12">
        <v>119699.00022789906</v>
      </c>
      <c r="V387" s="13"/>
      <c r="W387" s="168"/>
      <c r="X387" s="14">
        <v>250</v>
      </c>
    </row>
    <row r="388" spans="1:24">
      <c r="A388" s="118" t="s">
        <v>356</v>
      </c>
      <c r="B388" s="45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53"/>
      <c r="N388" s="110">
        <f>L388+M388+K388+J388+I388+H388+G388+F388+E388+D388+C388</f>
        <v>4</v>
      </c>
      <c r="O388" s="111"/>
      <c r="P388" s="98"/>
      <c r="Q388" s="159">
        <v>130619.00189944914</v>
      </c>
      <c r="R388" s="159">
        <v>117557.10170950423</v>
      </c>
      <c r="S388" s="12">
        <v>122259.3857778844</v>
      </c>
      <c r="T388" s="12">
        <v>126961.66984626457</v>
      </c>
      <c r="U388" s="12">
        <v>129312.81188045465</v>
      </c>
      <c r="V388" s="13"/>
      <c r="W388" s="168"/>
      <c r="X388" s="14">
        <v>250</v>
      </c>
    </row>
    <row r="389" spans="1:24" s="28" customFormat="1" ht="31.5">
      <c r="A389" s="30" t="s">
        <v>360</v>
      </c>
      <c r="B389" s="45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53"/>
      <c r="N389" s="110"/>
      <c r="O389" s="111"/>
      <c r="P389" s="9"/>
      <c r="Q389" s="67"/>
      <c r="R389" s="19"/>
      <c r="S389" s="12"/>
      <c r="T389" s="12"/>
      <c r="U389" s="12">
        <v>0</v>
      </c>
      <c r="V389" s="13"/>
      <c r="W389" s="168"/>
      <c r="X389" s="17"/>
    </row>
    <row r="390" spans="1:24">
      <c r="A390" s="22" t="s">
        <v>361</v>
      </c>
      <c r="B390" s="45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53"/>
      <c r="N390" s="110">
        <f t="shared" ref="N390:N419" si="14">L390+M390+K390+J390+I390+H390+G390+F390+E390+D390+C390</f>
        <v>1</v>
      </c>
      <c r="O390" s="111"/>
      <c r="P390" s="98"/>
      <c r="Q390" s="67" t="s">
        <v>1559</v>
      </c>
      <c r="R390" s="19">
        <v>100000</v>
      </c>
      <c r="S390" s="12">
        <v>104000</v>
      </c>
      <c r="T390" s="12">
        <v>108000</v>
      </c>
      <c r="U390" s="12">
        <v>110000</v>
      </c>
      <c r="V390" s="13"/>
      <c r="W390" s="168"/>
      <c r="X390" s="14">
        <v>250</v>
      </c>
    </row>
    <row r="391" spans="1:24">
      <c r="A391" s="22" t="s">
        <v>362</v>
      </c>
      <c r="B391" s="45" t="str">
        <f>IFERROR(HYPERLINK(VLOOKUP(A391,ÜRÜNLER!A:C,3,FALSE),VLOOKUP(A391,ÜRÜNLER!A:B,2,FALSE)),"")</f>
        <v>iQ700 Ankastre Tam Otomatik Kahve Makinesi, Siyah</v>
      </c>
      <c r="C391" s="8">
        <v>3</v>
      </c>
      <c r="D391" s="8"/>
      <c r="E391" s="9"/>
      <c r="F391" s="9"/>
      <c r="G391" s="10"/>
      <c r="H391" s="10"/>
      <c r="I391" s="11"/>
      <c r="J391" s="11"/>
      <c r="K391" s="10"/>
      <c r="L391" s="11"/>
      <c r="M391" s="153"/>
      <c r="N391" s="110">
        <f t="shared" si="14"/>
        <v>3</v>
      </c>
      <c r="O391" s="111"/>
      <c r="P391" s="98"/>
      <c r="Q391" s="46">
        <v>165596.65974594664</v>
      </c>
      <c r="R391" s="18">
        <v>157316.82675864932</v>
      </c>
      <c r="S391" s="12">
        <v>163609.49982899529</v>
      </c>
      <c r="T391" s="12">
        <v>169902.17289934127</v>
      </c>
      <c r="U391" s="12">
        <v>173048.50943451424</v>
      </c>
      <c r="V391" s="13"/>
      <c r="W391" s="168"/>
      <c r="X391" s="14">
        <v>250</v>
      </c>
    </row>
    <row r="392" spans="1:24">
      <c r="A392" s="22" t="s">
        <v>363</v>
      </c>
      <c r="B392" s="45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53"/>
      <c r="N392" s="110">
        <f t="shared" si="14"/>
        <v>6</v>
      </c>
      <c r="O392" s="111"/>
      <c r="P392" s="98"/>
      <c r="Q392" s="159">
        <v>186210.56655393163</v>
      </c>
      <c r="R392" s="159">
        <v>167589.50989853847</v>
      </c>
      <c r="S392" s="12">
        <v>174293.09029448</v>
      </c>
      <c r="T392" s="12">
        <v>180996.67069042154</v>
      </c>
      <c r="U392" s="12">
        <v>184348.46088839232</v>
      </c>
      <c r="V392" s="13"/>
      <c r="W392" s="168"/>
      <c r="X392" s="14">
        <v>250</v>
      </c>
    </row>
    <row r="393" spans="1:24">
      <c r="A393" s="21" t="s">
        <v>364</v>
      </c>
      <c r="B393" s="45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9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53"/>
      <c r="N393" s="110">
        <f t="shared" si="14"/>
        <v>23</v>
      </c>
      <c r="O393" s="111"/>
      <c r="P393" s="98"/>
      <c r="Q393" s="46">
        <v>30821</v>
      </c>
      <c r="R393" s="23">
        <v>30821</v>
      </c>
      <c r="S393" s="12">
        <v>32053.84</v>
      </c>
      <c r="T393" s="12">
        <v>33286.68</v>
      </c>
      <c r="U393" s="12">
        <v>33903.1</v>
      </c>
      <c r="V393" s="69">
        <v>8351.8811146998742</v>
      </c>
      <c r="W393" s="168"/>
      <c r="X393" s="17">
        <v>250</v>
      </c>
    </row>
    <row r="394" spans="1:24">
      <c r="A394" s="21" t="s">
        <v>365</v>
      </c>
      <c r="B394" s="45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>
        <v>1</v>
      </c>
      <c r="K394" s="10"/>
      <c r="L394" s="11"/>
      <c r="M394" s="153"/>
      <c r="N394" s="110">
        <f t="shared" si="14"/>
        <v>1</v>
      </c>
      <c r="O394" s="111"/>
      <c r="P394" s="98"/>
      <c r="Q394" s="67" t="s">
        <v>1559</v>
      </c>
      <c r="R394" s="19">
        <v>22999</v>
      </c>
      <c r="S394" s="12">
        <v>23918.959999999999</v>
      </c>
      <c r="T394" s="12">
        <v>24838.92</v>
      </c>
      <c r="U394" s="12">
        <v>25298.9</v>
      </c>
      <c r="V394" s="13"/>
      <c r="W394" s="168"/>
      <c r="X394" s="17">
        <v>250</v>
      </c>
    </row>
    <row r="395" spans="1:24">
      <c r="A395" s="21" t="s">
        <v>366</v>
      </c>
      <c r="B395" s="45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53"/>
      <c r="N395" s="110">
        <f t="shared" si="14"/>
        <v>3</v>
      </c>
      <c r="O395" s="111"/>
      <c r="P395" s="98"/>
      <c r="Q395" s="67" t="s">
        <v>1559</v>
      </c>
      <c r="R395" s="19">
        <v>29000</v>
      </c>
      <c r="S395" s="12">
        <v>30160</v>
      </c>
      <c r="T395" s="12">
        <v>31320</v>
      </c>
      <c r="U395" s="12">
        <v>31900</v>
      </c>
      <c r="V395" s="13"/>
      <c r="W395" s="168"/>
      <c r="X395" s="17">
        <v>250</v>
      </c>
    </row>
    <row r="396" spans="1:24">
      <c r="A396" s="21" t="s">
        <v>367</v>
      </c>
      <c r="B396" s="45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9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53"/>
      <c r="N396" s="110">
        <f t="shared" si="14"/>
        <v>71</v>
      </c>
      <c r="O396" s="111"/>
      <c r="P396" s="98"/>
      <c r="Q396" s="46">
        <v>46150.533752817057</v>
      </c>
      <c r="R396" s="40">
        <v>46150.533752817057</v>
      </c>
      <c r="S396" s="12">
        <v>47996.555102929742</v>
      </c>
      <c r="T396" s="12">
        <v>49842.57645304242</v>
      </c>
      <c r="U396" s="12">
        <v>50765.587128098763</v>
      </c>
      <c r="V396" s="69">
        <v>11640.21265189963</v>
      </c>
      <c r="W396" s="168"/>
      <c r="X396" s="17">
        <v>250</v>
      </c>
    </row>
    <row r="397" spans="1:24">
      <c r="A397" s="21" t="s">
        <v>368</v>
      </c>
      <c r="B397" s="45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10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53"/>
      <c r="N397" s="110">
        <f t="shared" si="14"/>
        <v>79</v>
      </c>
      <c r="O397" s="111"/>
      <c r="P397" s="98"/>
      <c r="Q397" s="46">
        <v>49964.129333174926</v>
      </c>
      <c r="R397" s="23">
        <v>49964.129333174926</v>
      </c>
      <c r="S397" s="12">
        <v>51962.694506501924</v>
      </c>
      <c r="T397" s="12">
        <v>53961.259679828916</v>
      </c>
      <c r="U397" s="12">
        <v>54960.542266492419</v>
      </c>
      <c r="V397" s="69">
        <v>13848.303645101538</v>
      </c>
      <c r="W397" s="168"/>
      <c r="X397" s="17">
        <v>250</v>
      </c>
    </row>
    <row r="398" spans="1:24">
      <c r="A398" s="118" t="s">
        <v>369</v>
      </c>
      <c r="B398" s="45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>
        <v>2</v>
      </c>
      <c r="L398" s="11"/>
      <c r="M398" s="153"/>
      <c r="N398" s="110">
        <f t="shared" si="14"/>
        <v>6</v>
      </c>
      <c r="O398" s="111"/>
      <c r="P398" s="98"/>
      <c r="Q398" s="67" t="s">
        <v>1559</v>
      </c>
      <c r="R398" s="19">
        <v>15999</v>
      </c>
      <c r="S398" s="12">
        <v>16638.96</v>
      </c>
      <c r="T398" s="12">
        <v>17278.919999999998</v>
      </c>
      <c r="U398" s="12">
        <v>17598.900000000001</v>
      </c>
      <c r="V398" s="13"/>
      <c r="W398" s="168"/>
      <c r="X398" s="17">
        <v>250</v>
      </c>
    </row>
    <row r="399" spans="1:24">
      <c r="A399" s="118" t="s">
        <v>370</v>
      </c>
      <c r="B399" s="45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2</v>
      </c>
      <c r="L399" s="11">
        <v>1</v>
      </c>
      <c r="M399" s="153"/>
      <c r="N399" s="110">
        <f t="shared" si="14"/>
        <v>6</v>
      </c>
      <c r="O399" s="111"/>
      <c r="P399" s="98"/>
      <c r="Q399" s="67" t="s">
        <v>1559</v>
      </c>
      <c r="R399" s="19">
        <v>15999</v>
      </c>
      <c r="S399" s="12">
        <v>16638.96</v>
      </c>
      <c r="T399" s="12">
        <v>17278.919999999998</v>
      </c>
      <c r="U399" s="12">
        <v>17598.900000000001</v>
      </c>
      <c r="V399" s="13"/>
      <c r="W399" s="168"/>
      <c r="X399" s="17">
        <v>250</v>
      </c>
    </row>
    <row r="400" spans="1:24">
      <c r="A400" s="118" t="s">
        <v>371</v>
      </c>
      <c r="B400" s="45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53"/>
      <c r="N400" s="110">
        <f t="shared" si="14"/>
        <v>14</v>
      </c>
      <c r="O400" s="111"/>
      <c r="P400" s="98"/>
      <c r="Q400" s="67" t="s">
        <v>1559</v>
      </c>
      <c r="R400" s="19">
        <v>49999</v>
      </c>
      <c r="S400" s="12">
        <v>51998.96</v>
      </c>
      <c r="T400" s="12">
        <v>53998.92</v>
      </c>
      <c r="U400" s="12">
        <v>54998.9</v>
      </c>
      <c r="V400" s="13"/>
      <c r="W400" s="168"/>
      <c r="X400" s="17">
        <v>250</v>
      </c>
    </row>
    <row r="401" spans="1:24">
      <c r="A401" s="118" t="s">
        <v>372</v>
      </c>
      <c r="B401" s="45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53"/>
      <c r="N401" s="110">
        <f t="shared" si="14"/>
        <v>8</v>
      </c>
      <c r="O401" s="111"/>
      <c r="P401" s="98"/>
      <c r="Q401" s="67" t="s">
        <v>1559</v>
      </c>
      <c r="R401" s="19">
        <v>59999</v>
      </c>
      <c r="S401" s="12">
        <v>62398.96</v>
      </c>
      <c r="T401" s="12">
        <v>64798.92</v>
      </c>
      <c r="U401" s="12">
        <v>65998.899999999994</v>
      </c>
      <c r="V401" s="13"/>
      <c r="W401" s="168"/>
      <c r="X401" s="17">
        <v>250</v>
      </c>
    </row>
    <row r="402" spans="1:24">
      <c r="A402" s="119" t="s">
        <v>373</v>
      </c>
      <c r="B402" s="4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9</v>
      </c>
      <c r="G402" s="10"/>
      <c r="H402" s="10"/>
      <c r="I402" s="11">
        <v>4</v>
      </c>
      <c r="J402" s="11"/>
      <c r="K402" s="10">
        <v>1</v>
      </c>
      <c r="L402" s="11"/>
      <c r="M402" s="153"/>
      <c r="N402" s="110">
        <f t="shared" si="14"/>
        <v>14</v>
      </c>
      <c r="O402" s="111"/>
      <c r="P402" s="98"/>
      <c r="Q402" s="67" t="s">
        <v>1559</v>
      </c>
      <c r="R402" s="19">
        <v>21000</v>
      </c>
      <c r="S402" s="12">
        <v>21840</v>
      </c>
      <c r="T402" s="12">
        <v>22680</v>
      </c>
      <c r="U402" s="12">
        <v>23100</v>
      </c>
      <c r="V402" s="13"/>
      <c r="W402" s="168"/>
      <c r="X402" s="17">
        <v>250</v>
      </c>
    </row>
    <row r="403" spans="1:24">
      <c r="A403" s="119" t="s">
        <v>374</v>
      </c>
      <c r="B403" s="45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53"/>
      <c r="N403" s="110">
        <f t="shared" si="14"/>
        <v>6</v>
      </c>
      <c r="O403" s="111"/>
      <c r="P403" s="98"/>
      <c r="Q403" s="67" t="s">
        <v>1559</v>
      </c>
      <c r="R403" s="19">
        <v>19999</v>
      </c>
      <c r="S403" s="12">
        <v>20798.96</v>
      </c>
      <c r="T403" s="12">
        <v>21598.92</v>
      </c>
      <c r="U403" s="12">
        <v>21998.9</v>
      </c>
      <c r="V403" s="13"/>
      <c r="W403" s="168"/>
      <c r="X403" s="17">
        <v>250</v>
      </c>
    </row>
    <row r="404" spans="1:24">
      <c r="A404" s="139" t="s">
        <v>375</v>
      </c>
      <c r="B404" s="45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>
        <v>1</v>
      </c>
      <c r="L404" s="11"/>
      <c r="M404" s="153"/>
      <c r="N404" s="110">
        <f t="shared" si="14"/>
        <v>5</v>
      </c>
      <c r="O404" s="111"/>
      <c r="P404" s="98"/>
      <c r="Q404" s="67" t="s">
        <v>1559</v>
      </c>
      <c r="R404" s="19">
        <v>19999</v>
      </c>
      <c r="S404" s="12">
        <v>20798.96</v>
      </c>
      <c r="T404" s="12">
        <v>21598.92</v>
      </c>
      <c r="U404" s="12">
        <v>21998.9</v>
      </c>
      <c r="V404" s="13"/>
      <c r="W404" s="168"/>
      <c r="X404" s="17">
        <v>250</v>
      </c>
    </row>
    <row r="405" spans="1:24">
      <c r="A405" s="139" t="s">
        <v>376</v>
      </c>
      <c r="B405" s="45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53"/>
      <c r="N405" s="110">
        <f t="shared" si="14"/>
        <v>2</v>
      </c>
      <c r="O405" s="111"/>
      <c r="P405" s="98"/>
      <c r="Q405" s="67" t="s">
        <v>1559</v>
      </c>
      <c r="R405" s="19">
        <v>24999</v>
      </c>
      <c r="S405" s="12">
        <v>25998.959999999999</v>
      </c>
      <c r="T405" s="12">
        <v>26998.92</v>
      </c>
      <c r="U405" s="12">
        <v>27498.9</v>
      </c>
      <c r="V405" s="13"/>
      <c r="W405" s="168"/>
      <c r="X405" s="17">
        <v>250</v>
      </c>
    </row>
    <row r="406" spans="1:24">
      <c r="A406" s="140" t="s">
        <v>377</v>
      </c>
      <c r="B406" s="45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10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53"/>
      <c r="N406" s="110">
        <f t="shared" si="14"/>
        <v>27</v>
      </c>
      <c r="O406" s="111"/>
      <c r="P406" s="98"/>
      <c r="Q406" s="46">
        <v>40793.307112641975</v>
      </c>
      <c r="R406" s="70">
        <v>40793.307112641975</v>
      </c>
      <c r="S406" s="166">
        <v>42425.039397147651</v>
      </c>
      <c r="T406" s="166">
        <v>44056.771681653336</v>
      </c>
      <c r="U406" s="12">
        <v>44872.637823906174</v>
      </c>
      <c r="V406" s="69">
        <v>12705.004360348397</v>
      </c>
      <c r="W406" s="168"/>
      <c r="X406" s="17">
        <v>250</v>
      </c>
    </row>
    <row r="407" spans="1:24">
      <c r="A407" s="140" t="s">
        <v>378</v>
      </c>
      <c r="B407" s="45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27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53"/>
      <c r="N407" s="110">
        <f t="shared" si="14"/>
        <v>123</v>
      </c>
      <c r="O407" s="111"/>
      <c r="P407" s="98"/>
      <c r="Q407" s="46">
        <v>32099.651498472376</v>
      </c>
      <c r="R407" s="70">
        <v>32099.651498472376</v>
      </c>
      <c r="S407" s="166">
        <v>33383.637558411268</v>
      </c>
      <c r="T407" s="166">
        <v>34667.623618350168</v>
      </c>
      <c r="U407" s="12">
        <v>35309.616648319614</v>
      </c>
      <c r="V407" s="69">
        <v>8025.1102140687108</v>
      </c>
      <c r="W407" s="168"/>
      <c r="X407" s="17">
        <v>250</v>
      </c>
    </row>
    <row r="408" spans="1:24">
      <c r="A408" s="119" t="s">
        <v>379</v>
      </c>
      <c r="B408" s="4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53"/>
      <c r="N408" s="110">
        <f t="shared" si="14"/>
        <v>1</v>
      </c>
      <c r="O408" s="111"/>
      <c r="P408" s="98"/>
      <c r="Q408" s="67" t="s">
        <v>1559</v>
      </c>
      <c r="R408" s="19">
        <v>45000</v>
      </c>
      <c r="S408" s="12">
        <v>46800</v>
      </c>
      <c r="T408" s="12">
        <v>48600</v>
      </c>
      <c r="U408" s="12">
        <v>49500</v>
      </c>
      <c r="V408" s="13"/>
      <c r="W408" s="168"/>
      <c r="X408" s="17">
        <v>250</v>
      </c>
    </row>
    <row r="409" spans="1:24">
      <c r="A409" s="139" t="s">
        <v>380</v>
      </c>
      <c r="B409" s="45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53"/>
      <c r="N409" s="110">
        <f t="shared" si="14"/>
        <v>1</v>
      </c>
      <c r="O409" s="111"/>
      <c r="P409" s="98"/>
      <c r="Q409" s="67" t="s">
        <v>1559</v>
      </c>
      <c r="R409" s="19">
        <v>40000</v>
      </c>
      <c r="S409" s="12">
        <v>41600</v>
      </c>
      <c r="T409" s="12">
        <v>43200</v>
      </c>
      <c r="U409" s="12">
        <v>44000</v>
      </c>
      <c r="V409" s="13"/>
      <c r="W409" s="168"/>
      <c r="X409" s="17">
        <v>250</v>
      </c>
    </row>
    <row r="410" spans="1:24">
      <c r="A410" s="139" t="s">
        <v>381</v>
      </c>
      <c r="B410" s="45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/>
      <c r="G410" s="10"/>
      <c r="H410" s="10"/>
      <c r="I410" s="11"/>
      <c r="J410" s="11">
        <v>2</v>
      </c>
      <c r="K410" s="10"/>
      <c r="L410" s="11">
        <v>3</v>
      </c>
      <c r="M410" s="153"/>
      <c r="N410" s="110">
        <f t="shared" si="14"/>
        <v>22</v>
      </c>
      <c r="O410" s="111"/>
      <c r="P410" s="98"/>
      <c r="Q410" s="46">
        <v>52494.176938714467</v>
      </c>
      <c r="R410" s="42">
        <v>50965.220328848998</v>
      </c>
      <c r="S410" s="166">
        <v>53003.829142002956</v>
      </c>
      <c r="T410" s="166">
        <v>55042.437955156915</v>
      </c>
      <c r="U410" s="12">
        <v>56061.742361733894</v>
      </c>
      <c r="V410" s="13"/>
      <c r="W410" s="168"/>
      <c r="X410" s="17">
        <v>250</v>
      </c>
    </row>
    <row r="411" spans="1:24">
      <c r="A411" s="118" t="s">
        <v>382</v>
      </c>
      <c r="B411" s="45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3</v>
      </c>
      <c r="J411" s="11">
        <v>1</v>
      </c>
      <c r="K411" s="10">
        <v>1</v>
      </c>
      <c r="L411" s="11">
        <v>2</v>
      </c>
      <c r="M411" s="153"/>
      <c r="N411" s="110">
        <f t="shared" si="14"/>
        <v>7</v>
      </c>
      <c r="O411" s="111"/>
      <c r="P411" s="98"/>
      <c r="Q411" s="67" t="s">
        <v>1559</v>
      </c>
      <c r="R411" s="19">
        <v>24000</v>
      </c>
      <c r="S411" s="12">
        <v>24960</v>
      </c>
      <c r="T411" s="12">
        <v>25920</v>
      </c>
      <c r="U411" s="12">
        <v>26400</v>
      </c>
      <c r="V411" s="13"/>
      <c r="W411" s="168"/>
      <c r="X411" s="17">
        <v>250</v>
      </c>
    </row>
    <row r="412" spans="1:24">
      <c r="A412" s="124" t="s">
        <v>383</v>
      </c>
      <c r="B412" s="45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53"/>
      <c r="N412" s="110">
        <f t="shared" si="14"/>
        <v>8</v>
      </c>
      <c r="O412" s="111"/>
      <c r="P412" s="98"/>
      <c r="Q412" s="67" t="s">
        <v>1559</v>
      </c>
      <c r="R412" s="19">
        <v>23000</v>
      </c>
      <c r="S412" s="12">
        <v>23920</v>
      </c>
      <c r="T412" s="12">
        <v>24840</v>
      </c>
      <c r="U412" s="12">
        <v>25300</v>
      </c>
      <c r="V412" s="13"/>
      <c r="W412" s="168"/>
      <c r="X412" s="17">
        <v>250</v>
      </c>
    </row>
    <row r="413" spans="1:24">
      <c r="A413" s="141" t="s">
        <v>384</v>
      </c>
      <c r="B413" s="45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53"/>
      <c r="N413" s="110">
        <f t="shared" si="14"/>
        <v>3</v>
      </c>
      <c r="O413" s="111"/>
      <c r="P413" s="98"/>
      <c r="Q413" s="67" t="s">
        <v>1559</v>
      </c>
      <c r="R413" s="19">
        <v>39999</v>
      </c>
      <c r="S413" s="12">
        <v>41598.959999999999</v>
      </c>
      <c r="T413" s="12">
        <v>43198.92</v>
      </c>
      <c r="U413" s="12">
        <v>43998.9</v>
      </c>
      <c r="V413" s="13"/>
      <c r="W413" s="168"/>
      <c r="X413" s="17">
        <v>250</v>
      </c>
    </row>
    <row r="414" spans="1:24">
      <c r="A414" s="141" t="s">
        <v>385</v>
      </c>
      <c r="B414" s="45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4</v>
      </c>
      <c r="G414" s="10"/>
      <c r="H414" s="10"/>
      <c r="I414" s="11"/>
      <c r="J414" s="11"/>
      <c r="K414" s="10"/>
      <c r="L414" s="11">
        <v>1</v>
      </c>
      <c r="M414" s="153"/>
      <c r="N414" s="110">
        <f t="shared" si="14"/>
        <v>10</v>
      </c>
      <c r="O414" s="111"/>
      <c r="P414" s="98"/>
      <c r="Q414" s="46">
        <v>56989.324165687103</v>
      </c>
      <c r="R414" s="70">
        <v>50000</v>
      </c>
      <c r="S414" s="166">
        <v>52000</v>
      </c>
      <c r="T414" s="166">
        <v>54000</v>
      </c>
      <c r="U414" s="12">
        <v>55000</v>
      </c>
      <c r="V414" s="13"/>
      <c r="W414" s="168"/>
      <c r="X414" s="17">
        <v>250</v>
      </c>
    </row>
    <row r="415" spans="1:24">
      <c r="A415" s="118" t="s">
        <v>386</v>
      </c>
      <c r="B415" s="45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/>
      <c r="G415" s="10"/>
      <c r="H415" s="10"/>
      <c r="I415" s="11">
        <v>1</v>
      </c>
      <c r="J415" s="11"/>
      <c r="K415" s="10">
        <v>1</v>
      </c>
      <c r="L415" s="11">
        <v>1</v>
      </c>
      <c r="M415" s="153"/>
      <c r="N415" s="110">
        <f t="shared" si="14"/>
        <v>22</v>
      </c>
      <c r="O415" s="111"/>
      <c r="P415" s="98"/>
      <c r="Q415" s="46">
        <v>80886.471339026728</v>
      </c>
      <c r="R415" s="23">
        <v>80886.471339026728</v>
      </c>
      <c r="S415" s="12">
        <v>84121.930192587795</v>
      </c>
      <c r="T415" s="12">
        <v>87357.389046148863</v>
      </c>
      <c r="U415" s="12">
        <v>88975.118472929404</v>
      </c>
      <c r="V415" s="13"/>
      <c r="W415" s="168"/>
      <c r="X415" s="17">
        <v>250</v>
      </c>
    </row>
    <row r="416" spans="1:24">
      <c r="A416" s="118" t="s">
        <v>387</v>
      </c>
      <c r="B416" s="45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53"/>
      <c r="N416" s="110">
        <f t="shared" si="14"/>
        <v>12</v>
      </c>
      <c r="O416" s="111">
        <v>1</v>
      </c>
      <c r="P416" s="98"/>
      <c r="Q416" s="46">
        <v>101776.37741443558</v>
      </c>
      <c r="R416" s="23">
        <v>101776.37741443558</v>
      </c>
      <c r="S416" s="12">
        <v>105847.432511013</v>
      </c>
      <c r="T416" s="12">
        <v>109918.48760759043</v>
      </c>
      <c r="U416" s="12">
        <v>111954.01515587914</v>
      </c>
      <c r="V416" s="13"/>
      <c r="W416" s="168"/>
      <c r="X416" s="17">
        <v>250</v>
      </c>
    </row>
    <row r="417" spans="1:24">
      <c r="A417" s="124" t="s">
        <v>388</v>
      </c>
      <c r="B417" s="45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53"/>
      <c r="N417" s="110">
        <f t="shared" si="14"/>
        <v>5</v>
      </c>
      <c r="O417" s="111"/>
      <c r="P417" s="98"/>
      <c r="Q417" s="67" t="s">
        <v>1559</v>
      </c>
      <c r="R417" s="19">
        <v>30000</v>
      </c>
      <c r="S417" s="12">
        <v>31200</v>
      </c>
      <c r="T417" s="12">
        <v>32400</v>
      </c>
      <c r="U417" s="12">
        <v>33000</v>
      </c>
      <c r="V417" s="13"/>
      <c r="W417" s="168"/>
      <c r="X417" s="17">
        <v>250</v>
      </c>
    </row>
    <row r="418" spans="1:24">
      <c r="A418" s="117" t="s">
        <v>389</v>
      </c>
      <c r="B418" s="45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53"/>
      <c r="N418" s="110">
        <f t="shared" si="14"/>
        <v>1</v>
      </c>
      <c r="O418" s="111"/>
      <c r="P418" s="98"/>
      <c r="Q418" s="67" t="s">
        <v>1559</v>
      </c>
      <c r="R418" s="19">
        <v>30000</v>
      </c>
      <c r="S418" s="12">
        <v>31200</v>
      </c>
      <c r="T418" s="12">
        <v>32400</v>
      </c>
      <c r="U418" s="12">
        <v>33000</v>
      </c>
      <c r="V418" s="13"/>
      <c r="W418" s="168"/>
      <c r="X418" s="17">
        <v>250</v>
      </c>
    </row>
    <row r="419" spans="1:24">
      <c r="A419" s="117" t="s">
        <v>390</v>
      </c>
      <c r="B419" s="45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53"/>
      <c r="N419" s="110">
        <f t="shared" si="14"/>
        <v>2</v>
      </c>
      <c r="O419" s="111"/>
      <c r="P419" s="98"/>
      <c r="Q419" s="67" t="s">
        <v>1559</v>
      </c>
      <c r="R419" s="19">
        <v>30000</v>
      </c>
      <c r="S419" s="12">
        <v>31200</v>
      </c>
      <c r="T419" s="12">
        <v>32400</v>
      </c>
      <c r="U419" s="12">
        <v>33000</v>
      </c>
      <c r="V419" s="13"/>
      <c r="W419" s="168"/>
      <c r="X419" s="14">
        <v>250</v>
      </c>
    </row>
    <row r="420" spans="1:24" ht="34.5" customHeight="1">
      <c r="A420" s="31" t="s">
        <v>393</v>
      </c>
      <c r="B420" s="45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53"/>
      <c r="N420" s="110">
        <f>SUM(N390:N419)</f>
        <v>492</v>
      </c>
      <c r="O420" s="111"/>
      <c r="P420" s="98"/>
      <c r="R420" s="19"/>
      <c r="S420" s="12"/>
      <c r="T420" s="12"/>
      <c r="U420" s="12">
        <v>0</v>
      </c>
      <c r="V420" s="13"/>
      <c r="W420" s="168"/>
      <c r="X420" s="44"/>
    </row>
    <row r="421" spans="1:24">
      <c r="A421" s="21" t="s">
        <v>394</v>
      </c>
      <c r="B421" s="45" t="str">
        <f>IFERROR(HYPERLINK(VLOOKUP(A421,ÜRÜNLER!A:C,3,FALSE),VLOOKUP(A421,ÜRÜNLER!A:B,2,FALSE)),"")</f>
        <v>iQ500 Dik Şarjlı Elektrik Süpürgesi</v>
      </c>
      <c r="C421" s="8">
        <v>51</v>
      </c>
      <c r="D421" s="8"/>
      <c r="E421" s="9"/>
      <c r="F421" s="9">
        <v>1</v>
      </c>
      <c r="G421" s="10"/>
      <c r="H421" s="10"/>
      <c r="I421" s="11">
        <v>26</v>
      </c>
      <c r="J421" s="11">
        <v>3</v>
      </c>
      <c r="K421" s="10">
        <v>2</v>
      </c>
      <c r="L421" s="11">
        <v>4</v>
      </c>
      <c r="M421" s="153"/>
      <c r="N421" s="110">
        <f t="shared" ref="N421:N437" si="15">L421+M421+K421+J421+I421+H421+G421+F421+E421+D421+C421</f>
        <v>87</v>
      </c>
      <c r="O421" s="111">
        <v>204</v>
      </c>
      <c r="P421" s="98"/>
      <c r="Q421" s="46">
        <v>16035.596808446544</v>
      </c>
      <c r="R421" s="23">
        <v>16035.596808446544</v>
      </c>
      <c r="S421" s="12">
        <v>16677.020680784404</v>
      </c>
      <c r="T421" s="12">
        <v>17318.444553122266</v>
      </c>
      <c r="U421" s="12">
        <v>17639.156489291199</v>
      </c>
      <c r="V421" s="69">
        <v>3022.982129547463</v>
      </c>
      <c r="W421" s="168"/>
      <c r="X421" s="14">
        <v>250</v>
      </c>
    </row>
    <row r="422" spans="1:24">
      <c r="A422" s="21" t="s">
        <v>395</v>
      </c>
      <c r="B422" s="45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/>
      <c r="G422" s="10"/>
      <c r="H422" s="10"/>
      <c r="I422" s="11">
        <v>6</v>
      </c>
      <c r="J422" s="11">
        <v>3</v>
      </c>
      <c r="K422" s="10">
        <v>2</v>
      </c>
      <c r="L422" s="11">
        <v>2</v>
      </c>
      <c r="M422" s="153">
        <v>2</v>
      </c>
      <c r="N422" s="110">
        <f t="shared" si="15"/>
        <v>63</v>
      </c>
      <c r="O422" s="111">
        <v>82</v>
      </c>
      <c r="P422" s="98"/>
      <c r="Q422" s="46">
        <v>21917.208728307571</v>
      </c>
      <c r="R422" s="23">
        <v>21917.208728307571</v>
      </c>
      <c r="S422" s="12">
        <v>22793.897077439873</v>
      </c>
      <c r="T422" s="12">
        <v>23670.585426572175</v>
      </c>
      <c r="U422" s="12">
        <v>24108.929601138327</v>
      </c>
      <c r="V422" s="69">
        <v>4136.2454255552766</v>
      </c>
      <c r="W422" s="168"/>
      <c r="X422" s="14">
        <v>250</v>
      </c>
    </row>
    <row r="423" spans="1:24">
      <c r="A423" s="21" t="s">
        <v>396</v>
      </c>
      <c r="B423" s="45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/>
      <c r="G423" s="10"/>
      <c r="H423" s="10"/>
      <c r="I423" s="11">
        <v>8</v>
      </c>
      <c r="J423" s="11">
        <v>5</v>
      </c>
      <c r="K423" s="10">
        <v>1</v>
      </c>
      <c r="L423" s="11">
        <v>2</v>
      </c>
      <c r="M423" s="153"/>
      <c r="N423" s="110">
        <f t="shared" si="15"/>
        <v>88</v>
      </c>
      <c r="O423" s="111">
        <v>123</v>
      </c>
      <c r="P423" s="98"/>
      <c r="Q423" s="46">
        <v>22889.510310267811</v>
      </c>
      <c r="R423" s="23">
        <v>22889.508000000002</v>
      </c>
      <c r="S423" s="12">
        <v>23805.088320000003</v>
      </c>
      <c r="T423" s="12">
        <v>24720.668640000004</v>
      </c>
      <c r="U423" s="12">
        <v>25178.4588</v>
      </c>
      <c r="V423" s="69">
        <v>4321.849759809098</v>
      </c>
      <c r="W423" s="168"/>
      <c r="X423" s="14">
        <v>250</v>
      </c>
    </row>
    <row r="424" spans="1:24">
      <c r="A424" s="21" t="s">
        <v>397</v>
      </c>
      <c r="B424" s="45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1</v>
      </c>
      <c r="G424" s="10"/>
      <c r="H424" s="10"/>
      <c r="I424" s="11">
        <v>1</v>
      </c>
      <c r="J424" s="11"/>
      <c r="K424" s="10"/>
      <c r="L424" s="11"/>
      <c r="M424" s="153"/>
      <c r="N424" s="110">
        <f t="shared" si="15"/>
        <v>2</v>
      </c>
      <c r="O424" s="111"/>
      <c r="P424" s="98"/>
      <c r="Q424" s="46">
        <v>7199.9210291256977</v>
      </c>
      <c r="R424" s="42">
        <v>5000</v>
      </c>
      <c r="S424" s="12">
        <v>5200</v>
      </c>
      <c r="T424" s="12">
        <v>5400</v>
      </c>
      <c r="U424" s="12">
        <v>5500</v>
      </c>
      <c r="V424" s="13"/>
      <c r="W424" s="168"/>
      <c r="X424" s="14">
        <v>250</v>
      </c>
    </row>
    <row r="425" spans="1:24">
      <c r="A425" s="21" t="s">
        <v>398</v>
      </c>
      <c r="B425" s="45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3</v>
      </c>
      <c r="G425" s="10"/>
      <c r="H425" s="10"/>
      <c r="I425" s="11">
        <v>1</v>
      </c>
      <c r="J425" s="11"/>
      <c r="K425" s="10"/>
      <c r="L425" s="11"/>
      <c r="M425" s="153"/>
      <c r="N425" s="110">
        <f t="shared" si="15"/>
        <v>4</v>
      </c>
      <c r="O425" s="111"/>
      <c r="P425" s="98"/>
      <c r="Q425" s="46">
        <v>7890.0382904480366</v>
      </c>
      <c r="R425" s="42">
        <v>6000</v>
      </c>
      <c r="S425" s="12">
        <v>6240</v>
      </c>
      <c r="T425" s="12">
        <v>6480</v>
      </c>
      <c r="U425" s="12">
        <v>6600</v>
      </c>
      <c r="V425" s="13"/>
      <c r="W425" s="168"/>
      <c r="X425" s="14">
        <v>250</v>
      </c>
    </row>
    <row r="426" spans="1:24">
      <c r="A426" s="129" t="s">
        <v>399</v>
      </c>
      <c r="B426" s="45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/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53"/>
      <c r="N426" s="110">
        <f t="shared" si="15"/>
        <v>5</v>
      </c>
      <c r="O426" s="111"/>
      <c r="P426" s="98"/>
      <c r="Q426" s="67" t="s">
        <v>1559</v>
      </c>
      <c r="R426" s="15">
        <v>6599</v>
      </c>
      <c r="S426" s="12">
        <v>6862.96</v>
      </c>
      <c r="T426" s="12">
        <v>7126.92</v>
      </c>
      <c r="U426" s="12">
        <v>7258.9</v>
      </c>
      <c r="V426" s="13"/>
      <c r="W426" s="168"/>
      <c r="X426" s="14">
        <v>250</v>
      </c>
    </row>
    <row r="427" spans="1:24">
      <c r="A427" s="129" t="s">
        <v>400</v>
      </c>
      <c r="B427" s="45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53"/>
      <c r="N427" s="110">
        <f t="shared" si="15"/>
        <v>1</v>
      </c>
      <c r="O427" s="111"/>
      <c r="P427" s="98"/>
      <c r="Q427" s="67" t="s">
        <v>1559</v>
      </c>
      <c r="R427" s="19">
        <v>5999</v>
      </c>
      <c r="S427" s="12">
        <v>6238.96</v>
      </c>
      <c r="T427" s="12">
        <v>6478.92</v>
      </c>
      <c r="U427" s="12">
        <v>6598.9</v>
      </c>
      <c r="V427" s="13"/>
      <c r="W427" s="168"/>
      <c r="X427" s="14">
        <v>250</v>
      </c>
    </row>
    <row r="428" spans="1:24">
      <c r="A428" s="21" t="s">
        <v>401</v>
      </c>
      <c r="B428" s="45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5</v>
      </c>
      <c r="J428" s="11">
        <v>1</v>
      </c>
      <c r="K428" s="10">
        <v>2</v>
      </c>
      <c r="L428" s="11">
        <v>3</v>
      </c>
      <c r="M428" s="153"/>
      <c r="N428" s="110">
        <f t="shared" si="15"/>
        <v>23</v>
      </c>
      <c r="O428" s="111"/>
      <c r="P428" s="98"/>
      <c r="Q428" s="46">
        <v>17385.606197683526</v>
      </c>
      <c r="R428" s="42">
        <v>15000</v>
      </c>
      <c r="S428" s="12">
        <v>15600</v>
      </c>
      <c r="T428" s="12">
        <v>16200</v>
      </c>
      <c r="U428" s="12">
        <v>16500</v>
      </c>
      <c r="V428" s="13"/>
      <c r="W428" s="168"/>
      <c r="X428" s="14">
        <v>250</v>
      </c>
    </row>
    <row r="429" spans="1:24">
      <c r="A429" s="21" t="s">
        <v>402</v>
      </c>
      <c r="B429" s="45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53"/>
      <c r="N429" s="110">
        <f t="shared" si="15"/>
        <v>2</v>
      </c>
      <c r="O429" s="111"/>
      <c r="P429" s="98"/>
      <c r="Q429" s="67" t="s">
        <v>1559</v>
      </c>
      <c r="R429" s="19">
        <v>10999</v>
      </c>
      <c r="S429" s="12">
        <v>11438.96</v>
      </c>
      <c r="T429" s="12">
        <v>11878.92</v>
      </c>
      <c r="U429" s="12">
        <v>12098.9</v>
      </c>
      <c r="V429" s="13"/>
      <c r="W429" s="168"/>
      <c r="X429" s="14">
        <v>250</v>
      </c>
    </row>
    <row r="430" spans="1:24">
      <c r="A430" s="21" t="s">
        <v>403</v>
      </c>
      <c r="B430" s="45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/>
      <c r="G430" s="10"/>
      <c r="H430" s="10"/>
      <c r="I430" s="11">
        <v>2</v>
      </c>
      <c r="J430" s="11">
        <v>4</v>
      </c>
      <c r="K430" s="10"/>
      <c r="L430" s="11">
        <v>4</v>
      </c>
      <c r="M430" s="153"/>
      <c r="N430" s="110">
        <f t="shared" si="15"/>
        <v>14</v>
      </c>
      <c r="O430" s="111"/>
      <c r="P430" s="98"/>
      <c r="Q430" s="46">
        <v>12473.574901724722</v>
      </c>
      <c r="R430" s="42">
        <v>11424.779999999999</v>
      </c>
      <c r="S430" s="12">
        <v>11881.771199999999</v>
      </c>
      <c r="T430" s="12">
        <v>12338.7624</v>
      </c>
      <c r="U430" s="12">
        <v>12567.257999999998</v>
      </c>
      <c r="V430" s="13"/>
      <c r="W430" s="168"/>
      <c r="X430" s="14">
        <v>250</v>
      </c>
    </row>
    <row r="431" spans="1:24">
      <c r="A431" s="118" t="s">
        <v>404</v>
      </c>
      <c r="B431" s="45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13</v>
      </c>
      <c r="G431" s="10"/>
      <c r="H431" s="10"/>
      <c r="I431" s="11">
        <v>6</v>
      </c>
      <c r="J431" s="11">
        <v>1</v>
      </c>
      <c r="K431" s="10">
        <v>24</v>
      </c>
      <c r="L431" s="11">
        <v>2</v>
      </c>
      <c r="M431" s="153"/>
      <c r="N431" s="110">
        <f t="shared" si="15"/>
        <v>47</v>
      </c>
      <c r="O431" s="111"/>
      <c r="P431" s="98"/>
      <c r="Q431" s="46">
        <v>9014.0958506441748</v>
      </c>
      <c r="R431" s="42">
        <v>7000</v>
      </c>
      <c r="S431" s="12">
        <v>7280</v>
      </c>
      <c r="T431" s="12">
        <v>7560</v>
      </c>
      <c r="U431" s="12">
        <v>7700</v>
      </c>
      <c r="V431" s="13"/>
      <c r="W431" s="168"/>
      <c r="X431" s="14">
        <v>250</v>
      </c>
    </row>
    <row r="432" spans="1:24">
      <c r="A432" s="118" t="s">
        <v>405</v>
      </c>
      <c r="B432" s="45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5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53"/>
      <c r="N432" s="110">
        <f t="shared" si="15"/>
        <v>24</v>
      </c>
      <c r="O432" s="111"/>
      <c r="P432" s="98"/>
      <c r="Q432" s="46">
        <v>11340.828006656646</v>
      </c>
      <c r="R432" s="42">
        <v>10387.271999999999</v>
      </c>
      <c r="S432" s="12">
        <v>10802.762879999998</v>
      </c>
      <c r="T432" s="12">
        <v>11218.25376</v>
      </c>
      <c r="U432" s="12">
        <v>11425.999199999998</v>
      </c>
      <c r="V432" s="13"/>
      <c r="W432" s="168"/>
      <c r="X432" s="14">
        <v>250</v>
      </c>
    </row>
    <row r="433" spans="1:24">
      <c r="A433" s="118" t="s">
        <v>406</v>
      </c>
      <c r="B433" s="45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3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53"/>
      <c r="N433" s="110">
        <f t="shared" si="15"/>
        <v>47</v>
      </c>
      <c r="O433" s="111"/>
      <c r="P433" s="98"/>
      <c r="Q433" s="46">
        <v>9537.7576196999089</v>
      </c>
      <c r="R433" s="42">
        <v>8500</v>
      </c>
      <c r="S433" s="12">
        <v>8840</v>
      </c>
      <c r="T433" s="12">
        <v>9180</v>
      </c>
      <c r="U433" s="12">
        <v>9350</v>
      </c>
      <c r="V433" s="13"/>
      <c r="W433" s="168"/>
      <c r="X433" s="14">
        <v>250</v>
      </c>
    </row>
    <row r="434" spans="1:24">
      <c r="A434" s="118" t="s">
        <v>407</v>
      </c>
      <c r="B434" s="45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53"/>
      <c r="N434" s="110">
        <f t="shared" si="15"/>
        <v>5</v>
      </c>
      <c r="O434" s="111"/>
      <c r="P434" s="98"/>
      <c r="Q434" s="67" t="s">
        <v>1559</v>
      </c>
      <c r="R434" s="15">
        <v>6500</v>
      </c>
      <c r="S434" s="12">
        <v>6760</v>
      </c>
      <c r="T434" s="12">
        <v>7020</v>
      </c>
      <c r="U434" s="12">
        <v>7150</v>
      </c>
      <c r="V434" s="13"/>
      <c r="W434" s="168"/>
      <c r="X434" s="14">
        <v>250</v>
      </c>
    </row>
    <row r="435" spans="1:24">
      <c r="A435" s="118" t="s">
        <v>408</v>
      </c>
      <c r="B435" s="45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52</v>
      </c>
      <c r="G435" s="10"/>
      <c r="H435" s="10"/>
      <c r="I435" s="11">
        <v>7</v>
      </c>
      <c r="J435" s="11">
        <v>5</v>
      </c>
      <c r="K435" s="10">
        <v>3</v>
      </c>
      <c r="L435" s="11">
        <v>4</v>
      </c>
      <c r="M435" s="153"/>
      <c r="N435" s="110">
        <f t="shared" si="15"/>
        <v>72</v>
      </c>
      <c r="O435" s="111"/>
      <c r="P435" s="98"/>
      <c r="Q435" s="46">
        <v>12397.26916737494</v>
      </c>
      <c r="R435" s="42">
        <v>11695.536</v>
      </c>
      <c r="S435" s="12">
        <v>12163.35744</v>
      </c>
      <c r="T435" s="12">
        <v>12631.178879999999</v>
      </c>
      <c r="U435" s="12">
        <v>12865.089599999999</v>
      </c>
      <c r="V435" s="13"/>
      <c r="W435" s="168"/>
      <c r="X435" s="14">
        <v>250</v>
      </c>
    </row>
    <row r="436" spans="1:24">
      <c r="A436" s="118" t="s">
        <v>409</v>
      </c>
      <c r="B436" s="45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53"/>
      <c r="N436" s="110">
        <f t="shared" si="15"/>
        <v>1</v>
      </c>
      <c r="O436" s="111"/>
      <c r="P436" s="98"/>
      <c r="Q436" s="67" t="s">
        <v>1559</v>
      </c>
      <c r="R436" s="19">
        <v>4999</v>
      </c>
      <c r="S436" s="12">
        <v>5198.96</v>
      </c>
      <c r="T436" s="12">
        <v>5398.92</v>
      </c>
      <c r="U436" s="12">
        <v>5498.9</v>
      </c>
      <c r="V436" s="13"/>
      <c r="W436" s="168"/>
      <c r="X436" s="14">
        <v>250</v>
      </c>
    </row>
    <row r="437" spans="1:24">
      <c r="A437" s="118" t="s">
        <v>410</v>
      </c>
      <c r="B437" s="45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31</v>
      </c>
      <c r="G437" s="10"/>
      <c r="H437" s="10"/>
      <c r="I437" s="11">
        <v>9</v>
      </c>
      <c r="J437" s="11">
        <v>12</v>
      </c>
      <c r="K437" s="10">
        <v>8</v>
      </c>
      <c r="L437" s="11">
        <v>4</v>
      </c>
      <c r="M437" s="153"/>
      <c r="N437" s="110">
        <f t="shared" si="15"/>
        <v>65</v>
      </c>
      <c r="O437" s="111"/>
      <c r="P437" s="98"/>
      <c r="Q437" s="46">
        <v>21734.966643145952</v>
      </c>
      <c r="R437" s="42">
        <v>19907</v>
      </c>
      <c r="S437" s="12">
        <v>20703.28</v>
      </c>
      <c r="T437" s="12">
        <v>21499.56</v>
      </c>
      <c r="U437" s="12">
        <v>21897.7</v>
      </c>
      <c r="V437" s="13"/>
      <c r="W437" s="168"/>
      <c r="X437" s="14">
        <v>250</v>
      </c>
    </row>
    <row r="438" spans="1:24" ht="47.25" customHeight="1">
      <c r="A438" s="146" t="s">
        <v>413</v>
      </c>
      <c r="B438" s="45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53"/>
      <c r="N438" s="110">
        <f>SUM(N421:N437)</f>
        <v>550</v>
      </c>
      <c r="O438" s="111"/>
      <c r="P438" s="9"/>
      <c r="R438" s="19"/>
      <c r="S438" s="12"/>
      <c r="T438" s="12"/>
      <c r="U438" s="12">
        <v>0</v>
      </c>
      <c r="V438" s="13"/>
      <c r="W438" s="168"/>
      <c r="X438" s="17"/>
    </row>
    <row r="439" spans="1:24">
      <c r="A439" s="21" t="s">
        <v>416</v>
      </c>
      <c r="B439" s="45" t="str">
        <f>IFERROR(HYPERLINK(VLOOKUP(A439,ÜRÜNLER!A:C,3,FALSE),VLOOKUP(A439,ÜRÜNLER!A:B,2,FALSE)),"")</f>
        <v>Soğuk Su Sebili, Gri</v>
      </c>
      <c r="C439" s="8">
        <v>113</v>
      </c>
      <c r="D439" s="8"/>
      <c r="E439" s="9"/>
      <c r="F439" s="9">
        <v>1</v>
      </c>
      <c r="G439" s="10"/>
      <c r="H439" s="10"/>
      <c r="I439" s="11">
        <v>4</v>
      </c>
      <c r="J439" s="11">
        <v>1</v>
      </c>
      <c r="K439" s="10">
        <v>3</v>
      </c>
      <c r="L439" s="11">
        <v>1</v>
      </c>
      <c r="M439" s="153"/>
      <c r="N439" s="110">
        <f t="shared" ref="N439:N471" si="16">L439+M439+K439+J439+I439+H439+G439+F439+E439+D439+C439</f>
        <v>123</v>
      </c>
      <c r="O439" s="111">
        <v>101</v>
      </c>
      <c r="P439" s="98"/>
      <c r="Q439" s="46">
        <v>11557.631375430534</v>
      </c>
      <c r="R439" s="42">
        <v>12713.394512973588</v>
      </c>
      <c r="S439" s="12">
        <v>13221.930293492531</v>
      </c>
      <c r="T439" s="12">
        <v>13730.466074011474</v>
      </c>
      <c r="U439" s="12">
        <v>13984.733964270947</v>
      </c>
      <c r="V439" s="13"/>
      <c r="W439" s="168"/>
      <c r="X439" s="14">
        <v>50</v>
      </c>
    </row>
    <row r="440" spans="1:24">
      <c r="A440" s="21" t="s">
        <v>417</v>
      </c>
      <c r="B440" s="45" t="str">
        <f>IFERROR(HYPERLINK(VLOOKUP(A440,ÜRÜNLER!A:C,3,FALSE),VLOOKUP(A440,ÜRÜNLER!A:B,2,FALSE)),"")</f>
        <v>Soğuk Su Sebili, Siyah/Gri, Dokunmatik</v>
      </c>
      <c r="C440" s="8">
        <v>13</v>
      </c>
      <c r="D440" s="8"/>
      <c r="E440" s="9"/>
      <c r="F440" s="9">
        <v>7</v>
      </c>
      <c r="G440" s="10"/>
      <c r="H440" s="10"/>
      <c r="I440" s="11"/>
      <c r="J440" s="11">
        <v>1</v>
      </c>
      <c r="K440" s="10">
        <v>1</v>
      </c>
      <c r="L440" s="11">
        <v>1</v>
      </c>
      <c r="M440" s="153"/>
      <c r="N440" s="110">
        <f t="shared" si="16"/>
        <v>23</v>
      </c>
      <c r="O440" s="111">
        <v>33</v>
      </c>
      <c r="P440" s="98"/>
      <c r="Q440" s="46">
        <v>16826.70644902355</v>
      </c>
      <c r="R440" s="42">
        <v>18509.377093925905</v>
      </c>
      <c r="S440" s="12">
        <v>19249.752177682942</v>
      </c>
      <c r="T440" s="12">
        <v>19990.127261439979</v>
      </c>
      <c r="U440" s="12">
        <v>20360.314803318495</v>
      </c>
      <c r="V440" s="13"/>
      <c r="W440" s="168"/>
      <c r="X440" s="14">
        <v>100</v>
      </c>
    </row>
    <row r="441" spans="1:24">
      <c r="A441" s="21" t="s">
        <v>418</v>
      </c>
      <c r="B441" s="45" t="str">
        <f>IFERROR(HYPERLINK(VLOOKUP(A441,ÜRÜNLER!A:C,3,FALSE),VLOOKUP(A441,ÜRÜNLER!A:B,2,FALSE)),"")</f>
        <v>Soğuk Su Sebili, Siyah/Gri</v>
      </c>
      <c r="C441" s="8">
        <v>8</v>
      </c>
      <c r="D441" s="8"/>
      <c r="E441" s="9"/>
      <c r="F441" s="9">
        <v>3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53">
        <v>1</v>
      </c>
      <c r="N441" s="110">
        <f t="shared" si="16"/>
        <v>15</v>
      </c>
      <c r="O441" s="111">
        <v>211</v>
      </c>
      <c r="P441" s="98"/>
      <c r="Q441" s="46">
        <v>16626.634660857195</v>
      </c>
      <c r="R441" s="42">
        <v>18289.298126942915</v>
      </c>
      <c r="S441" s="12">
        <v>19020.870052020633</v>
      </c>
      <c r="T441" s="12">
        <v>19752.441977098348</v>
      </c>
      <c r="U441" s="12">
        <v>20118.227939637207</v>
      </c>
      <c r="V441" s="13"/>
      <c r="W441" s="168"/>
      <c r="X441" s="14">
        <v>100</v>
      </c>
    </row>
    <row r="442" spans="1:24">
      <c r="A442" s="21" t="s">
        <v>419</v>
      </c>
      <c r="B442" s="45" t="str">
        <f>IFERROR(HYPERLINK(VLOOKUP(A442,ÜRÜNLER!A:C,3,FALSE),VLOOKUP(A442,ÜRÜNLER!A:B,2,FALSE)),"")</f>
        <v>Sıcak/Soğuk Su Sebili, Beyaz</v>
      </c>
      <c r="C442" s="8">
        <v>48</v>
      </c>
      <c r="D442" s="8"/>
      <c r="E442" s="9"/>
      <c r="F442" s="9">
        <v>5</v>
      </c>
      <c r="G442" s="10"/>
      <c r="H442" s="10"/>
      <c r="I442" s="11">
        <v>2</v>
      </c>
      <c r="J442" s="11">
        <v>3</v>
      </c>
      <c r="K442" s="10"/>
      <c r="L442" s="11">
        <v>1</v>
      </c>
      <c r="M442" s="153"/>
      <c r="N442" s="110">
        <f t="shared" si="16"/>
        <v>59</v>
      </c>
      <c r="O442" s="111">
        <v>56</v>
      </c>
      <c r="P442" s="98"/>
      <c r="Q442" s="46">
        <v>15392.448562205045</v>
      </c>
      <c r="R442" s="42">
        <v>16931.693418425551</v>
      </c>
      <c r="S442" s="12">
        <v>17608.961155162575</v>
      </c>
      <c r="T442" s="12">
        <v>18286.228891899595</v>
      </c>
      <c r="U442" s="12">
        <v>18624.862760268108</v>
      </c>
      <c r="V442" s="13"/>
      <c r="W442" s="168"/>
      <c r="X442" s="14">
        <v>100</v>
      </c>
    </row>
    <row r="443" spans="1:24">
      <c r="A443" s="21" t="s">
        <v>420</v>
      </c>
      <c r="B443" s="45" t="str">
        <f>IFERROR(HYPERLINK(VLOOKUP(A443,ÜRÜNLER!A:C,3,FALSE),VLOOKUP(A443,ÜRÜNLER!A:B,2,FALSE)),"")</f>
        <v>Soğuk Su Sebili, Siyah/Gri, Sensörlü</v>
      </c>
      <c r="C443" s="8">
        <v>8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53"/>
      <c r="N443" s="110">
        <f t="shared" si="16"/>
        <v>10</v>
      </c>
      <c r="O443" s="111">
        <v>169</v>
      </c>
      <c r="P443" s="98"/>
      <c r="Q443" s="46">
        <v>17624.748999103325</v>
      </c>
      <c r="R443" s="42">
        <v>19387.223899013658</v>
      </c>
      <c r="S443" s="12">
        <v>20162.712854974205</v>
      </c>
      <c r="T443" s="12">
        <v>20938.201810934748</v>
      </c>
      <c r="U443" s="12">
        <v>21325.946288915024</v>
      </c>
      <c r="V443" s="13"/>
      <c r="W443" s="168"/>
      <c r="X443" s="14">
        <v>100</v>
      </c>
    </row>
    <row r="444" spans="1:24">
      <c r="A444" s="117" t="s">
        <v>391</v>
      </c>
      <c r="B444" s="45" t="str">
        <f>IFERROR(HYPERLINK(VLOOKUP(A444,ÜRÜNLER!A:C,3,FALSE),VLOOKUP(A444,ÜRÜNLER!A:B,2,FALSE)),"")</f>
        <v>Temizleme Tableti</v>
      </c>
      <c r="C444" s="8"/>
      <c r="D444" s="8"/>
      <c r="E444" s="9"/>
      <c r="F444" s="9">
        <v>76</v>
      </c>
      <c r="G444" s="10"/>
      <c r="H444" s="10"/>
      <c r="I444" s="11">
        <v>49</v>
      </c>
      <c r="J444" s="11">
        <v>34</v>
      </c>
      <c r="K444" s="10">
        <v>13</v>
      </c>
      <c r="L444" s="11">
        <v>24</v>
      </c>
      <c r="M444" s="153"/>
      <c r="N444" s="110">
        <f t="shared" si="16"/>
        <v>196</v>
      </c>
      <c r="O444" s="111"/>
      <c r="P444" s="98"/>
      <c r="Q444" s="46">
        <v>480</v>
      </c>
      <c r="R444" s="19">
        <v>650</v>
      </c>
      <c r="S444" s="12">
        <v>700</v>
      </c>
      <c r="T444" s="12">
        <v>800</v>
      </c>
      <c r="U444" s="12">
        <v>715</v>
      </c>
      <c r="V444" s="13"/>
      <c r="W444" s="168"/>
      <c r="X444" s="17">
        <v>50</v>
      </c>
    </row>
    <row r="445" spans="1:24">
      <c r="A445" s="117" t="s">
        <v>392</v>
      </c>
      <c r="B445" s="45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26</v>
      </c>
      <c r="G445" s="10"/>
      <c r="H445" s="10"/>
      <c r="I445" s="11">
        <v>53</v>
      </c>
      <c r="J445" s="11">
        <v>19</v>
      </c>
      <c r="K445" s="10">
        <v>1</v>
      </c>
      <c r="L445" s="11">
        <v>22</v>
      </c>
      <c r="M445" s="153"/>
      <c r="N445" s="110">
        <f t="shared" si="16"/>
        <v>121</v>
      </c>
      <c r="O445" s="111"/>
      <c r="P445" s="98"/>
      <c r="Q445" s="46">
        <v>480</v>
      </c>
      <c r="R445" s="19">
        <v>650</v>
      </c>
      <c r="S445" s="12">
        <v>700</v>
      </c>
      <c r="T445" s="12">
        <v>800</v>
      </c>
      <c r="U445" s="12">
        <v>715</v>
      </c>
      <c r="V445" s="13"/>
      <c r="W445" s="168"/>
      <c r="X445" s="17">
        <v>50</v>
      </c>
    </row>
    <row r="446" spans="1:24">
      <c r="A446" s="118" t="s">
        <v>202</v>
      </c>
      <c r="B446" s="45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4</v>
      </c>
      <c r="J446" s="11">
        <v>8</v>
      </c>
      <c r="K446" s="10">
        <v>9</v>
      </c>
      <c r="L446" s="11">
        <v>4</v>
      </c>
      <c r="M446" s="153"/>
      <c r="N446" s="110">
        <f t="shared" si="16"/>
        <v>53</v>
      </c>
      <c r="O446" s="111">
        <v>9</v>
      </c>
      <c r="P446" s="98"/>
      <c r="Q446" s="159">
        <v>344</v>
      </c>
      <c r="R446" s="19">
        <v>650</v>
      </c>
      <c r="S446" s="12">
        <v>700</v>
      </c>
      <c r="T446" s="12">
        <v>800</v>
      </c>
      <c r="U446" s="12">
        <v>715</v>
      </c>
      <c r="V446" s="13"/>
      <c r="W446" s="168"/>
      <c r="X446" s="17">
        <v>50</v>
      </c>
    </row>
    <row r="447" spans="1:24">
      <c r="A447" s="118" t="s">
        <v>203</v>
      </c>
      <c r="B447" s="45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53"/>
      <c r="N447" s="110">
        <f t="shared" si="16"/>
        <v>2</v>
      </c>
      <c r="O447" s="111"/>
      <c r="P447" s="98"/>
      <c r="Q447" s="67"/>
      <c r="R447" s="19">
        <v>999</v>
      </c>
      <c r="S447" s="12">
        <v>1038.96</v>
      </c>
      <c r="T447" s="12">
        <v>1078.92</v>
      </c>
      <c r="U447" s="12">
        <v>1098.9000000000001</v>
      </c>
      <c r="V447" s="13"/>
      <c r="W447" s="168"/>
      <c r="X447" s="17">
        <v>50</v>
      </c>
    </row>
    <row r="448" spans="1:24">
      <c r="A448" s="118" t="s">
        <v>411</v>
      </c>
      <c r="B448" s="45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53"/>
      <c r="N448" s="110">
        <f t="shared" si="16"/>
        <v>6</v>
      </c>
      <c r="O448" s="111"/>
      <c r="P448" s="98"/>
      <c r="R448" s="19">
        <v>400</v>
      </c>
      <c r="S448" s="12">
        <v>450</v>
      </c>
      <c r="T448" s="12">
        <v>432</v>
      </c>
      <c r="U448" s="12">
        <v>440</v>
      </c>
      <c r="V448" s="13"/>
      <c r="W448" s="168"/>
      <c r="X448" s="17">
        <v>50</v>
      </c>
    </row>
    <row r="449" spans="1:24">
      <c r="A449" s="118" t="s">
        <v>412</v>
      </c>
      <c r="B449" s="45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139</v>
      </c>
      <c r="G449" s="10"/>
      <c r="H449" s="10"/>
      <c r="I449" s="11">
        <v>73</v>
      </c>
      <c r="J449" s="11">
        <v>5</v>
      </c>
      <c r="K449" s="10">
        <v>7</v>
      </c>
      <c r="L449" s="11">
        <v>10</v>
      </c>
      <c r="M449" s="153"/>
      <c r="N449" s="110">
        <f t="shared" si="16"/>
        <v>235</v>
      </c>
      <c r="O449" s="111"/>
      <c r="P449" s="98"/>
      <c r="Q449" s="46">
        <v>328</v>
      </c>
      <c r="R449" s="19">
        <v>450</v>
      </c>
      <c r="S449" s="12">
        <v>450</v>
      </c>
      <c r="T449" s="12">
        <v>500</v>
      </c>
      <c r="U449" s="12">
        <v>495</v>
      </c>
      <c r="V449" s="13"/>
      <c r="W449" s="168"/>
      <c r="X449" s="17">
        <v>50</v>
      </c>
    </row>
    <row r="450" spans="1:24">
      <c r="A450" s="118" t="s">
        <v>414</v>
      </c>
      <c r="B450" s="4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53"/>
      <c r="N450" s="110">
        <f t="shared" si="16"/>
        <v>1</v>
      </c>
      <c r="O450" s="111"/>
      <c r="P450" s="98"/>
      <c r="R450" s="19">
        <v>39999</v>
      </c>
      <c r="S450" s="12">
        <v>41598.959999999999</v>
      </c>
      <c r="T450" s="12">
        <v>43198.92</v>
      </c>
      <c r="U450" s="12">
        <v>43998.9</v>
      </c>
      <c r="V450" s="13"/>
      <c r="W450" s="168"/>
      <c r="X450" s="14">
        <v>250</v>
      </c>
    </row>
    <row r="451" spans="1:24">
      <c r="A451" s="118" t="s">
        <v>415</v>
      </c>
      <c r="B451" s="45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53"/>
      <c r="N451" s="110">
        <f t="shared" si="16"/>
        <v>1</v>
      </c>
      <c r="O451" s="111"/>
      <c r="P451" s="98"/>
      <c r="R451" s="19">
        <v>49999</v>
      </c>
      <c r="S451" s="12">
        <v>51998.96</v>
      </c>
      <c r="T451" s="12">
        <v>53998.92</v>
      </c>
      <c r="U451" s="12">
        <v>54998.9</v>
      </c>
      <c r="V451" s="13"/>
      <c r="W451" s="168"/>
      <c r="X451" s="14">
        <v>250</v>
      </c>
    </row>
    <row r="452" spans="1:24">
      <c r="A452" s="118" t="s">
        <v>421</v>
      </c>
      <c r="B452" s="45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53"/>
      <c r="N452" s="110">
        <f t="shared" si="16"/>
        <v>6</v>
      </c>
      <c r="O452" s="111"/>
      <c r="P452" s="98"/>
      <c r="R452" s="19">
        <v>3999</v>
      </c>
      <c r="S452" s="12">
        <v>4158.96</v>
      </c>
      <c r="T452" s="12">
        <v>4318.92</v>
      </c>
      <c r="U452" s="12">
        <v>4398.8999999999996</v>
      </c>
      <c r="V452" s="13"/>
      <c r="W452" s="168"/>
      <c r="X452" s="14">
        <v>50</v>
      </c>
    </row>
    <row r="453" spans="1:24">
      <c r="A453" s="118" t="s">
        <v>422</v>
      </c>
      <c r="B453" s="45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53"/>
      <c r="N453" s="110">
        <f t="shared" si="16"/>
        <v>1</v>
      </c>
      <c r="O453" s="111"/>
      <c r="P453" s="98"/>
      <c r="R453" s="19">
        <v>4999</v>
      </c>
      <c r="S453" s="12">
        <v>5198.96</v>
      </c>
      <c r="T453" s="12">
        <v>5398.92</v>
      </c>
      <c r="U453" s="12">
        <v>5498.9</v>
      </c>
      <c r="V453" s="13"/>
      <c r="W453" s="168"/>
      <c r="X453" s="14">
        <v>50</v>
      </c>
    </row>
    <row r="454" spans="1:24">
      <c r="A454" s="118" t="s">
        <v>423</v>
      </c>
      <c r="B454" s="45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53"/>
      <c r="N454" s="110">
        <f t="shared" si="16"/>
        <v>2</v>
      </c>
      <c r="O454" s="111"/>
      <c r="P454" s="98"/>
      <c r="R454" s="19">
        <v>1999</v>
      </c>
      <c r="S454" s="12">
        <v>2078.96</v>
      </c>
      <c r="T454" s="12">
        <v>2158.92</v>
      </c>
      <c r="U454" s="12">
        <v>2198.9</v>
      </c>
      <c r="V454" s="13"/>
      <c r="W454" s="168"/>
      <c r="X454" s="14">
        <v>50</v>
      </c>
    </row>
    <row r="455" spans="1:24">
      <c r="A455" s="118" t="s">
        <v>424</v>
      </c>
      <c r="B455" s="45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53"/>
      <c r="N455" s="110">
        <f t="shared" si="16"/>
        <v>1</v>
      </c>
      <c r="O455" s="111"/>
      <c r="P455" s="98"/>
      <c r="R455" s="19">
        <v>2499</v>
      </c>
      <c r="S455" s="12">
        <v>2598.96</v>
      </c>
      <c r="T455" s="12">
        <v>2698.92</v>
      </c>
      <c r="U455" s="12">
        <v>2748.9</v>
      </c>
      <c r="V455" s="13"/>
      <c r="W455" s="168"/>
      <c r="X455" s="14">
        <v>50</v>
      </c>
    </row>
    <row r="456" spans="1:24">
      <c r="A456" s="118" t="s">
        <v>425</v>
      </c>
      <c r="B456" s="45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53"/>
      <c r="N456" s="110">
        <f t="shared" si="16"/>
        <v>2</v>
      </c>
      <c r="O456" s="111"/>
      <c r="P456" s="98"/>
      <c r="R456" s="19">
        <v>1999</v>
      </c>
      <c r="S456" s="12">
        <v>2078.96</v>
      </c>
      <c r="T456" s="12">
        <v>2158.92</v>
      </c>
      <c r="U456" s="12">
        <v>2198.9</v>
      </c>
      <c r="V456" s="13"/>
      <c r="W456" s="168"/>
      <c r="X456" s="14">
        <v>50</v>
      </c>
    </row>
    <row r="457" spans="1:24">
      <c r="A457" s="118" t="s">
        <v>427</v>
      </c>
      <c r="B457" s="45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53"/>
      <c r="N457" s="110">
        <f t="shared" si="16"/>
        <v>1</v>
      </c>
      <c r="O457" s="111"/>
      <c r="P457" s="98"/>
      <c r="R457" s="19">
        <v>999</v>
      </c>
      <c r="S457" s="12">
        <v>1038.96</v>
      </c>
      <c r="T457" s="12">
        <v>1078.92</v>
      </c>
      <c r="U457" s="12">
        <v>1098.9000000000001</v>
      </c>
      <c r="V457" s="13"/>
      <c r="W457" s="168"/>
      <c r="X457" s="14">
        <v>50</v>
      </c>
    </row>
    <row r="458" spans="1:24">
      <c r="A458" s="118" t="s">
        <v>428</v>
      </c>
      <c r="B458" s="45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53"/>
      <c r="N458" s="110">
        <f t="shared" si="16"/>
        <v>1</v>
      </c>
      <c r="O458" s="111"/>
      <c r="P458" s="98"/>
      <c r="R458" s="19">
        <v>1499</v>
      </c>
      <c r="S458" s="12">
        <v>1558.96</v>
      </c>
      <c r="T458" s="12">
        <v>1618.92</v>
      </c>
      <c r="U458" s="12">
        <v>1648.9</v>
      </c>
      <c r="V458" s="13"/>
      <c r="W458" s="168"/>
      <c r="X458" s="14">
        <v>50</v>
      </c>
    </row>
    <row r="459" spans="1:24">
      <c r="A459" s="118" t="s">
        <v>429</v>
      </c>
      <c r="B459" s="45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53"/>
      <c r="N459" s="110">
        <f t="shared" si="16"/>
        <v>3</v>
      </c>
      <c r="O459" s="111"/>
      <c r="P459" s="98"/>
      <c r="R459" s="19">
        <v>2999</v>
      </c>
      <c r="S459" s="12">
        <v>3118.96</v>
      </c>
      <c r="T459" s="12">
        <v>3238.92</v>
      </c>
      <c r="U459" s="12">
        <v>3298.9</v>
      </c>
      <c r="V459" s="13"/>
      <c r="W459" s="168"/>
      <c r="X459" s="14">
        <v>50</v>
      </c>
    </row>
    <row r="460" spans="1:24">
      <c r="A460" s="118" t="s">
        <v>433</v>
      </c>
      <c r="B460" s="45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53"/>
      <c r="N460" s="110">
        <f t="shared" si="16"/>
        <v>5</v>
      </c>
      <c r="O460" s="111"/>
      <c r="P460" s="98"/>
      <c r="R460" s="19">
        <v>24999</v>
      </c>
      <c r="S460" s="12">
        <v>25998.959999999999</v>
      </c>
      <c r="T460" s="12">
        <v>26998.92</v>
      </c>
      <c r="U460" s="12">
        <v>27498.9</v>
      </c>
      <c r="V460" s="13"/>
      <c r="W460" s="168"/>
      <c r="X460" s="14">
        <v>250</v>
      </c>
    </row>
    <row r="461" spans="1:24">
      <c r="A461" s="118" t="s">
        <v>434</v>
      </c>
      <c r="B461" s="45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53"/>
      <c r="N461" s="110">
        <f t="shared" si="16"/>
        <v>2</v>
      </c>
      <c r="O461" s="111"/>
      <c r="P461" s="98"/>
      <c r="R461" s="19">
        <v>6148.9750000000004</v>
      </c>
      <c r="S461" s="12">
        <v>6394.9340000000002</v>
      </c>
      <c r="T461" s="12">
        <v>6640.893</v>
      </c>
      <c r="U461" s="12">
        <v>6763.8725000000004</v>
      </c>
      <c r="V461" s="13"/>
      <c r="W461" s="168"/>
      <c r="X461" s="14">
        <v>250</v>
      </c>
    </row>
    <row r="462" spans="1:24">
      <c r="A462" s="118" t="s">
        <v>435</v>
      </c>
      <c r="B462" s="45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53"/>
      <c r="N462" s="110">
        <f t="shared" si="16"/>
        <v>9</v>
      </c>
      <c r="O462" s="111"/>
      <c r="P462" s="98" t="s">
        <v>1546</v>
      </c>
      <c r="Q462" s="159">
        <v>8867.3785891660682</v>
      </c>
      <c r="R462" s="169">
        <v>7980.6407302494617</v>
      </c>
      <c r="S462" s="12">
        <v>8299.86635945944</v>
      </c>
      <c r="T462" s="12">
        <v>8619.0919886694192</v>
      </c>
      <c r="U462" s="12">
        <v>8778.7048032744078</v>
      </c>
      <c r="V462" s="13"/>
      <c r="W462" s="168"/>
      <c r="X462" s="14">
        <v>250</v>
      </c>
    </row>
    <row r="463" spans="1:24">
      <c r="A463" s="118" t="s">
        <v>436</v>
      </c>
      <c r="B463" s="45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53"/>
      <c r="N463" s="110">
        <f t="shared" si="16"/>
        <v>4</v>
      </c>
      <c r="O463" s="111"/>
      <c r="P463" s="98" t="s">
        <v>1546</v>
      </c>
      <c r="Q463" s="159">
        <v>3521.1995943386523</v>
      </c>
      <c r="R463" s="169">
        <v>3169.0796349047869</v>
      </c>
      <c r="S463" s="12">
        <v>3295.8428203009785</v>
      </c>
      <c r="T463" s="12">
        <v>3422.6060056971696</v>
      </c>
      <c r="U463" s="12">
        <v>3485.9875983952656</v>
      </c>
      <c r="V463" s="13"/>
      <c r="W463" s="168"/>
      <c r="X463" s="14">
        <v>250</v>
      </c>
    </row>
    <row r="464" spans="1:24">
      <c r="A464" s="118" t="s">
        <v>437</v>
      </c>
      <c r="B464" s="45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53"/>
      <c r="N464" s="110">
        <f t="shared" si="16"/>
        <v>1</v>
      </c>
      <c r="O464" s="111"/>
      <c r="P464" s="98" t="s">
        <v>1546</v>
      </c>
      <c r="Q464" s="159">
        <v>2510.3949651838452</v>
      </c>
      <c r="R464" s="23">
        <v>2510.3949651838452</v>
      </c>
      <c r="S464" s="12">
        <v>2610.810763791199</v>
      </c>
      <c r="T464" s="12">
        <v>2711.2265623985527</v>
      </c>
      <c r="U464" s="12">
        <v>2761.4344617022298</v>
      </c>
      <c r="V464" s="13"/>
      <c r="W464" s="168"/>
      <c r="X464" s="14">
        <v>250</v>
      </c>
    </row>
    <row r="465" spans="1:24">
      <c r="A465" s="21" t="s">
        <v>438</v>
      </c>
      <c r="B465" s="45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53"/>
      <c r="N465" s="110">
        <f t="shared" si="16"/>
        <v>3</v>
      </c>
      <c r="O465" s="111"/>
      <c r="P465" s="98" t="s">
        <v>1546</v>
      </c>
      <c r="Q465" s="159">
        <v>6515.7970471358785</v>
      </c>
      <c r="R465" s="169">
        <v>5864.217342422291</v>
      </c>
      <c r="S465" s="12">
        <v>6098.7860361191824</v>
      </c>
      <c r="T465" s="12">
        <v>6333.3547298160747</v>
      </c>
      <c r="U465" s="12">
        <v>6450.63907666452</v>
      </c>
      <c r="V465" s="13"/>
      <c r="W465" s="168"/>
      <c r="X465" s="14">
        <v>250</v>
      </c>
    </row>
    <row r="466" spans="1:24">
      <c r="A466" s="21" t="s">
        <v>439</v>
      </c>
      <c r="B466" s="45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53"/>
      <c r="N466" s="110">
        <f t="shared" si="16"/>
        <v>7</v>
      </c>
      <c r="O466" s="111"/>
      <c r="P466" s="98" t="s">
        <v>1546</v>
      </c>
      <c r="Q466" s="159">
        <v>12864.686900934046</v>
      </c>
      <c r="R466" s="169">
        <v>11578.218210840641</v>
      </c>
      <c r="S466" s="12">
        <v>12041.346939274266</v>
      </c>
      <c r="T466" s="12">
        <v>12504.475667707893</v>
      </c>
      <c r="U466" s="12">
        <v>12736.040031924706</v>
      </c>
      <c r="V466" s="13"/>
      <c r="W466" s="168"/>
      <c r="X466" s="14">
        <v>250</v>
      </c>
    </row>
    <row r="467" spans="1:24">
      <c r="A467" s="118" t="s">
        <v>440</v>
      </c>
      <c r="B467" s="45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53"/>
      <c r="N467" s="110">
        <f t="shared" si="16"/>
        <v>9</v>
      </c>
      <c r="O467" s="111"/>
      <c r="P467" s="98" t="s">
        <v>1546</v>
      </c>
      <c r="Q467" s="159">
        <v>18868.450592859805</v>
      </c>
      <c r="R467" s="169">
        <v>16981.605533573824</v>
      </c>
      <c r="S467" s="12">
        <v>17660.869754916777</v>
      </c>
      <c r="T467" s="12">
        <v>18340.133976259731</v>
      </c>
      <c r="U467" s="12">
        <v>18679.766086931206</v>
      </c>
      <c r="V467" s="13"/>
      <c r="W467" s="168"/>
      <c r="X467" s="14">
        <v>250</v>
      </c>
    </row>
    <row r="468" spans="1:24">
      <c r="A468" s="118" t="s">
        <v>441</v>
      </c>
      <c r="B468" s="45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53"/>
      <c r="N468" s="110">
        <f t="shared" si="16"/>
        <v>4</v>
      </c>
      <c r="O468" s="111"/>
      <c r="P468" s="98" t="s">
        <v>1546</v>
      </c>
      <c r="R468" s="19"/>
      <c r="S468" s="12"/>
      <c r="T468" s="12"/>
      <c r="U468" s="12">
        <v>0</v>
      </c>
      <c r="V468" s="13"/>
      <c r="W468" s="168"/>
      <c r="X468" s="14"/>
    </row>
    <row r="469" spans="1:24">
      <c r="A469" s="118" t="s">
        <v>442</v>
      </c>
      <c r="B469" s="45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53"/>
      <c r="N469" s="110">
        <f t="shared" si="16"/>
        <v>5</v>
      </c>
      <c r="O469" s="111"/>
      <c r="P469" s="98" t="s">
        <v>1546</v>
      </c>
      <c r="Q469" s="67" t="s">
        <v>1559</v>
      </c>
      <c r="R469" s="173">
        <v>5000</v>
      </c>
      <c r="S469" s="12">
        <v>5200</v>
      </c>
      <c r="T469" s="12">
        <v>5400</v>
      </c>
      <c r="U469" s="12">
        <v>5500</v>
      </c>
      <c r="V469" s="13"/>
      <c r="W469" s="168"/>
      <c r="X469" s="14">
        <v>250</v>
      </c>
    </row>
    <row r="470" spans="1:24">
      <c r="A470" s="118" t="s">
        <v>443</v>
      </c>
      <c r="B470" s="45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53"/>
      <c r="N470" s="110">
        <f t="shared" si="16"/>
        <v>1</v>
      </c>
      <c r="O470" s="111"/>
      <c r="P470" s="98" t="s">
        <v>1546</v>
      </c>
      <c r="Q470" s="159">
        <v>2251.7843805077478</v>
      </c>
      <c r="R470" s="169">
        <v>2026.605942456973</v>
      </c>
      <c r="S470" s="12">
        <v>2097.5371504429672</v>
      </c>
      <c r="T470" s="12">
        <v>2188.7344178535309</v>
      </c>
      <c r="U470" s="12">
        <v>2229.2665367026702</v>
      </c>
      <c r="V470" s="13"/>
      <c r="W470" s="168"/>
      <c r="X470" s="14">
        <v>250</v>
      </c>
    </row>
    <row r="471" spans="1:24">
      <c r="A471" s="118" t="s">
        <v>444</v>
      </c>
      <c r="B471" s="45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53"/>
      <c r="N471" s="110">
        <f t="shared" si="16"/>
        <v>1</v>
      </c>
      <c r="O471" s="111"/>
      <c r="P471" s="98" t="s">
        <v>1546</v>
      </c>
      <c r="Q471" s="159">
        <v>10600.401058527552</v>
      </c>
      <c r="R471" s="169">
        <v>9540.3609526747969</v>
      </c>
      <c r="S471" s="12">
        <v>9874.2735860184148</v>
      </c>
      <c r="T471" s="12">
        <v>10303.58982888878</v>
      </c>
      <c r="U471" s="12">
        <v>10494.397047942277</v>
      </c>
      <c r="V471" s="13"/>
      <c r="W471" s="168"/>
      <c r="X471" s="14">
        <v>250</v>
      </c>
    </row>
    <row r="472" spans="1:24">
      <c r="A472" s="27" t="s">
        <v>1560</v>
      </c>
      <c r="B472" s="45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53"/>
      <c r="N472" s="110"/>
      <c r="O472" s="111"/>
      <c r="P472" s="98"/>
      <c r="R472" s="32"/>
      <c r="S472" s="12"/>
      <c r="T472" s="12"/>
      <c r="U472" s="12">
        <v>0</v>
      </c>
      <c r="V472" s="13"/>
      <c r="W472" s="168"/>
      <c r="X472" s="14"/>
    </row>
    <row r="473" spans="1:24">
      <c r="A473" s="116" t="s">
        <v>445</v>
      </c>
      <c r="B473" s="45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53"/>
      <c r="N473" s="110">
        <f t="shared" ref="N473:N490" si="17">L473+M473+K473+J473+I473+H473+G473+F473+E473+D473+C473</f>
        <v>6</v>
      </c>
      <c r="O473" s="111"/>
      <c r="P473" s="98" t="s">
        <v>1546</v>
      </c>
      <c r="Q473" s="46">
        <v>16020.74074189603</v>
      </c>
      <c r="R473" s="84">
        <v>18000</v>
      </c>
      <c r="S473" s="12">
        <v>18630</v>
      </c>
      <c r="T473" s="12">
        <v>19440</v>
      </c>
      <c r="U473" s="12">
        <v>19800</v>
      </c>
      <c r="V473" s="13">
        <v>4000.282348013614</v>
      </c>
      <c r="W473" s="168"/>
      <c r="X473" s="14">
        <v>250</v>
      </c>
    </row>
    <row r="474" spans="1:24">
      <c r="A474" s="116" t="s">
        <v>446</v>
      </c>
      <c r="B474" s="45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53"/>
      <c r="N474" s="110">
        <f t="shared" si="17"/>
        <v>6</v>
      </c>
      <c r="O474" s="111"/>
      <c r="P474" s="98" t="s">
        <v>1546</v>
      </c>
      <c r="Q474" s="46">
        <v>24031.111112844046</v>
      </c>
      <c r="R474" s="84">
        <v>26000</v>
      </c>
      <c r="S474" s="12">
        <v>26910</v>
      </c>
      <c r="T474" s="12">
        <v>28080</v>
      </c>
      <c r="U474" s="12">
        <v>28600</v>
      </c>
      <c r="V474" s="13"/>
      <c r="W474" s="168"/>
      <c r="X474" s="14"/>
    </row>
    <row r="475" spans="1:24">
      <c r="A475" s="142" t="s">
        <v>447</v>
      </c>
      <c r="B475" s="45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53"/>
      <c r="N475" s="110">
        <f t="shared" si="17"/>
        <v>1</v>
      </c>
      <c r="O475" s="111"/>
      <c r="P475" s="105" t="s">
        <v>1546</v>
      </c>
      <c r="Q475" s="151"/>
      <c r="R475" s="82">
        <v>15000</v>
      </c>
      <c r="S475" s="83">
        <v>15525</v>
      </c>
      <c r="T475" s="12">
        <v>16200</v>
      </c>
      <c r="U475" s="12">
        <v>16500</v>
      </c>
      <c r="V475" s="13"/>
      <c r="W475" s="168"/>
      <c r="X475" s="14">
        <v>250</v>
      </c>
    </row>
    <row r="476" spans="1:24">
      <c r="A476" s="142" t="s">
        <v>448</v>
      </c>
      <c r="B476" s="45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53"/>
      <c r="N476" s="110">
        <f t="shared" si="17"/>
        <v>1</v>
      </c>
      <c r="O476" s="111"/>
      <c r="P476" s="105" t="s">
        <v>1546</v>
      </c>
      <c r="Q476" s="151"/>
      <c r="R476" s="82">
        <v>20000</v>
      </c>
      <c r="S476" s="83">
        <v>20700</v>
      </c>
      <c r="T476" s="12">
        <v>21600</v>
      </c>
      <c r="U476" s="12">
        <v>22000</v>
      </c>
      <c r="V476" s="13"/>
      <c r="W476" s="168"/>
      <c r="X476" s="14"/>
    </row>
    <row r="477" spans="1:24">
      <c r="A477" s="143" t="s">
        <v>449</v>
      </c>
      <c r="B477" s="45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53"/>
      <c r="N477" s="110">
        <f t="shared" si="17"/>
        <v>2</v>
      </c>
      <c r="O477" s="111"/>
      <c r="P477" s="98" t="s">
        <v>1546</v>
      </c>
      <c r="Q477" s="46">
        <v>17599.318782707702</v>
      </c>
      <c r="R477" s="84">
        <v>19000</v>
      </c>
      <c r="S477" s="12">
        <v>19665</v>
      </c>
      <c r="T477" s="12">
        <v>20520</v>
      </c>
      <c r="U477" s="12">
        <v>20900</v>
      </c>
      <c r="V477" s="13">
        <v>4399.6422482490671</v>
      </c>
      <c r="W477" s="168"/>
      <c r="X477" s="14">
        <v>250</v>
      </c>
    </row>
    <row r="478" spans="1:24">
      <c r="A478" s="143" t="s">
        <v>450</v>
      </c>
      <c r="B478" s="45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53"/>
      <c r="N478" s="110">
        <f t="shared" si="17"/>
        <v>2</v>
      </c>
      <c r="O478" s="111"/>
      <c r="P478" s="98" t="s">
        <v>1546</v>
      </c>
      <c r="Q478" s="46">
        <v>26398.978174061547</v>
      </c>
      <c r="R478" s="84">
        <v>28000</v>
      </c>
      <c r="S478" s="12">
        <v>28980</v>
      </c>
      <c r="T478" s="12">
        <v>30240</v>
      </c>
      <c r="U478" s="12">
        <v>30800</v>
      </c>
      <c r="V478" s="13"/>
      <c r="W478" s="168"/>
      <c r="X478" s="14"/>
    </row>
    <row r="479" spans="1:24">
      <c r="A479" s="144" t="s">
        <v>451</v>
      </c>
      <c r="B479" s="45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53"/>
      <c r="N479" s="110">
        <f t="shared" si="17"/>
        <v>2</v>
      </c>
      <c r="O479" s="111"/>
      <c r="P479" s="105" t="s">
        <v>1546</v>
      </c>
      <c r="Q479" s="151">
        <v>19638.932436439351</v>
      </c>
      <c r="R479" s="84">
        <v>22000</v>
      </c>
      <c r="S479" s="83">
        <v>22770</v>
      </c>
      <c r="T479" s="12">
        <v>23760</v>
      </c>
      <c r="U479" s="12">
        <v>24200</v>
      </c>
      <c r="V479" s="13">
        <v>4907.8692076903026</v>
      </c>
      <c r="W479" s="168"/>
      <c r="X479" s="14">
        <v>250</v>
      </c>
    </row>
    <row r="480" spans="1:24">
      <c r="A480" s="144" t="s">
        <v>452</v>
      </c>
      <c r="B480" s="45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53"/>
      <c r="N480" s="110">
        <f t="shared" si="17"/>
        <v>2</v>
      </c>
      <c r="O480" s="111"/>
      <c r="P480" s="105" t="s">
        <v>1546</v>
      </c>
      <c r="Q480" s="151">
        <v>29458.398654659028</v>
      </c>
      <c r="R480" s="84">
        <v>32000</v>
      </c>
      <c r="S480" s="83">
        <v>33120</v>
      </c>
      <c r="T480" s="12">
        <v>34560</v>
      </c>
      <c r="U480" s="12">
        <v>35200</v>
      </c>
      <c r="V480" s="13"/>
      <c r="W480" s="168"/>
      <c r="X480" s="14"/>
    </row>
    <row r="481" spans="1:24" s="16" customFormat="1">
      <c r="A481" s="143" t="s">
        <v>453</v>
      </c>
      <c r="B481" s="45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53"/>
      <c r="N481" s="110">
        <f t="shared" si="17"/>
        <v>8</v>
      </c>
      <c r="O481" s="111"/>
      <c r="P481" s="106" t="s">
        <v>1546</v>
      </c>
      <c r="Q481" s="46"/>
      <c r="R481" s="19">
        <v>22000</v>
      </c>
      <c r="S481" s="12">
        <v>22770</v>
      </c>
      <c r="T481" s="12">
        <v>23760</v>
      </c>
      <c r="U481" s="12">
        <v>24200</v>
      </c>
      <c r="V481" s="13"/>
      <c r="W481" s="168"/>
      <c r="X481" s="14">
        <v>250</v>
      </c>
    </row>
    <row r="482" spans="1:24" s="16" customFormat="1">
      <c r="A482" s="143" t="s">
        <v>454</v>
      </c>
      <c r="B482" s="45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53"/>
      <c r="N482" s="110">
        <f t="shared" si="17"/>
        <v>8</v>
      </c>
      <c r="O482" s="111"/>
      <c r="P482" s="106" t="s">
        <v>1546</v>
      </c>
      <c r="Q482" s="46"/>
      <c r="R482" s="19">
        <v>35000</v>
      </c>
      <c r="S482" s="12">
        <v>36225</v>
      </c>
      <c r="T482" s="12">
        <v>37800</v>
      </c>
      <c r="U482" s="12">
        <v>38500</v>
      </c>
      <c r="V482" s="13"/>
      <c r="W482" s="168"/>
      <c r="X482" s="14"/>
    </row>
    <row r="483" spans="1:24">
      <c r="A483" s="144" t="s">
        <v>455</v>
      </c>
      <c r="B483" s="45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53"/>
      <c r="N483" s="110">
        <f t="shared" si="17"/>
        <v>1</v>
      </c>
      <c r="O483" s="111"/>
      <c r="P483" s="105" t="s">
        <v>1546</v>
      </c>
      <c r="Q483" s="151">
        <v>27721.370472790273</v>
      </c>
      <c r="R483" s="84">
        <v>30000</v>
      </c>
      <c r="S483" s="83">
        <v>31050</v>
      </c>
      <c r="T483" s="12">
        <v>32400</v>
      </c>
      <c r="U483" s="12">
        <v>33000</v>
      </c>
      <c r="V483" s="13">
        <v>6923.3813389263523</v>
      </c>
      <c r="W483" s="168"/>
      <c r="X483" s="14">
        <v>250</v>
      </c>
    </row>
    <row r="484" spans="1:24">
      <c r="A484" s="144" t="s">
        <v>456</v>
      </c>
      <c r="B484" s="45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53"/>
      <c r="N484" s="110">
        <f t="shared" si="17"/>
        <v>1</v>
      </c>
      <c r="O484" s="111"/>
      <c r="P484" s="105" t="s">
        <v>1546</v>
      </c>
      <c r="Q484" s="151">
        <v>41582.055709185406</v>
      </c>
      <c r="R484" s="84">
        <v>44000</v>
      </c>
      <c r="S484" s="83">
        <v>45540</v>
      </c>
      <c r="T484" s="12">
        <v>47520</v>
      </c>
      <c r="U484" s="12">
        <v>48400</v>
      </c>
      <c r="V484" s="13"/>
      <c r="W484" s="168"/>
      <c r="X484" s="14"/>
    </row>
    <row r="485" spans="1:24" s="16" customFormat="1">
      <c r="A485" s="118" t="s">
        <v>457</v>
      </c>
      <c r="B485" s="45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53"/>
      <c r="N485" s="110">
        <f t="shared" si="17"/>
        <v>1</v>
      </c>
      <c r="O485" s="111"/>
      <c r="P485" s="106"/>
      <c r="Q485" s="46"/>
      <c r="R485" s="19">
        <v>25000</v>
      </c>
      <c r="S485" s="12">
        <v>25875</v>
      </c>
      <c r="T485" s="12">
        <v>27000</v>
      </c>
      <c r="U485" s="12">
        <v>27500</v>
      </c>
      <c r="V485" s="13"/>
      <c r="W485" s="168"/>
      <c r="X485" s="14">
        <v>250</v>
      </c>
    </row>
    <row r="486" spans="1:24" s="16" customFormat="1">
      <c r="A486" s="118" t="s">
        <v>458</v>
      </c>
      <c r="B486" s="45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53"/>
      <c r="N486" s="110">
        <f t="shared" si="17"/>
        <v>1</v>
      </c>
      <c r="O486" s="111"/>
      <c r="P486" s="106"/>
      <c r="Q486" s="46"/>
      <c r="R486" s="19">
        <v>36000</v>
      </c>
      <c r="S486" s="12">
        <v>37260</v>
      </c>
      <c r="T486" s="12">
        <v>38880</v>
      </c>
      <c r="U486" s="12">
        <v>39600</v>
      </c>
      <c r="V486" s="13"/>
      <c r="W486" s="168"/>
      <c r="X486" s="14"/>
    </row>
    <row r="487" spans="1:24" s="16" customFormat="1">
      <c r="A487" s="145" t="s">
        <v>1478</v>
      </c>
      <c r="B487" s="45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53"/>
      <c r="N487" s="110">
        <f t="shared" si="17"/>
        <v>3</v>
      </c>
      <c r="O487" s="112"/>
      <c r="P487" s="107"/>
      <c r="Q487" s="151">
        <v>30075.909952049711</v>
      </c>
      <c r="R487" s="84">
        <v>35000</v>
      </c>
      <c r="S487" s="83">
        <v>36225</v>
      </c>
      <c r="T487" s="12">
        <v>37800</v>
      </c>
      <c r="U487" s="12">
        <v>38500</v>
      </c>
      <c r="V487" s="13">
        <v>7512.6448352812149</v>
      </c>
      <c r="W487" s="168"/>
      <c r="X487" s="14">
        <v>250</v>
      </c>
    </row>
    <row r="488" spans="1:24" s="16" customFormat="1">
      <c r="A488" s="145" t="s">
        <v>1479</v>
      </c>
      <c r="B488" s="45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53"/>
      <c r="N488" s="110">
        <f t="shared" si="17"/>
        <v>3</v>
      </c>
      <c r="O488" s="112"/>
      <c r="P488" s="107"/>
      <c r="Q488" s="151">
        <v>45113.864928074559</v>
      </c>
      <c r="R488" s="84">
        <v>50000</v>
      </c>
      <c r="S488" s="83">
        <v>51750</v>
      </c>
      <c r="T488" s="12">
        <v>54000</v>
      </c>
      <c r="U488" s="12">
        <v>55000</v>
      </c>
      <c r="V488" s="13"/>
      <c r="W488" s="168"/>
      <c r="X488" s="14"/>
    </row>
    <row r="489" spans="1:24">
      <c r="A489" s="118" t="s">
        <v>1315</v>
      </c>
      <c r="B489" s="45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53"/>
      <c r="N489" s="110">
        <f t="shared" si="17"/>
        <v>6</v>
      </c>
      <c r="O489" s="111"/>
      <c r="R489" s="15">
        <v>850</v>
      </c>
      <c r="S489" s="37">
        <v>879.75</v>
      </c>
      <c r="T489" s="12">
        <v>918</v>
      </c>
      <c r="U489" s="12">
        <v>935</v>
      </c>
      <c r="V489" s="13"/>
      <c r="W489" s="168"/>
    </row>
    <row r="490" spans="1:24">
      <c r="A490" s="118" t="s">
        <v>1316</v>
      </c>
      <c r="B490" s="45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22</v>
      </c>
      <c r="J490" s="11">
        <v>4</v>
      </c>
      <c r="K490" s="10"/>
      <c r="L490" s="11"/>
      <c r="M490" s="153"/>
      <c r="N490" s="110">
        <f t="shared" si="17"/>
        <v>31</v>
      </c>
      <c r="O490" s="111"/>
      <c r="R490" s="36">
        <v>850</v>
      </c>
      <c r="S490" s="37">
        <v>879.75</v>
      </c>
      <c r="T490" s="12">
        <v>918</v>
      </c>
      <c r="U490" s="12">
        <v>935</v>
      </c>
      <c r="V490" s="13"/>
      <c r="W490" s="168"/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3" customWidth="1"/>
    <col min="9" max="9" width="15.42578125" style="63" customWidth="1"/>
    <col min="10" max="10" width="10.7109375" style="63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4" t="str">
        <f>Sayfa1!C1</f>
        <v>04 TEMMUZ HOROZ</v>
      </c>
      <c r="D1" s="55" t="str">
        <f>Sayfa1!$R$1</f>
        <v>HAVALE FİYATI</v>
      </c>
      <c r="E1" s="56" t="str">
        <f>Sayfa1!$S$1</f>
        <v>TEK ÇEKİM FİYATI</v>
      </c>
      <c r="F1" s="57" t="str">
        <f>Sayfa1!$T$1</f>
        <v>TAKSİTLİ FİYATI 3/6 TAKSİT</v>
      </c>
      <c r="G1" s="89" t="str">
        <f>Sayfa1!$U$1</f>
        <v>WEB TAHSİLAT BONUS 9</v>
      </c>
      <c r="H1" s="91" t="str">
        <f>Sayfa1!$V$1</f>
        <v>TEMMUZ BİP</v>
      </c>
      <c r="I1" s="59" t="s">
        <v>463</v>
      </c>
      <c r="J1" s="58" t="str">
        <f>Sayfa1!$X$1</f>
        <v>Hakedişler LİSTE FİYATINDAN SATILIRSA geçerli olacak</v>
      </c>
      <c r="K1" s="60" t="str">
        <f>Sayfa1!$W$1</f>
        <v>31.08.2026 montaj zorunlu phase out</v>
      </c>
      <c r="L1" s="69" t="s">
        <v>1558</v>
      </c>
    </row>
    <row r="2" spans="1:12">
      <c r="A2" s="43" t="s">
        <v>177</v>
      </c>
      <c r="B2" s="61" t="str">
        <f>IFERROR(VLOOKUP(A2,Sayfa1!A:B,2,FALSE),"?")</f>
        <v>iQ300 Ankastre Fırın, 1 Teleskopik Ray, Arkası Kendini Temizler, Siyah/Inox</v>
      </c>
      <c r="C2" s="62">
        <f>IFERROR(VLOOKUP(A2,Sayfa1!A:C,3,FALSE),"?")</f>
        <v>0</v>
      </c>
      <c r="D2" s="63" t="str">
        <f>IFERROR(VLOOKUP(A2,Sayfa1!$A:$R,17,FALSE),"?")</f>
        <v>devamı yok</v>
      </c>
      <c r="E2" s="63">
        <f>IFERROR(VLOOKUP(A2,Sayfa1!$A:$S,18,FALSE),"?")</f>
        <v>17000</v>
      </c>
      <c r="F2" s="63">
        <f>IFERROR(VLOOKUP(A2,Sayfa1!$A:$T,19,FALSE),"?")</f>
        <v>17680</v>
      </c>
      <c r="G2" s="63">
        <f>IFERROR(VLOOKUP(A2,Sayfa1!$A:$U,20,FALSE),"?")</f>
        <v>18360</v>
      </c>
      <c r="H2" s="63">
        <f>IFERROR(VLOOKUP(A2,Sayfa1!$A:$V,21,FALSE),"?")</f>
        <v>18700</v>
      </c>
      <c r="I2" s="182"/>
      <c r="J2" s="53">
        <f>IFERROR(VLOOKUP(A2,Sayfa1!$A:$X,23,FALSE),"?")</f>
        <v>1656.58</v>
      </c>
      <c r="K2" s="53">
        <f>IFERROR(VLOOKUP(A2,Sayfa1!$A:$W,22,FALSE),"?")</f>
        <v>0</v>
      </c>
      <c r="L2" s="53">
        <f>IFERROR(VLOOKUP(A2,Sayfa1!$A:$Y,24,FALSE),"?")</f>
        <v>250</v>
      </c>
    </row>
    <row r="3" spans="1:12">
      <c r="A3" s="43"/>
      <c r="B3" s="61" t="str">
        <f>IFERROR(VLOOKUP(A3,Sayfa1!A:B,2,FALSE),"?")</f>
        <v>?</v>
      </c>
      <c r="C3" s="62" t="str">
        <f>IFERROR(VLOOKUP(A3,Sayfa1!A:C,3,FALSE),"?")</f>
        <v>?</v>
      </c>
      <c r="D3" s="63" t="str">
        <f>IFERROR(VLOOKUP(A3,Sayfa1!$A:$R,17,FALSE),"?")</f>
        <v>?</v>
      </c>
      <c r="E3" s="63" t="str">
        <f>IFERROR(VLOOKUP(A3,Sayfa1!$A:$S,18,FALSE),"?")</f>
        <v>?</v>
      </c>
      <c r="F3" s="63" t="str">
        <f>IFERROR(VLOOKUP(A3,Sayfa1!$A:$T,19,FALSE),"?")</f>
        <v>?</v>
      </c>
      <c r="G3" s="63" t="str">
        <f>IFERROR(VLOOKUP(A3,Sayfa1!$A:$U,20,FALSE),"?")</f>
        <v>?</v>
      </c>
      <c r="H3" s="63" t="str">
        <f>IFERROR(VLOOKUP(A3,Sayfa1!$A:$V,21,FALSE),"?")</f>
        <v>?</v>
      </c>
      <c r="I3" s="182"/>
      <c r="J3" s="53" t="str">
        <f>IFERROR(VLOOKUP(A3,Sayfa1!$A:$X,23,FALSE),"?")</f>
        <v>?</v>
      </c>
      <c r="K3" s="53" t="str">
        <f>IFERROR(VLOOKUP(A3,Sayfa1!$A:$W,22,FALSE),"?")</f>
        <v>?</v>
      </c>
      <c r="L3" s="53" t="str">
        <f>IFERROR(VLOOKUP(A3,Sayfa1!$A:$Y,24,FALSE),"?")</f>
        <v>?</v>
      </c>
    </row>
    <row r="4" spans="1:12">
      <c r="A4" s="43"/>
      <c r="B4" s="61" t="str">
        <f>IFERROR(VLOOKUP(A4,Sayfa1!A:B,2,FALSE),"?")</f>
        <v>?</v>
      </c>
      <c r="C4" s="62" t="str">
        <f>IFERROR(VLOOKUP(A4,Sayfa1!A:C,3,FALSE),"?")</f>
        <v>?</v>
      </c>
      <c r="D4" s="63" t="str">
        <f>IFERROR(VLOOKUP(A4,Sayfa1!$A:$R,17,FALSE),"?")</f>
        <v>?</v>
      </c>
      <c r="E4" s="63" t="str">
        <f>IFERROR(VLOOKUP(A4,Sayfa1!$A:$S,18,FALSE),"?")</f>
        <v>?</v>
      </c>
      <c r="F4" s="63" t="str">
        <f>IFERROR(VLOOKUP(A4,Sayfa1!$A:$T,19,FALSE),"?")</f>
        <v>?</v>
      </c>
      <c r="G4" s="63" t="str">
        <f>IFERROR(VLOOKUP(A4,Sayfa1!$A:$U,20,FALSE),"?")</f>
        <v>?</v>
      </c>
      <c r="H4" s="63" t="str">
        <f>IFERROR(VLOOKUP(A4,Sayfa1!$A:$V,21,FALSE),"?")</f>
        <v>?</v>
      </c>
      <c r="I4"/>
      <c r="J4" s="53" t="str">
        <f>IFERROR(VLOOKUP(A4,Sayfa1!$A:$X,23,FALSE),"?")</f>
        <v>?</v>
      </c>
      <c r="K4" s="53" t="str">
        <f>IFERROR(VLOOKUP(A4,Sayfa1!$A:$W,22,FALSE),"?")</f>
        <v>?</v>
      </c>
      <c r="L4" s="53" t="str">
        <f>IFERROR(VLOOKUP(A4,Sayfa1!$A:$Y,24,FALSE),"?")</f>
        <v>?</v>
      </c>
    </row>
    <row r="5" spans="1:12">
      <c r="A5" s="43"/>
      <c r="B5" s="61" t="str">
        <f>IFERROR(VLOOKUP(A5,Sayfa1!A:B,2,FALSE),"?")</f>
        <v>?</v>
      </c>
      <c r="C5" s="62" t="str">
        <f>IFERROR(VLOOKUP(A5,Sayfa1!A:C,3,FALSE),"?")</f>
        <v>?</v>
      </c>
      <c r="D5" s="63" t="str">
        <f>IFERROR(VLOOKUP(A5,Sayfa1!$A:$R,17,FALSE),"?")</f>
        <v>?</v>
      </c>
      <c r="E5" s="63" t="str">
        <f>IFERROR(VLOOKUP(A5,Sayfa1!$A:$S,18,FALSE),"?")</f>
        <v>?</v>
      </c>
      <c r="F5" s="63" t="str">
        <f>IFERROR(VLOOKUP(A5,Sayfa1!$A:$T,19,FALSE),"?")</f>
        <v>?</v>
      </c>
      <c r="G5" s="63" t="str">
        <f>IFERROR(VLOOKUP(A5,Sayfa1!$A:$U,20,FALSE),"?")</f>
        <v>?</v>
      </c>
      <c r="H5" s="63" t="str">
        <f>IFERROR(VLOOKUP(A5,Sayfa1!$A:$V,21,FALSE),"?")</f>
        <v>?</v>
      </c>
      <c r="I5"/>
      <c r="J5" s="53" t="str">
        <f>IFERROR(VLOOKUP(A5,Sayfa1!$A:$X,23,FALSE),"?")</f>
        <v>?</v>
      </c>
      <c r="K5" s="53" t="str">
        <f>IFERROR(VLOOKUP(A5,Sayfa1!$A:$W,22,FALSE),"?")</f>
        <v>?</v>
      </c>
      <c r="L5" s="53" t="str">
        <f>IFERROR(VLOOKUP(A5,Sayfa1!$A:$Y,24,FALSE),"?")</f>
        <v>?</v>
      </c>
    </row>
    <row r="6" spans="1:12">
      <c r="A6" s="43"/>
      <c r="B6" s="61" t="str">
        <f>IFERROR(VLOOKUP(A6,Sayfa1!A:B,2,FALSE),"?")</f>
        <v>?</v>
      </c>
      <c r="C6" s="62" t="str">
        <f>IFERROR(VLOOKUP(A6,Sayfa1!A:C,3,FALSE),"?")</f>
        <v>?</v>
      </c>
      <c r="D6" s="63" t="str">
        <f>IFERROR(VLOOKUP(A6,Sayfa1!$A:$R,17,FALSE),"?")</f>
        <v>?</v>
      </c>
      <c r="E6" s="63" t="str">
        <f>IFERROR(VLOOKUP(A6,Sayfa1!$A:$S,18,FALSE),"?")</f>
        <v>?</v>
      </c>
      <c r="F6" s="63" t="str">
        <f>IFERROR(VLOOKUP(A6,Sayfa1!$A:$T,19,FALSE),"?")</f>
        <v>?</v>
      </c>
      <c r="G6" s="63" t="str">
        <f>IFERROR(VLOOKUP(A6,Sayfa1!$A:$U,20,FALSE),"?")</f>
        <v>?</v>
      </c>
      <c r="H6" s="63" t="str">
        <f>IFERROR(VLOOKUP(A6,Sayfa1!$A:$V,21,FALSE),"?")</f>
        <v>?</v>
      </c>
      <c r="I6"/>
      <c r="J6" s="53" t="str">
        <f>IFERROR(VLOOKUP(A6,Sayfa1!$A:$X,23,FALSE),"?")</f>
        <v>?</v>
      </c>
      <c r="K6" s="53" t="str">
        <f>IFERROR(VLOOKUP(A6,Sayfa1!$A:$W,22,FALSE),"?")</f>
        <v>?</v>
      </c>
      <c r="L6" s="53" t="str">
        <f>IFERROR(VLOOKUP(A6,Sayfa1!$A:$Y,24,FALSE),"?")</f>
        <v>?</v>
      </c>
    </row>
    <row r="7" spans="1:12">
      <c r="A7" s="43"/>
      <c r="B7" s="61" t="str">
        <f>IFERROR(VLOOKUP(A7,Sayfa1!A:B,2,FALSE),"?")</f>
        <v>?</v>
      </c>
      <c r="C7" s="62" t="str">
        <f>IFERROR(VLOOKUP(A7,Sayfa1!A:C,3,FALSE),"?")</f>
        <v>?</v>
      </c>
      <c r="D7" s="63" t="str">
        <f>IFERROR(VLOOKUP(A7,Sayfa1!$A:$R,17,FALSE),"?")</f>
        <v>?</v>
      </c>
      <c r="E7" s="63" t="str">
        <f>IFERROR(VLOOKUP(A7,Sayfa1!$A:$S,18,FALSE),"?")</f>
        <v>?</v>
      </c>
      <c r="F7" s="63" t="str">
        <f>IFERROR(VLOOKUP(A7,Sayfa1!$A:$T,19,FALSE),"?")</f>
        <v>?</v>
      </c>
      <c r="G7" s="63" t="str">
        <f>IFERROR(VLOOKUP(A7,Sayfa1!$A:$U,20,FALSE),"?")</f>
        <v>?</v>
      </c>
      <c r="H7" s="63" t="str">
        <f>IFERROR(VLOOKUP(A7,Sayfa1!$A:$V,21,FALSE),"?")</f>
        <v>?</v>
      </c>
      <c r="I7"/>
      <c r="J7" s="53" t="str">
        <f>IFERROR(VLOOKUP(A7,Sayfa1!$A:$X,23,FALSE),"?")</f>
        <v>?</v>
      </c>
      <c r="K7" s="53" t="str">
        <f>IFERROR(VLOOKUP(A7,Sayfa1!$A:$W,22,FALSE),"?")</f>
        <v>?</v>
      </c>
      <c r="L7" s="53" t="str">
        <f>IFERROR(VLOOKUP(A7,Sayfa1!$A:$Y,24,FALSE),"?")</f>
        <v>?</v>
      </c>
    </row>
    <row r="8" spans="1:12">
      <c r="A8" s="43"/>
      <c r="B8" s="61" t="str">
        <f>IFERROR(VLOOKUP(A8,Sayfa1!A:B,2,FALSE),"?")</f>
        <v>?</v>
      </c>
      <c r="C8" s="62" t="str">
        <f>IFERROR(VLOOKUP(A8,Sayfa1!A:C,3,FALSE),"?")</f>
        <v>?</v>
      </c>
      <c r="D8" s="63" t="str">
        <f>IFERROR(VLOOKUP(A8,Sayfa1!$A:$R,17,FALSE),"?")</f>
        <v>?</v>
      </c>
      <c r="E8" s="63" t="str">
        <f>IFERROR(VLOOKUP(A8,Sayfa1!$A:$S,18,FALSE),"?")</f>
        <v>?</v>
      </c>
      <c r="F8" s="63" t="str">
        <f>IFERROR(VLOOKUP(A8,Sayfa1!$A:$T,19,FALSE),"?")</f>
        <v>?</v>
      </c>
      <c r="G8" s="63" t="str">
        <f>IFERROR(VLOOKUP(A8,Sayfa1!$A:$U,20,FALSE),"?")</f>
        <v>?</v>
      </c>
      <c r="H8" s="63" t="str">
        <f>IFERROR(VLOOKUP(A8,Sayfa1!$A:$V,21,FALSE),"?")</f>
        <v>?</v>
      </c>
      <c r="I8"/>
      <c r="J8" s="53" t="str">
        <f>IFERROR(VLOOKUP(A8,Sayfa1!$A:$X,23,FALSE),"?")</f>
        <v>?</v>
      </c>
      <c r="K8" s="53" t="str">
        <f>IFERROR(VLOOKUP(A8,Sayfa1!$A:$W,22,FALSE),"?")</f>
        <v>?</v>
      </c>
      <c r="L8" s="53" t="str">
        <f>IFERROR(VLOOKUP(A8,Sayfa1!$A:$Y,24,FALSE),"?")</f>
        <v>?</v>
      </c>
    </row>
    <row r="9" spans="1:12">
      <c r="A9" s="43"/>
      <c r="B9" s="61" t="str">
        <f>IFERROR(VLOOKUP(A9,Sayfa1!A:B,2,FALSE),"?")</f>
        <v>?</v>
      </c>
      <c r="C9" s="62" t="str">
        <f>IFERROR(VLOOKUP(A9,Sayfa1!A:C,3,FALSE),"?")</f>
        <v>?</v>
      </c>
      <c r="D9" s="63" t="str">
        <f>IFERROR(VLOOKUP(A9,Sayfa1!$A:$R,17,FALSE),"?")</f>
        <v>?</v>
      </c>
      <c r="E9" s="63" t="str">
        <f>IFERROR(VLOOKUP(A9,Sayfa1!$A:$S,18,FALSE),"?")</f>
        <v>?</v>
      </c>
      <c r="F9" s="63" t="str">
        <f>IFERROR(VLOOKUP(A9,Sayfa1!$A:$T,19,FALSE),"?")</f>
        <v>?</v>
      </c>
      <c r="G9" s="63" t="str">
        <f>IFERROR(VLOOKUP(A9,Sayfa1!$A:$U,20,FALSE),"?")</f>
        <v>?</v>
      </c>
      <c r="H9" s="63" t="str">
        <f>IFERROR(VLOOKUP(A9,Sayfa1!$A:$V,21,FALSE),"?")</f>
        <v>?</v>
      </c>
      <c r="I9"/>
      <c r="J9" s="53" t="str">
        <f>IFERROR(VLOOKUP(A9,Sayfa1!$A:$X,23,FALSE),"?")</f>
        <v>?</v>
      </c>
      <c r="K9" s="53" t="str">
        <f>IFERROR(VLOOKUP(A9,Sayfa1!$A:$W,22,FALSE),"?")</f>
        <v>?</v>
      </c>
      <c r="L9" s="53" t="str">
        <f>IFERROR(VLOOKUP(A9,Sayfa1!$A:$Y,24,FALSE),"?")</f>
        <v>?</v>
      </c>
    </row>
    <row r="10" spans="1:12">
      <c r="A10" s="43"/>
      <c r="B10" s="61" t="str">
        <f>IFERROR(VLOOKUP(A10,Sayfa1!A:B,2,FALSE),"?")</f>
        <v>?</v>
      </c>
      <c r="C10" s="62" t="str">
        <f>IFERROR(VLOOKUP(A10,Sayfa1!A:C,3,FALSE),"?")</f>
        <v>?</v>
      </c>
      <c r="D10" s="63" t="str">
        <f>IFERROR(VLOOKUP(A10,Sayfa1!$A:$R,17,FALSE),"?")</f>
        <v>?</v>
      </c>
      <c r="E10" s="63" t="str">
        <f>IFERROR(VLOOKUP(A10,Sayfa1!$A:$S,18,FALSE),"?")</f>
        <v>?</v>
      </c>
      <c r="F10" s="63" t="str">
        <f>IFERROR(VLOOKUP(A10,Sayfa1!$A:$T,19,FALSE),"?")</f>
        <v>?</v>
      </c>
      <c r="G10" s="63" t="str">
        <f>IFERROR(VLOOKUP(A10,Sayfa1!$A:$U,20,FALSE),"?")</f>
        <v>?</v>
      </c>
      <c r="H10" s="63" t="str">
        <f>IFERROR(VLOOKUP(A10,Sayfa1!$A:$V,21,FALSE),"?")</f>
        <v>?</v>
      </c>
      <c r="I10"/>
      <c r="J10" s="53" t="str">
        <f>IFERROR(VLOOKUP(A10,Sayfa1!$A:$X,23,FALSE),"?")</f>
        <v>?</v>
      </c>
      <c r="K10" s="53" t="str">
        <f>IFERROR(VLOOKUP(A10,Sayfa1!$A:$W,22,FALSE),"?")</f>
        <v>?</v>
      </c>
      <c r="L10" s="53" t="str">
        <f>IFERROR(VLOOKUP(A10,Sayfa1!$A:$Y,24,FALSE),"?")</f>
        <v>?</v>
      </c>
    </row>
    <row r="11" spans="1:12">
      <c r="A11" s="43"/>
      <c r="B11" s="61" t="str">
        <f>IFERROR(VLOOKUP(A11,Sayfa1!A:B,2,FALSE),"?")</f>
        <v>?</v>
      </c>
      <c r="C11" s="62" t="str">
        <f>IFERROR(VLOOKUP(A11,Sayfa1!A:C,3,FALSE),"?")</f>
        <v>?</v>
      </c>
      <c r="D11" s="63" t="str">
        <f>IFERROR(VLOOKUP(A11,Sayfa1!$A:$R,17,FALSE),"?")</f>
        <v>?</v>
      </c>
      <c r="E11" s="63" t="str">
        <f>IFERROR(VLOOKUP(A11,Sayfa1!$A:$S,18,FALSE),"?")</f>
        <v>?</v>
      </c>
      <c r="F11" s="63" t="str">
        <f>IFERROR(VLOOKUP(A11,Sayfa1!$A:$T,19,FALSE),"?")</f>
        <v>?</v>
      </c>
      <c r="G11" s="63" t="str">
        <f>IFERROR(VLOOKUP(A11,Sayfa1!$A:$U,20,FALSE),"?")</f>
        <v>?</v>
      </c>
      <c r="H11" s="63" t="str">
        <f>IFERROR(VLOOKUP(A11,Sayfa1!$A:$V,21,FALSE),"?")</f>
        <v>?</v>
      </c>
      <c r="I11"/>
      <c r="J11" s="53" t="str">
        <f>IFERROR(VLOOKUP(A11,Sayfa1!$A:$X,23,FALSE),"?")</f>
        <v>?</v>
      </c>
      <c r="K11" s="53" t="str">
        <f>IFERROR(VLOOKUP(A11,Sayfa1!$A:$W,22,FALSE),"?")</f>
        <v>?</v>
      </c>
      <c r="L11" s="53" t="str">
        <f>IFERROR(VLOOKUP(A11,Sayfa1!$A:$Y,24,FALSE),"?")</f>
        <v>?</v>
      </c>
    </row>
    <row r="12" spans="1:12">
      <c r="A12" s="183" t="s">
        <v>459</v>
      </c>
      <c r="B12" s="183"/>
      <c r="C12" s="183"/>
      <c r="D12" s="183"/>
      <c r="E12" s="64">
        <f>SUM(E2:E11)</f>
        <v>17000</v>
      </c>
      <c r="F12" s="64">
        <f>SUM(F2:F11)</f>
        <v>17680</v>
      </c>
      <c r="I12"/>
      <c r="J12"/>
      <c r="K12" s="53"/>
      <c r="L12" s="53"/>
    </row>
    <row r="13" spans="1:12">
      <c r="A13" s="183" t="s">
        <v>460</v>
      </c>
      <c r="B13" s="183"/>
      <c r="C13" s="183"/>
      <c r="D13" s="183"/>
      <c r="E13" s="64">
        <f>SUM(G:G)*-1</f>
        <v>-18360</v>
      </c>
      <c r="F13" s="64">
        <f>SUM(G:G)*-1</f>
        <v>-18360</v>
      </c>
      <c r="I13"/>
      <c r="J13"/>
      <c r="K13" s="53"/>
      <c r="L13" s="53"/>
    </row>
    <row r="14" spans="1:12">
      <c r="A14" s="183" t="s">
        <v>1308</v>
      </c>
      <c r="B14" s="183"/>
      <c r="C14" s="183"/>
      <c r="D14" s="183"/>
      <c r="E14" s="64">
        <f>SUM(H:H)*-1</f>
        <v>-18700</v>
      </c>
      <c r="F14" s="64">
        <f>SUM(H:H)*-1</f>
        <v>-18700</v>
      </c>
      <c r="I14"/>
      <c r="J14"/>
      <c r="K14" s="53"/>
      <c r="L14" s="53"/>
    </row>
    <row r="15" spans="1:12">
      <c r="A15" s="183" t="s">
        <v>462</v>
      </c>
      <c r="B15" s="183"/>
      <c r="C15" s="183"/>
      <c r="D15" s="183"/>
      <c r="E15" s="64">
        <f>I2*-1</f>
        <v>0</v>
      </c>
      <c r="F15" s="64">
        <f>I2*-1</f>
        <v>0</v>
      </c>
      <c r="I15"/>
      <c r="J15"/>
      <c r="K15" s="53"/>
      <c r="L15" s="53"/>
    </row>
    <row r="16" spans="1:12">
      <c r="A16" s="181" t="s">
        <v>461</v>
      </c>
      <c r="B16" s="181"/>
      <c r="C16" s="181"/>
      <c r="D16" s="181"/>
      <c r="E16" s="65">
        <f>SUM(E12:E15)</f>
        <v>-20060</v>
      </c>
      <c r="F16" s="65">
        <f>SUM(F12:F15)</f>
        <v>-19380</v>
      </c>
      <c r="I16"/>
      <c r="J16"/>
    </row>
    <row r="17" spans="1:8">
      <c r="A17" s="179" t="s">
        <v>1339</v>
      </c>
      <c r="B17" s="179"/>
      <c r="C17" s="179"/>
      <c r="D17" s="179"/>
      <c r="E17" s="180">
        <f>E16*1.08</f>
        <v>-21664.800000000003</v>
      </c>
      <c r="F17" s="180"/>
    </row>
    <row r="20" spans="1:8">
      <c r="F20" s="66"/>
    </row>
    <row r="21" spans="1:8">
      <c r="G21" s="48"/>
      <c r="H21" s="48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9" customWidth="1"/>
    <col min="2" max="2" width="2.28515625" style="147" customWidth="1"/>
    <col min="3" max="3" width="79.5703125" style="147" customWidth="1"/>
    <col min="4" max="4" width="79.140625" style="147" customWidth="1"/>
    <col min="5" max="5" width="125.140625" style="147" customWidth="1"/>
    <col min="6" max="6" width="5.42578125" style="147" bestFit="1" customWidth="1"/>
    <col min="7" max="7" width="9.140625" style="147" hidden="1" customWidth="1"/>
    <col min="8" max="8" width="9.140625" style="147"/>
    <col min="9" max="9" width="9.140625" style="147" customWidth="1"/>
    <col min="10" max="10" width="9.140625" style="147"/>
    <col min="11" max="11" width="60.5703125" style="147" customWidth="1"/>
    <col min="12" max="12" width="97.28515625" style="147" customWidth="1"/>
    <col min="13" max="13" width="79.28515625" style="147" customWidth="1"/>
    <col min="14" max="16384" width="9.140625" style="147"/>
  </cols>
  <sheetData>
    <row r="2" spans="3:13" ht="35.25" thickBot="1"/>
    <row r="3" spans="3:13" ht="35.25">
      <c r="C3" s="155"/>
      <c r="D3" s="149"/>
      <c r="E3" s="149"/>
      <c r="K3" s="196" t="s">
        <v>1759</v>
      </c>
      <c r="L3" s="199" t="s">
        <v>468</v>
      </c>
      <c r="M3" s="200"/>
    </row>
    <row r="4" spans="3:13" ht="35.25" thickBot="1">
      <c r="K4" s="197"/>
      <c r="L4" s="201"/>
      <c r="M4" s="202"/>
    </row>
    <row r="5" spans="3:13">
      <c r="C5" s="196" t="s">
        <v>1760</v>
      </c>
      <c r="D5" s="203" t="s">
        <v>1761</v>
      </c>
      <c r="E5" s="204"/>
      <c r="K5" s="197"/>
      <c r="L5" s="184" t="s">
        <v>1635</v>
      </c>
      <c r="M5" s="185"/>
    </row>
    <row r="6" spans="3:13">
      <c r="C6" s="197"/>
      <c r="D6" s="205"/>
      <c r="E6" s="206"/>
      <c r="K6" s="197"/>
      <c r="L6" s="186"/>
      <c r="M6" s="187"/>
    </row>
    <row r="7" spans="3:13">
      <c r="C7" s="197"/>
      <c r="D7" s="205"/>
      <c r="E7" s="206"/>
      <c r="K7" s="197"/>
      <c r="L7" s="186"/>
      <c r="M7" s="187"/>
    </row>
    <row r="8" spans="3:13" ht="205.5" customHeight="1" thickBot="1">
      <c r="C8" s="197"/>
      <c r="D8" s="205"/>
      <c r="E8" s="206"/>
      <c r="K8" s="197"/>
      <c r="L8" s="188"/>
      <c r="M8" s="189"/>
    </row>
    <row r="9" spans="3:13">
      <c r="C9" s="197"/>
      <c r="D9" s="205"/>
      <c r="E9" s="206"/>
      <c r="K9" s="197"/>
      <c r="L9" s="209" t="s">
        <v>1762</v>
      </c>
      <c r="M9" s="210"/>
    </row>
    <row r="10" spans="3:13">
      <c r="C10" s="197"/>
      <c r="D10" s="205"/>
      <c r="E10" s="206"/>
      <c r="K10" s="197"/>
      <c r="L10" s="211"/>
      <c r="M10" s="212"/>
    </row>
    <row r="11" spans="3:13">
      <c r="C11" s="197"/>
      <c r="D11" s="205"/>
      <c r="E11" s="206"/>
      <c r="K11" s="197"/>
      <c r="L11" s="211"/>
      <c r="M11" s="212"/>
    </row>
    <row r="12" spans="3:13" ht="125.45" customHeight="1" thickBot="1">
      <c r="C12" s="198"/>
      <c r="D12" s="207"/>
      <c r="E12" s="208"/>
      <c r="K12" s="197"/>
      <c r="L12" s="211"/>
      <c r="M12" s="212"/>
    </row>
    <row r="13" spans="3:13">
      <c r="K13" s="197"/>
      <c r="L13" s="211"/>
      <c r="M13" s="212"/>
    </row>
    <row r="14" spans="3:13">
      <c r="K14" s="197"/>
      <c r="L14" s="211"/>
      <c r="M14" s="212"/>
    </row>
    <row r="15" spans="3:13">
      <c r="K15" s="197"/>
      <c r="L15" s="211"/>
      <c r="M15" s="212"/>
    </row>
    <row r="16" spans="3:13" ht="35.25" thickBot="1">
      <c r="K16" s="197"/>
      <c r="L16" s="211"/>
      <c r="M16" s="212"/>
    </row>
    <row r="17" spans="3:33">
      <c r="C17" s="196" t="s">
        <v>1763</v>
      </c>
      <c r="D17" s="203" t="s">
        <v>1764</v>
      </c>
      <c r="E17" s="204"/>
      <c r="K17" s="197"/>
      <c r="L17" s="211"/>
      <c r="M17" s="212"/>
    </row>
    <row r="18" spans="3:33" ht="35.25" thickBot="1">
      <c r="C18" s="197"/>
      <c r="D18" s="205"/>
      <c r="E18" s="206"/>
      <c r="K18" s="198"/>
      <c r="L18" s="213"/>
      <c r="M18" s="214"/>
    </row>
    <row r="19" spans="3:33">
      <c r="C19" s="197"/>
      <c r="D19" s="205"/>
      <c r="E19" s="206"/>
    </row>
    <row r="20" spans="3:33" ht="35.25" thickBot="1">
      <c r="C20" s="197"/>
      <c r="D20" s="205"/>
      <c r="E20" s="206"/>
    </row>
    <row r="21" spans="3:33">
      <c r="C21" s="197"/>
      <c r="D21" s="205"/>
      <c r="E21" s="206"/>
      <c r="K21" s="196" t="s">
        <v>1765</v>
      </c>
      <c r="L21" s="215" t="s">
        <v>469</v>
      </c>
      <c r="M21" s="216"/>
    </row>
    <row r="22" spans="3:33" ht="35.25" thickBot="1">
      <c r="C22" s="197"/>
      <c r="D22" s="205"/>
      <c r="E22" s="206"/>
      <c r="K22" s="197"/>
      <c r="L22" s="217"/>
      <c r="M22" s="218"/>
    </row>
    <row r="23" spans="3:33">
      <c r="C23" s="197"/>
      <c r="D23" s="205"/>
      <c r="E23" s="206"/>
      <c r="K23" s="197"/>
      <c r="L23" s="184" t="s">
        <v>1636</v>
      </c>
      <c r="M23" s="185"/>
    </row>
    <row r="24" spans="3:33" ht="312.95" customHeight="1" thickBot="1">
      <c r="C24" s="198"/>
      <c r="D24" s="207"/>
      <c r="E24" s="208"/>
      <c r="K24" s="197"/>
      <c r="L24" s="186"/>
      <c r="M24" s="187"/>
    </row>
    <row r="25" spans="3:33">
      <c r="K25" s="197"/>
      <c r="L25" s="186"/>
      <c r="M25" s="187"/>
    </row>
    <row r="26" spans="3:33" ht="409.6" customHeight="1" thickBot="1">
      <c r="K26" s="197"/>
      <c r="L26" s="188"/>
      <c r="M26" s="189"/>
    </row>
    <row r="27" spans="3:33">
      <c r="K27" s="197"/>
      <c r="L27" s="190" t="s">
        <v>1766</v>
      </c>
      <c r="M27" s="191"/>
    </row>
    <row r="28" spans="3:33">
      <c r="K28" s="197"/>
      <c r="L28" s="192"/>
      <c r="M28" s="193"/>
    </row>
    <row r="29" spans="3:33">
      <c r="K29" s="197"/>
      <c r="L29" s="192"/>
      <c r="M29" s="193"/>
      <c r="AG29" s="148"/>
    </row>
    <row r="30" spans="3:33">
      <c r="K30" s="197"/>
      <c r="L30" s="192"/>
      <c r="M30" s="193"/>
      <c r="AG30" s="148"/>
    </row>
    <row r="31" spans="3:33" ht="278.10000000000002" customHeight="1" thickBot="1">
      <c r="K31" s="198"/>
      <c r="L31" s="194"/>
      <c r="M31" s="195"/>
      <c r="AG31" s="148"/>
    </row>
    <row r="32" spans="3:33">
      <c r="AG32" s="148"/>
    </row>
    <row r="33" spans="30:33">
      <c r="AG33" s="148"/>
    </row>
    <row r="34" spans="30:33">
      <c r="AD34" s="148"/>
    </row>
    <row r="35" spans="30:33">
      <c r="AD35" s="148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A618" sqref="A618"/>
    </sheetView>
  </sheetViews>
  <sheetFormatPr defaultColWidth="9.140625" defaultRowHeight="15"/>
  <cols>
    <col min="1" max="1" width="13.7109375" style="94" customWidth="1"/>
    <col min="2" max="2" width="72.5703125" style="94" customWidth="1"/>
    <col min="3" max="3" width="149.85546875" style="95" customWidth="1"/>
    <col min="4" max="4" width="24.7109375" style="94" customWidth="1"/>
    <col min="5" max="16384" width="9.140625" style="94"/>
  </cols>
  <sheetData>
    <row r="1" spans="1:5">
      <c r="A1" s="160" t="s">
        <v>846</v>
      </c>
      <c r="B1" s="160" t="s">
        <v>847</v>
      </c>
      <c r="C1" s="161" t="s">
        <v>848</v>
      </c>
      <c r="D1" s="161" t="s">
        <v>1574</v>
      </c>
      <c r="E1" s="94" t="s">
        <v>1774</v>
      </c>
    </row>
    <row r="2" spans="1:5">
      <c r="A2" s="94" t="s">
        <v>1486</v>
      </c>
      <c r="B2" s="74" t="s">
        <v>1561</v>
      </c>
      <c r="C2" s="77" t="s">
        <v>1507</v>
      </c>
      <c r="D2" s="94" t="s">
        <v>1575</v>
      </c>
      <c r="E2" s="94" t="s">
        <v>1775</v>
      </c>
    </row>
    <row r="3" spans="1:5">
      <c r="A3" s="95" t="s">
        <v>1667</v>
      </c>
      <c r="B3" s="74" t="s">
        <v>1668</v>
      </c>
      <c r="C3" s="77" t="s">
        <v>1669</v>
      </c>
      <c r="D3" s="94" t="s">
        <v>1575</v>
      </c>
      <c r="E3" s="94" t="s">
        <v>1775</v>
      </c>
    </row>
    <row r="4" spans="1:5">
      <c r="A4" s="73" t="s">
        <v>445</v>
      </c>
      <c r="B4" s="74" t="s">
        <v>836</v>
      </c>
      <c r="C4" s="75" t="s">
        <v>1300</v>
      </c>
      <c r="D4" s="94" t="s">
        <v>1576</v>
      </c>
      <c r="E4" s="94" t="s">
        <v>1776</v>
      </c>
    </row>
    <row r="5" spans="1:5">
      <c r="A5" s="73" t="s">
        <v>446</v>
      </c>
      <c r="B5" s="74" t="s">
        <v>837</v>
      </c>
      <c r="C5" s="75" t="s">
        <v>1300</v>
      </c>
      <c r="D5" s="94" t="s">
        <v>1576</v>
      </c>
      <c r="E5" s="94" t="s">
        <v>1776</v>
      </c>
    </row>
    <row r="6" spans="1:5">
      <c r="A6" s="73" t="s">
        <v>447</v>
      </c>
      <c r="B6" s="74" t="s">
        <v>838</v>
      </c>
      <c r="C6" s="75" t="s">
        <v>1301</v>
      </c>
      <c r="D6" s="94" t="s">
        <v>1576</v>
      </c>
      <c r="E6" s="94" t="s">
        <v>1776</v>
      </c>
    </row>
    <row r="7" spans="1:5">
      <c r="A7" s="73" t="s">
        <v>449</v>
      </c>
      <c r="B7" s="74" t="s">
        <v>838</v>
      </c>
      <c r="C7" s="75" t="s">
        <v>1301</v>
      </c>
      <c r="D7" s="94" t="s">
        <v>1576</v>
      </c>
      <c r="E7" s="94" t="s">
        <v>1776</v>
      </c>
    </row>
    <row r="8" spans="1:5">
      <c r="A8" s="73" t="s">
        <v>451</v>
      </c>
      <c r="B8" s="74" t="s">
        <v>840</v>
      </c>
      <c r="C8" s="75" t="s">
        <v>1302</v>
      </c>
      <c r="D8" s="94" t="s">
        <v>1576</v>
      </c>
      <c r="E8" s="94" t="s">
        <v>1776</v>
      </c>
    </row>
    <row r="9" spans="1:5">
      <c r="A9" s="73" t="s">
        <v>448</v>
      </c>
      <c r="B9" s="74" t="s">
        <v>839</v>
      </c>
      <c r="C9" s="75" t="s">
        <v>1301</v>
      </c>
      <c r="D9" s="94" t="s">
        <v>1576</v>
      </c>
      <c r="E9" s="94" t="s">
        <v>1776</v>
      </c>
    </row>
    <row r="10" spans="1:5">
      <c r="A10" s="73" t="s">
        <v>450</v>
      </c>
      <c r="B10" s="74" t="s">
        <v>839</v>
      </c>
      <c r="C10" s="75" t="s">
        <v>1301</v>
      </c>
      <c r="D10" s="94" t="s">
        <v>1576</v>
      </c>
      <c r="E10" s="94" t="s">
        <v>1776</v>
      </c>
    </row>
    <row r="11" spans="1:5">
      <c r="A11" s="73" t="s">
        <v>452</v>
      </c>
      <c r="B11" s="74" t="s">
        <v>839</v>
      </c>
      <c r="C11" s="75" t="s">
        <v>1302</v>
      </c>
      <c r="D11" s="94" t="s">
        <v>1576</v>
      </c>
      <c r="E11" s="94" t="s">
        <v>1776</v>
      </c>
    </row>
    <row r="12" spans="1:5">
      <c r="A12" s="73" t="s">
        <v>453</v>
      </c>
      <c r="B12" s="74" t="s">
        <v>841</v>
      </c>
      <c r="C12" s="75" t="s">
        <v>1303</v>
      </c>
      <c r="D12" s="94" t="s">
        <v>1576</v>
      </c>
      <c r="E12" s="94" t="s">
        <v>1776</v>
      </c>
    </row>
    <row r="13" spans="1:5">
      <c r="A13" s="43" t="s">
        <v>1777</v>
      </c>
      <c r="B13" s="165" t="s">
        <v>841</v>
      </c>
      <c r="C13" s="95" t="s">
        <v>1778</v>
      </c>
      <c r="D13" s="94" t="s">
        <v>1576</v>
      </c>
      <c r="E13" s="94" t="s">
        <v>1776</v>
      </c>
    </row>
    <row r="14" spans="1:5">
      <c r="A14" s="73" t="s">
        <v>455</v>
      </c>
      <c r="B14" s="74" t="s">
        <v>843</v>
      </c>
      <c r="C14" s="75" t="s">
        <v>1304</v>
      </c>
      <c r="D14" s="94" t="s">
        <v>1576</v>
      </c>
      <c r="E14" s="94" t="s">
        <v>1776</v>
      </c>
    </row>
    <row r="15" spans="1:5">
      <c r="A15" s="73" t="s">
        <v>454</v>
      </c>
      <c r="B15" s="74" t="s">
        <v>842</v>
      </c>
      <c r="C15" s="75" t="s">
        <v>1303</v>
      </c>
      <c r="D15" s="94" t="s">
        <v>1576</v>
      </c>
      <c r="E15" s="94" t="s">
        <v>1776</v>
      </c>
    </row>
    <row r="16" spans="1:5">
      <c r="A16" s="43" t="s">
        <v>1779</v>
      </c>
      <c r="B16" s="165" t="s">
        <v>842</v>
      </c>
      <c r="C16" s="95" t="s">
        <v>1780</v>
      </c>
      <c r="D16" s="94" t="s">
        <v>1576</v>
      </c>
      <c r="E16" s="94" t="s">
        <v>1776</v>
      </c>
    </row>
    <row r="17" spans="1:5">
      <c r="A17" s="73" t="s">
        <v>456</v>
      </c>
      <c r="B17" s="74" t="s">
        <v>842</v>
      </c>
      <c r="C17" s="75" t="s">
        <v>1304</v>
      </c>
      <c r="D17" s="94" t="s">
        <v>1576</v>
      </c>
      <c r="E17" s="94" t="s">
        <v>1776</v>
      </c>
    </row>
    <row r="18" spans="1:5">
      <c r="A18" s="73" t="s">
        <v>457</v>
      </c>
      <c r="B18" s="74" t="s">
        <v>844</v>
      </c>
      <c r="C18" s="75" t="s">
        <v>1305</v>
      </c>
      <c r="D18" s="94" t="s">
        <v>1576</v>
      </c>
      <c r="E18" s="94" t="s">
        <v>1776</v>
      </c>
    </row>
    <row r="19" spans="1:5">
      <c r="A19" s="73" t="s">
        <v>1478</v>
      </c>
      <c r="B19" s="74" t="s">
        <v>844</v>
      </c>
      <c r="C19" s="75" t="s">
        <v>1495</v>
      </c>
      <c r="D19" s="94" t="s">
        <v>1576</v>
      </c>
      <c r="E19" s="94" t="s">
        <v>1776</v>
      </c>
    </row>
    <row r="20" spans="1:5">
      <c r="A20" s="73" t="s">
        <v>458</v>
      </c>
      <c r="B20" s="74" t="s">
        <v>845</v>
      </c>
      <c r="C20" s="75" t="s">
        <v>1305</v>
      </c>
      <c r="D20" s="94" t="s">
        <v>1576</v>
      </c>
      <c r="E20" s="94" t="s">
        <v>1776</v>
      </c>
    </row>
    <row r="21" spans="1:5">
      <c r="A21" s="73" t="s">
        <v>1479</v>
      </c>
      <c r="B21" s="74" t="s">
        <v>845</v>
      </c>
      <c r="C21" s="75" t="s">
        <v>1496</v>
      </c>
      <c r="D21" s="94" t="s">
        <v>1576</v>
      </c>
      <c r="E21" s="94" t="s">
        <v>1776</v>
      </c>
    </row>
    <row r="22" spans="1:5">
      <c r="A22" s="76" t="s">
        <v>205</v>
      </c>
      <c r="B22" s="45" t="s">
        <v>621</v>
      </c>
      <c r="C22" s="75" t="s">
        <v>849</v>
      </c>
      <c r="D22" s="94" t="s">
        <v>1577</v>
      </c>
      <c r="E22" s="94" t="s">
        <v>1776</v>
      </c>
    </row>
    <row r="23" spans="1:5">
      <c r="A23" s="76" t="s">
        <v>207</v>
      </c>
      <c r="B23" s="45" t="s">
        <v>623</v>
      </c>
      <c r="C23" s="75" t="s">
        <v>850</v>
      </c>
      <c r="D23" s="94" t="s">
        <v>1577</v>
      </c>
      <c r="E23" s="94" t="s">
        <v>1776</v>
      </c>
    </row>
    <row r="24" spans="1:5">
      <c r="A24" s="73" t="s">
        <v>206</v>
      </c>
      <c r="B24" s="74" t="s">
        <v>622</v>
      </c>
      <c r="C24" s="75" t="s">
        <v>1073</v>
      </c>
      <c r="D24" s="94" t="s">
        <v>1577</v>
      </c>
      <c r="E24" s="94" t="s">
        <v>1776</v>
      </c>
    </row>
    <row r="25" spans="1:5">
      <c r="A25" s="73" t="s">
        <v>209</v>
      </c>
      <c r="B25" s="74" t="s">
        <v>625</v>
      </c>
      <c r="C25" s="75" t="s">
        <v>1075</v>
      </c>
      <c r="D25" s="94" t="s">
        <v>1577</v>
      </c>
      <c r="E25" s="94" t="s">
        <v>1776</v>
      </c>
    </row>
    <row r="26" spans="1:5">
      <c r="A26" s="73" t="s">
        <v>208</v>
      </c>
      <c r="B26" s="74" t="s">
        <v>624</v>
      </c>
      <c r="C26" s="75" t="s">
        <v>1074</v>
      </c>
      <c r="D26" s="94" t="s">
        <v>1577</v>
      </c>
      <c r="E26" s="94" t="s">
        <v>1776</v>
      </c>
    </row>
    <row r="27" spans="1:5">
      <c r="A27" s="76" t="s">
        <v>211</v>
      </c>
      <c r="B27" s="45" t="s">
        <v>621</v>
      </c>
      <c r="C27" s="75" t="s">
        <v>851</v>
      </c>
      <c r="D27" s="94" t="s">
        <v>1577</v>
      </c>
      <c r="E27" s="94" t="s">
        <v>1776</v>
      </c>
    </row>
    <row r="28" spans="1:5">
      <c r="A28" s="73" t="s">
        <v>210</v>
      </c>
      <c r="B28" s="74" t="s">
        <v>626</v>
      </c>
      <c r="C28" s="75" t="s">
        <v>1076</v>
      </c>
      <c r="D28" s="94" t="s">
        <v>1577</v>
      </c>
      <c r="E28" s="94" t="s">
        <v>1776</v>
      </c>
    </row>
    <row r="29" spans="1:5">
      <c r="A29" s="73" t="s">
        <v>212</v>
      </c>
      <c r="B29" s="74" t="s">
        <v>627</v>
      </c>
      <c r="C29" s="75" t="s">
        <v>1077</v>
      </c>
      <c r="D29" s="94" t="s">
        <v>1577</v>
      </c>
      <c r="E29" s="94" t="s">
        <v>1776</v>
      </c>
    </row>
    <row r="30" spans="1:5">
      <c r="A30" s="73" t="s">
        <v>213</v>
      </c>
      <c r="B30" s="74" t="s">
        <v>628</v>
      </c>
      <c r="C30" s="75" t="s">
        <v>1078</v>
      </c>
      <c r="D30" s="94" t="s">
        <v>1577</v>
      </c>
      <c r="E30" s="94" t="s">
        <v>1776</v>
      </c>
    </row>
    <row r="31" spans="1:5">
      <c r="A31" s="73" t="s">
        <v>214</v>
      </c>
      <c r="B31" s="74" t="s">
        <v>629</v>
      </c>
      <c r="C31" s="75" t="s">
        <v>1079</v>
      </c>
      <c r="D31" s="94" t="s">
        <v>1577</v>
      </c>
      <c r="E31" s="94" t="s">
        <v>1776</v>
      </c>
    </row>
    <row r="32" spans="1:5">
      <c r="A32" s="76" t="s">
        <v>215</v>
      </c>
      <c r="B32" s="45" t="s">
        <v>852</v>
      </c>
      <c r="C32" s="75" t="s">
        <v>853</v>
      </c>
      <c r="D32" s="94" t="s">
        <v>1577</v>
      </c>
      <c r="E32" s="94" t="s">
        <v>1776</v>
      </c>
    </row>
    <row r="33" spans="1:5">
      <c r="A33" s="73" t="s">
        <v>216</v>
      </c>
      <c r="B33" s="74" t="s">
        <v>630</v>
      </c>
      <c r="C33" s="75" t="s">
        <v>1080</v>
      </c>
      <c r="D33" s="94" t="s">
        <v>1577</v>
      </c>
      <c r="E33" s="94" t="s">
        <v>1776</v>
      </c>
    </row>
    <row r="34" spans="1:5">
      <c r="A34" s="73" t="s">
        <v>217</v>
      </c>
      <c r="B34" s="74" t="s">
        <v>631</v>
      </c>
      <c r="C34" s="75" t="s">
        <v>1081</v>
      </c>
      <c r="D34" s="94" t="s">
        <v>1577</v>
      </c>
      <c r="E34" s="94" t="s">
        <v>1776</v>
      </c>
    </row>
    <row r="35" spans="1:5">
      <c r="A35" s="76" t="s">
        <v>218</v>
      </c>
      <c r="B35" s="45" t="s">
        <v>632</v>
      </c>
      <c r="C35" s="75" t="s">
        <v>854</v>
      </c>
      <c r="D35" s="94" t="s">
        <v>1577</v>
      </c>
      <c r="E35" s="94" t="s">
        <v>1776</v>
      </c>
    </row>
    <row r="36" spans="1:5">
      <c r="A36" s="73" t="s">
        <v>219</v>
      </c>
      <c r="B36" s="74" t="s">
        <v>633</v>
      </c>
      <c r="C36" s="75" t="s">
        <v>1082</v>
      </c>
      <c r="D36" s="94" t="s">
        <v>1577</v>
      </c>
      <c r="E36" s="94" t="s">
        <v>1776</v>
      </c>
    </row>
    <row r="37" spans="1:5">
      <c r="A37" s="73" t="s">
        <v>220</v>
      </c>
      <c r="B37" s="74" t="s">
        <v>634</v>
      </c>
      <c r="C37" s="75" t="s">
        <v>1083</v>
      </c>
      <c r="D37" s="94" t="s">
        <v>1578</v>
      </c>
      <c r="E37" s="94" t="s">
        <v>1776</v>
      </c>
    </row>
    <row r="38" spans="1:5">
      <c r="A38" s="73" t="s">
        <v>221</v>
      </c>
      <c r="B38" s="74" t="s">
        <v>634</v>
      </c>
      <c r="C38" s="75" t="s">
        <v>1084</v>
      </c>
      <c r="D38" s="94" t="s">
        <v>1578</v>
      </c>
      <c r="E38" s="94" t="s">
        <v>1776</v>
      </c>
    </row>
    <row r="39" spans="1:5">
      <c r="A39" s="73" t="s">
        <v>388</v>
      </c>
      <c r="B39" s="74" t="s">
        <v>783</v>
      </c>
      <c r="C39" s="75" t="s">
        <v>1253</v>
      </c>
      <c r="D39" s="94" t="s">
        <v>1578</v>
      </c>
      <c r="E39" s="94" t="s">
        <v>1776</v>
      </c>
    </row>
    <row r="40" spans="1:5">
      <c r="A40" s="73" t="s">
        <v>389</v>
      </c>
      <c r="B40" s="74" t="s">
        <v>784</v>
      </c>
      <c r="C40" s="75" t="s">
        <v>1254</v>
      </c>
      <c r="D40" s="94" t="s">
        <v>1578</v>
      </c>
      <c r="E40" s="94" t="s">
        <v>1776</v>
      </c>
    </row>
    <row r="41" spans="1:5">
      <c r="A41" s="73" t="s">
        <v>390</v>
      </c>
      <c r="B41" s="74" t="s">
        <v>785</v>
      </c>
      <c r="C41" s="75" t="s">
        <v>1255</v>
      </c>
      <c r="D41" s="94" t="s">
        <v>1578</v>
      </c>
      <c r="E41" s="94" t="s">
        <v>1776</v>
      </c>
    </row>
    <row r="42" spans="1:5">
      <c r="A42" s="95" t="s">
        <v>1499</v>
      </c>
      <c r="B42" s="74" t="s">
        <v>783</v>
      </c>
      <c r="C42" s="95" t="s">
        <v>1500</v>
      </c>
      <c r="D42" s="94" t="s">
        <v>1578</v>
      </c>
      <c r="E42" s="94" t="s">
        <v>1776</v>
      </c>
    </row>
    <row r="43" spans="1:5">
      <c r="A43" s="73" t="s">
        <v>199</v>
      </c>
      <c r="B43" s="74" t="s">
        <v>618</v>
      </c>
      <c r="C43" s="75" t="s">
        <v>1070</v>
      </c>
      <c r="D43" s="94" t="s">
        <v>1579</v>
      </c>
      <c r="E43" s="94" t="s">
        <v>1776</v>
      </c>
    </row>
    <row r="44" spans="1:5">
      <c r="A44" s="73" t="s">
        <v>200</v>
      </c>
      <c r="B44" s="74" t="s">
        <v>619</v>
      </c>
      <c r="C44" s="75" t="s">
        <v>1071</v>
      </c>
      <c r="D44" s="94" t="s">
        <v>1579</v>
      </c>
      <c r="E44" s="94" t="s">
        <v>1776</v>
      </c>
    </row>
    <row r="45" spans="1:5">
      <c r="A45" s="94" t="s">
        <v>1580</v>
      </c>
      <c r="B45" s="74" t="s">
        <v>1581</v>
      </c>
      <c r="C45" s="95" t="s">
        <v>1582</v>
      </c>
      <c r="D45" s="94" t="s">
        <v>1583</v>
      </c>
      <c r="E45" s="94" t="s">
        <v>1583</v>
      </c>
    </row>
    <row r="46" spans="1:5">
      <c r="A46" s="94" t="s">
        <v>1584</v>
      </c>
      <c r="B46" s="74" t="s">
        <v>1585</v>
      </c>
      <c r="C46" s="95" t="s">
        <v>1586</v>
      </c>
      <c r="D46" s="94" t="s">
        <v>1583</v>
      </c>
      <c r="E46" s="94" t="s">
        <v>1583</v>
      </c>
    </row>
    <row r="47" spans="1:5">
      <c r="A47" s="94" t="s">
        <v>1587</v>
      </c>
      <c r="B47" s="74" t="s">
        <v>1588</v>
      </c>
      <c r="C47" s="95" t="s">
        <v>1589</v>
      </c>
      <c r="D47" s="94" t="s">
        <v>1583</v>
      </c>
      <c r="E47" s="94" t="s">
        <v>1583</v>
      </c>
    </row>
    <row r="48" spans="1:5">
      <c r="A48" s="94" t="s">
        <v>1590</v>
      </c>
      <c r="B48" s="74" t="s">
        <v>1591</v>
      </c>
      <c r="C48" s="95" t="s">
        <v>1592</v>
      </c>
      <c r="D48" s="94" t="s">
        <v>1583</v>
      </c>
      <c r="E48" s="94" t="s">
        <v>1583</v>
      </c>
    </row>
    <row r="49" spans="1:5">
      <c r="A49" s="94" t="s">
        <v>1593</v>
      </c>
      <c r="B49" s="74" t="s">
        <v>1594</v>
      </c>
      <c r="C49" s="95" t="s">
        <v>1595</v>
      </c>
      <c r="D49" s="94" t="s">
        <v>1583</v>
      </c>
      <c r="E49" s="94" t="s">
        <v>1583</v>
      </c>
    </row>
    <row r="50" spans="1:5">
      <c r="A50" s="94" t="s">
        <v>1596</v>
      </c>
      <c r="B50" s="74" t="s">
        <v>1597</v>
      </c>
      <c r="C50" s="95" t="s">
        <v>1598</v>
      </c>
      <c r="D50" s="94" t="s">
        <v>1583</v>
      </c>
      <c r="E50" s="94" t="s">
        <v>1583</v>
      </c>
    </row>
    <row r="51" spans="1:5">
      <c r="A51" s="94" t="s">
        <v>1599</v>
      </c>
      <c r="B51" s="74" t="s">
        <v>1600</v>
      </c>
      <c r="C51" s="95" t="s">
        <v>1601</v>
      </c>
      <c r="D51" s="94" t="s">
        <v>1583</v>
      </c>
      <c r="E51" s="94" t="s">
        <v>1583</v>
      </c>
    </row>
    <row r="52" spans="1:5">
      <c r="A52" s="94" t="s">
        <v>1602</v>
      </c>
      <c r="B52" s="74" t="s">
        <v>1603</v>
      </c>
      <c r="C52" s="95" t="s">
        <v>1604</v>
      </c>
      <c r="D52" s="94" t="s">
        <v>1583</v>
      </c>
      <c r="E52" s="94" t="s">
        <v>1583</v>
      </c>
    </row>
    <row r="53" spans="1:5">
      <c r="A53" s="94" t="s">
        <v>1605</v>
      </c>
      <c r="B53" s="74" t="s">
        <v>1606</v>
      </c>
      <c r="C53" s="95" t="s">
        <v>1607</v>
      </c>
      <c r="D53" s="94" t="s">
        <v>1583</v>
      </c>
      <c r="E53" s="94" t="s">
        <v>1583</v>
      </c>
    </row>
    <row r="54" spans="1:5">
      <c r="A54" s="94" t="s">
        <v>1608</v>
      </c>
      <c r="B54" s="74" t="s">
        <v>1609</v>
      </c>
      <c r="C54" s="95" t="s">
        <v>1610</v>
      </c>
      <c r="D54" s="94" t="s">
        <v>1583</v>
      </c>
      <c r="E54" s="94" t="s">
        <v>1583</v>
      </c>
    </row>
    <row r="55" spans="1:5">
      <c r="A55" s="94" t="s">
        <v>1611</v>
      </c>
      <c r="B55" s="74" t="s">
        <v>1612</v>
      </c>
      <c r="C55" s="95" t="s">
        <v>1613</v>
      </c>
      <c r="D55" s="94" t="s">
        <v>1583</v>
      </c>
      <c r="E55" s="94" t="s">
        <v>1583</v>
      </c>
    </row>
    <row r="56" spans="1:5">
      <c r="A56" s="94" t="s">
        <v>1614</v>
      </c>
      <c r="B56" s="74" t="s">
        <v>1615</v>
      </c>
      <c r="C56" s="95" t="s">
        <v>1616</v>
      </c>
      <c r="D56" s="94" t="s">
        <v>1583</v>
      </c>
      <c r="E56" s="94" t="s">
        <v>1583</v>
      </c>
    </row>
    <row r="57" spans="1:5">
      <c r="A57" s="73" t="s">
        <v>433</v>
      </c>
      <c r="B57" s="45" t="s">
        <v>827</v>
      </c>
      <c r="C57" s="75" t="s">
        <v>1288</v>
      </c>
      <c r="D57" s="94" t="s">
        <v>1617</v>
      </c>
      <c r="E57" s="94" t="s">
        <v>1776</v>
      </c>
    </row>
    <row r="58" spans="1:5">
      <c r="A58" s="73" t="s">
        <v>434</v>
      </c>
      <c r="B58" s="45" t="s">
        <v>828</v>
      </c>
      <c r="C58" s="75" t="s">
        <v>1289</v>
      </c>
      <c r="D58" s="94" t="s">
        <v>1617</v>
      </c>
      <c r="E58" s="94" t="s">
        <v>1776</v>
      </c>
    </row>
    <row r="59" spans="1:5">
      <c r="A59" s="73" t="s">
        <v>435</v>
      </c>
      <c r="B59" s="45" t="s">
        <v>828</v>
      </c>
      <c r="C59" s="75" t="s">
        <v>1290</v>
      </c>
      <c r="D59" s="94" t="s">
        <v>1617</v>
      </c>
      <c r="E59" s="94" t="s">
        <v>1776</v>
      </c>
    </row>
    <row r="60" spans="1:5">
      <c r="A60" s="73" t="s">
        <v>436</v>
      </c>
      <c r="B60" s="45" t="s">
        <v>829</v>
      </c>
      <c r="C60" s="75" t="s">
        <v>1291</v>
      </c>
      <c r="D60" s="94" t="s">
        <v>1578</v>
      </c>
      <c r="E60" s="94" t="s">
        <v>1776</v>
      </c>
    </row>
    <row r="61" spans="1:5">
      <c r="A61" s="73" t="s">
        <v>437</v>
      </c>
      <c r="B61" s="74" t="s">
        <v>827</v>
      </c>
      <c r="C61" s="75" t="s">
        <v>1292</v>
      </c>
      <c r="D61" s="94" t="s">
        <v>1617</v>
      </c>
      <c r="E61" s="94" t="s">
        <v>1776</v>
      </c>
    </row>
    <row r="62" spans="1:5">
      <c r="A62" s="73" t="s">
        <v>61</v>
      </c>
      <c r="B62" s="74" t="s">
        <v>512</v>
      </c>
      <c r="C62" s="75" t="s">
        <v>957</v>
      </c>
      <c r="D62" s="94" t="s">
        <v>1578</v>
      </c>
      <c r="E62" s="94" t="s">
        <v>1776</v>
      </c>
    </row>
    <row r="63" spans="1:5">
      <c r="A63" s="73" t="s">
        <v>62</v>
      </c>
      <c r="B63" s="74" t="s">
        <v>513</v>
      </c>
      <c r="C63" s="75" t="s">
        <v>958</v>
      </c>
      <c r="D63" s="94" t="s">
        <v>1578</v>
      </c>
      <c r="E63" s="94" t="s">
        <v>1776</v>
      </c>
    </row>
    <row r="64" spans="1:5">
      <c r="A64" s="73" t="s">
        <v>63</v>
      </c>
      <c r="B64" s="74" t="s">
        <v>514</v>
      </c>
      <c r="C64" s="75" t="s">
        <v>959</v>
      </c>
      <c r="D64" s="94" t="s">
        <v>1578</v>
      </c>
      <c r="E64" s="94" t="s">
        <v>1776</v>
      </c>
    </row>
    <row r="65" spans="1:5">
      <c r="A65" s="73" t="s">
        <v>444</v>
      </c>
      <c r="B65" s="74" t="s">
        <v>835</v>
      </c>
      <c r="C65" s="75" t="s">
        <v>1299</v>
      </c>
      <c r="D65" s="94" t="s">
        <v>1578</v>
      </c>
      <c r="E65" s="94" t="s">
        <v>1776</v>
      </c>
    </row>
    <row r="66" spans="1:5">
      <c r="A66" s="73" t="s">
        <v>64</v>
      </c>
      <c r="B66" s="74" t="s">
        <v>515</v>
      </c>
      <c r="C66" s="75" t="s">
        <v>960</v>
      </c>
      <c r="D66" s="94" t="s">
        <v>1618</v>
      </c>
      <c r="E66" s="94" t="s">
        <v>1776</v>
      </c>
    </row>
    <row r="67" spans="1:5">
      <c r="A67" s="73" t="s">
        <v>440</v>
      </c>
      <c r="B67" s="74" t="s">
        <v>832</v>
      </c>
      <c r="C67" s="75" t="s">
        <v>1295</v>
      </c>
      <c r="D67" s="94" t="s">
        <v>1578</v>
      </c>
      <c r="E67" s="94" t="s">
        <v>1776</v>
      </c>
    </row>
    <row r="68" spans="1:5">
      <c r="A68" s="73" t="s">
        <v>441</v>
      </c>
      <c r="B68" s="74" t="s">
        <v>833</v>
      </c>
      <c r="C68" s="75" t="s">
        <v>1296</v>
      </c>
      <c r="D68" s="94" t="s">
        <v>1578</v>
      </c>
      <c r="E68" s="94" t="s">
        <v>1776</v>
      </c>
    </row>
    <row r="69" spans="1:5">
      <c r="A69" s="73" t="s">
        <v>442</v>
      </c>
      <c r="B69" s="74" t="s">
        <v>833</v>
      </c>
      <c r="C69" s="75" t="s">
        <v>1297</v>
      </c>
      <c r="D69" s="94" t="s">
        <v>1578</v>
      </c>
      <c r="E69" s="94" t="s">
        <v>1776</v>
      </c>
    </row>
    <row r="70" spans="1:5">
      <c r="A70" s="73" t="s">
        <v>443</v>
      </c>
      <c r="B70" s="74" t="s">
        <v>834</v>
      </c>
      <c r="C70" s="75" t="s">
        <v>1298</v>
      </c>
      <c r="D70" s="94" t="s">
        <v>1578</v>
      </c>
      <c r="E70" s="94" t="s">
        <v>1776</v>
      </c>
    </row>
    <row r="71" spans="1:5">
      <c r="A71" s="164" t="s">
        <v>1731</v>
      </c>
      <c r="B71" s="74" t="s">
        <v>1732</v>
      </c>
      <c r="C71" s="95" t="s">
        <v>1733</v>
      </c>
      <c r="D71" s="94" t="s">
        <v>1578</v>
      </c>
      <c r="E71" s="94" t="s">
        <v>1776</v>
      </c>
    </row>
    <row r="72" spans="1:5">
      <c r="A72" s="73" t="s">
        <v>198</v>
      </c>
      <c r="B72" s="74" t="s">
        <v>617</v>
      </c>
      <c r="C72" s="75" t="s">
        <v>1069</v>
      </c>
      <c r="D72" s="94" t="s">
        <v>1578</v>
      </c>
      <c r="E72" s="94" t="s">
        <v>1776</v>
      </c>
    </row>
    <row r="73" spans="1:5">
      <c r="A73" s="73" t="s">
        <v>201</v>
      </c>
      <c r="B73" s="74" t="s">
        <v>620</v>
      </c>
      <c r="C73" s="75" t="s">
        <v>1072</v>
      </c>
      <c r="D73" s="94" t="s">
        <v>1578</v>
      </c>
      <c r="E73" s="94" t="s">
        <v>1776</v>
      </c>
    </row>
    <row r="74" spans="1:5">
      <c r="A74" s="73" t="s">
        <v>361</v>
      </c>
      <c r="B74" s="45" t="s">
        <v>759</v>
      </c>
      <c r="C74" s="75" t="s">
        <v>1231</v>
      </c>
      <c r="D74" s="94" t="s">
        <v>1619</v>
      </c>
      <c r="E74" s="94" t="s">
        <v>1776</v>
      </c>
    </row>
    <row r="75" spans="1:5">
      <c r="A75" s="73" t="s">
        <v>362</v>
      </c>
      <c r="B75" s="45" t="s">
        <v>760</v>
      </c>
      <c r="C75" s="75" t="s">
        <v>1232</v>
      </c>
      <c r="D75" s="94" t="s">
        <v>1619</v>
      </c>
      <c r="E75" s="94" t="s">
        <v>1776</v>
      </c>
    </row>
    <row r="76" spans="1:5">
      <c r="A76" s="73" t="s">
        <v>363</v>
      </c>
      <c r="B76" s="45" t="s">
        <v>761</v>
      </c>
      <c r="C76" s="75" t="s">
        <v>1233</v>
      </c>
      <c r="D76" s="94" t="s">
        <v>1578</v>
      </c>
      <c r="E76" s="94" t="s">
        <v>1776</v>
      </c>
    </row>
    <row r="77" spans="1:5">
      <c r="A77" s="73" t="s">
        <v>414</v>
      </c>
      <c r="B77" s="45" t="s">
        <v>809</v>
      </c>
      <c r="C77" s="75" t="s">
        <v>1276</v>
      </c>
      <c r="D77" s="94" t="s">
        <v>1620</v>
      </c>
      <c r="E77" s="94" t="s">
        <v>1776</v>
      </c>
    </row>
    <row r="78" spans="1:5">
      <c r="A78" s="73" t="s">
        <v>415</v>
      </c>
      <c r="B78" s="45" t="s">
        <v>809</v>
      </c>
      <c r="C78" s="75" t="s">
        <v>1277</v>
      </c>
      <c r="D78" s="94" t="s">
        <v>1620</v>
      </c>
      <c r="E78" s="94" t="s">
        <v>1776</v>
      </c>
    </row>
    <row r="79" spans="1:5">
      <c r="A79" s="164" t="s">
        <v>1697</v>
      </c>
      <c r="B79" s="74" t="s">
        <v>1698</v>
      </c>
      <c r="C79" s="95" t="s">
        <v>1699</v>
      </c>
      <c r="D79" s="94" t="s">
        <v>1620</v>
      </c>
      <c r="E79" s="94" t="s">
        <v>1776</v>
      </c>
    </row>
    <row r="80" spans="1:5">
      <c r="A80" s="164" t="s">
        <v>1734</v>
      </c>
      <c r="B80" s="74" t="s">
        <v>1735</v>
      </c>
      <c r="C80" s="95" t="s">
        <v>1736</v>
      </c>
      <c r="D80" s="94" t="s">
        <v>1620</v>
      </c>
      <c r="E80" s="94" t="s">
        <v>1776</v>
      </c>
    </row>
    <row r="81" spans="1:5">
      <c r="A81" s="76" t="s">
        <v>416</v>
      </c>
      <c r="B81" s="45" t="s">
        <v>810</v>
      </c>
      <c r="C81" s="75" t="s">
        <v>855</v>
      </c>
      <c r="D81" s="94" t="s">
        <v>1621</v>
      </c>
      <c r="E81" s="94" t="s">
        <v>1776</v>
      </c>
    </row>
    <row r="82" spans="1:5">
      <c r="A82" s="76" t="s">
        <v>417</v>
      </c>
      <c r="B82" s="45" t="s">
        <v>811</v>
      </c>
      <c r="C82" s="75" t="s">
        <v>856</v>
      </c>
      <c r="D82" s="94" t="s">
        <v>1621</v>
      </c>
      <c r="E82" s="94" t="s">
        <v>1776</v>
      </c>
    </row>
    <row r="83" spans="1:5">
      <c r="A83" s="76" t="s">
        <v>418</v>
      </c>
      <c r="B83" s="45" t="s">
        <v>812</v>
      </c>
      <c r="C83" s="75" t="s">
        <v>857</v>
      </c>
      <c r="D83" s="94" t="s">
        <v>1621</v>
      </c>
      <c r="E83" s="94" t="s">
        <v>1776</v>
      </c>
    </row>
    <row r="84" spans="1:5">
      <c r="A84" s="76" t="s">
        <v>419</v>
      </c>
      <c r="B84" s="45" t="s">
        <v>813</v>
      </c>
      <c r="C84" s="75" t="s">
        <v>858</v>
      </c>
      <c r="D84" s="94" t="s">
        <v>1621</v>
      </c>
      <c r="E84" s="94" t="s">
        <v>1776</v>
      </c>
    </row>
    <row r="85" spans="1:5">
      <c r="A85" s="73" t="s">
        <v>283</v>
      </c>
      <c r="B85" s="45" t="s">
        <v>692</v>
      </c>
      <c r="C85" s="75" t="s">
        <v>1160</v>
      </c>
      <c r="D85" s="94" t="s">
        <v>1622</v>
      </c>
      <c r="E85" s="94" t="s">
        <v>1776</v>
      </c>
    </row>
    <row r="86" spans="1:5">
      <c r="A86" s="94" t="s">
        <v>1355</v>
      </c>
      <c r="B86" s="74" t="s">
        <v>1356</v>
      </c>
      <c r="C86" s="77" t="s">
        <v>1357</v>
      </c>
      <c r="D86" s="94" t="s">
        <v>1622</v>
      </c>
      <c r="E86" s="94" t="s">
        <v>1776</v>
      </c>
    </row>
    <row r="87" spans="1:5">
      <c r="A87" s="73" t="s">
        <v>284</v>
      </c>
      <c r="B87" s="45" t="s">
        <v>693</v>
      </c>
      <c r="C87" s="75" t="s">
        <v>1161</v>
      </c>
      <c r="D87" s="94" t="s">
        <v>1622</v>
      </c>
      <c r="E87" s="94" t="s">
        <v>1776</v>
      </c>
    </row>
    <row r="88" spans="1:5">
      <c r="A88" s="94" t="s">
        <v>1642</v>
      </c>
      <c r="B88" s="74" t="s">
        <v>1646</v>
      </c>
      <c r="C88" s="95" t="s">
        <v>1645</v>
      </c>
      <c r="D88" s="94" t="s">
        <v>1622</v>
      </c>
      <c r="E88" s="94" t="s">
        <v>1776</v>
      </c>
    </row>
    <row r="89" spans="1:5">
      <c r="A89" s="73" t="s">
        <v>285</v>
      </c>
      <c r="B89" s="45" t="s">
        <v>694</v>
      </c>
      <c r="C89" s="75" t="s">
        <v>1162</v>
      </c>
      <c r="D89" s="94" t="s">
        <v>1622</v>
      </c>
      <c r="E89" s="94" t="s">
        <v>1776</v>
      </c>
    </row>
    <row r="90" spans="1:5">
      <c r="A90" s="164" t="s">
        <v>1684</v>
      </c>
      <c r="B90" s="74" t="s">
        <v>1685</v>
      </c>
      <c r="C90" s="95" t="s">
        <v>1686</v>
      </c>
      <c r="D90" s="94" t="s">
        <v>1622</v>
      </c>
      <c r="E90" s="94" t="s">
        <v>1776</v>
      </c>
    </row>
    <row r="91" spans="1:5">
      <c r="A91" s="73" t="s">
        <v>286</v>
      </c>
      <c r="B91" s="45" t="s">
        <v>695</v>
      </c>
      <c r="C91" s="75" t="s">
        <v>1163</v>
      </c>
      <c r="D91" s="94" t="s">
        <v>1622</v>
      </c>
      <c r="E91" s="94" t="s">
        <v>1776</v>
      </c>
    </row>
    <row r="92" spans="1:5">
      <c r="A92" s="164" t="s">
        <v>1700</v>
      </c>
      <c r="B92" s="74" t="s">
        <v>1701</v>
      </c>
      <c r="C92" s="95" t="s">
        <v>1699</v>
      </c>
      <c r="D92" s="94" t="s">
        <v>1622</v>
      </c>
      <c r="E92" s="94" t="s">
        <v>1776</v>
      </c>
    </row>
    <row r="93" spans="1:5">
      <c r="A93" s="73" t="s">
        <v>287</v>
      </c>
      <c r="B93" s="74" t="s">
        <v>696</v>
      </c>
      <c r="C93" s="75" t="s">
        <v>1164</v>
      </c>
      <c r="D93" s="94" t="s">
        <v>1622</v>
      </c>
      <c r="E93" s="94" t="s">
        <v>1776</v>
      </c>
    </row>
    <row r="94" spans="1:5">
      <c r="A94" s="73" t="s">
        <v>288</v>
      </c>
      <c r="B94" s="74" t="s">
        <v>697</v>
      </c>
      <c r="C94" s="75" t="s">
        <v>1165</v>
      </c>
      <c r="D94" s="94" t="s">
        <v>1622</v>
      </c>
      <c r="E94" s="94" t="s">
        <v>1776</v>
      </c>
    </row>
    <row r="95" spans="1:5">
      <c r="A95" s="73" t="s">
        <v>336</v>
      </c>
      <c r="B95" s="74" t="s">
        <v>739</v>
      </c>
      <c r="C95" s="75" t="s">
        <v>1205</v>
      </c>
      <c r="D95" s="94" t="s">
        <v>1622</v>
      </c>
      <c r="E95" s="94" t="s">
        <v>1776</v>
      </c>
    </row>
    <row r="96" spans="1:5">
      <c r="A96" s="76" t="s">
        <v>335</v>
      </c>
      <c r="B96" s="45" t="s">
        <v>1144</v>
      </c>
      <c r="C96" s="75" t="s">
        <v>1145</v>
      </c>
      <c r="D96" s="94" t="s">
        <v>1622</v>
      </c>
      <c r="E96" s="94" t="s">
        <v>1776</v>
      </c>
    </row>
    <row r="97" spans="1:5">
      <c r="A97" s="94" t="s">
        <v>1358</v>
      </c>
      <c r="B97" s="74" t="s">
        <v>1359</v>
      </c>
      <c r="C97" s="77" t="s">
        <v>1360</v>
      </c>
      <c r="D97" s="94" t="s">
        <v>1622</v>
      </c>
      <c r="E97" s="94" t="s">
        <v>1776</v>
      </c>
    </row>
    <row r="98" spans="1:5">
      <c r="A98" s="94" t="s">
        <v>1555</v>
      </c>
      <c r="B98" s="45" t="s">
        <v>1557</v>
      </c>
      <c r="C98" s="95" t="s">
        <v>1556</v>
      </c>
      <c r="D98" s="94" t="s">
        <v>1622</v>
      </c>
      <c r="E98" s="94" t="s">
        <v>1776</v>
      </c>
    </row>
    <row r="99" spans="1:5">
      <c r="A99" s="73" t="s">
        <v>465</v>
      </c>
      <c r="B99" s="74" t="s">
        <v>756</v>
      </c>
      <c r="C99" s="75" t="s">
        <v>1220</v>
      </c>
      <c r="D99" s="94" t="s">
        <v>1622</v>
      </c>
      <c r="E99" s="94" t="s">
        <v>1776</v>
      </c>
    </row>
    <row r="100" spans="1:5">
      <c r="A100" s="73" t="s">
        <v>289</v>
      </c>
      <c r="B100" s="45" t="s">
        <v>698</v>
      </c>
      <c r="C100" s="75" t="s">
        <v>1166</v>
      </c>
      <c r="D100" s="94" t="s">
        <v>1622</v>
      </c>
      <c r="E100" s="94" t="s">
        <v>1776</v>
      </c>
    </row>
    <row r="101" spans="1:5">
      <c r="A101" s="73" t="s">
        <v>290</v>
      </c>
      <c r="B101" s="45" t="s">
        <v>699</v>
      </c>
      <c r="C101" s="75" t="s">
        <v>1167</v>
      </c>
      <c r="D101" s="94" t="s">
        <v>1622</v>
      </c>
      <c r="E101" s="94" t="s">
        <v>1776</v>
      </c>
    </row>
    <row r="102" spans="1:5">
      <c r="A102" s="73" t="s">
        <v>357</v>
      </c>
      <c r="B102" s="74" t="s">
        <v>756</v>
      </c>
      <c r="C102" s="75" t="s">
        <v>1221</v>
      </c>
      <c r="D102" s="94" t="s">
        <v>1622</v>
      </c>
      <c r="E102" s="94" t="s">
        <v>1776</v>
      </c>
    </row>
    <row r="103" spans="1:5">
      <c r="A103" s="76" t="s">
        <v>358</v>
      </c>
      <c r="B103" s="45" t="s">
        <v>1146</v>
      </c>
      <c r="C103" s="75" t="s">
        <v>1147</v>
      </c>
      <c r="D103" s="94" t="s">
        <v>1622</v>
      </c>
      <c r="E103" s="94" t="s">
        <v>1776</v>
      </c>
    </row>
    <row r="104" spans="1:5">
      <c r="A104" s="73" t="s">
        <v>291</v>
      </c>
      <c r="B104" s="45" t="s">
        <v>700</v>
      </c>
      <c r="C104" s="75" t="s">
        <v>1168</v>
      </c>
      <c r="D104" s="94" t="s">
        <v>1622</v>
      </c>
      <c r="E104" s="94" t="s">
        <v>1776</v>
      </c>
    </row>
    <row r="105" spans="1:5">
      <c r="A105" s="76" t="s">
        <v>325</v>
      </c>
      <c r="B105" s="45" t="s">
        <v>730</v>
      </c>
      <c r="C105" s="75" t="s">
        <v>1148</v>
      </c>
      <c r="D105" s="94" t="s">
        <v>1622</v>
      </c>
      <c r="E105" s="94" t="s">
        <v>1776</v>
      </c>
    </row>
    <row r="106" spans="1:5">
      <c r="A106" s="94" t="s">
        <v>1508</v>
      </c>
      <c r="B106" s="74" t="s">
        <v>709</v>
      </c>
      <c r="C106" s="95" t="s">
        <v>1509</v>
      </c>
      <c r="D106" s="94" t="s">
        <v>1622</v>
      </c>
      <c r="E106" s="94" t="s">
        <v>1776</v>
      </c>
    </row>
    <row r="107" spans="1:5">
      <c r="A107" s="73" t="s">
        <v>292</v>
      </c>
      <c r="B107" s="45" t="s">
        <v>701</v>
      </c>
      <c r="C107" s="75" t="s">
        <v>1169</v>
      </c>
      <c r="D107" s="94" t="s">
        <v>1622</v>
      </c>
      <c r="E107" s="94" t="s">
        <v>1776</v>
      </c>
    </row>
    <row r="108" spans="1:5">
      <c r="A108" s="94" t="s">
        <v>1643</v>
      </c>
      <c r="B108" s="74" t="s">
        <v>1647</v>
      </c>
      <c r="C108" s="95" t="s">
        <v>1648</v>
      </c>
      <c r="D108" s="94" t="s">
        <v>1622</v>
      </c>
      <c r="E108" s="94" t="s">
        <v>1776</v>
      </c>
    </row>
    <row r="109" spans="1:5">
      <c r="A109" s="94" t="s">
        <v>1361</v>
      </c>
      <c r="B109" s="74" t="s">
        <v>1362</v>
      </c>
      <c r="C109" s="77" t="s">
        <v>1363</v>
      </c>
      <c r="D109" s="94" t="s">
        <v>1622</v>
      </c>
      <c r="E109" s="94" t="s">
        <v>1776</v>
      </c>
    </row>
    <row r="110" spans="1:5">
      <c r="A110" s="73" t="s">
        <v>293</v>
      </c>
      <c r="B110" s="45" t="s">
        <v>702</v>
      </c>
      <c r="C110" s="75" t="s">
        <v>1170</v>
      </c>
      <c r="D110" s="94" t="s">
        <v>1622</v>
      </c>
      <c r="E110" s="94" t="s">
        <v>1776</v>
      </c>
    </row>
    <row r="111" spans="1:5">
      <c r="A111" s="73" t="s">
        <v>294</v>
      </c>
      <c r="B111" s="45" t="s">
        <v>703</v>
      </c>
      <c r="C111" s="75" t="s">
        <v>1171</v>
      </c>
      <c r="D111" s="94" t="s">
        <v>1622</v>
      </c>
      <c r="E111" s="94" t="s">
        <v>1776</v>
      </c>
    </row>
    <row r="112" spans="1:5">
      <c r="A112" s="94" t="s">
        <v>1364</v>
      </c>
      <c r="B112" s="74" t="s">
        <v>1365</v>
      </c>
      <c r="C112" s="75" t="s">
        <v>1366</v>
      </c>
      <c r="D112" s="94" t="s">
        <v>1622</v>
      </c>
      <c r="E112" s="94" t="s">
        <v>1776</v>
      </c>
    </row>
    <row r="113" spans="1:5">
      <c r="A113" s="73" t="s">
        <v>295</v>
      </c>
      <c r="B113" s="45" t="s">
        <v>704</v>
      </c>
      <c r="C113" s="75" t="s">
        <v>1172</v>
      </c>
      <c r="D113" s="94" t="s">
        <v>1622</v>
      </c>
      <c r="E113" s="94" t="s">
        <v>1776</v>
      </c>
    </row>
    <row r="114" spans="1:5">
      <c r="A114" s="73" t="s">
        <v>326</v>
      </c>
      <c r="B114" s="74" t="s">
        <v>731</v>
      </c>
      <c r="C114" s="75" t="s">
        <v>1196</v>
      </c>
      <c r="D114" s="94" t="s">
        <v>1622</v>
      </c>
      <c r="E114" s="94" t="s">
        <v>1776</v>
      </c>
    </row>
    <row r="115" spans="1:5">
      <c r="A115" s="73" t="s">
        <v>327</v>
      </c>
      <c r="B115" s="74" t="s">
        <v>732</v>
      </c>
      <c r="C115" s="75" t="s">
        <v>1197</v>
      </c>
      <c r="D115" s="94" t="s">
        <v>1622</v>
      </c>
      <c r="E115" s="94" t="s">
        <v>1776</v>
      </c>
    </row>
    <row r="116" spans="1:5">
      <c r="A116" s="73" t="s">
        <v>328</v>
      </c>
      <c r="B116" s="74" t="s">
        <v>732</v>
      </c>
      <c r="C116" s="75" t="s">
        <v>1198</v>
      </c>
      <c r="D116" s="94" t="s">
        <v>1622</v>
      </c>
      <c r="E116" s="94" t="s">
        <v>1776</v>
      </c>
    </row>
    <row r="117" spans="1:5">
      <c r="A117" s="73" t="s">
        <v>329</v>
      </c>
      <c r="B117" s="74" t="s">
        <v>733</v>
      </c>
      <c r="C117" s="75" t="s">
        <v>1199</v>
      </c>
      <c r="D117" s="94" t="s">
        <v>1622</v>
      </c>
      <c r="E117" s="94" t="s">
        <v>1776</v>
      </c>
    </row>
    <row r="118" spans="1:5">
      <c r="A118" s="73" t="s">
        <v>330</v>
      </c>
      <c r="B118" s="74" t="s">
        <v>733</v>
      </c>
      <c r="C118" s="75" t="s">
        <v>1200</v>
      </c>
      <c r="D118" s="94" t="s">
        <v>1622</v>
      </c>
      <c r="E118" s="94" t="s">
        <v>1776</v>
      </c>
    </row>
    <row r="119" spans="1:5">
      <c r="A119" s="73" t="s">
        <v>331</v>
      </c>
      <c r="B119" s="74" t="s">
        <v>734</v>
      </c>
      <c r="C119" s="75" t="s">
        <v>1201</v>
      </c>
      <c r="D119" s="94" t="s">
        <v>1622</v>
      </c>
      <c r="E119" s="94" t="s">
        <v>1776</v>
      </c>
    </row>
    <row r="120" spans="1:5">
      <c r="A120" s="76" t="s">
        <v>467</v>
      </c>
      <c r="B120" s="45" t="s">
        <v>735</v>
      </c>
      <c r="C120" s="75" t="s">
        <v>1149</v>
      </c>
      <c r="D120" s="94" t="s">
        <v>1622</v>
      </c>
      <c r="E120" s="94" t="s">
        <v>1776</v>
      </c>
    </row>
    <row r="121" spans="1:5">
      <c r="A121" s="43" t="s">
        <v>1781</v>
      </c>
      <c r="B121" s="178" t="s">
        <v>735</v>
      </c>
      <c r="C121" s="95" t="s">
        <v>1782</v>
      </c>
      <c r="D121" s="94" t="s">
        <v>1622</v>
      </c>
      <c r="E121" s="94" t="s">
        <v>1776</v>
      </c>
    </row>
    <row r="122" spans="1:5">
      <c r="A122" s="73" t="s">
        <v>296</v>
      </c>
      <c r="B122" s="74" t="s">
        <v>705</v>
      </c>
      <c r="C122" s="75" t="s">
        <v>1173</v>
      </c>
      <c r="D122" s="94" t="s">
        <v>1622</v>
      </c>
      <c r="E122" s="94" t="s">
        <v>1776</v>
      </c>
    </row>
    <row r="123" spans="1:5">
      <c r="A123" s="94" t="s">
        <v>1367</v>
      </c>
      <c r="B123" s="74" t="s">
        <v>1368</v>
      </c>
      <c r="C123" s="75" t="s">
        <v>1369</v>
      </c>
      <c r="D123" s="94" t="s">
        <v>1622</v>
      </c>
      <c r="E123" s="94" t="s">
        <v>1776</v>
      </c>
    </row>
    <row r="124" spans="1:5">
      <c r="A124" s="76" t="s">
        <v>297</v>
      </c>
      <c r="B124" s="45" t="s">
        <v>706</v>
      </c>
      <c r="C124" s="75" t="s">
        <v>1150</v>
      </c>
      <c r="D124" s="94" t="s">
        <v>1622</v>
      </c>
      <c r="E124" s="94" t="s">
        <v>1776</v>
      </c>
    </row>
    <row r="125" spans="1:5">
      <c r="A125" s="94" t="s">
        <v>1644</v>
      </c>
      <c r="B125" s="45" t="s">
        <v>702</v>
      </c>
      <c r="C125" s="95" t="s">
        <v>1649</v>
      </c>
      <c r="D125" s="94" t="s">
        <v>1622</v>
      </c>
      <c r="E125" s="94" t="s">
        <v>1776</v>
      </c>
    </row>
    <row r="126" spans="1:5">
      <c r="A126" s="73" t="s">
        <v>298</v>
      </c>
      <c r="B126" s="74" t="s">
        <v>707</v>
      </c>
      <c r="C126" s="75" t="s">
        <v>1174</v>
      </c>
      <c r="D126" s="94" t="s">
        <v>1622</v>
      </c>
      <c r="E126" s="94" t="s">
        <v>1776</v>
      </c>
    </row>
    <row r="127" spans="1:5">
      <c r="A127" s="73" t="s">
        <v>299</v>
      </c>
      <c r="B127" s="74" t="s">
        <v>708</v>
      </c>
      <c r="C127" s="75" t="s">
        <v>1175</v>
      </c>
      <c r="D127" s="94" t="s">
        <v>1622</v>
      </c>
      <c r="E127" s="94" t="s">
        <v>1776</v>
      </c>
    </row>
    <row r="128" spans="1:5">
      <c r="A128" s="73" t="s">
        <v>300</v>
      </c>
      <c r="B128" s="74" t="s">
        <v>708</v>
      </c>
      <c r="C128" s="75" t="s">
        <v>1176</v>
      </c>
      <c r="D128" s="94" t="s">
        <v>1622</v>
      </c>
      <c r="E128" s="94" t="s">
        <v>1776</v>
      </c>
    </row>
    <row r="129" spans="1:5">
      <c r="A129" s="76" t="s">
        <v>301</v>
      </c>
      <c r="B129" s="45" t="s">
        <v>709</v>
      </c>
      <c r="C129" s="75" t="s">
        <v>1151</v>
      </c>
      <c r="D129" s="94" t="s">
        <v>1622</v>
      </c>
      <c r="E129" s="94" t="s">
        <v>1776</v>
      </c>
    </row>
    <row r="130" spans="1:5">
      <c r="A130" s="73" t="s">
        <v>302</v>
      </c>
      <c r="B130" s="74" t="s">
        <v>703</v>
      </c>
      <c r="C130" s="75" t="s">
        <v>1177</v>
      </c>
      <c r="D130" s="94" t="s">
        <v>1622</v>
      </c>
      <c r="E130" s="94" t="s">
        <v>1776</v>
      </c>
    </row>
    <row r="131" spans="1:5">
      <c r="A131" s="73" t="s">
        <v>303</v>
      </c>
      <c r="B131" s="74" t="s">
        <v>710</v>
      </c>
      <c r="C131" s="75" t="s">
        <v>1178</v>
      </c>
      <c r="D131" s="94" t="s">
        <v>1622</v>
      </c>
      <c r="E131" s="94" t="s">
        <v>1776</v>
      </c>
    </row>
    <row r="132" spans="1:5">
      <c r="A132" s="76" t="s">
        <v>304</v>
      </c>
      <c r="B132" s="45" t="s">
        <v>711</v>
      </c>
      <c r="C132" s="75" t="s">
        <v>1152</v>
      </c>
      <c r="D132" s="94" t="s">
        <v>1622</v>
      </c>
      <c r="E132" s="94" t="s">
        <v>1776</v>
      </c>
    </row>
    <row r="133" spans="1:5">
      <c r="A133" s="73" t="s">
        <v>305</v>
      </c>
      <c r="B133" s="74" t="s">
        <v>712</v>
      </c>
      <c r="C133" s="75" t="s">
        <v>1179</v>
      </c>
      <c r="D133" s="94" t="s">
        <v>1622</v>
      </c>
      <c r="E133" s="94" t="s">
        <v>1776</v>
      </c>
    </row>
    <row r="134" spans="1:5">
      <c r="A134" s="73" t="s">
        <v>306</v>
      </c>
      <c r="B134" s="74" t="s">
        <v>713</v>
      </c>
      <c r="C134" s="75" t="s">
        <v>1180</v>
      </c>
      <c r="D134" s="94" t="s">
        <v>1622</v>
      </c>
      <c r="E134" s="94" t="s">
        <v>1776</v>
      </c>
    </row>
    <row r="135" spans="1:5">
      <c r="A135" s="73" t="s">
        <v>308</v>
      </c>
      <c r="B135" s="74" t="s">
        <v>715</v>
      </c>
      <c r="C135" s="75" t="s">
        <v>1181</v>
      </c>
      <c r="D135" s="94" t="s">
        <v>1622</v>
      </c>
      <c r="E135" s="94" t="s">
        <v>1776</v>
      </c>
    </row>
    <row r="136" spans="1:5">
      <c r="A136" s="73" t="s">
        <v>309</v>
      </c>
      <c r="B136" s="74" t="s">
        <v>716</v>
      </c>
      <c r="C136" s="75" t="s">
        <v>1182</v>
      </c>
      <c r="D136" s="94" t="s">
        <v>1622</v>
      </c>
      <c r="E136" s="94" t="s">
        <v>1776</v>
      </c>
    </row>
    <row r="137" spans="1:5">
      <c r="A137" s="94" t="s">
        <v>1491</v>
      </c>
      <c r="B137" s="45" t="s">
        <v>716</v>
      </c>
      <c r="C137" s="95" t="s">
        <v>1494</v>
      </c>
      <c r="D137" s="94" t="s">
        <v>1622</v>
      </c>
      <c r="E137" s="94" t="s">
        <v>1776</v>
      </c>
    </row>
    <row r="138" spans="1:5">
      <c r="A138" s="76" t="s">
        <v>307</v>
      </c>
      <c r="B138" s="45" t="s">
        <v>714</v>
      </c>
      <c r="C138" s="75" t="s">
        <v>1153</v>
      </c>
      <c r="D138" s="94" t="s">
        <v>1622</v>
      </c>
      <c r="E138" s="94" t="s">
        <v>1776</v>
      </c>
    </row>
    <row r="139" spans="1:5">
      <c r="A139" s="73" t="s">
        <v>310</v>
      </c>
      <c r="B139" s="74" t="s">
        <v>717</v>
      </c>
      <c r="C139" s="75" t="s">
        <v>1183</v>
      </c>
      <c r="D139" s="94" t="s">
        <v>1622</v>
      </c>
      <c r="E139" s="94" t="s">
        <v>1776</v>
      </c>
    </row>
    <row r="140" spans="1:5">
      <c r="A140" s="76" t="s">
        <v>311</v>
      </c>
      <c r="B140" s="45" t="s">
        <v>718</v>
      </c>
      <c r="C140" s="75" t="s">
        <v>1154</v>
      </c>
      <c r="D140" s="94" t="s">
        <v>1622</v>
      </c>
      <c r="E140" s="94" t="s">
        <v>1776</v>
      </c>
    </row>
    <row r="141" spans="1:5">
      <c r="A141" s="43" t="s">
        <v>1783</v>
      </c>
      <c r="B141" s="165" t="s">
        <v>719</v>
      </c>
      <c r="C141" s="95" t="s">
        <v>1784</v>
      </c>
      <c r="D141" s="94" t="s">
        <v>1622</v>
      </c>
      <c r="E141" s="94" t="s">
        <v>1776</v>
      </c>
    </row>
    <row r="142" spans="1:5">
      <c r="A142" s="73" t="s">
        <v>312</v>
      </c>
      <c r="B142" s="74" t="s">
        <v>719</v>
      </c>
      <c r="C142" s="75" t="s">
        <v>1184</v>
      </c>
      <c r="D142" s="94" t="s">
        <v>1622</v>
      </c>
      <c r="E142" s="94" t="s">
        <v>1776</v>
      </c>
    </row>
    <row r="143" spans="1:5">
      <c r="A143" s="76" t="s">
        <v>313</v>
      </c>
      <c r="B143" s="45" t="s">
        <v>720</v>
      </c>
      <c r="C143" s="75" t="s">
        <v>1155</v>
      </c>
      <c r="D143" s="94" t="s">
        <v>1622</v>
      </c>
      <c r="E143" s="94" t="s">
        <v>1776</v>
      </c>
    </row>
    <row r="144" spans="1:5">
      <c r="A144" s="73" t="s">
        <v>314</v>
      </c>
      <c r="B144" s="74" t="s">
        <v>721</v>
      </c>
      <c r="C144" s="75" t="s">
        <v>1185</v>
      </c>
      <c r="D144" s="94" t="s">
        <v>1622</v>
      </c>
      <c r="E144" s="94" t="s">
        <v>1776</v>
      </c>
    </row>
    <row r="145" spans="1:5">
      <c r="A145" s="43" t="s">
        <v>1785</v>
      </c>
      <c r="B145" s="165" t="s">
        <v>722</v>
      </c>
      <c r="C145" s="95" t="s">
        <v>1786</v>
      </c>
      <c r="D145" s="94" t="s">
        <v>1622</v>
      </c>
      <c r="E145" s="94" t="s">
        <v>1776</v>
      </c>
    </row>
    <row r="146" spans="1:5">
      <c r="A146" s="73" t="s">
        <v>315</v>
      </c>
      <c r="B146" s="74" t="s">
        <v>722</v>
      </c>
      <c r="C146" s="75" t="s">
        <v>1186</v>
      </c>
      <c r="D146" s="94" t="s">
        <v>1622</v>
      </c>
      <c r="E146" s="94" t="s">
        <v>1776</v>
      </c>
    </row>
    <row r="147" spans="1:5">
      <c r="A147" s="73" t="s">
        <v>316</v>
      </c>
      <c r="B147" s="74" t="s">
        <v>723</v>
      </c>
      <c r="C147" s="75" t="s">
        <v>1187</v>
      </c>
      <c r="D147" s="94" t="s">
        <v>1622</v>
      </c>
      <c r="E147" s="94" t="s">
        <v>1776</v>
      </c>
    </row>
    <row r="148" spans="1:5">
      <c r="A148" s="94" t="s">
        <v>1370</v>
      </c>
      <c r="B148" s="74" t="s">
        <v>1371</v>
      </c>
      <c r="C148" s="75" t="s">
        <v>1372</v>
      </c>
      <c r="D148" s="94" t="s">
        <v>1622</v>
      </c>
      <c r="E148" s="94" t="s">
        <v>1776</v>
      </c>
    </row>
    <row r="149" spans="1:5">
      <c r="A149" s="73" t="s">
        <v>317</v>
      </c>
      <c r="B149" s="74" t="s">
        <v>724</v>
      </c>
      <c r="C149" s="75" t="s">
        <v>1188</v>
      </c>
      <c r="D149" s="94" t="s">
        <v>1622</v>
      </c>
      <c r="E149" s="94" t="s">
        <v>1776</v>
      </c>
    </row>
    <row r="150" spans="1:5">
      <c r="A150" s="73" t="s">
        <v>320</v>
      </c>
      <c r="B150" s="74" t="s">
        <v>727</v>
      </c>
      <c r="C150" s="75" t="s">
        <v>1191</v>
      </c>
      <c r="D150" s="94" t="s">
        <v>1622</v>
      </c>
      <c r="E150" s="94" t="s">
        <v>1776</v>
      </c>
    </row>
    <row r="151" spans="1:5">
      <c r="A151" s="73" t="s">
        <v>321</v>
      </c>
      <c r="B151" s="74" t="s">
        <v>725</v>
      </c>
      <c r="C151" s="75" t="s">
        <v>1192</v>
      </c>
      <c r="D151" s="94" t="s">
        <v>1622</v>
      </c>
      <c r="E151" s="94" t="s">
        <v>1776</v>
      </c>
    </row>
    <row r="152" spans="1:5">
      <c r="A152" s="73" t="s">
        <v>318</v>
      </c>
      <c r="B152" s="74" t="s">
        <v>725</v>
      </c>
      <c r="C152" s="75" t="s">
        <v>1189</v>
      </c>
      <c r="D152" s="94" t="s">
        <v>1622</v>
      </c>
      <c r="E152" s="94" t="s">
        <v>1776</v>
      </c>
    </row>
    <row r="153" spans="1:5">
      <c r="A153" s="73" t="s">
        <v>322</v>
      </c>
      <c r="B153" s="74" t="s">
        <v>726</v>
      </c>
      <c r="C153" s="75" t="s">
        <v>1193</v>
      </c>
      <c r="D153" s="94" t="s">
        <v>1622</v>
      </c>
      <c r="E153" s="94" t="s">
        <v>1776</v>
      </c>
    </row>
    <row r="154" spans="1:5">
      <c r="A154" s="73" t="s">
        <v>319</v>
      </c>
      <c r="B154" s="74" t="s">
        <v>726</v>
      </c>
      <c r="C154" s="75" t="s">
        <v>1190</v>
      </c>
      <c r="D154" s="94" t="s">
        <v>1622</v>
      </c>
      <c r="E154" s="94" t="s">
        <v>1776</v>
      </c>
    </row>
    <row r="155" spans="1:5">
      <c r="A155" s="73" t="s">
        <v>324</v>
      </c>
      <c r="B155" s="74" t="s">
        <v>729</v>
      </c>
      <c r="C155" s="75" t="s">
        <v>1195</v>
      </c>
      <c r="D155" s="94" t="s">
        <v>1622</v>
      </c>
      <c r="E155" s="94" t="s">
        <v>1776</v>
      </c>
    </row>
    <row r="156" spans="1:5">
      <c r="A156" s="73" t="s">
        <v>323</v>
      </c>
      <c r="B156" s="74" t="s">
        <v>728</v>
      </c>
      <c r="C156" s="75" t="s">
        <v>1194</v>
      </c>
      <c r="D156" s="94" t="s">
        <v>1622</v>
      </c>
      <c r="E156" s="94" t="s">
        <v>1776</v>
      </c>
    </row>
    <row r="157" spans="1:5">
      <c r="A157" s="73" t="s">
        <v>332</v>
      </c>
      <c r="B157" s="74" t="s">
        <v>736</v>
      </c>
      <c r="C157" s="75" t="s">
        <v>1202</v>
      </c>
      <c r="D157" s="94" t="s">
        <v>1622</v>
      </c>
      <c r="E157" s="94" t="s">
        <v>1776</v>
      </c>
    </row>
    <row r="158" spans="1:5">
      <c r="A158" s="73" t="s">
        <v>1325</v>
      </c>
      <c r="B158" s="74" t="s">
        <v>1326</v>
      </c>
      <c r="C158" s="75" t="s">
        <v>1327</v>
      </c>
      <c r="D158" s="94" t="s">
        <v>1622</v>
      </c>
      <c r="E158" s="94" t="s">
        <v>1776</v>
      </c>
    </row>
    <row r="159" spans="1:5">
      <c r="A159" s="73" t="s">
        <v>333</v>
      </c>
      <c r="B159" s="74" t="s">
        <v>737</v>
      </c>
      <c r="C159" s="75" t="s">
        <v>1203</v>
      </c>
      <c r="D159" s="94" t="s">
        <v>1622</v>
      </c>
      <c r="E159" s="94" t="s">
        <v>1776</v>
      </c>
    </row>
    <row r="160" spans="1:5">
      <c r="A160" s="73" t="s">
        <v>334</v>
      </c>
      <c r="B160" s="74" t="s">
        <v>738</v>
      </c>
      <c r="C160" s="75" t="s">
        <v>1204</v>
      </c>
      <c r="D160" s="94" t="s">
        <v>1622</v>
      </c>
      <c r="E160" s="94" t="s">
        <v>1776</v>
      </c>
    </row>
    <row r="161" spans="1:5">
      <c r="A161" s="76" t="s">
        <v>340</v>
      </c>
      <c r="B161" s="45" t="s">
        <v>742</v>
      </c>
      <c r="C161" s="75" t="s">
        <v>1156</v>
      </c>
      <c r="D161" s="94" t="s">
        <v>1622</v>
      </c>
      <c r="E161" s="94" t="s">
        <v>1776</v>
      </c>
    </row>
    <row r="162" spans="1:5">
      <c r="A162" s="73" t="s">
        <v>337</v>
      </c>
      <c r="B162" s="74" t="s">
        <v>740</v>
      </c>
      <c r="C162" s="75" t="s">
        <v>1206</v>
      </c>
      <c r="D162" s="94" t="s">
        <v>1622</v>
      </c>
      <c r="E162" s="94" t="s">
        <v>1776</v>
      </c>
    </row>
    <row r="163" spans="1:5">
      <c r="A163" s="73" t="s">
        <v>338</v>
      </c>
      <c r="B163" s="74" t="s">
        <v>740</v>
      </c>
      <c r="C163" s="75" t="s">
        <v>1207</v>
      </c>
      <c r="D163" s="94" t="s">
        <v>1622</v>
      </c>
      <c r="E163" s="94" t="s">
        <v>1776</v>
      </c>
    </row>
    <row r="164" spans="1:5">
      <c r="A164" s="73" t="s">
        <v>339</v>
      </c>
      <c r="B164" s="74" t="s">
        <v>741</v>
      </c>
      <c r="C164" s="75" t="s">
        <v>1208</v>
      </c>
      <c r="D164" s="94" t="s">
        <v>1622</v>
      </c>
      <c r="E164" s="94" t="s">
        <v>1776</v>
      </c>
    </row>
    <row r="165" spans="1:5">
      <c r="A165" s="73" t="s">
        <v>341</v>
      </c>
      <c r="B165" s="74" t="s">
        <v>743</v>
      </c>
      <c r="C165" s="75" t="s">
        <v>1209</v>
      </c>
      <c r="D165" s="94" t="s">
        <v>1622</v>
      </c>
      <c r="E165" s="94" t="s">
        <v>1776</v>
      </c>
    </row>
    <row r="166" spans="1:5">
      <c r="A166" s="73" t="s">
        <v>342</v>
      </c>
      <c r="B166" s="74" t="s">
        <v>744</v>
      </c>
      <c r="C166" s="75" t="s">
        <v>1210</v>
      </c>
      <c r="D166" s="94" t="s">
        <v>1622</v>
      </c>
      <c r="E166" s="94" t="s">
        <v>1776</v>
      </c>
    </row>
    <row r="167" spans="1:5">
      <c r="A167" s="76" t="s">
        <v>1321</v>
      </c>
      <c r="B167" s="45" t="s">
        <v>1771</v>
      </c>
      <c r="C167" s="77" t="s">
        <v>1322</v>
      </c>
      <c r="D167" s="94" t="s">
        <v>1578</v>
      </c>
      <c r="E167" s="94" t="s">
        <v>1776</v>
      </c>
    </row>
    <row r="168" spans="1:5">
      <c r="A168" s="164" t="s">
        <v>1694</v>
      </c>
      <c r="B168" s="74" t="s">
        <v>1695</v>
      </c>
      <c r="C168" s="95" t="s">
        <v>1696</v>
      </c>
      <c r="D168" s="94" t="s">
        <v>1622</v>
      </c>
      <c r="E168" s="94" t="s">
        <v>1776</v>
      </c>
    </row>
    <row r="169" spans="1:5">
      <c r="A169" s="73" t="s">
        <v>343</v>
      </c>
      <c r="B169" s="74" t="s">
        <v>745</v>
      </c>
      <c r="C169" s="75" t="s">
        <v>1211</v>
      </c>
      <c r="D169" s="94" t="s">
        <v>1622</v>
      </c>
      <c r="E169" s="94" t="s">
        <v>1776</v>
      </c>
    </row>
    <row r="170" spans="1:5">
      <c r="A170" s="76" t="s">
        <v>345</v>
      </c>
      <c r="B170" s="45" t="s">
        <v>746</v>
      </c>
      <c r="C170" s="75" t="s">
        <v>1157</v>
      </c>
      <c r="D170" s="94" t="s">
        <v>1622</v>
      </c>
      <c r="E170" s="94" t="s">
        <v>1776</v>
      </c>
    </row>
    <row r="171" spans="1:5">
      <c r="A171" s="73" t="s">
        <v>346</v>
      </c>
      <c r="B171" s="74" t="s">
        <v>747</v>
      </c>
      <c r="C171" s="75" t="s">
        <v>1212</v>
      </c>
      <c r="D171" s="94" t="s">
        <v>1622</v>
      </c>
      <c r="E171" s="94" t="s">
        <v>1776</v>
      </c>
    </row>
    <row r="172" spans="1:5">
      <c r="A172" s="73" t="s">
        <v>347</v>
      </c>
      <c r="B172" s="74" t="s">
        <v>748</v>
      </c>
      <c r="C172" s="75" t="s">
        <v>1213</v>
      </c>
      <c r="D172" s="94" t="s">
        <v>1622</v>
      </c>
      <c r="E172" s="94" t="s">
        <v>1776</v>
      </c>
    </row>
    <row r="173" spans="1:5">
      <c r="A173" s="73" t="s">
        <v>348</v>
      </c>
      <c r="B173" s="74" t="s">
        <v>749</v>
      </c>
      <c r="C173" s="75" t="s">
        <v>1214</v>
      </c>
      <c r="D173" s="94" t="s">
        <v>1622</v>
      </c>
      <c r="E173" s="94" t="s">
        <v>1776</v>
      </c>
    </row>
    <row r="174" spans="1:5">
      <c r="A174" s="73" t="s">
        <v>349</v>
      </c>
      <c r="B174" s="74" t="s">
        <v>750</v>
      </c>
      <c r="C174" s="75" t="s">
        <v>1215</v>
      </c>
      <c r="D174" s="94" t="s">
        <v>1622</v>
      </c>
      <c r="E174" s="94" t="s">
        <v>1776</v>
      </c>
    </row>
    <row r="175" spans="1:5">
      <c r="A175" s="94" t="s">
        <v>1373</v>
      </c>
      <c r="B175" s="74" t="s">
        <v>1374</v>
      </c>
      <c r="C175" s="77" t="s">
        <v>1375</v>
      </c>
      <c r="D175" s="94" t="s">
        <v>1622</v>
      </c>
      <c r="E175" s="94" t="s">
        <v>1776</v>
      </c>
    </row>
    <row r="176" spans="1:5">
      <c r="A176" s="76" t="s">
        <v>351</v>
      </c>
      <c r="B176" s="45" t="s">
        <v>751</v>
      </c>
      <c r="C176" s="75" t="s">
        <v>1158</v>
      </c>
      <c r="D176" s="94" t="s">
        <v>1622</v>
      </c>
      <c r="E176" s="94" t="s">
        <v>1776</v>
      </c>
    </row>
    <row r="177" spans="1:5">
      <c r="A177" s="94" t="s">
        <v>1376</v>
      </c>
      <c r="B177" s="45" t="s">
        <v>751</v>
      </c>
      <c r="C177" s="75" t="s">
        <v>1377</v>
      </c>
      <c r="D177" s="94" t="s">
        <v>1622</v>
      </c>
      <c r="E177" s="94" t="s">
        <v>1776</v>
      </c>
    </row>
    <row r="178" spans="1:5">
      <c r="A178" s="94" t="s">
        <v>1378</v>
      </c>
      <c r="B178" s="45" t="s">
        <v>752</v>
      </c>
      <c r="C178" s="75" t="s">
        <v>1379</v>
      </c>
      <c r="D178" s="94" t="s">
        <v>1622</v>
      </c>
      <c r="E178" s="94" t="s">
        <v>1776</v>
      </c>
    </row>
    <row r="179" spans="1:5">
      <c r="A179" s="76" t="s">
        <v>352</v>
      </c>
      <c r="B179" s="45" t="s">
        <v>752</v>
      </c>
      <c r="C179" s="75" t="s">
        <v>1159</v>
      </c>
      <c r="D179" s="94" t="s">
        <v>1622</v>
      </c>
      <c r="E179" s="94" t="s">
        <v>1776</v>
      </c>
    </row>
    <row r="180" spans="1:5">
      <c r="A180" s="94" t="s">
        <v>1380</v>
      </c>
      <c r="B180" s="45" t="s">
        <v>1381</v>
      </c>
      <c r="C180" s="75" t="s">
        <v>1382</v>
      </c>
      <c r="D180" s="94" t="s">
        <v>1622</v>
      </c>
      <c r="E180" s="94" t="s">
        <v>1776</v>
      </c>
    </row>
    <row r="181" spans="1:5">
      <c r="A181" s="73" t="s">
        <v>353</v>
      </c>
      <c r="B181" s="74" t="s">
        <v>753</v>
      </c>
      <c r="C181" s="75" t="s">
        <v>1216</v>
      </c>
      <c r="D181" s="94" t="s">
        <v>1578</v>
      </c>
      <c r="E181" s="94" t="s">
        <v>1776</v>
      </c>
    </row>
    <row r="182" spans="1:5">
      <c r="A182" s="73" t="s">
        <v>354</v>
      </c>
      <c r="B182" s="74" t="s">
        <v>753</v>
      </c>
      <c r="C182" s="75" t="s">
        <v>1217</v>
      </c>
      <c r="D182" s="94" t="s">
        <v>1578</v>
      </c>
      <c r="E182" s="94" t="s">
        <v>1776</v>
      </c>
    </row>
    <row r="183" spans="1:5">
      <c r="A183" s="73" t="s">
        <v>464</v>
      </c>
      <c r="B183" s="74" t="s">
        <v>757</v>
      </c>
      <c r="C183" s="75" t="s">
        <v>1222</v>
      </c>
      <c r="D183" s="94" t="s">
        <v>1622</v>
      </c>
      <c r="E183" s="94" t="s">
        <v>1776</v>
      </c>
    </row>
    <row r="184" spans="1:5">
      <c r="A184" s="73" t="s">
        <v>1772</v>
      </c>
      <c r="B184" s="165" t="s">
        <v>758</v>
      </c>
      <c r="C184" s="177" t="s">
        <v>1773</v>
      </c>
      <c r="D184" s="94" t="s">
        <v>1578</v>
      </c>
      <c r="E184" s="94" t="s">
        <v>1776</v>
      </c>
    </row>
    <row r="185" spans="1:5">
      <c r="A185" s="73" t="s">
        <v>356</v>
      </c>
      <c r="B185" s="74" t="s">
        <v>758</v>
      </c>
      <c r="C185" s="75" t="s">
        <v>1223</v>
      </c>
      <c r="D185" s="94" t="s">
        <v>1578</v>
      </c>
      <c r="E185" s="94" t="s">
        <v>1776</v>
      </c>
    </row>
    <row r="186" spans="1:5">
      <c r="A186" s="73" t="s">
        <v>1506</v>
      </c>
      <c r="B186" s="74" t="s">
        <v>1510</v>
      </c>
      <c r="C186" s="75" t="s">
        <v>1511</v>
      </c>
      <c r="D186" s="94" t="s">
        <v>1578</v>
      </c>
      <c r="E186" s="94" t="s">
        <v>1776</v>
      </c>
    </row>
    <row r="187" spans="1:5">
      <c r="A187" s="95" t="s">
        <v>1512</v>
      </c>
      <c r="B187" s="74" t="s">
        <v>755</v>
      </c>
      <c r="C187" s="95" t="s">
        <v>1513</v>
      </c>
      <c r="D187" s="94" t="s">
        <v>1622</v>
      </c>
      <c r="E187" s="94" t="s">
        <v>1776</v>
      </c>
    </row>
    <row r="188" spans="1:5">
      <c r="A188" s="73" t="s">
        <v>359</v>
      </c>
      <c r="B188" s="74" t="s">
        <v>755</v>
      </c>
      <c r="C188" s="75" t="s">
        <v>1219</v>
      </c>
      <c r="D188" s="94" t="s">
        <v>1622</v>
      </c>
      <c r="E188" s="94" t="s">
        <v>1776</v>
      </c>
    </row>
    <row r="189" spans="1:5">
      <c r="A189" s="73" t="s">
        <v>355</v>
      </c>
      <c r="B189" s="74" t="s">
        <v>754</v>
      </c>
      <c r="C189" s="75" t="s">
        <v>1218</v>
      </c>
      <c r="D189" s="94" t="s">
        <v>1578</v>
      </c>
      <c r="E189" s="94" t="s">
        <v>1776</v>
      </c>
    </row>
    <row r="190" spans="1:5">
      <c r="A190" s="73" t="s">
        <v>222</v>
      </c>
      <c r="B190" s="74" t="s">
        <v>635</v>
      </c>
      <c r="C190" s="75" t="s">
        <v>1085</v>
      </c>
      <c r="D190" s="94" t="s">
        <v>1623</v>
      </c>
      <c r="E190" s="94" t="s">
        <v>1776</v>
      </c>
    </row>
    <row r="191" spans="1:5">
      <c r="A191" s="73" t="s">
        <v>223</v>
      </c>
      <c r="B191" s="74" t="s">
        <v>636</v>
      </c>
      <c r="C191" s="75" t="s">
        <v>1086</v>
      </c>
      <c r="D191" s="94" t="s">
        <v>1623</v>
      </c>
      <c r="E191" s="94" t="s">
        <v>1776</v>
      </c>
    </row>
    <row r="192" spans="1:5">
      <c r="A192" s="73" t="s">
        <v>224</v>
      </c>
      <c r="B192" s="74" t="s">
        <v>637</v>
      </c>
      <c r="C192" s="75" t="s">
        <v>1087</v>
      </c>
      <c r="D192" s="94" t="s">
        <v>1623</v>
      </c>
      <c r="E192" s="94" t="s">
        <v>1776</v>
      </c>
    </row>
    <row r="193" spans="1:5">
      <c r="A193" s="73" t="s">
        <v>65</v>
      </c>
      <c r="B193" s="74" t="s">
        <v>516</v>
      </c>
      <c r="C193" s="75" t="s">
        <v>961</v>
      </c>
      <c r="D193" s="94" t="s">
        <v>1624</v>
      </c>
      <c r="E193" s="94" t="s">
        <v>1776</v>
      </c>
    </row>
    <row r="194" spans="1:5">
      <c r="A194" s="73" t="s">
        <v>66</v>
      </c>
      <c r="B194" s="74" t="s">
        <v>516</v>
      </c>
      <c r="C194" s="75" t="s">
        <v>962</v>
      </c>
      <c r="D194" s="94" t="s">
        <v>1624</v>
      </c>
      <c r="E194" s="94" t="s">
        <v>1776</v>
      </c>
    </row>
    <row r="195" spans="1:5">
      <c r="A195" s="73" t="s">
        <v>438</v>
      </c>
      <c r="B195" s="74" t="s">
        <v>830</v>
      </c>
      <c r="C195" s="75" t="s">
        <v>1293</v>
      </c>
      <c r="D195" s="94" t="s">
        <v>1578</v>
      </c>
      <c r="E195" s="94" t="s">
        <v>1776</v>
      </c>
    </row>
    <row r="196" spans="1:5">
      <c r="A196" s="73" t="s">
        <v>439</v>
      </c>
      <c r="B196" s="74" t="s">
        <v>831</v>
      </c>
      <c r="C196" s="75" t="s">
        <v>1294</v>
      </c>
      <c r="D196" s="94" t="s">
        <v>1617</v>
      </c>
      <c r="E196" s="94" t="s">
        <v>1776</v>
      </c>
    </row>
    <row r="197" spans="1:5">
      <c r="A197" s="73" t="s">
        <v>52</v>
      </c>
      <c r="B197" s="74" t="s">
        <v>505</v>
      </c>
      <c r="C197" s="75" t="s">
        <v>949</v>
      </c>
      <c r="D197" s="94" t="s">
        <v>1625</v>
      </c>
      <c r="E197" s="94" t="s">
        <v>1776</v>
      </c>
    </row>
    <row r="198" spans="1:5">
      <c r="A198" s="73" t="s">
        <v>53</v>
      </c>
      <c r="B198" s="74" t="s">
        <v>505</v>
      </c>
      <c r="C198" s="75" t="s">
        <v>950</v>
      </c>
      <c r="D198" s="94" t="s">
        <v>1625</v>
      </c>
      <c r="E198" s="94" t="s">
        <v>1776</v>
      </c>
    </row>
    <row r="199" spans="1:5">
      <c r="A199" s="73" t="s">
        <v>54</v>
      </c>
      <c r="B199" s="74" t="s">
        <v>506</v>
      </c>
      <c r="C199" s="75" t="s">
        <v>951</v>
      </c>
      <c r="D199" s="94" t="s">
        <v>1625</v>
      </c>
      <c r="E199" s="94" t="s">
        <v>1776</v>
      </c>
    </row>
    <row r="200" spans="1:5">
      <c r="A200" s="73" t="s">
        <v>55</v>
      </c>
      <c r="B200" s="74" t="s">
        <v>507</v>
      </c>
      <c r="C200" s="75" t="s">
        <v>952</v>
      </c>
      <c r="D200" s="94" t="s">
        <v>1625</v>
      </c>
      <c r="E200" s="94" t="s">
        <v>1776</v>
      </c>
    </row>
    <row r="201" spans="1:5">
      <c r="A201" s="73" t="s">
        <v>56</v>
      </c>
      <c r="B201" s="74" t="s">
        <v>508</v>
      </c>
      <c r="C201" s="75" t="s">
        <v>953</v>
      </c>
      <c r="D201" s="94" t="s">
        <v>1625</v>
      </c>
      <c r="E201" s="94" t="s">
        <v>1776</v>
      </c>
    </row>
    <row r="202" spans="1:5">
      <c r="A202" s="73" t="s">
        <v>57</v>
      </c>
      <c r="B202" s="74" t="s">
        <v>509</v>
      </c>
      <c r="C202" s="75" t="s">
        <v>954</v>
      </c>
      <c r="D202" s="94" t="s">
        <v>1625</v>
      </c>
      <c r="E202" s="94" t="s">
        <v>1776</v>
      </c>
    </row>
    <row r="203" spans="1:5">
      <c r="A203" s="76" t="s">
        <v>58</v>
      </c>
      <c r="B203" s="45" t="s">
        <v>862</v>
      </c>
      <c r="C203" s="75" t="s">
        <v>863</v>
      </c>
      <c r="D203" s="94" t="s">
        <v>1625</v>
      </c>
      <c r="E203" s="94" t="s">
        <v>1776</v>
      </c>
    </row>
    <row r="204" spans="1:5">
      <c r="A204" s="73" t="s">
        <v>1333</v>
      </c>
      <c r="B204" s="74" t="s">
        <v>1335</v>
      </c>
      <c r="C204" s="75" t="s">
        <v>1334</v>
      </c>
      <c r="D204" s="94" t="s">
        <v>1625</v>
      </c>
      <c r="E204" s="94" t="s">
        <v>1776</v>
      </c>
    </row>
    <row r="205" spans="1:5">
      <c r="A205" s="73" t="s">
        <v>59</v>
      </c>
      <c r="B205" s="74" t="s">
        <v>510</v>
      </c>
      <c r="C205" s="75" t="s">
        <v>955</v>
      </c>
      <c r="D205" s="94" t="s">
        <v>1625</v>
      </c>
      <c r="E205" s="94" t="s">
        <v>1776</v>
      </c>
    </row>
    <row r="206" spans="1:5">
      <c r="A206" s="73" t="s">
        <v>60</v>
      </c>
      <c r="B206" s="74" t="s">
        <v>511</v>
      </c>
      <c r="C206" s="75" t="s">
        <v>956</v>
      </c>
      <c r="D206" s="94" t="s">
        <v>1625</v>
      </c>
      <c r="E206" s="94" t="s">
        <v>1776</v>
      </c>
    </row>
    <row r="207" spans="1:5">
      <c r="A207" s="94" t="s">
        <v>1383</v>
      </c>
      <c r="B207" s="74" t="s">
        <v>1384</v>
      </c>
      <c r="C207" s="75" t="s">
        <v>1385</v>
      </c>
      <c r="D207" s="94" t="s">
        <v>1579</v>
      </c>
      <c r="E207" s="94" t="s">
        <v>1776</v>
      </c>
    </row>
    <row r="208" spans="1:5">
      <c r="A208" s="94" t="s">
        <v>1638</v>
      </c>
      <c r="B208" s="74" t="s">
        <v>591</v>
      </c>
      <c r="C208" s="95" t="s">
        <v>1663</v>
      </c>
      <c r="D208" s="94" t="s">
        <v>1579</v>
      </c>
      <c r="E208" s="94" t="s">
        <v>1776</v>
      </c>
    </row>
    <row r="209" spans="1:5">
      <c r="A209" s="73" t="s">
        <v>165</v>
      </c>
      <c r="B209" s="74" t="s">
        <v>591</v>
      </c>
      <c r="C209" s="75" t="s">
        <v>1041</v>
      </c>
      <c r="D209" s="94" t="s">
        <v>1579</v>
      </c>
      <c r="E209" s="94" t="s">
        <v>1776</v>
      </c>
    </row>
    <row r="210" spans="1:5">
      <c r="A210" s="73" t="s">
        <v>166</v>
      </c>
      <c r="B210" s="74" t="s">
        <v>592</v>
      </c>
      <c r="C210" s="75" t="s">
        <v>1042</v>
      </c>
      <c r="D210" s="94" t="s">
        <v>1579</v>
      </c>
      <c r="E210" s="94" t="s">
        <v>1776</v>
      </c>
    </row>
    <row r="211" spans="1:5">
      <c r="A211" s="76" t="s">
        <v>167</v>
      </c>
      <c r="B211" s="45" t="s">
        <v>593</v>
      </c>
      <c r="C211" s="75" t="s">
        <v>1016</v>
      </c>
      <c r="D211" s="94" t="s">
        <v>1579</v>
      </c>
      <c r="E211" s="94" t="s">
        <v>1776</v>
      </c>
    </row>
    <row r="212" spans="1:5">
      <c r="A212" s="96" t="s">
        <v>1343</v>
      </c>
      <c r="B212" s="45" t="s">
        <v>591</v>
      </c>
      <c r="C212" s="95" t="s">
        <v>1350</v>
      </c>
      <c r="D212" s="94" t="s">
        <v>1579</v>
      </c>
      <c r="E212" s="94" t="s">
        <v>1776</v>
      </c>
    </row>
    <row r="213" spans="1:5">
      <c r="A213" s="94" t="s">
        <v>1386</v>
      </c>
      <c r="B213" s="45" t="s">
        <v>593</v>
      </c>
      <c r="C213" s="75" t="s">
        <v>1387</v>
      </c>
      <c r="D213" s="94" t="s">
        <v>1579</v>
      </c>
      <c r="E213" s="94" t="s">
        <v>1776</v>
      </c>
    </row>
    <row r="214" spans="1:5">
      <c r="A214" s="73" t="s">
        <v>168</v>
      </c>
      <c r="B214" s="74" t="s">
        <v>594</v>
      </c>
      <c r="C214" s="75" t="s">
        <v>1043</v>
      </c>
      <c r="D214" s="94" t="s">
        <v>1579</v>
      </c>
      <c r="E214" s="94" t="s">
        <v>1776</v>
      </c>
    </row>
    <row r="215" spans="1:5">
      <c r="A215" s="94" t="s">
        <v>1639</v>
      </c>
      <c r="B215" s="74" t="s">
        <v>1319</v>
      </c>
      <c r="C215" s="95" t="s">
        <v>1664</v>
      </c>
      <c r="D215" s="94" t="s">
        <v>1579</v>
      </c>
      <c r="E215" s="94" t="s">
        <v>1776</v>
      </c>
    </row>
    <row r="216" spans="1:5">
      <c r="A216" s="73" t="s">
        <v>169</v>
      </c>
      <c r="B216" s="74" t="s">
        <v>594</v>
      </c>
      <c r="C216" s="75" t="s">
        <v>1044</v>
      </c>
      <c r="D216" s="94" t="s">
        <v>1579</v>
      </c>
      <c r="E216" s="94" t="s">
        <v>1776</v>
      </c>
    </row>
    <row r="217" spans="1:5">
      <c r="A217" s="94" t="s">
        <v>1344</v>
      </c>
      <c r="B217" s="74" t="s">
        <v>594</v>
      </c>
      <c r="C217" s="75" t="s">
        <v>1349</v>
      </c>
      <c r="D217" s="94" t="s">
        <v>1579</v>
      </c>
      <c r="E217" s="94" t="s">
        <v>1776</v>
      </c>
    </row>
    <row r="218" spans="1:5">
      <c r="A218" s="73" t="s">
        <v>170</v>
      </c>
      <c r="B218" s="74" t="s">
        <v>595</v>
      </c>
      <c r="C218" s="75" t="s">
        <v>1045</v>
      </c>
      <c r="D218" s="94" t="s">
        <v>1579</v>
      </c>
      <c r="E218" s="94" t="s">
        <v>1776</v>
      </c>
    </row>
    <row r="219" spans="1:5">
      <c r="A219" s="76" t="s">
        <v>1324</v>
      </c>
      <c r="B219" s="45" t="s">
        <v>1331</v>
      </c>
      <c r="C219" s="75" t="s">
        <v>1330</v>
      </c>
      <c r="D219" s="94" t="s">
        <v>1579</v>
      </c>
      <c r="E219" s="94" t="s">
        <v>1776</v>
      </c>
    </row>
    <row r="220" spans="1:5">
      <c r="A220" s="73" t="s">
        <v>171</v>
      </c>
      <c r="B220" s="74" t="s">
        <v>589</v>
      </c>
      <c r="C220" s="75" t="s">
        <v>1046</v>
      </c>
      <c r="D220" s="94" t="s">
        <v>1579</v>
      </c>
      <c r="E220" s="94" t="s">
        <v>1776</v>
      </c>
    </row>
    <row r="221" spans="1:5">
      <c r="A221" s="73" t="s">
        <v>172</v>
      </c>
      <c r="B221" s="74" t="s">
        <v>596</v>
      </c>
      <c r="C221" s="75" t="s">
        <v>1047</v>
      </c>
      <c r="D221" s="94" t="s">
        <v>1579</v>
      </c>
      <c r="E221" s="94" t="s">
        <v>1776</v>
      </c>
    </row>
    <row r="222" spans="1:5">
      <c r="A222" s="95" t="s">
        <v>1514</v>
      </c>
      <c r="B222" s="74" t="s">
        <v>1319</v>
      </c>
      <c r="C222" s="77" t="s">
        <v>1515</v>
      </c>
      <c r="D222" s="94" t="s">
        <v>1579</v>
      </c>
      <c r="E222" s="94" t="s">
        <v>1776</v>
      </c>
    </row>
    <row r="223" spans="1:5">
      <c r="A223" s="94" t="s">
        <v>1516</v>
      </c>
      <c r="B223" s="74" t="s">
        <v>1319</v>
      </c>
      <c r="C223" s="77" t="s">
        <v>1517</v>
      </c>
      <c r="D223" s="94" t="s">
        <v>1579</v>
      </c>
      <c r="E223" s="94" t="s">
        <v>1776</v>
      </c>
    </row>
    <row r="224" spans="1:5">
      <c r="A224" s="73" t="s">
        <v>173</v>
      </c>
      <c r="B224" s="74" t="s">
        <v>597</v>
      </c>
      <c r="C224" s="75" t="s">
        <v>1048</v>
      </c>
      <c r="D224" s="94" t="s">
        <v>1579</v>
      </c>
      <c r="E224" s="94" t="s">
        <v>1776</v>
      </c>
    </row>
    <row r="225" spans="1:5">
      <c r="A225" s="76" t="s">
        <v>1017</v>
      </c>
      <c r="B225" s="45" t="s">
        <v>1018</v>
      </c>
      <c r="C225" s="75" t="s">
        <v>1019</v>
      </c>
      <c r="D225" s="94" t="s">
        <v>1579</v>
      </c>
      <c r="E225" s="94" t="s">
        <v>1776</v>
      </c>
    </row>
    <row r="226" spans="1:5">
      <c r="A226" s="94" t="s">
        <v>1388</v>
      </c>
      <c r="B226" s="74" t="s">
        <v>599</v>
      </c>
      <c r="C226" s="75" t="s">
        <v>1389</v>
      </c>
      <c r="D226" s="94" t="s">
        <v>1579</v>
      </c>
      <c r="E226" s="94" t="s">
        <v>1776</v>
      </c>
    </row>
    <row r="227" spans="1:5">
      <c r="A227" s="73" t="s">
        <v>175</v>
      </c>
      <c r="B227" s="74" t="s">
        <v>599</v>
      </c>
      <c r="C227" s="75" t="s">
        <v>1050</v>
      </c>
      <c r="D227" s="94" t="s">
        <v>1579</v>
      </c>
      <c r="E227" s="94" t="s">
        <v>1776</v>
      </c>
    </row>
    <row r="228" spans="1:5">
      <c r="A228" s="73" t="s">
        <v>174</v>
      </c>
      <c r="B228" s="74" t="s">
        <v>598</v>
      </c>
      <c r="C228" s="75" t="s">
        <v>1049</v>
      </c>
      <c r="D228" s="94" t="s">
        <v>1578</v>
      </c>
      <c r="E228" s="94" t="s">
        <v>1776</v>
      </c>
    </row>
    <row r="229" spans="1:5">
      <c r="A229" s="76" t="s">
        <v>1020</v>
      </c>
      <c r="B229" s="45" t="s">
        <v>1021</v>
      </c>
      <c r="C229" s="75" t="s">
        <v>1022</v>
      </c>
      <c r="D229" s="94" t="s">
        <v>1579</v>
      </c>
      <c r="E229" s="94" t="s">
        <v>1776</v>
      </c>
    </row>
    <row r="230" spans="1:5">
      <c r="A230" s="94" t="s">
        <v>1390</v>
      </c>
      <c r="B230" s="45" t="s">
        <v>1021</v>
      </c>
      <c r="C230" s="75" t="s">
        <v>1391</v>
      </c>
      <c r="D230" s="94" t="s">
        <v>1579</v>
      </c>
      <c r="E230" s="94" t="s">
        <v>1776</v>
      </c>
    </row>
    <row r="231" spans="1:5">
      <c r="A231" s="164" t="s">
        <v>1742</v>
      </c>
      <c r="B231" s="74" t="s">
        <v>594</v>
      </c>
      <c r="C231" s="95" t="s">
        <v>1743</v>
      </c>
      <c r="D231" s="94" t="s">
        <v>1579</v>
      </c>
      <c r="E231" s="94" t="s">
        <v>1776</v>
      </c>
    </row>
    <row r="232" spans="1:5">
      <c r="A232" s="73" t="s">
        <v>176</v>
      </c>
      <c r="B232" s="74" t="s">
        <v>594</v>
      </c>
      <c r="C232" s="75" t="s">
        <v>1051</v>
      </c>
      <c r="D232" s="94" t="s">
        <v>1579</v>
      </c>
      <c r="E232" s="94" t="s">
        <v>1776</v>
      </c>
    </row>
    <row r="233" spans="1:5">
      <c r="A233" s="73" t="s">
        <v>177</v>
      </c>
      <c r="B233" s="74" t="s">
        <v>600</v>
      </c>
      <c r="C233" s="75" t="s">
        <v>1052</v>
      </c>
      <c r="D233" s="94" t="s">
        <v>1579</v>
      </c>
      <c r="E233" s="94" t="s">
        <v>1776</v>
      </c>
    </row>
    <row r="234" spans="1:5">
      <c r="A234" s="76" t="s">
        <v>1023</v>
      </c>
      <c r="B234" s="45" t="s">
        <v>600</v>
      </c>
      <c r="C234" s="75" t="s">
        <v>1024</v>
      </c>
      <c r="D234" s="94" t="s">
        <v>1579</v>
      </c>
      <c r="E234" s="94" t="s">
        <v>1776</v>
      </c>
    </row>
    <row r="235" spans="1:5">
      <c r="A235" s="73" t="s">
        <v>178</v>
      </c>
      <c r="B235" s="74" t="s">
        <v>601</v>
      </c>
      <c r="C235" s="75" t="s">
        <v>1053</v>
      </c>
      <c r="D235" s="94" t="s">
        <v>1579</v>
      </c>
      <c r="E235" s="94" t="s">
        <v>1776</v>
      </c>
    </row>
    <row r="236" spans="1:5">
      <c r="A236" s="73" t="s">
        <v>179</v>
      </c>
      <c r="B236" s="74" t="s">
        <v>602</v>
      </c>
      <c r="C236" s="75" t="s">
        <v>1054</v>
      </c>
      <c r="D236" s="94" t="s">
        <v>1579</v>
      </c>
      <c r="E236" s="94" t="s">
        <v>1776</v>
      </c>
    </row>
    <row r="237" spans="1:5">
      <c r="A237" s="94" t="s">
        <v>1392</v>
      </c>
      <c r="B237" s="74" t="s">
        <v>602</v>
      </c>
      <c r="C237" s="75" t="s">
        <v>1393</v>
      </c>
      <c r="D237" s="94" t="s">
        <v>1579</v>
      </c>
      <c r="E237" s="94" t="s">
        <v>1776</v>
      </c>
    </row>
    <row r="238" spans="1:5">
      <c r="A238" s="73" t="s">
        <v>180</v>
      </c>
      <c r="B238" s="74" t="s">
        <v>581</v>
      </c>
      <c r="C238" s="75" t="s">
        <v>1055</v>
      </c>
      <c r="D238" s="94" t="s">
        <v>1579</v>
      </c>
      <c r="E238" s="94" t="s">
        <v>1776</v>
      </c>
    </row>
    <row r="239" spans="1:5">
      <c r="A239" s="76" t="s">
        <v>181</v>
      </c>
      <c r="B239" s="45" t="s">
        <v>1338</v>
      </c>
      <c r="C239" s="75" t="s">
        <v>1025</v>
      </c>
      <c r="D239" s="94" t="s">
        <v>1579</v>
      </c>
      <c r="E239" s="94" t="s">
        <v>1776</v>
      </c>
    </row>
    <row r="240" spans="1:5">
      <c r="A240" s="164" t="s">
        <v>1739</v>
      </c>
      <c r="B240" s="74" t="s">
        <v>1740</v>
      </c>
      <c r="C240" s="95" t="s">
        <v>1741</v>
      </c>
      <c r="D240" s="94" t="s">
        <v>1579</v>
      </c>
      <c r="E240" s="94" t="s">
        <v>1776</v>
      </c>
    </row>
    <row r="241" spans="1:5">
      <c r="A241" s="73" t="s">
        <v>182</v>
      </c>
      <c r="B241" s="74" t="s">
        <v>582</v>
      </c>
      <c r="C241" s="75" t="s">
        <v>1056</v>
      </c>
      <c r="D241" s="94" t="s">
        <v>1579</v>
      </c>
      <c r="E241" s="94" t="s">
        <v>1776</v>
      </c>
    </row>
    <row r="242" spans="1:5">
      <c r="A242" s="96" t="s">
        <v>1345</v>
      </c>
      <c r="B242" s="45" t="s">
        <v>607</v>
      </c>
      <c r="C242" s="77" t="s">
        <v>1347</v>
      </c>
      <c r="D242" s="94" t="s">
        <v>1579</v>
      </c>
      <c r="E242" s="94" t="s">
        <v>1776</v>
      </c>
    </row>
    <row r="243" spans="1:5">
      <c r="A243" s="73" t="s">
        <v>183</v>
      </c>
      <c r="B243" s="74" t="s">
        <v>603</v>
      </c>
      <c r="C243" s="75" t="s">
        <v>1057</v>
      </c>
      <c r="D243" s="94" t="s">
        <v>1579</v>
      </c>
      <c r="E243" s="94" t="s">
        <v>1776</v>
      </c>
    </row>
    <row r="244" spans="1:5">
      <c r="A244" s="94" t="s">
        <v>1346</v>
      </c>
      <c r="B244" s="74" t="s">
        <v>603</v>
      </c>
      <c r="C244" s="75" t="s">
        <v>1348</v>
      </c>
      <c r="D244" s="94" t="s">
        <v>1579</v>
      </c>
      <c r="E244" s="94" t="s">
        <v>1776</v>
      </c>
    </row>
    <row r="245" spans="1:5">
      <c r="A245" s="73" t="s">
        <v>184</v>
      </c>
      <c r="B245" s="74" t="s">
        <v>604</v>
      </c>
      <c r="C245" s="75" t="s">
        <v>1058</v>
      </c>
      <c r="D245" s="94" t="s">
        <v>1579</v>
      </c>
      <c r="E245" s="94" t="s">
        <v>1776</v>
      </c>
    </row>
    <row r="246" spans="1:5">
      <c r="A246" s="73" t="s">
        <v>185</v>
      </c>
      <c r="B246" s="74" t="s">
        <v>605</v>
      </c>
      <c r="C246" s="75" t="s">
        <v>1059</v>
      </c>
      <c r="D246" s="94" t="s">
        <v>1579</v>
      </c>
      <c r="E246" s="94" t="s">
        <v>1776</v>
      </c>
    </row>
    <row r="247" spans="1:5">
      <c r="A247" s="73" t="s">
        <v>186</v>
      </c>
      <c r="B247" s="74" t="s">
        <v>606</v>
      </c>
      <c r="C247" s="75" t="s">
        <v>1060</v>
      </c>
      <c r="D247" s="94" t="s">
        <v>1579</v>
      </c>
      <c r="E247" s="94" t="s">
        <v>1776</v>
      </c>
    </row>
    <row r="248" spans="1:5">
      <c r="A248" s="76" t="s">
        <v>187</v>
      </c>
      <c r="B248" s="45" t="s">
        <v>607</v>
      </c>
      <c r="C248" s="75" t="s">
        <v>1026</v>
      </c>
      <c r="D248" s="94" t="s">
        <v>1579</v>
      </c>
      <c r="E248" s="94" t="s">
        <v>1776</v>
      </c>
    </row>
    <row r="249" spans="1:5">
      <c r="A249" s="73" t="s">
        <v>188</v>
      </c>
      <c r="B249" s="74" t="s">
        <v>608</v>
      </c>
      <c r="C249" s="75" t="s">
        <v>1061</v>
      </c>
      <c r="D249" s="94" t="s">
        <v>1579</v>
      </c>
      <c r="E249" s="94" t="s">
        <v>1776</v>
      </c>
    </row>
    <row r="250" spans="1:5">
      <c r="A250" s="73" t="s">
        <v>189</v>
      </c>
      <c r="B250" s="74" t="s">
        <v>609</v>
      </c>
      <c r="C250" s="75" t="s">
        <v>1062</v>
      </c>
      <c r="D250" s="94" t="s">
        <v>1578</v>
      </c>
      <c r="E250" s="94" t="s">
        <v>1776</v>
      </c>
    </row>
    <row r="251" spans="1:5">
      <c r="A251" s="73" t="s">
        <v>196</v>
      </c>
      <c r="B251" s="74" t="s">
        <v>615</v>
      </c>
      <c r="C251" s="75" t="s">
        <v>1067</v>
      </c>
      <c r="D251" s="94" t="s">
        <v>1578</v>
      </c>
      <c r="E251" s="94" t="s">
        <v>1776</v>
      </c>
    </row>
    <row r="252" spans="1:5">
      <c r="A252" s="73" t="s">
        <v>190</v>
      </c>
      <c r="B252" s="74" t="s">
        <v>610</v>
      </c>
      <c r="C252" s="75" t="s">
        <v>1063</v>
      </c>
      <c r="D252" s="94" t="s">
        <v>1579</v>
      </c>
      <c r="E252" s="94" t="s">
        <v>1776</v>
      </c>
    </row>
    <row r="253" spans="1:5">
      <c r="A253" s="94" t="s">
        <v>1626</v>
      </c>
      <c r="B253" s="74" t="s">
        <v>594</v>
      </c>
      <c r="C253" s="95" t="s">
        <v>1627</v>
      </c>
      <c r="D253" s="94" t="s">
        <v>1579</v>
      </c>
      <c r="E253" s="94" t="s">
        <v>1776</v>
      </c>
    </row>
    <row r="254" spans="1:5">
      <c r="A254" s="73" t="s">
        <v>1314</v>
      </c>
      <c r="B254" s="74" t="s">
        <v>1319</v>
      </c>
      <c r="C254" s="77" t="s">
        <v>1320</v>
      </c>
      <c r="D254" s="94" t="s">
        <v>1579</v>
      </c>
      <c r="E254" s="94" t="s">
        <v>1776</v>
      </c>
    </row>
    <row r="255" spans="1:5">
      <c r="A255" s="94" t="s">
        <v>1394</v>
      </c>
      <c r="B255" s="74" t="s">
        <v>1319</v>
      </c>
      <c r="C255" s="75" t="s">
        <v>1395</v>
      </c>
      <c r="D255" s="94" t="s">
        <v>1579</v>
      </c>
      <c r="E255" s="94" t="s">
        <v>1776</v>
      </c>
    </row>
    <row r="256" spans="1:5">
      <c r="A256" s="76" t="s">
        <v>155</v>
      </c>
      <c r="B256" s="45" t="s">
        <v>581</v>
      </c>
      <c r="C256" s="75" t="s">
        <v>1027</v>
      </c>
      <c r="D256" s="94" t="s">
        <v>1579</v>
      </c>
      <c r="E256" s="94" t="s">
        <v>1776</v>
      </c>
    </row>
    <row r="257" spans="1:5">
      <c r="A257" s="76" t="s">
        <v>157</v>
      </c>
      <c r="B257" s="45" t="s">
        <v>583</v>
      </c>
      <c r="C257" s="75" t="s">
        <v>1028</v>
      </c>
      <c r="D257" s="94" t="s">
        <v>1579</v>
      </c>
      <c r="E257" s="94" t="s">
        <v>1776</v>
      </c>
    </row>
    <row r="258" spans="1:5">
      <c r="A258" s="76" t="s">
        <v>156</v>
      </c>
      <c r="B258" s="45" t="s">
        <v>582</v>
      </c>
      <c r="C258" s="75" t="s">
        <v>1029</v>
      </c>
      <c r="D258" s="94" t="s">
        <v>1579</v>
      </c>
      <c r="E258" s="94" t="s">
        <v>1776</v>
      </c>
    </row>
    <row r="259" spans="1:5">
      <c r="A259" s="73" t="s">
        <v>191</v>
      </c>
      <c r="B259" s="74" t="s">
        <v>611</v>
      </c>
      <c r="C259" s="75" t="s">
        <v>1064</v>
      </c>
      <c r="D259" s="94" t="s">
        <v>1579</v>
      </c>
      <c r="E259" s="94" t="s">
        <v>1776</v>
      </c>
    </row>
    <row r="260" spans="1:5">
      <c r="A260" s="73" t="s">
        <v>197</v>
      </c>
      <c r="B260" s="74" t="s">
        <v>616</v>
      </c>
      <c r="C260" s="75" t="s">
        <v>1068</v>
      </c>
      <c r="D260" s="94" t="s">
        <v>1578</v>
      </c>
      <c r="E260" s="94" t="s">
        <v>1776</v>
      </c>
    </row>
    <row r="261" spans="1:5">
      <c r="A261" s="73" t="s">
        <v>154</v>
      </c>
      <c r="B261" s="74" t="s">
        <v>580</v>
      </c>
      <c r="C261" s="75" t="s">
        <v>1037</v>
      </c>
      <c r="D261" s="94" t="s">
        <v>1579</v>
      </c>
      <c r="E261" s="94" t="s">
        <v>1776</v>
      </c>
    </row>
    <row r="262" spans="1:5">
      <c r="A262" s="76" t="s">
        <v>192</v>
      </c>
      <c r="B262" s="45" t="s">
        <v>612</v>
      </c>
      <c r="C262" s="75" t="s">
        <v>1030</v>
      </c>
      <c r="D262" s="94" t="s">
        <v>1579</v>
      </c>
      <c r="E262" s="94" t="s">
        <v>1776</v>
      </c>
    </row>
    <row r="263" spans="1:5">
      <c r="A263" s="76" t="s">
        <v>193</v>
      </c>
      <c r="B263" s="45" t="s">
        <v>607</v>
      </c>
      <c r="C263" s="75" t="s">
        <v>1031</v>
      </c>
      <c r="D263" s="94" t="s">
        <v>1579</v>
      </c>
      <c r="E263" s="94" t="s">
        <v>1776</v>
      </c>
    </row>
    <row r="264" spans="1:5">
      <c r="A264" s="73" t="s">
        <v>194</v>
      </c>
      <c r="B264" s="74" t="s">
        <v>613</v>
      </c>
      <c r="C264" s="75" t="s">
        <v>1065</v>
      </c>
      <c r="D264" s="94" t="s">
        <v>1579</v>
      </c>
      <c r="E264" s="94" t="s">
        <v>1776</v>
      </c>
    </row>
    <row r="265" spans="1:5">
      <c r="A265" s="95" t="s">
        <v>1674</v>
      </c>
      <c r="B265" s="74" t="s">
        <v>1675</v>
      </c>
      <c r="C265" s="95" t="s">
        <v>1676</v>
      </c>
      <c r="D265" s="94" t="s">
        <v>1579</v>
      </c>
      <c r="E265" s="94" t="s">
        <v>1776</v>
      </c>
    </row>
    <row r="266" spans="1:5">
      <c r="A266" s="73" t="s">
        <v>195</v>
      </c>
      <c r="B266" s="74" t="s">
        <v>614</v>
      </c>
      <c r="C266" s="75" t="s">
        <v>1066</v>
      </c>
      <c r="D266" s="94" t="s">
        <v>1578</v>
      </c>
      <c r="E266" s="94" t="s">
        <v>1776</v>
      </c>
    </row>
    <row r="267" spans="1:5">
      <c r="A267" s="76" t="s">
        <v>159</v>
      </c>
      <c r="B267" s="45" t="s">
        <v>585</v>
      </c>
      <c r="C267" s="75" t="s">
        <v>1032</v>
      </c>
      <c r="D267" s="94" t="s">
        <v>1579</v>
      </c>
      <c r="E267" s="94" t="s">
        <v>1776</v>
      </c>
    </row>
    <row r="268" spans="1:5">
      <c r="A268" s="73" t="s">
        <v>160</v>
      </c>
      <c r="B268" s="74" t="s">
        <v>586</v>
      </c>
      <c r="C268" s="75" t="s">
        <v>1038</v>
      </c>
      <c r="D268" s="94" t="s">
        <v>1579</v>
      </c>
      <c r="E268" s="94" t="s">
        <v>1776</v>
      </c>
    </row>
    <row r="269" spans="1:5">
      <c r="A269" s="76" t="s">
        <v>158</v>
      </c>
      <c r="B269" s="45" t="s">
        <v>584</v>
      </c>
      <c r="C269" s="75" t="s">
        <v>1033</v>
      </c>
      <c r="D269" s="94" t="s">
        <v>1579</v>
      </c>
      <c r="E269" s="94" t="s">
        <v>1776</v>
      </c>
    </row>
    <row r="270" spans="1:5">
      <c r="A270" s="76" t="s">
        <v>161</v>
      </c>
      <c r="B270" s="45" t="s">
        <v>587</v>
      </c>
      <c r="C270" s="75" t="s">
        <v>1034</v>
      </c>
      <c r="D270" s="94" t="s">
        <v>1579</v>
      </c>
      <c r="E270" s="94" t="s">
        <v>1776</v>
      </c>
    </row>
    <row r="271" spans="1:5">
      <c r="A271" s="73" t="s">
        <v>162</v>
      </c>
      <c r="B271" s="74" t="s">
        <v>588</v>
      </c>
      <c r="C271" s="75" t="s">
        <v>1039</v>
      </c>
      <c r="D271" s="94" t="s">
        <v>1579</v>
      </c>
      <c r="E271" s="94" t="s">
        <v>1776</v>
      </c>
    </row>
    <row r="272" spans="1:5">
      <c r="A272" s="76" t="s">
        <v>163</v>
      </c>
      <c r="B272" s="45" t="s">
        <v>589</v>
      </c>
      <c r="C272" s="75" t="s">
        <v>1035</v>
      </c>
      <c r="D272" s="94" t="s">
        <v>1579</v>
      </c>
      <c r="E272" s="94" t="s">
        <v>1776</v>
      </c>
    </row>
    <row r="273" spans="1:5">
      <c r="A273" s="73" t="s">
        <v>164</v>
      </c>
      <c r="B273" s="74" t="s">
        <v>590</v>
      </c>
      <c r="C273" s="75" t="s">
        <v>1040</v>
      </c>
      <c r="D273" s="94" t="s">
        <v>1579</v>
      </c>
      <c r="E273" s="94" t="s">
        <v>1776</v>
      </c>
    </row>
    <row r="274" spans="1:5">
      <c r="A274" s="76" t="s">
        <v>202</v>
      </c>
      <c r="B274" s="45" t="s">
        <v>805</v>
      </c>
      <c r="C274" s="75" t="s">
        <v>1036</v>
      </c>
      <c r="D274" s="94" t="s">
        <v>1617</v>
      </c>
      <c r="E274" s="94" t="s">
        <v>1776</v>
      </c>
    </row>
    <row r="275" spans="1:5">
      <c r="A275" s="164" t="s">
        <v>1737</v>
      </c>
      <c r="B275" s="74" t="s">
        <v>805</v>
      </c>
      <c r="C275" s="95" t="s">
        <v>1738</v>
      </c>
      <c r="D275" s="94" t="s">
        <v>1617</v>
      </c>
      <c r="E275" s="94" t="s">
        <v>1776</v>
      </c>
    </row>
    <row r="276" spans="1:5">
      <c r="A276" s="73" t="s">
        <v>203</v>
      </c>
      <c r="B276" s="45" t="s">
        <v>806</v>
      </c>
      <c r="C276" s="75" t="s">
        <v>1274</v>
      </c>
      <c r="D276" s="94" t="s">
        <v>1617</v>
      </c>
      <c r="E276" s="94" t="s">
        <v>1776</v>
      </c>
    </row>
    <row r="277" spans="1:5">
      <c r="A277" s="73" t="s">
        <v>10</v>
      </c>
      <c r="B277" s="45" t="s">
        <v>476</v>
      </c>
      <c r="C277" s="75" t="s">
        <v>925</v>
      </c>
      <c r="D277" s="94" t="s">
        <v>1628</v>
      </c>
      <c r="E277" s="94" t="s">
        <v>1776</v>
      </c>
    </row>
    <row r="278" spans="1:5">
      <c r="A278" s="73" t="s">
        <v>72</v>
      </c>
      <c r="B278" s="74" t="s">
        <v>522</v>
      </c>
      <c r="C278" s="75" t="s">
        <v>967</v>
      </c>
      <c r="D278" s="94" t="s">
        <v>1628</v>
      </c>
      <c r="E278" s="94" t="s">
        <v>1776</v>
      </c>
    </row>
    <row r="279" spans="1:5">
      <c r="A279" s="94" t="s">
        <v>1487</v>
      </c>
      <c r="B279" s="74" t="s">
        <v>1493</v>
      </c>
      <c r="C279" s="95" t="s">
        <v>1492</v>
      </c>
      <c r="D279" s="94" t="s">
        <v>1578</v>
      </c>
      <c r="E279" s="94" t="s">
        <v>1776</v>
      </c>
    </row>
    <row r="280" spans="1:5">
      <c r="A280" s="73" t="s">
        <v>14</v>
      </c>
      <c r="B280" s="74" t="s">
        <v>480</v>
      </c>
      <c r="C280" s="75" t="s">
        <v>927</v>
      </c>
      <c r="D280" s="94" t="s">
        <v>1628</v>
      </c>
      <c r="E280" s="94" t="s">
        <v>1776</v>
      </c>
    </row>
    <row r="281" spans="1:5">
      <c r="A281" s="73" t="s">
        <v>1332</v>
      </c>
      <c r="B281" s="74" t="s">
        <v>1336</v>
      </c>
      <c r="C281" s="75" t="s">
        <v>1337</v>
      </c>
      <c r="D281" s="94" t="s">
        <v>1628</v>
      </c>
      <c r="E281" s="94" t="s">
        <v>1776</v>
      </c>
    </row>
    <row r="282" spans="1:5">
      <c r="A282" s="164" t="s">
        <v>1718</v>
      </c>
      <c r="B282" s="74" t="s">
        <v>1336</v>
      </c>
      <c r="C282" s="95" t="s">
        <v>1719</v>
      </c>
      <c r="D282" s="94" t="s">
        <v>1628</v>
      </c>
      <c r="E282" s="94" t="s">
        <v>1776</v>
      </c>
    </row>
    <row r="283" spans="1:5">
      <c r="A283" s="73" t="s">
        <v>15</v>
      </c>
      <c r="B283" s="74" t="s">
        <v>481</v>
      </c>
      <c r="C283" s="75" t="s">
        <v>928</v>
      </c>
      <c r="D283" s="94" t="s">
        <v>1628</v>
      </c>
      <c r="E283" s="94" t="s">
        <v>1776</v>
      </c>
    </row>
    <row r="284" spans="1:5">
      <c r="A284" s="73" t="s">
        <v>16</v>
      </c>
      <c r="B284" s="74" t="s">
        <v>481</v>
      </c>
      <c r="C284" s="75" t="s">
        <v>929</v>
      </c>
      <c r="D284" s="94" t="s">
        <v>1628</v>
      </c>
      <c r="E284" s="94" t="s">
        <v>1776</v>
      </c>
    </row>
    <row r="285" spans="1:5">
      <c r="A285" s="73" t="s">
        <v>17</v>
      </c>
      <c r="B285" s="74" t="s">
        <v>482</v>
      </c>
      <c r="C285" s="75" t="s">
        <v>930</v>
      </c>
      <c r="D285" s="94" t="s">
        <v>1628</v>
      </c>
      <c r="E285" s="94" t="s">
        <v>1776</v>
      </c>
    </row>
    <row r="286" spans="1:5">
      <c r="A286" s="73" t="s">
        <v>18</v>
      </c>
      <c r="B286" s="74" t="s">
        <v>482</v>
      </c>
      <c r="C286" s="75" t="s">
        <v>931</v>
      </c>
      <c r="D286" s="94" t="s">
        <v>1628</v>
      </c>
      <c r="E286" s="94" t="s">
        <v>1776</v>
      </c>
    </row>
    <row r="287" spans="1:5">
      <c r="A287" s="94" t="s">
        <v>1396</v>
      </c>
      <c r="B287" s="74" t="s">
        <v>1397</v>
      </c>
      <c r="C287" s="75" t="s">
        <v>1398</v>
      </c>
      <c r="D287" s="94" t="s">
        <v>1628</v>
      </c>
      <c r="E287" s="94" t="s">
        <v>1776</v>
      </c>
    </row>
    <row r="288" spans="1:5">
      <c r="A288" s="162" t="s">
        <v>1548</v>
      </c>
      <c r="B288" s="74" t="s">
        <v>1397</v>
      </c>
      <c r="C288" s="95" t="s">
        <v>1550</v>
      </c>
      <c r="D288" s="94" t="s">
        <v>1628</v>
      </c>
      <c r="E288" s="94" t="s">
        <v>1776</v>
      </c>
    </row>
    <row r="289" spans="1:5">
      <c r="A289" s="73" t="s">
        <v>19</v>
      </c>
      <c r="B289" s="74" t="s">
        <v>482</v>
      </c>
      <c r="C289" s="75" t="s">
        <v>932</v>
      </c>
      <c r="D289" s="94" t="s">
        <v>1628</v>
      </c>
      <c r="E289" s="94" t="s">
        <v>1776</v>
      </c>
    </row>
    <row r="290" spans="1:5">
      <c r="A290" s="73" t="s">
        <v>20</v>
      </c>
      <c r="B290" s="74" t="s">
        <v>483</v>
      </c>
      <c r="C290" s="75" t="s">
        <v>933</v>
      </c>
      <c r="D290" s="94" t="s">
        <v>1628</v>
      </c>
      <c r="E290" s="94" t="s">
        <v>1776</v>
      </c>
    </row>
    <row r="291" spans="1:5">
      <c r="A291" s="73" t="s">
        <v>1323</v>
      </c>
      <c r="B291" s="74" t="s">
        <v>1328</v>
      </c>
      <c r="C291" s="75" t="s">
        <v>1329</v>
      </c>
      <c r="D291" s="94" t="s">
        <v>1628</v>
      </c>
      <c r="E291" s="94" t="s">
        <v>1776</v>
      </c>
    </row>
    <row r="292" spans="1:5">
      <c r="A292" s="76" t="s">
        <v>21</v>
      </c>
      <c r="B292" s="45" t="s">
        <v>484</v>
      </c>
      <c r="C292" s="75" t="s">
        <v>864</v>
      </c>
      <c r="D292" s="94" t="s">
        <v>1628</v>
      </c>
      <c r="E292" s="94" t="s">
        <v>1776</v>
      </c>
    </row>
    <row r="293" spans="1:5">
      <c r="A293" s="73" t="s">
        <v>22</v>
      </c>
      <c r="B293" s="74" t="s">
        <v>485</v>
      </c>
      <c r="C293" s="75" t="s">
        <v>934</v>
      </c>
      <c r="D293" s="94" t="s">
        <v>1628</v>
      </c>
      <c r="E293" s="94" t="s">
        <v>1776</v>
      </c>
    </row>
    <row r="294" spans="1:5">
      <c r="A294" s="73" t="s">
        <v>23</v>
      </c>
      <c r="B294" s="74" t="s">
        <v>485</v>
      </c>
      <c r="C294" s="75" t="s">
        <v>935</v>
      </c>
      <c r="D294" s="94" t="s">
        <v>1628</v>
      </c>
      <c r="E294" s="94" t="s">
        <v>1776</v>
      </c>
    </row>
    <row r="295" spans="1:5">
      <c r="A295" s="73" t="s">
        <v>24</v>
      </c>
      <c r="B295" s="74" t="s">
        <v>486</v>
      </c>
      <c r="C295" s="75" t="s">
        <v>936</v>
      </c>
      <c r="D295" s="94" t="s">
        <v>1628</v>
      </c>
      <c r="E295" s="94" t="s">
        <v>1776</v>
      </c>
    </row>
    <row r="296" spans="1:5">
      <c r="A296" s="73" t="s">
        <v>25</v>
      </c>
      <c r="B296" s="74" t="s">
        <v>486</v>
      </c>
      <c r="C296" s="75" t="s">
        <v>937</v>
      </c>
      <c r="D296" s="94" t="s">
        <v>1628</v>
      </c>
      <c r="E296" s="94" t="s">
        <v>1776</v>
      </c>
    </row>
    <row r="297" spans="1:5">
      <c r="A297" s="164" t="s">
        <v>1705</v>
      </c>
      <c r="B297" s="74" t="s">
        <v>486</v>
      </c>
      <c r="C297" s="95" t="s">
        <v>1706</v>
      </c>
      <c r="D297" s="94" t="s">
        <v>1628</v>
      </c>
      <c r="E297" s="94" t="s">
        <v>1776</v>
      </c>
    </row>
    <row r="298" spans="1:5">
      <c r="A298" s="73" t="s">
        <v>26</v>
      </c>
      <c r="B298" s="74" t="s">
        <v>485</v>
      </c>
      <c r="C298" s="75" t="s">
        <v>938</v>
      </c>
      <c r="D298" s="94" t="s">
        <v>1628</v>
      </c>
      <c r="E298" s="94" t="s">
        <v>1776</v>
      </c>
    </row>
    <row r="299" spans="1:5">
      <c r="A299" s="76" t="s">
        <v>12</v>
      </c>
      <c r="B299" s="45" t="s">
        <v>478</v>
      </c>
      <c r="C299" s="75" t="s">
        <v>865</v>
      </c>
      <c r="D299" s="94" t="s">
        <v>1628</v>
      </c>
      <c r="E299" s="94" t="s">
        <v>1776</v>
      </c>
    </row>
    <row r="300" spans="1:5">
      <c r="A300" s="76" t="s">
        <v>13</v>
      </c>
      <c r="B300" s="45" t="s">
        <v>479</v>
      </c>
      <c r="C300" s="75" t="s">
        <v>866</v>
      </c>
      <c r="D300" s="94" t="s">
        <v>1628</v>
      </c>
      <c r="E300" s="94" t="s">
        <v>1776</v>
      </c>
    </row>
    <row r="301" spans="1:5">
      <c r="A301" s="73" t="s">
        <v>11</v>
      </c>
      <c r="B301" s="45" t="s">
        <v>477</v>
      </c>
      <c r="C301" s="75" t="s">
        <v>926</v>
      </c>
      <c r="D301" s="94" t="s">
        <v>1628</v>
      </c>
      <c r="E301" s="94" t="s">
        <v>1776</v>
      </c>
    </row>
    <row r="302" spans="1:5">
      <c r="A302" s="76" t="s">
        <v>27</v>
      </c>
      <c r="B302" s="45" t="s">
        <v>487</v>
      </c>
      <c r="C302" s="75" t="s">
        <v>867</v>
      </c>
      <c r="D302" s="94" t="s">
        <v>1628</v>
      </c>
      <c r="E302" s="94" t="s">
        <v>1776</v>
      </c>
    </row>
    <row r="303" spans="1:5">
      <c r="A303" s="76" t="s">
        <v>28</v>
      </c>
      <c r="B303" s="45" t="s">
        <v>488</v>
      </c>
      <c r="C303" s="75" t="s">
        <v>868</v>
      </c>
      <c r="D303" s="94" t="s">
        <v>1628</v>
      </c>
      <c r="E303" s="94" t="s">
        <v>1776</v>
      </c>
    </row>
    <row r="304" spans="1:5">
      <c r="A304" s="76" t="s">
        <v>29</v>
      </c>
      <c r="B304" s="45" t="s">
        <v>489</v>
      </c>
      <c r="C304" s="75" t="s">
        <v>869</v>
      </c>
      <c r="D304" s="94" t="s">
        <v>1628</v>
      </c>
      <c r="E304" s="94" t="s">
        <v>1776</v>
      </c>
    </row>
    <row r="305" spans="1:5">
      <c r="A305" s="76" t="s">
        <v>30</v>
      </c>
      <c r="B305" s="45" t="s">
        <v>488</v>
      </c>
      <c r="C305" s="75" t="s">
        <v>870</v>
      </c>
      <c r="D305" s="94" t="s">
        <v>1628</v>
      </c>
      <c r="E305" s="94" t="s">
        <v>1776</v>
      </c>
    </row>
    <row r="306" spans="1:5">
      <c r="A306" s="76" t="s">
        <v>31</v>
      </c>
      <c r="B306" s="45" t="s">
        <v>489</v>
      </c>
      <c r="C306" s="75" t="s">
        <v>871</v>
      </c>
      <c r="D306" s="94" t="s">
        <v>1628</v>
      </c>
      <c r="E306" s="94" t="s">
        <v>1776</v>
      </c>
    </row>
    <row r="307" spans="1:5">
      <c r="A307" s="43" t="s">
        <v>1787</v>
      </c>
      <c r="B307" s="178" t="s">
        <v>489</v>
      </c>
      <c r="C307" s="95" t="s">
        <v>1788</v>
      </c>
      <c r="D307" s="94" t="s">
        <v>1628</v>
      </c>
      <c r="E307" s="94" t="s">
        <v>1776</v>
      </c>
    </row>
    <row r="308" spans="1:5">
      <c r="A308" s="73" t="s">
        <v>32</v>
      </c>
      <c r="B308" s="74" t="s">
        <v>490</v>
      </c>
      <c r="C308" s="75" t="s">
        <v>939</v>
      </c>
      <c r="D308" s="94" t="s">
        <v>1628</v>
      </c>
      <c r="E308" s="94" t="s">
        <v>1776</v>
      </c>
    </row>
    <row r="309" spans="1:5">
      <c r="A309" s="73" t="s">
        <v>1650</v>
      </c>
      <c r="B309" s="74" t="s">
        <v>1651</v>
      </c>
      <c r="C309" s="77" t="s">
        <v>1652</v>
      </c>
      <c r="D309" s="94" t="s">
        <v>1628</v>
      </c>
      <c r="E309" s="94" t="s">
        <v>1776</v>
      </c>
    </row>
    <row r="310" spans="1:5">
      <c r="A310" s="73" t="s">
        <v>33</v>
      </c>
      <c r="B310" s="74" t="s">
        <v>491</v>
      </c>
      <c r="C310" s="75" t="s">
        <v>940</v>
      </c>
      <c r="D310" s="94" t="s">
        <v>1628</v>
      </c>
      <c r="E310" s="94" t="s">
        <v>1776</v>
      </c>
    </row>
    <row r="311" spans="1:5">
      <c r="A311" s="73" t="s">
        <v>34</v>
      </c>
      <c r="B311" s="74" t="s">
        <v>492</v>
      </c>
      <c r="C311" s="75" t="s">
        <v>941</v>
      </c>
      <c r="D311" s="94" t="s">
        <v>1628</v>
      </c>
      <c r="E311" s="94" t="s">
        <v>1776</v>
      </c>
    </row>
    <row r="312" spans="1:5">
      <c r="A312" s="73" t="s">
        <v>35</v>
      </c>
      <c r="B312" s="74" t="s">
        <v>491</v>
      </c>
      <c r="C312" s="75" t="s">
        <v>942</v>
      </c>
      <c r="D312" s="94" t="s">
        <v>1628</v>
      </c>
      <c r="E312" s="94" t="s">
        <v>1776</v>
      </c>
    </row>
    <row r="313" spans="1:5">
      <c r="A313" s="73" t="s">
        <v>1656</v>
      </c>
      <c r="B313" s="165" t="s">
        <v>1657</v>
      </c>
      <c r="C313" s="177" t="s">
        <v>1658</v>
      </c>
      <c r="D313" s="94" t="s">
        <v>1628</v>
      </c>
      <c r="E313" s="94" t="s">
        <v>1776</v>
      </c>
    </row>
    <row r="314" spans="1:5">
      <c r="A314" s="73" t="s">
        <v>1653</v>
      </c>
      <c r="B314" s="74" t="s">
        <v>1654</v>
      </c>
      <c r="C314" s="77" t="s">
        <v>1655</v>
      </c>
      <c r="D314" s="94" t="s">
        <v>1628</v>
      </c>
      <c r="E314" s="94" t="s">
        <v>1776</v>
      </c>
    </row>
    <row r="315" spans="1:5">
      <c r="A315" s="73" t="s">
        <v>36</v>
      </c>
      <c r="B315" s="74" t="s">
        <v>489</v>
      </c>
      <c r="C315" s="75" t="s">
        <v>943</v>
      </c>
      <c r="D315" s="94" t="s">
        <v>1628</v>
      </c>
      <c r="E315" s="94" t="s">
        <v>1776</v>
      </c>
    </row>
    <row r="316" spans="1:5">
      <c r="A316" s="73" t="s">
        <v>37</v>
      </c>
      <c r="B316" s="74" t="s">
        <v>493</v>
      </c>
      <c r="C316" s="75" t="s">
        <v>944</v>
      </c>
      <c r="D316" s="94" t="s">
        <v>1628</v>
      </c>
      <c r="E316" s="94" t="s">
        <v>1776</v>
      </c>
    </row>
    <row r="317" spans="1:5">
      <c r="A317" s="76" t="s">
        <v>38</v>
      </c>
      <c r="B317" s="45" t="s">
        <v>494</v>
      </c>
      <c r="C317" s="75" t="s">
        <v>872</v>
      </c>
      <c r="D317" s="94" t="s">
        <v>1628</v>
      </c>
      <c r="E317" s="94" t="s">
        <v>1776</v>
      </c>
    </row>
    <row r="318" spans="1:5">
      <c r="A318" s="76" t="s">
        <v>39</v>
      </c>
      <c r="B318" s="45" t="s">
        <v>495</v>
      </c>
      <c r="C318" s="75" t="s">
        <v>873</v>
      </c>
      <c r="D318" s="94" t="s">
        <v>1628</v>
      </c>
      <c r="E318" s="94" t="s">
        <v>1776</v>
      </c>
    </row>
    <row r="319" spans="1:5">
      <c r="A319" s="76" t="s">
        <v>40</v>
      </c>
      <c r="B319" s="45" t="s">
        <v>496</v>
      </c>
      <c r="C319" s="75" t="s">
        <v>874</v>
      </c>
      <c r="D319" s="94" t="s">
        <v>1628</v>
      </c>
      <c r="E319" s="94" t="s">
        <v>1776</v>
      </c>
    </row>
    <row r="320" spans="1:5">
      <c r="A320" s="76" t="s">
        <v>41</v>
      </c>
      <c r="B320" s="45" t="s">
        <v>497</v>
      </c>
      <c r="C320" s="75" t="s">
        <v>875</v>
      </c>
      <c r="D320" s="94" t="s">
        <v>1628</v>
      </c>
      <c r="E320" s="94" t="s">
        <v>1776</v>
      </c>
    </row>
    <row r="321" spans="1:5">
      <c r="A321" s="73" t="s">
        <v>42</v>
      </c>
      <c r="B321" s="74" t="s">
        <v>498</v>
      </c>
      <c r="C321" s="75" t="s">
        <v>945</v>
      </c>
      <c r="D321" s="94" t="s">
        <v>1628</v>
      </c>
      <c r="E321" s="94" t="s">
        <v>1776</v>
      </c>
    </row>
    <row r="322" spans="1:5">
      <c r="A322" s="76" t="s">
        <v>43</v>
      </c>
      <c r="B322" s="45" t="s">
        <v>493</v>
      </c>
      <c r="C322" s="75" t="s">
        <v>876</v>
      </c>
      <c r="D322" s="94" t="s">
        <v>1628</v>
      </c>
      <c r="E322" s="94" t="s">
        <v>1776</v>
      </c>
    </row>
    <row r="323" spans="1:5">
      <c r="A323" s="76" t="s">
        <v>44</v>
      </c>
      <c r="B323" s="45" t="s">
        <v>499</v>
      </c>
      <c r="C323" s="75" t="s">
        <v>877</v>
      </c>
      <c r="D323" s="94" t="s">
        <v>1628</v>
      </c>
      <c r="E323" s="94" t="s">
        <v>1776</v>
      </c>
    </row>
    <row r="324" spans="1:5">
      <c r="A324" s="76" t="s">
        <v>45</v>
      </c>
      <c r="B324" s="45" t="s">
        <v>500</v>
      </c>
      <c r="C324" s="75" t="s">
        <v>878</v>
      </c>
      <c r="D324" s="94" t="s">
        <v>1628</v>
      </c>
      <c r="E324" s="94" t="s">
        <v>1776</v>
      </c>
    </row>
    <row r="325" spans="1:5">
      <c r="A325" s="95" t="s">
        <v>1680</v>
      </c>
      <c r="B325" s="74" t="s">
        <v>501</v>
      </c>
      <c r="C325" s="95" t="s">
        <v>1681</v>
      </c>
      <c r="D325" s="94" t="s">
        <v>1628</v>
      </c>
      <c r="E325" s="94" t="s">
        <v>1776</v>
      </c>
    </row>
    <row r="326" spans="1:5">
      <c r="A326" s="73" t="s">
        <v>46</v>
      </c>
      <c r="B326" s="74" t="s">
        <v>501</v>
      </c>
      <c r="C326" s="75" t="s">
        <v>946</v>
      </c>
      <c r="D326" s="94" t="s">
        <v>1628</v>
      </c>
      <c r="E326" s="94" t="s">
        <v>1776</v>
      </c>
    </row>
    <row r="327" spans="1:5">
      <c r="A327" s="73" t="s">
        <v>47</v>
      </c>
      <c r="B327" s="74" t="s">
        <v>502</v>
      </c>
      <c r="C327" s="75" t="s">
        <v>947</v>
      </c>
      <c r="D327" s="94" t="s">
        <v>1628</v>
      </c>
      <c r="E327" s="94" t="s">
        <v>1776</v>
      </c>
    </row>
    <row r="328" spans="1:5">
      <c r="A328" s="73" t="s">
        <v>49</v>
      </c>
      <c r="B328" s="74" t="s">
        <v>504</v>
      </c>
      <c r="C328" s="75" t="s">
        <v>948</v>
      </c>
      <c r="D328" s="94" t="s">
        <v>1628</v>
      </c>
      <c r="E328" s="94" t="s">
        <v>1776</v>
      </c>
    </row>
    <row r="329" spans="1:5">
      <c r="A329" s="94" t="s">
        <v>1399</v>
      </c>
      <c r="B329" s="74" t="s">
        <v>881</v>
      </c>
      <c r="C329" s="75" t="s">
        <v>1400</v>
      </c>
      <c r="D329" s="94" t="s">
        <v>1628</v>
      </c>
      <c r="E329" s="94" t="s">
        <v>1776</v>
      </c>
    </row>
    <row r="330" spans="1:5">
      <c r="A330" s="76" t="s">
        <v>48</v>
      </c>
      <c r="B330" s="45" t="s">
        <v>503</v>
      </c>
      <c r="C330" s="75" t="s">
        <v>879</v>
      </c>
      <c r="D330" s="94" t="s">
        <v>1628</v>
      </c>
      <c r="E330" s="94" t="s">
        <v>1776</v>
      </c>
    </row>
    <row r="331" spans="1:5">
      <c r="A331" s="76" t="s">
        <v>50</v>
      </c>
      <c r="B331" s="45" t="s">
        <v>504</v>
      </c>
      <c r="C331" s="75" t="s">
        <v>880</v>
      </c>
      <c r="D331" s="94" t="s">
        <v>1628</v>
      </c>
      <c r="E331" s="94" t="s">
        <v>1776</v>
      </c>
    </row>
    <row r="332" spans="1:5">
      <c r="A332" s="76" t="s">
        <v>51</v>
      </c>
      <c r="B332" s="45" t="s">
        <v>881</v>
      </c>
      <c r="C332" s="75" t="s">
        <v>882</v>
      </c>
      <c r="D332" s="94" t="s">
        <v>1628</v>
      </c>
      <c r="E332" s="94" t="s">
        <v>1776</v>
      </c>
    </row>
    <row r="333" spans="1:5">
      <c r="A333" s="73" t="s">
        <v>69</v>
      </c>
      <c r="B333" s="74" t="s">
        <v>519</v>
      </c>
      <c r="C333" s="75" t="s">
        <v>1554</v>
      </c>
      <c r="D333" s="94" t="s">
        <v>1618</v>
      </c>
      <c r="E333" s="94" t="s">
        <v>1776</v>
      </c>
    </row>
    <row r="334" spans="1:5">
      <c r="A334" s="164" t="s">
        <v>1692</v>
      </c>
      <c r="B334" s="74" t="s">
        <v>519</v>
      </c>
      <c r="C334" s="95" t="s">
        <v>1693</v>
      </c>
      <c r="D334" s="94" t="s">
        <v>1618</v>
      </c>
      <c r="E334" s="94" t="s">
        <v>1776</v>
      </c>
    </row>
    <row r="335" spans="1:5">
      <c r="A335" s="73" t="s">
        <v>70</v>
      </c>
      <c r="B335" s="74" t="s">
        <v>520</v>
      </c>
      <c r="C335" s="75" t="s">
        <v>965</v>
      </c>
      <c r="D335" s="94" t="s">
        <v>1618</v>
      </c>
      <c r="E335" s="94" t="s">
        <v>1776</v>
      </c>
    </row>
    <row r="336" spans="1:5">
      <c r="A336" s="73" t="s">
        <v>71</v>
      </c>
      <c r="B336" s="74" t="s">
        <v>521</v>
      </c>
      <c r="C336" s="75" t="s">
        <v>966</v>
      </c>
      <c r="D336" s="94" t="s">
        <v>1618</v>
      </c>
      <c r="E336" s="94" t="s">
        <v>1776</v>
      </c>
    </row>
    <row r="337" spans="1:5">
      <c r="A337" s="73" t="s">
        <v>67</v>
      </c>
      <c r="B337" s="74" t="s">
        <v>517</v>
      </c>
      <c r="C337" s="75" t="s">
        <v>963</v>
      </c>
      <c r="D337" s="94" t="s">
        <v>1618</v>
      </c>
      <c r="E337" s="94" t="s">
        <v>1776</v>
      </c>
    </row>
    <row r="338" spans="1:5">
      <c r="A338" s="73" t="s">
        <v>68</v>
      </c>
      <c r="B338" s="74" t="s">
        <v>518</v>
      </c>
      <c r="C338" s="75" t="s">
        <v>964</v>
      </c>
      <c r="D338" s="94" t="s">
        <v>1618</v>
      </c>
      <c r="E338" s="94" t="s">
        <v>1776</v>
      </c>
    </row>
    <row r="339" spans="1:5">
      <c r="A339" s="73" t="s">
        <v>279</v>
      </c>
      <c r="B339" s="74" t="s">
        <v>689</v>
      </c>
      <c r="C339" s="75" t="s">
        <v>1141</v>
      </c>
      <c r="D339" s="94" t="s">
        <v>1629</v>
      </c>
      <c r="E339" s="94" t="s">
        <v>1776</v>
      </c>
    </row>
    <row r="340" spans="1:5">
      <c r="A340" s="95" t="s">
        <v>1677</v>
      </c>
      <c r="B340" s="74" t="s">
        <v>1678</v>
      </c>
      <c r="C340" s="95" t="s">
        <v>1679</v>
      </c>
      <c r="D340" s="94" t="s">
        <v>1629</v>
      </c>
      <c r="E340" s="94" t="s">
        <v>1776</v>
      </c>
    </row>
    <row r="341" spans="1:5">
      <c r="A341" s="73" t="s">
        <v>278</v>
      </c>
      <c r="B341" s="74" t="s">
        <v>688</v>
      </c>
      <c r="C341" s="75" t="s">
        <v>1140</v>
      </c>
      <c r="D341" s="94" t="s">
        <v>1629</v>
      </c>
      <c r="E341" s="94" t="s">
        <v>1776</v>
      </c>
    </row>
    <row r="342" spans="1:5">
      <c r="A342" s="164" t="s">
        <v>1728</v>
      </c>
      <c r="B342" s="74" t="s">
        <v>1729</v>
      </c>
      <c r="C342" s="95" t="s">
        <v>1730</v>
      </c>
      <c r="D342" s="94" t="s">
        <v>1629</v>
      </c>
      <c r="E342" s="94" t="s">
        <v>1776</v>
      </c>
    </row>
    <row r="343" spans="1:5">
      <c r="A343" s="94" t="s">
        <v>1641</v>
      </c>
      <c r="B343" s="74" t="s">
        <v>1659</v>
      </c>
      <c r="C343" s="95" t="s">
        <v>1660</v>
      </c>
      <c r="D343" s="94" t="s">
        <v>1629</v>
      </c>
      <c r="E343" s="94" t="s">
        <v>1776</v>
      </c>
    </row>
    <row r="344" spans="1:5">
      <c r="A344" s="94" t="s">
        <v>1518</v>
      </c>
      <c r="B344" s="74" t="s">
        <v>1519</v>
      </c>
      <c r="C344" s="77" t="s">
        <v>1520</v>
      </c>
      <c r="D344" s="94" t="s">
        <v>1629</v>
      </c>
      <c r="E344" s="94" t="s">
        <v>1776</v>
      </c>
    </row>
    <row r="345" spans="1:5">
      <c r="A345" s="73" t="s">
        <v>281</v>
      </c>
      <c r="B345" s="74" t="s">
        <v>691</v>
      </c>
      <c r="C345" s="75" t="s">
        <v>1143</v>
      </c>
      <c r="D345" s="94" t="s">
        <v>1629</v>
      </c>
      <c r="E345" s="94" t="s">
        <v>1776</v>
      </c>
    </row>
    <row r="346" spans="1:5">
      <c r="A346" s="164" t="s">
        <v>1722</v>
      </c>
      <c r="B346" s="74" t="s">
        <v>1723</v>
      </c>
      <c r="C346" s="95" t="s">
        <v>1724</v>
      </c>
      <c r="D346" s="94" t="s">
        <v>1629</v>
      </c>
      <c r="E346" s="94" t="s">
        <v>1776</v>
      </c>
    </row>
    <row r="347" spans="1:5">
      <c r="A347" s="73" t="s">
        <v>280</v>
      </c>
      <c r="B347" s="74" t="s">
        <v>690</v>
      </c>
      <c r="C347" s="75" t="s">
        <v>1142</v>
      </c>
      <c r="D347" s="94" t="s">
        <v>1629</v>
      </c>
      <c r="E347" s="94" t="s">
        <v>1776</v>
      </c>
    </row>
    <row r="348" spans="1:5">
      <c r="A348" s="73" t="s">
        <v>229</v>
      </c>
      <c r="B348" s="74" t="s">
        <v>641</v>
      </c>
      <c r="C348" s="75" t="s">
        <v>1098</v>
      </c>
      <c r="D348" s="94" t="s">
        <v>1629</v>
      </c>
      <c r="E348" s="94" t="s">
        <v>1776</v>
      </c>
    </row>
    <row r="349" spans="1:5">
      <c r="A349" s="73" t="s">
        <v>230</v>
      </c>
      <c r="B349" s="74" t="s">
        <v>642</v>
      </c>
      <c r="C349" s="75" t="s">
        <v>1099</v>
      </c>
      <c r="D349" s="94" t="s">
        <v>1629</v>
      </c>
      <c r="E349" s="94" t="s">
        <v>1776</v>
      </c>
    </row>
    <row r="350" spans="1:5">
      <c r="A350" s="73" t="s">
        <v>231</v>
      </c>
      <c r="B350" s="74" t="s">
        <v>642</v>
      </c>
      <c r="C350" s="75" t="s">
        <v>1100</v>
      </c>
      <c r="D350" s="94" t="s">
        <v>1629</v>
      </c>
      <c r="E350" s="94" t="s">
        <v>1776</v>
      </c>
    </row>
    <row r="351" spans="1:5">
      <c r="A351" s="73" t="s">
        <v>238</v>
      </c>
      <c r="B351" s="74" t="s">
        <v>649</v>
      </c>
      <c r="C351" s="75" t="s">
        <v>1105</v>
      </c>
      <c r="D351" s="94" t="s">
        <v>1629</v>
      </c>
      <c r="E351" s="94" t="s">
        <v>1776</v>
      </c>
    </row>
    <row r="352" spans="1:5">
      <c r="A352" s="73" t="s">
        <v>239</v>
      </c>
      <c r="B352" s="74" t="s">
        <v>650</v>
      </c>
      <c r="C352" s="75" t="s">
        <v>1106</v>
      </c>
      <c r="D352" s="94" t="s">
        <v>1629</v>
      </c>
      <c r="E352" s="94" t="s">
        <v>1776</v>
      </c>
    </row>
    <row r="353" spans="1:5">
      <c r="A353" s="73" t="s">
        <v>240</v>
      </c>
      <c r="B353" s="74" t="s">
        <v>651</v>
      </c>
      <c r="C353" s="75" t="s">
        <v>1107</v>
      </c>
      <c r="D353" s="94" t="s">
        <v>1629</v>
      </c>
      <c r="E353" s="94" t="s">
        <v>1776</v>
      </c>
    </row>
    <row r="354" spans="1:5">
      <c r="A354" s="73" t="s">
        <v>226</v>
      </c>
      <c r="B354" s="45" t="s">
        <v>638</v>
      </c>
      <c r="C354" s="75" t="s">
        <v>1095</v>
      </c>
      <c r="D354" s="94" t="s">
        <v>1629</v>
      </c>
      <c r="E354" s="94" t="s">
        <v>1776</v>
      </c>
    </row>
    <row r="355" spans="1:5">
      <c r="A355" s="73" t="s">
        <v>227</v>
      </c>
      <c r="B355" s="45" t="s">
        <v>639</v>
      </c>
      <c r="C355" s="75" t="s">
        <v>1096</v>
      </c>
      <c r="D355" s="94" t="s">
        <v>1629</v>
      </c>
      <c r="E355" s="94" t="s">
        <v>1776</v>
      </c>
    </row>
    <row r="356" spans="1:5">
      <c r="A356" s="73" t="s">
        <v>228</v>
      </c>
      <c r="B356" s="45" t="s">
        <v>640</v>
      </c>
      <c r="C356" s="75" t="s">
        <v>1097</v>
      </c>
      <c r="D356" s="94" t="s">
        <v>1629</v>
      </c>
      <c r="E356" s="94" t="s">
        <v>1776</v>
      </c>
    </row>
    <row r="357" spans="1:5">
      <c r="A357" s="76" t="s">
        <v>232</v>
      </c>
      <c r="B357" s="45" t="s">
        <v>643</v>
      </c>
      <c r="C357" s="75" t="s">
        <v>1088</v>
      </c>
      <c r="D357" s="94" t="s">
        <v>1629</v>
      </c>
      <c r="E357" s="94" t="s">
        <v>1776</v>
      </c>
    </row>
    <row r="358" spans="1:5">
      <c r="A358" s="73" t="s">
        <v>246</v>
      </c>
      <c r="B358" s="74" t="s">
        <v>657</v>
      </c>
      <c r="C358" s="75" t="s">
        <v>1109</v>
      </c>
      <c r="D358" s="94" t="s">
        <v>1629</v>
      </c>
      <c r="E358" s="94" t="s">
        <v>1776</v>
      </c>
    </row>
    <row r="359" spans="1:5">
      <c r="A359" s="73" t="s">
        <v>234</v>
      </c>
      <c r="B359" s="74" t="s">
        <v>645</v>
      </c>
      <c r="C359" s="75" t="s">
        <v>1102</v>
      </c>
      <c r="D359" s="94" t="s">
        <v>1629</v>
      </c>
      <c r="E359" s="94" t="s">
        <v>1776</v>
      </c>
    </row>
    <row r="360" spans="1:5">
      <c r="A360" s="73" t="s">
        <v>235</v>
      </c>
      <c r="B360" s="74" t="s">
        <v>646</v>
      </c>
      <c r="C360" s="75" t="s">
        <v>1103</v>
      </c>
      <c r="D360" s="94" t="s">
        <v>1629</v>
      </c>
      <c r="E360" s="94" t="s">
        <v>1776</v>
      </c>
    </row>
    <row r="361" spans="1:5">
      <c r="A361" s="164" t="s">
        <v>1707</v>
      </c>
      <c r="B361" s="74" t="s">
        <v>1708</v>
      </c>
      <c r="C361" s="95" t="s">
        <v>1709</v>
      </c>
      <c r="D361" s="94" t="s">
        <v>1629</v>
      </c>
      <c r="E361" s="94" t="s">
        <v>1776</v>
      </c>
    </row>
    <row r="362" spans="1:5">
      <c r="A362" s="76" t="s">
        <v>236</v>
      </c>
      <c r="B362" s="45" t="s">
        <v>647</v>
      </c>
      <c r="C362" s="75" t="s">
        <v>1089</v>
      </c>
      <c r="D362" s="94" t="s">
        <v>1629</v>
      </c>
      <c r="E362" s="94" t="s">
        <v>1776</v>
      </c>
    </row>
    <row r="363" spans="1:5">
      <c r="A363" s="164" t="s">
        <v>1710</v>
      </c>
      <c r="B363" s="74" t="s">
        <v>1711</v>
      </c>
      <c r="C363" s="95" t="s">
        <v>1712</v>
      </c>
      <c r="D363" s="94" t="s">
        <v>1629</v>
      </c>
      <c r="E363" s="94" t="s">
        <v>1776</v>
      </c>
    </row>
    <row r="364" spans="1:5">
      <c r="A364" s="164" t="s">
        <v>1702</v>
      </c>
      <c r="B364" s="74" t="s">
        <v>1703</v>
      </c>
      <c r="C364" s="95" t="s">
        <v>1704</v>
      </c>
      <c r="D364" s="94" t="s">
        <v>1629</v>
      </c>
      <c r="E364" s="94" t="s">
        <v>1776</v>
      </c>
    </row>
    <row r="365" spans="1:5">
      <c r="A365" s="94" t="s">
        <v>1401</v>
      </c>
      <c r="B365" s="45" t="s">
        <v>1402</v>
      </c>
      <c r="C365" s="75" t="s">
        <v>1403</v>
      </c>
      <c r="D365" s="94" t="s">
        <v>1629</v>
      </c>
      <c r="E365" s="94" t="s">
        <v>1776</v>
      </c>
    </row>
    <row r="366" spans="1:5">
      <c r="A366" s="73" t="s">
        <v>237</v>
      </c>
      <c r="B366" s="74" t="s">
        <v>648</v>
      </c>
      <c r="C366" s="75" t="s">
        <v>1104</v>
      </c>
      <c r="D366" s="94" t="s">
        <v>1629</v>
      </c>
      <c r="E366" s="94" t="s">
        <v>1776</v>
      </c>
    </row>
    <row r="367" spans="1:5">
      <c r="A367" s="73" t="s">
        <v>233</v>
      </c>
      <c r="B367" s="74" t="s">
        <v>644</v>
      </c>
      <c r="C367" s="75" t="s">
        <v>1101</v>
      </c>
      <c r="D367" s="94" t="s">
        <v>1629</v>
      </c>
      <c r="E367" s="94" t="s">
        <v>1776</v>
      </c>
    </row>
    <row r="368" spans="1:5">
      <c r="A368" s="43" t="s">
        <v>1789</v>
      </c>
      <c r="B368" s="165" t="s">
        <v>1790</v>
      </c>
      <c r="C368" s="95" t="s">
        <v>1791</v>
      </c>
      <c r="D368" s="94" t="s">
        <v>1629</v>
      </c>
      <c r="E368" s="94" t="s">
        <v>1776</v>
      </c>
    </row>
    <row r="369" spans="1:5">
      <c r="A369" s="76" t="s">
        <v>241</v>
      </c>
      <c r="B369" s="45" t="s">
        <v>652</v>
      </c>
      <c r="C369" s="75" t="s">
        <v>1090</v>
      </c>
      <c r="D369" s="94" t="s">
        <v>1629</v>
      </c>
      <c r="E369" s="94" t="s">
        <v>1776</v>
      </c>
    </row>
    <row r="370" spans="1:5">
      <c r="A370" s="76" t="s">
        <v>242</v>
      </c>
      <c r="B370" s="45" t="s">
        <v>653</v>
      </c>
      <c r="C370" s="75" t="s">
        <v>1091</v>
      </c>
      <c r="D370" s="94" t="s">
        <v>1629</v>
      </c>
      <c r="E370" s="94" t="s">
        <v>1776</v>
      </c>
    </row>
    <row r="371" spans="1:5">
      <c r="A371" s="76" t="s">
        <v>243</v>
      </c>
      <c r="B371" s="45" t="s">
        <v>654</v>
      </c>
      <c r="C371" s="75" t="s">
        <v>1092</v>
      </c>
      <c r="D371" s="94" t="s">
        <v>1629</v>
      </c>
      <c r="E371" s="94" t="s">
        <v>1776</v>
      </c>
    </row>
    <row r="372" spans="1:5">
      <c r="A372" s="94" t="s">
        <v>1640</v>
      </c>
      <c r="B372" s="45" t="s">
        <v>1662</v>
      </c>
      <c r="C372" s="95" t="s">
        <v>1661</v>
      </c>
      <c r="D372" s="94" t="s">
        <v>1629</v>
      </c>
      <c r="E372" s="94" t="s">
        <v>1776</v>
      </c>
    </row>
    <row r="373" spans="1:5">
      <c r="A373" s="73" t="s">
        <v>244</v>
      </c>
      <c r="B373" s="74" t="s">
        <v>655</v>
      </c>
      <c r="C373" s="75" t="s">
        <v>1108</v>
      </c>
      <c r="D373" s="94" t="s">
        <v>1629</v>
      </c>
      <c r="E373" s="94" t="s">
        <v>1776</v>
      </c>
    </row>
    <row r="374" spans="1:5">
      <c r="A374" s="76" t="s">
        <v>245</v>
      </c>
      <c r="B374" s="45" t="s">
        <v>656</v>
      </c>
      <c r="C374" s="75" t="s">
        <v>1093</v>
      </c>
      <c r="D374" s="94" t="s">
        <v>1629</v>
      </c>
      <c r="E374" s="94" t="s">
        <v>1776</v>
      </c>
    </row>
    <row r="375" spans="1:5">
      <c r="A375" s="94" t="s">
        <v>1404</v>
      </c>
      <c r="B375" s="45" t="s">
        <v>1405</v>
      </c>
      <c r="C375" s="75" t="s">
        <v>1406</v>
      </c>
      <c r="D375" s="94" t="s">
        <v>1629</v>
      </c>
      <c r="E375" s="94" t="s">
        <v>1776</v>
      </c>
    </row>
    <row r="376" spans="1:5">
      <c r="A376" s="164" t="s">
        <v>1689</v>
      </c>
      <c r="B376" s="74" t="s">
        <v>1690</v>
      </c>
      <c r="C376" s="95" t="s">
        <v>1691</v>
      </c>
      <c r="D376" s="94" t="s">
        <v>1629</v>
      </c>
      <c r="E376" s="94" t="s">
        <v>1776</v>
      </c>
    </row>
    <row r="377" spans="1:5">
      <c r="A377" s="73" t="s">
        <v>247</v>
      </c>
      <c r="B377" s="74" t="s">
        <v>658</v>
      </c>
      <c r="C377" s="75" t="s">
        <v>1110</v>
      </c>
      <c r="D377" s="94" t="s">
        <v>1629</v>
      </c>
      <c r="E377" s="94" t="s">
        <v>1776</v>
      </c>
    </row>
    <row r="378" spans="1:5">
      <c r="A378" s="73" t="s">
        <v>248</v>
      </c>
      <c r="B378" s="74" t="s">
        <v>659</v>
      </c>
      <c r="C378" s="75" t="s">
        <v>1111</v>
      </c>
      <c r="D378" s="94" t="s">
        <v>1629</v>
      </c>
      <c r="E378" s="94" t="s">
        <v>1776</v>
      </c>
    </row>
    <row r="379" spans="1:5">
      <c r="A379" s="73" t="s">
        <v>252</v>
      </c>
      <c r="B379" s="74" t="s">
        <v>663</v>
      </c>
      <c r="C379" s="75" t="s">
        <v>1115</v>
      </c>
      <c r="D379" s="94" t="s">
        <v>1629</v>
      </c>
      <c r="E379" s="94" t="s">
        <v>1776</v>
      </c>
    </row>
    <row r="380" spans="1:5">
      <c r="A380" s="73" t="s">
        <v>253</v>
      </c>
      <c r="B380" s="74" t="s">
        <v>664</v>
      </c>
      <c r="C380" s="75" t="s">
        <v>1116</v>
      </c>
      <c r="D380" s="94" t="s">
        <v>1629</v>
      </c>
      <c r="E380" s="94" t="s">
        <v>1776</v>
      </c>
    </row>
    <row r="381" spans="1:5">
      <c r="A381" s="73" t="s">
        <v>249</v>
      </c>
      <c r="B381" s="74" t="s">
        <v>660</v>
      </c>
      <c r="C381" s="75" t="s">
        <v>1112</v>
      </c>
      <c r="D381" s="94" t="s">
        <v>1629</v>
      </c>
      <c r="E381" s="94" t="s">
        <v>1776</v>
      </c>
    </row>
    <row r="382" spans="1:5">
      <c r="A382" s="73" t="s">
        <v>250</v>
      </c>
      <c r="B382" s="74" t="s">
        <v>661</v>
      </c>
      <c r="C382" s="75" t="s">
        <v>1113</v>
      </c>
      <c r="D382" s="94" t="s">
        <v>1629</v>
      </c>
      <c r="E382" s="94" t="s">
        <v>1776</v>
      </c>
    </row>
    <row r="383" spans="1:5">
      <c r="A383" s="94" t="s">
        <v>1407</v>
      </c>
      <c r="B383" s="74" t="s">
        <v>1408</v>
      </c>
      <c r="C383" s="75" t="s">
        <v>1409</v>
      </c>
      <c r="D383" s="94" t="s">
        <v>1629</v>
      </c>
      <c r="E383" s="94" t="s">
        <v>1776</v>
      </c>
    </row>
    <row r="384" spans="1:5">
      <c r="A384" s="73" t="s">
        <v>251</v>
      </c>
      <c r="B384" s="74" t="s">
        <v>662</v>
      </c>
      <c r="C384" s="75" t="s">
        <v>1114</v>
      </c>
      <c r="D384" s="94" t="s">
        <v>1629</v>
      </c>
      <c r="E384" s="94" t="s">
        <v>1776</v>
      </c>
    </row>
    <row r="385" spans="1:5">
      <c r="A385" s="73" t="s">
        <v>1505</v>
      </c>
      <c r="B385" s="74" t="s">
        <v>1521</v>
      </c>
      <c r="C385" s="75" t="s">
        <v>1522</v>
      </c>
      <c r="D385" s="94" t="s">
        <v>1629</v>
      </c>
      <c r="E385" s="94" t="s">
        <v>1776</v>
      </c>
    </row>
    <row r="386" spans="1:5">
      <c r="A386" s="76" t="s">
        <v>254</v>
      </c>
      <c r="B386" s="45" t="s">
        <v>665</v>
      </c>
      <c r="C386" s="75" t="s">
        <v>1094</v>
      </c>
      <c r="D386" s="94" t="s">
        <v>1629</v>
      </c>
      <c r="E386" s="94" t="s">
        <v>1776</v>
      </c>
    </row>
    <row r="387" spans="1:5">
      <c r="A387" s="73" t="s">
        <v>255</v>
      </c>
      <c r="B387" s="74" t="s">
        <v>666</v>
      </c>
      <c r="C387" s="75" t="s">
        <v>1117</v>
      </c>
      <c r="D387" s="94" t="s">
        <v>1629</v>
      </c>
      <c r="E387" s="94" t="s">
        <v>1776</v>
      </c>
    </row>
    <row r="388" spans="1:5">
      <c r="A388" s="73" t="s">
        <v>256</v>
      </c>
      <c r="B388" s="74" t="s">
        <v>667</v>
      </c>
      <c r="C388" s="75" t="s">
        <v>1118</v>
      </c>
      <c r="D388" s="94" t="s">
        <v>1578</v>
      </c>
      <c r="E388" s="94" t="s">
        <v>1776</v>
      </c>
    </row>
    <row r="389" spans="1:5">
      <c r="A389" s="73" t="s">
        <v>257</v>
      </c>
      <c r="B389" s="74" t="s">
        <v>668</v>
      </c>
      <c r="C389" s="75" t="s">
        <v>1119</v>
      </c>
      <c r="D389" s="94" t="s">
        <v>1629</v>
      </c>
      <c r="E389" s="94" t="s">
        <v>1776</v>
      </c>
    </row>
    <row r="390" spans="1:5">
      <c r="A390" s="73" t="s">
        <v>258</v>
      </c>
      <c r="B390" s="74" t="s">
        <v>669</v>
      </c>
      <c r="C390" s="75" t="s">
        <v>1120</v>
      </c>
      <c r="D390" s="94" t="s">
        <v>1629</v>
      </c>
      <c r="E390" s="94" t="s">
        <v>1776</v>
      </c>
    </row>
    <row r="391" spans="1:5">
      <c r="A391" s="73" t="s">
        <v>259</v>
      </c>
      <c r="B391" s="74" t="s">
        <v>670</v>
      </c>
      <c r="C391" s="75" t="s">
        <v>1121</v>
      </c>
      <c r="D391" s="94" t="s">
        <v>1629</v>
      </c>
      <c r="E391" s="94" t="s">
        <v>1776</v>
      </c>
    </row>
    <row r="392" spans="1:5">
      <c r="A392" s="94" t="s">
        <v>1523</v>
      </c>
      <c r="B392" s="74" t="s">
        <v>670</v>
      </c>
      <c r="C392" s="95" t="s">
        <v>1524</v>
      </c>
      <c r="D392" s="94" t="s">
        <v>1629</v>
      </c>
      <c r="E392" s="94" t="s">
        <v>1776</v>
      </c>
    </row>
    <row r="393" spans="1:5">
      <c r="A393" s="73" t="s">
        <v>260</v>
      </c>
      <c r="B393" s="74" t="s">
        <v>671</v>
      </c>
      <c r="C393" s="75" t="s">
        <v>1122</v>
      </c>
      <c r="D393" s="94" t="s">
        <v>1629</v>
      </c>
      <c r="E393" s="94" t="s">
        <v>1776</v>
      </c>
    </row>
    <row r="394" spans="1:5">
      <c r="A394" s="73" t="s">
        <v>261</v>
      </c>
      <c r="B394" s="74" t="s">
        <v>672</v>
      </c>
      <c r="C394" s="75" t="s">
        <v>1123</v>
      </c>
      <c r="D394" s="94" t="s">
        <v>1629</v>
      </c>
      <c r="E394" s="94" t="s">
        <v>1776</v>
      </c>
    </row>
    <row r="395" spans="1:5">
      <c r="A395" s="94" t="s">
        <v>1410</v>
      </c>
      <c r="B395" s="74" t="s">
        <v>1411</v>
      </c>
      <c r="C395" s="75" t="s">
        <v>1412</v>
      </c>
      <c r="D395" s="94" t="s">
        <v>1629</v>
      </c>
      <c r="E395" s="94" t="s">
        <v>1776</v>
      </c>
    </row>
    <row r="396" spans="1:5">
      <c r="A396" s="73" t="s">
        <v>262</v>
      </c>
      <c r="B396" s="74" t="s">
        <v>673</v>
      </c>
      <c r="C396" s="75" t="s">
        <v>1124</v>
      </c>
      <c r="D396" s="94" t="s">
        <v>1629</v>
      </c>
      <c r="E396" s="94" t="s">
        <v>1776</v>
      </c>
    </row>
    <row r="397" spans="1:5">
      <c r="A397" s="73" t="s">
        <v>263</v>
      </c>
      <c r="B397" s="74" t="s">
        <v>674</v>
      </c>
      <c r="C397" s="75" t="s">
        <v>1125</v>
      </c>
      <c r="D397" s="94" t="s">
        <v>1629</v>
      </c>
      <c r="E397" s="94" t="s">
        <v>1776</v>
      </c>
    </row>
    <row r="398" spans="1:5">
      <c r="A398" s="73" t="s">
        <v>264</v>
      </c>
      <c r="B398" s="74" t="s">
        <v>675</v>
      </c>
      <c r="C398" s="75" t="s">
        <v>1126</v>
      </c>
      <c r="D398" s="94" t="s">
        <v>1629</v>
      </c>
      <c r="E398" s="94" t="s">
        <v>1776</v>
      </c>
    </row>
    <row r="399" spans="1:5">
      <c r="A399" s="73" t="s">
        <v>265</v>
      </c>
      <c r="B399" s="74" t="s">
        <v>675</v>
      </c>
      <c r="C399" s="75" t="s">
        <v>1127</v>
      </c>
      <c r="D399" s="94" t="s">
        <v>1629</v>
      </c>
      <c r="E399" s="94" t="s">
        <v>1776</v>
      </c>
    </row>
    <row r="400" spans="1:5">
      <c r="A400" s="73" t="s">
        <v>266</v>
      </c>
      <c r="B400" s="74" t="s">
        <v>676</v>
      </c>
      <c r="C400" s="75" t="s">
        <v>1128</v>
      </c>
      <c r="D400" s="94" t="s">
        <v>1629</v>
      </c>
      <c r="E400" s="94" t="s">
        <v>1776</v>
      </c>
    </row>
    <row r="401" spans="1:5">
      <c r="A401" s="73" t="s">
        <v>267</v>
      </c>
      <c r="B401" s="74" t="s">
        <v>677</v>
      </c>
      <c r="C401" s="75" t="s">
        <v>1129</v>
      </c>
      <c r="D401" s="94" t="s">
        <v>1629</v>
      </c>
      <c r="E401" s="94" t="s">
        <v>1776</v>
      </c>
    </row>
    <row r="402" spans="1:5">
      <c r="A402" s="73" t="s">
        <v>268</v>
      </c>
      <c r="B402" s="74" t="s">
        <v>678</v>
      </c>
      <c r="C402" s="75" t="s">
        <v>1130</v>
      </c>
      <c r="D402" s="94" t="s">
        <v>1629</v>
      </c>
      <c r="E402" s="94" t="s">
        <v>1776</v>
      </c>
    </row>
    <row r="403" spans="1:5">
      <c r="A403" s="73" t="s">
        <v>269</v>
      </c>
      <c r="B403" s="74" t="s">
        <v>679</v>
      </c>
      <c r="C403" s="75" t="s">
        <v>1131</v>
      </c>
      <c r="D403" s="94" t="s">
        <v>1629</v>
      </c>
      <c r="E403" s="94" t="s">
        <v>1776</v>
      </c>
    </row>
    <row r="404" spans="1:5">
      <c r="A404" s="73" t="s">
        <v>270</v>
      </c>
      <c r="B404" s="74" t="s">
        <v>680</v>
      </c>
      <c r="C404" s="75" t="s">
        <v>1132</v>
      </c>
      <c r="D404" s="94" t="s">
        <v>1629</v>
      </c>
      <c r="E404" s="94" t="s">
        <v>1776</v>
      </c>
    </row>
    <row r="405" spans="1:5">
      <c r="A405" s="73" t="s">
        <v>271</v>
      </c>
      <c r="B405" s="74" t="s">
        <v>681</v>
      </c>
      <c r="C405" s="75" t="s">
        <v>1133</v>
      </c>
      <c r="D405" s="94" t="s">
        <v>1629</v>
      </c>
      <c r="E405" s="94" t="s">
        <v>1776</v>
      </c>
    </row>
    <row r="406" spans="1:5">
      <c r="A406" s="73" t="s">
        <v>273</v>
      </c>
      <c r="B406" s="74" t="s">
        <v>683</v>
      </c>
      <c r="C406" s="75" t="s">
        <v>1135</v>
      </c>
      <c r="D406" s="94" t="s">
        <v>1578</v>
      </c>
      <c r="E406" s="94" t="s">
        <v>1776</v>
      </c>
    </row>
    <row r="407" spans="1:5">
      <c r="A407" s="73" t="s">
        <v>274</v>
      </c>
      <c r="B407" s="74" t="s">
        <v>684</v>
      </c>
      <c r="C407" s="75" t="s">
        <v>1136</v>
      </c>
      <c r="D407" s="94" t="s">
        <v>1629</v>
      </c>
      <c r="E407" s="94" t="s">
        <v>1776</v>
      </c>
    </row>
    <row r="408" spans="1:5">
      <c r="A408" s="73" t="s">
        <v>275</v>
      </c>
      <c r="B408" s="74" t="s">
        <v>685</v>
      </c>
      <c r="C408" s="75" t="s">
        <v>1137</v>
      </c>
      <c r="D408" s="94" t="s">
        <v>1578</v>
      </c>
      <c r="E408" s="94" t="s">
        <v>1776</v>
      </c>
    </row>
    <row r="409" spans="1:5">
      <c r="A409" s="73" t="s">
        <v>276</v>
      </c>
      <c r="B409" s="74" t="s">
        <v>686</v>
      </c>
      <c r="C409" s="75" t="s">
        <v>1138</v>
      </c>
      <c r="D409" s="94" t="s">
        <v>1629</v>
      </c>
      <c r="E409" s="94" t="s">
        <v>1776</v>
      </c>
    </row>
    <row r="410" spans="1:5">
      <c r="A410" s="73" t="s">
        <v>277</v>
      </c>
      <c r="B410" s="74" t="s">
        <v>687</v>
      </c>
      <c r="C410" s="75" t="s">
        <v>1139</v>
      </c>
      <c r="D410" s="94" t="s">
        <v>1629</v>
      </c>
      <c r="E410" s="94" t="s">
        <v>1776</v>
      </c>
    </row>
    <row r="411" spans="1:5">
      <c r="A411" s="94" t="s">
        <v>1744</v>
      </c>
      <c r="B411" s="74" t="s">
        <v>1745</v>
      </c>
      <c r="C411" s="95" t="s">
        <v>1746</v>
      </c>
      <c r="D411" s="94" t="s">
        <v>1629</v>
      </c>
      <c r="E411" s="94" t="s">
        <v>1776</v>
      </c>
    </row>
    <row r="412" spans="1:5">
      <c r="A412" s="94" t="s">
        <v>1747</v>
      </c>
      <c r="B412" s="74" t="s">
        <v>1748</v>
      </c>
      <c r="C412" s="95" t="s">
        <v>1749</v>
      </c>
      <c r="D412" s="94" t="s">
        <v>1629</v>
      </c>
      <c r="E412" s="94" t="s">
        <v>1776</v>
      </c>
    </row>
    <row r="413" spans="1:5">
      <c r="A413" s="94" t="s">
        <v>1750</v>
      </c>
      <c r="B413" s="74" t="s">
        <v>1751</v>
      </c>
      <c r="C413" s="95" t="s">
        <v>1752</v>
      </c>
      <c r="D413" s="94" t="s">
        <v>1629</v>
      </c>
      <c r="E413" s="94" t="s">
        <v>1776</v>
      </c>
    </row>
    <row r="414" spans="1:5">
      <c r="A414" s="73" t="s">
        <v>272</v>
      </c>
      <c r="B414" s="74" t="s">
        <v>682</v>
      </c>
      <c r="C414" s="75" t="s">
        <v>1134</v>
      </c>
      <c r="D414" s="94" t="s">
        <v>1578</v>
      </c>
      <c r="E414" s="94" t="s">
        <v>1776</v>
      </c>
    </row>
    <row r="415" spans="1:5">
      <c r="A415" s="73" t="s">
        <v>423</v>
      </c>
      <c r="B415" s="45" t="s">
        <v>817</v>
      </c>
      <c r="C415" s="75" t="s">
        <v>1280</v>
      </c>
      <c r="D415" s="94" t="s">
        <v>1620</v>
      </c>
      <c r="E415" s="94" t="s">
        <v>1776</v>
      </c>
    </row>
    <row r="416" spans="1:5">
      <c r="A416" s="73" t="s">
        <v>424</v>
      </c>
      <c r="B416" s="45" t="s">
        <v>818</v>
      </c>
      <c r="C416" s="75" t="s">
        <v>1281</v>
      </c>
      <c r="D416" s="94" t="s">
        <v>1620</v>
      </c>
      <c r="E416" s="94" t="s">
        <v>1776</v>
      </c>
    </row>
    <row r="417" spans="1:5">
      <c r="A417" s="73" t="s">
        <v>425</v>
      </c>
      <c r="B417" s="45" t="s">
        <v>819</v>
      </c>
      <c r="C417" s="75" t="s">
        <v>1282</v>
      </c>
      <c r="D417" s="94" t="s">
        <v>1620</v>
      </c>
      <c r="E417" s="94" t="s">
        <v>1776</v>
      </c>
    </row>
    <row r="418" spans="1:5">
      <c r="A418" s="76" t="s">
        <v>426</v>
      </c>
      <c r="B418" s="45" t="s">
        <v>820</v>
      </c>
      <c r="C418" s="75" t="s">
        <v>860</v>
      </c>
      <c r="D418" s="94" t="s">
        <v>1620</v>
      </c>
      <c r="E418" s="94" t="s">
        <v>1776</v>
      </c>
    </row>
    <row r="419" spans="1:5">
      <c r="A419" s="73" t="s">
        <v>427</v>
      </c>
      <c r="B419" s="45" t="s">
        <v>821</v>
      </c>
      <c r="C419" s="75" t="s">
        <v>1283</v>
      </c>
      <c r="D419" s="94" t="s">
        <v>1620</v>
      </c>
      <c r="E419" s="94" t="s">
        <v>1776</v>
      </c>
    </row>
    <row r="420" spans="1:5">
      <c r="A420" s="73" t="s">
        <v>428</v>
      </c>
      <c r="B420" s="45" t="s">
        <v>822</v>
      </c>
      <c r="C420" s="75" t="s">
        <v>1284</v>
      </c>
      <c r="D420" s="94" t="s">
        <v>1620</v>
      </c>
      <c r="E420" s="94" t="s">
        <v>1776</v>
      </c>
    </row>
    <row r="421" spans="1:5">
      <c r="A421" s="76" t="s">
        <v>429</v>
      </c>
      <c r="B421" s="45" t="s">
        <v>823</v>
      </c>
      <c r="C421" s="75" t="s">
        <v>861</v>
      </c>
      <c r="D421" s="94" t="s">
        <v>1620</v>
      </c>
      <c r="E421" s="94" t="s">
        <v>1776</v>
      </c>
    </row>
    <row r="422" spans="1:5">
      <c r="A422" s="73" t="s">
        <v>430</v>
      </c>
      <c r="B422" s="45" t="s">
        <v>824</v>
      </c>
      <c r="C422" s="75" t="s">
        <v>1285</v>
      </c>
      <c r="D422" s="94" t="s">
        <v>1620</v>
      </c>
      <c r="E422" s="94" t="s">
        <v>1776</v>
      </c>
    </row>
    <row r="423" spans="1:5">
      <c r="A423" s="94" t="s">
        <v>1480</v>
      </c>
      <c r="B423" s="74" t="s">
        <v>1562</v>
      </c>
      <c r="C423" s="77" t="s">
        <v>1563</v>
      </c>
      <c r="D423" s="94" t="s">
        <v>1575</v>
      </c>
      <c r="E423" s="94" t="s">
        <v>1775</v>
      </c>
    </row>
    <row r="424" spans="1:5">
      <c r="A424" s="94" t="s">
        <v>1481</v>
      </c>
      <c r="B424" s="74" t="s">
        <v>1564</v>
      </c>
      <c r="C424" s="95" t="s">
        <v>1565</v>
      </c>
      <c r="D424" s="94" t="s">
        <v>1575</v>
      </c>
      <c r="E424" s="94" t="s">
        <v>1775</v>
      </c>
    </row>
    <row r="425" spans="1:5">
      <c r="A425" s="94" t="s">
        <v>1482</v>
      </c>
      <c r="B425" s="74" t="s">
        <v>1566</v>
      </c>
      <c r="C425" s="77" t="s">
        <v>1567</v>
      </c>
      <c r="D425" s="94" t="s">
        <v>1575</v>
      </c>
      <c r="E425" s="94" t="s">
        <v>1775</v>
      </c>
    </row>
    <row r="426" spans="1:5">
      <c r="A426" s="94" t="s">
        <v>1483</v>
      </c>
      <c r="B426" s="74" t="s">
        <v>1568</v>
      </c>
      <c r="C426" s="77" t="s">
        <v>1569</v>
      </c>
      <c r="D426" s="94" t="s">
        <v>1575</v>
      </c>
      <c r="E426" s="94" t="s">
        <v>1775</v>
      </c>
    </row>
    <row r="427" spans="1:5">
      <c r="A427" s="94" t="s">
        <v>1484</v>
      </c>
      <c r="B427" s="74" t="s">
        <v>1570</v>
      </c>
      <c r="C427" s="77" t="s">
        <v>1525</v>
      </c>
      <c r="D427" s="94" t="s">
        <v>1575</v>
      </c>
      <c r="E427" s="94" t="s">
        <v>1775</v>
      </c>
    </row>
    <row r="428" spans="1:5">
      <c r="A428" s="94" t="s">
        <v>1485</v>
      </c>
      <c r="B428" s="74" t="s">
        <v>1571</v>
      </c>
      <c r="C428" s="95" t="s">
        <v>1572</v>
      </c>
      <c r="D428" s="94" t="s">
        <v>1575</v>
      </c>
      <c r="E428" s="94" t="s">
        <v>1775</v>
      </c>
    </row>
    <row r="429" spans="1:5">
      <c r="A429" s="73" t="s">
        <v>1315</v>
      </c>
      <c r="B429" s="74" t="s">
        <v>474</v>
      </c>
      <c r="C429" s="75" t="s">
        <v>1306</v>
      </c>
      <c r="D429" s="94" t="s">
        <v>1617</v>
      </c>
      <c r="E429" s="94" t="s">
        <v>1792</v>
      </c>
    </row>
    <row r="430" spans="1:5">
      <c r="A430" s="73" t="s">
        <v>1316</v>
      </c>
      <c r="B430" s="74" t="s">
        <v>475</v>
      </c>
      <c r="C430" s="75" t="s">
        <v>1307</v>
      </c>
      <c r="D430" s="94" t="s">
        <v>1617</v>
      </c>
      <c r="E430" s="94" t="s">
        <v>1792</v>
      </c>
    </row>
    <row r="431" spans="1:5">
      <c r="A431" s="94" t="s">
        <v>1526</v>
      </c>
      <c r="B431" s="45" t="s">
        <v>563</v>
      </c>
      <c r="C431" s="77" t="s">
        <v>1527</v>
      </c>
      <c r="D431" s="94" t="s">
        <v>1630</v>
      </c>
      <c r="E431" s="94" t="s">
        <v>1776</v>
      </c>
    </row>
    <row r="432" spans="1:5">
      <c r="A432" s="76" t="s">
        <v>114</v>
      </c>
      <c r="B432" s="45" t="s">
        <v>883</v>
      </c>
      <c r="C432" s="75" t="s">
        <v>884</v>
      </c>
      <c r="D432" s="94" t="s">
        <v>1630</v>
      </c>
      <c r="E432" s="94" t="s">
        <v>1776</v>
      </c>
    </row>
    <row r="433" spans="1:5">
      <c r="A433" s="76" t="s">
        <v>113</v>
      </c>
      <c r="B433" s="45" t="s">
        <v>885</v>
      </c>
      <c r="C433" s="75" t="s">
        <v>886</v>
      </c>
      <c r="D433" s="94" t="s">
        <v>1630</v>
      </c>
      <c r="E433" s="94" t="s">
        <v>1776</v>
      </c>
    </row>
    <row r="434" spans="1:5">
      <c r="A434" s="76" t="s">
        <v>112</v>
      </c>
      <c r="B434" s="45" t="s">
        <v>887</v>
      </c>
      <c r="C434" s="75" t="s">
        <v>888</v>
      </c>
      <c r="D434" s="94" t="s">
        <v>1630</v>
      </c>
      <c r="E434" s="94" t="s">
        <v>1776</v>
      </c>
    </row>
    <row r="435" spans="1:5">
      <c r="A435" s="76" t="s">
        <v>115</v>
      </c>
      <c r="B435" s="45" t="s">
        <v>553</v>
      </c>
      <c r="C435" s="75" t="s">
        <v>889</v>
      </c>
      <c r="D435" s="94" t="s">
        <v>1630</v>
      </c>
      <c r="E435" s="94" t="s">
        <v>1776</v>
      </c>
    </row>
    <row r="436" spans="1:5">
      <c r="A436" s="73" t="s">
        <v>116</v>
      </c>
      <c r="B436" s="74" t="s">
        <v>554</v>
      </c>
      <c r="C436" s="75" t="s">
        <v>985</v>
      </c>
      <c r="D436" s="94" t="s">
        <v>1630</v>
      </c>
      <c r="E436" s="94" t="s">
        <v>1776</v>
      </c>
    </row>
    <row r="437" spans="1:5">
      <c r="A437" s="94" t="s">
        <v>1413</v>
      </c>
      <c r="B437" s="45" t="s">
        <v>560</v>
      </c>
      <c r="C437" s="75" t="s">
        <v>1414</v>
      </c>
      <c r="D437" s="94" t="s">
        <v>1630</v>
      </c>
      <c r="E437" s="94" t="s">
        <v>1776</v>
      </c>
    </row>
    <row r="438" spans="1:5">
      <c r="A438" s="73" t="s">
        <v>126</v>
      </c>
      <c r="B438" s="74" t="s">
        <v>552</v>
      </c>
      <c r="C438" s="75" t="s">
        <v>989</v>
      </c>
      <c r="D438" s="94" t="s">
        <v>1630</v>
      </c>
      <c r="E438" s="94" t="s">
        <v>1776</v>
      </c>
    </row>
    <row r="439" spans="1:5">
      <c r="A439" s="76" t="s">
        <v>127</v>
      </c>
      <c r="B439" s="45" t="s">
        <v>551</v>
      </c>
      <c r="C439" s="75" t="s">
        <v>890</v>
      </c>
      <c r="D439" s="94" t="s">
        <v>1630</v>
      </c>
      <c r="E439" s="94" t="s">
        <v>1776</v>
      </c>
    </row>
    <row r="440" spans="1:5">
      <c r="A440" s="76" t="s">
        <v>117</v>
      </c>
      <c r="B440" s="45" t="s">
        <v>555</v>
      </c>
      <c r="C440" s="75" t="s">
        <v>891</v>
      </c>
      <c r="D440" s="94" t="s">
        <v>1630</v>
      </c>
      <c r="E440" s="94" t="s">
        <v>1776</v>
      </c>
    </row>
    <row r="441" spans="1:5">
      <c r="A441" s="73" t="s">
        <v>118</v>
      </c>
      <c r="B441" s="74" t="s">
        <v>556</v>
      </c>
      <c r="C441" s="75" t="s">
        <v>986</v>
      </c>
      <c r="D441" s="94" t="s">
        <v>1630</v>
      </c>
      <c r="E441" s="94" t="s">
        <v>1776</v>
      </c>
    </row>
    <row r="442" spans="1:5">
      <c r="A442" s="94" t="s">
        <v>1415</v>
      </c>
      <c r="B442" s="74" t="s">
        <v>557</v>
      </c>
      <c r="C442" s="75" t="s">
        <v>1416</v>
      </c>
      <c r="D442" s="94" t="s">
        <v>1630</v>
      </c>
      <c r="E442" s="94" t="s">
        <v>1776</v>
      </c>
    </row>
    <row r="443" spans="1:5">
      <c r="A443" s="73" t="s">
        <v>119</v>
      </c>
      <c r="B443" s="74" t="s">
        <v>557</v>
      </c>
      <c r="C443" s="75" t="s">
        <v>987</v>
      </c>
      <c r="D443" s="94" t="s">
        <v>1630</v>
      </c>
      <c r="E443" s="94" t="s">
        <v>1776</v>
      </c>
    </row>
    <row r="444" spans="1:5">
      <c r="A444" s="73" t="s">
        <v>120</v>
      </c>
      <c r="B444" s="74" t="s">
        <v>558</v>
      </c>
      <c r="C444" s="75" t="s">
        <v>988</v>
      </c>
      <c r="D444" s="94" t="s">
        <v>1630</v>
      </c>
      <c r="E444" s="94" t="s">
        <v>1776</v>
      </c>
    </row>
    <row r="445" spans="1:5">
      <c r="A445" s="76" t="s">
        <v>121</v>
      </c>
      <c r="B445" s="45" t="s">
        <v>559</v>
      </c>
      <c r="C445" s="75" t="s">
        <v>892</v>
      </c>
      <c r="D445" s="94" t="s">
        <v>1630</v>
      </c>
      <c r="E445" s="94" t="s">
        <v>1776</v>
      </c>
    </row>
    <row r="446" spans="1:5">
      <c r="A446" s="94" t="s">
        <v>1417</v>
      </c>
      <c r="B446" s="45" t="s">
        <v>560</v>
      </c>
      <c r="C446" s="75" t="s">
        <v>1418</v>
      </c>
      <c r="D446" s="94" t="s">
        <v>1630</v>
      </c>
      <c r="E446" s="94" t="s">
        <v>1776</v>
      </c>
    </row>
    <row r="447" spans="1:5">
      <c r="A447" s="94" t="s">
        <v>1528</v>
      </c>
      <c r="B447" s="45" t="s">
        <v>560</v>
      </c>
      <c r="C447" s="95" t="s">
        <v>1529</v>
      </c>
      <c r="D447" s="94" t="s">
        <v>1630</v>
      </c>
      <c r="E447" s="94" t="s">
        <v>1776</v>
      </c>
    </row>
    <row r="448" spans="1:5">
      <c r="A448" s="76" t="s">
        <v>122</v>
      </c>
      <c r="B448" s="45" t="s">
        <v>560</v>
      </c>
      <c r="C448" s="75" t="s">
        <v>893</v>
      </c>
      <c r="D448" s="94" t="s">
        <v>1630</v>
      </c>
      <c r="E448" s="94" t="s">
        <v>1776</v>
      </c>
    </row>
    <row r="449" spans="1:5">
      <c r="A449" s="76" t="s">
        <v>123</v>
      </c>
      <c r="B449" s="45" t="s">
        <v>561</v>
      </c>
      <c r="C449" s="75" t="s">
        <v>894</v>
      </c>
      <c r="D449" s="94" t="s">
        <v>1630</v>
      </c>
      <c r="E449" s="94" t="s">
        <v>1776</v>
      </c>
    </row>
    <row r="450" spans="1:5">
      <c r="A450" s="164" t="s">
        <v>1716</v>
      </c>
      <c r="B450" s="74" t="s">
        <v>562</v>
      </c>
      <c r="C450" s="95" t="s">
        <v>1717</v>
      </c>
      <c r="D450" s="94" t="s">
        <v>1630</v>
      </c>
      <c r="E450" s="94" t="s">
        <v>1776</v>
      </c>
    </row>
    <row r="451" spans="1:5">
      <c r="A451" s="76" t="s">
        <v>124</v>
      </c>
      <c r="B451" s="45" t="s">
        <v>562</v>
      </c>
      <c r="C451" s="75" t="s">
        <v>895</v>
      </c>
      <c r="D451" s="94" t="s">
        <v>1630</v>
      </c>
      <c r="E451" s="94" t="s">
        <v>1776</v>
      </c>
    </row>
    <row r="452" spans="1:5">
      <c r="A452" s="76" t="s">
        <v>125</v>
      </c>
      <c r="B452" s="45" t="s">
        <v>563</v>
      </c>
      <c r="C452" s="75" t="s">
        <v>896</v>
      </c>
      <c r="D452" s="94" t="s">
        <v>1630</v>
      </c>
      <c r="E452" s="94" t="s">
        <v>1776</v>
      </c>
    </row>
    <row r="453" spans="1:5">
      <c r="A453" s="76" t="s">
        <v>128</v>
      </c>
      <c r="B453" s="45" t="s">
        <v>552</v>
      </c>
      <c r="C453" s="75" t="s">
        <v>897</v>
      </c>
      <c r="D453" s="94" t="s">
        <v>1630</v>
      </c>
      <c r="E453" s="94" t="s">
        <v>1776</v>
      </c>
    </row>
    <row r="454" spans="1:5">
      <c r="A454" s="73" t="s">
        <v>111</v>
      </c>
      <c r="B454" s="74" t="s">
        <v>550</v>
      </c>
      <c r="C454" s="75" t="s">
        <v>984</v>
      </c>
      <c r="D454" s="94" t="s">
        <v>1630</v>
      </c>
      <c r="E454" s="94" t="s">
        <v>1776</v>
      </c>
    </row>
    <row r="455" spans="1:5">
      <c r="A455" s="73" t="s">
        <v>130</v>
      </c>
      <c r="B455" s="74" t="s">
        <v>550</v>
      </c>
      <c r="C455" s="75" t="s">
        <v>991</v>
      </c>
      <c r="D455" s="94" t="s">
        <v>1630</v>
      </c>
      <c r="E455" s="94" t="s">
        <v>1776</v>
      </c>
    </row>
    <row r="456" spans="1:5">
      <c r="A456" s="95" t="s">
        <v>1682</v>
      </c>
      <c r="B456" s="74" t="s">
        <v>552</v>
      </c>
      <c r="C456" s="95" t="s">
        <v>1683</v>
      </c>
      <c r="D456" s="94" t="s">
        <v>1630</v>
      </c>
      <c r="E456" s="94" t="s">
        <v>1776</v>
      </c>
    </row>
    <row r="457" spans="1:5">
      <c r="A457" s="73" t="s">
        <v>131</v>
      </c>
      <c r="B457" s="74" t="s">
        <v>885</v>
      </c>
      <c r="C457" s="75" t="s">
        <v>992</v>
      </c>
      <c r="D457" s="94" t="s">
        <v>1630</v>
      </c>
      <c r="E457" s="94" t="s">
        <v>1776</v>
      </c>
    </row>
    <row r="458" spans="1:5">
      <c r="A458" s="73" t="s">
        <v>134</v>
      </c>
      <c r="B458" s="74" t="s">
        <v>995</v>
      </c>
      <c r="C458" s="75" t="s">
        <v>996</v>
      </c>
      <c r="D458" s="94" t="s">
        <v>1630</v>
      </c>
      <c r="E458" s="94" t="s">
        <v>1776</v>
      </c>
    </row>
    <row r="459" spans="1:5">
      <c r="A459" s="73" t="s">
        <v>129</v>
      </c>
      <c r="B459" s="74" t="s">
        <v>551</v>
      </c>
      <c r="C459" s="75" t="s">
        <v>990</v>
      </c>
      <c r="D459" s="94" t="s">
        <v>1630</v>
      </c>
      <c r="E459" s="94" t="s">
        <v>1776</v>
      </c>
    </row>
    <row r="460" spans="1:5">
      <c r="A460" s="73" t="s">
        <v>132</v>
      </c>
      <c r="B460" s="74" t="s">
        <v>564</v>
      </c>
      <c r="C460" s="75" t="s">
        <v>993</v>
      </c>
      <c r="D460" s="94" t="s">
        <v>1630</v>
      </c>
      <c r="E460" s="94" t="s">
        <v>1776</v>
      </c>
    </row>
    <row r="461" spans="1:5">
      <c r="A461" s="75" t="s">
        <v>1725</v>
      </c>
      <c r="B461" s="74" t="s">
        <v>1726</v>
      </c>
      <c r="C461" s="95" t="s">
        <v>1727</v>
      </c>
      <c r="D461" s="94" t="s">
        <v>1630</v>
      </c>
      <c r="E461" s="94" t="s">
        <v>1776</v>
      </c>
    </row>
    <row r="462" spans="1:5">
      <c r="A462" s="73" t="s">
        <v>133</v>
      </c>
      <c r="B462" s="74" t="s">
        <v>565</v>
      </c>
      <c r="C462" s="75" t="s">
        <v>994</v>
      </c>
      <c r="D462" s="94" t="s">
        <v>1630</v>
      </c>
      <c r="E462" s="94" t="s">
        <v>1776</v>
      </c>
    </row>
    <row r="463" spans="1:5">
      <c r="A463" s="76" t="s">
        <v>135</v>
      </c>
      <c r="B463" s="45" t="s">
        <v>566</v>
      </c>
      <c r="C463" s="75" t="s">
        <v>898</v>
      </c>
      <c r="D463" s="94" t="s">
        <v>1630</v>
      </c>
      <c r="E463" s="94" t="s">
        <v>1776</v>
      </c>
    </row>
    <row r="464" spans="1:5">
      <c r="A464" s="73" t="s">
        <v>471</v>
      </c>
      <c r="B464" s="74" t="s">
        <v>1012</v>
      </c>
      <c r="C464" s="75" t="s">
        <v>1013</v>
      </c>
      <c r="D464" s="94" t="s">
        <v>1631</v>
      </c>
      <c r="E464" s="94" t="s">
        <v>1776</v>
      </c>
    </row>
    <row r="465" spans="1:5">
      <c r="A465" s="73" t="s">
        <v>472</v>
      </c>
      <c r="B465" s="74" t="s">
        <v>1014</v>
      </c>
      <c r="C465" s="75" t="s">
        <v>1015</v>
      </c>
      <c r="D465" s="94" t="s">
        <v>1631</v>
      </c>
      <c r="E465" s="94" t="s">
        <v>1776</v>
      </c>
    </row>
    <row r="466" spans="1:5">
      <c r="A466" s="164" t="s">
        <v>1720</v>
      </c>
      <c r="B466" s="74" t="s">
        <v>567</v>
      </c>
      <c r="C466" s="95" t="s">
        <v>1721</v>
      </c>
      <c r="D466" s="94" t="s">
        <v>1631</v>
      </c>
      <c r="E466" s="94" t="s">
        <v>1776</v>
      </c>
    </row>
    <row r="467" spans="1:5">
      <c r="A467" s="73" t="s">
        <v>136</v>
      </c>
      <c r="B467" s="74" t="s">
        <v>567</v>
      </c>
      <c r="C467" s="75" t="s">
        <v>997</v>
      </c>
      <c r="D467" s="94" t="s">
        <v>1631</v>
      </c>
      <c r="E467" s="94" t="s">
        <v>1776</v>
      </c>
    </row>
    <row r="468" spans="1:5">
      <c r="A468" s="94" t="s">
        <v>1342</v>
      </c>
      <c r="B468" s="74" t="s">
        <v>1351</v>
      </c>
      <c r="C468" s="75" t="s">
        <v>1352</v>
      </c>
      <c r="D468" s="94" t="s">
        <v>1631</v>
      </c>
      <c r="E468" s="94" t="s">
        <v>1776</v>
      </c>
    </row>
    <row r="469" spans="1:5">
      <c r="A469" s="73" t="s">
        <v>138</v>
      </c>
      <c r="B469" s="74" t="s">
        <v>568</v>
      </c>
      <c r="C469" s="75" t="s">
        <v>999</v>
      </c>
      <c r="D469" s="94" t="s">
        <v>1631</v>
      </c>
      <c r="E469" s="94" t="s">
        <v>1776</v>
      </c>
    </row>
    <row r="470" spans="1:5">
      <c r="A470" s="73" t="s">
        <v>137</v>
      </c>
      <c r="B470" s="74" t="s">
        <v>568</v>
      </c>
      <c r="C470" s="75" t="s">
        <v>998</v>
      </c>
      <c r="D470" s="94" t="s">
        <v>1631</v>
      </c>
      <c r="E470" s="94" t="s">
        <v>1776</v>
      </c>
    </row>
    <row r="471" spans="1:5">
      <c r="A471" s="73" t="s">
        <v>141</v>
      </c>
      <c r="B471" s="74" t="s">
        <v>571</v>
      </c>
      <c r="C471" s="75" t="s">
        <v>1001</v>
      </c>
      <c r="D471" s="94" t="s">
        <v>1631</v>
      </c>
      <c r="E471" s="94" t="s">
        <v>1776</v>
      </c>
    </row>
    <row r="472" spans="1:5">
      <c r="A472" s="164" t="s">
        <v>1687</v>
      </c>
      <c r="B472" s="74" t="s">
        <v>569</v>
      </c>
      <c r="C472" s="95" t="s">
        <v>1688</v>
      </c>
      <c r="D472" s="94" t="s">
        <v>1631</v>
      </c>
      <c r="E472" s="94" t="s">
        <v>1776</v>
      </c>
    </row>
    <row r="473" spans="1:5">
      <c r="A473" s="76" t="s">
        <v>139</v>
      </c>
      <c r="B473" s="45" t="s">
        <v>569</v>
      </c>
      <c r="C473" s="75" t="s">
        <v>899</v>
      </c>
      <c r="D473" s="94" t="s">
        <v>1631</v>
      </c>
      <c r="E473" s="94" t="s">
        <v>1776</v>
      </c>
    </row>
    <row r="474" spans="1:5">
      <c r="A474" s="73" t="s">
        <v>140</v>
      </c>
      <c r="B474" s="74" t="s">
        <v>570</v>
      </c>
      <c r="C474" s="75" t="s">
        <v>1000</v>
      </c>
      <c r="D474" s="94" t="s">
        <v>1631</v>
      </c>
      <c r="E474" s="94" t="s">
        <v>1776</v>
      </c>
    </row>
    <row r="475" spans="1:5">
      <c r="A475" s="73" t="s">
        <v>142</v>
      </c>
      <c r="B475" s="74" t="s">
        <v>572</v>
      </c>
      <c r="C475" s="75" t="s">
        <v>1002</v>
      </c>
      <c r="D475" s="94" t="s">
        <v>1631</v>
      </c>
      <c r="E475" s="94" t="s">
        <v>1776</v>
      </c>
    </row>
    <row r="476" spans="1:5">
      <c r="A476" s="73" t="s">
        <v>143</v>
      </c>
      <c r="B476" s="74" t="s">
        <v>572</v>
      </c>
      <c r="C476" s="75" t="s">
        <v>1003</v>
      </c>
      <c r="D476" s="94" t="s">
        <v>1631</v>
      </c>
      <c r="E476" s="94" t="s">
        <v>1776</v>
      </c>
    </row>
    <row r="477" spans="1:5">
      <c r="A477" s="73" t="s">
        <v>144</v>
      </c>
      <c r="B477" s="74" t="s">
        <v>573</v>
      </c>
      <c r="C477" s="75" t="s">
        <v>1004</v>
      </c>
      <c r="D477" s="94" t="s">
        <v>1631</v>
      </c>
      <c r="E477" s="94" t="s">
        <v>1776</v>
      </c>
    </row>
    <row r="478" spans="1:5">
      <c r="A478" s="73" t="s">
        <v>145</v>
      </c>
      <c r="B478" s="74" t="s">
        <v>573</v>
      </c>
      <c r="C478" s="75" t="s">
        <v>1005</v>
      </c>
      <c r="D478" s="94" t="s">
        <v>1631</v>
      </c>
      <c r="E478" s="94" t="s">
        <v>1776</v>
      </c>
    </row>
    <row r="479" spans="1:5">
      <c r="A479" s="94" t="s">
        <v>1419</v>
      </c>
      <c r="B479" s="45" t="s">
        <v>574</v>
      </c>
      <c r="C479" s="75" t="s">
        <v>1420</v>
      </c>
      <c r="D479" s="94" t="s">
        <v>1631</v>
      </c>
      <c r="E479" s="94" t="s">
        <v>1776</v>
      </c>
    </row>
    <row r="480" spans="1:5">
      <c r="A480" s="76" t="s">
        <v>146</v>
      </c>
      <c r="B480" s="45" t="s">
        <v>574</v>
      </c>
      <c r="C480" s="75" t="s">
        <v>900</v>
      </c>
      <c r="D480" s="94" t="s">
        <v>1631</v>
      </c>
      <c r="E480" s="94" t="s">
        <v>1776</v>
      </c>
    </row>
    <row r="481" spans="1:5">
      <c r="A481" s="94" t="s">
        <v>1421</v>
      </c>
      <c r="B481" s="45" t="s">
        <v>574</v>
      </c>
      <c r="C481" s="75" t="s">
        <v>1422</v>
      </c>
      <c r="D481" s="94" t="s">
        <v>1631</v>
      </c>
      <c r="E481" s="94" t="s">
        <v>1776</v>
      </c>
    </row>
    <row r="482" spans="1:5">
      <c r="A482" s="73" t="s">
        <v>147</v>
      </c>
      <c r="B482" s="74" t="s">
        <v>575</v>
      </c>
      <c r="C482" s="75" t="s">
        <v>1006</v>
      </c>
      <c r="D482" s="94" t="s">
        <v>1631</v>
      </c>
      <c r="E482" s="94" t="s">
        <v>1776</v>
      </c>
    </row>
    <row r="483" spans="1:5">
      <c r="A483" s="73" t="s">
        <v>148</v>
      </c>
      <c r="B483" s="74" t="s">
        <v>576</v>
      </c>
      <c r="C483" s="75" t="s">
        <v>1007</v>
      </c>
      <c r="D483" s="94" t="s">
        <v>1631</v>
      </c>
      <c r="E483" s="94" t="s">
        <v>1776</v>
      </c>
    </row>
    <row r="484" spans="1:5">
      <c r="A484" s="94" t="s">
        <v>1423</v>
      </c>
      <c r="B484" s="74" t="s">
        <v>576</v>
      </c>
      <c r="C484" s="75" t="s">
        <v>1424</v>
      </c>
      <c r="D484" s="94" t="s">
        <v>1631</v>
      </c>
      <c r="E484" s="94" t="s">
        <v>1776</v>
      </c>
    </row>
    <row r="485" spans="1:5">
      <c r="A485" s="73" t="s">
        <v>149</v>
      </c>
      <c r="B485" s="74" t="s">
        <v>577</v>
      </c>
      <c r="C485" s="75" t="s">
        <v>1008</v>
      </c>
      <c r="D485" s="94" t="s">
        <v>1631</v>
      </c>
      <c r="E485" s="94" t="s">
        <v>1776</v>
      </c>
    </row>
    <row r="486" spans="1:5">
      <c r="A486" s="94" t="s">
        <v>1553</v>
      </c>
      <c r="B486" s="74" t="s">
        <v>577</v>
      </c>
      <c r="C486" s="77" t="s">
        <v>1573</v>
      </c>
      <c r="D486" s="94" t="s">
        <v>1631</v>
      </c>
      <c r="E486" s="94" t="s">
        <v>1776</v>
      </c>
    </row>
    <row r="487" spans="1:5">
      <c r="A487" s="94" t="s">
        <v>1530</v>
      </c>
      <c r="B487" s="74" t="s">
        <v>578</v>
      </c>
      <c r="C487" s="77" t="s">
        <v>1531</v>
      </c>
      <c r="D487" s="94" t="s">
        <v>1578</v>
      </c>
      <c r="E487" s="94" t="s">
        <v>1776</v>
      </c>
    </row>
    <row r="488" spans="1:5">
      <c r="A488" s="73" t="s">
        <v>151</v>
      </c>
      <c r="B488" s="74" t="s">
        <v>578</v>
      </c>
      <c r="C488" s="75" t="s">
        <v>1009</v>
      </c>
      <c r="D488" s="94" t="s">
        <v>1578</v>
      </c>
      <c r="E488" s="94" t="s">
        <v>1776</v>
      </c>
    </row>
    <row r="489" spans="1:5">
      <c r="A489" s="75" t="s">
        <v>1504</v>
      </c>
      <c r="B489" s="74" t="s">
        <v>578</v>
      </c>
      <c r="C489" s="75" t="s">
        <v>1532</v>
      </c>
      <c r="D489" s="94" t="s">
        <v>1578</v>
      </c>
      <c r="E489" s="94" t="s">
        <v>1776</v>
      </c>
    </row>
    <row r="490" spans="1:5">
      <c r="A490" s="94" t="s">
        <v>1425</v>
      </c>
      <c r="B490" s="74" t="s">
        <v>1426</v>
      </c>
      <c r="C490" s="75" t="s">
        <v>1427</v>
      </c>
      <c r="D490" s="94" t="s">
        <v>1631</v>
      </c>
      <c r="E490" s="94" t="s">
        <v>1776</v>
      </c>
    </row>
    <row r="491" spans="1:5">
      <c r="A491" s="73" t="s">
        <v>150</v>
      </c>
      <c r="B491" s="74" t="s">
        <v>579</v>
      </c>
      <c r="C491" s="75" t="s">
        <v>1010</v>
      </c>
      <c r="D491" s="94" t="s">
        <v>1578</v>
      </c>
      <c r="E491" s="94" t="s">
        <v>1776</v>
      </c>
    </row>
    <row r="492" spans="1:5">
      <c r="A492" s="73" t="s">
        <v>152</v>
      </c>
      <c r="B492" s="74" t="s">
        <v>1503</v>
      </c>
      <c r="C492" s="75" t="s">
        <v>1011</v>
      </c>
      <c r="D492" s="94" t="s">
        <v>1631</v>
      </c>
      <c r="E492" s="94" t="s">
        <v>1776</v>
      </c>
    </row>
    <row r="493" spans="1:5">
      <c r="A493" s="73" t="s">
        <v>1533</v>
      </c>
      <c r="B493" s="74" t="s">
        <v>1503</v>
      </c>
      <c r="C493" s="75" t="s">
        <v>1534</v>
      </c>
      <c r="D493" s="94" t="s">
        <v>1631</v>
      </c>
      <c r="E493" s="94" t="s">
        <v>1776</v>
      </c>
    </row>
    <row r="494" spans="1:5">
      <c r="A494" s="94" t="s">
        <v>1488</v>
      </c>
      <c r="B494" s="74" t="s">
        <v>1490</v>
      </c>
      <c r="C494" s="74" t="s">
        <v>1489</v>
      </c>
      <c r="D494" s="94" t="s">
        <v>1578</v>
      </c>
      <c r="E494" s="94" t="s">
        <v>1776</v>
      </c>
    </row>
    <row r="495" spans="1:5">
      <c r="A495" s="73" t="s">
        <v>421</v>
      </c>
      <c r="B495" s="45" t="s">
        <v>815</v>
      </c>
      <c r="C495" s="75" t="s">
        <v>1278</v>
      </c>
      <c r="D495" s="94" t="s">
        <v>1620</v>
      </c>
      <c r="E495" s="94" t="s">
        <v>1776</v>
      </c>
    </row>
    <row r="496" spans="1:5">
      <c r="A496" s="73" t="s">
        <v>422</v>
      </c>
      <c r="B496" s="45" t="s">
        <v>816</v>
      </c>
      <c r="C496" s="75" t="s">
        <v>1279</v>
      </c>
      <c r="D496" s="94" t="s">
        <v>1619</v>
      </c>
      <c r="E496" s="94" t="s">
        <v>1776</v>
      </c>
    </row>
    <row r="497" spans="1:5">
      <c r="A497" s="76" t="s">
        <v>364</v>
      </c>
      <c r="B497" s="45" t="s">
        <v>762</v>
      </c>
      <c r="C497" s="75" t="s">
        <v>1224</v>
      </c>
      <c r="D497" s="94" t="s">
        <v>1619</v>
      </c>
      <c r="E497" s="94" t="s">
        <v>1776</v>
      </c>
    </row>
    <row r="498" spans="1:5">
      <c r="A498" s="76" t="s">
        <v>365</v>
      </c>
      <c r="B498" s="45" t="s">
        <v>763</v>
      </c>
      <c r="C498" s="75" t="s">
        <v>1225</v>
      </c>
      <c r="D498" s="94" t="s">
        <v>1619</v>
      </c>
      <c r="E498" s="94" t="s">
        <v>1776</v>
      </c>
    </row>
    <row r="499" spans="1:5">
      <c r="A499" s="73" t="s">
        <v>366</v>
      </c>
      <c r="B499" s="74" t="s">
        <v>764</v>
      </c>
      <c r="C499" s="75" t="s">
        <v>1234</v>
      </c>
      <c r="D499" s="94" t="s">
        <v>1619</v>
      </c>
      <c r="E499" s="94" t="s">
        <v>1776</v>
      </c>
    </row>
    <row r="500" spans="1:5">
      <c r="A500" s="73" t="s">
        <v>367</v>
      </c>
      <c r="B500" s="74" t="s">
        <v>765</v>
      </c>
      <c r="C500" s="75" t="s">
        <v>1235</v>
      </c>
      <c r="D500" s="94" t="s">
        <v>1619</v>
      </c>
      <c r="E500" s="94" t="s">
        <v>1776</v>
      </c>
    </row>
    <row r="501" spans="1:5">
      <c r="A501" s="73" t="s">
        <v>368</v>
      </c>
      <c r="B501" s="74" t="s">
        <v>766</v>
      </c>
      <c r="C501" s="75" t="s">
        <v>1236</v>
      </c>
      <c r="D501" s="94" t="s">
        <v>1619</v>
      </c>
      <c r="E501" s="94" t="s">
        <v>1776</v>
      </c>
    </row>
    <row r="502" spans="1:5">
      <c r="A502" s="76" t="s">
        <v>369</v>
      </c>
      <c r="B502" s="45" t="s">
        <v>767</v>
      </c>
      <c r="C502" s="75" t="s">
        <v>1226</v>
      </c>
      <c r="D502" s="94" t="s">
        <v>1619</v>
      </c>
      <c r="E502" s="94" t="s">
        <v>1776</v>
      </c>
    </row>
    <row r="503" spans="1:5">
      <c r="A503" s="73" t="s">
        <v>370</v>
      </c>
      <c r="B503" s="74" t="s">
        <v>768</v>
      </c>
      <c r="C503" s="75" t="s">
        <v>1237</v>
      </c>
      <c r="D503" s="94" t="s">
        <v>1619</v>
      </c>
      <c r="E503" s="94" t="s">
        <v>1776</v>
      </c>
    </row>
    <row r="504" spans="1:5">
      <c r="A504" s="73" t="s">
        <v>371</v>
      </c>
      <c r="B504" s="74" t="s">
        <v>769</v>
      </c>
      <c r="C504" s="75" t="s">
        <v>1238</v>
      </c>
      <c r="D504" s="94" t="s">
        <v>1619</v>
      </c>
      <c r="E504" s="94" t="s">
        <v>1776</v>
      </c>
    </row>
    <row r="505" spans="1:5">
      <c r="A505" s="73" t="s">
        <v>372</v>
      </c>
      <c r="B505" s="74" t="s">
        <v>770</v>
      </c>
      <c r="C505" s="75" t="s">
        <v>1239</v>
      </c>
      <c r="D505" s="94" t="s">
        <v>1619</v>
      </c>
      <c r="E505" s="94" t="s">
        <v>1776</v>
      </c>
    </row>
    <row r="506" spans="1:5">
      <c r="A506" s="73" t="s">
        <v>373</v>
      </c>
      <c r="B506" s="74" t="s">
        <v>771</v>
      </c>
      <c r="C506" s="75" t="s">
        <v>1240</v>
      </c>
      <c r="D506" s="94" t="s">
        <v>1619</v>
      </c>
      <c r="E506" s="94" t="s">
        <v>1776</v>
      </c>
    </row>
    <row r="507" spans="1:5">
      <c r="A507" s="73" t="s">
        <v>374</v>
      </c>
      <c r="B507" s="74" t="s">
        <v>771</v>
      </c>
      <c r="C507" s="75" t="s">
        <v>1241</v>
      </c>
      <c r="D507" s="94" t="s">
        <v>1619</v>
      </c>
      <c r="E507" s="94" t="s">
        <v>1776</v>
      </c>
    </row>
    <row r="508" spans="1:5">
      <c r="A508" s="73" t="s">
        <v>375</v>
      </c>
      <c r="B508" s="74" t="s">
        <v>772</v>
      </c>
      <c r="C508" s="75" t="s">
        <v>1242</v>
      </c>
      <c r="D508" s="94" t="s">
        <v>1619</v>
      </c>
      <c r="E508" s="94" t="s">
        <v>1776</v>
      </c>
    </row>
    <row r="509" spans="1:5">
      <c r="A509" s="73" t="s">
        <v>376</v>
      </c>
      <c r="B509" s="74" t="s">
        <v>773</v>
      </c>
      <c r="C509" s="75" t="s">
        <v>1243</v>
      </c>
      <c r="D509" s="94" t="s">
        <v>1619</v>
      </c>
      <c r="E509" s="94" t="s">
        <v>1776</v>
      </c>
    </row>
    <row r="510" spans="1:5">
      <c r="A510" s="73" t="s">
        <v>377</v>
      </c>
      <c r="B510" s="74" t="s">
        <v>774</v>
      </c>
      <c r="C510" s="75" t="s">
        <v>1244</v>
      </c>
      <c r="D510" s="94" t="s">
        <v>1619</v>
      </c>
      <c r="E510" s="94" t="s">
        <v>1776</v>
      </c>
    </row>
    <row r="511" spans="1:5">
      <c r="A511" s="73" t="s">
        <v>378</v>
      </c>
      <c r="B511" s="74" t="s">
        <v>775</v>
      </c>
      <c r="C511" s="75" t="s">
        <v>1245</v>
      </c>
      <c r="D511" s="94" t="s">
        <v>1619</v>
      </c>
      <c r="E511" s="94" t="s">
        <v>1776</v>
      </c>
    </row>
    <row r="512" spans="1:5">
      <c r="A512" s="73" t="s">
        <v>379</v>
      </c>
      <c r="B512" s="74" t="s">
        <v>776</v>
      </c>
      <c r="C512" s="75" t="s">
        <v>1246</v>
      </c>
      <c r="D512" s="94" t="s">
        <v>1619</v>
      </c>
      <c r="E512" s="94" t="s">
        <v>1776</v>
      </c>
    </row>
    <row r="513" spans="1:5">
      <c r="A513" s="73" t="s">
        <v>380</v>
      </c>
      <c r="B513" s="74" t="s">
        <v>776</v>
      </c>
      <c r="C513" s="75" t="s">
        <v>1247</v>
      </c>
      <c r="D513" s="94" t="s">
        <v>1619</v>
      </c>
      <c r="E513" s="94" t="s">
        <v>1776</v>
      </c>
    </row>
    <row r="514" spans="1:5">
      <c r="A514" s="73" t="s">
        <v>381</v>
      </c>
      <c r="B514" s="74" t="s">
        <v>776</v>
      </c>
      <c r="C514" s="75" t="s">
        <v>1248</v>
      </c>
      <c r="D514" s="94" t="s">
        <v>1619</v>
      </c>
      <c r="E514" s="94" t="s">
        <v>1776</v>
      </c>
    </row>
    <row r="515" spans="1:5">
      <c r="A515" s="73" t="s">
        <v>382</v>
      </c>
      <c r="B515" s="74" t="s">
        <v>777</v>
      </c>
      <c r="C515" s="75" t="s">
        <v>1249</v>
      </c>
      <c r="D515" s="94" t="s">
        <v>1619</v>
      </c>
      <c r="E515" s="94" t="s">
        <v>1776</v>
      </c>
    </row>
    <row r="516" spans="1:5">
      <c r="A516" s="73" t="s">
        <v>383</v>
      </c>
      <c r="B516" s="74" t="s">
        <v>778</v>
      </c>
      <c r="C516" s="75" t="s">
        <v>1250</v>
      </c>
      <c r="D516" s="94" t="s">
        <v>1619</v>
      </c>
      <c r="E516" s="94" t="s">
        <v>1776</v>
      </c>
    </row>
    <row r="517" spans="1:5">
      <c r="A517" s="73" t="s">
        <v>384</v>
      </c>
      <c r="B517" s="74" t="s">
        <v>779</v>
      </c>
      <c r="C517" s="75" t="s">
        <v>1251</v>
      </c>
      <c r="D517" s="94" t="s">
        <v>1619</v>
      </c>
      <c r="E517" s="94" t="s">
        <v>1776</v>
      </c>
    </row>
    <row r="518" spans="1:5">
      <c r="A518" s="76" t="s">
        <v>385</v>
      </c>
      <c r="B518" s="45" t="s">
        <v>780</v>
      </c>
      <c r="C518" s="75" t="s">
        <v>1227</v>
      </c>
      <c r="D518" s="94" t="s">
        <v>1619</v>
      </c>
      <c r="E518" s="94" t="s">
        <v>1776</v>
      </c>
    </row>
    <row r="519" spans="1:5">
      <c r="A519" s="76" t="s">
        <v>386</v>
      </c>
      <c r="B519" s="45" t="s">
        <v>781</v>
      </c>
      <c r="C519" s="75" t="s">
        <v>1228</v>
      </c>
      <c r="D519" s="94" t="s">
        <v>1619</v>
      </c>
      <c r="E519" s="94" t="s">
        <v>1776</v>
      </c>
    </row>
    <row r="520" spans="1:5">
      <c r="A520" s="73" t="s">
        <v>387</v>
      </c>
      <c r="B520" s="74" t="s">
        <v>782</v>
      </c>
      <c r="C520" s="75" t="s">
        <v>1252</v>
      </c>
      <c r="D520" s="94" t="s">
        <v>1619</v>
      </c>
      <c r="E520" s="94" t="s">
        <v>1776</v>
      </c>
    </row>
    <row r="521" spans="1:5">
      <c r="A521" s="73" t="s">
        <v>431</v>
      </c>
      <c r="B521" s="45" t="s">
        <v>825</v>
      </c>
      <c r="C521" s="75" t="s">
        <v>1286</v>
      </c>
      <c r="D521" s="94" t="s">
        <v>1620</v>
      </c>
      <c r="E521" s="94" t="s">
        <v>1776</v>
      </c>
    </row>
    <row r="522" spans="1:5">
      <c r="A522" s="73" t="s">
        <v>432</v>
      </c>
      <c r="B522" s="45" t="s">
        <v>826</v>
      </c>
      <c r="C522" s="75" t="s">
        <v>1287</v>
      </c>
      <c r="D522" s="94" t="s">
        <v>1620</v>
      </c>
      <c r="E522" s="94" t="s">
        <v>1776</v>
      </c>
    </row>
    <row r="523" spans="1:5">
      <c r="A523" s="76" t="s">
        <v>391</v>
      </c>
      <c r="B523" s="45" t="s">
        <v>803</v>
      </c>
      <c r="C523" s="75" t="s">
        <v>1229</v>
      </c>
      <c r="D523" s="94" t="s">
        <v>1617</v>
      </c>
      <c r="E523" s="94" t="s">
        <v>1776</v>
      </c>
    </row>
    <row r="524" spans="1:5">
      <c r="A524" s="76" t="s">
        <v>392</v>
      </c>
      <c r="B524" s="45" t="s">
        <v>804</v>
      </c>
      <c r="C524" s="75" t="s">
        <v>1230</v>
      </c>
      <c r="D524" s="94" t="s">
        <v>1617</v>
      </c>
      <c r="E524" s="94" t="s">
        <v>1776</v>
      </c>
    </row>
    <row r="525" spans="1:5">
      <c r="A525" s="94" t="s">
        <v>1428</v>
      </c>
      <c r="B525" s="74" t="s">
        <v>1429</v>
      </c>
      <c r="C525" s="75" t="s">
        <v>1430</v>
      </c>
      <c r="D525" s="94" t="s">
        <v>1632</v>
      </c>
      <c r="E525" s="94" t="s">
        <v>1776</v>
      </c>
    </row>
    <row r="526" spans="1:5">
      <c r="A526" s="73" t="s">
        <v>397</v>
      </c>
      <c r="B526" s="45" t="s">
        <v>789</v>
      </c>
      <c r="C526" s="75" t="s">
        <v>1265</v>
      </c>
      <c r="D526" s="94" t="s">
        <v>1632</v>
      </c>
      <c r="E526" s="94" t="s">
        <v>1776</v>
      </c>
    </row>
    <row r="527" spans="1:5">
      <c r="A527" s="73" t="s">
        <v>398</v>
      </c>
      <c r="B527" s="74" t="s">
        <v>790</v>
      </c>
      <c r="C527" s="75" t="s">
        <v>1266</v>
      </c>
      <c r="D527" s="94" t="s">
        <v>1632</v>
      </c>
      <c r="E527" s="94" t="s">
        <v>1776</v>
      </c>
    </row>
    <row r="528" spans="1:5">
      <c r="A528" s="76" t="s">
        <v>399</v>
      </c>
      <c r="B528" s="45" t="s">
        <v>791</v>
      </c>
      <c r="C528" s="75" t="s">
        <v>1256</v>
      </c>
      <c r="D528" s="94" t="s">
        <v>1632</v>
      </c>
      <c r="E528" s="94" t="s">
        <v>1776</v>
      </c>
    </row>
    <row r="529" spans="1:5">
      <c r="A529" s="73" t="s">
        <v>400</v>
      </c>
      <c r="B529" s="74" t="s">
        <v>792</v>
      </c>
      <c r="C529" s="75" t="s">
        <v>1267</v>
      </c>
      <c r="D529" s="94" t="s">
        <v>1632</v>
      </c>
      <c r="E529" s="94" t="s">
        <v>1776</v>
      </c>
    </row>
    <row r="530" spans="1:5">
      <c r="A530" s="76" t="s">
        <v>401</v>
      </c>
      <c r="B530" s="45" t="s">
        <v>793</v>
      </c>
      <c r="C530" s="75" t="s">
        <v>1257</v>
      </c>
      <c r="D530" s="94" t="s">
        <v>1632</v>
      </c>
      <c r="E530" s="94" t="s">
        <v>1776</v>
      </c>
    </row>
    <row r="531" spans="1:5">
      <c r="A531" s="73" t="s">
        <v>402</v>
      </c>
      <c r="B531" s="45" t="s">
        <v>794</v>
      </c>
      <c r="C531" s="75" t="s">
        <v>1268</v>
      </c>
      <c r="D531" s="94" t="s">
        <v>1632</v>
      </c>
      <c r="E531" s="94" t="s">
        <v>1776</v>
      </c>
    </row>
    <row r="532" spans="1:5">
      <c r="A532" s="76" t="s">
        <v>394</v>
      </c>
      <c r="B532" s="45" t="s">
        <v>786</v>
      </c>
      <c r="C532" s="75" t="s">
        <v>1258</v>
      </c>
      <c r="D532" s="94" t="s">
        <v>1632</v>
      </c>
      <c r="E532" s="94" t="s">
        <v>1776</v>
      </c>
    </row>
    <row r="533" spans="1:5">
      <c r="A533" s="76" t="s">
        <v>396</v>
      </c>
      <c r="B533" s="45" t="s">
        <v>788</v>
      </c>
      <c r="C533" s="75" t="s">
        <v>1259</v>
      </c>
      <c r="D533" s="94" t="s">
        <v>1632</v>
      </c>
      <c r="E533" s="94" t="s">
        <v>1776</v>
      </c>
    </row>
    <row r="534" spans="1:5">
      <c r="A534" s="76" t="s">
        <v>395</v>
      </c>
      <c r="B534" s="45" t="s">
        <v>787</v>
      </c>
      <c r="C534" s="75" t="s">
        <v>1260</v>
      </c>
      <c r="D534" s="94" t="s">
        <v>1632</v>
      </c>
      <c r="E534" s="94" t="s">
        <v>1776</v>
      </c>
    </row>
    <row r="535" spans="1:5">
      <c r="A535" s="76" t="s">
        <v>403</v>
      </c>
      <c r="B535" s="45" t="s">
        <v>795</v>
      </c>
      <c r="C535" s="75" t="s">
        <v>1261</v>
      </c>
      <c r="D535" s="94" t="s">
        <v>1632</v>
      </c>
      <c r="E535" s="94" t="s">
        <v>1776</v>
      </c>
    </row>
    <row r="536" spans="1:5">
      <c r="A536" s="73" t="s">
        <v>404</v>
      </c>
      <c r="B536" s="45" t="s">
        <v>796</v>
      </c>
      <c r="C536" s="75" t="s">
        <v>1269</v>
      </c>
      <c r="D536" s="94" t="s">
        <v>1632</v>
      </c>
      <c r="E536" s="94" t="s">
        <v>1776</v>
      </c>
    </row>
    <row r="537" spans="1:5">
      <c r="A537" s="73" t="s">
        <v>405</v>
      </c>
      <c r="B537" s="45" t="s">
        <v>797</v>
      </c>
      <c r="C537" s="75" t="s">
        <v>1270</v>
      </c>
      <c r="D537" s="94" t="s">
        <v>1632</v>
      </c>
      <c r="E537" s="94" t="s">
        <v>1776</v>
      </c>
    </row>
    <row r="538" spans="1:5">
      <c r="A538" s="73" t="s">
        <v>406</v>
      </c>
      <c r="B538" s="45" t="s">
        <v>798</v>
      </c>
      <c r="C538" s="75" t="s">
        <v>1271</v>
      </c>
      <c r="D538" s="94" t="s">
        <v>1632</v>
      </c>
      <c r="E538" s="94" t="s">
        <v>1776</v>
      </c>
    </row>
    <row r="539" spans="1:5">
      <c r="A539" s="73" t="s">
        <v>407</v>
      </c>
      <c r="B539" s="45" t="s">
        <v>799</v>
      </c>
      <c r="C539" s="75" t="s">
        <v>1272</v>
      </c>
      <c r="D539" s="94" t="s">
        <v>1632</v>
      </c>
      <c r="E539" s="94" t="s">
        <v>1776</v>
      </c>
    </row>
    <row r="540" spans="1:5">
      <c r="A540" s="76" t="s">
        <v>408</v>
      </c>
      <c r="B540" s="45" t="s">
        <v>800</v>
      </c>
      <c r="C540" s="75" t="s">
        <v>1262</v>
      </c>
      <c r="D540" s="94" t="s">
        <v>1632</v>
      </c>
      <c r="E540" s="94" t="s">
        <v>1776</v>
      </c>
    </row>
    <row r="541" spans="1:5">
      <c r="A541" s="73" t="s">
        <v>409</v>
      </c>
      <c r="B541" s="45" t="s">
        <v>801</v>
      </c>
      <c r="C541" s="77" t="s">
        <v>1273</v>
      </c>
      <c r="D541" s="94" t="s">
        <v>1632</v>
      </c>
      <c r="E541" s="94" t="s">
        <v>1776</v>
      </c>
    </row>
    <row r="542" spans="1:5">
      <c r="A542" s="76" t="s">
        <v>410</v>
      </c>
      <c r="B542" s="45" t="s">
        <v>802</v>
      </c>
      <c r="C542" s="75" t="s">
        <v>1263</v>
      </c>
      <c r="D542" s="94" t="s">
        <v>1632</v>
      </c>
      <c r="E542" s="94" t="s">
        <v>1776</v>
      </c>
    </row>
    <row r="543" spans="1:5">
      <c r="A543" s="94" t="s">
        <v>1535</v>
      </c>
      <c r="B543" s="45" t="s">
        <v>1536</v>
      </c>
      <c r="C543" s="77" t="s">
        <v>1537</v>
      </c>
      <c r="D543" s="94" t="s">
        <v>1632</v>
      </c>
      <c r="E543" s="94" t="s">
        <v>1776</v>
      </c>
    </row>
    <row r="544" spans="1:5">
      <c r="A544" s="73" t="s">
        <v>411</v>
      </c>
      <c r="B544" s="45" t="s">
        <v>807</v>
      </c>
      <c r="C544" s="75" t="s">
        <v>1275</v>
      </c>
      <c r="D544" s="94" t="s">
        <v>1617</v>
      </c>
      <c r="E544" s="94" t="s">
        <v>1776</v>
      </c>
    </row>
    <row r="545" spans="1:5">
      <c r="A545" s="76" t="s">
        <v>412</v>
      </c>
      <c r="B545" s="45" t="s">
        <v>808</v>
      </c>
      <c r="C545" s="75" t="s">
        <v>1264</v>
      </c>
      <c r="D545" s="94" t="s">
        <v>1617</v>
      </c>
      <c r="E545" s="94" t="s">
        <v>1776</v>
      </c>
    </row>
    <row r="546" spans="1:5">
      <c r="A546" s="73" t="s">
        <v>74</v>
      </c>
      <c r="B546" s="74" t="s">
        <v>523</v>
      </c>
      <c r="C546" s="75" t="s">
        <v>968</v>
      </c>
      <c r="D546" s="94" t="s">
        <v>1633</v>
      </c>
      <c r="E546" s="94" t="s">
        <v>1776</v>
      </c>
    </row>
    <row r="547" spans="1:5">
      <c r="A547" s="76" t="s">
        <v>420</v>
      </c>
      <c r="B547" s="45" t="s">
        <v>814</v>
      </c>
      <c r="C547" s="75" t="s">
        <v>859</v>
      </c>
      <c r="D547" s="94" t="s">
        <v>1621</v>
      </c>
      <c r="E547" s="94" t="s">
        <v>1776</v>
      </c>
    </row>
    <row r="548" spans="1:5">
      <c r="A548" s="164" t="s">
        <v>1713</v>
      </c>
      <c r="B548" s="74" t="s">
        <v>1714</v>
      </c>
      <c r="C548" s="95" t="s">
        <v>1715</v>
      </c>
      <c r="D548" s="94" t="s">
        <v>1633</v>
      </c>
      <c r="E548" s="94" t="s">
        <v>1776</v>
      </c>
    </row>
    <row r="549" spans="1:5">
      <c r="A549" s="73" t="s">
        <v>75</v>
      </c>
      <c r="B549" s="74" t="s">
        <v>524</v>
      </c>
      <c r="C549" s="75" t="s">
        <v>969</v>
      </c>
      <c r="D549" s="94" t="s">
        <v>1633</v>
      </c>
      <c r="E549" s="94" t="s">
        <v>1776</v>
      </c>
    </row>
    <row r="550" spans="1:5">
      <c r="A550" s="43" t="s">
        <v>1793</v>
      </c>
      <c r="B550" s="165" t="s">
        <v>1432</v>
      </c>
      <c r="C550" s="95" t="s">
        <v>1794</v>
      </c>
      <c r="D550" s="94" t="s">
        <v>1633</v>
      </c>
      <c r="E550" s="94" t="s">
        <v>1776</v>
      </c>
    </row>
    <row r="551" spans="1:5">
      <c r="A551" s="94" t="s">
        <v>1431</v>
      </c>
      <c r="B551" s="74" t="s">
        <v>1432</v>
      </c>
      <c r="C551" s="75" t="s">
        <v>1433</v>
      </c>
      <c r="D551" s="94" t="s">
        <v>1633</v>
      </c>
      <c r="E551" s="94" t="s">
        <v>1776</v>
      </c>
    </row>
    <row r="552" spans="1:5">
      <c r="A552" s="76" t="s">
        <v>76</v>
      </c>
      <c r="B552" s="45" t="s">
        <v>524</v>
      </c>
      <c r="C552" s="75" t="s">
        <v>901</v>
      </c>
      <c r="D552" s="94" t="s">
        <v>1633</v>
      </c>
      <c r="E552" s="94" t="s">
        <v>1776</v>
      </c>
    </row>
    <row r="553" spans="1:5">
      <c r="A553" s="94" t="s">
        <v>1434</v>
      </c>
      <c r="B553" s="45" t="s">
        <v>524</v>
      </c>
      <c r="C553" s="75" t="s">
        <v>1435</v>
      </c>
      <c r="D553" s="94" t="s">
        <v>1633</v>
      </c>
      <c r="E553" s="94" t="s">
        <v>1776</v>
      </c>
    </row>
    <row r="554" spans="1:5">
      <c r="A554" s="94" t="s">
        <v>1436</v>
      </c>
      <c r="B554" s="74" t="s">
        <v>1432</v>
      </c>
      <c r="C554" s="75" t="s">
        <v>1437</v>
      </c>
      <c r="D554" s="94" t="s">
        <v>1633</v>
      </c>
      <c r="E554" s="94" t="s">
        <v>1776</v>
      </c>
    </row>
    <row r="555" spans="1:5">
      <c r="A555" s="76" t="s">
        <v>77</v>
      </c>
      <c r="B555" s="45" t="s">
        <v>525</v>
      </c>
      <c r="C555" s="75" t="s">
        <v>902</v>
      </c>
      <c r="D555" s="94" t="s">
        <v>1633</v>
      </c>
      <c r="E555" s="94" t="s">
        <v>1776</v>
      </c>
    </row>
    <row r="556" spans="1:5">
      <c r="A556" s="76" t="s">
        <v>78</v>
      </c>
      <c r="B556" s="45" t="s">
        <v>526</v>
      </c>
      <c r="C556" s="75" t="s">
        <v>903</v>
      </c>
      <c r="D556" s="94" t="s">
        <v>1633</v>
      </c>
      <c r="E556" s="94" t="s">
        <v>1776</v>
      </c>
    </row>
    <row r="557" spans="1:5">
      <c r="A557" s="164" t="s">
        <v>1672</v>
      </c>
      <c r="B557" s="74" t="s">
        <v>530</v>
      </c>
      <c r="C557" s="95" t="s">
        <v>1673</v>
      </c>
      <c r="D557" s="94" t="s">
        <v>1633</v>
      </c>
      <c r="E557" s="94" t="s">
        <v>1776</v>
      </c>
    </row>
    <row r="558" spans="1:5">
      <c r="A558" s="75" t="s">
        <v>1551</v>
      </c>
      <c r="B558" s="74" t="s">
        <v>527</v>
      </c>
      <c r="C558" s="77" t="s">
        <v>1552</v>
      </c>
      <c r="D558" s="94" t="s">
        <v>1633</v>
      </c>
      <c r="E558" s="94" t="s">
        <v>1776</v>
      </c>
    </row>
    <row r="559" spans="1:5">
      <c r="A559" s="94" t="s">
        <v>1637</v>
      </c>
      <c r="B559" s="74" t="s">
        <v>1541</v>
      </c>
      <c r="C559" s="95" t="s">
        <v>1665</v>
      </c>
      <c r="D559" s="94" t="s">
        <v>1633</v>
      </c>
      <c r="E559" s="94" t="s">
        <v>1776</v>
      </c>
    </row>
    <row r="560" spans="1:5">
      <c r="A560" s="94" t="s">
        <v>1538</v>
      </c>
      <c r="B560" s="74" t="s">
        <v>527</v>
      </c>
      <c r="C560" s="95" t="s">
        <v>1539</v>
      </c>
      <c r="D560" s="94" t="s">
        <v>1633</v>
      </c>
      <c r="E560" s="94" t="s">
        <v>1776</v>
      </c>
    </row>
    <row r="561" spans="1:5">
      <c r="A561" s="73" t="s">
        <v>79</v>
      </c>
      <c r="B561" s="74" t="s">
        <v>527</v>
      </c>
      <c r="C561" s="75" t="s">
        <v>970</v>
      </c>
      <c r="D561" s="94" t="s">
        <v>1633</v>
      </c>
      <c r="E561" s="94" t="s">
        <v>1776</v>
      </c>
    </row>
    <row r="562" spans="1:5">
      <c r="A562" s="73" t="s">
        <v>80</v>
      </c>
      <c r="B562" s="74" t="s">
        <v>528</v>
      </c>
      <c r="C562" s="75" t="s">
        <v>971</v>
      </c>
      <c r="D562" s="94" t="s">
        <v>1633</v>
      </c>
      <c r="E562" s="94" t="s">
        <v>1776</v>
      </c>
    </row>
    <row r="563" spans="1:5">
      <c r="A563" s="94" t="s">
        <v>1540</v>
      </c>
      <c r="B563" s="45" t="s">
        <v>1541</v>
      </c>
      <c r="C563" s="95" t="s">
        <v>1542</v>
      </c>
      <c r="D563" s="94" t="s">
        <v>1633</v>
      </c>
      <c r="E563" s="94" t="s">
        <v>1776</v>
      </c>
    </row>
    <row r="564" spans="1:5">
      <c r="A564" s="163" t="s">
        <v>1473</v>
      </c>
      <c r="B564" s="74" t="s">
        <v>1475</v>
      </c>
      <c r="C564" s="75" t="s">
        <v>1474</v>
      </c>
      <c r="D564" s="94" t="s">
        <v>1633</v>
      </c>
      <c r="E564" s="94" t="s">
        <v>1776</v>
      </c>
    </row>
    <row r="565" spans="1:5">
      <c r="A565" s="73" t="s">
        <v>81</v>
      </c>
      <c r="B565" s="74" t="s">
        <v>529</v>
      </c>
      <c r="C565" s="75" t="s">
        <v>972</v>
      </c>
      <c r="D565" s="94" t="s">
        <v>1633</v>
      </c>
      <c r="E565" s="94" t="s">
        <v>1776</v>
      </c>
    </row>
    <row r="566" spans="1:5">
      <c r="A566" s="73" t="s">
        <v>82</v>
      </c>
      <c r="B566" s="74" t="s">
        <v>530</v>
      </c>
      <c r="C566" s="75" t="s">
        <v>973</v>
      </c>
      <c r="D566" s="94" t="s">
        <v>1633</v>
      </c>
      <c r="E566" s="94" t="s">
        <v>1776</v>
      </c>
    </row>
    <row r="567" spans="1:5">
      <c r="A567" s="76" t="s">
        <v>83</v>
      </c>
      <c r="B567" s="45" t="s">
        <v>531</v>
      </c>
      <c r="C567" s="75" t="s">
        <v>904</v>
      </c>
      <c r="D567" s="94" t="s">
        <v>1633</v>
      </c>
      <c r="E567" s="94" t="s">
        <v>1776</v>
      </c>
    </row>
    <row r="568" spans="1:5">
      <c r="A568" s="76" t="s">
        <v>1438</v>
      </c>
      <c r="B568" s="74" t="s">
        <v>531</v>
      </c>
      <c r="C568" s="75" t="s">
        <v>1501</v>
      </c>
      <c r="D568" s="94" t="s">
        <v>1633</v>
      </c>
      <c r="E568" s="94" t="s">
        <v>1776</v>
      </c>
    </row>
    <row r="569" spans="1:5">
      <c r="A569" s="73" t="s">
        <v>84</v>
      </c>
      <c r="B569" s="74" t="s">
        <v>523</v>
      </c>
      <c r="C569" s="75" t="s">
        <v>974</v>
      </c>
      <c r="D569" s="94" t="s">
        <v>1633</v>
      </c>
      <c r="E569" s="94" t="s">
        <v>1776</v>
      </c>
    </row>
    <row r="570" spans="1:5">
      <c r="A570" s="73" t="s">
        <v>85</v>
      </c>
      <c r="B570" s="74" t="s">
        <v>523</v>
      </c>
      <c r="C570" s="75" t="s">
        <v>975</v>
      </c>
      <c r="D570" s="94" t="s">
        <v>1633</v>
      </c>
      <c r="E570" s="94" t="s">
        <v>1776</v>
      </c>
    </row>
    <row r="571" spans="1:5">
      <c r="A571" s="94" t="s">
        <v>1439</v>
      </c>
      <c r="B571" s="74" t="s">
        <v>532</v>
      </c>
      <c r="C571" s="75" t="s">
        <v>1440</v>
      </c>
      <c r="D571" s="94" t="s">
        <v>1633</v>
      </c>
      <c r="E571" s="94" t="s">
        <v>1776</v>
      </c>
    </row>
    <row r="572" spans="1:5">
      <c r="A572" s="94" t="s">
        <v>1441</v>
      </c>
      <c r="B572" s="45" t="s">
        <v>533</v>
      </c>
      <c r="C572" s="75" t="s">
        <v>1442</v>
      </c>
      <c r="D572" s="94" t="s">
        <v>1633</v>
      </c>
      <c r="E572" s="94" t="s">
        <v>1776</v>
      </c>
    </row>
    <row r="573" spans="1:5">
      <c r="A573" s="73" t="s">
        <v>86</v>
      </c>
      <c r="B573" s="74" t="s">
        <v>532</v>
      </c>
      <c r="C573" s="75" t="s">
        <v>976</v>
      </c>
      <c r="D573" s="94" t="s">
        <v>1633</v>
      </c>
      <c r="E573" s="94" t="s">
        <v>1776</v>
      </c>
    </row>
    <row r="574" spans="1:5">
      <c r="A574" s="76" t="s">
        <v>87</v>
      </c>
      <c r="B574" s="45" t="s">
        <v>533</v>
      </c>
      <c r="C574" s="75" t="s">
        <v>905</v>
      </c>
      <c r="D574" s="94" t="s">
        <v>1633</v>
      </c>
      <c r="E574" s="94" t="s">
        <v>1776</v>
      </c>
    </row>
    <row r="575" spans="1:5">
      <c r="A575" s="76" t="s">
        <v>1443</v>
      </c>
      <c r="B575" s="74" t="s">
        <v>533</v>
      </c>
      <c r="C575" s="75" t="s">
        <v>1502</v>
      </c>
      <c r="D575" s="94" t="s">
        <v>1633</v>
      </c>
      <c r="E575" s="94" t="s">
        <v>1776</v>
      </c>
    </row>
    <row r="576" spans="1:5">
      <c r="A576" s="76" t="s">
        <v>1543</v>
      </c>
      <c r="B576" s="45" t="s">
        <v>534</v>
      </c>
      <c r="C576" s="75" t="s">
        <v>1544</v>
      </c>
      <c r="D576" s="94" t="s">
        <v>1633</v>
      </c>
      <c r="E576" s="94" t="s">
        <v>1776</v>
      </c>
    </row>
    <row r="577" spans="1:5">
      <c r="A577" s="76" t="s">
        <v>88</v>
      </c>
      <c r="B577" s="45" t="s">
        <v>534</v>
      </c>
      <c r="C577" s="75" t="s">
        <v>906</v>
      </c>
      <c r="D577" s="94" t="s">
        <v>1633</v>
      </c>
      <c r="E577" s="94" t="s">
        <v>1776</v>
      </c>
    </row>
    <row r="578" spans="1:5">
      <c r="A578" s="94" t="s">
        <v>1444</v>
      </c>
      <c r="B578" s="74" t="s">
        <v>535</v>
      </c>
      <c r="C578" s="75" t="s">
        <v>1445</v>
      </c>
      <c r="D578" s="94" t="s">
        <v>1633</v>
      </c>
      <c r="E578" s="94" t="s">
        <v>1776</v>
      </c>
    </row>
    <row r="579" spans="1:5">
      <c r="A579" s="73" t="s">
        <v>89</v>
      </c>
      <c r="B579" s="74" t="s">
        <v>535</v>
      </c>
      <c r="C579" s="75" t="s">
        <v>977</v>
      </c>
      <c r="D579" s="94" t="s">
        <v>1633</v>
      </c>
      <c r="E579" s="94" t="s">
        <v>1776</v>
      </c>
    </row>
    <row r="580" spans="1:5">
      <c r="A580" s="94" t="s">
        <v>1446</v>
      </c>
      <c r="B580" s="45" t="s">
        <v>536</v>
      </c>
      <c r="C580" s="75" t="s">
        <v>1447</v>
      </c>
      <c r="D580" s="94" t="s">
        <v>1633</v>
      </c>
      <c r="E580" s="94" t="s">
        <v>1776</v>
      </c>
    </row>
    <row r="581" spans="1:5">
      <c r="A581" s="76" t="s">
        <v>90</v>
      </c>
      <c r="B581" s="45" t="s">
        <v>536</v>
      </c>
      <c r="C581" s="75" t="s">
        <v>907</v>
      </c>
      <c r="D581" s="94" t="s">
        <v>1633</v>
      </c>
      <c r="E581" s="94" t="s">
        <v>1776</v>
      </c>
    </row>
    <row r="582" spans="1:5">
      <c r="A582" s="76" t="s">
        <v>91</v>
      </c>
      <c r="B582" s="45" t="s">
        <v>537</v>
      </c>
      <c r="C582" s="75" t="s">
        <v>908</v>
      </c>
      <c r="D582" s="94" t="s">
        <v>1633</v>
      </c>
      <c r="E582" s="94" t="s">
        <v>1776</v>
      </c>
    </row>
    <row r="583" spans="1:5">
      <c r="A583" s="94" t="s">
        <v>1448</v>
      </c>
      <c r="B583" s="45" t="s">
        <v>537</v>
      </c>
      <c r="C583" s="75" t="s">
        <v>1449</v>
      </c>
      <c r="D583" s="94" t="s">
        <v>1633</v>
      </c>
      <c r="E583" s="94" t="s">
        <v>1776</v>
      </c>
    </row>
    <row r="584" spans="1:5">
      <c r="A584" s="94" t="s">
        <v>1450</v>
      </c>
      <c r="B584" s="74" t="s">
        <v>1451</v>
      </c>
      <c r="C584" s="75" t="s">
        <v>1476</v>
      </c>
      <c r="D584" s="94" t="s">
        <v>1633</v>
      </c>
      <c r="E584" s="94" t="s">
        <v>1776</v>
      </c>
    </row>
    <row r="585" spans="1:5">
      <c r="A585" s="76" t="s">
        <v>92</v>
      </c>
      <c r="B585" s="45" t="s">
        <v>538</v>
      </c>
      <c r="C585" s="75" t="s">
        <v>909</v>
      </c>
      <c r="D585" s="94" t="s">
        <v>1633</v>
      </c>
      <c r="E585" s="94" t="s">
        <v>1776</v>
      </c>
    </row>
    <row r="586" spans="1:5">
      <c r="A586" s="94" t="s">
        <v>1452</v>
      </c>
      <c r="B586" s="74" t="s">
        <v>538</v>
      </c>
      <c r="C586" s="75" t="s">
        <v>1477</v>
      </c>
      <c r="D586" s="94" t="s">
        <v>1633</v>
      </c>
      <c r="E586" s="94" t="s">
        <v>1776</v>
      </c>
    </row>
    <row r="587" spans="1:5">
      <c r="A587" s="76" t="s">
        <v>93</v>
      </c>
      <c r="B587" s="45" t="s">
        <v>539</v>
      </c>
      <c r="C587" s="75" t="s">
        <v>910</v>
      </c>
      <c r="D587" s="94" t="s">
        <v>1633</v>
      </c>
      <c r="E587" s="94" t="s">
        <v>1776</v>
      </c>
    </row>
    <row r="588" spans="1:5">
      <c r="A588" s="76" t="s">
        <v>94</v>
      </c>
      <c r="B588" s="45" t="s">
        <v>911</v>
      </c>
      <c r="C588" s="75" t="s">
        <v>912</v>
      </c>
      <c r="D588" s="94" t="s">
        <v>1633</v>
      </c>
      <c r="E588" s="94" t="s">
        <v>1776</v>
      </c>
    </row>
    <row r="589" spans="1:5">
      <c r="A589" s="94" t="s">
        <v>1453</v>
      </c>
      <c r="B589" s="74" t="s">
        <v>1454</v>
      </c>
      <c r="C589" s="75" t="s">
        <v>1455</v>
      </c>
      <c r="D589" s="94" t="s">
        <v>1633</v>
      </c>
      <c r="E589" s="94" t="s">
        <v>1776</v>
      </c>
    </row>
    <row r="590" spans="1:5">
      <c r="A590" s="73" t="s">
        <v>95</v>
      </c>
      <c r="B590" s="74" t="s">
        <v>524</v>
      </c>
      <c r="C590" s="75" t="s">
        <v>978</v>
      </c>
      <c r="D590" s="94" t="s">
        <v>1633</v>
      </c>
      <c r="E590" s="94" t="s">
        <v>1776</v>
      </c>
    </row>
    <row r="591" spans="1:5">
      <c r="A591" s="73" t="s">
        <v>96</v>
      </c>
      <c r="B591" s="74" t="s">
        <v>540</v>
      </c>
      <c r="C591" s="75" t="s">
        <v>979</v>
      </c>
      <c r="D591" s="94" t="s">
        <v>1633</v>
      </c>
      <c r="E591" s="94" t="s">
        <v>1776</v>
      </c>
    </row>
    <row r="592" spans="1:5">
      <c r="A592" s="94" t="s">
        <v>1456</v>
      </c>
      <c r="B592" s="74" t="s">
        <v>529</v>
      </c>
      <c r="C592" s="75" t="s">
        <v>1457</v>
      </c>
      <c r="D592" s="94" t="s">
        <v>1633</v>
      </c>
      <c r="E592" s="94" t="s">
        <v>1776</v>
      </c>
    </row>
    <row r="593" spans="1:5">
      <c r="A593" s="73" t="s">
        <v>97</v>
      </c>
      <c r="B593" s="74" t="s">
        <v>536</v>
      </c>
      <c r="C593" s="75" t="s">
        <v>980</v>
      </c>
      <c r="D593" s="94" t="s">
        <v>1633</v>
      </c>
      <c r="E593" s="94" t="s">
        <v>1776</v>
      </c>
    </row>
    <row r="594" spans="1:5">
      <c r="A594" s="94" t="s">
        <v>1458</v>
      </c>
      <c r="B594" s="74" t="s">
        <v>1459</v>
      </c>
      <c r="C594" s="77" t="s">
        <v>1460</v>
      </c>
      <c r="D594" s="94" t="s">
        <v>1633</v>
      </c>
      <c r="E594" s="94" t="s">
        <v>1776</v>
      </c>
    </row>
    <row r="595" spans="1:5">
      <c r="A595" s="73" t="s">
        <v>98</v>
      </c>
      <c r="B595" s="74" t="s">
        <v>541</v>
      </c>
      <c r="C595" s="75" t="s">
        <v>981</v>
      </c>
      <c r="D595" s="94" t="s">
        <v>1633</v>
      </c>
      <c r="E595" s="94" t="s">
        <v>1776</v>
      </c>
    </row>
    <row r="596" spans="1:5">
      <c r="A596" s="94" t="s">
        <v>1461</v>
      </c>
      <c r="B596" s="45" t="s">
        <v>544</v>
      </c>
      <c r="C596" s="75" t="s">
        <v>1462</v>
      </c>
      <c r="D596" s="94" t="s">
        <v>1634</v>
      </c>
      <c r="E596" s="94" t="s">
        <v>1776</v>
      </c>
    </row>
    <row r="597" spans="1:5">
      <c r="A597" s="76" t="s">
        <v>1313</v>
      </c>
      <c r="B597" s="45" t="s">
        <v>1318</v>
      </c>
      <c r="C597" s="77" t="s">
        <v>1317</v>
      </c>
      <c r="D597" s="94" t="s">
        <v>1634</v>
      </c>
      <c r="E597" s="94" t="s">
        <v>1776</v>
      </c>
    </row>
    <row r="598" spans="1:5">
      <c r="A598" s="73" t="s">
        <v>103</v>
      </c>
      <c r="B598" s="74" t="s">
        <v>542</v>
      </c>
      <c r="C598" s="75" t="s">
        <v>982</v>
      </c>
      <c r="D598" s="94" t="s">
        <v>1634</v>
      </c>
      <c r="E598" s="94" t="s">
        <v>1776</v>
      </c>
    </row>
    <row r="599" spans="1:5">
      <c r="A599" s="76" t="s">
        <v>104</v>
      </c>
      <c r="B599" s="45" t="s">
        <v>544</v>
      </c>
      <c r="C599" s="75" t="s">
        <v>913</v>
      </c>
      <c r="D599" s="94" t="s">
        <v>1634</v>
      </c>
      <c r="E599" s="94" t="s">
        <v>1776</v>
      </c>
    </row>
    <row r="600" spans="1:5">
      <c r="A600" s="94" t="s">
        <v>1463</v>
      </c>
      <c r="B600" s="45" t="s">
        <v>1464</v>
      </c>
      <c r="C600" s="75" t="s">
        <v>1465</v>
      </c>
      <c r="D600" s="94" t="s">
        <v>1634</v>
      </c>
      <c r="E600" s="94" t="s">
        <v>1776</v>
      </c>
    </row>
    <row r="601" spans="1:5">
      <c r="A601" s="76" t="s">
        <v>100</v>
      </c>
      <c r="B601" s="45" t="s">
        <v>542</v>
      </c>
      <c r="C601" s="75" t="s">
        <v>914</v>
      </c>
      <c r="D601" s="94" t="s">
        <v>1634</v>
      </c>
      <c r="E601" s="94" t="s">
        <v>1776</v>
      </c>
    </row>
    <row r="602" spans="1:5">
      <c r="A602" s="96" t="s">
        <v>1341</v>
      </c>
      <c r="B602" s="45" t="s">
        <v>1353</v>
      </c>
      <c r="C602" s="95" t="s">
        <v>1354</v>
      </c>
      <c r="D602" s="94" t="s">
        <v>1634</v>
      </c>
      <c r="E602" s="94" t="s">
        <v>1776</v>
      </c>
    </row>
    <row r="603" spans="1:5">
      <c r="A603" s="76" t="s">
        <v>101</v>
      </c>
      <c r="B603" s="45" t="s">
        <v>542</v>
      </c>
      <c r="C603" s="75" t="s">
        <v>915</v>
      </c>
      <c r="D603" s="94" t="s">
        <v>1634</v>
      </c>
      <c r="E603" s="94" t="s">
        <v>1776</v>
      </c>
    </row>
    <row r="604" spans="1:5">
      <c r="A604" s="76" t="s">
        <v>105</v>
      </c>
      <c r="B604" s="45" t="s">
        <v>545</v>
      </c>
      <c r="C604" s="75" t="s">
        <v>916</v>
      </c>
      <c r="D604" s="94" t="s">
        <v>1634</v>
      </c>
      <c r="E604" s="94" t="s">
        <v>1776</v>
      </c>
    </row>
    <row r="605" spans="1:5">
      <c r="A605" s="76" t="s">
        <v>917</v>
      </c>
      <c r="B605" s="45" t="s">
        <v>918</v>
      </c>
      <c r="C605" s="75" t="s">
        <v>919</v>
      </c>
      <c r="D605" s="94" t="s">
        <v>1634</v>
      </c>
      <c r="E605" s="94" t="s">
        <v>1776</v>
      </c>
    </row>
    <row r="606" spans="1:5">
      <c r="A606" s="76" t="s">
        <v>106</v>
      </c>
      <c r="B606" s="45" t="s">
        <v>546</v>
      </c>
      <c r="C606" s="75" t="s">
        <v>920</v>
      </c>
      <c r="D606" s="94" t="s">
        <v>1634</v>
      </c>
      <c r="E606" s="94" t="s">
        <v>1776</v>
      </c>
    </row>
    <row r="607" spans="1:5">
      <c r="A607" s="76" t="s">
        <v>107</v>
      </c>
      <c r="B607" s="45" t="s">
        <v>547</v>
      </c>
      <c r="C607" s="75" t="s">
        <v>921</v>
      </c>
      <c r="D607" s="94" t="s">
        <v>1634</v>
      </c>
      <c r="E607" s="94" t="s">
        <v>1776</v>
      </c>
    </row>
    <row r="608" spans="1:5">
      <c r="A608" s="76" t="s">
        <v>108</v>
      </c>
      <c r="B608" s="45" t="s">
        <v>548</v>
      </c>
      <c r="C608" s="75" t="s">
        <v>922</v>
      </c>
      <c r="D608" s="94" t="s">
        <v>1634</v>
      </c>
      <c r="E608" s="94" t="s">
        <v>1776</v>
      </c>
    </row>
    <row r="609" spans="1:5">
      <c r="A609" s="73" t="s">
        <v>470</v>
      </c>
      <c r="B609" s="74" t="s">
        <v>548</v>
      </c>
      <c r="C609" s="75" t="s">
        <v>983</v>
      </c>
      <c r="D609" s="94" t="s">
        <v>1634</v>
      </c>
      <c r="E609" s="94" t="s">
        <v>1776</v>
      </c>
    </row>
    <row r="610" spans="1:5">
      <c r="A610" s="76" t="s">
        <v>1310</v>
      </c>
      <c r="B610" s="45" t="s">
        <v>1311</v>
      </c>
      <c r="C610" s="75" t="s">
        <v>1312</v>
      </c>
      <c r="D610" s="94" t="s">
        <v>1634</v>
      </c>
      <c r="E610" s="94" t="s">
        <v>1776</v>
      </c>
    </row>
    <row r="611" spans="1:5">
      <c r="A611" s="76" t="s">
        <v>109</v>
      </c>
      <c r="B611" s="45" t="s">
        <v>549</v>
      </c>
      <c r="C611" s="75" t="s">
        <v>923</v>
      </c>
      <c r="D611" s="94" t="s">
        <v>1634</v>
      </c>
      <c r="E611" s="94" t="s">
        <v>1776</v>
      </c>
    </row>
    <row r="612" spans="1:5">
      <c r="A612" s="94" t="s">
        <v>1466</v>
      </c>
      <c r="B612" s="45" t="s">
        <v>543</v>
      </c>
      <c r="C612" s="75" t="s">
        <v>1467</v>
      </c>
      <c r="D612" s="94" t="s">
        <v>1634</v>
      </c>
      <c r="E612" s="94" t="s">
        <v>1776</v>
      </c>
    </row>
    <row r="613" spans="1:5">
      <c r="A613" s="76" t="s">
        <v>102</v>
      </c>
      <c r="B613" s="45" t="s">
        <v>543</v>
      </c>
      <c r="C613" s="75" t="s">
        <v>924</v>
      </c>
      <c r="D613" s="94" t="s">
        <v>1634</v>
      </c>
      <c r="E613" s="94" t="s">
        <v>1776</v>
      </c>
    </row>
    <row r="614" spans="1:5">
      <c r="A614" s="94" t="s">
        <v>1468</v>
      </c>
      <c r="B614" s="45" t="s">
        <v>1469</v>
      </c>
      <c r="C614" s="75" t="s">
        <v>1470</v>
      </c>
      <c r="D614" s="94" t="s">
        <v>1634</v>
      </c>
      <c r="E614" s="94" t="s">
        <v>1776</v>
      </c>
    </row>
    <row r="615" spans="1:5">
      <c r="A615" s="95" t="s">
        <v>1670</v>
      </c>
      <c r="B615" s="74" t="s">
        <v>545</v>
      </c>
      <c r="C615" s="74" t="s">
        <v>1671</v>
      </c>
      <c r="D615" s="94" t="s">
        <v>1634</v>
      </c>
      <c r="E615" s="94" t="s">
        <v>1776</v>
      </c>
    </row>
    <row r="616" spans="1:5">
      <c r="A616" s="94" t="s">
        <v>1471</v>
      </c>
      <c r="B616" s="45" t="s">
        <v>546</v>
      </c>
      <c r="C616" s="75" t="s">
        <v>1472</v>
      </c>
      <c r="D616" s="94" t="s">
        <v>1634</v>
      </c>
      <c r="E616" s="94" t="s">
        <v>1776</v>
      </c>
    </row>
    <row r="617" spans="1:5">
      <c r="A617" s="43" t="s">
        <v>1795</v>
      </c>
      <c r="B617" s="178" t="s">
        <v>546</v>
      </c>
      <c r="C617" s="177" t="s">
        <v>1796</v>
      </c>
      <c r="D617" s="94" t="s">
        <v>1634</v>
      </c>
      <c r="E617" s="94" t="s">
        <v>1776</v>
      </c>
    </row>
  </sheetData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2026-07-08T07:42:16Z</dcterms:modified>
</cp:coreProperties>
</file>