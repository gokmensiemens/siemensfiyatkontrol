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68" documentId="8_{04D112BD-6BD0-48D2-BCD0-B02DB0158664}" xr6:coauthVersionLast="47" xr6:coauthVersionMax="47" xr10:uidLastSave="{59BC4432-0246-4C6F-9109-5771A03D12C8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P281" i="1"/>
  <c r="O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81" i="1" s="1"/>
  <c r="N207" i="1"/>
  <c r="N206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205" i="1" s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8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39" i="1" s="1"/>
  <c r="N114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3" i="1" s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69" i="1" s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4" i="1" s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74359F3B-6FA1-4470-9709-1C3447164F97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<sst xmlns="http://schemas.openxmlformats.org/spreadsheetml/2006/main" count="3015" uniqueCount="1675">
  <si>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</si>
  <si>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</si>
  <si>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</si>
  <si>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</si>
  <si>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</si>
  <si>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</si>
  <si>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</si>
  <si>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</si>
  <si>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</si>
  <si>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</si>
  <si>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</si>
  <si>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</si>
  <si>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</si>
  <si>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</si>
  <si>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</si>
  <si>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</si>
  <si>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</si>
  <si>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</si>
  <si>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</si>
  <si>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</si>
  <si>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</si>
  <si>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</si>
  <si>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</si>
  <si>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</si>
  <si>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</si>
  <si>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</si>
  <si>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</si>
  <si>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</si>
  <si>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</si>
  <si>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</si>
  <si>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</si>
  <si>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</si>
  <si>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</si>
  <si>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</si>
  <si>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</si>
  <si>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</si>
  <si>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</si>
  <si>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</si>
  <si>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</si>
  <si>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</si>
  <si>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</si>
  <si>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</si>
  <si>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</si>
  <si>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</si>
  <si>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</si>
  <si>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</si>
  <si>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</si>
  <si>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</si>
  <si>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</si>
  <si>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</si>
  <si>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</si>
  <si>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</si>
  <si>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</si>
  <si>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</si>
  <si>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</si>
  <si>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</si>
  <si>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</si>
  <si>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</si>
  <si>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</si>
  <si>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</si>
  <si>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</si>
  <si>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</si>
  <si>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</si>
  <si>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</si>
  <si>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</si>
  <si>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</si>
  <si>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</si>
  <si>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</si>
  <si>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</si>
  <si>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</si>
  <si>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</si>
  <si>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</si>
  <si>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</si>
  <si>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</si>
  <si>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</si>
  <si>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</si>
  <si>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</si>
  <si>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</si>
  <si>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</si>
  <si>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</si>
  <si>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</si>
  <si>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</si>
  <si>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</si>
  <si>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</si>
  <si>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</si>
  <si>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</si>
  <si>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</si>
  <si>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</si>
  <si>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</si>
  <si>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</si>
  <si>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</si>
  <si>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</si>
  <si>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</si>
  <si>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</si>
  <si>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</si>
  <si>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</si>
  <si>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</si>
  <si>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</si>
  <si>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</si>
  <si>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</si>
  <si>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</si>
  <si>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</si>
  <si>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</si>
  <si>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</si>
  <si>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</si>
  <si>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</si>
  <si>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</si>
  <si>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</si>
  <si>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</si>
  <si>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</si>
  <si>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</si>
  <si>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</si>
  <si>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</si>
  <si>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</si>
  <si>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</si>
  <si>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</si>
  <si>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</si>
  <si>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</si>
  <si>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</si>
  <si>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</si>
  <si>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</si>
  <si>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</si>
  <si>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</si>
  <si>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</si>
  <si>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</si>
  <si>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</si>
  <si>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</si>
  <si>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</si>
  <si>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</si>
  <si>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</si>
  <si>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</si>
  <si>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</si>
  <si>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</si>
  <si>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</si>
  <si>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</si>
  <si>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</si>
  <si>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</si>
  <si>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</si>
  <si>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</si>
  <si>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</si>
  <si>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</si>
  <si>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</si>
  <si>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</si>
  <si>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</si>
  <si>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</si>
  <si>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</si>
  <si>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</si>
  <si>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</si>
  <si>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</si>
  <si>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</si>
  <si>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</si>
  <si>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</si>
  <si>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</si>
  <si>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</si>
  <si>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</si>
  <si>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</si>
  <si>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</si>
  <si>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</si>
  <si>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</si>
  <si>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</si>
  <si>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</si>
  <si>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</si>
  <si>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</si>
  <si>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</si>
  <si>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</si>
  <si>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</si>
  <si>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</si>
  <si>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</si>
  <si>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</si>
  <si>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</si>
  <si>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</si>
  <si>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</si>
  <si>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</si>
  <si>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</si>
  <si>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</si>
  <si>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</si>
  <si>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</si>
  <si>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</si>
  <si>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</si>
  <si>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</si>
  <si>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</si>
  <si>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</si>
  <si>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</si>
  <si>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</si>
  <si>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</si>
  <si>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</si>
  <si>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</si>
  <si>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</si>
  <si>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</si>
  <si>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</si>
  <si>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</si>
  <si>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</si>
  <si>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</si>
  <si>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</si>
  <si>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</si>
  <si>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</si>
  <si>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</si>
  <si>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</si>
  <si>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</si>
  <si>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</si>
  <si>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</si>
  <si>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</si>
  <si>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</si>
  <si>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</si>
  <si>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</si>
  <si>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</si>
  <si>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</si>
  <si>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</si>
  <si>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</si>
  <si>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</si>
  <si>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</si>
  <si>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</si>
  <si>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</si>
  <si>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</si>
  <si>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</si>
  <si>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</si>
  <si>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</si>
  <si>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</si>
  <si>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</si>
  <si>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</si>
  <si>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</si>
  <si>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</si>
  <si>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</si>
  <si>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</si>
  <si>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</si>
  <si>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</si>
  <si>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</si>
  <si>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</si>
  <si>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</si>
  <si>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</si>
  <si>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</si>
  <si>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</si>
  <si>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</si>
  <si>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</si>
  <si>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</si>
  <si>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</si>
  <si>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</si>
  <si>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</si>
  <si>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</si>
  <si>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</si>
  <si>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</si>
  <si>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</si>
  <si>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</si>
  <si>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</si>
  <si>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</si>
  <si>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</si>
  <si>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</si>
  <si>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</si>
  <si>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</si>
  <si>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</si>
  <si>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</si>
  <si>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</si>
  <si>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</si>
  <si>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</si>
  <si>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</si>
  <si>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</si>
  <si>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</si>
  <si>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</si>
  <si>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</si>
  <si>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</si>
  <si>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</si>
  <si>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</si>
  <si>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</si>
  <si>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</si>
  <si>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</si>
  <si>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</si>
  <si>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</si>
  <si>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</si>
  <si>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</si>
  <si>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</si>
  <si>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</si>
  <si>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</si>
  <si>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</si>
  <si>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</si>
  <si>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</si>
  <si>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</si>
  <si>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</si>
  <si>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</si>
  <si>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</si>
  <si>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</si>
  <si>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</si>
  <si>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</si>
  <si>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</si>
  <si>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</si>
  <si>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</si>
  <si>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</si>
  <si>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</si>
  <si>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</si>
  <si>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</si>
  <si>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</si>
  <si>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</si>
  <si>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</si>
  <si>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</si>
  <si>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</si>
  <si>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</si>
  <si>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</si>
  <si>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</si>
  <si>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</si>
  <si>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</si>
  <si>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</si>
  <si>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</si>
  <si>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</si>
  <si>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</si>
  <si>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</si>
  <si>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</si>
  <si>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</si>
  <si>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</si>
  <si>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</si>
  <si>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</si>
  <si>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</si>
  <si>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</si>
  <si>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</si>
  <si>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</si>
  <si>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</si>
  <si>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</si>
  <si>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</si>
  <si>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</si>
  <si>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</si>
  <si>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</si>
  <si>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</si>
  <si>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</si>
  <si>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</si>
  <si>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</si>
  <si>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</si>
  <si>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</si>
  <si>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</si>
  <si>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</si>
  <si>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</si>
  <si>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</si>
  <si>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</si>
  <si>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</si>
  <si>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</si>
  <si>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</si>
  <si>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</si>
  <si>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</si>
  <si>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</si>
  <si>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</si>
  <si>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</si>
  <si>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</si>
  <si>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</si>
  <si>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</si>
  <si>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</si>
  <si>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</si>
  <si>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</si>
  <si>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</si>
  <si>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</si>
  <si>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</si>
  <si>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</si>
  <si>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</si>
  <si>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</si>
  <si>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</si>
  <si>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</si>
  <si>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</si>
  <si>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</si>
  <si>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</si>
  <si>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</si>
  <si>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</si>
  <si>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</si>
  <si>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</si>
  <si>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</si>
  <si>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</si>
  <si>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</si>
  <si>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</si>
  <si>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</si>
  <si>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</si>
  <si>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</si>
  <si>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</si>
  <si>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</si>
  <si>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</si>
  <si>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</si>
  <si>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</si>
  <si>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</si>
  <si>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</si>
  <si>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</si>
  <si>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</si>
  <si>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</si>
  <si>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</si>
  <si>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</si>
  <si>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</si>
  <si>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</si>
  <si>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</si>
  <si>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</si>
  <si>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</si>
  <si>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</si>
  <si>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</si>
  <si>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</si>
  <si>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</si>
  <si>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</si>
  <si>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</si>
  <si>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</si>
  <si>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</si>
  <si>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</si>
  <si>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</si>
  <si>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</si>
  <si>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</si>
  <si>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</si>
  <si>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</si>
  <si>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</si>
  <si>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</si>
  <si>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</si>
  <si>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</si>
  <si>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</si>
  <si>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</si>
  <si>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</si>
  <si>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</si>
  <si>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</si>
  <si>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</si>
  <si>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</si>
  <si>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</si>
  <si>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</si>
  <si>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</si>
  <si>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</si>
  <si>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</si>
  <si>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</si>
  <si>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</si>
  <si>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</si>
  <si>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</si>
  <si>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</si>
  <si>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</si>
  <si>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</si>
  <si>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</si>
  <si>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</si>
  <si>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</si>
  <si>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</si>
  <si>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</si>
  <si>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</si>
  <si>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</si>
  <si>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</si>
  <si>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</si>
  <si>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</si>
  <si>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</si>
  <si>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</si>
  <si>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</si>
  <si>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</si>
  <si>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</si>
  <si>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</si>
  <si>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</si>
  <si>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</si>
  <si>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</si>
  <si>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</si>
  <si>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</si>
  <si>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</si>
  <si>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</si>
  <si>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</si>
  <si>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</si>
  <si>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</si>
  <si>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</si>
  <si>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</si>
  <si>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</si>
  <si>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</si>
  <si>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</si>
  <si>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</si>
  <si>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</si>
  <si>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</si>
  <si>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</si>
  <si>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</si>
  <si>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</si>
  <si>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</si>
  <si>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</si>
  <si>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</si>
  <si>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</si>
  <si>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</si>
  <si>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</si>
  <si>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</si>
  <si>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</si>
  <si>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</si>
  <si>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</si>
  <si>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</si>
  <si>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</si>
  <si>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</si>
  <si>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</si>
  <si>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</si>
  <si>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</si>
  <si>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</si>
  <si>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</si>
  <si>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</si>
  <si>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</si>
  <si>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</si>
  <si>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</si>
  <si>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</si>
  <si>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</si>
  <si>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</si>
  <si>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</si>
  <si>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</si>
  <si>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</si>
  <si>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</si>
  <si>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</si>
  <si>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</si>
  <si>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</si>
  <si>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</si>
  <si>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</si>
  <si>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</si>
  <si>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</si>
  <si>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</si>
  <si>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</si>
  <si>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</si>
  <si>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</si>
  <si>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</si>
  <si>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</si>
  <si>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</si>
  <si>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</si>
  <si>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</si>
  <si>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</si>
  <si>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</si>
  <si>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</si>
  <si>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</si>
  <si>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</si>
  <si>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</si>
  <si>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</si>
  <si>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</si>
  <si>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</si>
  <si>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</si>
  <si>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</si>
  <si>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</si>
  <si>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</si>
  <si>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</si>
  <si>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</si>
  <si>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</si>
  <si>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</si>
  <si>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</si>
  <si>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</si>
  <si>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</si>
  <si>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</si>
  <si>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</si>
  <si>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</si>
  <si>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</si>
  <si>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</si>
  <si>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</si>
  <si>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</si>
  <si>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</si>
  <si>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</si>
  <si>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</si>
  <si>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</si>
  <si>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</si>
  <si>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</si>
  <si>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</si>
  <si>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</si>
  <si>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</si>
  <si>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</si>
  <si>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</si>
  <si>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</si>
  <si>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</si>
  <si>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</si>
  <si>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</si>
  <si>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</si>
  <si>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</si>
  <si>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</si>
  <si>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</si>
  <si>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</si>
  <si>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</si>
  <si>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</si>
  <si>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</si>
  <si>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</si>
  <si>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</si>
  <si>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</si>
  <si>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</si>
  <si>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</si>
  <si>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</si>
  <si>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</si>
  <si>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</si>
  <si>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</si>
  <si>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</si>
  <si>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</si>
  <si>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</si>
  <si>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</si>
  <si>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</si>
  <si>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</si>
  <si>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</si>
  <si>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</si>
  <si>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</si>
  <si>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</si>
  <si>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</si>
  <si>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</si>
  <si>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</si>
  <si>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</si>
  <si>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</si>
  <si>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</si>
  <si>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</si>
  <si>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</si>
  <si>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</si>
  <si>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</si>
  <si>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</si>
  <si>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</si>
  <si>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</si>
  <si>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</si>
  <si>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</si>
  <si>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</si>
  <si>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</si>
  <si>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</si>
  <si>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</si>
  <si>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</si>
  <si>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</si>
  <si>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</si>
  <si>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</si>
  <si>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</si>
  <si>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</si>
  <si>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</si>
  <si>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</si>
  <si>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</si>
  <si>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</si>
  <si>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</si>
  <si>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</si>
  <si>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</si>
  <si>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</si>
  <si>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</si>
  <si>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</si>
  <si>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</si>
  <si>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</si>
  <si>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</si>
  <si>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</si>
  <si>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</si>
  <si>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</si>
  <si>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</si>
  <si>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</si>
  <si>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</si>
  <si>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</si>
  <si>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</si>
  <si>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</si>
  <si>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</si>
  <si>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</si>
  <si>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</si>
  <si>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</si>
  <si>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</si>
  <si>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</si>
  <si>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</si>
  <si>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</si>
  <si>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</si>
  <si>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</si>
  <si>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</si>
  <si>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</si>
  <si>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</si>
  <si>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</si>
  <si>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</si>
  <si>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</si>
  <si>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</si>
  <si>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</si>
  <si>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</si>
  <si>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</si>
  <si>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</si>
  <si>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</si>
  <si>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</si>
  <si>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</si>
  <si>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</si>
  <si>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</si>
  <si>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</si>
  <si>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</si>
  <si>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</si>
  <si>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</si>
  <si>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</si>
  <si>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</si>
  <si>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</si>
  <si>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</si>
  <si>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</si>
  <si>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</si>
  <si>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</si>
  <si>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</si>
  <si>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</si>
  <si>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</si>
  <si>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</si>
  <si>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</si>
  <si>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</si>
  <si>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</si>
  <si>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</si>
  <si>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</si>
  <si>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</si>
  <si>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</si>
  <si>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</si>
  <si>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</si>
  <si>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</si>
  <si>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</si>
  <si>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</si>
  <si>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</si>
  <si>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</si>
  <si>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</si>
  <si>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</si>
  <si>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</si>
  <si>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</si>
  <si>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</si>
  <si>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</si>
  <si>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</si>
  <si>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</si>
  <si>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</si>
  <si>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</si>
  <si>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</si>
  <si>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</si>
  <si>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</si>
  <si>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</si>
  <si>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</si>
  <si>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</si>
  <si>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</si>
  <si>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</si>
  <si>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</si>
  <si>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</si>
  <si>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</si>
  <si>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</si>
  <si>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</si>
  <si>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</si>
  <si>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</si>
  <si>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</si>
  <si>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</si>
  <si>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</si>
  <si>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</si>
  <si>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</si>
  <si>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</si>
  <si>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</si>
  <si>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</si>
  <si>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</si>
  <si>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</si>
  <si>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</si>
  <si>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</si>
  <si>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</si>
  <si>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</si>
  <si>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</si>
  <si>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</si>
  <si>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</si>
  <si>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</si>
  <si>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</si>
  <si>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</si>
  <si>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</si>
  <si>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</si>
  <si>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</si>
  <si>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</si>
  <si>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</si>
  <si>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</si>
  <si>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</si>
  <si>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</si>
  <si>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</si>
  <si>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</si>
  <si>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</si>
  <si>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</si>
  <si>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</si>
  <si>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</si>
  <si>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</si>
  <si>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</si>
  <si>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</si>
  <si>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</si>
  <si>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</si>
  <si>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</si>
  <si>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</si>
  <si>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</si>
  <si>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</si>
  <si>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</si>
  <si>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</si>
  <si>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</si>
  <si>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</si>
  <si>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</si>
  <si>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</si>
  <si>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</si>
  <si>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</si>
  <si>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</si>
  <si>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</si>
  <si>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</si>
  <si>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</si>
  <si>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</si>
  <si>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</si>
  <si>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</si>
  <si>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</si>
  <si>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</si>
  <si>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</si>
  <si>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</si>
  <si>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</si>
  <si>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</si>
  <si>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</si>
  <si>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</si>
  <si>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</si>
  <si>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</si>
  <si>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</si>
  <si>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</si>
  <si>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</si>
  <si>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</si>
  <si>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</si>
  <si>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</si>
  <si>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</si>
  <si>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</si>
  <si>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</si>
  <si>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</si>
  <si>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</si>
  <si>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</si>
  <si>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</si>
  <si>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</si>
  <si>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</si>
  <si>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</si>
  <si>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</si>
  <si>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</si>
  <si>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</si>
  <si>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</si>
  <si>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</si>
  <si>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</si>
  <si>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</si>
  <si>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</si>
  <si>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</si>
  <si>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</si>
  <si>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</si>
  <si>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</si>
  <si>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</si>
  <si>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</si>
  <si>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</si>
  <si>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</si>
  <si>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</si>
  <si>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</si>
  <si>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</si>
  <si>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</si>
  <si>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</si>
  <si>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</si>
  <si>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</si>
  <si>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</si>
  <si>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</si>
  <si>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</si>
  <si>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</si>
  <si>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</si>
  <si>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</si>
  <si>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</si>
  <si>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</si>
  <si>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</si>
  <si>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</si>
  <si>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</si>
  <si>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</si>
  <si>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</si>
  <si>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</si>
  <si>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</si>
  <si>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</si>
  <si>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</si>
  <si>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</si>
  <si>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</si>
  <si>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</si>
  <si>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</si>
  <si>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</si>
  <si>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</si>
  <si>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</si>
  <si>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</si>
  <si>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</si>
  <si>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</si>
  <si>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</si>
  <si>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</si>
  <si>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</si>
  <si>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</si>
  <si>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</si>
  <si>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</si>
  <si>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</si>
  <si>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</si>
  <si>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</si>
  <si>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</si>
  <si>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</si>
  <si>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</si>
  <si>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</si>
  <si>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</si>
  <si>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</si>
  <si>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</si>
  <si>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</si>
  <si>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</si>
  <si>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</si>
  <si>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</si>
  <si>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</si>
  <si>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</si>
  <si>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</si>
  <si>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</si>
  <si>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</si>
  <si>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</si>
  <si>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</si>
  <si>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</si>
  <si>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</si>
  <si>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</si>
  <si>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</si>
  <si>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</si>
  <si>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</si>
  <si>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</si>
  <si>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</si>
  <si>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</si>
  <si>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</si>
  <si>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</si>
  <si>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</si>
  <si>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</si>
  <si>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</si>
  <si>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</si>
  <si>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</si>
  <si>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</si>
  <si>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</si>
  <si>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</si>
  <si>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</si>
  <si>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</si>
  <si>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</si>
  <si>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</si>
  <si>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</si>
  <si>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</si>
  <si>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</si>
  <si>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</si>
  <si>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</si>
  <si>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</si>
  <si>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</si>
  <si>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</si>
  <si>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</si>
  <si>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</si>
  <si>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</si>
  <si>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</si>
  <si>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</si>
  <si>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</si>
  <si>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</si>
  <si>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</si>
  <si>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</si>
  <si>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</si>
  <si>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</si>
  <si>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</si>
  <si>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</si>
  <si>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</si>
  <si>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</si>
  <si>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</si>
  <si>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</si>
  <si>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</si>
  <si>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</si>
  <si>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</si>
  <si>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</si>
  <si>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</si>
  <si>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</si>
  <si>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</si>
  <si>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</si>
  <si>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</si>
  <si>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</si>
  <si>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</si>
  <si>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</si>
  <si>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</si>
  <si>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</si>
  <si>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</si>
  <si>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</si>
  <si>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</si>
  <si>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</si>
  <si>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</si>
  <si>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</si>
  <si>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</si>
  <si>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</si>
  <si>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</si>
  <si>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</si>
  <si>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</si>
  <si>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</si>
  <si>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</si>
  <si>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</si>
  <si>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</si>
  <si>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</si>
  <si>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</si>
  <si>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</si>
  <si>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</si>
  <si>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</si>
  <si>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</si>
  <si>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</si>
  <si>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</si>
  <si>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</si>
  <si>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</si>
  <si>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</si>
  <si>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</si>
  <si>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</si>
  <si>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</si>
  <si>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</si>
  <si>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</si>
  <si>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</si>
  <si>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</si>
  <si>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</si>
  <si>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</si>
  <si>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</si>
  <si>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</si>
  <si>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</si>
  <si>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</si>
  <si>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</si>
  <si>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</si>
  <si>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</si>
  <si>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</si>
  <si>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</si>
  <si>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</si>
  <si>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</si>
  <si>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</si>
  <si>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</si>
  <si>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</si>
  <si>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</si>
  <si>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</si>
  <si>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</si>
  <si>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</si>
  <si>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</si>
  <si>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</si>
  <si>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</si>
  <si>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</si>
  <si>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</si>
  <si>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</si>
  <si>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</si>
  <si>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</si>
  <si>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</si>
  <si>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</si>
  <si>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</si>
  <si>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</si>
  <si>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</si>
  <si>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</si>
  <si>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</si>
  <si>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</si>
  <si>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</si>
  <si>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</si>
  <si>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</si>
  <si>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</si>
  <si>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</si>
  <si>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</si>
  <si>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</si>
  <si>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</si>
  <si>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</si>
  <si>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</si>
  <si>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</si>
  <si>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</si>
  <si>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</si>
  <si>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</si>
  <si>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</si>
  <si>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</si>
  <si>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</si>
  <si>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</si>
  <si>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</si>
  <si>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</si>
  <si>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</si>
  <si>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</si>
  <si>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</si>
  <si>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</si>
  <si>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</si>
  <si>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</si>
  <si>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</si>
  <si>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</si>
  <si>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</si>
  <si>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</si>
  <si>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</si>
  <si>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</si>
  <si>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</si>
  <si>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</si>
  <si>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</si>
  <si>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</si>
  <si>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</si>
  <si>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</si>
  <si>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</si>
  <si>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</si>
  <si>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</si>
  <si>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</si>
  <si>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</si>
  <si>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</si>
  <si>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</si>
  <si>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</si>
  <si>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</si>
  <si>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</si>
  <si>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</si>
  <si>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</si>
  <si>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</si>
  <si>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</si>
  <si>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</si>
  <si>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</si>
  <si>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</si>
  <si>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</si>
  <si>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</si>
  <si>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</si>
  <si>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</si>
  <si>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</si>
  <si>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</si>
  <si>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</si>
  <si>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</si>
  <si>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</si>
  <si>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</si>
  <si>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</si>
  <si>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</si>
  <si>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</si>
  <si>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</si>
  <si>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</si>
  <si>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</si>
  <si>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</si>
  <si>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</si>
  <si>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</si>
  <si>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</si>
  <si>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</si>
  <si>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</si>
  <si>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</si>
  <si>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</si>
  <si>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</si>
  <si>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</si>
  <si>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</si>
  <si>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</si>
  <si>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</si>
  <si>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</si>
  <si>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</si>
  <si>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</si>
  <si>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</si>
  <si>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</si>
  <si>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</si>
  <si>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</si>
  <si>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</si>
  <si>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</si>
  <si>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</si>
  <si>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</si>
  <si>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</si>
  <si>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</si>
  <si>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</si>
  <si>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</si>
  <si>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</si>
  <si>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</si>
  <si>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</si>
  <si>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</si>
  <si>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</si>
  <si>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</si>
  <si>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</si>
  <si>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</si>
  <si>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</si>
  <si>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</si>
  <si>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</si>
  <si>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</si>
  <si>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</si>
  <si>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</si>
  <si>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</si>
  <si>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</si>
  <si>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</si>
  <si>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</si>
  <si>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</si>
  <si>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</si>
  <si>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</si>
  <si>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</si>
  <si>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</si>
  <si>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</si>
  <si>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</si>
  <si>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</si>
  <si>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</si>
  <si>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</si>
  <si>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</si>
  <si>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</si>
  <si>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</si>
  <si>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</si>
  <si>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</si>
  <si>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</si>
  <si>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</si>
  <si>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</si>
  <si>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</si>
  <si>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</si>
  <si>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</si>
  <si>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</si>
  <si>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</si>
  <si>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</si>
  <si>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</si>
  <si>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</si>
  <si>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</si>
  <si>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</si>
  <si>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</si>
  <si>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</si>
  <si>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</si>
  <si>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</si>
  <si>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</si>
  <si>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</si>
  <si>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</si>
  <si>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</si>
  <si>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</si>
  <si>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</si>
  <si>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</si>
  <si>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</si>
  <si>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</si>
  <si>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</si>
  <si>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</si>
  <si>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</si>
  <si>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</si>
  <si>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</si>
  <si>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</si>
  <si>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</si>
  <si>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</si>
  <si>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</si>
  <si>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</si>
  <si>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</si>
  <si>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</si>
  <si>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</si>
  <si>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</si>
  <si>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</si>
  <si>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</si>
  <si>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</si>
  <si>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</si>
  <si>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</si>
  <si>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</si>
  <si>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</si>
  <si>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</si>
  <si>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</si>
  <si>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</si>
  <si>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</si>
  <si>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</si>
  <si>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</si>
  <si>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</si>
  <si>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</si>
  <si>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</si>
  <si>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</si>
  <si>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</si>
  <si>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</si>
  <si>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</si>
  <si>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</si>
  <si>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</si>
  <si>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</si>
  <si>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</si>
  <si>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</si>
  <si>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</si>
  <si>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</si>
  <si>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</si>
  <si>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</si>
  <si>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</si>
  <si>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</si>
  <si>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</si>
  <si>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</si>
  <si>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</si>
  <si>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</si>
  <si>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</si>
  <si>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</si>
  <si>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</si>
  <si>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</si>
  <si>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</si>
  <si>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</si>
  <si>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</si>
  <si>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</si>
  <si>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</si>
  <si>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</si>
  <si>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</si>
  <si>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</si>
  <si>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</si>
  <si>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</si>
  <si>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</si>
  <si>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</si>
  <si>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</si>
  <si>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</si>
  <si>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</si>
  <si>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</si>
  <si>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</si>
  <si>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</si>
  <si>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</si>
  <si>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</si>
  <si>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</si>
  <si>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</si>
  <si>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</si>
  <si>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</si>
  <si>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</si>
  <si>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</si>
  <si>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</si>
  <si>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</si>
  <si>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</si>
  <si>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</si>
  <si>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</si>
  <si>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</si>
  <si>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</si>
  <si>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</si>
  <si>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</si>
  <si>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</si>
  <si>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</si>
  <si>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</si>
  <si>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</si>
  <si>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</si>
  <si>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</si>
  <si>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</si>
  <si>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</si>
  <si>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</si>
  <si>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</si>
  <si>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</si>
  <si>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</si>
  <si>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</si>
  <si>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</si>
  <si>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</si>
  <si>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</si>
  <si>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</si>
  <si>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</si>
  <si>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</si>
  <si>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</si>
  <si>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</si>
  <si>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</si>
  <si>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</si>
  <si>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</si>
  <si>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</si>
  <si>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</si>
  <si>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</si>
  <si>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</si>
  <si>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</si>
  <si>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</si>
  <si>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</si>
  <si>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</si>
  <si>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</si>
  <si>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</si>
  <si>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</si>
  <si>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</si>
  <si>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</si>
  <si>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</si>
  <si>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</si>
  <si>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</si>
  <si>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</si>
  <si>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</si>
  <si>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</si>
  <si>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</si>
  <si>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</si>
  <si>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</si>
  <si>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</si>
  <si>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</si>
  <si>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</si>
  <si>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</si>
  <si>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</si>
  <si>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</si>
  <si>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</si>
  <si>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</si>
  <si>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</si>
  <si>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</si>
  <si>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</si>
  <si>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</si>
  <si>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</si>
  <si>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</si>
  <si>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</si>
  <si>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</si>
  <si>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</si>
  <si>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</si>
  <si>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</si>
  <si>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</si>
  <si>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</si>
  <si>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</si>
  <si>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</si>
  <si>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</si>
  <si>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</si>
  <si>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</si>
  <si>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</si>
  <si>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</si>
  <si>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</si>
  <si>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</si>
  <si>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</si>
  <si>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</si>
  <si>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</si>
  <si>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</si>
  <si>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</si>
  <si>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</si>
  <si>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</si>
  <si>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</si>
  <si>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</si>
  <si>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</si>
  <si>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</si>
  <si>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</si>
  <si>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</si>
  <si>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</si>
  <si>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</si>
  <si>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</si>
  <si>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</si>
  <si>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</si>
  <si>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</si>
  <si>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</si>
  <si>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</si>
  <si>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</si>
  <si>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</si>
  <si>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</si>
  <si>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</si>
  <si>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</si>
  <si>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</si>
  <si>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</si>
  <si>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</si>
  <si>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</si>
  <si>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</si>
  <si>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</si>
  <si>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</si>
  <si>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</si>
  <si>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</si>
  <si>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</si>
  <si>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</si>
  <si>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</si>
  <si>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</si>
  <si>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</si>
  <si>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</si>
  <si>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</si>
  <si>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</si>
  <si>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</si>
  <si>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</si>
  <si>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</si>
  <si>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</si>
  <si>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</si>
  <si>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</si>
  <si>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</si>
  <si>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</si>
  <si>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</si>
  <si>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</si>
  <si>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</si>
  <si>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</si>
  <si>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</si>
  <si>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</si>
  <si>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</si>
  <si>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</si>
  <si>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</si>
  <si>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</si>
  <si>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</si>
  <si>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</si>
  <si>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</si>
  <si>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</si>
  <si>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</si>
  <si>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</si>
  <si>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</si>
  <si>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</si>
  <si>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</si>
  <si>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</si>
  <si>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</si>
  <si>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</si>
  <si>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</si>
  <si>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</si>
  <si>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</si>
  <si>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</si>
  <si>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</si>
  <si>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</si>
  <si>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</si>
  <si>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</si>
  <si>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</si>
  <si>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</si>
  <si>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</si>
  <si>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</si>
  <si>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</si>
  <si>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</si>
  <si>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</si>
  <si>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</si>
  <si>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</si>
  <si>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</si>
  <si>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</si>
  <si>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</si>
  <si>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</si>
  <si>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</si>
  <si>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</si>
  <si>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</si>
  <si>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</si>
  <si>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</si>
  <si>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</si>
  <si>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</si>
  <si>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</si>
  <si>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</si>
  <si>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</si>
  <si>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</si>
  <si>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</si>
  <si>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</si>
  <si>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</si>
  <si>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</si>
  <si>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</si>
  <si>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</si>
  <si>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</si>
  <si>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</si>
  <si>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</si>
  <si>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</si>
  <si>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</si>
  <si>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</si>
  <si>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</si>
  <si>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</si>
  <si>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</si>
  <si>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</si>
  <si>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</si>
  <si>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</si>
  <si>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</si>
  <si>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</si>
  <si>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</si>
  <si>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</si>
  <si>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</si>
  <si>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</si>
  <si>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</si>
  <si>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</si>
  <si>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</si>
  <si>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</si>
  <si>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</si>
  <si>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</si>
  <si>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</si>
  <si>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</si>
  <si>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</si>
  <si>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</si>
  <si>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</si>
  <si>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</si>
  <si>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</si>
  <si>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</si>
  <si>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</si>
  <si>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</si>
  <si>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</si>
  <si>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</si>
  <si>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</si>
  <si>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</si>
  <si>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</si>
  <si>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</si>
  <si>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</si>
  <si>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</si>
  <si>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</si>
  <si>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</si>
  <si>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</si>
  <si>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</si>
  <si>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</si>
  <si>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</si>
  <si>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</si>
  <si>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</si>
  <si>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</si>
  <si>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</si>
  <si>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</si>
  <si>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</si>
  <si>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</si>
  <si>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</si>
  <si>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</si>
  <si>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</si>
  <si>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</si>
  <si>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</si>
  <si>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</si>
  <si>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</si>
  <si>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</si>
  <si>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</si>
  <si>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</si>
  <si>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</si>
  <si>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</si>
  <si>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</si>
  <si>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</si>
  <si>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</si>
  <si>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</si>
  <si>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</si>
  <si>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</si>
  <si>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</si>
  <si>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</si>
  <si>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</si>
  <si>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</si>
  <si>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</si>
  <si>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</si>
  <si>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</si>
  <si>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</si>
  <si>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</si>
  <si>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</si>
  <si>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</si>
  <si>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</si>
  <si>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</si>
  <si>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</si>
  <si>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</si>
  <si>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</si>
  <si>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</si>
  <si>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</si>
  <si>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</si>
  <si>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</si>
  <si>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</si>
  <si>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</si>
  <si>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</si>
  <si>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</si>
  <si>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</si>
  <si>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</si>
  <si>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</si>
  <si>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</si>
  <si>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</si>
  <si>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</si>
  <si>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</si>
  <si>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</si>
  <si>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</si>
  <si>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</si>
  <si>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</si>
  <si>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</si>
  <si>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</si>
  <si>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</si>
  <si>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</si>
  <si>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</si>
  <si>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</si>
  <si>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</si>
  <si>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</si>
  <si>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</si>
  <si>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</si>
  <si>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</si>
  <si>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</si>
  <si>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</si>
  <si>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</si>
  <si>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</si>
  <si>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</si>
  <si>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</si>
  <si>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</si>
  <si>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</si>
  <si>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</si>
  <si>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</si>
  <si>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</si>
  <si>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</si>
  <si>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</si>
  <si>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</si>
  <si>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</si>
  <si>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</si>
  <si>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</si>
  <si>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</si>
  <si>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</si>
  <si>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</si>
  <si>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</si>
  <si>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</si>
  <si>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</si>
  <si>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</si>
  <si>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</si>
  <si>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</si>
  <si>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</si>
  <si>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</si>
  <si>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</si>
  <si>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</si>
  <si>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</si>
  <si>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</si>
  <si>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</si>
  <si>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</si>
  <si>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</si>
  <si>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</si>
  <si>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</si>
  <si>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</si>
  <si>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</si>
  <si>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</si>
  <si>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</si>
  <si>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</si>
  <si>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</si>
  <si>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</si>
  <si>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</si>
  <si>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</si>
  <si>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</si>
  <si>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</si>
  <si>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</si>
  <si>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</si>
  <si>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</si>
  <si>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</si>
  <si>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</si>
  <si>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</si>
  <si>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</si>
  <si>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</si>
  <si>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</si>
  <si>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</si>
  <si>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</si>
  <si>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</si>
  <si>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</si>
  <si>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</si>
  <si>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</si>
  <si>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</si>
  <si>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</si>
  <si>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</si>
  <si>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</si>
  <si>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</si>
  <si>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</si>
  <si>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AÇIĞA SATIŞ YASAK</t>
  </si>
  <si>
    <t>21 MAYIS BEKLEYEN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</si>
  <si>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</si>
  <si>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</si>
  <si>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</si>
  <si>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</si>
  <si>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</si>
  <si>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</si>
  <si>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</si>
  <si>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</si>
  <si>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</si>
  <si>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</si>
  <si>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</si>
  <si>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</si>
  <si>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</si>
  <si>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</si>
  <si>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</si>
  <si>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</si>
  <si>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</si>
  <si>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</si>
  <si>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</si>
  <si>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</si>
  <si>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</si>
  <si>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</si>
  <si>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</si>
  <si>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</si>
  <si>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</si>
  <si>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</si>
  <si>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</si>
  <si>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</si>
  <si>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</si>
  <si>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</si>
  <si>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</si>
  <si>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</si>
  <si>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</si>
  <si>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</si>
  <si>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</si>
  <si>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</si>
  <si>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</si>
  <si>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</si>
  <si>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</si>
  <si>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</si>
  <si>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</si>
  <si>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</si>
  <si>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</si>
  <si>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</si>
  <si>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</si>
  <si>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</si>
  <si>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</si>
  <si>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</si>
  <si>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</si>
  <si>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</si>
  <si>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</si>
  <si>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</si>
  <si>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</si>
  <si>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</si>
  <si>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</si>
  <si>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</si>
  <si>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</si>
  <si>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</si>
  <si>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</si>
  <si>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</si>
  <si>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</si>
  <si>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02 HAZİRANHOROZ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</si>
</sst>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4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6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50" fillId="25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left" vertical="center"/>
    </xf>
    <xf numFmtId="0" fontId="22" fillId="29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19" fillId="10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0" borderId="12" xfId="9" applyFont="1" applyFill="1" applyBorder="1" applyAlignment="1">
      <alignment horizontal="center" vertical="center"/>
    </xf>
    <xf numFmtId="49" fontId="60" fillId="30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19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0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0" borderId="1" xfId="1" applyNumberFormat="1" applyFont="1" applyFill="1" applyBorder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0" borderId="0" xfId="1" applyNumberFormat="1" applyFont="1" applyFill="1"/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right" vertical="center"/>
    </xf>
    <xf numFmtId="165" fontId="3" fillId="27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4" borderId="4" xfId="6" applyFont="1" applyFill="1" applyBorder="1" applyAlignment="1">
      <alignment horizontal="center" vertical="center" wrapText="1"/>
    </xf>
    <xf numFmtId="0" fontId="38" fillId="24" borderId="6" xfId="6" applyFont="1" applyFill="1" applyBorder="1" applyAlignment="1">
      <alignment horizontal="center" vertical="center" wrapText="1"/>
    </xf>
    <xf numFmtId="0" fontId="38" fillId="24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502" Type="http://schemas.openxmlformats.org/officeDocument/2006/relationships/hyperlink" Target="https://www.siemens-home.bsh-group.com/tr/tr/product/prsiemenswm/WG44A2ZXTR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86" Type="http://schemas.openxmlformats.org/officeDocument/2006/relationships/hyperlink" Target="https://lura.cepkask.com/basket/58" TargetMode="External"/><Relationship Id="rId7" Type="http://schemas.openxmlformats.org/officeDocument/2006/relationships/hyperlink" Target="https://www.siemens-home.bsh-group.com/tr/tr/product/klimalar/AS12XXB32N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446" Type="http://schemas.openxmlformats.org/officeDocument/2006/relationships/hyperlink" Target="https://www.siemens-home.bsh-group.com/tr/tr/product/TI923309RW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577" Type="http://schemas.openxmlformats.org/officeDocument/2006/relationships/hyperlink" Target="https://lura.cepkask.com/basket/68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588" Type="http://schemas.openxmlformats.org/officeDocument/2006/relationships/hyperlink" Target="https://www.siemens-home.bsh-group.com/tr/tr/product/ankastre/ankastre-firinlar/HI133FES3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579" Type="http://schemas.openxmlformats.org/officeDocument/2006/relationships/hyperlink" Target="https://lura.cepkask.com/basket/66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581" Type="http://schemas.openxmlformats.org/officeDocument/2006/relationships/hyperlink" Target="https://lura.cepkask.com/basket/63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583" Type="http://schemas.openxmlformats.org/officeDocument/2006/relationships/hyperlink" Target="https://lura.cepkask.com/basket/61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585" Type="http://schemas.openxmlformats.org/officeDocument/2006/relationships/hyperlink" Target="https://lura.cepkask.com/basket/59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hyperlink" Target="https://lura.cepkask.com/basket/69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587" Type="http://schemas.openxmlformats.org/officeDocument/2006/relationships/hyperlink" Target="https://lura.cepkask.com/basket/57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578" Type="http://schemas.openxmlformats.org/officeDocument/2006/relationships/hyperlink" Target="https://lura.cepkask.com/basket/67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589" Type="http://schemas.openxmlformats.org/officeDocument/2006/relationships/printerSettings" Target="../printerSettings/printerSettings2.bin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580" Type="http://schemas.openxmlformats.org/officeDocument/2006/relationships/hyperlink" Target="https://lura.cepkask.com/basket/65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582" Type="http://schemas.openxmlformats.org/officeDocument/2006/relationships/hyperlink" Target="https://lura.cepkask.com/basket/62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84" Type="http://schemas.openxmlformats.org/officeDocument/2006/relationships/hyperlink" Target="https://lura.cepkask.com/basket/60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34" Type="http://schemas.openxmlformats.org/officeDocument/2006/relationships/hyperlink" Target="https://www.siemens-home.bsh-group.com/tr/tr/product/studioline/BF834LGB1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488" Type="http://schemas.openxmlformats.org/officeDocument/2006/relationships/hyperlink" Target="https://www.siemens-home.bsh-group.com/tr/tr/product/VZ41A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6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" style="142" customWidth="1"/>
    <col min="2" max="2" width="24.140625" style="91" customWidth="1"/>
    <col min="3" max="3" width="7.7109375" style="33" bestFit="1" customWidth="1"/>
    <col min="4" max="4" width="6.140625" style="38" bestFit="1" customWidth="1"/>
    <col min="5" max="5" width="5.140625" style="39" bestFit="1" customWidth="1"/>
    <col min="6" max="6" width="4.28515625" style="39" bestFit="1" customWidth="1"/>
    <col min="7" max="7" width="5.7109375" style="40" bestFit="1" customWidth="1"/>
    <col min="8" max="8" width="4.85546875" style="40" customWidth="1"/>
    <col min="9" max="9" width="6.5703125" bestFit="1" customWidth="1"/>
    <col min="10" max="10" width="4.5703125" bestFit="1" customWidth="1"/>
    <col min="11" max="11" width="6.42578125" style="97" bestFit="1" customWidth="1"/>
    <col min="12" max="12" width="5" style="28" hidden="1" customWidth="1"/>
    <col min="13" max="13" width="7.140625" customWidth="1"/>
    <col min="14" max="14" width="7" style="138" bestFit="1" customWidth="1"/>
    <col min="15" max="15" width="7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6" bestFit="1" customWidth="1"/>
    <col min="23" max="23" width="10.5703125" style="40" customWidth="1"/>
    <col min="24" max="24" width="13.140625" style="43" bestFit="1" customWidth="1"/>
  </cols>
  <sheetData>
    <row r="1" spans="1:27" s="7" customFormat="1" ht="67.5">
      <c r="A1" s="108" t="s">
        <v>0</v>
      </c>
      <c r="B1" s="91" t="s">
        <v>1</v>
      </c>
      <c r="C1" s="2" t="s">
        <v>1674</v>
      </c>
      <c r="D1" s="46" t="s">
        <v>1561</v>
      </c>
      <c r="E1" s="3" t="s">
        <v>1553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6"/>
      <c r="M1" s="5" t="s">
        <v>6</v>
      </c>
      <c r="N1" s="6" t="s">
        <v>7</v>
      </c>
      <c r="O1" s="133" t="s">
        <v>1612</v>
      </c>
      <c r="P1" s="173" t="s">
        <v>1558</v>
      </c>
      <c r="Q1" s="115" t="s">
        <v>1547</v>
      </c>
      <c r="R1" s="182" t="s">
        <v>1591</v>
      </c>
      <c r="S1" s="75" t="s">
        <v>8</v>
      </c>
      <c r="T1" s="44" t="s">
        <v>9</v>
      </c>
      <c r="U1" s="187" t="s">
        <v>1596</v>
      </c>
      <c r="V1" s="185" t="s">
        <v>1560</v>
      </c>
      <c r="W1" s="179" t="s">
        <v>1589</v>
      </c>
      <c r="X1" s="104" t="s">
        <v>466</v>
      </c>
      <c r="Y1" s="7" t="s">
        <v>1594</v>
      </c>
    </row>
    <row r="2" spans="1:27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9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1592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7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90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7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15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90"/>
      <c r="M4" s="11">
        <v>1</v>
      </c>
      <c r="N4" s="134">
        <f t="shared" si="0"/>
        <v>20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7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9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7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90"/>
      <c r="M6" s="11"/>
      <c r="N6" s="134">
        <f t="shared" si="0"/>
        <v>2</v>
      </c>
      <c r="O6" s="135"/>
      <c r="P6" s="10"/>
      <c r="Q6" s="118" t="s">
        <v>1548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7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/>
      <c r="D7" s="8"/>
      <c r="E7" s="9"/>
      <c r="F7" s="9"/>
      <c r="G7" s="10"/>
      <c r="H7" s="10"/>
      <c r="I7" s="11"/>
      <c r="J7" s="11"/>
      <c r="K7" s="10"/>
      <c r="L7" s="190"/>
      <c r="M7" s="11"/>
      <c r="N7" s="134">
        <f t="shared" si="0"/>
        <v>0</v>
      </c>
      <c r="O7" s="135"/>
      <c r="P7" s="10"/>
      <c r="Q7" s="118" t="s">
        <v>1548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7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90"/>
      <c r="M8" s="11"/>
      <c r="N8" s="134">
        <f t="shared" si="0"/>
        <v>0</v>
      </c>
      <c r="O8" s="135">
        <v>5</v>
      </c>
      <c r="P8" s="10"/>
      <c r="Q8" s="118" t="s">
        <v>1548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7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90"/>
      <c r="M9" s="11"/>
      <c r="N9" s="134">
        <f t="shared" si="0"/>
        <v>1</v>
      </c>
      <c r="O9" s="135"/>
      <c r="P9" s="10"/>
      <c r="Q9" s="118"/>
      <c r="R9" s="74" t="s">
        <v>1592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Y9" s="16"/>
      <c r="Z9" s="16"/>
      <c r="AA9" s="16"/>
    </row>
    <row r="10" spans="1:27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9</v>
      </c>
      <c r="D10" s="8"/>
      <c r="E10" s="9"/>
      <c r="F10" s="9"/>
      <c r="G10" s="10"/>
      <c r="H10" s="10"/>
      <c r="I10" s="11"/>
      <c r="J10" s="11"/>
      <c r="K10" s="10"/>
      <c r="L10" s="190"/>
      <c r="M10" s="11"/>
      <c r="N10" s="134">
        <f t="shared" si="0"/>
        <v>9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7">
      <c r="A11" s="22" t="s">
        <v>1550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9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7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90"/>
      <c r="M12" s="11"/>
      <c r="N12" s="134">
        <f t="shared" si="0"/>
        <v>2</v>
      </c>
      <c r="O12" s="135"/>
      <c r="P12" s="10"/>
      <c r="Q12" s="118"/>
      <c r="R12" s="74" t="s">
        <v>1592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7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90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7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90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7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90"/>
      <c r="M15" s="11"/>
      <c r="N15" s="134">
        <f t="shared" si="0"/>
        <v>1</v>
      </c>
      <c r="O15" s="135"/>
      <c r="P15" s="10">
        <v>1</v>
      </c>
      <c r="Q15" s="118"/>
      <c r="R15" s="74" t="s">
        <v>1592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7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90"/>
      <c r="M16" s="11"/>
      <c r="N16" s="134">
        <f t="shared" si="0"/>
        <v>8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7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90"/>
      <c r="M17" s="11"/>
      <c r="N17" s="134">
        <f t="shared" si="0"/>
        <v>5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7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90"/>
      <c r="M18" s="11"/>
      <c r="N18" s="134">
        <f t="shared" si="0"/>
        <v>1</v>
      </c>
      <c r="O18" s="135"/>
      <c r="P18" s="10"/>
      <c r="Q18" s="118"/>
      <c r="R18" s="74" t="s">
        <v>1592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</row>
    <row r="19" spans="1:27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90"/>
      <c r="M19" s="11"/>
      <c r="N19" s="134">
        <f t="shared" si="0"/>
        <v>1</v>
      </c>
      <c r="O19" s="135"/>
      <c r="P19" s="10"/>
      <c r="Q19" s="118"/>
      <c r="R19" s="74" t="s">
        <v>1592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</row>
    <row r="20" spans="1:27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101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90"/>
      <c r="M20" s="11">
        <v>1</v>
      </c>
      <c r="N20" s="134">
        <f t="shared" si="0"/>
        <v>110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Y20" s="27" t="s">
        <v>1593</v>
      </c>
    </row>
    <row r="21" spans="1:27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87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90"/>
      <c r="M21" s="11"/>
      <c r="N21" s="134">
        <f t="shared" si="0"/>
        <v>90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Y21" s="14"/>
    </row>
    <row r="22" spans="1:27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90"/>
      <c r="M22" s="11"/>
      <c r="N22" s="134">
        <f t="shared" si="0"/>
        <v>7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Y22" s="27" t="s">
        <v>1593</v>
      </c>
    </row>
    <row r="23" spans="1:27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90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Y23" s="27" t="s">
        <v>1593</v>
      </c>
    </row>
    <row r="24" spans="1:27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90"/>
      <c r="M24" s="11">
        <v>2</v>
      </c>
      <c r="N24" s="134">
        <f t="shared" si="0"/>
        <v>17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Y24" s="27" t="s">
        <v>1593</v>
      </c>
    </row>
    <row r="25" spans="1:27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90"/>
      <c r="M25" s="11"/>
      <c r="N25" s="134">
        <f t="shared" si="0"/>
        <v>1</v>
      </c>
      <c r="O25" s="135"/>
      <c r="P25" s="10"/>
      <c r="Q25" s="118"/>
      <c r="R25" s="74" t="s">
        <v>1592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7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90"/>
      <c r="M26" s="11"/>
      <c r="N26" s="134">
        <f t="shared" si="0"/>
        <v>1</v>
      </c>
      <c r="O26" s="135"/>
      <c r="P26" s="10"/>
      <c r="Q26" s="118"/>
      <c r="R26" s="74" t="s">
        <v>1592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7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90"/>
      <c r="M27" s="11"/>
      <c r="N27" s="134">
        <f t="shared" si="0"/>
        <v>2</v>
      </c>
      <c r="O27" s="135"/>
      <c r="P27" s="10"/>
      <c r="Q27" s="118"/>
      <c r="R27" s="74" t="s">
        <v>1592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7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/>
      <c r="D28" s="8"/>
      <c r="E28" s="9"/>
      <c r="F28" s="9"/>
      <c r="G28" s="10"/>
      <c r="H28" s="10"/>
      <c r="I28" s="11"/>
      <c r="J28" s="11"/>
      <c r="K28" s="10"/>
      <c r="L28" s="190"/>
      <c r="M28" s="11"/>
      <c r="N28" s="134">
        <f t="shared" si="0"/>
        <v>0</v>
      </c>
      <c r="O28" s="135"/>
      <c r="P28" s="10"/>
      <c r="Q28" s="118"/>
      <c r="R28" s="74" t="s">
        <v>1592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7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9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7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23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90"/>
      <c r="M30" s="11">
        <v>1</v>
      </c>
      <c r="N30" s="134">
        <f t="shared" si="0"/>
        <v>29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</row>
    <row r="31" spans="1:27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42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90"/>
      <c r="M31" s="11"/>
      <c r="N31" s="134">
        <f t="shared" si="0"/>
        <v>44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</row>
    <row r="32" spans="1:27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/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90"/>
      <c r="M32" s="11">
        <v>1</v>
      </c>
      <c r="N32" s="134">
        <f t="shared" si="0"/>
        <v>3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5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29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90"/>
      <c r="M33" s="11"/>
      <c r="N33" s="134">
        <f t="shared" si="0"/>
        <v>33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5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35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90"/>
      <c r="M34" s="11">
        <v>1</v>
      </c>
      <c r="N34" s="134">
        <f t="shared" si="0"/>
        <v>38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5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39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90"/>
      <c r="M35" s="11">
        <v>1</v>
      </c>
      <c r="N35" s="134">
        <f t="shared" si="0"/>
        <v>45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5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19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90"/>
      <c r="M36" s="11"/>
      <c r="N36" s="134">
        <f t="shared" si="0"/>
        <v>24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5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163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90"/>
      <c r="M37" s="11">
        <v>1</v>
      </c>
      <c r="N37" s="134">
        <f t="shared" si="0"/>
        <v>170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5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18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90"/>
      <c r="M38" s="11"/>
      <c r="N38" s="134">
        <f t="shared" si="0"/>
        <v>20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5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90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5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56</v>
      </c>
      <c r="D40" s="8"/>
      <c r="E40" s="9"/>
      <c r="F40" s="9"/>
      <c r="G40" s="10"/>
      <c r="H40" s="10"/>
      <c r="I40" s="11">
        <v>1</v>
      </c>
      <c r="J40" s="11"/>
      <c r="K40" s="10"/>
      <c r="L40" s="190"/>
      <c r="M40" s="11">
        <v>1</v>
      </c>
      <c r="N40" s="134">
        <f t="shared" si="0"/>
        <v>58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5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90"/>
      <c r="M41" s="11"/>
      <c r="N41" s="134">
        <f t="shared" si="0"/>
        <v>2</v>
      </c>
      <c r="O41" s="135"/>
      <c r="P41" s="10"/>
      <c r="Q41" s="118"/>
      <c r="R41" s="74" t="s">
        <v>1592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5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113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90"/>
      <c r="M42" s="11">
        <v>1</v>
      </c>
      <c r="N42" s="134">
        <f t="shared" si="0"/>
        <v>117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5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49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90"/>
      <c r="M43" s="11"/>
      <c r="N43" s="134">
        <f t="shared" si="0"/>
        <v>52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5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90"/>
      <c r="M44" s="11"/>
      <c r="N44" s="134">
        <f>SUM(N2:N43)</f>
        <v>1009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5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90"/>
      <c r="M45" s="11"/>
      <c r="N45" s="134">
        <f t="shared" ref="N45:N54" si="1">M45+L45+K45+J45+I45+H45+G45+F45+E45+D45+C45</f>
        <v>99</v>
      </c>
      <c r="O45" s="135"/>
      <c r="P45" s="10"/>
      <c r="Q45" s="118" t="s">
        <v>1548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5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90"/>
      <c r="M46" s="11"/>
      <c r="N46" s="134">
        <f t="shared" si="1"/>
        <v>2</v>
      </c>
      <c r="O46" s="135"/>
      <c r="P46" s="10"/>
      <c r="Q46" s="118" t="s">
        <v>1548</v>
      </c>
      <c r="R46" s="74" t="s">
        <v>1592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5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90"/>
      <c r="M47" s="11"/>
      <c r="N47" s="134">
        <f t="shared" si="1"/>
        <v>9</v>
      </c>
      <c r="O47" s="135"/>
      <c r="P47" s="10"/>
      <c r="Q47" s="118" t="s">
        <v>1548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Y47" s="27" t="s">
        <v>1593</v>
      </c>
    </row>
    <row r="48" spans="1:25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93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90"/>
      <c r="M48" s="11"/>
      <c r="N48" s="134">
        <f t="shared" si="1"/>
        <v>96</v>
      </c>
      <c r="O48" s="135"/>
      <c r="P48" s="10"/>
      <c r="Q48" s="118" t="s">
        <v>1548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Y48" s="14"/>
    </row>
    <row r="49" spans="1:25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79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90"/>
      <c r="M49" s="11">
        <v>1</v>
      </c>
      <c r="N49" s="134">
        <f t="shared" si="1"/>
        <v>87</v>
      </c>
      <c r="O49" s="135"/>
      <c r="P49" s="10"/>
      <c r="Q49" s="118" t="s">
        <v>1548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Y49" s="27" t="s">
        <v>1593</v>
      </c>
    </row>
    <row r="50" spans="1:25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95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90"/>
      <c r="M50" s="11"/>
      <c r="N50" s="134">
        <f t="shared" si="1"/>
        <v>102</v>
      </c>
      <c r="O50" s="135"/>
      <c r="P50" s="10"/>
      <c r="Q50" s="118" t="s">
        <v>1548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Y50" s="27" t="s">
        <v>1593</v>
      </c>
    </row>
    <row r="51" spans="1:25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13</v>
      </c>
      <c r="D51" s="8"/>
      <c r="E51" s="9"/>
      <c r="F51" s="9"/>
      <c r="G51" s="10"/>
      <c r="H51" s="10"/>
      <c r="I51" s="11"/>
      <c r="J51" s="11"/>
      <c r="K51" s="10"/>
      <c r="L51" s="190"/>
      <c r="M51" s="11"/>
      <c r="N51" s="134">
        <f t="shared" si="1"/>
        <v>13</v>
      </c>
      <c r="O51" s="135">
        <v>29</v>
      </c>
      <c r="P51" s="10"/>
      <c r="Q51" s="118" t="s">
        <v>1548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5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90"/>
      <c r="M52" s="11"/>
      <c r="N52" s="134">
        <f t="shared" si="1"/>
        <v>1</v>
      </c>
      <c r="O52" s="135"/>
      <c r="P52" s="10"/>
      <c r="Q52" s="118" t="s">
        <v>1548</v>
      </c>
      <c r="R52" s="74" t="s">
        <v>1592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5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90"/>
      <c r="M53" s="11"/>
      <c r="N53" s="134">
        <f t="shared" si="1"/>
        <v>1</v>
      </c>
      <c r="O53" s="135"/>
      <c r="P53" s="10"/>
      <c r="Q53" s="118" t="s">
        <v>1548</v>
      </c>
      <c r="R53" s="74" t="s">
        <v>1592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5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89</v>
      </c>
      <c r="D54" s="8"/>
      <c r="E54" s="9">
        <v>3</v>
      </c>
      <c r="F54" s="9"/>
      <c r="G54" s="10"/>
      <c r="H54" s="10"/>
      <c r="I54" s="11"/>
      <c r="J54" s="11"/>
      <c r="K54" s="10"/>
      <c r="L54" s="190"/>
      <c r="M54" s="11"/>
      <c r="N54" s="134">
        <f t="shared" si="1"/>
        <v>92</v>
      </c>
      <c r="O54" s="135"/>
      <c r="P54" s="10"/>
      <c r="Q54" s="118" t="s">
        <v>1548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Y54" s="27" t="s">
        <v>1593</v>
      </c>
    </row>
    <row r="55" spans="1:25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90"/>
      <c r="M55" s="11"/>
      <c r="N55" s="134">
        <f>SUM(N45:N54)</f>
        <v>502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5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9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5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90"/>
      <c r="M57" s="11"/>
      <c r="N57" s="134">
        <f t="shared" si="2"/>
        <v>4</v>
      </c>
      <c r="O57" s="135"/>
      <c r="P57" s="10"/>
      <c r="Q57" s="118"/>
      <c r="R57" s="74" t="s">
        <v>1592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5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90"/>
      <c r="M58" s="11"/>
      <c r="N58" s="134">
        <f t="shared" si="2"/>
        <v>9</v>
      </c>
      <c r="O58" s="135"/>
      <c r="P58" s="10"/>
      <c r="Q58" s="118"/>
      <c r="R58" s="74" t="s">
        <v>1592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5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90"/>
      <c r="M59" s="11"/>
      <c r="N59" s="134">
        <f t="shared" si="2"/>
        <v>3</v>
      </c>
      <c r="O59" s="135"/>
      <c r="P59" s="10"/>
      <c r="Q59" s="118"/>
      <c r="R59" s="74" t="s">
        <v>1592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5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90"/>
      <c r="M60" s="11"/>
      <c r="N60" s="134">
        <f t="shared" si="2"/>
        <v>3</v>
      </c>
      <c r="O60" s="135"/>
      <c r="P60" s="10"/>
      <c r="Q60" s="118"/>
      <c r="R60" s="74" t="s">
        <v>1592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5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9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5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9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5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9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5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11</v>
      </c>
      <c r="D64" s="8"/>
      <c r="E64" s="9"/>
      <c r="F64" s="9"/>
      <c r="G64" s="10"/>
      <c r="H64" s="10"/>
      <c r="I64" s="11"/>
      <c r="J64" s="11"/>
      <c r="K64" s="10"/>
      <c r="L64" s="190"/>
      <c r="M64" s="11"/>
      <c r="N64" s="134">
        <f t="shared" si="2"/>
        <v>11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5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90"/>
      <c r="M65" s="11"/>
      <c r="N65" s="134">
        <f t="shared" si="2"/>
        <v>1</v>
      </c>
      <c r="O65" s="135"/>
      <c r="P65" s="10"/>
      <c r="Q65" s="118"/>
      <c r="R65" s="74" t="s">
        <v>1592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5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9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5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9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5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9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5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90"/>
      <c r="M69" s="11"/>
      <c r="N69" s="134">
        <f>SUM(N56:N68)</f>
        <v>69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5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56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90"/>
      <c r="M70" s="11">
        <v>1</v>
      </c>
      <c r="N70" s="134">
        <f t="shared" ref="N70:N98" si="3">M70+L70+K70+J70+I70+H70+G70+F70+E70+D70+C70</f>
        <v>65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5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21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90"/>
      <c r="M71" s="11"/>
      <c r="N71" s="134">
        <f t="shared" si="3"/>
        <v>23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Y71" s="27" t="s">
        <v>1593</v>
      </c>
    </row>
    <row r="72" spans="1:25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11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90"/>
      <c r="M72" s="11">
        <v>1</v>
      </c>
      <c r="N72" s="134">
        <f t="shared" si="3"/>
        <v>14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5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90"/>
      <c r="M73" s="11"/>
      <c r="N73" s="134">
        <f t="shared" si="3"/>
        <v>1</v>
      </c>
      <c r="O73" s="135"/>
      <c r="P73" s="10"/>
      <c r="Q73" s="118"/>
      <c r="R73" s="74" t="s">
        <v>1592</v>
      </c>
      <c r="S73" s="15">
        <v>32000</v>
      </c>
      <c r="T73" s="12">
        <v>33280</v>
      </c>
      <c r="U73" s="12">
        <v>34560</v>
      </c>
      <c r="V73" s="13"/>
      <c r="W73" s="13"/>
      <c r="X73" s="106">
        <v>500</v>
      </c>
    </row>
    <row r="74" spans="1:25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90"/>
      <c r="M74" s="11">
        <v>1</v>
      </c>
      <c r="N74" s="134">
        <f t="shared" si="3"/>
        <v>2</v>
      </c>
      <c r="O74" s="135"/>
      <c r="P74" s="10"/>
      <c r="Q74" s="118"/>
      <c r="R74" s="74" t="s">
        <v>1592</v>
      </c>
      <c r="S74" s="189">
        <v>33000</v>
      </c>
      <c r="T74" s="191">
        <v>34320</v>
      </c>
      <c r="U74" s="191">
        <v>35640</v>
      </c>
      <c r="V74" s="125"/>
      <c r="W74" s="18">
        <v>4166.6400000000003</v>
      </c>
      <c r="X74" s="106">
        <v>500</v>
      </c>
    </row>
    <row r="75" spans="1:25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90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5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90"/>
      <c r="M76" s="11"/>
      <c r="N76" s="134">
        <f t="shared" si="3"/>
        <v>1</v>
      </c>
      <c r="O76" s="135"/>
      <c r="P76" s="10"/>
      <c r="Q76" s="118"/>
      <c r="R76" s="74" t="s">
        <v>1592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5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90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5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19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90"/>
      <c r="M78" s="11"/>
      <c r="N78" s="134">
        <f t="shared" si="3"/>
        <v>22</v>
      </c>
      <c r="O78" s="135"/>
      <c r="P78" s="10"/>
      <c r="Q78" s="118"/>
      <c r="R78" s="74" t="s">
        <v>1592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</row>
    <row r="79" spans="1:25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18</v>
      </c>
      <c r="D79" s="8"/>
      <c r="E79" s="9"/>
      <c r="F79" s="9"/>
      <c r="G79" s="10"/>
      <c r="H79" s="10"/>
      <c r="I79" s="11"/>
      <c r="J79" s="11"/>
      <c r="K79" s="10"/>
      <c r="L79" s="190"/>
      <c r="M79" s="11"/>
      <c r="N79" s="134">
        <f t="shared" si="3"/>
        <v>18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</row>
    <row r="80" spans="1:25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5</v>
      </c>
      <c r="D80" s="8"/>
      <c r="E80" s="9"/>
      <c r="F80" s="9"/>
      <c r="G80" s="10"/>
      <c r="H80" s="10"/>
      <c r="I80" s="11"/>
      <c r="J80" s="11"/>
      <c r="K80" s="10"/>
      <c r="L80" s="190"/>
      <c r="M80" s="11"/>
      <c r="N80" s="134">
        <f t="shared" si="3"/>
        <v>5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</row>
    <row r="81" spans="1:25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90"/>
      <c r="M81" s="11"/>
      <c r="N81" s="134">
        <f t="shared" si="3"/>
        <v>1</v>
      </c>
      <c r="O81" s="135"/>
      <c r="P81" s="10"/>
      <c r="Q81" s="118"/>
      <c r="R81" s="74" t="s">
        <v>1592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5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90"/>
      <c r="M82" s="11">
        <v>1</v>
      </c>
      <c r="N82" s="134">
        <f t="shared" si="3"/>
        <v>6</v>
      </c>
      <c r="O82" s="135"/>
      <c r="P82" s="10"/>
      <c r="Q82" s="118"/>
      <c r="R82" s="74" t="s">
        <v>1592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5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90"/>
      <c r="M83" s="11"/>
      <c r="N83" s="134">
        <f t="shared" si="3"/>
        <v>2</v>
      </c>
      <c r="O83" s="135"/>
      <c r="P83" s="10"/>
      <c r="Q83" s="118"/>
      <c r="R83" s="74" t="s">
        <v>1592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5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13</v>
      </c>
      <c r="D84" s="8"/>
      <c r="E84" s="9"/>
      <c r="F84" s="9"/>
      <c r="G84" s="10"/>
      <c r="H84" s="10"/>
      <c r="I84" s="11">
        <v>1</v>
      </c>
      <c r="J84" s="11"/>
      <c r="K84" s="10"/>
      <c r="L84" s="190"/>
      <c r="M84" s="11"/>
      <c r="N84" s="134">
        <f t="shared" si="3"/>
        <v>14</v>
      </c>
      <c r="O84" s="135"/>
      <c r="P84" s="10"/>
      <c r="Q84" s="118"/>
      <c r="R84" s="74" t="s">
        <v>1592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5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90"/>
      <c r="M85" s="11"/>
      <c r="N85" s="134">
        <f t="shared" si="3"/>
        <v>1</v>
      </c>
      <c r="O85" s="135"/>
      <c r="P85" s="10"/>
      <c r="Q85" s="118"/>
      <c r="R85" s="74" t="s">
        <v>1592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5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90"/>
      <c r="M86" s="11"/>
      <c r="N86" s="134">
        <f t="shared" si="3"/>
        <v>2</v>
      </c>
      <c r="O86" s="135"/>
      <c r="P86" s="10"/>
      <c r="Q86" s="118"/>
      <c r="R86" s="74" t="s">
        <v>1592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5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9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1592</v>
      </c>
      <c r="S87" s="18">
        <v>75000</v>
      </c>
      <c r="T87" s="12">
        <v>78000</v>
      </c>
      <c r="U87" s="12">
        <v>81000</v>
      </c>
      <c r="V87" s="13"/>
      <c r="W87" s="13"/>
      <c r="Y87" s="14" t="s">
        <v>1595</v>
      </c>
    </row>
    <row r="88" spans="1:25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90"/>
      <c r="M88" s="11">
        <v>1</v>
      </c>
      <c r="N88" s="134">
        <f t="shared" si="3"/>
        <v>2</v>
      </c>
      <c r="O88" s="135">
        <v>1</v>
      </c>
      <c r="P88" s="10">
        <v>5</v>
      </c>
      <c r="Q88" s="118"/>
      <c r="R88" s="74" t="s">
        <v>1592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5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9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5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9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5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9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5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90"/>
      <c r="M92" s="11"/>
      <c r="N92" s="134">
        <f t="shared" si="3"/>
        <v>2</v>
      </c>
      <c r="O92" s="135"/>
      <c r="P92" s="10"/>
      <c r="Q92" s="118"/>
      <c r="R92" s="74" t="s">
        <v>1592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5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25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90"/>
      <c r="M93" s="11">
        <v>1</v>
      </c>
      <c r="N93" s="134">
        <f t="shared" si="3"/>
        <v>30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5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42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90"/>
      <c r="M94" s="11">
        <v>1</v>
      </c>
      <c r="N94" s="134">
        <f t="shared" si="3"/>
        <v>45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5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90"/>
      <c r="M95" s="11"/>
      <c r="N95" s="134">
        <f t="shared" si="3"/>
        <v>2</v>
      </c>
      <c r="O95" s="135"/>
      <c r="P95" s="10"/>
      <c r="Q95" s="120" t="s">
        <v>1548</v>
      </c>
      <c r="R95" s="74" t="s">
        <v>1592</v>
      </c>
      <c r="S95" s="19">
        <v>30000</v>
      </c>
      <c r="T95" s="12">
        <v>31200</v>
      </c>
      <c r="U95" s="12">
        <v>32400</v>
      </c>
      <c r="V95" s="13"/>
      <c r="W95" s="13"/>
      <c r="X95" s="106">
        <v>500</v>
      </c>
    </row>
    <row r="96" spans="1:25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>
        <v>1</v>
      </c>
      <c r="L96" s="190"/>
      <c r="M96" s="11"/>
      <c r="N96" s="134">
        <f t="shared" si="3"/>
        <v>2</v>
      </c>
      <c r="O96" s="135"/>
      <c r="P96" s="10"/>
      <c r="Q96" s="118"/>
      <c r="R96" s="74" t="s">
        <v>1592</v>
      </c>
      <c r="S96" s="19">
        <v>35000</v>
      </c>
      <c r="T96" s="12">
        <v>36400</v>
      </c>
      <c r="U96" s="12">
        <v>37800</v>
      </c>
      <c r="V96" s="13"/>
      <c r="W96" s="13"/>
      <c r="X96" s="106">
        <v>500</v>
      </c>
    </row>
    <row r="97" spans="1:25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90"/>
      <c r="M97" s="11"/>
      <c r="N97" s="134">
        <f t="shared" si="3"/>
        <v>1</v>
      </c>
      <c r="O97" s="135"/>
      <c r="P97" s="10"/>
      <c r="Q97" s="118"/>
      <c r="R97" s="74" t="s">
        <v>1592</v>
      </c>
      <c r="S97" s="19">
        <v>40000</v>
      </c>
      <c r="T97" s="12">
        <v>41600</v>
      </c>
      <c r="U97" s="12">
        <v>43200</v>
      </c>
      <c r="V97" s="13"/>
      <c r="W97" s="13"/>
      <c r="X97" s="106">
        <v>500</v>
      </c>
    </row>
    <row r="98" spans="1:25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9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5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90"/>
      <c r="M99" s="11"/>
      <c r="N99" s="134">
        <f>SUM(N70:N98)</f>
        <v>331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5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90"/>
      <c r="M100" s="11"/>
      <c r="N100" s="134">
        <f t="shared" ref="N100:N112" si="4">M100+L100+K100+J100+I100+H100+G100+F100+E100+D100+C100</f>
        <v>1</v>
      </c>
      <c r="O100" s="135"/>
      <c r="P100" s="10"/>
      <c r="Q100" s="118"/>
      <c r="R100" s="74" t="s">
        <v>1592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5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90"/>
      <c r="M101" s="11"/>
      <c r="N101" s="134">
        <f t="shared" si="4"/>
        <v>3</v>
      </c>
      <c r="O101" s="135"/>
      <c r="P101" s="10"/>
      <c r="Q101" s="118"/>
      <c r="R101" s="74" t="s">
        <v>1592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5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99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90"/>
      <c r="M102" s="11">
        <v>1</v>
      </c>
      <c r="N102" s="134">
        <f t="shared" si="4"/>
        <v>104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5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24</v>
      </c>
      <c r="D103" s="8"/>
      <c r="E103" s="9"/>
      <c r="F103" s="9"/>
      <c r="G103" s="10"/>
      <c r="H103" s="10"/>
      <c r="I103" s="11"/>
      <c r="J103" s="11">
        <v>1</v>
      </c>
      <c r="K103" s="10"/>
      <c r="L103" s="190"/>
      <c r="M103" s="11"/>
      <c r="N103" s="134">
        <f t="shared" si="4"/>
        <v>25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Y103" s="27" t="s">
        <v>1593</v>
      </c>
    </row>
    <row r="104" spans="1:25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190"/>
      <c r="M104" s="11"/>
      <c r="N104" s="134">
        <f t="shared" si="4"/>
        <v>35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Y104" s="27" t="s">
        <v>1593</v>
      </c>
    </row>
    <row r="105" spans="1:25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49</v>
      </c>
      <c r="D105" s="8"/>
      <c r="E105" s="9"/>
      <c r="F105" s="9"/>
      <c r="G105" s="10"/>
      <c r="H105" s="10"/>
      <c r="I105" s="11">
        <v>1</v>
      </c>
      <c r="J105" s="11"/>
      <c r="K105" s="10"/>
      <c r="L105" s="190"/>
      <c r="M105" s="11">
        <v>1</v>
      </c>
      <c r="N105" s="134">
        <f t="shared" si="4"/>
        <v>51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5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50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90"/>
      <c r="M106" s="11">
        <v>1</v>
      </c>
      <c r="N106" s="134">
        <f t="shared" si="4"/>
        <v>55</v>
      </c>
      <c r="O106" s="135"/>
      <c r="P106" s="10"/>
      <c r="Q106" s="118"/>
      <c r="R106" s="74" t="s">
        <v>1592</v>
      </c>
      <c r="S106" s="47">
        <v>40000</v>
      </c>
      <c r="T106" s="12">
        <v>41600</v>
      </c>
      <c r="U106" s="12">
        <v>43200</v>
      </c>
      <c r="V106" s="13"/>
      <c r="W106" s="13"/>
      <c r="X106" s="80">
        <v>250</v>
      </c>
    </row>
    <row r="107" spans="1:25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90"/>
      <c r="M107" s="11"/>
      <c r="N107" s="134">
        <f t="shared" si="4"/>
        <v>141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5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90"/>
      <c r="M108" s="11">
        <v>1</v>
      </c>
      <c r="N108" s="134">
        <f t="shared" si="4"/>
        <v>107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5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173</v>
      </c>
      <c r="D109" s="8"/>
      <c r="E109" s="9"/>
      <c r="F109" s="9"/>
      <c r="G109" s="10"/>
      <c r="H109" s="10"/>
      <c r="I109" s="11"/>
      <c r="J109" s="11"/>
      <c r="K109" s="10"/>
      <c r="L109" s="190"/>
      <c r="M109" s="11">
        <v>1</v>
      </c>
      <c r="N109" s="134">
        <f t="shared" si="4"/>
        <v>174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5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80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90"/>
      <c r="M110" s="11">
        <v>1</v>
      </c>
      <c r="N110" s="134">
        <f t="shared" si="4"/>
        <v>83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5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15</v>
      </c>
      <c r="D111" s="8"/>
      <c r="E111" s="9"/>
      <c r="F111" s="9"/>
      <c r="G111" s="10"/>
      <c r="H111" s="10"/>
      <c r="I111" s="11"/>
      <c r="J111" s="11">
        <v>1</v>
      </c>
      <c r="K111" s="10"/>
      <c r="L111" s="190"/>
      <c r="M111" s="11"/>
      <c r="N111" s="134">
        <f t="shared" si="4"/>
        <v>16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5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9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1592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90"/>
      <c r="M113" s="11"/>
      <c r="N113" s="134">
        <f>SUM(N100:N112)</f>
        <v>799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50</v>
      </c>
      <c r="D114" s="8"/>
      <c r="E114" s="9"/>
      <c r="F114" s="9"/>
      <c r="G114" s="10"/>
      <c r="H114" s="10"/>
      <c r="I114" s="11"/>
      <c r="J114" s="11"/>
      <c r="K114" s="10"/>
      <c r="L114" s="190"/>
      <c r="M114" s="11"/>
      <c r="N114" s="134">
        <f t="shared" ref="N114:N138" si="5">M114+L114+K114+J114+I114+H114+G114+F114+E114+D114+C114</f>
        <v>50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65</v>
      </c>
      <c r="D115" s="8"/>
      <c r="E115" s="9"/>
      <c r="F115" s="9"/>
      <c r="G115" s="10"/>
      <c r="H115" s="10"/>
      <c r="I115" s="11">
        <v>1</v>
      </c>
      <c r="J115" s="11"/>
      <c r="K115" s="10"/>
      <c r="L115" s="190"/>
      <c r="M115" s="11">
        <v>1</v>
      </c>
      <c r="N115" s="134">
        <f t="shared" si="5"/>
        <v>67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68</v>
      </c>
      <c r="D116" s="8"/>
      <c r="E116" s="9"/>
      <c r="F116" s="9"/>
      <c r="G116" s="10"/>
      <c r="H116" s="10"/>
      <c r="I116" s="11"/>
      <c r="J116" s="11"/>
      <c r="K116" s="10"/>
      <c r="L116" s="190"/>
      <c r="M116" s="11"/>
      <c r="N116" s="134">
        <f t="shared" si="5"/>
        <v>68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76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90"/>
      <c r="M117" s="11">
        <v>1</v>
      </c>
      <c r="N117" s="134">
        <f t="shared" si="5"/>
        <v>82</v>
      </c>
      <c r="O117" s="135"/>
      <c r="P117" s="10"/>
      <c r="Q117" s="122" t="s">
        <v>1548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39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90"/>
      <c r="M118" s="11"/>
      <c r="N118" s="134">
        <f t="shared" si="5"/>
        <v>43</v>
      </c>
      <c r="O118" s="135"/>
      <c r="P118" s="10"/>
      <c r="Q118" s="122" t="s">
        <v>1548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90"/>
      <c r="M119" s="11"/>
      <c r="N119" s="134">
        <f t="shared" si="5"/>
        <v>2</v>
      </c>
      <c r="O119" s="135"/>
      <c r="P119" s="10"/>
      <c r="Q119" s="118"/>
      <c r="R119" s="74" t="s">
        <v>1592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/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90"/>
      <c r="M120" s="11"/>
      <c r="N120" s="134">
        <f t="shared" si="5"/>
        <v>4</v>
      </c>
      <c r="O120" s="135"/>
      <c r="P120" s="10"/>
      <c r="Q120" s="118"/>
      <c r="R120" s="74" t="s">
        <v>1592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9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90"/>
      <c r="M122" s="11"/>
      <c r="N122" s="134">
        <f t="shared" si="5"/>
        <v>2</v>
      </c>
      <c r="O122" s="135"/>
      <c r="P122" s="10"/>
      <c r="Q122" s="118"/>
      <c r="R122" s="74" t="s">
        <v>1592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90"/>
      <c r="M123" s="11"/>
      <c r="N123" s="134">
        <f t="shared" si="5"/>
        <v>1</v>
      </c>
      <c r="O123" s="135"/>
      <c r="P123" s="10"/>
      <c r="Q123" s="118"/>
      <c r="R123" s="74" t="s">
        <v>1592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90"/>
      <c r="M124" s="11"/>
      <c r="N124" s="134">
        <f t="shared" si="5"/>
        <v>8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90"/>
      <c r="M125" s="11">
        <v>1</v>
      </c>
      <c r="N125" s="134">
        <f t="shared" si="5"/>
        <v>4</v>
      </c>
      <c r="O125" s="135"/>
      <c r="P125" s="10"/>
      <c r="Q125" s="118"/>
      <c r="R125" s="74" t="s">
        <v>1592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33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90"/>
      <c r="M126" s="11"/>
      <c r="N126" s="134">
        <f t="shared" si="5"/>
        <v>37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100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90"/>
      <c r="M127" s="11">
        <v>1</v>
      </c>
      <c r="N127" s="134">
        <f t="shared" si="5"/>
        <v>105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18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90"/>
      <c r="M128" s="11"/>
      <c r="N128" s="134">
        <f t="shared" si="5"/>
        <v>21</v>
      </c>
      <c r="O128" s="135">
        <v>6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5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90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5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3</v>
      </c>
      <c r="D130" s="8"/>
      <c r="E130" s="9"/>
      <c r="F130" s="9"/>
      <c r="G130" s="10"/>
      <c r="H130" s="10"/>
      <c r="I130" s="11"/>
      <c r="J130" s="11">
        <v>1</v>
      </c>
      <c r="K130" s="10"/>
      <c r="L130" s="190"/>
      <c r="M130" s="11"/>
      <c r="N130" s="134">
        <f t="shared" si="5"/>
        <v>4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Y130" s="27" t="s">
        <v>1593</v>
      </c>
    </row>
    <row r="131" spans="1:25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90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Y131" s="27" t="s">
        <v>1593</v>
      </c>
    </row>
    <row r="132" spans="1:25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90"/>
      <c r="M132" s="11"/>
      <c r="N132" s="134">
        <f t="shared" si="5"/>
        <v>3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5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90"/>
      <c r="M133" s="11">
        <v>1</v>
      </c>
      <c r="N133" s="134">
        <f t="shared" si="5"/>
        <v>2</v>
      </c>
      <c r="O133" s="135"/>
      <c r="P133" s="10"/>
      <c r="Q133" s="118"/>
      <c r="R133" s="74" t="s">
        <v>1592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5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90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5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9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Y135" s="27" t="s">
        <v>1593</v>
      </c>
    </row>
    <row r="136" spans="1:25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90"/>
      <c r="M136" s="11"/>
      <c r="N136" s="134">
        <f t="shared" si="5"/>
        <v>2</v>
      </c>
      <c r="O136" s="135"/>
      <c r="P136" s="10"/>
      <c r="Q136" s="118"/>
      <c r="R136" s="74" t="s">
        <v>1592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5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90"/>
      <c r="M137" s="11"/>
      <c r="N137" s="134">
        <f t="shared" si="5"/>
        <v>1</v>
      </c>
      <c r="O137" s="135"/>
      <c r="P137" s="10"/>
      <c r="Q137" s="118"/>
      <c r="R137" s="74" t="s">
        <v>1592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5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47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90"/>
      <c r="M138" s="11">
        <v>1</v>
      </c>
      <c r="N138" s="134">
        <f t="shared" si="5"/>
        <v>52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5" s="32" customFormat="1" ht="34.5" customHeight="1">
      <c r="A139" s="31" t="s">
        <v>1551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90"/>
      <c r="M139" s="11"/>
      <c r="N139" s="134">
        <f>SUM(N114:N138)</f>
        <v>643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5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190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5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3</v>
      </c>
      <c r="D141" s="8"/>
      <c r="E141" s="9"/>
      <c r="F141" s="9"/>
      <c r="G141" s="10"/>
      <c r="H141" s="10"/>
      <c r="I141" s="11"/>
      <c r="J141" s="11"/>
      <c r="K141" s="10"/>
      <c r="L141" s="190"/>
      <c r="M141" s="11"/>
      <c r="N141" s="134">
        <f t="shared" si="6"/>
        <v>3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5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90"/>
      <c r="M142" s="11"/>
      <c r="N142" s="134">
        <f t="shared" si="6"/>
        <v>1</v>
      </c>
      <c r="O142" s="135"/>
      <c r="P142" s="10"/>
      <c r="Q142" s="118"/>
      <c r="R142" s="74" t="s">
        <v>1592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5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90"/>
      <c r="M143" s="11"/>
      <c r="N143" s="134">
        <f t="shared" si="6"/>
        <v>2</v>
      </c>
      <c r="O143" s="135"/>
      <c r="P143" s="10"/>
      <c r="Q143" s="118"/>
      <c r="R143" s="74" t="s">
        <v>1592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5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90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8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90"/>
      <c r="M145" s="11"/>
      <c r="N145" s="134">
        <f t="shared" si="6"/>
        <v>11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3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90"/>
      <c r="M146" s="11"/>
      <c r="N146" s="134">
        <f t="shared" si="6"/>
        <v>5</v>
      </c>
      <c r="O146" s="135"/>
      <c r="P146" s="10"/>
      <c r="Q146" s="118"/>
      <c r="R146" s="74" t="s">
        <v>1592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90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90"/>
      <c r="M148" s="11"/>
      <c r="N148" s="134">
        <f t="shared" si="6"/>
        <v>2</v>
      </c>
      <c r="O148" s="135"/>
      <c r="P148" s="10"/>
      <c r="Q148" s="118"/>
      <c r="R148" s="74" t="s">
        <v>1592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90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90"/>
      <c r="M150" s="11"/>
      <c r="N150" s="134">
        <f t="shared" si="6"/>
        <v>8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90"/>
      <c r="M151" s="11"/>
      <c r="N151" s="134">
        <f t="shared" si="6"/>
        <v>2</v>
      </c>
      <c r="O151" s="135"/>
      <c r="P151" s="10"/>
      <c r="Q151" s="118"/>
      <c r="R151" s="74" t="s">
        <v>1592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6</v>
      </c>
      <c r="E152" s="9"/>
      <c r="F152" s="9"/>
      <c r="G152" s="10"/>
      <c r="H152" s="10"/>
      <c r="I152" s="11"/>
      <c r="J152" s="11"/>
      <c r="K152" s="10"/>
      <c r="L152" s="190"/>
      <c r="M152" s="11">
        <v>1</v>
      </c>
      <c r="N152" s="134">
        <f t="shared" si="6"/>
        <v>7</v>
      </c>
      <c r="O152" s="135"/>
      <c r="P152" s="10"/>
      <c r="Q152" s="118"/>
      <c r="R152" s="74" t="s">
        <v>1592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90"/>
      <c r="M153" s="11"/>
      <c r="N153" s="134">
        <f t="shared" si="6"/>
        <v>4</v>
      </c>
      <c r="O153" s="135"/>
      <c r="P153" s="10"/>
      <c r="Q153" s="118"/>
      <c r="R153" s="74" t="s">
        <v>1592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9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9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90"/>
      <c r="M156" s="11"/>
      <c r="N156" s="134">
        <f t="shared" si="6"/>
        <v>1</v>
      </c>
      <c r="O156" s="135"/>
      <c r="P156" s="10"/>
      <c r="Q156" s="118"/>
      <c r="R156" s="74" t="s">
        <v>1592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90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90"/>
      <c r="M158" s="11"/>
      <c r="N158" s="134">
        <f>SUM(N140:N157)</f>
        <v>93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90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1592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9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9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90"/>
      <c r="M162" s="11"/>
      <c r="N162" s="134">
        <f t="shared" si="7"/>
        <v>4</v>
      </c>
      <c r="O162" s="135"/>
      <c r="P162" s="10"/>
      <c r="Q162" s="118"/>
      <c r="R162" s="74" t="s">
        <v>1592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12</v>
      </c>
      <c r="D163" s="8"/>
      <c r="E163" s="9"/>
      <c r="F163" s="9"/>
      <c r="G163" s="10"/>
      <c r="H163" s="10"/>
      <c r="I163" s="11"/>
      <c r="J163" s="11"/>
      <c r="K163" s="10"/>
      <c r="L163" s="190"/>
      <c r="M163" s="11"/>
      <c r="N163" s="134">
        <f t="shared" si="7"/>
        <v>12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44</v>
      </c>
      <c r="D164" s="8"/>
      <c r="E164" s="9"/>
      <c r="F164" s="9"/>
      <c r="G164" s="10"/>
      <c r="H164" s="10"/>
      <c r="I164" s="11">
        <v>1</v>
      </c>
      <c r="J164" s="11"/>
      <c r="K164" s="10"/>
      <c r="L164" s="190"/>
      <c r="M164" s="11">
        <v>1</v>
      </c>
      <c r="N164" s="134">
        <f t="shared" si="7"/>
        <v>46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90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90"/>
      <c r="M166" s="11"/>
      <c r="N166" s="134">
        <f t="shared" si="7"/>
        <v>1</v>
      </c>
      <c r="O166" s="135"/>
      <c r="P166" s="10"/>
      <c r="Q166" s="118"/>
      <c r="R166" s="74" t="s">
        <v>1592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90"/>
      <c r="M167" s="11"/>
      <c r="N167" s="134">
        <f t="shared" si="7"/>
        <v>1</v>
      </c>
      <c r="O167" s="135"/>
      <c r="P167" s="10"/>
      <c r="Q167" s="118"/>
      <c r="R167" s="74" t="s">
        <v>1592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190"/>
      <c r="M168" s="11"/>
      <c r="N168" s="134">
        <f t="shared" si="7"/>
        <v>1</v>
      </c>
      <c r="O168" s="135"/>
      <c r="P168" s="10"/>
      <c r="Q168" s="118"/>
      <c r="R168" s="74" t="s">
        <v>1592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90"/>
      <c r="M169" s="11"/>
      <c r="N169" s="134">
        <f t="shared" si="7"/>
        <v>1</v>
      </c>
      <c r="O169" s="135"/>
      <c r="P169" s="174">
        <v>2</v>
      </c>
      <c r="Q169" s="118"/>
      <c r="R169" s="74" t="s">
        <v>1592</v>
      </c>
      <c r="S169" s="47">
        <v>24115</v>
      </c>
      <c r="T169" s="181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190"/>
      <c r="M170" s="11"/>
      <c r="N170" s="134">
        <f t="shared" si="7"/>
        <v>2</v>
      </c>
      <c r="O170" s="135"/>
      <c r="P170" s="10"/>
      <c r="Q170" s="118"/>
      <c r="R170" s="74" t="s">
        <v>1592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90"/>
      <c r="M171" s="11"/>
      <c r="N171" s="134">
        <f t="shared" si="7"/>
        <v>3</v>
      </c>
      <c r="O171" s="135"/>
      <c r="P171" s="10"/>
      <c r="Q171" s="118"/>
      <c r="R171" s="74" t="s">
        <v>1592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190"/>
      <c r="M172" s="11"/>
      <c r="N172" s="134">
        <f t="shared" si="7"/>
        <v>2</v>
      </c>
      <c r="O172" s="135"/>
      <c r="P172" s="10"/>
      <c r="Q172" s="118"/>
      <c r="R172" s="74" t="s">
        <v>1592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90"/>
      <c r="M173" s="11"/>
      <c r="N173" s="134">
        <f t="shared" si="7"/>
        <v>1</v>
      </c>
      <c r="O173" s="135"/>
      <c r="P173" s="10"/>
      <c r="Q173" s="118"/>
      <c r="R173" s="74" t="s">
        <v>1592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190"/>
      <c r="M174" s="11">
        <v>1</v>
      </c>
      <c r="N174" s="134">
        <f t="shared" si="7"/>
        <v>3</v>
      </c>
      <c r="O174" s="135"/>
      <c r="P174" s="10"/>
      <c r="Q174" s="118"/>
      <c r="R174" s="74" t="s">
        <v>1592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9</v>
      </c>
      <c r="D175" s="8"/>
      <c r="E175" s="9"/>
      <c r="F175" s="9"/>
      <c r="G175" s="10"/>
      <c r="H175" s="10"/>
      <c r="I175" s="11"/>
      <c r="J175" s="11">
        <v>1</v>
      </c>
      <c r="K175" s="10"/>
      <c r="L175" s="190"/>
      <c r="M175" s="11"/>
      <c r="N175" s="134">
        <f t="shared" si="7"/>
        <v>10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190"/>
      <c r="M176" s="11"/>
      <c r="N176" s="134">
        <f t="shared" si="7"/>
        <v>3</v>
      </c>
      <c r="O176" s="135"/>
      <c r="P176" s="10"/>
      <c r="Q176" s="118"/>
      <c r="R176" s="74" t="s">
        <v>1592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90"/>
      <c r="M177" s="11"/>
      <c r="N177" s="134">
        <f t="shared" si="7"/>
        <v>1</v>
      </c>
      <c r="O177" s="135"/>
      <c r="P177" s="10"/>
      <c r="Q177" s="118"/>
      <c r="R177" s="74" t="s">
        <v>1592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90"/>
      <c r="M178" s="11"/>
      <c r="N178" s="134">
        <f t="shared" si="7"/>
        <v>1</v>
      </c>
      <c r="O178" s="135"/>
      <c r="P178" s="10"/>
      <c r="Q178" s="118"/>
      <c r="R178" s="74" t="s">
        <v>1592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190"/>
      <c r="M179" s="11"/>
      <c r="N179" s="134">
        <f t="shared" si="7"/>
        <v>1</v>
      </c>
      <c r="O179" s="135"/>
      <c r="P179" s="10"/>
      <c r="Q179" s="118"/>
      <c r="R179" s="74" t="s">
        <v>1592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90"/>
      <c r="M180" s="11"/>
      <c r="N180" s="134">
        <f t="shared" si="7"/>
        <v>1</v>
      </c>
      <c r="O180" s="135"/>
      <c r="P180" s="10"/>
      <c r="Q180" s="118"/>
      <c r="R180" s="74" t="s">
        <v>1592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90"/>
      <c r="M181" s="11"/>
      <c r="N181" s="134">
        <f t="shared" si="7"/>
        <v>1</v>
      </c>
      <c r="O181" s="135"/>
      <c r="P181" s="10"/>
      <c r="Q181" s="118"/>
      <c r="R181" s="74" t="s">
        <v>1592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190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90"/>
      <c r="M183" s="11"/>
      <c r="N183" s="134">
        <f t="shared" si="7"/>
        <v>4</v>
      </c>
      <c r="O183" s="135"/>
      <c r="P183" s="10"/>
      <c r="Q183" s="118"/>
      <c r="R183" s="74" t="s">
        <v>1592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190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190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190"/>
      <c r="M186" s="11"/>
      <c r="N186" s="134">
        <f t="shared" si="7"/>
        <v>3</v>
      </c>
      <c r="O186" s="135"/>
      <c r="P186" s="10"/>
      <c r="Q186" s="118"/>
      <c r="R186" s="74" t="s">
        <v>1592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190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190"/>
      <c r="M188" s="11"/>
      <c r="N188" s="134">
        <f t="shared" si="7"/>
        <v>4</v>
      </c>
      <c r="O188" s="135"/>
      <c r="P188" s="10"/>
      <c r="Q188" s="118"/>
      <c r="R188" s="74" t="s">
        <v>1592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74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190"/>
      <c r="M189" s="11">
        <v>1</v>
      </c>
      <c r="N189" s="134">
        <f t="shared" si="7"/>
        <v>77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16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190"/>
      <c r="M190" s="11"/>
      <c r="N190" s="134">
        <f t="shared" si="7"/>
        <v>18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43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190"/>
      <c r="M191" s="11"/>
      <c r="N191" s="134">
        <f t="shared" si="7"/>
        <v>45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190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4</v>
      </c>
      <c r="D193" s="8"/>
      <c r="E193" s="9"/>
      <c r="F193" s="9"/>
      <c r="G193" s="10"/>
      <c r="H193" s="10"/>
      <c r="I193" s="11"/>
      <c r="J193" s="11"/>
      <c r="K193" s="10"/>
      <c r="L193" s="190"/>
      <c r="M193" s="11"/>
      <c r="N193" s="134">
        <f t="shared" si="7"/>
        <v>4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190"/>
      <c r="M194" s="11">
        <v>1</v>
      </c>
      <c r="N194" s="134">
        <f t="shared" si="7"/>
        <v>5</v>
      </c>
      <c r="O194" s="135"/>
      <c r="P194" s="10"/>
      <c r="Q194" s="118"/>
      <c r="R194" s="74" t="s">
        <v>1592</v>
      </c>
      <c r="S194" s="18">
        <v>26144</v>
      </c>
      <c r="T194" s="191">
        <v>27189.759999999998</v>
      </c>
      <c r="U194" s="191">
        <v>28235.52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90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1</v>
      </c>
      <c r="D196" s="8"/>
      <c r="E196" s="9"/>
      <c r="F196" s="9"/>
      <c r="G196" s="10"/>
      <c r="H196" s="10"/>
      <c r="I196" s="11">
        <v>1</v>
      </c>
      <c r="J196" s="11"/>
      <c r="K196" s="10"/>
      <c r="L196" s="190"/>
      <c r="M196" s="11"/>
      <c r="N196" s="134">
        <f t="shared" si="7"/>
        <v>2</v>
      </c>
      <c r="O196" s="135"/>
      <c r="P196" s="10"/>
      <c r="Q196" s="118"/>
      <c r="R196" s="74" t="s">
        <v>1592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190"/>
      <c r="M197" s="11"/>
      <c r="N197" s="134">
        <f t="shared" si="7"/>
        <v>1</v>
      </c>
      <c r="O197" s="135"/>
      <c r="P197" s="10"/>
      <c r="Q197" s="118"/>
      <c r="R197" s="74" t="s">
        <v>1592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41</v>
      </c>
      <c r="D198" s="8"/>
      <c r="E198" s="9"/>
      <c r="F198" s="9"/>
      <c r="G198" s="10"/>
      <c r="H198" s="10"/>
      <c r="I198" s="11"/>
      <c r="J198" s="11">
        <v>1</v>
      </c>
      <c r="K198" s="10"/>
      <c r="L198" s="190"/>
      <c r="M198" s="11"/>
      <c r="N198" s="134">
        <f t="shared" si="7"/>
        <v>42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190"/>
      <c r="M199" s="11">
        <v>1</v>
      </c>
      <c r="N199" s="134">
        <f t="shared" si="7"/>
        <v>26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15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90"/>
      <c r="M200" s="11"/>
      <c r="N200" s="134">
        <f t="shared" si="7"/>
        <v>17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190"/>
      <c r="M201" s="11">
        <v>1</v>
      </c>
      <c r="N201" s="134">
        <f t="shared" si="7"/>
        <v>33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190"/>
      <c r="M202" s="11"/>
      <c r="N202" s="134">
        <f t="shared" si="7"/>
        <v>24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190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90"/>
      <c r="M204" s="11"/>
      <c r="N204" s="134">
        <f t="shared" si="7"/>
        <v>20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190"/>
      <c r="M205" s="11"/>
      <c r="N205" s="134">
        <f>SUM(N159:N204)</f>
        <v>510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190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3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/>
      <c r="D207" s="8"/>
      <c r="E207" s="9"/>
      <c r="F207" s="9"/>
      <c r="G207" s="10"/>
      <c r="H207" s="10"/>
      <c r="I207" s="11"/>
      <c r="J207" s="11"/>
      <c r="K207" s="10">
        <v>1</v>
      </c>
      <c r="L207" s="190"/>
      <c r="M207" s="11"/>
      <c r="N207" s="134">
        <f t="shared" si="8"/>
        <v>1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8</v>
      </c>
      <c r="D208" s="8"/>
      <c r="E208" s="9"/>
      <c r="F208" s="9"/>
      <c r="G208" s="10"/>
      <c r="H208" s="10"/>
      <c r="I208" s="11"/>
      <c r="J208" s="11"/>
      <c r="K208" s="10"/>
      <c r="L208" s="190"/>
      <c r="M208" s="11"/>
      <c r="N208" s="134">
        <f t="shared" si="8"/>
        <v>8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5</v>
      </c>
      <c r="D209" s="8"/>
      <c r="E209" s="9"/>
      <c r="F209" s="9"/>
      <c r="G209" s="10"/>
      <c r="H209" s="10"/>
      <c r="I209" s="11"/>
      <c r="J209" s="11"/>
      <c r="K209" s="10"/>
      <c r="L209" s="190"/>
      <c r="M209" s="11"/>
      <c r="N209" s="134">
        <f t="shared" si="8"/>
        <v>5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190"/>
      <c r="M210" s="11">
        <v>1</v>
      </c>
      <c r="N210" s="134">
        <f t="shared" si="8"/>
        <v>1</v>
      </c>
      <c r="O210" s="135"/>
      <c r="P210" s="10"/>
      <c r="Q210" s="118"/>
      <c r="R210" s="74" t="s">
        <v>1592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>
        <v>1</v>
      </c>
      <c r="J211" s="11"/>
      <c r="K211" s="10"/>
      <c r="L211" s="190"/>
      <c r="M211" s="11"/>
      <c r="N211" s="134">
        <f t="shared" si="8"/>
        <v>1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5</v>
      </c>
      <c r="D212" s="8"/>
      <c r="E212" s="9"/>
      <c r="F212" s="9">
        <v>2</v>
      </c>
      <c r="G212" s="10"/>
      <c r="H212" s="10"/>
      <c r="I212" s="11"/>
      <c r="J212" s="11"/>
      <c r="K212" s="10"/>
      <c r="L212" s="190"/>
      <c r="M212" s="11"/>
      <c r="N212" s="134">
        <f t="shared" si="8"/>
        <v>7</v>
      </c>
      <c r="O212" s="135"/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8</v>
      </c>
      <c r="D213" s="8"/>
      <c r="E213" s="9"/>
      <c r="F213" s="9"/>
      <c r="G213" s="10"/>
      <c r="H213" s="10"/>
      <c r="I213" s="11"/>
      <c r="J213" s="11"/>
      <c r="K213" s="10"/>
      <c r="L213" s="190"/>
      <c r="M213" s="11"/>
      <c r="N213" s="134">
        <f t="shared" si="8"/>
        <v>8</v>
      </c>
      <c r="O213" s="135"/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190"/>
      <c r="M214" s="11"/>
      <c r="N214" s="134">
        <f t="shared" si="8"/>
        <v>3</v>
      </c>
      <c r="O214" s="135"/>
      <c r="P214" s="10"/>
      <c r="Q214" s="118"/>
      <c r="R214" s="74" t="s">
        <v>1592</v>
      </c>
      <c r="S214" s="19">
        <v>15500</v>
      </c>
      <c r="T214" s="12">
        <v>16120</v>
      </c>
      <c r="U214" s="12">
        <v>16740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190"/>
      <c r="M215" s="11"/>
      <c r="N215" s="134">
        <f t="shared" si="8"/>
        <v>5</v>
      </c>
      <c r="O215" s="135"/>
      <c r="P215" s="10"/>
      <c r="Q215" s="118"/>
      <c r="R215" s="74" t="s">
        <v>1592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15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90"/>
      <c r="M216" s="11"/>
      <c r="N216" s="134">
        <f t="shared" si="8"/>
        <v>17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7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190"/>
      <c r="M217" s="11">
        <v>1</v>
      </c>
      <c r="N217" s="134">
        <f t="shared" si="8"/>
        <v>10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5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90"/>
      <c r="M218" s="11"/>
      <c r="N218" s="134">
        <f t="shared" si="8"/>
        <v>7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190"/>
      <c r="M219" s="11"/>
      <c r="N219" s="134">
        <f t="shared" si="8"/>
        <v>3</v>
      </c>
      <c r="O219" s="135"/>
      <c r="P219" s="10"/>
      <c r="Q219" s="118"/>
      <c r="R219" s="74" t="s">
        <v>1592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190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3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90"/>
      <c r="M221" s="11">
        <v>1</v>
      </c>
      <c r="N221" s="134">
        <f t="shared" si="8"/>
        <v>7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90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8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90"/>
      <c r="M223" s="11">
        <v>1</v>
      </c>
      <c r="N223" s="134">
        <f t="shared" si="8"/>
        <v>11</v>
      </c>
      <c r="O223" s="135"/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190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5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190"/>
      <c r="M225" s="11"/>
      <c r="N225" s="134">
        <f t="shared" ref="N225:N280" si="9">M225+L225+K225+J225+I225+H225+G225+F225+E225+D225+C225</f>
        <v>2</v>
      </c>
      <c r="O225" s="135"/>
      <c r="P225" s="10"/>
      <c r="Q225" s="118"/>
      <c r="R225" s="74" t="s">
        <v>1592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5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190"/>
      <c r="M226" s="11"/>
      <c r="N226" s="134">
        <f t="shared" si="9"/>
        <v>1</v>
      </c>
      <c r="O226" s="135"/>
      <c r="P226" s="10"/>
      <c r="Q226" s="124" t="s">
        <v>1549</v>
      </c>
      <c r="R226" s="74" t="s">
        <v>1592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5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190"/>
      <c r="M227" s="11"/>
      <c r="N227" s="134">
        <f t="shared" si="9"/>
        <v>5</v>
      </c>
      <c r="O227" s="135"/>
      <c r="P227" s="10"/>
      <c r="Q227" s="118"/>
      <c r="R227" s="74" t="s">
        <v>1592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5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2</v>
      </c>
      <c r="D228" s="8"/>
      <c r="E228" s="9"/>
      <c r="F228" s="9">
        <v>1</v>
      </c>
      <c r="G228" s="10"/>
      <c r="H228" s="10"/>
      <c r="I228" s="11"/>
      <c r="J228" s="11"/>
      <c r="K228" s="10"/>
      <c r="L228" s="190"/>
      <c r="M228" s="11"/>
      <c r="N228" s="134">
        <f t="shared" si="9"/>
        <v>3</v>
      </c>
      <c r="O228" s="135"/>
      <c r="P228" s="10"/>
      <c r="Q228" s="118" t="s">
        <v>1548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5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190"/>
      <c r="M229" s="11">
        <v>1</v>
      </c>
      <c r="N229" s="134">
        <f t="shared" si="9"/>
        <v>6</v>
      </c>
      <c r="O229" s="135"/>
      <c r="P229" s="10"/>
      <c r="Q229" s="118" t="s">
        <v>1548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5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90"/>
      <c r="M230" s="11"/>
      <c r="N230" s="134">
        <f t="shared" si="9"/>
        <v>1</v>
      </c>
      <c r="O230" s="135"/>
      <c r="P230" s="10"/>
      <c r="Q230" s="118" t="s">
        <v>1548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5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>
        <v>1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90"/>
      <c r="M231" s="11"/>
      <c r="N231" s="134">
        <f t="shared" si="9"/>
        <v>3</v>
      </c>
      <c r="O231" s="135"/>
      <c r="P231" s="10"/>
      <c r="Q231" s="118"/>
      <c r="R231" s="52">
        <v>15245.322966199588</v>
      </c>
      <c r="S231" s="180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5">
      <c r="A232" s="142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8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190"/>
      <c r="M232" s="11"/>
      <c r="N232" s="134">
        <f t="shared" si="9"/>
        <v>10</v>
      </c>
      <c r="O232" s="135"/>
      <c r="P232" s="10"/>
      <c r="Q232" s="118"/>
      <c r="R232" s="52">
        <v>18686.314734455249</v>
      </c>
      <c r="S232" s="180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5">
      <c r="A233" s="142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7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190"/>
      <c r="M233" s="11"/>
      <c r="N233" s="134">
        <f t="shared" si="9"/>
        <v>10</v>
      </c>
      <c r="O233" s="135"/>
      <c r="P233" s="10"/>
      <c r="Q233" s="118"/>
      <c r="R233" s="52">
        <v>18686.314734455249</v>
      </c>
      <c r="S233" s="180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5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190"/>
      <c r="M234" s="11"/>
      <c r="N234" s="134">
        <f t="shared" si="9"/>
        <v>4</v>
      </c>
      <c r="O234" s="135"/>
      <c r="P234" s="10"/>
      <c r="Q234" s="118"/>
      <c r="R234" s="74" t="s">
        <v>1592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5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190"/>
      <c r="M235" s="11"/>
      <c r="N235" s="134">
        <f t="shared" si="9"/>
        <v>1</v>
      </c>
      <c r="O235" s="135"/>
      <c r="P235" s="10"/>
      <c r="Q235" s="118"/>
      <c r="R235" s="74" t="s">
        <v>1592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5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>
        <v>7</v>
      </c>
      <c r="D236" s="8"/>
      <c r="E236" s="9"/>
      <c r="F236" s="9"/>
      <c r="G236" s="10"/>
      <c r="H236" s="10"/>
      <c r="I236" s="11">
        <v>1</v>
      </c>
      <c r="J236" s="11"/>
      <c r="K236" s="10"/>
      <c r="L236" s="190"/>
      <c r="M236" s="11"/>
      <c r="N236" s="134">
        <f t="shared" si="9"/>
        <v>8</v>
      </c>
      <c r="O236" s="135">
        <v>11</v>
      </c>
      <c r="P236" s="10"/>
      <c r="Q236" s="118"/>
      <c r="R236" s="52">
        <v>12960.412782700203</v>
      </c>
      <c r="S236" s="180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5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17</v>
      </c>
      <c r="D237" s="8"/>
      <c r="E237" s="9"/>
      <c r="F237" s="9"/>
      <c r="G237" s="10"/>
      <c r="H237" s="10"/>
      <c r="I237" s="11"/>
      <c r="J237" s="11">
        <v>1</v>
      </c>
      <c r="K237" s="10"/>
      <c r="L237" s="190"/>
      <c r="M237" s="11"/>
      <c r="N237" s="134">
        <f t="shared" si="9"/>
        <v>18</v>
      </c>
      <c r="O237" s="135">
        <v>11</v>
      </c>
      <c r="P237" s="10"/>
      <c r="Q237" s="118"/>
      <c r="R237" s="52">
        <v>12960.412782700203</v>
      </c>
      <c r="S237" s="180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Y237" t="s">
        <v>1611</v>
      </c>
    </row>
    <row r="238" spans="1:25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30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190"/>
      <c r="M238" s="11">
        <v>1</v>
      </c>
      <c r="N238" s="134">
        <f t="shared" si="9"/>
        <v>34</v>
      </c>
      <c r="O238" s="135">
        <v>1</v>
      </c>
      <c r="P238" s="10"/>
      <c r="Q238" s="118"/>
      <c r="R238" s="52">
        <v>12960.412782700203</v>
      </c>
      <c r="S238" s="180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5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190"/>
      <c r="M239" s="11">
        <v>1</v>
      </c>
      <c r="N239" s="134">
        <f t="shared" si="9"/>
        <v>2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Y239" t="s">
        <v>1611</v>
      </c>
    </row>
    <row r="240" spans="1:25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15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190"/>
      <c r="M240" s="11"/>
      <c r="N240" s="134">
        <f t="shared" si="9"/>
        <v>17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5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90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Y241" t="s">
        <v>1611</v>
      </c>
    </row>
    <row r="242" spans="1:25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22</v>
      </c>
      <c r="D242" s="8"/>
      <c r="E242" s="9"/>
      <c r="F242" s="9"/>
      <c r="G242" s="10"/>
      <c r="H242" s="10"/>
      <c r="I242" s="11"/>
      <c r="J242" s="11">
        <v>1</v>
      </c>
      <c r="K242" s="10"/>
      <c r="L242" s="190"/>
      <c r="M242" s="11"/>
      <c r="N242" s="134">
        <f t="shared" si="9"/>
        <v>23</v>
      </c>
      <c r="O242" s="135">
        <v>1</v>
      </c>
      <c r="P242" s="10"/>
      <c r="Q242" s="118"/>
      <c r="R242" s="52">
        <v>16596.834779902212</v>
      </c>
      <c r="S242" s="18">
        <v>14000</v>
      </c>
      <c r="T242" s="191">
        <v>14560</v>
      </c>
      <c r="U242" s="191">
        <v>15120</v>
      </c>
      <c r="V242" s="27"/>
      <c r="W242" s="13"/>
      <c r="X242" s="131">
        <v>500</v>
      </c>
    </row>
    <row r="243" spans="1:25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190"/>
      <c r="M243" s="11">
        <v>1</v>
      </c>
      <c r="N243" s="134">
        <f t="shared" si="9"/>
        <v>6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Y243" t="s">
        <v>1611</v>
      </c>
    </row>
    <row r="244" spans="1:25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190"/>
      <c r="M244" s="11"/>
      <c r="N244" s="134">
        <f t="shared" si="9"/>
        <v>7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5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15</v>
      </c>
      <c r="D245" s="8"/>
      <c r="E245" s="9"/>
      <c r="F245" s="9"/>
      <c r="G245" s="10"/>
      <c r="H245" s="10"/>
      <c r="I245" s="11"/>
      <c r="J245" s="11"/>
      <c r="K245" s="10"/>
      <c r="L245" s="190"/>
      <c r="M245" s="11"/>
      <c r="N245" s="134">
        <f t="shared" si="9"/>
        <v>15</v>
      </c>
      <c r="O245" s="135"/>
      <c r="P245" s="10"/>
      <c r="Q245" s="118"/>
      <c r="R245" s="74" t="s">
        <v>1592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5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90"/>
      <c r="M246" s="11"/>
      <c r="N246" s="134">
        <f t="shared" si="9"/>
        <v>1</v>
      </c>
      <c r="O246" s="135"/>
      <c r="P246" s="10"/>
      <c r="Q246" s="118"/>
      <c r="R246" s="74" t="s">
        <v>1592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5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190"/>
      <c r="M247" s="11">
        <v>1</v>
      </c>
      <c r="N247" s="134">
        <f t="shared" si="9"/>
        <v>1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Y247" t="s">
        <v>1611</v>
      </c>
    </row>
    <row r="248" spans="1:25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190"/>
      <c r="M248" s="11"/>
      <c r="N248" s="134">
        <f t="shared" si="9"/>
        <v>2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Y248" t="s">
        <v>1611</v>
      </c>
    </row>
    <row r="249" spans="1:25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190"/>
      <c r="M249" s="11">
        <v>1</v>
      </c>
      <c r="N249" s="134">
        <f t="shared" si="9"/>
        <v>4</v>
      </c>
      <c r="O249" s="135"/>
      <c r="P249" s="10"/>
      <c r="Q249" s="118"/>
      <c r="R249" s="74" t="s">
        <v>1592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5">
      <c r="A250" s="154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190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Y250" t="s">
        <v>1611</v>
      </c>
    </row>
    <row r="251" spans="1:25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190"/>
      <c r="M251" s="11"/>
      <c r="N251" s="134">
        <f t="shared" si="9"/>
        <v>3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Y251" t="s">
        <v>1611</v>
      </c>
    </row>
    <row r="252" spans="1:25">
      <c r="A252" s="148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190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0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5">
      <c r="A253" s="155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190"/>
      <c r="M253" s="11"/>
      <c r="N253" s="134">
        <f t="shared" si="9"/>
        <v>1</v>
      </c>
      <c r="O253" s="135"/>
      <c r="P253" s="10"/>
      <c r="Q253" s="118"/>
      <c r="R253" s="74" t="s">
        <v>1592</v>
      </c>
      <c r="S253" s="19">
        <v>45000</v>
      </c>
      <c r="T253" s="12">
        <v>46800</v>
      </c>
      <c r="U253" s="12">
        <v>48600</v>
      </c>
      <c r="V253" s="13"/>
      <c r="W253" s="13"/>
      <c r="X253" s="17"/>
    </row>
    <row r="254" spans="1:25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90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25">
        <v>54733.214214039705</v>
      </c>
      <c r="T254" s="12">
        <v>56922.542782601289</v>
      </c>
      <c r="U254" s="12">
        <v>59111.871351162881</v>
      </c>
      <c r="V254" s="13"/>
      <c r="W254" s="13"/>
      <c r="X254" s="17"/>
    </row>
    <row r="255" spans="1:25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190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5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2</v>
      </c>
      <c r="D256" s="8"/>
      <c r="E256" s="9"/>
      <c r="F256" s="9"/>
      <c r="G256" s="10"/>
      <c r="H256" s="10"/>
      <c r="I256" s="11"/>
      <c r="J256" s="11">
        <v>1</v>
      </c>
      <c r="K256" s="10"/>
      <c r="L256" s="190"/>
      <c r="M256" s="11"/>
      <c r="N256" s="134">
        <f t="shared" si="9"/>
        <v>3</v>
      </c>
      <c r="O256" s="135"/>
      <c r="P256" s="10"/>
      <c r="Q256" s="118"/>
      <c r="R256" s="52">
        <v>22706.639948246382</v>
      </c>
      <c r="S256" s="180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6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3</v>
      </c>
      <c r="D257" s="8"/>
      <c r="E257" s="9"/>
      <c r="F257" s="9"/>
      <c r="G257" s="10"/>
      <c r="H257" s="10"/>
      <c r="I257" s="11"/>
      <c r="J257" s="11"/>
      <c r="K257" s="10"/>
      <c r="L257" s="190"/>
      <c r="M257" s="11"/>
      <c r="N257" s="134">
        <f t="shared" si="9"/>
        <v>3</v>
      </c>
      <c r="O257" s="135"/>
      <c r="P257" s="10"/>
      <c r="Q257" s="118"/>
      <c r="R257" s="52">
        <v>23717.223835639379</v>
      </c>
      <c r="S257" s="180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5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16</v>
      </c>
      <c r="D258" s="8"/>
      <c r="E258" s="9"/>
      <c r="F258" s="9"/>
      <c r="G258" s="10"/>
      <c r="H258" s="10"/>
      <c r="I258" s="11"/>
      <c r="J258" s="11"/>
      <c r="K258" s="10"/>
      <c r="L258" s="190"/>
      <c r="M258" s="11"/>
      <c r="N258" s="134">
        <f t="shared" si="9"/>
        <v>16</v>
      </c>
      <c r="O258" s="135"/>
      <c r="P258" s="10"/>
      <c r="Q258" s="118"/>
      <c r="R258" s="52">
        <v>23717.223835639379</v>
      </c>
      <c r="S258" s="180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190"/>
      <c r="M259" s="11"/>
      <c r="N259" s="134">
        <f t="shared" si="9"/>
        <v>4</v>
      </c>
      <c r="O259" s="135"/>
      <c r="P259" s="10"/>
      <c r="Q259" s="118"/>
      <c r="R259" s="74" t="s">
        <v>1592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190"/>
      <c r="M260" s="11"/>
      <c r="N260" s="134">
        <f t="shared" si="9"/>
        <v>24</v>
      </c>
      <c r="O260" s="135"/>
      <c r="P260" s="10"/>
      <c r="Q260" s="118"/>
      <c r="R260" s="74" t="s">
        <v>1592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5</v>
      </c>
      <c r="D261" s="8"/>
      <c r="E261" s="9"/>
      <c r="F261" s="9"/>
      <c r="G261" s="10"/>
      <c r="H261" s="10"/>
      <c r="I261" s="11"/>
      <c r="J261" s="11"/>
      <c r="K261" s="10"/>
      <c r="L261" s="190"/>
      <c r="M261" s="11"/>
      <c r="N261" s="134">
        <f t="shared" si="9"/>
        <v>5</v>
      </c>
      <c r="O261" s="135">
        <v>1</v>
      </c>
      <c r="P261" s="10"/>
      <c r="Q261" s="118"/>
      <c r="R261" s="52">
        <v>35554.893039650982</v>
      </c>
      <c r="S261" s="180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90"/>
      <c r="M262" s="11"/>
      <c r="N262" s="134">
        <f t="shared" si="9"/>
        <v>4</v>
      </c>
      <c r="O262" s="135"/>
      <c r="P262" s="10"/>
      <c r="Q262" s="118"/>
      <c r="R262" s="74" t="s">
        <v>1592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190"/>
      <c r="M263" s="11"/>
      <c r="N263" s="134">
        <f t="shared" si="9"/>
        <v>3</v>
      </c>
      <c r="O263" s="135"/>
      <c r="P263" s="10"/>
      <c r="Q263" s="118"/>
      <c r="R263" s="74" t="s">
        <v>1592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190"/>
      <c r="M264" s="11"/>
      <c r="N264" s="134">
        <f t="shared" si="9"/>
        <v>1</v>
      </c>
      <c r="O264" s="135"/>
      <c r="P264" s="10"/>
      <c r="Q264" s="118"/>
      <c r="R264" s="74" t="s">
        <v>1592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4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5</v>
      </c>
      <c r="D265" s="8"/>
      <c r="E265" s="9"/>
      <c r="F265" s="9"/>
      <c r="G265" s="10"/>
      <c r="H265" s="10"/>
      <c r="I265" s="11"/>
      <c r="J265" s="11"/>
      <c r="K265" s="10"/>
      <c r="L265" s="190"/>
      <c r="M265" s="11"/>
      <c r="N265" s="134">
        <f t="shared" si="9"/>
        <v>5</v>
      </c>
      <c r="O265" s="135">
        <v>1</v>
      </c>
      <c r="P265" s="10"/>
      <c r="Q265" s="118"/>
      <c r="R265" s="52">
        <v>27571.283148267736</v>
      </c>
      <c r="S265" s="180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190"/>
      <c r="M266" s="11"/>
      <c r="N266" s="134">
        <f t="shared" si="9"/>
        <v>0</v>
      </c>
      <c r="O266" s="135">
        <v>6</v>
      </c>
      <c r="P266" s="10"/>
      <c r="Q266" s="118"/>
      <c r="R266" s="52">
        <v>27571.283148267736</v>
      </c>
      <c r="S266" s="25">
        <v>27571.283148267736</v>
      </c>
      <c r="T266" s="12">
        <v>28674.134474198447</v>
      </c>
      <c r="U266" s="12">
        <v>29776.985800129154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5</v>
      </c>
      <c r="D267" s="8"/>
      <c r="E267" s="9"/>
      <c r="F267" s="9"/>
      <c r="G267" s="10"/>
      <c r="H267" s="10"/>
      <c r="I267" s="11"/>
      <c r="J267" s="11"/>
      <c r="K267" s="10"/>
      <c r="L267" s="190"/>
      <c r="M267" s="11"/>
      <c r="N267" s="134">
        <f t="shared" si="9"/>
        <v>5</v>
      </c>
      <c r="O267" s="135">
        <v>1</v>
      </c>
      <c r="P267" s="10"/>
      <c r="Q267" s="118"/>
      <c r="R267" s="52">
        <v>27571.283148267736</v>
      </c>
      <c r="S267" s="180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190"/>
      <c r="M268" s="11"/>
      <c r="N268" s="134">
        <f t="shared" si="9"/>
        <v>2</v>
      </c>
      <c r="O268" s="135"/>
      <c r="P268" s="10"/>
      <c r="Q268" s="118"/>
      <c r="R268" s="74" t="s">
        <v>1592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190"/>
      <c r="M269" s="11"/>
      <c r="N269" s="134">
        <f t="shared" si="9"/>
        <v>7</v>
      </c>
      <c r="O269" s="135"/>
      <c r="P269" s="10"/>
      <c r="Q269" s="118"/>
      <c r="R269" s="74" t="s">
        <v>1592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190"/>
      <c r="M270" s="11"/>
      <c r="N270" s="134">
        <f t="shared" si="9"/>
        <v>1</v>
      </c>
      <c r="O270" s="135"/>
      <c r="P270" s="10"/>
      <c r="Q270" s="118"/>
      <c r="R270" s="74" t="s">
        <v>1592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190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190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7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190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7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190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0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190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25">
        <v>6994.7475072313682</v>
      </c>
      <c r="T275" s="12">
        <v>7274.5374075206228</v>
      </c>
      <c r="U275" s="12">
        <v>7554.3273078098773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190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25">
        <v>6996.7150435309395</v>
      </c>
      <c r="T276" s="12">
        <v>7276.5836452721769</v>
      </c>
      <c r="U276" s="12">
        <v>7556.4522470134143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190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25">
        <v>26523.426589751005</v>
      </c>
      <c r="T277" s="12">
        <v>27584.363653341046</v>
      </c>
      <c r="U277" s="12">
        <v>28645.300716931084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12</v>
      </c>
      <c r="D278" s="8"/>
      <c r="E278" s="9"/>
      <c r="F278" s="9"/>
      <c r="G278" s="10"/>
      <c r="H278" s="10"/>
      <c r="I278" s="11"/>
      <c r="J278" s="11"/>
      <c r="K278" s="10"/>
      <c r="L278" s="190"/>
      <c r="M278" s="11"/>
      <c r="N278" s="134">
        <f t="shared" si="9"/>
        <v>12</v>
      </c>
      <c r="O278" s="135"/>
      <c r="P278" s="10"/>
      <c r="Q278" s="118"/>
      <c r="R278" s="52">
        <v>10511.623575695072</v>
      </c>
      <c r="S278" s="25">
        <v>10511.623575695072</v>
      </c>
      <c r="T278" s="12">
        <v>10932.088518722874</v>
      </c>
      <c r="U278" s="12">
        <v>11352.553461750678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90"/>
      <c r="M279" s="11"/>
      <c r="N279" s="134">
        <f t="shared" si="9"/>
        <v>1</v>
      </c>
      <c r="O279" s="135">
        <v>6</v>
      </c>
      <c r="P279" s="10"/>
      <c r="Q279" s="118"/>
      <c r="R279" s="52">
        <v>40397.409638614212</v>
      </c>
      <c r="S279" s="25">
        <v>40397.409638614212</v>
      </c>
      <c r="T279" s="12">
        <v>42013.306024158781</v>
      </c>
      <c r="U279" s="12">
        <v>43629.20240970335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90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25">
        <v>36071.86016206137</v>
      </c>
      <c r="T280" s="12">
        <v>37514.734568543827</v>
      </c>
      <c r="U280" s="12">
        <v>38957.608975026276</v>
      </c>
      <c r="V280" s="13"/>
      <c r="W280" s="13"/>
      <c r="X280" s="17"/>
    </row>
    <row r="281" spans="1:24" ht="30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190"/>
      <c r="M281" s="11"/>
      <c r="N281" s="134">
        <f>SUM(N206:N280)</f>
        <v>447</v>
      </c>
      <c r="O281" s="135">
        <f>SUM(O206:O280)</f>
        <v>332</v>
      </c>
      <c r="P281" s="10">
        <f>SUM(P206:P280)</f>
        <v>5</v>
      </c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90"/>
      <c r="M282" s="11"/>
      <c r="N282" s="134">
        <f t="shared" ref="N282:N344" si="10">M282+L282+K282+J282+I282+H282+G282+F282+E282+D282+C282</f>
        <v>2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58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190"/>
      <c r="M283" s="11"/>
      <c r="N283" s="134">
        <f t="shared" si="10"/>
        <v>1</v>
      </c>
      <c r="O283" s="135"/>
      <c r="P283" s="10"/>
      <c r="Q283" s="118"/>
      <c r="R283" s="74" t="s">
        <v>1592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58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190"/>
      <c r="M284" s="11"/>
      <c r="N284" s="134">
        <f t="shared" si="10"/>
        <v>3</v>
      </c>
      <c r="O284" s="135"/>
      <c r="P284" s="10"/>
      <c r="Q284" s="118"/>
      <c r="R284" s="74" t="s">
        <v>1592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190"/>
      <c r="M285" s="11"/>
      <c r="N285" s="134">
        <f t="shared" si="10"/>
        <v>3</v>
      </c>
      <c r="O285" s="135"/>
      <c r="P285" s="10"/>
      <c r="Q285" s="118"/>
      <c r="R285" s="74" t="s">
        <v>1592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90"/>
      <c r="M286" s="11"/>
      <c r="N286" s="134">
        <f t="shared" si="10"/>
        <v>3</v>
      </c>
      <c r="O286" s="135"/>
      <c r="P286" s="10"/>
      <c r="Q286" s="118"/>
      <c r="R286" s="74" t="s">
        <v>1592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90"/>
      <c r="M287" s="11"/>
      <c r="N287" s="134">
        <f t="shared" si="10"/>
        <v>1</v>
      </c>
      <c r="O287" s="135"/>
      <c r="P287" s="10"/>
      <c r="Q287" s="118"/>
      <c r="R287" s="74" t="s">
        <v>1592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58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90"/>
      <c r="M288" s="11"/>
      <c r="N288" s="134">
        <f t="shared" si="10"/>
        <v>1</v>
      </c>
      <c r="O288" s="135"/>
      <c r="P288" s="10"/>
      <c r="Q288" s="118"/>
      <c r="R288" s="74" t="s">
        <v>1592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190"/>
      <c r="M289" s="11"/>
      <c r="N289" s="134">
        <f t="shared" si="10"/>
        <v>1</v>
      </c>
      <c r="O289" s="135"/>
      <c r="P289" s="10"/>
      <c r="Q289" s="118"/>
      <c r="R289" s="74" t="s">
        <v>1592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4</v>
      </c>
      <c r="D290" s="8"/>
      <c r="E290" s="9"/>
      <c r="F290" s="9"/>
      <c r="G290" s="10"/>
      <c r="H290" s="10"/>
      <c r="I290" s="11"/>
      <c r="J290" s="11"/>
      <c r="K290" s="10"/>
      <c r="L290" s="190"/>
      <c r="M290" s="11"/>
      <c r="N290" s="134">
        <f t="shared" si="10"/>
        <v>4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190"/>
      <c r="M291" s="11"/>
      <c r="N291" s="134">
        <f t="shared" si="10"/>
        <v>1</v>
      </c>
      <c r="O291" s="135"/>
      <c r="P291" s="10"/>
      <c r="Q291" s="118"/>
      <c r="R291" s="74" t="s">
        <v>1592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90"/>
      <c r="M292" s="11"/>
      <c r="N292" s="134">
        <f t="shared" si="10"/>
        <v>1</v>
      </c>
      <c r="O292" s="135"/>
      <c r="P292" s="10"/>
      <c r="Q292" s="118"/>
      <c r="R292" s="74" t="s">
        <v>1592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190"/>
      <c r="M293" s="11"/>
      <c r="N293" s="134">
        <f t="shared" si="10"/>
        <v>22</v>
      </c>
      <c r="O293" s="135"/>
      <c r="P293" s="10"/>
      <c r="Q293" s="118"/>
      <c r="R293" s="183" t="s">
        <v>1592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59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190"/>
      <c r="M294" s="11">
        <v>1</v>
      </c>
      <c r="N294" s="134">
        <f t="shared" si="10"/>
        <v>9</v>
      </c>
      <c r="O294" s="135"/>
      <c r="P294" s="10"/>
      <c r="Q294" s="118"/>
      <c r="R294" s="74" t="s">
        <v>1592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>
        <v>1</v>
      </c>
      <c r="D295" s="8"/>
      <c r="E295" s="9"/>
      <c r="F295" s="9"/>
      <c r="G295" s="10"/>
      <c r="H295" s="10"/>
      <c r="I295" s="11"/>
      <c r="J295" s="11"/>
      <c r="K295" s="10"/>
      <c r="L295" s="190"/>
      <c r="M295" s="11"/>
      <c r="N295" s="134">
        <f t="shared" si="10"/>
        <v>1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0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90"/>
      <c r="M296" s="11"/>
      <c r="N296" s="134">
        <f t="shared" si="10"/>
        <v>1</v>
      </c>
      <c r="O296" s="135"/>
      <c r="P296" s="10"/>
      <c r="Q296" s="118"/>
      <c r="R296" s="74" t="s">
        <v>1592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90"/>
      <c r="M297" s="11"/>
      <c r="N297" s="134">
        <f t="shared" si="10"/>
        <v>1</v>
      </c>
      <c r="O297" s="135"/>
      <c r="P297" s="10"/>
      <c r="Q297" s="118"/>
      <c r="R297" s="74" t="s">
        <v>1592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90"/>
      <c r="M298" s="11"/>
      <c r="N298" s="134">
        <f t="shared" si="10"/>
        <v>1</v>
      </c>
      <c r="O298" s="135"/>
      <c r="P298" s="10"/>
      <c r="Q298" s="118"/>
      <c r="R298" s="74" t="s">
        <v>1592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31</v>
      </c>
      <c r="D299" s="8"/>
      <c r="E299" s="9"/>
      <c r="F299" s="9"/>
      <c r="G299" s="10"/>
      <c r="H299" s="10"/>
      <c r="I299" s="11">
        <v>1</v>
      </c>
      <c r="J299" s="11"/>
      <c r="K299" s="10"/>
      <c r="L299" s="190"/>
      <c r="M299" s="11">
        <v>1</v>
      </c>
      <c r="N299" s="134">
        <f t="shared" si="10"/>
        <v>33</v>
      </c>
      <c r="O299" s="135">
        <v>1</v>
      </c>
      <c r="P299" s="10"/>
      <c r="Q299" s="118"/>
      <c r="R299" s="52">
        <v>12248.765981066908</v>
      </c>
      <c r="S299" s="180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90"/>
      <c r="M300" s="11"/>
      <c r="N300" s="134">
        <f t="shared" si="10"/>
        <v>1</v>
      </c>
      <c r="O300" s="135"/>
      <c r="P300" s="10"/>
      <c r="Q300" s="118"/>
      <c r="R300" s="74" t="s">
        <v>1592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190"/>
      <c r="M301" s="11"/>
      <c r="N301" s="134">
        <f t="shared" si="10"/>
        <v>5</v>
      </c>
      <c r="O301" s="135"/>
      <c r="P301" s="10"/>
      <c r="Q301" s="118"/>
      <c r="R301" s="74" t="s">
        <v>1592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18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190"/>
      <c r="M302" s="11"/>
      <c r="N302" s="134">
        <f t="shared" si="10"/>
        <v>21</v>
      </c>
      <c r="O302" s="135">
        <v>1</v>
      </c>
      <c r="P302" s="10"/>
      <c r="Q302" s="118"/>
      <c r="R302" s="52">
        <v>12248.765981066908</v>
      </c>
      <c r="S302" s="180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17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90"/>
      <c r="M303" s="11">
        <v>1</v>
      </c>
      <c r="N303" s="134">
        <f t="shared" si="10"/>
        <v>20</v>
      </c>
      <c r="O303" s="135"/>
      <c r="P303" s="10"/>
      <c r="Q303" s="118"/>
      <c r="R303" s="183" t="s">
        <v>1592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190"/>
      <c r="M304" s="11"/>
      <c r="N304" s="134">
        <f t="shared" si="10"/>
        <v>9</v>
      </c>
      <c r="O304" s="135">
        <v>11</v>
      </c>
      <c r="P304" s="10"/>
      <c r="Q304" s="118"/>
      <c r="R304" s="52">
        <v>17126.883614565326</v>
      </c>
      <c r="S304" s="180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90"/>
      <c r="M305" s="11"/>
      <c r="N305" s="134">
        <f t="shared" si="10"/>
        <v>5</v>
      </c>
      <c r="O305" s="135">
        <v>10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90"/>
      <c r="M306" s="11"/>
      <c r="N306" s="134">
        <f t="shared" si="10"/>
        <v>1</v>
      </c>
      <c r="O306" s="135"/>
      <c r="P306" s="10"/>
      <c r="Q306" s="118"/>
      <c r="R306" s="74" t="s">
        <v>1592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1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190"/>
      <c r="M307" s="11"/>
      <c r="N307" s="134">
        <f t="shared" si="10"/>
        <v>7</v>
      </c>
      <c r="O307" s="135"/>
      <c r="P307" s="10"/>
      <c r="Q307" s="118"/>
      <c r="R307" s="74" t="s">
        <v>1592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90"/>
      <c r="M308" s="11"/>
      <c r="N308" s="134">
        <f t="shared" si="10"/>
        <v>1</v>
      </c>
      <c r="O308" s="135"/>
      <c r="P308" s="10"/>
      <c r="Q308" s="118"/>
      <c r="R308" s="74" t="s">
        <v>1592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11</v>
      </c>
      <c r="D309" s="8"/>
      <c r="E309" s="9"/>
      <c r="F309" s="9"/>
      <c r="G309" s="10"/>
      <c r="H309" s="10"/>
      <c r="I309" s="11"/>
      <c r="J309" s="11"/>
      <c r="K309" s="10"/>
      <c r="L309" s="190"/>
      <c r="M309" s="11"/>
      <c r="N309" s="134">
        <f t="shared" si="10"/>
        <v>11</v>
      </c>
      <c r="O309" s="135">
        <v>4</v>
      </c>
      <c r="P309" s="10"/>
      <c r="Q309" s="118"/>
      <c r="R309" s="52">
        <v>17126.883614565326</v>
      </c>
      <c r="S309" s="180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190"/>
      <c r="M310" s="11"/>
      <c r="N310" s="134">
        <f t="shared" si="10"/>
        <v>5</v>
      </c>
      <c r="O310" s="135"/>
      <c r="P310" s="10"/>
      <c r="Q310" s="118"/>
      <c r="R310" s="74" t="s">
        <v>1592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190"/>
      <c r="M311" s="11">
        <v>1</v>
      </c>
      <c r="N311" s="134">
        <f t="shared" si="10"/>
        <v>24</v>
      </c>
      <c r="O311" s="135"/>
      <c r="P311" s="10"/>
      <c r="Q311" s="118"/>
      <c r="R311" s="52">
        <v>13694.176187536226</v>
      </c>
      <c r="S311" s="180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12</v>
      </c>
      <c r="D312" s="8"/>
      <c r="E312" s="9"/>
      <c r="F312" s="9"/>
      <c r="G312" s="10"/>
      <c r="H312" s="10"/>
      <c r="I312" s="11"/>
      <c r="J312" s="11"/>
      <c r="K312" s="10"/>
      <c r="L312" s="190"/>
      <c r="M312" s="11"/>
      <c r="N312" s="134">
        <f t="shared" si="10"/>
        <v>12</v>
      </c>
      <c r="O312" s="135"/>
      <c r="P312" s="10"/>
      <c r="Q312" s="118"/>
      <c r="R312" s="52">
        <v>17126.883614565326</v>
      </c>
      <c r="S312" s="180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190"/>
      <c r="M313" s="11"/>
      <c r="N313" s="134">
        <f t="shared" si="10"/>
        <v>15</v>
      </c>
      <c r="O313" s="135"/>
      <c r="P313" s="10"/>
      <c r="Q313" s="118"/>
      <c r="R313" s="74" t="s">
        <v>1592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22</v>
      </c>
      <c r="D314" s="8"/>
      <c r="E314" s="9"/>
      <c r="F314" s="9"/>
      <c r="G314" s="10"/>
      <c r="H314" s="10"/>
      <c r="I314" s="11">
        <v>3</v>
      </c>
      <c r="J314" s="11"/>
      <c r="K314" s="10"/>
      <c r="L314" s="190"/>
      <c r="M314" s="11"/>
      <c r="N314" s="134">
        <f t="shared" si="10"/>
        <v>25</v>
      </c>
      <c r="O314" s="135"/>
      <c r="P314" s="10"/>
      <c r="Q314" s="118"/>
      <c r="R314" s="52">
        <v>13694.176187536226</v>
      </c>
      <c r="S314" s="180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190"/>
      <c r="M315" s="11">
        <v>1</v>
      </c>
      <c r="N315" s="134">
        <f t="shared" si="10"/>
        <v>3</v>
      </c>
      <c r="O315" s="135"/>
      <c r="P315" s="10"/>
      <c r="Q315" s="118"/>
      <c r="R315" s="74" t="s">
        <v>1592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190"/>
      <c r="M316" s="11"/>
      <c r="N316" s="134">
        <f t="shared" si="10"/>
        <v>3</v>
      </c>
      <c r="O316" s="135"/>
      <c r="P316" s="10"/>
      <c r="Q316" s="118"/>
      <c r="R316" s="52">
        <v>34898.328300365363</v>
      </c>
      <c r="S316" s="180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3</v>
      </c>
      <c r="D317" s="8"/>
      <c r="E317" s="9"/>
      <c r="F317" s="9"/>
      <c r="G317" s="10"/>
      <c r="H317" s="10"/>
      <c r="I317" s="11"/>
      <c r="J317" s="11"/>
      <c r="K317" s="10"/>
      <c r="L317" s="190"/>
      <c r="M317" s="11">
        <v>1</v>
      </c>
      <c r="N317" s="134">
        <f t="shared" si="10"/>
        <v>4</v>
      </c>
      <c r="O317" s="135"/>
      <c r="P317" s="10"/>
      <c r="Q317" s="118"/>
      <c r="R317" s="52">
        <v>33306.545427542689</v>
      </c>
      <c r="S317" s="180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190"/>
      <c r="M318" s="11"/>
      <c r="N318" s="134">
        <f t="shared" si="10"/>
        <v>6</v>
      </c>
      <c r="O318" s="135"/>
      <c r="P318" s="10"/>
      <c r="Q318" s="118"/>
      <c r="R318" s="74" t="s">
        <v>1592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190"/>
      <c r="M319" s="11"/>
      <c r="N319" s="134">
        <f t="shared" si="10"/>
        <v>4</v>
      </c>
      <c r="O319" s="135"/>
      <c r="P319" s="10"/>
      <c r="Q319" s="118"/>
      <c r="R319" s="74" t="s">
        <v>1592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90"/>
      <c r="M320" s="11"/>
      <c r="N320" s="134">
        <f t="shared" si="10"/>
        <v>2</v>
      </c>
      <c r="O320" s="135"/>
      <c r="P320" s="10"/>
      <c r="Q320" s="118"/>
      <c r="R320" s="74" t="s">
        <v>1592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90"/>
      <c r="M321" s="11"/>
      <c r="N321" s="134">
        <f t="shared" si="10"/>
        <v>2</v>
      </c>
      <c r="O321" s="135"/>
      <c r="P321" s="10"/>
      <c r="Q321" s="118"/>
      <c r="R321" s="74" t="s">
        <v>1592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190"/>
      <c r="M322" s="11"/>
      <c r="N322" s="134">
        <f t="shared" si="10"/>
        <v>1</v>
      </c>
      <c r="O322" s="135"/>
      <c r="P322" s="10"/>
      <c r="Q322" s="118"/>
      <c r="R322" s="74" t="s">
        <v>1592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190"/>
      <c r="M323" s="11"/>
      <c r="N323" s="134">
        <f t="shared" si="10"/>
        <v>0</v>
      </c>
      <c r="O323" s="135">
        <v>6</v>
      </c>
      <c r="P323" s="10"/>
      <c r="Q323" s="118"/>
      <c r="R323" s="52">
        <v>20185.337301466021</v>
      </c>
      <c r="S323" s="180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190"/>
      <c r="M324" s="11"/>
      <c r="N324" s="134">
        <f t="shared" si="10"/>
        <v>3</v>
      </c>
      <c r="O324" s="135"/>
      <c r="P324" s="10"/>
      <c r="Q324" s="118"/>
      <c r="R324" s="74" t="s">
        <v>1592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190"/>
      <c r="M325" s="11"/>
      <c r="N325" s="134">
        <f t="shared" si="10"/>
        <v>3</v>
      </c>
      <c r="O325" s="135"/>
      <c r="P325" s="10"/>
      <c r="Q325" s="118"/>
      <c r="R325" s="74" t="s">
        <v>1592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11</v>
      </c>
      <c r="D326" s="8"/>
      <c r="E326" s="9"/>
      <c r="F326" s="9"/>
      <c r="G326" s="10"/>
      <c r="H326" s="10"/>
      <c r="I326" s="11"/>
      <c r="J326" s="11"/>
      <c r="K326" s="10"/>
      <c r="L326" s="190"/>
      <c r="M326" s="11">
        <v>1</v>
      </c>
      <c r="N326" s="134">
        <f t="shared" si="10"/>
        <v>12</v>
      </c>
      <c r="O326" s="135"/>
      <c r="P326" s="10"/>
      <c r="Q326" s="118"/>
      <c r="R326" s="52">
        <v>22743.918596729458</v>
      </c>
      <c r="S326" s="180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190"/>
      <c r="M327" s="11"/>
      <c r="N327" s="134">
        <f t="shared" si="10"/>
        <v>1</v>
      </c>
      <c r="O327" s="135"/>
      <c r="P327" s="10"/>
      <c r="Q327" s="118"/>
      <c r="R327" s="74" t="s">
        <v>1592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>
        <v>6</v>
      </c>
      <c r="D328" s="8"/>
      <c r="E328" s="9"/>
      <c r="F328" s="9"/>
      <c r="G328" s="10"/>
      <c r="H328" s="10"/>
      <c r="I328" s="11"/>
      <c r="J328" s="11"/>
      <c r="K328" s="10"/>
      <c r="L328" s="190"/>
      <c r="M328" s="11"/>
      <c r="N328" s="134">
        <f t="shared" si="10"/>
        <v>6</v>
      </c>
      <c r="O328" s="135"/>
      <c r="P328" s="10"/>
      <c r="Q328" s="118"/>
      <c r="R328" s="52">
        <v>22743.918596729458</v>
      </c>
      <c r="S328" s="180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190"/>
      <c r="M329" s="11"/>
      <c r="N329" s="134">
        <f t="shared" si="10"/>
        <v>7</v>
      </c>
      <c r="O329" s="135"/>
      <c r="P329" s="10"/>
      <c r="Q329" s="118"/>
      <c r="R329" s="74" t="s">
        <v>1592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90"/>
      <c r="M330" s="11"/>
      <c r="N330" s="134">
        <f t="shared" si="10"/>
        <v>3</v>
      </c>
      <c r="O330" s="135">
        <v>6</v>
      </c>
      <c r="P330" s="10"/>
      <c r="Q330" s="118"/>
      <c r="R330" s="52">
        <v>22743.918596729458</v>
      </c>
      <c r="S330" s="180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90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0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190"/>
      <c r="M332" s="11">
        <v>1</v>
      </c>
      <c r="N332" s="134">
        <f t="shared" si="10"/>
        <v>6</v>
      </c>
      <c r="O332" s="135"/>
      <c r="P332" s="10"/>
      <c r="Q332" s="118"/>
      <c r="R332" s="74" t="s">
        <v>1592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190"/>
      <c r="M333" s="11"/>
      <c r="N333" s="134">
        <f t="shared" si="10"/>
        <v>4</v>
      </c>
      <c r="O333" s="135"/>
      <c r="P333" s="10"/>
      <c r="Q333" s="118"/>
      <c r="R333" s="74" t="s">
        <v>1592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190"/>
      <c r="M334" s="11"/>
      <c r="N334" s="134">
        <f t="shared" si="10"/>
        <v>1</v>
      </c>
      <c r="O334" s="135"/>
      <c r="P334" s="10"/>
      <c r="Q334" s="118"/>
      <c r="R334" s="74" t="s">
        <v>1592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90"/>
      <c r="M335" s="11"/>
      <c r="N335" s="134">
        <f t="shared" si="10"/>
        <v>2</v>
      </c>
      <c r="O335" s="135"/>
      <c r="P335" s="10"/>
      <c r="Q335" s="118"/>
      <c r="R335" s="52">
        <v>40852.498159068411</v>
      </c>
      <c r="S335" s="180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90"/>
      <c r="M336" s="11"/>
      <c r="N336" s="134">
        <f t="shared" si="10"/>
        <v>1</v>
      </c>
      <c r="O336" s="135"/>
      <c r="P336" s="10"/>
      <c r="Q336" s="118"/>
      <c r="R336" s="74" t="s">
        <v>1592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2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190"/>
      <c r="M337" s="11"/>
      <c r="N337" s="134">
        <f t="shared" si="10"/>
        <v>1</v>
      </c>
      <c r="O337" s="135"/>
      <c r="P337" s="10"/>
      <c r="Q337" s="118"/>
      <c r="R337" s="74" t="s">
        <v>1592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3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>
        <v>1</v>
      </c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190"/>
      <c r="M338" s="11"/>
      <c r="N338" s="134">
        <f t="shared" si="10"/>
        <v>4</v>
      </c>
      <c r="O338" s="135"/>
      <c r="P338" s="10"/>
      <c r="Q338" s="118"/>
      <c r="R338" s="52">
        <v>56065.010678849081</v>
      </c>
      <c r="S338" s="180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2</v>
      </c>
      <c r="D339" s="8"/>
      <c r="E339" s="9"/>
      <c r="F339" s="9"/>
      <c r="G339" s="10"/>
      <c r="H339" s="10"/>
      <c r="I339" s="11"/>
      <c r="J339" s="11"/>
      <c r="K339" s="10"/>
      <c r="L339" s="190"/>
      <c r="M339" s="11"/>
      <c r="N339" s="134">
        <f t="shared" si="10"/>
        <v>2</v>
      </c>
      <c r="O339" s="135">
        <v>1</v>
      </c>
      <c r="P339" s="10"/>
      <c r="Q339" s="118"/>
      <c r="R339" s="52">
        <v>44942.679719379281</v>
      </c>
      <c r="S339" s="180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2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190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2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190"/>
      <c r="M341" s="11"/>
      <c r="N341" s="134">
        <f t="shared" si="10"/>
        <v>4</v>
      </c>
      <c r="O341" s="135"/>
      <c r="P341" s="10"/>
      <c r="Q341" s="118"/>
      <c r="R341" s="74" t="s">
        <v>1592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190"/>
      <c r="M342" s="11"/>
      <c r="N342" s="134">
        <f t="shared" si="10"/>
        <v>2</v>
      </c>
      <c r="O342" s="135"/>
      <c r="P342" s="10"/>
      <c r="Q342" s="118"/>
      <c r="R342" s="74" t="s">
        <v>1592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190"/>
      <c r="M343" s="11"/>
      <c r="N343" s="134">
        <f t="shared" si="10"/>
        <v>3</v>
      </c>
      <c r="O343" s="135"/>
      <c r="P343" s="10"/>
      <c r="Q343" s="118"/>
      <c r="R343" s="74" t="s">
        <v>1592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190"/>
      <c r="M344" s="11"/>
      <c r="N344" s="134">
        <f t="shared" si="10"/>
        <v>5</v>
      </c>
      <c r="O344" s="135"/>
      <c r="P344" s="10"/>
      <c r="Q344" s="118"/>
      <c r="R344" s="74" t="s">
        <v>1592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190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12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190"/>
      <c r="M346" s="11">
        <v>1</v>
      </c>
      <c r="N346" s="134">
        <f>M346+L346+K346+J346+I346+H346+G346+F346+E346+D346+C346</f>
        <v>16</v>
      </c>
      <c r="O346" s="135"/>
      <c r="P346" s="10"/>
      <c r="Q346" s="118"/>
      <c r="R346" s="52">
        <v>22367.863733929771</v>
      </c>
      <c r="S346" s="180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190"/>
      <c r="M347" s="11"/>
      <c r="N347" s="134">
        <f>M347+L347+K347+J347+I347+H347+G347+F347+E347+D347+C347</f>
        <v>12</v>
      </c>
      <c r="O347" s="135">
        <v>1</v>
      </c>
      <c r="P347" s="10"/>
      <c r="Q347" s="118"/>
      <c r="R347" s="52">
        <v>27869.095188746775</v>
      </c>
      <c r="S347" s="180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190"/>
      <c r="M348" s="11"/>
      <c r="N348" s="134">
        <f>M348+L348+K348+J348+I348+H348+G348+F348+E348+D348+C348</f>
        <v>6</v>
      </c>
      <c r="O348" s="135">
        <v>11</v>
      </c>
      <c r="P348" s="10"/>
      <c r="Q348" s="118"/>
      <c r="R348" s="52">
        <v>27630.70393916102</v>
      </c>
      <c r="S348" s="180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190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1592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190"/>
      <c r="M350" s="11"/>
      <c r="N350" s="134">
        <f>M350+L350+K350+J350+I350+H350+G350+F350+E350+D350+C350</f>
        <v>4</v>
      </c>
      <c r="O350" s="135">
        <v>3</v>
      </c>
      <c r="P350" s="10"/>
      <c r="Q350" s="118"/>
      <c r="R350" s="52">
        <v>53659.609982519942</v>
      </c>
      <c r="S350" s="180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30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90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5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190"/>
      <c r="M352" s="11">
        <v>1</v>
      </c>
      <c r="N352" s="134">
        <f t="shared" ref="N352:N359" si="11">M352+L352+K352+J352+I352+H352+G352+F352+E352+D352+C352</f>
        <v>9</v>
      </c>
      <c r="O352" s="135">
        <v>16</v>
      </c>
      <c r="P352" s="10"/>
      <c r="Q352" s="118"/>
      <c r="R352" s="52">
        <v>22386.25435861975</v>
      </c>
      <c r="S352" s="180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190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190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190"/>
      <c r="M355" s="11"/>
      <c r="N355" s="134">
        <f t="shared" si="11"/>
        <v>4</v>
      </c>
      <c r="O355" s="135"/>
      <c r="P355" s="10"/>
      <c r="Q355" s="118"/>
      <c r="R355" s="74" t="s">
        <v>1592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190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0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190"/>
      <c r="M357" s="11"/>
      <c r="N357" s="134">
        <f t="shared" si="11"/>
        <v>0</v>
      </c>
      <c r="O357" s="135"/>
      <c r="P357" s="174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190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0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1562</v>
      </c>
      <c r="B359" s="51" t="str">
        <f>IFERROR(HYPERLINK(VLOOKUP(A359,ÜRÜNLER!A:C,3,FALSE),VLOOKUP(A359,ÜRÜNLER!A:B,2,FALSE)),"")</f>
        <v>iQ500 İndüksiyonlu Ocak, 60cm, Çerçevesiz, Siyah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90"/>
      <c r="M359" s="11"/>
      <c r="N359" s="134">
        <f t="shared" si="11"/>
        <v>2</v>
      </c>
      <c r="O359" s="135"/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33.75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90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>
        <v>6</v>
      </c>
      <c r="D361" s="8"/>
      <c r="E361" s="9"/>
      <c r="F361" s="9"/>
      <c r="G361" s="10"/>
      <c r="H361" s="10"/>
      <c r="I361" s="11"/>
      <c r="J361" s="11"/>
      <c r="K361" s="10"/>
      <c r="L361" s="190"/>
      <c r="M361" s="11"/>
      <c r="N361" s="134">
        <f>M361+L361+K361+J361+I361+H361+G361+F361+E361+D361+C361</f>
        <v>6</v>
      </c>
      <c r="O361" s="135"/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190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1592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90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190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.5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90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190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1592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190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190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4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190"/>
      <c r="M369" s="11">
        <v>2</v>
      </c>
      <c r="N369" s="134">
        <f t="shared" si="12"/>
        <v>15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/>
      <c r="W369" s="13"/>
      <c r="X369" s="17">
        <v>250</v>
      </c>
    </row>
    <row r="370" spans="1:24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190"/>
      <c r="M370" s="11"/>
      <c r="N370" s="134">
        <f t="shared" si="12"/>
        <v>1</v>
      </c>
      <c r="O370" s="135"/>
      <c r="P370" s="10"/>
      <c r="Q370" s="118"/>
      <c r="R370" s="74" t="s">
        <v>1592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4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190"/>
      <c r="M371" s="11">
        <v>1</v>
      </c>
      <c r="N371" s="134">
        <f t="shared" si="12"/>
        <v>3</v>
      </c>
      <c r="O371" s="135"/>
      <c r="P371" s="10"/>
      <c r="Q371" s="118"/>
      <c r="R371" s="74" t="s">
        <v>1592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4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190"/>
      <c r="M372" s="11">
        <v>2</v>
      </c>
      <c r="N372" s="134">
        <f t="shared" si="12"/>
        <v>67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/>
      <c r="W372" s="13"/>
      <c r="X372" s="17">
        <v>250</v>
      </c>
    </row>
    <row r="373" spans="1:24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190"/>
      <c r="M373" s="11">
        <v>4</v>
      </c>
      <c r="N373" s="134">
        <f t="shared" si="12"/>
        <v>77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/>
      <c r="W373" s="13"/>
      <c r="X373" s="17">
        <v>250</v>
      </c>
    </row>
    <row r="374" spans="1:24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190"/>
      <c r="M374" s="11"/>
      <c r="N374" s="134">
        <f t="shared" si="12"/>
        <v>8</v>
      </c>
      <c r="O374" s="135"/>
      <c r="P374" s="10"/>
      <c r="Q374" s="118"/>
      <c r="R374" s="74" t="s">
        <v>1592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4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190"/>
      <c r="M375" s="11">
        <v>1</v>
      </c>
      <c r="N375" s="134">
        <f t="shared" si="12"/>
        <v>6</v>
      </c>
      <c r="O375" s="135"/>
      <c r="P375" s="10"/>
      <c r="Q375" s="118"/>
      <c r="R375" s="74" t="s">
        <v>1592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4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190"/>
      <c r="M376" s="11">
        <v>1</v>
      </c>
      <c r="N376" s="134">
        <f t="shared" si="12"/>
        <v>14</v>
      </c>
      <c r="O376" s="135"/>
      <c r="P376" s="10"/>
      <c r="Q376" s="118"/>
      <c r="R376" s="74" t="s">
        <v>1592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4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190"/>
      <c r="M377" s="11">
        <v>1</v>
      </c>
      <c r="N377" s="134">
        <f t="shared" si="12"/>
        <v>8</v>
      </c>
      <c r="O377" s="135"/>
      <c r="P377" s="10"/>
      <c r="Q377" s="118"/>
      <c r="R377" s="74" t="s">
        <v>1592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4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190"/>
      <c r="M378" s="11"/>
      <c r="N378" s="134">
        <f t="shared" si="12"/>
        <v>16</v>
      </c>
      <c r="O378" s="135"/>
      <c r="P378" s="10"/>
      <c r="Q378" s="118"/>
      <c r="R378" s="74" t="s">
        <v>1592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4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190"/>
      <c r="M379" s="11">
        <v>1</v>
      </c>
      <c r="N379" s="134">
        <f t="shared" si="12"/>
        <v>6</v>
      </c>
      <c r="O379" s="135"/>
      <c r="P379" s="10"/>
      <c r="Q379" s="118"/>
      <c r="R379" s="74" t="s">
        <v>1592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4">
      <c r="A380" s="164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190"/>
      <c r="M380" s="11"/>
      <c r="N380" s="134">
        <f t="shared" si="12"/>
        <v>5</v>
      </c>
      <c r="O380" s="135"/>
      <c r="P380" s="10"/>
      <c r="Q380" s="118"/>
      <c r="R380" s="74" t="s">
        <v>1592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4">
      <c r="A381" s="164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90"/>
      <c r="M381" s="11">
        <v>1</v>
      </c>
      <c r="N381" s="134">
        <f t="shared" si="12"/>
        <v>2</v>
      </c>
      <c r="O381" s="135"/>
      <c r="P381" s="10"/>
      <c r="Q381" s="118"/>
      <c r="R381" s="74" t="s">
        <v>1592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4">
      <c r="A382" s="165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190"/>
      <c r="M382" s="11">
        <v>1</v>
      </c>
      <c r="N382" s="134">
        <f t="shared" si="12"/>
        <v>27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/>
      <c r="W382" s="13"/>
      <c r="X382" s="17">
        <v>250</v>
      </c>
    </row>
    <row r="383" spans="1:24">
      <c r="A383" s="165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190"/>
      <c r="M383" s="11">
        <v>3</v>
      </c>
      <c r="N383" s="134">
        <f t="shared" si="12"/>
        <v>101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/>
      <c r="W383" s="13"/>
      <c r="X383" s="17">
        <v>250</v>
      </c>
    </row>
    <row r="384" spans="1:24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90"/>
      <c r="M384" s="11"/>
      <c r="N384" s="134">
        <f t="shared" si="12"/>
        <v>1</v>
      </c>
      <c r="O384" s="135"/>
      <c r="P384" s="10"/>
      <c r="Q384" s="118"/>
      <c r="R384" s="74" t="s">
        <v>1592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4">
      <c r="A385" s="164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190"/>
      <c r="M385" s="11"/>
      <c r="N385" s="134">
        <f t="shared" si="12"/>
        <v>1</v>
      </c>
      <c r="O385" s="135"/>
      <c r="P385" s="10"/>
      <c r="Q385" s="118"/>
      <c r="R385" s="74" t="s">
        <v>1592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4">
      <c r="A386" s="164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190"/>
      <c r="M386" s="11">
        <v>3</v>
      </c>
      <c r="N386" s="134">
        <f t="shared" si="12"/>
        <v>23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/>
      <c r="W386" s="13"/>
      <c r="X386" s="17">
        <v>250</v>
      </c>
    </row>
    <row r="387" spans="1:24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190"/>
      <c r="M387" s="11">
        <v>2</v>
      </c>
      <c r="N387" s="134">
        <f t="shared" si="12"/>
        <v>7</v>
      </c>
      <c r="O387" s="135"/>
      <c r="P387" s="10"/>
      <c r="Q387" s="118"/>
      <c r="R387" s="74" t="s">
        <v>1592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4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190"/>
      <c r="M388" s="11">
        <v>1</v>
      </c>
      <c r="N388" s="134">
        <f t="shared" si="12"/>
        <v>8</v>
      </c>
      <c r="O388" s="135"/>
      <c r="P388" s="10"/>
      <c r="Q388" s="118"/>
      <c r="R388" s="74" t="s">
        <v>1592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4">
      <c r="A389" s="166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190"/>
      <c r="M389" s="11"/>
      <c r="N389" s="134">
        <f t="shared" si="12"/>
        <v>3</v>
      </c>
      <c r="O389" s="135"/>
      <c r="P389" s="10"/>
      <c r="Q389" s="118"/>
      <c r="R389" s="74" t="s">
        <v>1592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4">
      <c r="A390" s="166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190"/>
      <c r="M390" s="11">
        <v>1</v>
      </c>
      <c r="N390" s="134">
        <f t="shared" si="12"/>
        <v>10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/>
      <c r="W390" s="13"/>
      <c r="X390" s="17">
        <v>250</v>
      </c>
    </row>
    <row r="391" spans="1:24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190"/>
      <c r="M391" s="11">
        <v>1</v>
      </c>
      <c r="N391" s="134">
        <f t="shared" si="12"/>
        <v>23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/>
      <c r="W391" s="13"/>
      <c r="X391" s="17">
        <v>250</v>
      </c>
    </row>
    <row r="392" spans="1:24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190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/>
      <c r="W392" s="13"/>
      <c r="X392" s="17">
        <v>250</v>
      </c>
    </row>
    <row r="393" spans="1:24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190"/>
      <c r="M393" s="11"/>
      <c r="N393" s="134">
        <f t="shared" si="12"/>
        <v>5</v>
      </c>
      <c r="O393" s="135"/>
      <c r="P393" s="10"/>
      <c r="Q393" s="118"/>
      <c r="R393" s="74" t="s">
        <v>1592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4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190"/>
      <c r="M394" s="11"/>
      <c r="N394" s="134">
        <f t="shared" si="12"/>
        <v>0</v>
      </c>
      <c r="O394" s="135"/>
      <c r="P394" s="174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4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190"/>
      <c r="M395" s="11"/>
      <c r="N395" s="134">
        <f t="shared" si="12"/>
        <v>1</v>
      </c>
      <c r="O395" s="135"/>
      <c r="P395" s="10"/>
      <c r="Q395" s="118"/>
      <c r="R395" s="74" t="s">
        <v>1592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4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190"/>
      <c r="M396" s="11"/>
      <c r="N396" s="134">
        <f t="shared" si="12"/>
        <v>2</v>
      </c>
      <c r="O396" s="135"/>
      <c r="P396" s="10"/>
      <c r="Q396" s="118"/>
      <c r="R396" s="74" t="s">
        <v>1592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4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190"/>
      <c r="M397" s="11"/>
      <c r="N397" s="134"/>
      <c r="O397" s="135"/>
      <c r="P397" s="10"/>
      <c r="Q397" s="118"/>
      <c r="S397" s="15"/>
      <c r="T397" s="12"/>
      <c r="U397" s="12"/>
      <c r="V397" s="172"/>
      <c r="W397" s="13"/>
      <c r="X397" s="50"/>
    </row>
    <row r="398" spans="1:24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>
        <v>88</v>
      </c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190"/>
      <c r="M398" s="11">
        <v>4</v>
      </c>
      <c r="N398" s="134">
        <f t="shared" ref="N398:N414" si="13">M398+L398+K398+J398+I398+H398+G398+F398+E398+D398+C398</f>
        <v>103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/>
      <c r="W398" s="13"/>
      <c r="X398" s="14">
        <v>250</v>
      </c>
    </row>
    <row r="399" spans="1:24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51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190"/>
      <c r="M399" s="11">
        <v>2</v>
      </c>
      <c r="N399" s="134">
        <f t="shared" si="13"/>
        <v>63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/>
      <c r="W399" s="13"/>
      <c r="X399" s="14">
        <v>250</v>
      </c>
    </row>
    <row r="400" spans="1:24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73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190"/>
      <c r="M400" s="11">
        <v>2</v>
      </c>
      <c r="N400" s="134">
        <f t="shared" si="13"/>
        <v>91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/>
      <c r="W400" s="13"/>
      <c r="X400" s="14">
        <v>250</v>
      </c>
    </row>
    <row r="401" spans="1:25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190"/>
      <c r="M401" s="11"/>
      <c r="N401" s="134">
        <f t="shared" si="13"/>
        <v>3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5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190"/>
      <c r="M402" s="11"/>
      <c r="N402" s="134">
        <f t="shared" si="13"/>
        <v>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5">
      <c r="A403" s="153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190"/>
      <c r="M403" s="11">
        <v>1</v>
      </c>
      <c r="N403" s="134">
        <f t="shared" si="13"/>
        <v>5</v>
      </c>
      <c r="O403" s="135"/>
      <c r="P403" s="10"/>
      <c r="Q403" s="118"/>
      <c r="R403" s="74" t="s">
        <v>1592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5">
      <c r="A404" s="153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190"/>
      <c r="M404" s="11">
        <v>1</v>
      </c>
      <c r="N404" s="134">
        <f t="shared" si="13"/>
        <v>1</v>
      </c>
      <c r="O404" s="135"/>
      <c r="P404" s="10"/>
      <c r="Q404" s="118"/>
      <c r="R404" s="74" t="s">
        <v>1592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5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190"/>
      <c r="M405" s="11">
        <v>3</v>
      </c>
      <c r="N405" s="134">
        <f t="shared" si="13"/>
        <v>23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5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90"/>
      <c r="M406" s="11">
        <v>1</v>
      </c>
      <c r="N406" s="134">
        <f t="shared" si="13"/>
        <v>2</v>
      </c>
      <c r="O406" s="135"/>
      <c r="P406" s="10"/>
      <c r="Q406" s="118"/>
      <c r="R406" s="74" t="s">
        <v>1592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5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190"/>
      <c r="M407" s="11">
        <v>4</v>
      </c>
      <c r="N407" s="134">
        <f t="shared" si="13"/>
        <v>15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5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190"/>
      <c r="M408" s="11">
        <v>2</v>
      </c>
      <c r="N408" s="134">
        <f t="shared" si="13"/>
        <v>47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/>
      <c r="W408" s="13"/>
      <c r="X408" s="14">
        <v>250</v>
      </c>
    </row>
    <row r="409" spans="1:25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190"/>
      <c r="M409" s="11">
        <v>1</v>
      </c>
      <c r="N409" s="134">
        <f t="shared" si="13"/>
        <v>24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/>
      <c r="W409" s="13"/>
      <c r="X409" s="14">
        <v>250</v>
      </c>
    </row>
    <row r="410" spans="1:25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190"/>
      <c r="M410" s="11">
        <v>3</v>
      </c>
      <c r="N410" s="134">
        <f t="shared" si="13"/>
        <v>48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5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190"/>
      <c r="M411" s="11">
        <v>1</v>
      </c>
      <c r="N411" s="134">
        <f t="shared" si="13"/>
        <v>5</v>
      </c>
      <c r="O411" s="135"/>
      <c r="P411" s="10"/>
      <c r="Q411" s="118"/>
      <c r="R411" s="74" t="s">
        <v>1592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5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1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190"/>
      <c r="M412" s="11">
        <v>3</v>
      </c>
      <c r="N412" s="134">
        <f t="shared" si="13"/>
        <v>29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/>
      <c r="W412" s="13"/>
      <c r="X412" s="14">
        <v>250</v>
      </c>
    </row>
    <row r="413" spans="1:25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190"/>
      <c r="M413" s="11"/>
      <c r="N413" s="134">
        <f t="shared" si="13"/>
        <v>1</v>
      </c>
      <c r="O413" s="135"/>
      <c r="P413" s="10"/>
      <c r="Q413" s="118"/>
      <c r="R413" s="74" t="s">
        <v>1592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5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190"/>
      <c r="M414" s="11">
        <v>5</v>
      </c>
      <c r="N414" s="134">
        <f t="shared" si="13"/>
        <v>67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/>
      <c r="W414" s="13"/>
      <c r="X414" s="14">
        <v>250</v>
      </c>
    </row>
    <row r="415" spans="1:25" ht="34.5" customHeight="1">
      <c r="A415" s="175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190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5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454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190"/>
      <c r="M416" s="11">
        <v>1</v>
      </c>
      <c r="N416" s="134">
        <f t="shared" ref="N416:N448" si="14">M416+L416+K416+J416+I416+H416+G416+F416+E416+D416+C416</f>
        <v>464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Y416" s="27" t="s">
        <v>1593</v>
      </c>
    </row>
    <row r="417" spans="1:25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40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190"/>
      <c r="M417" s="11">
        <v>1</v>
      </c>
      <c r="N417" s="134">
        <f t="shared" si="14"/>
        <v>53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Y417" s="27" t="s">
        <v>1593</v>
      </c>
    </row>
    <row r="418" spans="1:25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>
        <v>42</v>
      </c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190"/>
      <c r="M418" s="11"/>
      <c r="N418" s="134">
        <f t="shared" si="14"/>
        <v>47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5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97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190"/>
      <c r="M419" s="11">
        <v>1</v>
      </c>
      <c r="N419" s="134">
        <f t="shared" si="14"/>
        <v>108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5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190"/>
      <c r="M420" s="11"/>
      <c r="N420" s="134">
        <f t="shared" si="14"/>
        <v>2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5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190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5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190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5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190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5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190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5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190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5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190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5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190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5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190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5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190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5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90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5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190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5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90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9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90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90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190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190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90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190"/>
      <c r="M439" s="11"/>
      <c r="N439" s="134">
        <f t="shared" si="14"/>
        <v>9</v>
      </c>
      <c r="O439" s="135"/>
      <c r="P439" s="10"/>
      <c r="Q439" s="118" t="s">
        <v>1548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190"/>
      <c r="M440" s="11"/>
      <c r="N440" s="134">
        <f t="shared" si="14"/>
        <v>4</v>
      </c>
      <c r="O440" s="135"/>
      <c r="P440" s="10"/>
      <c r="Q440" s="118" t="s">
        <v>1548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190"/>
      <c r="M441" s="11"/>
      <c r="N441" s="134">
        <f t="shared" si="14"/>
        <v>1</v>
      </c>
      <c r="O441" s="135"/>
      <c r="P441" s="10"/>
      <c r="Q441" s="118" t="s">
        <v>1548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190"/>
      <c r="M442" s="11"/>
      <c r="N442" s="134">
        <f t="shared" si="14"/>
        <v>3</v>
      </c>
      <c r="O442" s="135"/>
      <c r="P442" s="10"/>
      <c r="Q442" s="118" t="s">
        <v>1548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90"/>
      <c r="M443" s="11"/>
      <c r="N443" s="134">
        <f t="shared" si="14"/>
        <v>7</v>
      </c>
      <c r="O443" s="135"/>
      <c r="P443" s="10"/>
      <c r="Q443" s="118" t="s">
        <v>1548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190"/>
      <c r="M444" s="11"/>
      <c r="N444" s="134">
        <f t="shared" si="14"/>
        <v>9</v>
      </c>
      <c r="O444" s="135"/>
      <c r="P444" s="10"/>
      <c r="Q444" s="118" t="s">
        <v>1548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190"/>
      <c r="M445" s="11"/>
      <c r="N445" s="134">
        <f t="shared" si="14"/>
        <v>4</v>
      </c>
      <c r="O445" s="135"/>
      <c r="P445" s="10"/>
      <c r="Q445" s="118" t="s">
        <v>1548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190"/>
      <c r="M446" s="11"/>
      <c r="N446" s="134">
        <f t="shared" si="14"/>
        <v>5</v>
      </c>
      <c r="O446" s="135"/>
      <c r="P446" s="10"/>
      <c r="Q446" s="118" t="s">
        <v>1548</v>
      </c>
      <c r="R446" s="74" t="s">
        <v>1592</v>
      </c>
      <c r="S446" s="189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190"/>
      <c r="M447" s="11"/>
      <c r="N447" s="134">
        <f t="shared" si="14"/>
        <v>1</v>
      </c>
      <c r="O447" s="135"/>
      <c r="P447" s="10"/>
      <c r="Q447" s="118" t="s">
        <v>1548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90"/>
      <c r="M448" s="11"/>
      <c r="N448" s="134">
        <f t="shared" si="14"/>
        <v>1</v>
      </c>
      <c r="O448" s="135"/>
      <c r="P448" s="10"/>
      <c r="Q448" s="118" t="s">
        <v>1548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 ht="32.25" customHeight="1">
      <c r="A449" s="31" t="s">
        <v>1597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190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190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1548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190"/>
      <c r="M451" s="11"/>
      <c r="N451" s="134">
        <f t="shared" si="15"/>
        <v>6</v>
      </c>
      <c r="O451" s="135"/>
      <c r="P451" s="10"/>
      <c r="Q451" s="118" t="s">
        <v>1548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7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1</v>
      </c>
      <c r="L452" s="190"/>
      <c r="M452" s="11"/>
      <c r="N452" s="134">
        <f t="shared" si="15"/>
        <v>1</v>
      </c>
      <c r="O452" s="135"/>
      <c r="P452" s="10"/>
      <c r="Q452" s="126" t="s">
        <v>1548</v>
      </c>
      <c r="R452" s="184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7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90"/>
      <c r="M453" s="11"/>
      <c r="N453" s="134">
        <f t="shared" si="15"/>
        <v>1</v>
      </c>
      <c r="O453" s="135"/>
      <c r="P453" s="10"/>
      <c r="Q453" s="126" t="s">
        <v>1548</v>
      </c>
      <c r="R453" s="184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68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/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190"/>
      <c r="M454" s="11"/>
      <c r="N454" s="134">
        <f t="shared" si="15"/>
        <v>2</v>
      </c>
      <c r="O454" s="135"/>
      <c r="P454" s="10"/>
      <c r="Q454" s="118" t="s">
        <v>1548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68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/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190"/>
      <c r="M455" s="11"/>
      <c r="N455" s="134">
        <f t="shared" si="15"/>
        <v>2</v>
      </c>
      <c r="O455" s="135"/>
      <c r="P455" s="10"/>
      <c r="Q455" s="118" t="s">
        <v>1548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69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190"/>
      <c r="M456" s="11"/>
      <c r="N456" s="134">
        <f t="shared" si="15"/>
        <v>2</v>
      </c>
      <c r="O456" s="135"/>
      <c r="P456" s="10"/>
      <c r="Q456" s="126" t="s">
        <v>1548</v>
      </c>
      <c r="R456" s="184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69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90"/>
      <c r="M457" s="11"/>
      <c r="N457" s="134">
        <f t="shared" si="15"/>
        <v>2</v>
      </c>
      <c r="O457" s="135"/>
      <c r="P457" s="10"/>
      <c r="Q457" s="126" t="s">
        <v>1548</v>
      </c>
      <c r="R457" s="184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68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190"/>
      <c r="M458" s="11"/>
      <c r="N458" s="134">
        <f t="shared" si="15"/>
        <v>8</v>
      </c>
      <c r="O458" s="135"/>
      <c r="P458" s="10"/>
      <c r="Q458" s="127" t="s">
        <v>1548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68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7</v>
      </c>
      <c r="D459" s="8"/>
      <c r="E459" s="9"/>
      <c r="F459" s="9"/>
      <c r="G459" s="10"/>
      <c r="H459" s="10"/>
      <c r="I459" s="11"/>
      <c r="J459" s="11"/>
      <c r="K459" s="10">
        <v>1</v>
      </c>
      <c r="L459" s="190"/>
      <c r="M459" s="11"/>
      <c r="N459" s="134">
        <f t="shared" si="15"/>
        <v>8</v>
      </c>
      <c r="O459" s="135"/>
      <c r="P459" s="10"/>
      <c r="Q459" s="127" t="s">
        <v>1548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69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90"/>
      <c r="M460" s="11"/>
      <c r="N460" s="134">
        <f t="shared" si="15"/>
        <v>2</v>
      </c>
      <c r="O460" s="135"/>
      <c r="P460" s="10"/>
      <c r="Q460" s="126" t="s">
        <v>1548</v>
      </c>
      <c r="R460" s="184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69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90"/>
      <c r="M461" s="11"/>
      <c r="N461" s="134">
        <f t="shared" si="15"/>
        <v>2</v>
      </c>
      <c r="O461" s="135"/>
      <c r="P461" s="10"/>
      <c r="Q461" s="126" t="s">
        <v>1548</v>
      </c>
      <c r="R461" s="184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190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90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0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190"/>
      <c r="M464" s="11"/>
      <c r="N464" s="134">
        <f t="shared" si="15"/>
        <v>4</v>
      </c>
      <c r="O464" s="136"/>
      <c r="P464" s="10"/>
      <c r="Q464" s="128"/>
      <c r="R464" s="184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0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90"/>
      <c r="M465" s="11"/>
      <c r="N465" s="134">
        <f t="shared" si="15"/>
        <v>4</v>
      </c>
      <c r="O465" s="136"/>
      <c r="P465" s="10"/>
      <c r="Q465" s="128"/>
      <c r="R465" s="184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190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190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02 HAZİRANHOROZ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">
        <v>1590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D11" sqref="D11:E18"/>
    </sheetView>
  </sheetViews>
  <sheetFormatPr defaultColWidth="9.140625" defaultRowHeight="34.5"/>
  <cols>
    <col min="1" max="1" width="5.140625" style="178" customWidth="1"/>
    <col min="2" max="2" width="2.28515625" style="176" customWidth="1"/>
    <col min="3" max="3" width="79.5703125" style="176" customWidth="1"/>
    <col min="4" max="4" width="79.140625" style="176" customWidth="1"/>
    <col min="5" max="5" width="125.140625" style="176" customWidth="1"/>
    <col min="6" max="6" width="5.42578125" style="176" bestFit="1" customWidth="1"/>
    <col min="7" max="7" width="9.140625" style="176" hidden="1" customWidth="1"/>
    <col min="8" max="8" width="9.140625" style="176"/>
    <col min="9" max="9" width="9.140625" style="176" customWidth="1"/>
    <col min="10" max="10" width="9.140625" style="176"/>
    <col min="11" max="11" width="60.5703125" style="176" customWidth="1"/>
    <col min="12" max="12" width="97.28515625" style="176" customWidth="1"/>
    <col min="13" max="13" width="79.28515625" style="176" customWidth="1"/>
    <col min="14" max="16384" width="9.140625" style="176"/>
  </cols>
  <sheetData>
    <row r="1" spans="3:13" ht="35.25" thickBot="1"/>
    <row r="2" spans="3:13">
      <c r="C2" s="215" t="s">
        <v>1565</v>
      </c>
      <c r="D2" s="218" t="s">
        <v>1566</v>
      </c>
      <c r="E2" s="219"/>
    </row>
    <row r="3" spans="3:13">
      <c r="C3" s="216"/>
      <c r="D3" s="220"/>
      <c r="E3" s="221"/>
    </row>
    <row r="4" spans="3:13">
      <c r="C4" s="216"/>
      <c r="D4" s="220"/>
      <c r="E4" s="221"/>
    </row>
    <row r="5" spans="3:13">
      <c r="C5" s="216"/>
      <c r="D5" s="220"/>
      <c r="E5" s="221"/>
    </row>
    <row r="6" spans="3:13">
      <c r="C6" s="216"/>
      <c r="D6" s="220"/>
      <c r="E6" s="221"/>
    </row>
    <row r="7" spans="3:13">
      <c r="C7" s="216"/>
      <c r="D7" s="220"/>
      <c r="E7" s="221"/>
    </row>
    <row r="8" spans="3:13" ht="35.25" customHeight="1" thickBot="1">
      <c r="C8" s="216"/>
      <c r="D8" s="220"/>
      <c r="E8" s="221"/>
    </row>
    <row r="9" spans="3:13" ht="34.5" customHeight="1" thickBot="1">
      <c r="C9" s="217"/>
      <c r="D9" s="222"/>
      <c r="E9" s="223"/>
      <c r="K9" s="215" t="s">
        <v>1567</v>
      </c>
      <c r="L9" s="238" t="s">
        <v>468</v>
      </c>
      <c r="M9" s="239"/>
    </row>
    <row r="10" spans="3:13" ht="35.25" customHeight="1" thickBot="1">
      <c r="K10" s="216"/>
      <c r="L10" s="240"/>
      <c r="M10" s="241"/>
    </row>
    <row r="11" spans="3:13" ht="34.5" customHeight="1">
      <c r="C11" s="215" t="s">
        <v>1568</v>
      </c>
      <c r="D11" s="218" t="s">
        <v>1569</v>
      </c>
      <c r="E11" s="219"/>
      <c r="K11" s="216"/>
      <c r="L11" s="234" t="s">
        <v>1570</v>
      </c>
      <c r="M11" s="235"/>
    </row>
    <row r="12" spans="3:13" ht="34.5" customHeight="1">
      <c r="C12" s="216"/>
      <c r="D12" s="220"/>
      <c r="E12" s="221"/>
      <c r="K12" s="216"/>
      <c r="L12" s="242"/>
      <c r="M12" s="243"/>
    </row>
    <row r="13" spans="3:13" ht="113.25" customHeight="1" thickBot="1">
      <c r="C13" s="216"/>
      <c r="D13" s="220"/>
      <c r="E13" s="221"/>
      <c r="K13" s="216"/>
      <c r="L13" s="242"/>
      <c r="M13" s="243"/>
    </row>
    <row r="14" spans="3:13" ht="36" hidden="1" customHeight="1" thickBot="1">
      <c r="C14" s="216"/>
      <c r="D14" s="220"/>
      <c r="E14" s="221"/>
      <c r="K14" s="216"/>
      <c r="L14" s="236"/>
      <c r="M14" s="237"/>
    </row>
    <row r="15" spans="3:13" ht="34.5" customHeight="1">
      <c r="C15" s="216"/>
      <c r="D15" s="220"/>
      <c r="E15" s="221"/>
      <c r="K15" s="216"/>
      <c r="L15" s="209" t="s">
        <v>1571</v>
      </c>
      <c r="M15" s="210"/>
    </row>
    <row r="16" spans="3:13" ht="35.25" customHeight="1">
      <c r="C16" s="216"/>
      <c r="D16" s="220"/>
      <c r="E16" s="221"/>
      <c r="K16" s="216"/>
      <c r="L16" s="211"/>
      <c r="M16" s="212"/>
    </row>
    <row r="17" spans="3:13">
      <c r="C17" s="216"/>
      <c r="D17" s="220"/>
      <c r="E17" s="221"/>
      <c r="K17" s="216"/>
      <c r="L17" s="211"/>
      <c r="M17" s="212"/>
    </row>
    <row r="18" spans="3:13" ht="34.5" customHeight="1" thickBot="1">
      <c r="C18" s="217"/>
      <c r="D18" s="222"/>
      <c r="E18" s="223"/>
      <c r="K18" s="216"/>
      <c r="L18" s="211"/>
      <c r="M18" s="212"/>
    </row>
    <row r="19" spans="3:13" ht="0.75" customHeight="1">
      <c r="K19" s="216"/>
      <c r="L19" s="211"/>
      <c r="M19" s="212"/>
    </row>
    <row r="20" spans="3:13" ht="34.5" customHeight="1" thickBot="1">
      <c r="K20" s="216"/>
      <c r="L20" s="211"/>
      <c r="M20" s="212"/>
    </row>
    <row r="21" spans="3:13" ht="9" customHeight="1">
      <c r="C21" s="215" t="s">
        <v>1572</v>
      </c>
      <c r="D21" s="218" t="s">
        <v>1573</v>
      </c>
      <c r="E21" s="219"/>
      <c r="K21" s="216"/>
      <c r="L21" s="211"/>
      <c r="M21" s="212"/>
    </row>
    <row r="22" spans="3:13" ht="35.25" hidden="1" customHeight="1">
      <c r="C22" s="216"/>
      <c r="D22" s="220"/>
      <c r="E22" s="221"/>
      <c r="K22" s="216"/>
      <c r="L22" s="211"/>
      <c r="M22" s="212"/>
    </row>
    <row r="23" spans="3:13" ht="173.25" hidden="1" customHeight="1">
      <c r="C23" s="216"/>
      <c r="D23" s="220"/>
      <c r="E23" s="221"/>
      <c r="K23" s="216"/>
      <c r="L23" s="211"/>
      <c r="M23" s="212"/>
    </row>
    <row r="24" spans="3:13" ht="22.5" customHeight="1" thickBot="1">
      <c r="C24" s="216"/>
      <c r="D24" s="220"/>
      <c r="E24" s="221"/>
      <c r="K24" s="217"/>
      <c r="L24" s="213"/>
      <c r="M24" s="214"/>
    </row>
    <row r="25" spans="3:13" ht="34.5" customHeight="1">
      <c r="C25" s="216"/>
      <c r="D25" s="220"/>
      <c r="E25" s="221"/>
    </row>
    <row r="26" spans="3:13" ht="35.25" customHeight="1" thickBot="1">
      <c r="C26" s="216"/>
      <c r="D26" s="220"/>
      <c r="E26" s="221"/>
    </row>
    <row r="27" spans="3:13" ht="34.5" customHeight="1">
      <c r="C27" s="216"/>
      <c r="D27" s="220"/>
      <c r="E27" s="221"/>
      <c r="K27" s="215" t="s">
        <v>1574</v>
      </c>
      <c r="L27" s="238" t="s">
        <v>469</v>
      </c>
      <c r="M27" s="239"/>
    </row>
    <row r="28" spans="3:13" ht="35.25" customHeight="1" thickBot="1">
      <c r="C28" s="216"/>
      <c r="D28" s="222"/>
      <c r="E28" s="223"/>
      <c r="K28" s="216"/>
      <c r="L28" s="240"/>
      <c r="M28" s="241"/>
    </row>
    <row r="29" spans="3:13" ht="6.75" customHeight="1">
      <c r="C29" s="216"/>
      <c r="D29" s="209" t="s">
        <v>1575</v>
      </c>
      <c r="E29" s="210"/>
      <c r="K29" s="216"/>
      <c r="L29" s="234" t="s">
        <v>1576</v>
      </c>
      <c r="M29" s="235"/>
    </row>
    <row r="30" spans="3:13" ht="36" hidden="1" customHeight="1" thickBot="1">
      <c r="C30" s="216"/>
      <c r="D30" s="211"/>
      <c r="E30" s="212"/>
      <c r="K30" s="216"/>
      <c r="L30" s="242"/>
      <c r="M30" s="243"/>
    </row>
    <row r="31" spans="3:13" ht="179.25" customHeight="1">
      <c r="C31" s="216"/>
      <c r="D31" s="211"/>
      <c r="E31" s="212"/>
      <c r="K31" s="216"/>
      <c r="L31" s="242"/>
      <c r="M31" s="243"/>
    </row>
    <row r="32" spans="3:13" ht="35.25" customHeight="1" thickBot="1">
      <c r="C32" s="216"/>
      <c r="D32" s="211"/>
      <c r="E32" s="212"/>
      <c r="K32" s="216"/>
      <c r="L32" s="236"/>
      <c r="M32" s="237"/>
    </row>
    <row r="33" spans="3:33" ht="34.5" customHeight="1">
      <c r="C33" s="216"/>
      <c r="D33" s="211"/>
      <c r="E33" s="212"/>
      <c r="K33" s="216"/>
      <c r="L33" s="244" t="s">
        <v>1577</v>
      </c>
      <c r="M33" s="245"/>
    </row>
    <row r="34" spans="3:33" ht="39.75" customHeight="1" thickBot="1">
      <c r="C34" s="217"/>
      <c r="D34" s="213"/>
      <c r="E34" s="214"/>
      <c r="K34" s="216"/>
      <c r="L34" s="246"/>
      <c r="M34" s="247"/>
    </row>
    <row r="35" spans="3:33" ht="34.5" customHeight="1" thickBot="1">
      <c r="K35" s="216"/>
      <c r="L35" s="246"/>
      <c r="M35" s="247"/>
      <c r="AG35" s="177"/>
    </row>
    <row r="36" spans="3:33" ht="35.25" customHeight="1">
      <c r="C36" s="215" t="s">
        <v>1578</v>
      </c>
      <c r="D36" s="238" t="s">
        <v>470</v>
      </c>
      <c r="E36" s="239"/>
      <c r="K36" s="216"/>
      <c r="L36" s="246"/>
      <c r="M36" s="247"/>
      <c r="AG36" s="177"/>
    </row>
    <row r="37" spans="3:33" ht="35.25" customHeight="1" thickBot="1">
      <c r="C37" s="216"/>
      <c r="D37" s="240"/>
      <c r="E37" s="241"/>
      <c r="K37" s="217"/>
      <c r="L37" s="248"/>
      <c r="M37" s="249"/>
      <c r="AG37" s="177"/>
    </row>
    <row r="38" spans="3:33" ht="34.5" customHeight="1">
      <c r="C38" s="216"/>
      <c r="D38" s="228" t="s">
        <v>1579</v>
      </c>
      <c r="E38" s="229"/>
      <c r="AG38" s="177"/>
    </row>
    <row r="39" spans="3:33" ht="35.25" customHeight="1" thickBot="1">
      <c r="C39" s="216"/>
      <c r="D39" s="230"/>
      <c r="E39" s="231"/>
      <c r="AG39" s="177"/>
    </row>
    <row r="40" spans="3:33" ht="83.25" customHeight="1">
      <c r="C40" s="216"/>
      <c r="D40" s="230"/>
      <c r="E40" s="231"/>
      <c r="K40" s="215" t="s">
        <v>1580</v>
      </c>
      <c r="L40" s="234" t="s">
        <v>1581</v>
      </c>
      <c r="M40" s="235"/>
      <c r="AG40" s="177"/>
    </row>
    <row r="41" spans="3:33" ht="218.25" customHeight="1" thickBot="1">
      <c r="C41" s="216"/>
      <c r="D41" s="230"/>
      <c r="E41" s="231"/>
      <c r="K41" s="216"/>
      <c r="L41" s="236"/>
      <c r="M41" s="237"/>
      <c r="AG41" s="177"/>
    </row>
    <row r="42" spans="3:33" ht="34.5" customHeight="1">
      <c r="C42" s="216"/>
      <c r="D42" s="230"/>
      <c r="E42" s="231"/>
      <c r="K42" s="216"/>
      <c r="L42" s="197" t="s">
        <v>471</v>
      </c>
      <c r="M42" s="198"/>
    </row>
    <row r="43" spans="3:33" ht="34.5" customHeight="1" thickBot="1">
      <c r="C43" s="216"/>
      <c r="D43" s="232"/>
      <c r="E43" s="233"/>
      <c r="K43" s="216"/>
      <c r="L43" s="199"/>
      <c r="M43" s="200"/>
    </row>
    <row r="44" spans="3:33" ht="34.5" customHeight="1">
      <c r="C44" s="216"/>
      <c r="D44" s="203" t="s">
        <v>1582</v>
      </c>
      <c r="E44" s="204"/>
      <c r="K44" s="216"/>
      <c r="L44" s="199"/>
      <c r="M44" s="200"/>
    </row>
    <row r="45" spans="3:33" ht="35.25" customHeight="1" thickBot="1">
      <c r="C45" s="216"/>
      <c r="D45" s="205"/>
      <c r="E45" s="206"/>
      <c r="K45" s="216"/>
      <c r="L45" s="201"/>
      <c r="M45" s="202"/>
    </row>
    <row r="46" spans="3:33" ht="34.5" customHeight="1">
      <c r="C46" s="216"/>
      <c r="D46" s="205"/>
      <c r="E46" s="206"/>
      <c r="K46" s="216"/>
      <c r="L46" s="209" t="s">
        <v>1583</v>
      </c>
      <c r="M46" s="210"/>
    </row>
    <row r="47" spans="3:33" ht="34.5" customHeight="1">
      <c r="C47" s="216"/>
      <c r="D47" s="205"/>
      <c r="E47" s="206"/>
      <c r="K47" s="216"/>
      <c r="L47" s="211"/>
      <c r="M47" s="212"/>
    </row>
    <row r="48" spans="3:33" ht="34.5" customHeight="1">
      <c r="C48" s="216"/>
      <c r="D48" s="205"/>
      <c r="E48" s="206"/>
      <c r="K48" s="216"/>
      <c r="L48" s="211"/>
      <c r="M48" s="212"/>
    </row>
    <row r="49" spans="3:13" ht="34.5" customHeight="1" thickBot="1">
      <c r="C49" s="217"/>
      <c r="D49" s="207"/>
      <c r="E49" s="208"/>
      <c r="K49" s="216"/>
      <c r="L49" s="211"/>
      <c r="M49" s="212"/>
    </row>
    <row r="50" spans="3:13" ht="34.5" customHeight="1" thickBot="1">
      <c r="K50" s="216"/>
      <c r="L50" s="211"/>
      <c r="M50" s="212"/>
    </row>
    <row r="51" spans="3:13" ht="35.25" customHeight="1">
      <c r="C51" s="215" t="s">
        <v>1584</v>
      </c>
      <c r="D51" s="218" t="s">
        <v>1585</v>
      </c>
      <c r="E51" s="219"/>
      <c r="K51" s="216"/>
      <c r="L51" s="211"/>
      <c r="M51" s="212"/>
    </row>
    <row r="52" spans="3:13" ht="34.5" customHeight="1">
      <c r="C52" s="216"/>
      <c r="D52" s="220"/>
      <c r="E52" s="221"/>
      <c r="K52" s="216"/>
      <c r="L52" s="211"/>
      <c r="M52" s="212"/>
    </row>
    <row r="53" spans="3:13" ht="34.5" customHeight="1">
      <c r="C53" s="216"/>
      <c r="D53" s="220"/>
      <c r="E53" s="221"/>
      <c r="K53" s="216"/>
      <c r="L53" s="211"/>
      <c r="M53" s="212"/>
    </row>
    <row r="54" spans="3:13" ht="34.5" customHeight="1">
      <c r="C54" s="216"/>
      <c r="D54" s="220"/>
      <c r="E54" s="221"/>
      <c r="K54" s="216"/>
      <c r="L54" s="211"/>
      <c r="M54" s="212"/>
    </row>
    <row r="55" spans="3:13" ht="35.25" customHeight="1" thickBot="1">
      <c r="C55" s="216"/>
      <c r="D55" s="220"/>
      <c r="E55" s="221"/>
      <c r="K55" s="217"/>
      <c r="L55" s="213"/>
      <c r="M55" s="214"/>
    </row>
    <row r="56" spans="3:13">
      <c r="C56" s="216"/>
      <c r="D56" s="220"/>
      <c r="E56" s="221"/>
    </row>
    <row r="57" spans="3:13" ht="35.25" thickBot="1">
      <c r="C57" s="216"/>
      <c r="D57" s="220"/>
      <c r="E57" s="221"/>
    </row>
    <row r="58" spans="3:13" ht="143.25" customHeight="1" thickBot="1">
      <c r="C58" s="217"/>
      <c r="D58" s="222"/>
      <c r="E58" s="223"/>
      <c r="K58" s="215" t="s">
        <v>1586</v>
      </c>
      <c r="L58" s="224" t="s">
        <v>1587</v>
      </c>
      <c r="M58" s="225"/>
    </row>
    <row r="59" spans="3:13" ht="143.25" customHeight="1" thickBot="1">
      <c r="K59" s="216"/>
      <c r="L59" s="226"/>
      <c r="M59" s="227"/>
    </row>
    <row r="60" spans="3:13" ht="34.5" customHeight="1">
      <c r="K60" s="216"/>
      <c r="L60" s="197" t="s">
        <v>471</v>
      </c>
      <c r="M60" s="198"/>
    </row>
    <row r="61" spans="3:13">
      <c r="K61" s="216"/>
      <c r="L61" s="199"/>
      <c r="M61" s="200"/>
    </row>
    <row r="62" spans="3:13">
      <c r="K62" s="216"/>
      <c r="L62" s="199"/>
      <c r="M62" s="200"/>
    </row>
    <row r="63" spans="3:13" ht="35.25" thickBot="1">
      <c r="K63" s="216"/>
      <c r="L63" s="201"/>
      <c r="M63" s="202"/>
    </row>
    <row r="64" spans="3:13">
      <c r="K64" s="216"/>
      <c r="L64" s="209" t="s">
        <v>1588</v>
      </c>
      <c r="M64" s="210"/>
    </row>
    <row r="65" spans="11:13">
      <c r="K65" s="216"/>
      <c r="L65" s="211"/>
      <c r="M65" s="212"/>
    </row>
    <row r="66" spans="11:13">
      <c r="K66" s="216"/>
      <c r="L66" s="211"/>
      <c r="M66" s="212"/>
    </row>
    <row r="67" spans="11:13">
      <c r="K67" s="216"/>
      <c r="L67" s="211"/>
      <c r="M67" s="212"/>
    </row>
    <row r="68" spans="11:13">
      <c r="K68" s="216"/>
      <c r="L68" s="211"/>
      <c r="M68" s="212"/>
    </row>
    <row r="69" spans="11:13">
      <c r="K69" s="216"/>
      <c r="L69" s="211"/>
      <c r="M69" s="212"/>
    </row>
    <row r="70" spans="11:13">
      <c r="K70" s="216"/>
      <c r="L70" s="211"/>
      <c r="M70" s="212"/>
    </row>
    <row r="71" spans="11:13">
      <c r="K71" s="216"/>
      <c r="L71" s="211"/>
      <c r="M71" s="212"/>
    </row>
    <row r="72" spans="11:13">
      <c r="K72" s="216"/>
      <c r="L72" s="211"/>
      <c r="M72" s="212"/>
    </row>
    <row r="73" spans="11:13" ht="35.25" thickBot="1">
      <c r="K73" s="217"/>
      <c r="L73" s="213"/>
      <c r="M73" s="214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563"/>
  <sheetViews>
    <sheetView topLeftCell="A540" workbookViewId="0">
      <selection activeCell="B562" sqref="B562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49.85546875" style="112" customWidth="1"/>
    <col min="4" max="4" width="24.7109375" style="111" bestFit="1" customWidth="1"/>
    <col min="5" max="16384" width="9.140625" style="111"/>
  </cols>
  <sheetData>
    <row r="1" spans="1:4">
      <c r="A1" s="109" t="s">
        <v>848</v>
      </c>
      <c r="B1" s="109" t="s">
        <v>849</v>
      </c>
      <c r="C1" s="110" t="s">
        <v>850</v>
      </c>
      <c r="D1" s="110" t="s">
        <v>1613</v>
      </c>
    </row>
    <row r="2" spans="1:4">
      <c r="A2" s="111" t="s">
        <v>1488</v>
      </c>
      <c r="B2" s="83" t="s">
        <v>1598</v>
      </c>
      <c r="C2" s="86" t="s">
        <v>1509</v>
      </c>
      <c r="D2" s="111" t="s">
        <v>1614</v>
      </c>
    </row>
    <row r="3" spans="1:4">
      <c r="A3" s="82" t="s">
        <v>445</v>
      </c>
      <c r="B3" s="83" t="s">
        <v>838</v>
      </c>
      <c r="C3" s="84" t="s">
        <v>1302</v>
      </c>
      <c r="D3" s="111" t="s">
        <v>1615</v>
      </c>
    </row>
    <row r="4" spans="1:4">
      <c r="A4" s="82" t="s">
        <v>446</v>
      </c>
      <c r="B4" s="83" t="s">
        <v>839</v>
      </c>
      <c r="C4" s="84" t="s">
        <v>1302</v>
      </c>
      <c r="D4" s="111" t="s">
        <v>1615</v>
      </c>
    </row>
    <row r="5" spans="1:4">
      <c r="A5" s="82" t="s">
        <v>447</v>
      </c>
      <c r="B5" s="83" t="s">
        <v>840</v>
      </c>
      <c r="C5" s="84" t="s">
        <v>1303</v>
      </c>
      <c r="D5" s="111" t="s">
        <v>1615</v>
      </c>
    </row>
    <row r="6" spans="1:4">
      <c r="A6" s="82" t="s">
        <v>449</v>
      </c>
      <c r="B6" s="83" t="s">
        <v>840</v>
      </c>
      <c r="C6" s="84" t="s">
        <v>1303</v>
      </c>
      <c r="D6" s="111" t="s">
        <v>1615</v>
      </c>
    </row>
    <row r="7" spans="1:4">
      <c r="A7" s="82" t="s">
        <v>451</v>
      </c>
      <c r="B7" s="83" t="s">
        <v>842</v>
      </c>
      <c r="C7" s="84" t="s">
        <v>1304</v>
      </c>
      <c r="D7" s="111" t="s">
        <v>1615</v>
      </c>
    </row>
    <row r="8" spans="1:4">
      <c r="A8" s="82" t="s">
        <v>448</v>
      </c>
      <c r="B8" s="83" t="s">
        <v>841</v>
      </c>
      <c r="C8" s="84" t="s">
        <v>1303</v>
      </c>
      <c r="D8" s="111" t="s">
        <v>1615</v>
      </c>
    </row>
    <row r="9" spans="1:4">
      <c r="A9" s="82" t="s">
        <v>450</v>
      </c>
      <c r="B9" s="83" t="s">
        <v>841</v>
      </c>
      <c r="C9" s="84" t="s">
        <v>1303</v>
      </c>
      <c r="D9" s="111" t="s">
        <v>1615</v>
      </c>
    </row>
    <row r="10" spans="1:4">
      <c r="A10" s="82" t="s">
        <v>452</v>
      </c>
      <c r="B10" s="83" t="s">
        <v>841</v>
      </c>
      <c r="C10" s="84" t="s">
        <v>1304</v>
      </c>
      <c r="D10" s="111" t="s">
        <v>1615</v>
      </c>
    </row>
    <row r="11" spans="1:4">
      <c r="A11" s="82" t="s">
        <v>453</v>
      </c>
      <c r="B11" s="83" t="s">
        <v>843</v>
      </c>
      <c r="C11" s="84" t="s">
        <v>1305</v>
      </c>
      <c r="D11" s="111" t="s">
        <v>1615</v>
      </c>
    </row>
    <row r="12" spans="1:4">
      <c r="A12" s="82" t="s">
        <v>455</v>
      </c>
      <c r="B12" s="83" t="s">
        <v>845</v>
      </c>
      <c r="C12" s="84" t="s">
        <v>1306</v>
      </c>
      <c r="D12" s="111" t="s">
        <v>1615</v>
      </c>
    </row>
    <row r="13" spans="1:4">
      <c r="A13" s="82" t="s">
        <v>454</v>
      </c>
      <c r="B13" s="83" t="s">
        <v>844</v>
      </c>
      <c r="C13" s="84" t="s">
        <v>1305</v>
      </c>
      <c r="D13" s="111" t="s">
        <v>1615</v>
      </c>
    </row>
    <row r="14" spans="1:4">
      <c r="A14" s="82" t="s">
        <v>456</v>
      </c>
      <c r="B14" s="83" t="s">
        <v>844</v>
      </c>
      <c r="C14" s="84" t="s">
        <v>1306</v>
      </c>
      <c r="D14" s="111" t="s">
        <v>1615</v>
      </c>
    </row>
    <row r="15" spans="1:4">
      <c r="A15" s="82" t="s">
        <v>457</v>
      </c>
      <c r="B15" s="83" t="s">
        <v>846</v>
      </c>
      <c r="C15" s="84" t="s">
        <v>1307</v>
      </c>
      <c r="D15" s="111" t="s">
        <v>1615</v>
      </c>
    </row>
    <row r="16" spans="1:4">
      <c r="A16" s="82" t="s">
        <v>1480</v>
      </c>
      <c r="B16" s="83" t="s">
        <v>846</v>
      </c>
      <c r="C16" s="84" t="s">
        <v>1497</v>
      </c>
      <c r="D16" s="111" t="s">
        <v>1615</v>
      </c>
    </row>
    <row r="17" spans="1:4">
      <c r="A17" s="82" t="s">
        <v>458</v>
      </c>
      <c r="B17" s="83" t="s">
        <v>847</v>
      </c>
      <c r="C17" s="84" t="s">
        <v>1307</v>
      </c>
      <c r="D17" s="111" t="s">
        <v>1615</v>
      </c>
    </row>
    <row r="18" spans="1:4">
      <c r="A18" s="82" t="s">
        <v>1481</v>
      </c>
      <c r="B18" s="83" t="s">
        <v>847</v>
      </c>
      <c r="C18" s="84" t="s">
        <v>1498</v>
      </c>
      <c r="D18" s="111" t="s">
        <v>1615</v>
      </c>
    </row>
    <row r="19" spans="1:4">
      <c r="A19" s="85" t="s">
        <v>205</v>
      </c>
      <c r="B19" s="51" t="s">
        <v>623</v>
      </c>
      <c r="C19" s="84" t="s">
        <v>851</v>
      </c>
      <c r="D19" s="111" t="s">
        <v>1616</v>
      </c>
    </row>
    <row r="20" spans="1:4">
      <c r="A20" s="85" t="s">
        <v>207</v>
      </c>
      <c r="B20" s="51" t="s">
        <v>625</v>
      </c>
      <c r="C20" s="84" t="s">
        <v>852</v>
      </c>
      <c r="D20" s="111" t="s">
        <v>1616</v>
      </c>
    </row>
    <row r="21" spans="1:4">
      <c r="A21" s="82" t="s">
        <v>206</v>
      </c>
      <c r="B21" s="83" t="s">
        <v>624</v>
      </c>
      <c r="C21" s="84" t="s">
        <v>1075</v>
      </c>
      <c r="D21" s="111" t="s">
        <v>1616</v>
      </c>
    </row>
    <row r="22" spans="1:4">
      <c r="A22" s="82" t="s">
        <v>209</v>
      </c>
      <c r="B22" s="83" t="s">
        <v>627</v>
      </c>
      <c r="C22" s="84" t="s">
        <v>1077</v>
      </c>
      <c r="D22" s="111" t="s">
        <v>1616</v>
      </c>
    </row>
    <row r="23" spans="1:4">
      <c r="A23" s="82" t="s">
        <v>208</v>
      </c>
      <c r="B23" s="83" t="s">
        <v>626</v>
      </c>
      <c r="C23" s="84" t="s">
        <v>1076</v>
      </c>
      <c r="D23" s="111" t="s">
        <v>1616</v>
      </c>
    </row>
    <row r="24" spans="1:4">
      <c r="A24" s="85" t="s">
        <v>211</v>
      </c>
      <c r="B24" s="51" t="s">
        <v>623</v>
      </c>
      <c r="C24" s="84" t="s">
        <v>853</v>
      </c>
      <c r="D24" s="111" t="s">
        <v>1616</v>
      </c>
    </row>
    <row r="25" spans="1:4">
      <c r="A25" s="82" t="s">
        <v>210</v>
      </c>
      <c r="B25" s="83" t="s">
        <v>628</v>
      </c>
      <c r="C25" s="84" t="s">
        <v>1078</v>
      </c>
      <c r="D25" s="111" t="s">
        <v>1616</v>
      </c>
    </row>
    <row r="26" spans="1:4">
      <c r="A26" s="82" t="s">
        <v>212</v>
      </c>
      <c r="B26" s="83" t="s">
        <v>629</v>
      </c>
      <c r="C26" s="84" t="s">
        <v>1079</v>
      </c>
      <c r="D26" s="111" t="s">
        <v>1616</v>
      </c>
    </row>
    <row r="27" spans="1:4">
      <c r="A27" s="82" t="s">
        <v>213</v>
      </c>
      <c r="B27" s="83" t="s">
        <v>630</v>
      </c>
      <c r="C27" s="84" t="s">
        <v>1080</v>
      </c>
      <c r="D27" s="111" t="s">
        <v>1616</v>
      </c>
    </row>
    <row r="28" spans="1:4">
      <c r="A28" s="82" t="s">
        <v>214</v>
      </c>
      <c r="B28" s="83" t="s">
        <v>631</v>
      </c>
      <c r="C28" s="84" t="s">
        <v>1081</v>
      </c>
      <c r="D28" s="111" t="s">
        <v>1616</v>
      </c>
    </row>
    <row r="29" spans="1:4">
      <c r="A29" s="85" t="s">
        <v>215</v>
      </c>
      <c r="B29" s="51" t="s">
        <v>854</v>
      </c>
      <c r="C29" s="84" t="s">
        <v>855</v>
      </c>
      <c r="D29" s="111" t="s">
        <v>1616</v>
      </c>
    </row>
    <row r="30" spans="1:4">
      <c r="A30" s="82" t="s">
        <v>216</v>
      </c>
      <c r="B30" s="83" t="s">
        <v>632</v>
      </c>
      <c r="C30" s="84" t="s">
        <v>1082</v>
      </c>
      <c r="D30" s="111" t="s">
        <v>1616</v>
      </c>
    </row>
    <row r="31" spans="1:4">
      <c r="A31" s="82" t="s">
        <v>217</v>
      </c>
      <c r="B31" s="83" t="s">
        <v>633</v>
      </c>
      <c r="C31" s="84" t="s">
        <v>1083</v>
      </c>
      <c r="D31" s="111" t="s">
        <v>1616</v>
      </c>
    </row>
    <row r="32" spans="1:4">
      <c r="A32" s="85" t="s">
        <v>218</v>
      </c>
      <c r="B32" s="51" t="s">
        <v>634</v>
      </c>
      <c r="C32" s="84" t="s">
        <v>856</v>
      </c>
      <c r="D32" s="111" t="s">
        <v>1616</v>
      </c>
    </row>
    <row r="33" spans="1:4">
      <c r="A33" s="82" t="s">
        <v>219</v>
      </c>
      <c r="B33" s="83" t="s">
        <v>635</v>
      </c>
      <c r="C33" s="84" t="s">
        <v>1084</v>
      </c>
      <c r="D33" s="111" t="s">
        <v>1616</v>
      </c>
    </row>
    <row r="34" spans="1:4">
      <c r="A34" s="82" t="s">
        <v>220</v>
      </c>
      <c r="B34" s="83" t="s">
        <v>636</v>
      </c>
      <c r="C34" s="84" t="s">
        <v>1085</v>
      </c>
      <c r="D34" s="111" t="s">
        <v>1617</v>
      </c>
    </row>
    <row r="35" spans="1:4">
      <c r="A35" s="82" t="s">
        <v>221</v>
      </c>
      <c r="B35" s="83" t="s">
        <v>636</v>
      </c>
      <c r="C35" s="84" t="s">
        <v>1086</v>
      </c>
      <c r="D35" s="111" t="s">
        <v>1617</v>
      </c>
    </row>
    <row r="36" spans="1:4">
      <c r="A36" s="82" t="s">
        <v>388</v>
      </c>
      <c r="B36" s="83" t="s">
        <v>785</v>
      </c>
      <c r="C36" s="84" t="s">
        <v>1255</v>
      </c>
      <c r="D36" s="111" t="s">
        <v>1617</v>
      </c>
    </row>
    <row r="37" spans="1:4">
      <c r="A37" s="82" t="s">
        <v>389</v>
      </c>
      <c r="B37" s="83" t="s">
        <v>786</v>
      </c>
      <c r="C37" s="84" t="s">
        <v>1256</v>
      </c>
      <c r="D37" s="111" t="s">
        <v>1617</v>
      </c>
    </row>
    <row r="38" spans="1:4">
      <c r="A38" s="82" t="s">
        <v>390</v>
      </c>
      <c r="B38" s="83" t="s">
        <v>787</v>
      </c>
      <c r="C38" s="84" t="s">
        <v>1257</v>
      </c>
      <c r="D38" s="111" t="s">
        <v>1617</v>
      </c>
    </row>
    <row r="39" spans="1:4">
      <c r="A39" s="112" t="s">
        <v>1501</v>
      </c>
      <c r="B39" s="83" t="s">
        <v>785</v>
      </c>
      <c r="C39" s="112" t="s">
        <v>1502</v>
      </c>
      <c r="D39" s="111" t="s">
        <v>1617</v>
      </c>
    </row>
    <row r="40" spans="1:4">
      <c r="A40" s="82" t="s">
        <v>199</v>
      </c>
      <c r="B40" s="83" t="s">
        <v>620</v>
      </c>
      <c r="C40" s="84" t="s">
        <v>1072</v>
      </c>
      <c r="D40" s="111" t="s">
        <v>1618</v>
      </c>
    </row>
    <row r="41" spans="1:4">
      <c r="A41" s="82" t="s">
        <v>200</v>
      </c>
      <c r="B41" s="83" t="s">
        <v>621</v>
      </c>
      <c r="C41" s="84" t="s">
        <v>1073</v>
      </c>
      <c r="D41" s="111" t="s">
        <v>1618</v>
      </c>
    </row>
    <row r="42" spans="1:4">
      <c r="A42" s="111" t="s">
        <v>1619</v>
      </c>
      <c r="B42" s="171" t="s">
        <v>1620</v>
      </c>
      <c r="C42" s="112" t="s">
        <v>1621</v>
      </c>
      <c r="D42" s="111" t="s">
        <v>1622</v>
      </c>
    </row>
    <row r="43" spans="1:4">
      <c r="A43" s="111" t="s">
        <v>1623</v>
      </c>
      <c r="B43" s="171" t="s">
        <v>1624</v>
      </c>
      <c r="C43" s="112" t="s">
        <v>1625</v>
      </c>
      <c r="D43" s="111" t="s">
        <v>1622</v>
      </c>
    </row>
    <row r="44" spans="1:4">
      <c r="A44" s="111" t="s">
        <v>1626</v>
      </c>
      <c r="B44" s="171" t="s">
        <v>1627</v>
      </c>
      <c r="C44" s="112" t="s">
        <v>1628</v>
      </c>
      <c r="D44" s="111" t="s">
        <v>1622</v>
      </c>
    </row>
    <row r="45" spans="1:4">
      <c r="A45" s="111" t="s">
        <v>1629</v>
      </c>
      <c r="B45" s="171" t="s">
        <v>1630</v>
      </c>
      <c r="C45" s="112" t="s">
        <v>1631</v>
      </c>
      <c r="D45" s="111" t="s">
        <v>1622</v>
      </c>
    </row>
    <row r="46" spans="1:4">
      <c r="A46" s="111" t="s">
        <v>1632</v>
      </c>
      <c r="B46" s="171" t="s">
        <v>1633</v>
      </c>
      <c r="C46" s="112" t="s">
        <v>1634</v>
      </c>
      <c r="D46" s="111" t="s">
        <v>1622</v>
      </c>
    </row>
    <row r="47" spans="1:4">
      <c r="A47" s="111" t="s">
        <v>1635</v>
      </c>
      <c r="B47" s="171" t="s">
        <v>1636</v>
      </c>
      <c r="C47" s="112" t="s">
        <v>1637</v>
      </c>
      <c r="D47" s="111" t="s">
        <v>1622</v>
      </c>
    </row>
    <row r="48" spans="1:4">
      <c r="A48" s="111" t="s">
        <v>1638</v>
      </c>
      <c r="B48" s="171" t="s">
        <v>1639</v>
      </c>
      <c r="C48" s="112" t="s">
        <v>1640</v>
      </c>
      <c r="D48" s="111" t="s">
        <v>1622</v>
      </c>
    </row>
    <row r="49" spans="1:4">
      <c r="A49" s="111" t="s">
        <v>1641</v>
      </c>
      <c r="B49" s="171" t="s">
        <v>1642</v>
      </c>
      <c r="C49" s="112" t="s">
        <v>1643</v>
      </c>
      <c r="D49" s="111" t="s">
        <v>1622</v>
      </c>
    </row>
    <row r="50" spans="1:4">
      <c r="A50" s="111" t="s">
        <v>1644</v>
      </c>
      <c r="B50" s="171" t="s">
        <v>1645</v>
      </c>
      <c r="C50" s="112" t="s">
        <v>1646</v>
      </c>
      <c r="D50" s="111" t="s">
        <v>1622</v>
      </c>
    </row>
    <row r="51" spans="1:4">
      <c r="A51" s="111" t="s">
        <v>1647</v>
      </c>
      <c r="B51" s="171" t="s">
        <v>1648</v>
      </c>
      <c r="C51" s="112" t="s">
        <v>1649</v>
      </c>
      <c r="D51" s="111" t="s">
        <v>1622</v>
      </c>
    </row>
    <row r="52" spans="1:4">
      <c r="A52" s="111" t="s">
        <v>1650</v>
      </c>
      <c r="B52" s="171" t="s">
        <v>1651</v>
      </c>
      <c r="C52" s="112" t="s">
        <v>1652</v>
      </c>
      <c r="D52" s="111" t="s">
        <v>1622</v>
      </c>
    </row>
    <row r="53" spans="1:4">
      <c r="A53" s="111" t="s">
        <v>1653</v>
      </c>
      <c r="B53" s="171" t="s">
        <v>1654</v>
      </c>
      <c r="C53" s="112" t="s">
        <v>1655</v>
      </c>
      <c r="D53" s="111" t="s">
        <v>1622</v>
      </c>
    </row>
    <row r="54" spans="1:4">
      <c r="A54" s="82" t="s">
        <v>433</v>
      </c>
      <c r="B54" s="51" t="s">
        <v>829</v>
      </c>
      <c r="C54" s="84" t="s">
        <v>1290</v>
      </c>
      <c r="D54" s="111" t="s">
        <v>1656</v>
      </c>
    </row>
    <row r="55" spans="1:4">
      <c r="A55" s="82" t="s">
        <v>434</v>
      </c>
      <c r="B55" s="51" t="s">
        <v>830</v>
      </c>
      <c r="C55" s="84" t="s">
        <v>1291</v>
      </c>
      <c r="D55" s="111" t="s">
        <v>1656</v>
      </c>
    </row>
    <row r="56" spans="1:4">
      <c r="A56" s="82" t="s">
        <v>435</v>
      </c>
      <c r="B56" s="51" t="s">
        <v>830</v>
      </c>
      <c r="C56" s="84" t="s">
        <v>1292</v>
      </c>
      <c r="D56" s="111" t="s">
        <v>1656</v>
      </c>
    </row>
    <row r="57" spans="1:4">
      <c r="A57" s="82" t="s">
        <v>436</v>
      </c>
      <c r="B57" s="51" t="s">
        <v>831</v>
      </c>
      <c r="C57" s="84" t="s">
        <v>1293</v>
      </c>
      <c r="D57" s="111" t="s">
        <v>1617</v>
      </c>
    </row>
    <row r="58" spans="1:4">
      <c r="A58" s="82" t="s">
        <v>437</v>
      </c>
      <c r="B58" s="83" t="s">
        <v>829</v>
      </c>
      <c r="C58" s="84" t="s">
        <v>1294</v>
      </c>
      <c r="D58" s="111" t="s">
        <v>1656</v>
      </c>
    </row>
    <row r="59" spans="1:4">
      <c r="A59" s="82" t="s">
        <v>61</v>
      </c>
      <c r="B59" s="83" t="s">
        <v>514</v>
      </c>
      <c r="C59" s="84" t="s">
        <v>959</v>
      </c>
      <c r="D59" s="111" t="s">
        <v>1617</v>
      </c>
    </row>
    <row r="60" spans="1:4">
      <c r="A60" s="82" t="s">
        <v>62</v>
      </c>
      <c r="B60" s="83" t="s">
        <v>515</v>
      </c>
      <c r="C60" s="84" t="s">
        <v>960</v>
      </c>
      <c r="D60" s="111" t="s">
        <v>1617</v>
      </c>
    </row>
    <row r="61" spans="1:4">
      <c r="A61" s="82" t="s">
        <v>63</v>
      </c>
      <c r="B61" s="83" t="s">
        <v>516</v>
      </c>
      <c r="C61" s="84" t="s">
        <v>961</v>
      </c>
      <c r="D61" s="111" t="s">
        <v>1617</v>
      </c>
    </row>
    <row r="62" spans="1:4">
      <c r="A62" s="82" t="s">
        <v>444</v>
      </c>
      <c r="B62" s="83" t="s">
        <v>837</v>
      </c>
      <c r="C62" s="84" t="s">
        <v>1301</v>
      </c>
      <c r="D62" s="111" t="s">
        <v>1617</v>
      </c>
    </row>
    <row r="63" spans="1:4">
      <c r="A63" s="82" t="s">
        <v>64</v>
      </c>
      <c r="B63" s="83" t="s">
        <v>517</v>
      </c>
      <c r="C63" s="84" t="s">
        <v>962</v>
      </c>
      <c r="D63" s="111" t="s">
        <v>1657</v>
      </c>
    </row>
    <row r="64" spans="1:4">
      <c r="A64" s="82" t="s">
        <v>440</v>
      </c>
      <c r="B64" s="83" t="s">
        <v>834</v>
      </c>
      <c r="C64" s="84" t="s">
        <v>1297</v>
      </c>
      <c r="D64" s="111" t="s">
        <v>1617</v>
      </c>
    </row>
    <row r="65" spans="1:4">
      <c r="A65" s="82" t="s">
        <v>441</v>
      </c>
      <c r="B65" s="83" t="s">
        <v>835</v>
      </c>
      <c r="C65" s="84" t="s">
        <v>1298</v>
      </c>
      <c r="D65" s="111" t="s">
        <v>1617</v>
      </c>
    </row>
    <row r="66" spans="1:4">
      <c r="A66" s="82" t="s">
        <v>442</v>
      </c>
      <c r="B66" s="83" t="s">
        <v>835</v>
      </c>
      <c r="C66" s="84" t="s">
        <v>1299</v>
      </c>
      <c r="D66" s="111" t="s">
        <v>1617</v>
      </c>
    </row>
    <row r="67" spans="1:4">
      <c r="A67" s="82" t="s">
        <v>443</v>
      </c>
      <c r="B67" s="83" t="s">
        <v>836</v>
      </c>
      <c r="C67" s="84" t="s">
        <v>1300</v>
      </c>
      <c r="D67" s="111" t="s">
        <v>1617</v>
      </c>
    </row>
    <row r="68" spans="1:4">
      <c r="A68" s="82" t="s">
        <v>198</v>
      </c>
      <c r="B68" s="83" t="s">
        <v>619</v>
      </c>
      <c r="C68" s="84" t="s">
        <v>1071</v>
      </c>
      <c r="D68" s="111" t="s">
        <v>1617</v>
      </c>
    </row>
    <row r="69" spans="1:4">
      <c r="A69" s="82" t="s">
        <v>201</v>
      </c>
      <c r="B69" s="83" t="s">
        <v>622</v>
      </c>
      <c r="C69" s="84" t="s">
        <v>1074</v>
      </c>
      <c r="D69" s="111" t="s">
        <v>1617</v>
      </c>
    </row>
    <row r="70" spans="1:4">
      <c r="A70" s="82" t="s">
        <v>361</v>
      </c>
      <c r="B70" s="51" t="s">
        <v>761</v>
      </c>
      <c r="C70" s="84" t="s">
        <v>1233</v>
      </c>
      <c r="D70" s="111" t="s">
        <v>1658</v>
      </c>
    </row>
    <row r="71" spans="1:4">
      <c r="A71" s="82" t="s">
        <v>362</v>
      </c>
      <c r="B71" s="51" t="s">
        <v>762</v>
      </c>
      <c r="C71" s="84" t="s">
        <v>1234</v>
      </c>
      <c r="D71" s="111" t="s">
        <v>1658</v>
      </c>
    </row>
    <row r="72" spans="1:4">
      <c r="A72" s="82" t="s">
        <v>363</v>
      </c>
      <c r="B72" s="51" t="s">
        <v>763</v>
      </c>
      <c r="C72" s="84" t="s">
        <v>1235</v>
      </c>
      <c r="D72" s="111" t="s">
        <v>1617</v>
      </c>
    </row>
    <row r="73" spans="1:4">
      <c r="A73" s="82" t="s">
        <v>414</v>
      </c>
      <c r="B73" s="51" t="s">
        <v>811</v>
      </c>
      <c r="C73" s="84" t="s">
        <v>1278</v>
      </c>
      <c r="D73" s="111" t="s">
        <v>1659</v>
      </c>
    </row>
    <row r="74" spans="1:4">
      <c r="A74" s="82" t="s">
        <v>415</v>
      </c>
      <c r="B74" s="51" t="s">
        <v>811</v>
      </c>
      <c r="C74" s="84" t="s">
        <v>1279</v>
      </c>
      <c r="D74" s="111" t="s">
        <v>1659</v>
      </c>
    </row>
    <row r="75" spans="1:4">
      <c r="A75" s="85" t="s">
        <v>416</v>
      </c>
      <c r="B75" s="51" t="s">
        <v>812</v>
      </c>
      <c r="C75" s="84" t="s">
        <v>857</v>
      </c>
      <c r="D75" s="111" t="s">
        <v>1660</v>
      </c>
    </row>
    <row r="76" spans="1:4">
      <c r="A76" s="85" t="s">
        <v>417</v>
      </c>
      <c r="B76" s="51" t="s">
        <v>813</v>
      </c>
      <c r="C76" s="84" t="s">
        <v>858</v>
      </c>
      <c r="D76" s="111" t="s">
        <v>1660</v>
      </c>
    </row>
    <row r="77" spans="1:4">
      <c r="A77" s="85" t="s">
        <v>418</v>
      </c>
      <c r="B77" s="51" t="s">
        <v>814</v>
      </c>
      <c r="C77" s="84" t="s">
        <v>859</v>
      </c>
      <c r="D77" s="111" t="s">
        <v>1660</v>
      </c>
    </row>
    <row r="78" spans="1:4">
      <c r="A78" s="85" t="s">
        <v>419</v>
      </c>
      <c r="B78" s="51" t="s">
        <v>815</v>
      </c>
      <c r="C78" s="84" t="s">
        <v>860</v>
      </c>
      <c r="D78" s="111" t="s">
        <v>1660</v>
      </c>
    </row>
    <row r="79" spans="1:4">
      <c r="A79" s="82" t="s">
        <v>283</v>
      </c>
      <c r="B79" s="51" t="s">
        <v>694</v>
      </c>
      <c r="C79" s="84" t="s">
        <v>1162</v>
      </c>
      <c r="D79" s="111" t="s">
        <v>1661</v>
      </c>
    </row>
    <row r="80" spans="1:4">
      <c r="A80" s="111" t="s">
        <v>1357</v>
      </c>
      <c r="B80" s="83" t="s">
        <v>1358</v>
      </c>
      <c r="C80" s="86" t="s">
        <v>1359</v>
      </c>
      <c r="D80" s="111" t="s">
        <v>1661</v>
      </c>
    </row>
    <row r="81" spans="1:4">
      <c r="A81" s="82" t="s">
        <v>284</v>
      </c>
      <c r="B81" s="51" t="s">
        <v>695</v>
      </c>
      <c r="C81" s="84" t="s">
        <v>1163</v>
      </c>
      <c r="D81" s="111" t="s">
        <v>1661</v>
      </c>
    </row>
    <row r="82" spans="1:4">
      <c r="A82" s="82" t="s">
        <v>285</v>
      </c>
      <c r="B82" s="51" t="s">
        <v>696</v>
      </c>
      <c r="C82" s="84" t="s">
        <v>1164</v>
      </c>
      <c r="D82" s="111" t="s">
        <v>1661</v>
      </c>
    </row>
    <row r="83" spans="1:4">
      <c r="A83" s="82" t="s">
        <v>286</v>
      </c>
      <c r="B83" s="51" t="s">
        <v>697</v>
      </c>
      <c r="C83" s="84" t="s">
        <v>1165</v>
      </c>
      <c r="D83" s="111" t="s">
        <v>1661</v>
      </c>
    </row>
    <row r="84" spans="1:4">
      <c r="A84" s="82" t="s">
        <v>287</v>
      </c>
      <c r="B84" s="83" t="s">
        <v>698</v>
      </c>
      <c r="C84" s="84" t="s">
        <v>1166</v>
      </c>
      <c r="D84" s="111" t="s">
        <v>1661</v>
      </c>
    </row>
    <row r="85" spans="1:4">
      <c r="A85" s="82" t="s">
        <v>288</v>
      </c>
      <c r="B85" s="83" t="s">
        <v>699</v>
      </c>
      <c r="C85" s="84" t="s">
        <v>1167</v>
      </c>
      <c r="D85" s="111" t="s">
        <v>1661</v>
      </c>
    </row>
    <row r="86" spans="1:4">
      <c r="A86" s="82" t="s">
        <v>336</v>
      </c>
      <c r="B86" s="83" t="s">
        <v>741</v>
      </c>
      <c r="C86" s="84" t="s">
        <v>1207</v>
      </c>
      <c r="D86" s="111" t="s">
        <v>1661</v>
      </c>
    </row>
    <row r="87" spans="1:4">
      <c r="A87" s="85" t="s">
        <v>335</v>
      </c>
      <c r="B87" s="51" t="s">
        <v>1146</v>
      </c>
      <c r="C87" s="84" t="s">
        <v>1147</v>
      </c>
      <c r="D87" s="111" t="s">
        <v>1661</v>
      </c>
    </row>
    <row r="88" spans="1:4">
      <c r="A88" s="111" t="s">
        <v>1360</v>
      </c>
      <c r="B88" s="83" t="s">
        <v>1361</v>
      </c>
      <c r="C88" s="86" t="s">
        <v>1362</v>
      </c>
      <c r="D88" s="111" t="s">
        <v>1661</v>
      </c>
    </row>
    <row r="89" spans="1:4">
      <c r="A89" s="111" t="s">
        <v>1562</v>
      </c>
      <c r="B89" s="51" t="s">
        <v>1564</v>
      </c>
      <c r="C89" s="112" t="s">
        <v>1563</v>
      </c>
      <c r="D89" s="111" t="s">
        <v>1661</v>
      </c>
    </row>
    <row r="90" spans="1:4">
      <c r="A90" s="82" t="s">
        <v>465</v>
      </c>
      <c r="B90" s="83" t="s">
        <v>758</v>
      </c>
      <c r="C90" s="84" t="s">
        <v>1222</v>
      </c>
      <c r="D90" s="111" t="s">
        <v>1661</v>
      </c>
    </row>
    <row r="91" spans="1:4">
      <c r="A91" s="82" t="s">
        <v>289</v>
      </c>
      <c r="B91" s="51" t="s">
        <v>700</v>
      </c>
      <c r="C91" s="84" t="s">
        <v>1168</v>
      </c>
      <c r="D91" s="111" t="s">
        <v>1661</v>
      </c>
    </row>
    <row r="92" spans="1:4">
      <c r="A92" s="82" t="s">
        <v>290</v>
      </c>
      <c r="B92" s="51" t="s">
        <v>701</v>
      </c>
      <c r="C92" s="84" t="s">
        <v>1169</v>
      </c>
      <c r="D92" s="111" t="s">
        <v>1661</v>
      </c>
    </row>
    <row r="93" spans="1:4">
      <c r="A93" s="82" t="s">
        <v>357</v>
      </c>
      <c r="B93" s="83" t="s">
        <v>758</v>
      </c>
      <c r="C93" s="84" t="s">
        <v>1223</v>
      </c>
      <c r="D93" s="111" t="s">
        <v>1661</v>
      </c>
    </row>
    <row r="94" spans="1:4">
      <c r="A94" s="85" t="s">
        <v>358</v>
      </c>
      <c r="B94" s="51" t="s">
        <v>1148</v>
      </c>
      <c r="C94" s="84" t="s">
        <v>1149</v>
      </c>
      <c r="D94" s="111" t="s">
        <v>1661</v>
      </c>
    </row>
    <row r="95" spans="1:4">
      <c r="A95" s="82" t="s">
        <v>291</v>
      </c>
      <c r="B95" s="51" t="s">
        <v>702</v>
      </c>
      <c r="C95" s="84" t="s">
        <v>1170</v>
      </c>
      <c r="D95" s="111" t="s">
        <v>1661</v>
      </c>
    </row>
    <row r="96" spans="1:4">
      <c r="A96" s="85" t="s">
        <v>325</v>
      </c>
      <c r="B96" s="51" t="s">
        <v>732</v>
      </c>
      <c r="C96" s="84" t="s">
        <v>1150</v>
      </c>
      <c r="D96" s="111" t="s">
        <v>1661</v>
      </c>
    </row>
    <row r="97" spans="1:4">
      <c r="A97" s="111" t="s">
        <v>1510</v>
      </c>
      <c r="B97" s="83" t="s">
        <v>711</v>
      </c>
      <c r="C97" s="112" t="s">
        <v>1511</v>
      </c>
      <c r="D97" s="111" t="s">
        <v>1661</v>
      </c>
    </row>
    <row r="98" spans="1:4">
      <c r="A98" s="82" t="s">
        <v>292</v>
      </c>
      <c r="B98" s="51" t="s">
        <v>703</v>
      </c>
      <c r="C98" s="84" t="s">
        <v>1171</v>
      </c>
      <c r="D98" s="111" t="s">
        <v>1661</v>
      </c>
    </row>
    <row r="99" spans="1:4">
      <c r="A99" s="111" t="s">
        <v>1363</v>
      </c>
      <c r="B99" s="83" t="s">
        <v>1364</v>
      </c>
      <c r="C99" s="86" t="s">
        <v>1365</v>
      </c>
      <c r="D99" s="111" t="s">
        <v>1661</v>
      </c>
    </row>
    <row r="100" spans="1:4">
      <c r="A100" s="82" t="s">
        <v>293</v>
      </c>
      <c r="B100" s="51" t="s">
        <v>704</v>
      </c>
      <c r="C100" s="84" t="s">
        <v>1172</v>
      </c>
      <c r="D100" s="111" t="s">
        <v>1661</v>
      </c>
    </row>
    <row r="101" spans="1:4">
      <c r="A101" s="82" t="s">
        <v>294</v>
      </c>
      <c r="B101" s="51" t="s">
        <v>705</v>
      </c>
      <c r="C101" s="84" t="s">
        <v>1173</v>
      </c>
      <c r="D101" s="111" t="s">
        <v>1661</v>
      </c>
    </row>
    <row r="102" spans="1:4">
      <c r="A102" s="111" t="s">
        <v>1366</v>
      </c>
      <c r="B102" s="83" t="s">
        <v>1367</v>
      </c>
      <c r="C102" s="84" t="s">
        <v>1368</v>
      </c>
      <c r="D102" s="111" t="s">
        <v>1661</v>
      </c>
    </row>
    <row r="103" spans="1:4">
      <c r="A103" s="82" t="s">
        <v>295</v>
      </c>
      <c r="B103" s="51" t="s">
        <v>706</v>
      </c>
      <c r="C103" s="84" t="s">
        <v>1174</v>
      </c>
      <c r="D103" s="111" t="s">
        <v>1661</v>
      </c>
    </row>
    <row r="104" spans="1:4">
      <c r="A104" s="82" t="s">
        <v>326</v>
      </c>
      <c r="B104" s="83" t="s">
        <v>733</v>
      </c>
      <c r="C104" s="84" t="s">
        <v>1198</v>
      </c>
      <c r="D104" s="111" t="s">
        <v>1661</v>
      </c>
    </row>
    <row r="105" spans="1:4">
      <c r="A105" s="82" t="s">
        <v>327</v>
      </c>
      <c r="B105" s="83" t="s">
        <v>734</v>
      </c>
      <c r="C105" s="84" t="s">
        <v>1199</v>
      </c>
      <c r="D105" s="111" t="s">
        <v>1661</v>
      </c>
    </row>
    <row r="106" spans="1:4">
      <c r="A106" s="82" t="s">
        <v>328</v>
      </c>
      <c r="B106" s="83" t="s">
        <v>734</v>
      </c>
      <c r="C106" s="84" t="s">
        <v>1200</v>
      </c>
      <c r="D106" s="111" t="s">
        <v>1661</v>
      </c>
    </row>
    <row r="107" spans="1:4">
      <c r="A107" s="82" t="s">
        <v>329</v>
      </c>
      <c r="B107" s="83" t="s">
        <v>735</v>
      </c>
      <c r="C107" s="84" t="s">
        <v>1201</v>
      </c>
      <c r="D107" s="111" t="s">
        <v>1661</v>
      </c>
    </row>
    <row r="108" spans="1:4">
      <c r="A108" s="82" t="s">
        <v>330</v>
      </c>
      <c r="B108" s="83" t="s">
        <v>735</v>
      </c>
      <c r="C108" s="84" t="s">
        <v>1202</v>
      </c>
      <c r="D108" s="111" t="s">
        <v>1661</v>
      </c>
    </row>
    <row r="109" spans="1:4">
      <c r="A109" s="82" t="s">
        <v>331</v>
      </c>
      <c r="B109" s="83" t="s">
        <v>736</v>
      </c>
      <c r="C109" s="84" t="s">
        <v>1203</v>
      </c>
      <c r="D109" s="111" t="s">
        <v>1661</v>
      </c>
    </row>
    <row r="110" spans="1:4">
      <c r="A110" s="85" t="s">
        <v>467</v>
      </c>
      <c r="B110" s="51" t="s">
        <v>737</v>
      </c>
      <c r="C110" s="84" t="s">
        <v>1151</v>
      </c>
      <c r="D110" s="111" t="s">
        <v>1661</v>
      </c>
    </row>
    <row r="111" spans="1:4">
      <c r="A111" s="82" t="s">
        <v>296</v>
      </c>
      <c r="B111" s="83" t="s">
        <v>707</v>
      </c>
      <c r="C111" s="84" t="s">
        <v>1175</v>
      </c>
      <c r="D111" s="111" t="s">
        <v>1661</v>
      </c>
    </row>
    <row r="112" spans="1:4">
      <c r="A112" s="111" t="s">
        <v>1369</v>
      </c>
      <c r="B112" s="83" t="s">
        <v>1370</v>
      </c>
      <c r="C112" s="84" t="s">
        <v>1371</v>
      </c>
      <c r="D112" s="111" t="s">
        <v>1661</v>
      </c>
    </row>
    <row r="113" spans="1:4">
      <c r="A113" s="85" t="s">
        <v>297</v>
      </c>
      <c r="B113" s="51" t="s">
        <v>708</v>
      </c>
      <c r="C113" s="84" t="s">
        <v>1152</v>
      </c>
      <c r="D113" s="111" t="s">
        <v>1661</v>
      </c>
    </row>
    <row r="114" spans="1:4">
      <c r="A114" s="82" t="s">
        <v>298</v>
      </c>
      <c r="B114" s="83" t="s">
        <v>709</v>
      </c>
      <c r="C114" s="84" t="s">
        <v>1176</v>
      </c>
      <c r="D114" s="111" t="s">
        <v>1661</v>
      </c>
    </row>
    <row r="115" spans="1:4">
      <c r="A115" s="82" t="s">
        <v>299</v>
      </c>
      <c r="B115" s="83" t="s">
        <v>710</v>
      </c>
      <c r="C115" s="84" t="s">
        <v>1177</v>
      </c>
      <c r="D115" s="111" t="s">
        <v>1661</v>
      </c>
    </row>
    <row r="116" spans="1:4">
      <c r="A116" s="82" t="s">
        <v>300</v>
      </c>
      <c r="B116" s="83" t="s">
        <v>710</v>
      </c>
      <c r="C116" s="84" t="s">
        <v>1178</v>
      </c>
      <c r="D116" s="111" t="s">
        <v>1661</v>
      </c>
    </row>
    <row r="117" spans="1:4">
      <c r="A117" s="85" t="s">
        <v>301</v>
      </c>
      <c r="B117" s="51" t="s">
        <v>711</v>
      </c>
      <c r="C117" s="84" t="s">
        <v>1153</v>
      </c>
      <c r="D117" s="111" t="s">
        <v>1661</v>
      </c>
    </row>
    <row r="118" spans="1:4">
      <c r="A118" s="82" t="s">
        <v>302</v>
      </c>
      <c r="B118" s="83" t="s">
        <v>705</v>
      </c>
      <c r="C118" s="84" t="s">
        <v>1179</v>
      </c>
      <c r="D118" s="111" t="s">
        <v>1661</v>
      </c>
    </row>
    <row r="119" spans="1:4">
      <c r="A119" s="82" t="s">
        <v>303</v>
      </c>
      <c r="B119" s="83" t="s">
        <v>712</v>
      </c>
      <c r="C119" s="84" t="s">
        <v>1180</v>
      </c>
      <c r="D119" s="111" t="s">
        <v>1661</v>
      </c>
    </row>
    <row r="120" spans="1:4">
      <c r="A120" s="85" t="s">
        <v>304</v>
      </c>
      <c r="B120" s="51" t="s">
        <v>713</v>
      </c>
      <c r="C120" s="84" t="s">
        <v>1154</v>
      </c>
      <c r="D120" s="111" t="s">
        <v>1661</v>
      </c>
    </row>
    <row r="121" spans="1:4">
      <c r="A121" s="82" t="s">
        <v>305</v>
      </c>
      <c r="B121" s="83" t="s">
        <v>714</v>
      </c>
      <c r="C121" s="84" t="s">
        <v>1181</v>
      </c>
      <c r="D121" s="111" t="s">
        <v>1661</v>
      </c>
    </row>
    <row r="122" spans="1:4">
      <c r="A122" s="82" t="s">
        <v>306</v>
      </c>
      <c r="B122" s="83" t="s">
        <v>715</v>
      </c>
      <c r="C122" s="84" t="s">
        <v>1182</v>
      </c>
      <c r="D122" s="111" t="s">
        <v>1661</v>
      </c>
    </row>
    <row r="123" spans="1:4">
      <c r="A123" s="82" t="s">
        <v>308</v>
      </c>
      <c r="B123" s="83" t="s">
        <v>717</v>
      </c>
      <c r="C123" s="84" t="s">
        <v>1183</v>
      </c>
      <c r="D123" s="111" t="s">
        <v>1661</v>
      </c>
    </row>
    <row r="124" spans="1:4">
      <c r="A124" s="82" t="s">
        <v>309</v>
      </c>
      <c r="B124" s="83" t="s">
        <v>718</v>
      </c>
      <c r="C124" s="84" t="s">
        <v>1184</v>
      </c>
      <c r="D124" s="111" t="s">
        <v>1661</v>
      </c>
    </row>
    <row r="125" spans="1:4">
      <c r="A125" s="111" t="s">
        <v>1493</v>
      </c>
      <c r="B125" s="51" t="s">
        <v>718</v>
      </c>
      <c r="C125" s="112" t="s">
        <v>1496</v>
      </c>
      <c r="D125" s="111" t="s">
        <v>1661</v>
      </c>
    </row>
    <row r="126" spans="1:4">
      <c r="A126" s="85" t="s">
        <v>307</v>
      </c>
      <c r="B126" s="51" t="s">
        <v>716</v>
      </c>
      <c r="C126" s="84" t="s">
        <v>1155</v>
      </c>
      <c r="D126" s="111" t="s">
        <v>1661</v>
      </c>
    </row>
    <row r="127" spans="1:4">
      <c r="A127" s="82" t="s">
        <v>310</v>
      </c>
      <c r="B127" s="83" t="s">
        <v>719</v>
      </c>
      <c r="C127" s="84" t="s">
        <v>1185</v>
      </c>
      <c r="D127" s="111" t="s">
        <v>1661</v>
      </c>
    </row>
    <row r="128" spans="1:4">
      <c r="A128" s="85" t="s">
        <v>311</v>
      </c>
      <c r="B128" s="51" t="s">
        <v>720</v>
      </c>
      <c r="C128" s="84" t="s">
        <v>1156</v>
      </c>
      <c r="D128" s="111" t="s">
        <v>1661</v>
      </c>
    </row>
    <row r="129" spans="1:4">
      <c r="A129" s="82" t="s">
        <v>312</v>
      </c>
      <c r="B129" s="83" t="s">
        <v>721</v>
      </c>
      <c r="C129" s="84" t="s">
        <v>1186</v>
      </c>
      <c r="D129" s="111" t="s">
        <v>1661</v>
      </c>
    </row>
    <row r="130" spans="1:4">
      <c r="A130" s="85" t="s">
        <v>313</v>
      </c>
      <c r="B130" s="51" t="s">
        <v>722</v>
      </c>
      <c r="C130" s="84" t="s">
        <v>1157</v>
      </c>
      <c r="D130" s="111" t="s">
        <v>1661</v>
      </c>
    </row>
    <row r="131" spans="1:4">
      <c r="A131" s="82" t="s">
        <v>314</v>
      </c>
      <c r="B131" s="83" t="s">
        <v>723</v>
      </c>
      <c r="C131" s="84" t="s">
        <v>1187</v>
      </c>
      <c r="D131" s="111" t="s">
        <v>1661</v>
      </c>
    </row>
    <row r="132" spans="1:4">
      <c r="A132" s="82" t="s">
        <v>315</v>
      </c>
      <c r="B132" s="83" t="s">
        <v>724</v>
      </c>
      <c r="C132" s="84" t="s">
        <v>1188</v>
      </c>
      <c r="D132" s="111" t="s">
        <v>1661</v>
      </c>
    </row>
    <row r="133" spans="1:4">
      <c r="A133" s="82" t="s">
        <v>316</v>
      </c>
      <c r="B133" s="83" t="s">
        <v>725</v>
      </c>
      <c r="C133" s="84" t="s">
        <v>1189</v>
      </c>
      <c r="D133" s="111" t="s">
        <v>1661</v>
      </c>
    </row>
    <row r="134" spans="1:4">
      <c r="A134" s="111" t="s">
        <v>1372</v>
      </c>
      <c r="B134" s="83" t="s">
        <v>1373</v>
      </c>
      <c r="C134" s="84" t="s">
        <v>1374</v>
      </c>
      <c r="D134" s="111" t="s">
        <v>1661</v>
      </c>
    </row>
    <row r="135" spans="1:4">
      <c r="A135" s="82" t="s">
        <v>317</v>
      </c>
      <c r="B135" s="83" t="s">
        <v>726</v>
      </c>
      <c r="C135" s="84" t="s">
        <v>1190</v>
      </c>
      <c r="D135" s="111" t="s">
        <v>1661</v>
      </c>
    </row>
    <row r="136" spans="1:4">
      <c r="A136" s="82" t="s">
        <v>320</v>
      </c>
      <c r="B136" s="83" t="s">
        <v>729</v>
      </c>
      <c r="C136" s="84" t="s">
        <v>1193</v>
      </c>
      <c r="D136" s="111" t="s">
        <v>1661</v>
      </c>
    </row>
    <row r="137" spans="1:4">
      <c r="A137" s="82" t="s">
        <v>321</v>
      </c>
      <c r="B137" s="83" t="s">
        <v>727</v>
      </c>
      <c r="C137" s="84" t="s">
        <v>1194</v>
      </c>
      <c r="D137" s="111" t="s">
        <v>1661</v>
      </c>
    </row>
    <row r="138" spans="1:4">
      <c r="A138" s="82" t="s">
        <v>318</v>
      </c>
      <c r="B138" s="83" t="s">
        <v>727</v>
      </c>
      <c r="C138" s="84" t="s">
        <v>1191</v>
      </c>
      <c r="D138" s="111" t="s">
        <v>1661</v>
      </c>
    </row>
    <row r="139" spans="1:4">
      <c r="A139" s="82" t="s">
        <v>322</v>
      </c>
      <c r="B139" s="83" t="s">
        <v>728</v>
      </c>
      <c r="C139" s="84" t="s">
        <v>1195</v>
      </c>
      <c r="D139" s="111" t="s">
        <v>1661</v>
      </c>
    </row>
    <row r="140" spans="1:4">
      <c r="A140" s="82" t="s">
        <v>319</v>
      </c>
      <c r="B140" s="83" t="s">
        <v>728</v>
      </c>
      <c r="C140" s="84" t="s">
        <v>1192</v>
      </c>
      <c r="D140" s="111" t="s">
        <v>1661</v>
      </c>
    </row>
    <row r="141" spans="1:4">
      <c r="A141" s="82" t="s">
        <v>324</v>
      </c>
      <c r="B141" s="83" t="s">
        <v>731</v>
      </c>
      <c r="C141" s="84" t="s">
        <v>1197</v>
      </c>
      <c r="D141" s="111" t="s">
        <v>1661</v>
      </c>
    </row>
    <row r="142" spans="1:4">
      <c r="A142" s="82" t="s">
        <v>323</v>
      </c>
      <c r="B142" s="83" t="s">
        <v>730</v>
      </c>
      <c r="C142" s="84" t="s">
        <v>1196</v>
      </c>
      <c r="D142" s="111" t="s">
        <v>1661</v>
      </c>
    </row>
    <row r="143" spans="1:4">
      <c r="A143" s="82" t="s">
        <v>332</v>
      </c>
      <c r="B143" s="83" t="s">
        <v>738</v>
      </c>
      <c r="C143" s="84" t="s">
        <v>1204</v>
      </c>
      <c r="D143" s="111" t="s">
        <v>1661</v>
      </c>
    </row>
    <row r="144" spans="1:4">
      <c r="A144" s="82" t="s">
        <v>1327</v>
      </c>
      <c r="B144" s="83" t="s">
        <v>1328</v>
      </c>
      <c r="C144" s="84" t="s">
        <v>1329</v>
      </c>
      <c r="D144" s="111" t="s">
        <v>1661</v>
      </c>
    </row>
    <row r="145" spans="1:4">
      <c r="A145" s="82" t="s">
        <v>333</v>
      </c>
      <c r="B145" s="83" t="s">
        <v>739</v>
      </c>
      <c r="C145" s="84" t="s">
        <v>1205</v>
      </c>
      <c r="D145" s="111" t="s">
        <v>1661</v>
      </c>
    </row>
    <row r="146" spans="1:4">
      <c r="A146" s="82" t="s">
        <v>334</v>
      </c>
      <c r="B146" s="83" t="s">
        <v>740</v>
      </c>
      <c r="C146" s="84" t="s">
        <v>1206</v>
      </c>
      <c r="D146" s="111" t="s">
        <v>1661</v>
      </c>
    </row>
    <row r="147" spans="1:4">
      <c r="A147" s="85" t="s">
        <v>340</v>
      </c>
      <c r="B147" s="51" t="s">
        <v>744</v>
      </c>
      <c r="C147" s="84" t="s">
        <v>1158</v>
      </c>
      <c r="D147" s="111" t="s">
        <v>1661</v>
      </c>
    </row>
    <row r="148" spans="1:4">
      <c r="A148" s="82" t="s">
        <v>337</v>
      </c>
      <c r="B148" s="83" t="s">
        <v>742</v>
      </c>
      <c r="C148" s="84" t="s">
        <v>1208</v>
      </c>
      <c r="D148" s="111" t="s">
        <v>1661</v>
      </c>
    </row>
    <row r="149" spans="1:4">
      <c r="A149" s="82" t="s">
        <v>338</v>
      </c>
      <c r="B149" s="83" t="s">
        <v>742</v>
      </c>
      <c r="C149" s="84" t="s">
        <v>1209</v>
      </c>
      <c r="D149" s="111" t="s">
        <v>1661</v>
      </c>
    </row>
    <row r="150" spans="1:4">
      <c r="A150" s="82" t="s">
        <v>339</v>
      </c>
      <c r="B150" s="83" t="s">
        <v>743</v>
      </c>
      <c r="C150" s="84" t="s">
        <v>1210</v>
      </c>
      <c r="D150" s="111" t="s">
        <v>1661</v>
      </c>
    </row>
    <row r="151" spans="1:4">
      <c r="A151" s="82" t="s">
        <v>341</v>
      </c>
      <c r="B151" s="83" t="s">
        <v>745</v>
      </c>
      <c r="C151" s="84" t="s">
        <v>1211</v>
      </c>
      <c r="D151" s="111" t="s">
        <v>1661</v>
      </c>
    </row>
    <row r="152" spans="1:4">
      <c r="A152" s="82" t="s">
        <v>342</v>
      </c>
      <c r="B152" s="83" t="s">
        <v>746</v>
      </c>
      <c r="C152" s="84" t="s">
        <v>1212</v>
      </c>
      <c r="D152" s="111" t="s">
        <v>1661</v>
      </c>
    </row>
    <row r="153" spans="1:4">
      <c r="A153" s="85" t="s">
        <v>1323</v>
      </c>
      <c r="B153" s="51" t="s">
        <v>1554</v>
      </c>
      <c r="C153" s="86" t="s">
        <v>1324</v>
      </c>
      <c r="D153" s="111" t="s">
        <v>1661</v>
      </c>
    </row>
    <row r="154" spans="1:4">
      <c r="A154" s="82" t="s">
        <v>343</v>
      </c>
      <c r="B154" s="83" t="s">
        <v>747</v>
      </c>
      <c r="C154" s="84" t="s">
        <v>1213</v>
      </c>
      <c r="D154" s="111" t="s">
        <v>1661</v>
      </c>
    </row>
    <row r="155" spans="1:4">
      <c r="A155" s="85" t="s">
        <v>345</v>
      </c>
      <c r="B155" s="51" t="s">
        <v>748</v>
      </c>
      <c r="C155" s="84" t="s">
        <v>1159</v>
      </c>
      <c r="D155" s="111" t="s">
        <v>1661</v>
      </c>
    </row>
    <row r="156" spans="1:4">
      <c r="A156" s="82" t="s">
        <v>346</v>
      </c>
      <c r="B156" s="83" t="s">
        <v>749</v>
      </c>
      <c r="C156" s="84" t="s">
        <v>1214</v>
      </c>
      <c r="D156" s="111" t="s">
        <v>1661</v>
      </c>
    </row>
    <row r="157" spans="1:4">
      <c r="A157" s="82" t="s">
        <v>347</v>
      </c>
      <c r="B157" s="83" t="s">
        <v>750</v>
      </c>
      <c r="C157" s="84" t="s">
        <v>1215</v>
      </c>
      <c r="D157" s="111" t="s">
        <v>1661</v>
      </c>
    </row>
    <row r="158" spans="1:4">
      <c r="A158" s="82" t="s">
        <v>348</v>
      </c>
      <c r="B158" s="83" t="s">
        <v>751</v>
      </c>
      <c r="C158" s="84" t="s">
        <v>1216</v>
      </c>
      <c r="D158" s="111" t="s">
        <v>1661</v>
      </c>
    </row>
    <row r="159" spans="1:4">
      <c r="A159" s="82" t="s">
        <v>349</v>
      </c>
      <c r="B159" s="83" t="s">
        <v>752</v>
      </c>
      <c r="C159" s="84" t="s">
        <v>1217</v>
      </c>
      <c r="D159" s="111" t="s">
        <v>1661</v>
      </c>
    </row>
    <row r="160" spans="1:4">
      <c r="A160" s="111" t="s">
        <v>1375</v>
      </c>
      <c r="B160" s="83" t="s">
        <v>1376</v>
      </c>
      <c r="C160" s="86" t="s">
        <v>1377</v>
      </c>
      <c r="D160" s="111" t="s">
        <v>1661</v>
      </c>
    </row>
    <row r="161" spans="1:4">
      <c r="A161" s="85" t="s">
        <v>351</v>
      </c>
      <c r="B161" s="51" t="s">
        <v>753</v>
      </c>
      <c r="C161" s="84" t="s">
        <v>1160</v>
      </c>
      <c r="D161" s="111" t="s">
        <v>1661</v>
      </c>
    </row>
    <row r="162" spans="1:4">
      <c r="A162" s="111" t="s">
        <v>1378</v>
      </c>
      <c r="B162" s="51" t="s">
        <v>753</v>
      </c>
      <c r="C162" s="84" t="s">
        <v>1379</v>
      </c>
      <c r="D162" s="111" t="s">
        <v>1661</v>
      </c>
    </row>
    <row r="163" spans="1:4">
      <c r="A163" s="111" t="s">
        <v>1380</v>
      </c>
      <c r="B163" s="51" t="s">
        <v>754</v>
      </c>
      <c r="C163" s="84" t="s">
        <v>1381</v>
      </c>
      <c r="D163" s="111" t="s">
        <v>1661</v>
      </c>
    </row>
    <row r="164" spans="1:4">
      <c r="A164" s="85" t="s">
        <v>352</v>
      </c>
      <c r="B164" s="51" t="s">
        <v>754</v>
      </c>
      <c r="C164" s="84" t="s">
        <v>1161</v>
      </c>
      <c r="D164" s="111" t="s">
        <v>1661</v>
      </c>
    </row>
    <row r="165" spans="1:4">
      <c r="A165" s="111" t="s">
        <v>1382</v>
      </c>
      <c r="B165" s="51" t="s">
        <v>1383</v>
      </c>
      <c r="C165" s="84" t="s">
        <v>1384</v>
      </c>
      <c r="D165" s="111" t="s">
        <v>1661</v>
      </c>
    </row>
    <row r="166" spans="1:4">
      <c r="A166" s="82" t="s">
        <v>353</v>
      </c>
      <c r="B166" s="83" t="s">
        <v>755</v>
      </c>
      <c r="C166" s="84" t="s">
        <v>1218</v>
      </c>
      <c r="D166" s="111" t="s">
        <v>1617</v>
      </c>
    </row>
    <row r="167" spans="1:4">
      <c r="A167" s="82" t="s">
        <v>354</v>
      </c>
      <c r="B167" s="83" t="s">
        <v>755</v>
      </c>
      <c r="C167" s="84" t="s">
        <v>1219</v>
      </c>
      <c r="D167" s="111" t="s">
        <v>1617</v>
      </c>
    </row>
    <row r="168" spans="1:4">
      <c r="A168" s="82" t="s">
        <v>464</v>
      </c>
      <c r="B168" s="83" t="s">
        <v>759</v>
      </c>
      <c r="C168" s="84" t="s">
        <v>1224</v>
      </c>
      <c r="D168" s="111" t="s">
        <v>1661</v>
      </c>
    </row>
    <row r="169" spans="1:4">
      <c r="A169" s="82" t="s">
        <v>356</v>
      </c>
      <c r="B169" s="83" t="s">
        <v>760</v>
      </c>
      <c r="C169" s="84" t="s">
        <v>1225</v>
      </c>
      <c r="D169" s="111" t="s">
        <v>1617</v>
      </c>
    </row>
    <row r="170" spans="1:4">
      <c r="A170" s="82" t="s">
        <v>1508</v>
      </c>
      <c r="B170" s="83" t="s">
        <v>1512</v>
      </c>
      <c r="C170" s="84" t="s">
        <v>1513</v>
      </c>
      <c r="D170" s="111" t="s">
        <v>1617</v>
      </c>
    </row>
    <row r="171" spans="1:4">
      <c r="A171" s="112" t="s">
        <v>1514</v>
      </c>
      <c r="B171" s="83" t="s">
        <v>757</v>
      </c>
      <c r="C171" s="112" t="s">
        <v>1515</v>
      </c>
      <c r="D171" s="111" t="s">
        <v>1661</v>
      </c>
    </row>
    <row r="172" spans="1:4">
      <c r="A172" s="82" t="s">
        <v>359</v>
      </c>
      <c r="B172" s="83" t="s">
        <v>757</v>
      </c>
      <c r="C172" s="84" t="s">
        <v>1221</v>
      </c>
      <c r="D172" s="111" t="s">
        <v>1661</v>
      </c>
    </row>
    <row r="173" spans="1:4">
      <c r="A173" s="82" t="s">
        <v>355</v>
      </c>
      <c r="B173" s="83" t="s">
        <v>756</v>
      </c>
      <c r="C173" s="84" t="s">
        <v>1220</v>
      </c>
      <c r="D173" s="111" t="s">
        <v>1617</v>
      </c>
    </row>
    <row r="174" spans="1:4">
      <c r="A174" s="82" t="s">
        <v>222</v>
      </c>
      <c r="B174" s="83" t="s">
        <v>637</v>
      </c>
      <c r="C174" s="84" t="s">
        <v>1087</v>
      </c>
      <c r="D174" s="111" t="s">
        <v>1662</v>
      </c>
    </row>
    <row r="175" spans="1:4">
      <c r="A175" s="82" t="s">
        <v>223</v>
      </c>
      <c r="B175" s="83" t="s">
        <v>638</v>
      </c>
      <c r="C175" s="84" t="s">
        <v>1088</v>
      </c>
      <c r="D175" s="111" t="s">
        <v>1662</v>
      </c>
    </row>
    <row r="176" spans="1:4">
      <c r="A176" s="82" t="s">
        <v>224</v>
      </c>
      <c r="B176" s="83" t="s">
        <v>639</v>
      </c>
      <c r="C176" s="84" t="s">
        <v>1089</v>
      </c>
      <c r="D176" s="111" t="s">
        <v>1662</v>
      </c>
    </row>
    <row r="177" spans="1:4">
      <c r="A177" s="82" t="s">
        <v>65</v>
      </c>
      <c r="B177" s="83" t="s">
        <v>518</v>
      </c>
      <c r="C177" s="84" t="s">
        <v>963</v>
      </c>
      <c r="D177" s="111" t="s">
        <v>1663</v>
      </c>
    </row>
    <row r="178" spans="1:4">
      <c r="A178" s="82" t="s">
        <v>66</v>
      </c>
      <c r="B178" s="83" t="s">
        <v>518</v>
      </c>
      <c r="C178" s="84" t="s">
        <v>964</v>
      </c>
      <c r="D178" s="111" t="s">
        <v>1663</v>
      </c>
    </row>
    <row r="179" spans="1:4">
      <c r="A179" s="82" t="s">
        <v>438</v>
      </c>
      <c r="B179" s="83" t="s">
        <v>832</v>
      </c>
      <c r="C179" s="84" t="s">
        <v>1295</v>
      </c>
      <c r="D179" s="111" t="s">
        <v>1617</v>
      </c>
    </row>
    <row r="180" spans="1:4">
      <c r="A180" s="82" t="s">
        <v>439</v>
      </c>
      <c r="B180" s="83" t="s">
        <v>833</v>
      </c>
      <c r="C180" s="84" t="s">
        <v>1296</v>
      </c>
      <c r="D180" s="111" t="s">
        <v>1656</v>
      </c>
    </row>
    <row r="181" spans="1:4">
      <c r="A181" s="82" t="s">
        <v>52</v>
      </c>
      <c r="B181" s="83" t="s">
        <v>507</v>
      </c>
      <c r="C181" s="84" t="s">
        <v>951</v>
      </c>
      <c r="D181" s="111" t="s">
        <v>1664</v>
      </c>
    </row>
    <row r="182" spans="1:4">
      <c r="A182" s="82" t="s">
        <v>53</v>
      </c>
      <c r="B182" s="83" t="s">
        <v>507</v>
      </c>
      <c r="C182" s="84" t="s">
        <v>952</v>
      </c>
      <c r="D182" s="111" t="s">
        <v>1664</v>
      </c>
    </row>
    <row r="183" spans="1:4">
      <c r="A183" s="82" t="s">
        <v>54</v>
      </c>
      <c r="B183" s="83" t="s">
        <v>508</v>
      </c>
      <c r="C183" s="84" t="s">
        <v>953</v>
      </c>
      <c r="D183" s="111" t="s">
        <v>1664</v>
      </c>
    </row>
    <row r="184" spans="1:4">
      <c r="A184" s="82" t="s">
        <v>55</v>
      </c>
      <c r="B184" s="83" t="s">
        <v>509</v>
      </c>
      <c r="C184" s="84" t="s">
        <v>954</v>
      </c>
      <c r="D184" s="111" t="s">
        <v>1664</v>
      </c>
    </row>
    <row r="185" spans="1:4">
      <c r="A185" s="82" t="s">
        <v>56</v>
      </c>
      <c r="B185" s="83" t="s">
        <v>510</v>
      </c>
      <c r="C185" s="84" t="s">
        <v>955</v>
      </c>
      <c r="D185" s="111" t="s">
        <v>1664</v>
      </c>
    </row>
    <row r="186" spans="1:4">
      <c r="A186" s="82" t="s">
        <v>57</v>
      </c>
      <c r="B186" s="83" t="s">
        <v>511</v>
      </c>
      <c r="C186" s="84" t="s">
        <v>956</v>
      </c>
      <c r="D186" s="111" t="s">
        <v>1664</v>
      </c>
    </row>
    <row r="187" spans="1:4">
      <c r="A187" s="85" t="s">
        <v>58</v>
      </c>
      <c r="B187" s="51" t="s">
        <v>864</v>
      </c>
      <c r="C187" s="84" t="s">
        <v>865</v>
      </c>
      <c r="D187" s="111" t="s">
        <v>1664</v>
      </c>
    </row>
    <row r="188" spans="1:4">
      <c r="A188" s="82" t="s">
        <v>1335</v>
      </c>
      <c r="B188" s="83" t="s">
        <v>1337</v>
      </c>
      <c r="C188" s="84" t="s">
        <v>1336</v>
      </c>
      <c r="D188" s="111" t="s">
        <v>1664</v>
      </c>
    </row>
    <row r="189" spans="1:4">
      <c r="A189" s="82" t="s">
        <v>59</v>
      </c>
      <c r="B189" s="83" t="s">
        <v>512</v>
      </c>
      <c r="C189" s="84" t="s">
        <v>957</v>
      </c>
      <c r="D189" s="111" t="s">
        <v>1664</v>
      </c>
    </row>
    <row r="190" spans="1:4">
      <c r="A190" s="82" t="s">
        <v>60</v>
      </c>
      <c r="B190" s="83" t="s">
        <v>513</v>
      </c>
      <c r="C190" s="84" t="s">
        <v>958</v>
      </c>
      <c r="D190" s="111" t="s">
        <v>1664</v>
      </c>
    </row>
    <row r="191" spans="1:4">
      <c r="A191" s="111" t="s">
        <v>1385</v>
      </c>
      <c r="B191" s="83" t="s">
        <v>1386</v>
      </c>
      <c r="C191" s="84" t="s">
        <v>1387</v>
      </c>
      <c r="D191" s="111" t="s">
        <v>1618</v>
      </c>
    </row>
    <row r="192" spans="1:4">
      <c r="A192" s="82" t="s">
        <v>165</v>
      </c>
      <c r="B192" s="83" t="s">
        <v>593</v>
      </c>
      <c r="C192" s="84" t="s">
        <v>1043</v>
      </c>
      <c r="D192" s="111" t="s">
        <v>1618</v>
      </c>
    </row>
    <row r="193" spans="1:4">
      <c r="A193" s="82" t="s">
        <v>166</v>
      </c>
      <c r="B193" s="83" t="s">
        <v>594</v>
      </c>
      <c r="C193" s="84" t="s">
        <v>1044</v>
      </c>
      <c r="D193" s="111" t="s">
        <v>1618</v>
      </c>
    </row>
    <row r="194" spans="1:4">
      <c r="A194" s="85" t="s">
        <v>167</v>
      </c>
      <c r="B194" s="51" t="s">
        <v>595</v>
      </c>
      <c r="C194" s="84" t="s">
        <v>1018</v>
      </c>
      <c r="D194" s="111" t="s">
        <v>1618</v>
      </c>
    </row>
    <row r="195" spans="1:4">
      <c r="A195" s="113" t="s">
        <v>1345</v>
      </c>
      <c r="B195" s="51" t="s">
        <v>593</v>
      </c>
      <c r="C195" s="112" t="s">
        <v>1352</v>
      </c>
      <c r="D195" s="111" t="s">
        <v>1618</v>
      </c>
    </row>
    <row r="196" spans="1:4">
      <c r="A196" s="111" t="s">
        <v>1388</v>
      </c>
      <c r="B196" s="51" t="s">
        <v>595</v>
      </c>
      <c r="C196" s="84" t="s">
        <v>1389</v>
      </c>
      <c r="D196" s="111" t="s">
        <v>1618</v>
      </c>
    </row>
    <row r="197" spans="1:4">
      <c r="A197" s="82" t="s">
        <v>168</v>
      </c>
      <c r="B197" s="83" t="s">
        <v>596</v>
      </c>
      <c r="C197" s="84" t="s">
        <v>1045</v>
      </c>
      <c r="D197" s="111" t="s">
        <v>1618</v>
      </c>
    </row>
    <row r="198" spans="1:4">
      <c r="A198" s="82" t="s">
        <v>169</v>
      </c>
      <c r="B198" s="83" t="s">
        <v>596</v>
      </c>
      <c r="C198" s="84" t="s">
        <v>1046</v>
      </c>
      <c r="D198" s="111" t="s">
        <v>1618</v>
      </c>
    </row>
    <row r="199" spans="1:4">
      <c r="A199" s="111" t="s">
        <v>1346</v>
      </c>
      <c r="B199" s="83" t="s">
        <v>596</v>
      </c>
      <c r="C199" s="84" t="s">
        <v>1351</v>
      </c>
      <c r="D199" s="111" t="s">
        <v>1618</v>
      </c>
    </row>
    <row r="200" spans="1:4">
      <c r="A200" s="82" t="s">
        <v>170</v>
      </c>
      <c r="B200" s="83" t="s">
        <v>597</v>
      </c>
      <c r="C200" s="84" t="s">
        <v>1047</v>
      </c>
      <c r="D200" s="111" t="s">
        <v>1618</v>
      </c>
    </row>
    <row r="201" spans="1:4">
      <c r="A201" s="85" t="s">
        <v>1326</v>
      </c>
      <c r="B201" s="51" t="s">
        <v>1333</v>
      </c>
      <c r="C201" s="84" t="s">
        <v>1332</v>
      </c>
      <c r="D201" s="111" t="s">
        <v>1618</v>
      </c>
    </row>
    <row r="202" spans="1:4">
      <c r="A202" s="82" t="s">
        <v>171</v>
      </c>
      <c r="B202" s="83" t="s">
        <v>591</v>
      </c>
      <c r="C202" s="84" t="s">
        <v>1048</v>
      </c>
      <c r="D202" s="111" t="s">
        <v>1618</v>
      </c>
    </row>
    <row r="203" spans="1:4">
      <c r="A203" s="82" t="s">
        <v>172</v>
      </c>
      <c r="B203" s="83" t="s">
        <v>598</v>
      </c>
      <c r="C203" s="84" t="s">
        <v>1049</v>
      </c>
      <c r="D203" s="111" t="s">
        <v>1618</v>
      </c>
    </row>
    <row r="204" spans="1:4">
      <c r="A204" s="112" t="s">
        <v>1516</v>
      </c>
      <c r="B204" s="83" t="s">
        <v>1321</v>
      </c>
      <c r="C204" s="86" t="s">
        <v>1517</v>
      </c>
      <c r="D204" s="111" t="s">
        <v>1618</v>
      </c>
    </row>
    <row r="205" spans="1:4">
      <c r="A205" s="111" t="s">
        <v>1518</v>
      </c>
      <c r="B205" s="83" t="s">
        <v>1321</v>
      </c>
      <c r="C205" s="86" t="s">
        <v>1519</v>
      </c>
      <c r="D205" s="111" t="s">
        <v>1618</v>
      </c>
    </row>
    <row r="206" spans="1:4">
      <c r="A206" s="82" t="s">
        <v>173</v>
      </c>
      <c r="B206" s="83" t="s">
        <v>599</v>
      </c>
      <c r="C206" s="84" t="s">
        <v>1050</v>
      </c>
      <c r="D206" s="111" t="s">
        <v>1618</v>
      </c>
    </row>
    <row r="207" spans="1:4">
      <c r="A207" s="85" t="s">
        <v>1019</v>
      </c>
      <c r="B207" s="51" t="s">
        <v>1020</v>
      </c>
      <c r="C207" s="84" t="s">
        <v>1021</v>
      </c>
      <c r="D207" s="111" t="s">
        <v>1618</v>
      </c>
    </row>
    <row r="208" spans="1:4">
      <c r="A208" s="111" t="s">
        <v>1390</v>
      </c>
      <c r="B208" s="83" t="s">
        <v>601</v>
      </c>
      <c r="C208" s="84" t="s">
        <v>1391</v>
      </c>
      <c r="D208" s="111" t="s">
        <v>1618</v>
      </c>
    </row>
    <row r="209" spans="1:4">
      <c r="A209" s="82" t="s">
        <v>175</v>
      </c>
      <c r="B209" s="83" t="s">
        <v>601</v>
      </c>
      <c r="C209" s="84" t="s">
        <v>1052</v>
      </c>
      <c r="D209" s="111" t="s">
        <v>1618</v>
      </c>
    </row>
    <row r="210" spans="1:4">
      <c r="A210" s="82" t="s">
        <v>174</v>
      </c>
      <c r="B210" s="83" t="s">
        <v>600</v>
      </c>
      <c r="C210" s="84" t="s">
        <v>1051</v>
      </c>
      <c r="D210" s="111" t="s">
        <v>1617</v>
      </c>
    </row>
    <row r="211" spans="1:4">
      <c r="A211" s="85" t="s">
        <v>1022</v>
      </c>
      <c r="B211" s="51" t="s">
        <v>1023</v>
      </c>
      <c r="C211" s="84" t="s">
        <v>1024</v>
      </c>
      <c r="D211" s="111" t="s">
        <v>1618</v>
      </c>
    </row>
    <row r="212" spans="1:4">
      <c r="A212" s="111" t="s">
        <v>1392</v>
      </c>
      <c r="B212" s="51" t="s">
        <v>1023</v>
      </c>
      <c r="C212" s="84" t="s">
        <v>1393</v>
      </c>
      <c r="D212" s="111" t="s">
        <v>1618</v>
      </c>
    </row>
    <row r="213" spans="1:4">
      <c r="A213" s="82" t="s">
        <v>176</v>
      </c>
      <c r="B213" s="83" t="s">
        <v>596</v>
      </c>
      <c r="C213" s="84" t="s">
        <v>1053</v>
      </c>
      <c r="D213" s="111" t="s">
        <v>1618</v>
      </c>
    </row>
    <row r="214" spans="1:4">
      <c r="A214" s="82" t="s">
        <v>177</v>
      </c>
      <c r="B214" s="83" t="s">
        <v>602</v>
      </c>
      <c r="C214" s="84" t="s">
        <v>1054</v>
      </c>
      <c r="D214" s="111" t="s">
        <v>1618</v>
      </c>
    </row>
    <row r="215" spans="1:4">
      <c r="A215" s="85" t="s">
        <v>1025</v>
      </c>
      <c r="B215" s="51" t="s">
        <v>602</v>
      </c>
      <c r="C215" s="84" t="s">
        <v>1026</v>
      </c>
      <c r="D215" s="111" t="s">
        <v>1618</v>
      </c>
    </row>
    <row r="216" spans="1:4">
      <c r="A216" s="82" t="s">
        <v>178</v>
      </c>
      <c r="B216" s="83" t="s">
        <v>603</v>
      </c>
      <c r="C216" s="84" t="s">
        <v>1055</v>
      </c>
      <c r="D216" s="111" t="s">
        <v>1618</v>
      </c>
    </row>
    <row r="217" spans="1:4">
      <c r="A217" s="82" t="s">
        <v>179</v>
      </c>
      <c r="B217" s="83" t="s">
        <v>604</v>
      </c>
      <c r="C217" s="84" t="s">
        <v>1056</v>
      </c>
      <c r="D217" s="111" t="s">
        <v>1618</v>
      </c>
    </row>
    <row r="218" spans="1:4">
      <c r="A218" s="111" t="s">
        <v>1394</v>
      </c>
      <c r="B218" s="83" t="s">
        <v>604</v>
      </c>
      <c r="C218" s="84" t="s">
        <v>1395</v>
      </c>
      <c r="D218" s="111" t="s">
        <v>1618</v>
      </c>
    </row>
    <row r="219" spans="1:4">
      <c r="A219" s="82" t="s">
        <v>180</v>
      </c>
      <c r="B219" s="83" t="s">
        <v>583</v>
      </c>
      <c r="C219" s="84" t="s">
        <v>1057</v>
      </c>
      <c r="D219" s="111" t="s">
        <v>1618</v>
      </c>
    </row>
    <row r="220" spans="1:4">
      <c r="A220" s="85" t="s">
        <v>181</v>
      </c>
      <c r="B220" s="51" t="s">
        <v>1340</v>
      </c>
      <c r="C220" s="84" t="s">
        <v>1027</v>
      </c>
      <c r="D220" s="111" t="s">
        <v>1618</v>
      </c>
    </row>
    <row r="221" spans="1:4">
      <c r="A221" s="82" t="s">
        <v>182</v>
      </c>
      <c r="B221" s="83" t="s">
        <v>584</v>
      </c>
      <c r="C221" s="84" t="s">
        <v>1058</v>
      </c>
      <c r="D221" s="111" t="s">
        <v>1618</v>
      </c>
    </row>
    <row r="222" spans="1:4">
      <c r="A222" s="113" t="s">
        <v>1347</v>
      </c>
      <c r="B222" s="51" t="s">
        <v>609</v>
      </c>
      <c r="C222" s="86" t="s">
        <v>1349</v>
      </c>
      <c r="D222" s="111" t="s">
        <v>1618</v>
      </c>
    </row>
    <row r="223" spans="1:4">
      <c r="A223" s="82" t="s">
        <v>183</v>
      </c>
      <c r="B223" s="83" t="s">
        <v>605</v>
      </c>
      <c r="C223" s="84" t="s">
        <v>1059</v>
      </c>
      <c r="D223" s="111" t="s">
        <v>1618</v>
      </c>
    </row>
    <row r="224" spans="1:4">
      <c r="A224" s="111" t="s">
        <v>1348</v>
      </c>
      <c r="B224" s="83" t="s">
        <v>605</v>
      </c>
      <c r="C224" s="84" t="s">
        <v>1350</v>
      </c>
      <c r="D224" s="111" t="s">
        <v>1618</v>
      </c>
    </row>
    <row r="225" spans="1:4">
      <c r="A225" s="82" t="s">
        <v>184</v>
      </c>
      <c r="B225" s="83" t="s">
        <v>606</v>
      </c>
      <c r="C225" s="84" t="s">
        <v>1060</v>
      </c>
      <c r="D225" s="111" t="s">
        <v>1618</v>
      </c>
    </row>
    <row r="226" spans="1:4">
      <c r="A226" s="82" t="s">
        <v>185</v>
      </c>
      <c r="B226" s="83" t="s">
        <v>607</v>
      </c>
      <c r="C226" s="84" t="s">
        <v>1061</v>
      </c>
      <c r="D226" s="111" t="s">
        <v>1618</v>
      </c>
    </row>
    <row r="227" spans="1:4">
      <c r="A227" s="82" t="s">
        <v>186</v>
      </c>
      <c r="B227" s="83" t="s">
        <v>608</v>
      </c>
      <c r="C227" s="84" t="s">
        <v>1062</v>
      </c>
      <c r="D227" s="111" t="s">
        <v>1618</v>
      </c>
    </row>
    <row r="228" spans="1:4">
      <c r="A228" s="85" t="s">
        <v>187</v>
      </c>
      <c r="B228" s="51" t="s">
        <v>609</v>
      </c>
      <c r="C228" s="84" t="s">
        <v>1028</v>
      </c>
      <c r="D228" s="111" t="s">
        <v>1618</v>
      </c>
    </row>
    <row r="229" spans="1:4">
      <c r="A229" s="82" t="s">
        <v>188</v>
      </c>
      <c r="B229" s="83" t="s">
        <v>610</v>
      </c>
      <c r="C229" s="84" t="s">
        <v>1063</v>
      </c>
      <c r="D229" s="111" t="s">
        <v>1618</v>
      </c>
    </row>
    <row r="230" spans="1:4">
      <c r="A230" s="82" t="s">
        <v>189</v>
      </c>
      <c r="B230" s="83" t="s">
        <v>611</v>
      </c>
      <c r="C230" s="84" t="s">
        <v>1064</v>
      </c>
      <c r="D230" s="111" t="s">
        <v>1617</v>
      </c>
    </row>
    <row r="231" spans="1:4">
      <c r="A231" s="82" t="s">
        <v>196</v>
      </c>
      <c r="B231" s="83" t="s">
        <v>617</v>
      </c>
      <c r="C231" s="84" t="s">
        <v>1069</v>
      </c>
      <c r="D231" s="111" t="s">
        <v>1617</v>
      </c>
    </row>
    <row r="232" spans="1:4">
      <c r="A232" s="82" t="s">
        <v>190</v>
      </c>
      <c r="B232" s="83" t="s">
        <v>612</v>
      </c>
      <c r="C232" s="84" t="s">
        <v>1065</v>
      </c>
      <c r="D232" s="111" t="s">
        <v>1618</v>
      </c>
    </row>
    <row r="233" spans="1:4">
      <c r="A233" s="111" t="s">
        <v>1665</v>
      </c>
      <c r="B233" s="171" t="s">
        <v>596</v>
      </c>
      <c r="C233" s="112" t="s">
        <v>1666</v>
      </c>
      <c r="D233" s="111" t="s">
        <v>1618</v>
      </c>
    </row>
    <row r="234" spans="1:4">
      <c r="A234" s="82" t="s">
        <v>1316</v>
      </c>
      <c r="B234" s="83" t="s">
        <v>1321</v>
      </c>
      <c r="C234" s="86" t="s">
        <v>1322</v>
      </c>
      <c r="D234" s="111" t="s">
        <v>1618</v>
      </c>
    </row>
    <row r="235" spans="1:4">
      <c r="A235" s="111" t="s">
        <v>1396</v>
      </c>
      <c r="B235" s="83" t="s">
        <v>1321</v>
      </c>
      <c r="C235" s="84" t="s">
        <v>1397</v>
      </c>
      <c r="D235" s="111" t="s">
        <v>1618</v>
      </c>
    </row>
    <row r="236" spans="1:4">
      <c r="A236" s="85" t="s">
        <v>155</v>
      </c>
      <c r="B236" s="51" t="s">
        <v>583</v>
      </c>
      <c r="C236" s="84" t="s">
        <v>1029</v>
      </c>
      <c r="D236" s="111" t="s">
        <v>1618</v>
      </c>
    </row>
    <row r="237" spans="1:4">
      <c r="A237" s="85" t="s">
        <v>157</v>
      </c>
      <c r="B237" s="51" t="s">
        <v>585</v>
      </c>
      <c r="C237" s="84" t="s">
        <v>1030</v>
      </c>
      <c r="D237" s="111" t="s">
        <v>1618</v>
      </c>
    </row>
    <row r="238" spans="1:4">
      <c r="A238" s="85" t="s">
        <v>156</v>
      </c>
      <c r="B238" s="51" t="s">
        <v>584</v>
      </c>
      <c r="C238" s="84" t="s">
        <v>1031</v>
      </c>
      <c r="D238" s="111" t="s">
        <v>1618</v>
      </c>
    </row>
    <row r="239" spans="1:4">
      <c r="A239" s="82" t="s">
        <v>191</v>
      </c>
      <c r="B239" s="83" t="s">
        <v>613</v>
      </c>
      <c r="C239" s="84" t="s">
        <v>1066</v>
      </c>
      <c r="D239" s="111" t="s">
        <v>1618</v>
      </c>
    </row>
    <row r="240" spans="1:4">
      <c r="A240" s="82" t="s">
        <v>197</v>
      </c>
      <c r="B240" s="83" t="s">
        <v>618</v>
      </c>
      <c r="C240" s="84" t="s">
        <v>1070</v>
      </c>
      <c r="D240" s="111" t="s">
        <v>1617</v>
      </c>
    </row>
    <row r="241" spans="1:4">
      <c r="A241" s="82" t="s">
        <v>154</v>
      </c>
      <c r="B241" s="83" t="s">
        <v>582</v>
      </c>
      <c r="C241" s="84" t="s">
        <v>1039</v>
      </c>
      <c r="D241" s="111" t="s">
        <v>1618</v>
      </c>
    </row>
    <row r="242" spans="1:4">
      <c r="A242" s="85" t="s">
        <v>192</v>
      </c>
      <c r="B242" s="51" t="s">
        <v>614</v>
      </c>
      <c r="C242" s="84" t="s">
        <v>1032</v>
      </c>
      <c r="D242" s="111" t="s">
        <v>1618</v>
      </c>
    </row>
    <row r="243" spans="1:4">
      <c r="A243" s="85" t="s">
        <v>193</v>
      </c>
      <c r="B243" s="51" t="s">
        <v>609</v>
      </c>
      <c r="C243" s="84" t="s">
        <v>1033</v>
      </c>
      <c r="D243" s="111" t="s">
        <v>1618</v>
      </c>
    </row>
    <row r="244" spans="1:4">
      <c r="A244" s="82" t="s">
        <v>194</v>
      </c>
      <c r="B244" s="83" t="s">
        <v>615</v>
      </c>
      <c r="C244" s="84" t="s">
        <v>1067</v>
      </c>
      <c r="D244" s="111" t="s">
        <v>1618</v>
      </c>
    </row>
    <row r="245" spans="1:4">
      <c r="A245" s="82" t="s">
        <v>195</v>
      </c>
      <c r="B245" s="83" t="s">
        <v>616</v>
      </c>
      <c r="C245" s="84" t="s">
        <v>1068</v>
      </c>
      <c r="D245" s="111" t="s">
        <v>1617</v>
      </c>
    </row>
    <row r="246" spans="1:4">
      <c r="A246" s="85" t="s">
        <v>159</v>
      </c>
      <c r="B246" s="51" t="s">
        <v>587</v>
      </c>
      <c r="C246" s="84" t="s">
        <v>1034</v>
      </c>
      <c r="D246" s="111" t="s">
        <v>1618</v>
      </c>
    </row>
    <row r="247" spans="1:4">
      <c r="A247" s="82" t="s">
        <v>160</v>
      </c>
      <c r="B247" s="83" t="s">
        <v>588</v>
      </c>
      <c r="C247" s="84" t="s">
        <v>1040</v>
      </c>
      <c r="D247" s="111" t="s">
        <v>1618</v>
      </c>
    </row>
    <row r="248" spans="1:4">
      <c r="A248" s="85" t="s">
        <v>158</v>
      </c>
      <c r="B248" s="51" t="s">
        <v>586</v>
      </c>
      <c r="C248" s="84" t="s">
        <v>1035</v>
      </c>
      <c r="D248" s="111" t="s">
        <v>1618</v>
      </c>
    </row>
    <row r="249" spans="1:4">
      <c r="A249" s="85" t="s">
        <v>161</v>
      </c>
      <c r="B249" s="51" t="s">
        <v>589</v>
      </c>
      <c r="C249" s="84" t="s">
        <v>1036</v>
      </c>
      <c r="D249" s="111" t="s">
        <v>1618</v>
      </c>
    </row>
    <row r="250" spans="1:4">
      <c r="A250" s="82" t="s">
        <v>162</v>
      </c>
      <c r="B250" s="83" t="s">
        <v>590</v>
      </c>
      <c r="C250" s="84" t="s">
        <v>1041</v>
      </c>
      <c r="D250" s="111" t="s">
        <v>1618</v>
      </c>
    </row>
    <row r="251" spans="1:4">
      <c r="A251" s="85" t="s">
        <v>163</v>
      </c>
      <c r="B251" s="51" t="s">
        <v>591</v>
      </c>
      <c r="C251" s="84" t="s">
        <v>1037</v>
      </c>
      <c r="D251" s="111" t="s">
        <v>1618</v>
      </c>
    </row>
    <row r="252" spans="1:4">
      <c r="A252" s="82" t="s">
        <v>164</v>
      </c>
      <c r="B252" s="83" t="s">
        <v>592</v>
      </c>
      <c r="C252" s="84" t="s">
        <v>1042</v>
      </c>
      <c r="D252" s="111" t="s">
        <v>1618</v>
      </c>
    </row>
    <row r="253" spans="1:4">
      <c r="A253" s="85" t="s">
        <v>202</v>
      </c>
      <c r="B253" s="51" t="s">
        <v>807</v>
      </c>
      <c r="C253" s="84" t="s">
        <v>1038</v>
      </c>
      <c r="D253" s="111" t="s">
        <v>1656</v>
      </c>
    </row>
    <row r="254" spans="1:4">
      <c r="A254" s="82" t="s">
        <v>203</v>
      </c>
      <c r="B254" s="51" t="s">
        <v>808</v>
      </c>
      <c r="C254" s="84" t="s">
        <v>1276</v>
      </c>
      <c r="D254" s="111" t="s">
        <v>1656</v>
      </c>
    </row>
    <row r="255" spans="1:4">
      <c r="A255" s="82" t="s">
        <v>10</v>
      </c>
      <c r="B255" s="51" t="s">
        <v>478</v>
      </c>
      <c r="C255" s="84" t="s">
        <v>927</v>
      </c>
      <c r="D255" s="111" t="s">
        <v>1667</v>
      </c>
    </row>
    <row r="256" spans="1:4">
      <c r="A256" s="82" t="s">
        <v>72</v>
      </c>
      <c r="B256" s="83" t="s">
        <v>524</v>
      </c>
      <c r="C256" s="84" t="s">
        <v>969</v>
      </c>
      <c r="D256" s="111" t="s">
        <v>1667</v>
      </c>
    </row>
    <row r="257" spans="1:4">
      <c r="A257" s="111" t="s">
        <v>1489</v>
      </c>
      <c r="B257" s="83" t="s">
        <v>1495</v>
      </c>
      <c r="C257" s="112" t="s">
        <v>1494</v>
      </c>
      <c r="D257" s="111" t="s">
        <v>1617</v>
      </c>
    </row>
    <row r="258" spans="1:4">
      <c r="A258" s="82" t="s">
        <v>14</v>
      </c>
      <c r="B258" s="83" t="s">
        <v>482</v>
      </c>
      <c r="C258" s="84" t="s">
        <v>929</v>
      </c>
      <c r="D258" s="111" t="s">
        <v>1667</v>
      </c>
    </row>
    <row r="259" spans="1:4">
      <c r="A259" s="82" t="s">
        <v>1334</v>
      </c>
      <c r="B259" s="83" t="s">
        <v>1338</v>
      </c>
      <c r="C259" s="84" t="s">
        <v>1339</v>
      </c>
      <c r="D259" s="111" t="s">
        <v>1667</v>
      </c>
    </row>
    <row r="260" spans="1:4">
      <c r="A260" s="82" t="s">
        <v>15</v>
      </c>
      <c r="B260" s="83" t="s">
        <v>483</v>
      </c>
      <c r="C260" s="84" t="s">
        <v>930</v>
      </c>
      <c r="D260" s="111" t="s">
        <v>1667</v>
      </c>
    </row>
    <row r="261" spans="1:4">
      <c r="A261" s="82" t="s">
        <v>16</v>
      </c>
      <c r="B261" s="83" t="s">
        <v>483</v>
      </c>
      <c r="C261" s="84" t="s">
        <v>931</v>
      </c>
      <c r="D261" s="111" t="s">
        <v>1667</v>
      </c>
    </row>
    <row r="262" spans="1:4">
      <c r="A262" s="82" t="s">
        <v>17</v>
      </c>
      <c r="B262" s="83" t="s">
        <v>484</v>
      </c>
      <c r="C262" s="84" t="s">
        <v>932</v>
      </c>
      <c r="D262" s="111" t="s">
        <v>1667</v>
      </c>
    </row>
    <row r="263" spans="1:4">
      <c r="A263" s="82" t="s">
        <v>18</v>
      </c>
      <c r="B263" s="83" t="s">
        <v>484</v>
      </c>
      <c r="C263" s="84" t="s">
        <v>933</v>
      </c>
      <c r="D263" s="111" t="s">
        <v>1667</v>
      </c>
    </row>
    <row r="264" spans="1:4">
      <c r="A264" s="111" t="s">
        <v>1398</v>
      </c>
      <c r="B264" s="83" t="s">
        <v>1399</v>
      </c>
      <c r="C264" s="84" t="s">
        <v>1400</v>
      </c>
      <c r="D264" s="111" t="s">
        <v>1667</v>
      </c>
    </row>
    <row r="265" spans="1:4">
      <c r="A265" s="54" t="s">
        <v>1550</v>
      </c>
      <c r="B265" s="83" t="s">
        <v>1399</v>
      </c>
      <c r="C265" s="112" t="s">
        <v>1552</v>
      </c>
      <c r="D265" s="111" t="s">
        <v>1667</v>
      </c>
    </row>
    <row r="266" spans="1:4">
      <c r="A266" s="82" t="s">
        <v>19</v>
      </c>
      <c r="B266" s="83" t="s">
        <v>484</v>
      </c>
      <c r="C266" s="84" t="s">
        <v>934</v>
      </c>
      <c r="D266" s="111" t="s">
        <v>1667</v>
      </c>
    </row>
    <row r="267" spans="1:4">
      <c r="A267" s="82" t="s">
        <v>20</v>
      </c>
      <c r="B267" s="83" t="s">
        <v>485</v>
      </c>
      <c r="C267" s="84" t="s">
        <v>935</v>
      </c>
      <c r="D267" s="111" t="s">
        <v>1667</v>
      </c>
    </row>
    <row r="268" spans="1:4">
      <c r="A268" s="82" t="s">
        <v>1325</v>
      </c>
      <c r="B268" s="83" t="s">
        <v>1330</v>
      </c>
      <c r="C268" s="84" t="s">
        <v>1331</v>
      </c>
      <c r="D268" s="111" t="s">
        <v>1667</v>
      </c>
    </row>
    <row r="269" spans="1:4">
      <c r="A269" s="85" t="s">
        <v>21</v>
      </c>
      <c r="B269" s="51" t="s">
        <v>486</v>
      </c>
      <c r="C269" s="84" t="s">
        <v>866</v>
      </c>
      <c r="D269" s="111" t="s">
        <v>1667</v>
      </c>
    </row>
    <row r="270" spans="1:4">
      <c r="A270" s="82" t="s">
        <v>22</v>
      </c>
      <c r="B270" s="83" t="s">
        <v>487</v>
      </c>
      <c r="C270" s="84" t="s">
        <v>936</v>
      </c>
      <c r="D270" s="111" t="s">
        <v>1667</v>
      </c>
    </row>
    <row r="271" spans="1:4">
      <c r="A271" s="82" t="s">
        <v>23</v>
      </c>
      <c r="B271" s="83" t="s">
        <v>487</v>
      </c>
      <c r="C271" s="84" t="s">
        <v>937</v>
      </c>
      <c r="D271" s="111" t="s">
        <v>1667</v>
      </c>
    </row>
    <row r="272" spans="1:4">
      <c r="A272" s="82" t="s">
        <v>24</v>
      </c>
      <c r="B272" s="83" t="s">
        <v>488</v>
      </c>
      <c r="C272" s="84" t="s">
        <v>938</v>
      </c>
      <c r="D272" s="111" t="s">
        <v>1667</v>
      </c>
    </row>
    <row r="273" spans="1:4">
      <c r="A273" s="82" t="s">
        <v>25</v>
      </c>
      <c r="B273" s="83" t="s">
        <v>488</v>
      </c>
      <c r="C273" s="84" t="s">
        <v>939</v>
      </c>
      <c r="D273" s="111" t="s">
        <v>1667</v>
      </c>
    </row>
    <row r="274" spans="1:4">
      <c r="A274" s="82" t="s">
        <v>26</v>
      </c>
      <c r="B274" s="83" t="s">
        <v>487</v>
      </c>
      <c r="C274" s="84" t="s">
        <v>940</v>
      </c>
      <c r="D274" s="111" t="s">
        <v>1667</v>
      </c>
    </row>
    <row r="275" spans="1:4">
      <c r="A275" s="85" t="s">
        <v>12</v>
      </c>
      <c r="B275" s="51" t="s">
        <v>480</v>
      </c>
      <c r="C275" s="84" t="s">
        <v>867</v>
      </c>
      <c r="D275" s="111" t="s">
        <v>1667</v>
      </c>
    </row>
    <row r="276" spans="1:4">
      <c r="A276" s="85" t="s">
        <v>13</v>
      </c>
      <c r="B276" s="51" t="s">
        <v>481</v>
      </c>
      <c r="C276" s="84" t="s">
        <v>868</v>
      </c>
      <c r="D276" s="111" t="s">
        <v>1667</v>
      </c>
    </row>
    <row r="277" spans="1:4">
      <c r="A277" s="82" t="s">
        <v>11</v>
      </c>
      <c r="B277" s="51" t="s">
        <v>479</v>
      </c>
      <c r="C277" s="84" t="s">
        <v>928</v>
      </c>
      <c r="D277" s="111" t="s">
        <v>1667</v>
      </c>
    </row>
    <row r="278" spans="1:4">
      <c r="A278" s="85" t="s">
        <v>27</v>
      </c>
      <c r="B278" s="51" t="s">
        <v>489</v>
      </c>
      <c r="C278" s="84" t="s">
        <v>869</v>
      </c>
      <c r="D278" s="111" t="s">
        <v>1667</v>
      </c>
    </row>
    <row r="279" spans="1:4">
      <c r="A279" s="85" t="s">
        <v>28</v>
      </c>
      <c r="B279" s="51" t="s">
        <v>490</v>
      </c>
      <c r="C279" s="84" t="s">
        <v>870</v>
      </c>
      <c r="D279" s="111" t="s">
        <v>1667</v>
      </c>
    </row>
    <row r="280" spans="1:4">
      <c r="A280" s="85" t="s">
        <v>29</v>
      </c>
      <c r="B280" s="51" t="s">
        <v>491</v>
      </c>
      <c r="C280" s="84" t="s">
        <v>871</v>
      </c>
      <c r="D280" s="111" t="s">
        <v>1667</v>
      </c>
    </row>
    <row r="281" spans="1:4">
      <c r="A281" s="85" t="s">
        <v>30</v>
      </c>
      <c r="B281" s="51" t="s">
        <v>490</v>
      </c>
      <c r="C281" s="84" t="s">
        <v>872</v>
      </c>
      <c r="D281" s="111" t="s">
        <v>1667</v>
      </c>
    </row>
    <row r="282" spans="1:4">
      <c r="A282" s="85" t="s">
        <v>31</v>
      </c>
      <c r="B282" s="51" t="s">
        <v>491</v>
      </c>
      <c r="C282" s="84" t="s">
        <v>873</v>
      </c>
      <c r="D282" s="111" t="s">
        <v>1667</v>
      </c>
    </row>
    <row r="283" spans="1:4">
      <c r="A283" s="82" t="s">
        <v>32</v>
      </c>
      <c r="B283" s="83" t="s">
        <v>492</v>
      </c>
      <c r="C283" s="84" t="s">
        <v>941</v>
      </c>
      <c r="D283" s="111" t="s">
        <v>1667</v>
      </c>
    </row>
    <row r="284" spans="1:4">
      <c r="A284" s="82" t="s">
        <v>33</v>
      </c>
      <c r="B284" s="83" t="s">
        <v>493</v>
      </c>
      <c r="C284" s="84" t="s">
        <v>942</v>
      </c>
      <c r="D284" s="111" t="s">
        <v>1667</v>
      </c>
    </row>
    <row r="285" spans="1:4">
      <c r="A285" s="82" t="s">
        <v>34</v>
      </c>
      <c r="B285" s="83" t="s">
        <v>494</v>
      </c>
      <c r="C285" s="84" t="s">
        <v>943</v>
      </c>
      <c r="D285" s="111" t="s">
        <v>1667</v>
      </c>
    </row>
    <row r="286" spans="1:4">
      <c r="A286" s="82" t="s">
        <v>35</v>
      </c>
      <c r="B286" s="83" t="s">
        <v>493</v>
      </c>
      <c r="C286" s="84" t="s">
        <v>944</v>
      </c>
      <c r="D286" s="111" t="s">
        <v>1667</v>
      </c>
    </row>
    <row r="287" spans="1:4">
      <c r="A287" s="82" t="s">
        <v>36</v>
      </c>
      <c r="B287" s="83" t="s">
        <v>491</v>
      </c>
      <c r="C287" s="84" t="s">
        <v>945</v>
      </c>
      <c r="D287" s="111" t="s">
        <v>1667</v>
      </c>
    </row>
    <row r="288" spans="1:4">
      <c r="A288" s="82" t="s">
        <v>37</v>
      </c>
      <c r="B288" s="83" t="s">
        <v>495</v>
      </c>
      <c r="C288" s="84" t="s">
        <v>946</v>
      </c>
      <c r="D288" s="111" t="s">
        <v>1667</v>
      </c>
    </row>
    <row r="289" spans="1:4">
      <c r="A289" s="85" t="s">
        <v>38</v>
      </c>
      <c r="B289" s="51" t="s">
        <v>496</v>
      </c>
      <c r="C289" s="84" t="s">
        <v>874</v>
      </c>
      <c r="D289" s="111" t="s">
        <v>1667</v>
      </c>
    </row>
    <row r="290" spans="1:4">
      <c r="A290" s="85" t="s">
        <v>39</v>
      </c>
      <c r="B290" s="51" t="s">
        <v>497</v>
      </c>
      <c r="C290" s="84" t="s">
        <v>875</v>
      </c>
      <c r="D290" s="111" t="s">
        <v>1667</v>
      </c>
    </row>
    <row r="291" spans="1:4">
      <c r="A291" s="85" t="s">
        <v>40</v>
      </c>
      <c r="B291" s="51" t="s">
        <v>498</v>
      </c>
      <c r="C291" s="84" t="s">
        <v>876</v>
      </c>
      <c r="D291" s="111" t="s">
        <v>1667</v>
      </c>
    </row>
    <row r="292" spans="1:4">
      <c r="A292" s="85" t="s">
        <v>41</v>
      </c>
      <c r="B292" s="51" t="s">
        <v>499</v>
      </c>
      <c r="C292" s="84" t="s">
        <v>877</v>
      </c>
      <c r="D292" s="111" t="s">
        <v>1667</v>
      </c>
    </row>
    <row r="293" spans="1:4">
      <c r="A293" s="82" t="s">
        <v>42</v>
      </c>
      <c r="B293" s="83" t="s">
        <v>500</v>
      </c>
      <c r="C293" s="84" t="s">
        <v>947</v>
      </c>
      <c r="D293" s="111" t="s">
        <v>1667</v>
      </c>
    </row>
    <row r="294" spans="1:4">
      <c r="A294" s="85" t="s">
        <v>43</v>
      </c>
      <c r="B294" s="51" t="s">
        <v>495</v>
      </c>
      <c r="C294" s="84" t="s">
        <v>878</v>
      </c>
      <c r="D294" s="111" t="s">
        <v>1667</v>
      </c>
    </row>
    <row r="295" spans="1:4">
      <c r="A295" s="85" t="s">
        <v>44</v>
      </c>
      <c r="B295" s="51" t="s">
        <v>501</v>
      </c>
      <c r="C295" s="84" t="s">
        <v>879</v>
      </c>
      <c r="D295" s="111" t="s">
        <v>1667</v>
      </c>
    </row>
    <row r="296" spans="1:4">
      <c r="A296" s="85" t="s">
        <v>45</v>
      </c>
      <c r="B296" s="51" t="s">
        <v>502</v>
      </c>
      <c r="C296" s="84" t="s">
        <v>880</v>
      </c>
      <c r="D296" s="111" t="s">
        <v>1667</v>
      </c>
    </row>
    <row r="297" spans="1:4">
      <c r="A297" s="82" t="s">
        <v>46</v>
      </c>
      <c r="B297" s="83" t="s">
        <v>503</v>
      </c>
      <c r="C297" s="84" t="s">
        <v>948</v>
      </c>
      <c r="D297" s="111" t="s">
        <v>1667</v>
      </c>
    </row>
    <row r="298" spans="1:4">
      <c r="A298" s="82" t="s">
        <v>47</v>
      </c>
      <c r="B298" s="83" t="s">
        <v>504</v>
      </c>
      <c r="C298" s="84" t="s">
        <v>949</v>
      </c>
      <c r="D298" s="111" t="s">
        <v>1667</v>
      </c>
    </row>
    <row r="299" spans="1:4">
      <c r="A299" s="82" t="s">
        <v>49</v>
      </c>
      <c r="B299" s="83" t="s">
        <v>506</v>
      </c>
      <c r="C299" s="84" t="s">
        <v>950</v>
      </c>
      <c r="D299" s="111" t="s">
        <v>1667</v>
      </c>
    </row>
    <row r="300" spans="1:4">
      <c r="A300" s="111" t="s">
        <v>1401</v>
      </c>
      <c r="B300" s="83" t="s">
        <v>883</v>
      </c>
      <c r="C300" s="84" t="s">
        <v>1402</v>
      </c>
      <c r="D300" s="111" t="s">
        <v>1667</v>
      </c>
    </row>
    <row r="301" spans="1:4">
      <c r="A301" s="85" t="s">
        <v>48</v>
      </c>
      <c r="B301" s="51" t="s">
        <v>505</v>
      </c>
      <c r="C301" s="84" t="s">
        <v>881</v>
      </c>
      <c r="D301" s="111" t="s">
        <v>1667</v>
      </c>
    </row>
    <row r="302" spans="1:4">
      <c r="A302" s="85" t="s">
        <v>50</v>
      </c>
      <c r="B302" s="51" t="s">
        <v>506</v>
      </c>
      <c r="C302" s="84" t="s">
        <v>882</v>
      </c>
      <c r="D302" s="111" t="s">
        <v>1667</v>
      </c>
    </row>
    <row r="303" spans="1:4">
      <c r="A303" s="85" t="s">
        <v>51</v>
      </c>
      <c r="B303" s="51" t="s">
        <v>883</v>
      </c>
      <c r="C303" s="84" t="s">
        <v>884</v>
      </c>
      <c r="D303" s="111" t="s">
        <v>1667</v>
      </c>
    </row>
    <row r="304" spans="1:4">
      <c r="A304" s="82" t="s">
        <v>69</v>
      </c>
      <c r="B304" s="83" t="s">
        <v>521</v>
      </c>
      <c r="C304" s="84" t="s">
        <v>1559</v>
      </c>
      <c r="D304" s="111" t="s">
        <v>1657</v>
      </c>
    </row>
    <row r="305" spans="1:4">
      <c r="A305" s="82" t="s">
        <v>70</v>
      </c>
      <c r="B305" s="83" t="s">
        <v>522</v>
      </c>
      <c r="C305" s="84" t="s">
        <v>967</v>
      </c>
      <c r="D305" s="111" t="s">
        <v>1657</v>
      </c>
    </row>
    <row r="306" spans="1:4">
      <c r="A306" s="82" t="s">
        <v>71</v>
      </c>
      <c r="B306" s="83" t="s">
        <v>523</v>
      </c>
      <c r="C306" s="84" t="s">
        <v>968</v>
      </c>
      <c r="D306" s="111" t="s">
        <v>1657</v>
      </c>
    </row>
    <row r="307" spans="1:4">
      <c r="A307" s="82" t="s">
        <v>67</v>
      </c>
      <c r="B307" s="83" t="s">
        <v>519</v>
      </c>
      <c r="C307" s="84" t="s">
        <v>965</v>
      </c>
      <c r="D307" s="111" t="s">
        <v>1657</v>
      </c>
    </row>
    <row r="308" spans="1:4">
      <c r="A308" s="82" t="s">
        <v>68</v>
      </c>
      <c r="B308" s="83" t="s">
        <v>520</v>
      </c>
      <c r="C308" s="84" t="s">
        <v>966</v>
      </c>
      <c r="D308" s="111" t="s">
        <v>1657</v>
      </c>
    </row>
    <row r="309" spans="1:4">
      <c r="A309" s="82" t="s">
        <v>279</v>
      </c>
      <c r="B309" s="83" t="s">
        <v>691</v>
      </c>
      <c r="C309" s="84" t="s">
        <v>1143</v>
      </c>
      <c r="D309" s="111" t="s">
        <v>1668</v>
      </c>
    </row>
    <row r="310" spans="1:4">
      <c r="A310" s="82" t="s">
        <v>278</v>
      </c>
      <c r="B310" s="83" t="s">
        <v>690</v>
      </c>
      <c r="C310" s="84" t="s">
        <v>1142</v>
      </c>
      <c r="D310" s="111" t="s">
        <v>1668</v>
      </c>
    </row>
    <row r="311" spans="1:4">
      <c r="A311" s="111" t="s">
        <v>1520</v>
      </c>
      <c r="B311" s="83" t="s">
        <v>1521</v>
      </c>
      <c r="C311" s="86" t="s">
        <v>1522</v>
      </c>
      <c r="D311" s="111" t="s">
        <v>1668</v>
      </c>
    </row>
    <row r="312" spans="1:4">
      <c r="A312" s="82" t="s">
        <v>281</v>
      </c>
      <c r="B312" s="83" t="s">
        <v>693</v>
      </c>
      <c r="C312" s="84" t="s">
        <v>1145</v>
      </c>
      <c r="D312" s="111" t="s">
        <v>1668</v>
      </c>
    </row>
    <row r="313" spans="1:4">
      <c r="A313" s="82" t="s">
        <v>280</v>
      </c>
      <c r="B313" s="83" t="s">
        <v>692</v>
      </c>
      <c r="C313" s="84" t="s">
        <v>1144</v>
      </c>
      <c r="D313" s="111" t="s">
        <v>1668</v>
      </c>
    </row>
    <row r="314" spans="1:4">
      <c r="A314" s="82" t="s">
        <v>229</v>
      </c>
      <c r="B314" s="83" t="s">
        <v>643</v>
      </c>
      <c r="C314" s="84" t="s">
        <v>1100</v>
      </c>
      <c r="D314" s="111" t="s">
        <v>1668</v>
      </c>
    </row>
    <row r="315" spans="1:4">
      <c r="A315" s="82" t="s">
        <v>230</v>
      </c>
      <c r="B315" s="83" t="s">
        <v>644</v>
      </c>
      <c r="C315" s="84" t="s">
        <v>1101</v>
      </c>
      <c r="D315" s="111" t="s">
        <v>1668</v>
      </c>
    </row>
    <row r="316" spans="1:4">
      <c r="A316" s="82" t="s">
        <v>231</v>
      </c>
      <c r="B316" s="83" t="s">
        <v>644</v>
      </c>
      <c r="C316" s="84" t="s">
        <v>1102</v>
      </c>
      <c r="D316" s="111" t="s">
        <v>1668</v>
      </c>
    </row>
    <row r="317" spans="1:4">
      <c r="A317" s="82" t="s">
        <v>238</v>
      </c>
      <c r="B317" s="83" t="s">
        <v>651</v>
      </c>
      <c r="C317" s="84" t="s">
        <v>1107</v>
      </c>
      <c r="D317" s="111" t="s">
        <v>1668</v>
      </c>
    </row>
    <row r="318" spans="1:4">
      <c r="A318" s="82" t="s">
        <v>239</v>
      </c>
      <c r="B318" s="83" t="s">
        <v>652</v>
      </c>
      <c r="C318" s="84" t="s">
        <v>1108</v>
      </c>
      <c r="D318" s="111" t="s">
        <v>1668</v>
      </c>
    </row>
    <row r="319" spans="1:4">
      <c r="A319" s="82" t="s">
        <v>240</v>
      </c>
      <c r="B319" s="83" t="s">
        <v>653</v>
      </c>
      <c r="C319" s="84" t="s">
        <v>1109</v>
      </c>
      <c r="D319" s="111" t="s">
        <v>1668</v>
      </c>
    </row>
    <row r="320" spans="1:4">
      <c r="A320" s="82" t="s">
        <v>226</v>
      </c>
      <c r="B320" s="51" t="s">
        <v>640</v>
      </c>
      <c r="C320" s="84" t="s">
        <v>1097</v>
      </c>
      <c r="D320" s="111" t="s">
        <v>1668</v>
      </c>
    </row>
    <row r="321" spans="1:4">
      <c r="A321" s="82" t="s">
        <v>227</v>
      </c>
      <c r="B321" s="51" t="s">
        <v>641</v>
      </c>
      <c r="C321" s="84" t="s">
        <v>1098</v>
      </c>
      <c r="D321" s="111" t="s">
        <v>1668</v>
      </c>
    </row>
    <row r="322" spans="1:4">
      <c r="A322" s="82" t="s">
        <v>228</v>
      </c>
      <c r="B322" s="51" t="s">
        <v>642</v>
      </c>
      <c r="C322" s="84" t="s">
        <v>1099</v>
      </c>
      <c r="D322" s="111" t="s">
        <v>1668</v>
      </c>
    </row>
    <row r="323" spans="1:4">
      <c r="A323" s="85" t="s">
        <v>232</v>
      </c>
      <c r="B323" s="51" t="s">
        <v>645</v>
      </c>
      <c r="C323" s="84" t="s">
        <v>1090</v>
      </c>
      <c r="D323" s="111" t="s">
        <v>1668</v>
      </c>
    </row>
    <row r="324" spans="1:4">
      <c r="A324" s="82" t="s">
        <v>246</v>
      </c>
      <c r="B324" s="83" t="s">
        <v>659</v>
      </c>
      <c r="C324" s="84" t="s">
        <v>1111</v>
      </c>
      <c r="D324" s="111" t="s">
        <v>1668</v>
      </c>
    </row>
    <row r="325" spans="1:4">
      <c r="A325" s="82" t="s">
        <v>234</v>
      </c>
      <c r="B325" s="83" t="s">
        <v>647</v>
      </c>
      <c r="C325" s="84" t="s">
        <v>1104</v>
      </c>
      <c r="D325" s="111" t="s">
        <v>1668</v>
      </c>
    </row>
    <row r="326" spans="1:4">
      <c r="A326" s="82" t="s">
        <v>235</v>
      </c>
      <c r="B326" s="83" t="s">
        <v>648</v>
      </c>
      <c r="C326" s="84" t="s">
        <v>1105</v>
      </c>
      <c r="D326" s="111" t="s">
        <v>1668</v>
      </c>
    </row>
    <row r="327" spans="1:4">
      <c r="A327" s="85" t="s">
        <v>236</v>
      </c>
      <c r="B327" s="51" t="s">
        <v>649</v>
      </c>
      <c r="C327" s="84" t="s">
        <v>1091</v>
      </c>
      <c r="D327" s="111" t="s">
        <v>1668</v>
      </c>
    </row>
    <row r="328" spans="1:4">
      <c r="A328" s="111" t="s">
        <v>1403</v>
      </c>
      <c r="B328" s="51" t="s">
        <v>1404</v>
      </c>
      <c r="C328" s="84" t="s">
        <v>1405</v>
      </c>
      <c r="D328" s="111" t="s">
        <v>1668</v>
      </c>
    </row>
    <row r="329" spans="1:4">
      <c r="A329" s="82" t="s">
        <v>237</v>
      </c>
      <c r="B329" s="83" t="s">
        <v>650</v>
      </c>
      <c r="C329" s="84" t="s">
        <v>1106</v>
      </c>
      <c r="D329" s="111" t="s">
        <v>1668</v>
      </c>
    </row>
    <row r="330" spans="1:4">
      <c r="A330" s="82" t="s">
        <v>233</v>
      </c>
      <c r="B330" s="83" t="s">
        <v>646</v>
      </c>
      <c r="C330" s="84" t="s">
        <v>1103</v>
      </c>
      <c r="D330" s="111" t="s">
        <v>1668</v>
      </c>
    </row>
    <row r="331" spans="1:4">
      <c r="A331" s="85" t="s">
        <v>241</v>
      </c>
      <c r="B331" s="51" t="s">
        <v>654</v>
      </c>
      <c r="C331" s="84" t="s">
        <v>1092</v>
      </c>
      <c r="D331" s="111" t="s">
        <v>1668</v>
      </c>
    </row>
    <row r="332" spans="1:4">
      <c r="A332" s="85" t="s">
        <v>242</v>
      </c>
      <c r="B332" s="51" t="s">
        <v>655</v>
      </c>
      <c r="C332" s="84" t="s">
        <v>1093</v>
      </c>
      <c r="D332" s="111" t="s">
        <v>1668</v>
      </c>
    </row>
    <row r="333" spans="1:4">
      <c r="A333" s="85" t="s">
        <v>243</v>
      </c>
      <c r="B333" s="51" t="s">
        <v>656</v>
      </c>
      <c r="C333" s="84" t="s">
        <v>1094</v>
      </c>
      <c r="D333" s="111" t="s">
        <v>1668</v>
      </c>
    </row>
    <row r="334" spans="1:4">
      <c r="A334" s="82" t="s">
        <v>244</v>
      </c>
      <c r="B334" s="83" t="s">
        <v>657</v>
      </c>
      <c r="C334" s="84" t="s">
        <v>1110</v>
      </c>
      <c r="D334" s="111" t="s">
        <v>1668</v>
      </c>
    </row>
    <row r="335" spans="1:4">
      <c r="A335" s="85" t="s">
        <v>245</v>
      </c>
      <c r="B335" s="51" t="s">
        <v>658</v>
      </c>
      <c r="C335" s="84" t="s">
        <v>1095</v>
      </c>
      <c r="D335" s="111" t="s">
        <v>1668</v>
      </c>
    </row>
    <row r="336" spans="1:4">
      <c r="A336" s="111" t="s">
        <v>1406</v>
      </c>
      <c r="B336" s="51" t="s">
        <v>1407</v>
      </c>
      <c r="C336" s="84" t="s">
        <v>1408</v>
      </c>
      <c r="D336" s="111" t="s">
        <v>1668</v>
      </c>
    </row>
    <row r="337" spans="1:4">
      <c r="A337" s="82" t="s">
        <v>247</v>
      </c>
      <c r="B337" s="83" t="s">
        <v>660</v>
      </c>
      <c r="C337" s="84" t="s">
        <v>1112</v>
      </c>
      <c r="D337" s="111" t="s">
        <v>1668</v>
      </c>
    </row>
    <row r="338" spans="1:4">
      <c r="A338" s="82" t="s">
        <v>248</v>
      </c>
      <c r="B338" s="83" t="s">
        <v>661</v>
      </c>
      <c r="C338" s="84" t="s">
        <v>1113</v>
      </c>
      <c r="D338" s="111" t="s">
        <v>1668</v>
      </c>
    </row>
    <row r="339" spans="1:4">
      <c r="A339" s="82" t="s">
        <v>252</v>
      </c>
      <c r="B339" s="83" t="s">
        <v>665</v>
      </c>
      <c r="C339" s="84" t="s">
        <v>1117</v>
      </c>
      <c r="D339" s="111" t="s">
        <v>1668</v>
      </c>
    </row>
    <row r="340" spans="1:4">
      <c r="A340" s="82" t="s">
        <v>253</v>
      </c>
      <c r="B340" s="83" t="s">
        <v>666</v>
      </c>
      <c r="C340" s="84" t="s">
        <v>1118</v>
      </c>
      <c r="D340" s="111" t="s">
        <v>1668</v>
      </c>
    </row>
    <row r="341" spans="1:4">
      <c r="A341" s="82" t="s">
        <v>249</v>
      </c>
      <c r="B341" s="83" t="s">
        <v>662</v>
      </c>
      <c r="C341" s="84" t="s">
        <v>1114</v>
      </c>
      <c r="D341" s="111" t="s">
        <v>1668</v>
      </c>
    </row>
    <row r="342" spans="1:4">
      <c r="A342" s="82" t="s">
        <v>250</v>
      </c>
      <c r="B342" s="83" t="s">
        <v>663</v>
      </c>
      <c r="C342" s="84" t="s">
        <v>1115</v>
      </c>
      <c r="D342" s="111" t="s">
        <v>1668</v>
      </c>
    </row>
    <row r="343" spans="1:4">
      <c r="A343" s="111" t="s">
        <v>1409</v>
      </c>
      <c r="B343" s="83" t="s">
        <v>1410</v>
      </c>
      <c r="C343" s="84" t="s">
        <v>1411</v>
      </c>
      <c r="D343" s="111" t="s">
        <v>1668</v>
      </c>
    </row>
    <row r="344" spans="1:4">
      <c r="A344" s="82" t="s">
        <v>251</v>
      </c>
      <c r="B344" s="83" t="s">
        <v>664</v>
      </c>
      <c r="C344" s="84" t="s">
        <v>1116</v>
      </c>
      <c r="D344" s="111" t="s">
        <v>1668</v>
      </c>
    </row>
    <row r="345" spans="1:4">
      <c r="A345" s="82" t="s">
        <v>1507</v>
      </c>
      <c r="B345" s="83" t="s">
        <v>1523</v>
      </c>
      <c r="C345" s="84" t="s">
        <v>1524</v>
      </c>
      <c r="D345" s="111" t="s">
        <v>1668</v>
      </c>
    </row>
    <row r="346" spans="1:4">
      <c r="A346" s="85" t="s">
        <v>254</v>
      </c>
      <c r="B346" s="51" t="s">
        <v>667</v>
      </c>
      <c r="C346" s="84" t="s">
        <v>1096</v>
      </c>
      <c r="D346" s="111" t="s">
        <v>1668</v>
      </c>
    </row>
    <row r="347" spans="1:4">
      <c r="A347" s="82" t="s">
        <v>255</v>
      </c>
      <c r="B347" s="83" t="s">
        <v>668</v>
      </c>
      <c r="C347" s="84" t="s">
        <v>1119</v>
      </c>
      <c r="D347" s="111" t="s">
        <v>1668</v>
      </c>
    </row>
    <row r="348" spans="1:4">
      <c r="A348" s="82" t="s">
        <v>256</v>
      </c>
      <c r="B348" s="83" t="s">
        <v>669</v>
      </c>
      <c r="C348" s="84" t="s">
        <v>1120</v>
      </c>
      <c r="D348" s="111" t="s">
        <v>1617</v>
      </c>
    </row>
    <row r="349" spans="1:4">
      <c r="A349" s="82" t="s">
        <v>257</v>
      </c>
      <c r="B349" s="83" t="s">
        <v>670</v>
      </c>
      <c r="C349" s="84" t="s">
        <v>1121</v>
      </c>
      <c r="D349" s="111" t="s">
        <v>1668</v>
      </c>
    </row>
    <row r="350" spans="1:4">
      <c r="A350" s="82" t="s">
        <v>258</v>
      </c>
      <c r="B350" s="83" t="s">
        <v>671</v>
      </c>
      <c r="C350" s="84" t="s">
        <v>1122</v>
      </c>
      <c r="D350" s="111" t="s">
        <v>1668</v>
      </c>
    </row>
    <row r="351" spans="1:4">
      <c r="A351" s="82" t="s">
        <v>259</v>
      </c>
      <c r="B351" s="83" t="s">
        <v>672</v>
      </c>
      <c r="C351" s="84" t="s">
        <v>1123</v>
      </c>
      <c r="D351" s="111" t="s">
        <v>1668</v>
      </c>
    </row>
    <row r="352" spans="1:4">
      <c r="A352" s="111" t="s">
        <v>1525</v>
      </c>
      <c r="B352" s="83" t="s">
        <v>672</v>
      </c>
      <c r="C352" s="112" t="s">
        <v>1526</v>
      </c>
      <c r="D352" s="111" t="s">
        <v>1668</v>
      </c>
    </row>
    <row r="353" spans="1:4">
      <c r="A353" s="82" t="s">
        <v>260</v>
      </c>
      <c r="B353" s="83" t="s">
        <v>673</v>
      </c>
      <c r="C353" s="84" t="s">
        <v>1124</v>
      </c>
      <c r="D353" s="111" t="s">
        <v>1668</v>
      </c>
    </row>
    <row r="354" spans="1:4">
      <c r="A354" s="82" t="s">
        <v>261</v>
      </c>
      <c r="B354" s="83" t="s">
        <v>674</v>
      </c>
      <c r="C354" s="84" t="s">
        <v>1125</v>
      </c>
      <c r="D354" s="111" t="s">
        <v>1668</v>
      </c>
    </row>
    <row r="355" spans="1:4">
      <c r="A355" s="111" t="s">
        <v>1412</v>
      </c>
      <c r="B355" s="83" t="s">
        <v>1413</v>
      </c>
      <c r="C355" s="84" t="s">
        <v>1414</v>
      </c>
      <c r="D355" s="111" t="s">
        <v>1668</v>
      </c>
    </row>
    <row r="356" spans="1:4">
      <c r="A356" s="82" t="s">
        <v>262</v>
      </c>
      <c r="B356" s="83" t="s">
        <v>675</v>
      </c>
      <c r="C356" s="84" t="s">
        <v>1126</v>
      </c>
      <c r="D356" s="111" t="s">
        <v>1668</v>
      </c>
    </row>
    <row r="357" spans="1:4">
      <c r="A357" s="82" t="s">
        <v>263</v>
      </c>
      <c r="B357" s="83" t="s">
        <v>676</v>
      </c>
      <c r="C357" s="84" t="s">
        <v>1127</v>
      </c>
      <c r="D357" s="111" t="s">
        <v>1668</v>
      </c>
    </row>
    <row r="358" spans="1:4">
      <c r="A358" s="82" t="s">
        <v>264</v>
      </c>
      <c r="B358" s="83" t="s">
        <v>677</v>
      </c>
      <c r="C358" s="84" t="s">
        <v>1128</v>
      </c>
      <c r="D358" s="111" t="s">
        <v>1668</v>
      </c>
    </row>
    <row r="359" spans="1:4">
      <c r="A359" s="82" t="s">
        <v>265</v>
      </c>
      <c r="B359" s="83" t="s">
        <v>677</v>
      </c>
      <c r="C359" s="84" t="s">
        <v>1129</v>
      </c>
      <c r="D359" s="111" t="s">
        <v>1668</v>
      </c>
    </row>
    <row r="360" spans="1:4">
      <c r="A360" s="82" t="s">
        <v>266</v>
      </c>
      <c r="B360" s="83" t="s">
        <v>678</v>
      </c>
      <c r="C360" s="84" t="s">
        <v>1130</v>
      </c>
      <c r="D360" s="111" t="s">
        <v>1668</v>
      </c>
    </row>
    <row r="361" spans="1:4">
      <c r="A361" s="82" t="s">
        <v>267</v>
      </c>
      <c r="B361" s="83" t="s">
        <v>679</v>
      </c>
      <c r="C361" s="84" t="s">
        <v>1131</v>
      </c>
      <c r="D361" s="111" t="s">
        <v>1668</v>
      </c>
    </row>
    <row r="362" spans="1:4">
      <c r="A362" s="82" t="s">
        <v>268</v>
      </c>
      <c r="B362" s="83" t="s">
        <v>680</v>
      </c>
      <c r="C362" s="84" t="s">
        <v>1132</v>
      </c>
      <c r="D362" s="111" t="s">
        <v>1668</v>
      </c>
    </row>
    <row r="363" spans="1:4">
      <c r="A363" s="82" t="s">
        <v>269</v>
      </c>
      <c r="B363" s="83" t="s">
        <v>681</v>
      </c>
      <c r="C363" s="84" t="s">
        <v>1133</v>
      </c>
      <c r="D363" s="111" t="s">
        <v>1668</v>
      </c>
    </row>
    <row r="364" spans="1:4">
      <c r="A364" s="82" t="s">
        <v>270</v>
      </c>
      <c r="B364" s="83" t="s">
        <v>682</v>
      </c>
      <c r="C364" s="84" t="s">
        <v>1134</v>
      </c>
      <c r="D364" s="111" t="s">
        <v>1668</v>
      </c>
    </row>
    <row r="365" spans="1:4">
      <c r="A365" s="82" t="s">
        <v>271</v>
      </c>
      <c r="B365" s="83" t="s">
        <v>683</v>
      </c>
      <c r="C365" s="84" t="s">
        <v>1135</v>
      </c>
      <c r="D365" s="111" t="s">
        <v>1668</v>
      </c>
    </row>
    <row r="366" spans="1:4">
      <c r="A366" s="82" t="s">
        <v>273</v>
      </c>
      <c r="B366" s="83" t="s">
        <v>685</v>
      </c>
      <c r="C366" s="84" t="s">
        <v>1137</v>
      </c>
      <c r="D366" s="111" t="s">
        <v>1617</v>
      </c>
    </row>
    <row r="367" spans="1:4">
      <c r="A367" s="82" t="s">
        <v>274</v>
      </c>
      <c r="B367" s="83" t="s">
        <v>686</v>
      </c>
      <c r="C367" s="84" t="s">
        <v>1138</v>
      </c>
      <c r="D367" s="111" t="s">
        <v>1668</v>
      </c>
    </row>
    <row r="368" spans="1:4">
      <c r="A368" s="82" t="s">
        <v>275</v>
      </c>
      <c r="B368" s="83" t="s">
        <v>687</v>
      </c>
      <c r="C368" s="84" t="s">
        <v>1139</v>
      </c>
      <c r="D368" s="111" t="s">
        <v>1617</v>
      </c>
    </row>
    <row r="369" spans="1:4">
      <c r="A369" s="82" t="s">
        <v>276</v>
      </c>
      <c r="B369" s="83" t="s">
        <v>688</v>
      </c>
      <c r="C369" s="84" t="s">
        <v>1140</v>
      </c>
      <c r="D369" s="111" t="s">
        <v>1668</v>
      </c>
    </row>
    <row r="370" spans="1:4">
      <c r="A370" s="82" t="s">
        <v>277</v>
      </c>
      <c r="B370" s="83" t="s">
        <v>689</v>
      </c>
      <c r="C370" s="84" t="s">
        <v>1141</v>
      </c>
      <c r="D370" s="111" t="s">
        <v>1668</v>
      </c>
    </row>
    <row r="371" spans="1:4">
      <c r="A371" s="82" t="s">
        <v>272</v>
      </c>
      <c r="B371" s="83" t="s">
        <v>684</v>
      </c>
      <c r="C371" s="84" t="s">
        <v>1136</v>
      </c>
      <c r="D371" s="111" t="s">
        <v>1617</v>
      </c>
    </row>
    <row r="372" spans="1:4">
      <c r="A372" s="82" t="s">
        <v>423</v>
      </c>
      <c r="B372" s="51" t="s">
        <v>819</v>
      </c>
      <c r="C372" s="84" t="s">
        <v>1282</v>
      </c>
      <c r="D372" s="111" t="s">
        <v>1659</v>
      </c>
    </row>
    <row r="373" spans="1:4">
      <c r="A373" s="82" t="s">
        <v>424</v>
      </c>
      <c r="B373" s="51" t="s">
        <v>820</v>
      </c>
      <c r="C373" s="84" t="s">
        <v>1283</v>
      </c>
      <c r="D373" s="111" t="s">
        <v>1659</v>
      </c>
    </row>
    <row r="374" spans="1:4">
      <c r="A374" s="82" t="s">
        <v>425</v>
      </c>
      <c r="B374" s="51" t="s">
        <v>821</v>
      </c>
      <c r="C374" s="84" t="s">
        <v>1284</v>
      </c>
      <c r="D374" s="111" t="s">
        <v>1659</v>
      </c>
    </row>
    <row r="375" spans="1:4">
      <c r="A375" s="85" t="s">
        <v>426</v>
      </c>
      <c r="B375" s="51" t="s">
        <v>822</v>
      </c>
      <c r="C375" s="84" t="s">
        <v>862</v>
      </c>
      <c r="D375" s="111" t="s">
        <v>1659</v>
      </c>
    </row>
    <row r="376" spans="1:4">
      <c r="A376" s="82" t="s">
        <v>427</v>
      </c>
      <c r="B376" s="51" t="s">
        <v>823</v>
      </c>
      <c r="C376" s="84" t="s">
        <v>1285</v>
      </c>
      <c r="D376" s="111" t="s">
        <v>1659</v>
      </c>
    </row>
    <row r="377" spans="1:4">
      <c r="A377" s="82" t="s">
        <v>428</v>
      </c>
      <c r="B377" s="51" t="s">
        <v>824</v>
      </c>
      <c r="C377" s="84" t="s">
        <v>1286</v>
      </c>
      <c r="D377" s="111" t="s">
        <v>1659</v>
      </c>
    </row>
    <row r="378" spans="1:4">
      <c r="A378" s="85" t="s">
        <v>429</v>
      </c>
      <c r="B378" s="51" t="s">
        <v>825</v>
      </c>
      <c r="C378" s="84" t="s">
        <v>863</v>
      </c>
      <c r="D378" s="111" t="s">
        <v>1659</v>
      </c>
    </row>
    <row r="379" spans="1:4">
      <c r="A379" s="82" t="s">
        <v>430</v>
      </c>
      <c r="B379" s="51" t="s">
        <v>826</v>
      </c>
      <c r="C379" s="84" t="s">
        <v>1287</v>
      </c>
      <c r="D379" s="111" t="s">
        <v>1659</v>
      </c>
    </row>
    <row r="380" spans="1:4">
      <c r="A380" s="111" t="s">
        <v>1482</v>
      </c>
      <c r="B380" s="171" t="s">
        <v>1599</v>
      </c>
      <c r="C380" s="188" t="s">
        <v>1600</v>
      </c>
      <c r="D380" s="111" t="s">
        <v>1614</v>
      </c>
    </row>
    <row r="381" spans="1:4">
      <c r="A381" s="111" t="s">
        <v>1483</v>
      </c>
      <c r="B381" s="171" t="s">
        <v>1601</v>
      </c>
      <c r="C381" s="112" t="s">
        <v>1602</v>
      </c>
      <c r="D381" s="111" t="s">
        <v>1614</v>
      </c>
    </row>
    <row r="382" spans="1:4">
      <c r="A382" s="111" t="s">
        <v>1484</v>
      </c>
      <c r="B382" s="171" t="s">
        <v>1603</v>
      </c>
      <c r="C382" s="188" t="s">
        <v>1604</v>
      </c>
      <c r="D382" s="111" t="s">
        <v>1614</v>
      </c>
    </row>
    <row r="383" spans="1:4">
      <c r="A383" s="111" t="s">
        <v>1485</v>
      </c>
      <c r="B383" s="171" t="s">
        <v>1605</v>
      </c>
      <c r="C383" s="188" t="s">
        <v>1606</v>
      </c>
      <c r="D383" s="111" t="s">
        <v>1614</v>
      </c>
    </row>
    <row r="384" spans="1:4">
      <c r="A384" s="111" t="s">
        <v>1486</v>
      </c>
      <c r="B384" s="83" t="s">
        <v>1607</v>
      </c>
      <c r="C384" s="86" t="s">
        <v>1527</v>
      </c>
      <c r="D384" s="111" t="s">
        <v>1614</v>
      </c>
    </row>
    <row r="385" spans="1:4">
      <c r="A385" s="111" t="s">
        <v>1487</v>
      </c>
      <c r="B385" s="171" t="s">
        <v>1608</v>
      </c>
      <c r="C385" s="112" t="s">
        <v>1609</v>
      </c>
      <c r="D385" s="111" t="s">
        <v>1614</v>
      </c>
    </row>
    <row r="386" spans="1:4">
      <c r="A386" s="82" t="s">
        <v>1317</v>
      </c>
      <c r="B386" s="83" t="s">
        <v>476</v>
      </c>
      <c r="C386" s="84" t="s">
        <v>1308</v>
      </c>
      <c r="D386" s="111" t="s">
        <v>1656</v>
      </c>
    </row>
    <row r="387" spans="1:4">
      <c r="A387" s="82" t="s">
        <v>1318</v>
      </c>
      <c r="B387" s="83" t="s">
        <v>477</v>
      </c>
      <c r="C387" s="84" t="s">
        <v>1309</v>
      </c>
      <c r="D387" s="111" t="s">
        <v>1656</v>
      </c>
    </row>
    <row r="388" spans="1:4">
      <c r="A388" s="111" t="s">
        <v>1528</v>
      </c>
      <c r="B388" s="51" t="s">
        <v>565</v>
      </c>
      <c r="C388" s="86" t="s">
        <v>1529</v>
      </c>
      <c r="D388" s="111" t="s">
        <v>1669</v>
      </c>
    </row>
    <row r="389" spans="1:4">
      <c r="A389" s="85" t="s">
        <v>114</v>
      </c>
      <c r="B389" s="51" t="s">
        <v>885</v>
      </c>
      <c r="C389" s="84" t="s">
        <v>886</v>
      </c>
      <c r="D389" s="111" t="s">
        <v>1669</v>
      </c>
    </row>
    <row r="390" spans="1:4">
      <c r="A390" s="85" t="s">
        <v>113</v>
      </c>
      <c r="B390" s="51" t="s">
        <v>887</v>
      </c>
      <c r="C390" s="84" t="s">
        <v>888</v>
      </c>
      <c r="D390" s="111" t="s">
        <v>1669</v>
      </c>
    </row>
    <row r="391" spans="1:4">
      <c r="A391" s="85" t="s">
        <v>112</v>
      </c>
      <c r="B391" s="51" t="s">
        <v>889</v>
      </c>
      <c r="C391" s="84" t="s">
        <v>890</v>
      </c>
      <c r="D391" s="111" t="s">
        <v>1669</v>
      </c>
    </row>
    <row r="392" spans="1:4">
      <c r="A392" s="85" t="s">
        <v>115</v>
      </c>
      <c r="B392" s="51" t="s">
        <v>555</v>
      </c>
      <c r="C392" s="84" t="s">
        <v>891</v>
      </c>
      <c r="D392" s="111" t="s">
        <v>1669</v>
      </c>
    </row>
    <row r="393" spans="1:4">
      <c r="A393" s="82" t="s">
        <v>116</v>
      </c>
      <c r="B393" s="83" t="s">
        <v>556</v>
      </c>
      <c r="C393" s="84" t="s">
        <v>987</v>
      </c>
      <c r="D393" s="111" t="s">
        <v>1669</v>
      </c>
    </row>
    <row r="394" spans="1:4">
      <c r="A394" s="111" t="s">
        <v>1415</v>
      </c>
      <c r="B394" s="51" t="s">
        <v>562</v>
      </c>
      <c r="C394" s="84" t="s">
        <v>1416</v>
      </c>
      <c r="D394" s="111" t="s">
        <v>1669</v>
      </c>
    </row>
    <row r="395" spans="1:4">
      <c r="A395" s="82" t="s">
        <v>126</v>
      </c>
      <c r="B395" s="83" t="s">
        <v>554</v>
      </c>
      <c r="C395" s="84" t="s">
        <v>991</v>
      </c>
      <c r="D395" s="111" t="s">
        <v>1669</v>
      </c>
    </row>
    <row r="396" spans="1:4">
      <c r="A396" s="85" t="s">
        <v>127</v>
      </c>
      <c r="B396" s="51" t="s">
        <v>553</v>
      </c>
      <c r="C396" s="84" t="s">
        <v>892</v>
      </c>
      <c r="D396" s="111" t="s">
        <v>1669</v>
      </c>
    </row>
    <row r="397" spans="1:4">
      <c r="A397" s="85" t="s">
        <v>117</v>
      </c>
      <c r="B397" s="51" t="s">
        <v>557</v>
      </c>
      <c r="C397" s="84" t="s">
        <v>893</v>
      </c>
      <c r="D397" s="111" t="s">
        <v>1669</v>
      </c>
    </row>
    <row r="398" spans="1:4">
      <c r="A398" s="82" t="s">
        <v>118</v>
      </c>
      <c r="B398" s="83" t="s">
        <v>558</v>
      </c>
      <c r="C398" s="84" t="s">
        <v>988</v>
      </c>
      <c r="D398" s="111" t="s">
        <v>1669</v>
      </c>
    </row>
    <row r="399" spans="1:4">
      <c r="A399" s="111" t="s">
        <v>1417</v>
      </c>
      <c r="B399" s="83" t="s">
        <v>559</v>
      </c>
      <c r="C399" s="84" t="s">
        <v>1418</v>
      </c>
      <c r="D399" s="111" t="s">
        <v>1669</v>
      </c>
    </row>
    <row r="400" spans="1:4">
      <c r="A400" s="82" t="s">
        <v>119</v>
      </c>
      <c r="B400" s="83" t="s">
        <v>559</v>
      </c>
      <c r="C400" s="84" t="s">
        <v>989</v>
      </c>
      <c r="D400" s="111" t="s">
        <v>1669</v>
      </c>
    </row>
    <row r="401" spans="1:4">
      <c r="A401" s="82" t="s">
        <v>120</v>
      </c>
      <c r="B401" s="83" t="s">
        <v>560</v>
      </c>
      <c r="C401" s="84" t="s">
        <v>990</v>
      </c>
      <c r="D401" s="111" t="s">
        <v>1669</v>
      </c>
    </row>
    <row r="402" spans="1:4">
      <c r="A402" s="85" t="s">
        <v>121</v>
      </c>
      <c r="B402" s="51" t="s">
        <v>561</v>
      </c>
      <c r="C402" s="84" t="s">
        <v>894</v>
      </c>
      <c r="D402" s="111" t="s">
        <v>1669</v>
      </c>
    </row>
    <row r="403" spans="1:4">
      <c r="A403" s="111" t="s">
        <v>1419</v>
      </c>
      <c r="B403" s="51" t="s">
        <v>562</v>
      </c>
      <c r="C403" s="84" t="s">
        <v>1420</v>
      </c>
      <c r="D403" s="111" t="s">
        <v>1669</v>
      </c>
    </row>
    <row r="404" spans="1:4">
      <c r="A404" s="111" t="s">
        <v>1530</v>
      </c>
      <c r="B404" s="51" t="s">
        <v>562</v>
      </c>
      <c r="C404" s="112" t="s">
        <v>1531</v>
      </c>
      <c r="D404" s="111" t="s">
        <v>1669</v>
      </c>
    </row>
    <row r="405" spans="1:4">
      <c r="A405" s="85" t="s">
        <v>122</v>
      </c>
      <c r="B405" s="51" t="s">
        <v>562</v>
      </c>
      <c r="C405" s="84" t="s">
        <v>895</v>
      </c>
      <c r="D405" s="111" t="s">
        <v>1669</v>
      </c>
    </row>
    <row r="406" spans="1:4">
      <c r="A406" s="85" t="s">
        <v>123</v>
      </c>
      <c r="B406" s="51" t="s">
        <v>563</v>
      </c>
      <c r="C406" s="84" t="s">
        <v>896</v>
      </c>
      <c r="D406" s="111" t="s">
        <v>1669</v>
      </c>
    </row>
    <row r="407" spans="1:4">
      <c r="A407" s="85" t="s">
        <v>124</v>
      </c>
      <c r="B407" s="51" t="s">
        <v>564</v>
      </c>
      <c r="C407" s="84" t="s">
        <v>897</v>
      </c>
      <c r="D407" s="111" t="s">
        <v>1669</v>
      </c>
    </row>
    <row r="408" spans="1:4">
      <c r="A408" s="85" t="s">
        <v>125</v>
      </c>
      <c r="B408" s="51" t="s">
        <v>565</v>
      </c>
      <c r="C408" s="84" t="s">
        <v>898</v>
      </c>
      <c r="D408" s="111" t="s">
        <v>1669</v>
      </c>
    </row>
    <row r="409" spans="1:4">
      <c r="A409" s="85" t="s">
        <v>128</v>
      </c>
      <c r="B409" s="51" t="s">
        <v>554</v>
      </c>
      <c r="C409" s="84" t="s">
        <v>899</v>
      </c>
      <c r="D409" s="111" t="s">
        <v>1669</v>
      </c>
    </row>
    <row r="410" spans="1:4">
      <c r="A410" s="82" t="s">
        <v>111</v>
      </c>
      <c r="B410" s="83" t="s">
        <v>552</v>
      </c>
      <c r="C410" s="84" t="s">
        <v>986</v>
      </c>
      <c r="D410" s="111" t="s">
        <v>1669</v>
      </c>
    </row>
    <row r="411" spans="1:4">
      <c r="A411" s="82" t="s">
        <v>130</v>
      </c>
      <c r="B411" s="83" t="s">
        <v>552</v>
      </c>
      <c r="C411" s="84" t="s">
        <v>993</v>
      </c>
      <c r="D411" s="111" t="s">
        <v>1669</v>
      </c>
    </row>
    <row r="412" spans="1:4">
      <c r="A412" s="82" t="s">
        <v>131</v>
      </c>
      <c r="B412" s="83" t="s">
        <v>887</v>
      </c>
      <c r="C412" s="84" t="s">
        <v>994</v>
      </c>
      <c r="D412" s="111" t="s">
        <v>1669</v>
      </c>
    </row>
    <row r="413" spans="1:4">
      <c r="A413" s="82" t="s">
        <v>134</v>
      </c>
      <c r="B413" s="83" t="s">
        <v>997</v>
      </c>
      <c r="C413" s="84" t="s">
        <v>998</v>
      </c>
      <c r="D413" s="111" t="s">
        <v>1669</v>
      </c>
    </row>
    <row r="414" spans="1:4">
      <c r="A414" s="82" t="s">
        <v>129</v>
      </c>
      <c r="B414" s="83" t="s">
        <v>553</v>
      </c>
      <c r="C414" s="84" t="s">
        <v>992</v>
      </c>
      <c r="D414" s="111" t="s">
        <v>1669</v>
      </c>
    </row>
    <row r="415" spans="1:4">
      <c r="A415" s="82" t="s">
        <v>132</v>
      </c>
      <c r="B415" s="83" t="s">
        <v>566</v>
      </c>
      <c r="C415" s="84" t="s">
        <v>995</v>
      </c>
      <c r="D415" s="111" t="s">
        <v>1669</v>
      </c>
    </row>
    <row r="416" spans="1:4">
      <c r="A416" s="82" t="s">
        <v>133</v>
      </c>
      <c r="B416" s="83" t="s">
        <v>567</v>
      </c>
      <c r="C416" s="84" t="s">
        <v>996</v>
      </c>
      <c r="D416" s="111" t="s">
        <v>1669</v>
      </c>
    </row>
    <row r="417" spans="1:4">
      <c r="A417" s="85" t="s">
        <v>135</v>
      </c>
      <c r="B417" s="51" t="s">
        <v>568</v>
      </c>
      <c r="C417" s="84" t="s">
        <v>900</v>
      </c>
      <c r="D417" s="111" t="s">
        <v>1669</v>
      </c>
    </row>
    <row r="418" spans="1:4">
      <c r="A418" s="82" t="s">
        <v>473</v>
      </c>
      <c r="B418" s="83" t="s">
        <v>1014</v>
      </c>
      <c r="C418" s="84" t="s">
        <v>1015</v>
      </c>
      <c r="D418" s="111" t="s">
        <v>1670</v>
      </c>
    </row>
    <row r="419" spans="1:4">
      <c r="A419" s="82" t="s">
        <v>474</v>
      </c>
      <c r="B419" s="83" t="s">
        <v>1016</v>
      </c>
      <c r="C419" s="84" t="s">
        <v>1017</v>
      </c>
      <c r="D419" s="111" t="s">
        <v>1670</v>
      </c>
    </row>
    <row r="420" spans="1:4">
      <c r="A420" s="82" t="s">
        <v>136</v>
      </c>
      <c r="B420" s="83" t="s">
        <v>569</v>
      </c>
      <c r="C420" s="84" t="s">
        <v>999</v>
      </c>
      <c r="D420" s="111" t="s">
        <v>1670</v>
      </c>
    </row>
    <row r="421" spans="1:4">
      <c r="A421" s="111" t="s">
        <v>1344</v>
      </c>
      <c r="B421" s="83" t="s">
        <v>1353</v>
      </c>
      <c r="C421" s="84" t="s">
        <v>1354</v>
      </c>
      <c r="D421" s="111" t="s">
        <v>1670</v>
      </c>
    </row>
    <row r="422" spans="1:4">
      <c r="A422" s="82" t="s">
        <v>138</v>
      </c>
      <c r="B422" s="83" t="s">
        <v>570</v>
      </c>
      <c r="C422" s="84" t="s">
        <v>1001</v>
      </c>
      <c r="D422" s="111" t="s">
        <v>1670</v>
      </c>
    </row>
    <row r="423" spans="1:4">
      <c r="A423" s="82" t="s">
        <v>137</v>
      </c>
      <c r="B423" s="83" t="s">
        <v>570</v>
      </c>
      <c r="C423" s="84" t="s">
        <v>1000</v>
      </c>
      <c r="D423" s="111" t="s">
        <v>1670</v>
      </c>
    </row>
    <row r="424" spans="1:4">
      <c r="A424" s="82" t="s">
        <v>141</v>
      </c>
      <c r="B424" s="83" t="s">
        <v>573</v>
      </c>
      <c r="C424" s="84" t="s">
        <v>1003</v>
      </c>
      <c r="D424" s="111" t="s">
        <v>1670</v>
      </c>
    </row>
    <row r="425" spans="1:4">
      <c r="A425" s="85" t="s">
        <v>139</v>
      </c>
      <c r="B425" s="51" t="s">
        <v>571</v>
      </c>
      <c r="C425" s="84" t="s">
        <v>901</v>
      </c>
      <c r="D425" s="111" t="s">
        <v>1670</v>
      </c>
    </row>
    <row r="426" spans="1:4">
      <c r="A426" s="82" t="s">
        <v>140</v>
      </c>
      <c r="B426" s="83" t="s">
        <v>572</v>
      </c>
      <c r="C426" s="84" t="s">
        <v>1002</v>
      </c>
      <c r="D426" s="111" t="s">
        <v>1670</v>
      </c>
    </row>
    <row r="427" spans="1:4">
      <c r="A427" s="82" t="s">
        <v>142</v>
      </c>
      <c r="B427" s="83" t="s">
        <v>574</v>
      </c>
      <c r="C427" s="84" t="s">
        <v>1004</v>
      </c>
      <c r="D427" s="111" t="s">
        <v>1670</v>
      </c>
    </row>
    <row r="428" spans="1:4">
      <c r="A428" s="82" t="s">
        <v>143</v>
      </c>
      <c r="B428" s="83" t="s">
        <v>574</v>
      </c>
      <c r="C428" s="84" t="s">
        <v>1005</v>
      </c>
      <c r="D428" s="111" t="s">
        <v>1670</v>
      </c>
    </row>
    <row r="429" spans="1:4">
      <c r="A429" s="82" t="s">
        <v>144</v>
      </c>
      <c r="B429" s="83" t="s">
        <v>575</v>
      </c>
      <c r="C429" s="84" t="s">
        <v>1006</v>
      </c>
      <c r="D429" s="111" t="s">
        <v>1670</v>
      </c>
    </row>
    <row r="430" spans="1:4">
      <c r="A430" s="82" t="s">
        <v>145</v>
      </c>
      <c r="B430" s="83" t="s">
        <v>575</v>
      </c>
      <c r="C430" s="84" t="s">
        <v>1007</v>
      </c>
      <c r="D430" s="111" t="s">
        <v>1670</v>
      </c>
    </row>
    <row r="431" spans="1:4">
      <c r="A431" s="111" t="s">
        <v>1421</v>
      </c>
      <c r="B431" s="51" t="s">
        <v>576</v>
      </c>
      <c r="C431" s="84" t="s">
        <v>1422</v>
      </c>
      <c r="D431" s="111" t="s">
        <v>1670</v>
      </c>
    </row>
    <row r="432" spans="1:4">
      <c r="A432" s="85" t="s">
        <v>146</v>
      </c>
      <c r="B432" s="51" t="s">
        <v>576</v>
      </c>
      <c r="C432" s="84" t="s">
        <v>902</v>
      </c>
      <c r="D432" s="111" t="s">
        <v>1670</v>
      </c>
    </row>
    <row r="433" spans="1:4">
      <c r="A433" s="111" t="s">
        <v>1423</v>
      </c>
      <c r="B433" s="51" t="s">
        <v>576</v>
      </c>
      <c r="C433" s="84" t="s">
        <v>1424</v>
      </c>
      <c r="D433" s="111" t="s">
        <v>1670</v>
      </c>
    </row>
    <row r="434" spans="1:4">
      <c r="A434" s="82" t="s">
        <v>147</v>
      </c>
      <c r="B434" s="83" t="s">
        <v>577</v>
      </c>
      <c r="C434" s="84" t="s">
        <v>1008</v>
      </c>
      <c r="D434" s="111" t="s">
        <v>1670</v>
      </c>
    </row>
    <row r="435" spans="1:4">
      <c r="A435" s="82" t="s">
        <v>148</v>
      </c>
      <c r="B435" s="83" t="s">
        <v>578</v>
      </c>
      <c r="C435" s="84" t="s">
        <v>1009</v>
      </c>
      <c r="D435" s="111" t="s">
        <v>1670</v>
      </c>
    </row>
    <row r="436" spans="1:4">
      <c r="A436" s="111" t="s">
        <v>1425</v>
      </c>
      <c r="B436" s="83" t="s">
        <v>578</v>
      </c>
      <c r="C436" s="84" t="s">
        <v>1426</v>
      </c>
      <c r="D436" s="111" t="s">
        <v>1670</v>
      </c>
    </row>
    <row r="437" spans="1:4">
      <c r="A437" s="82" t="s">
        <v>149</v>
      </c>
      <c r="B437" s="83" t="s">
        <v>579</v>
      </c>
      <c r="C437" s="84" t="s">
        <v>1010</v>
      </c>
      <c r="D437" s="111" t="s">
        <v>1670</v>
      </c>
    </row>
    <row r="438" spans="1:4">
      <c r="A438" s="111" t="s">
        <v>1557</v>
      </c>
      <c r="B438" s="171" t="s">
        <v>579</v>
      </c>
      <c r="C438" s="188" t="s">
        <v>1610</v>
      </c>
      <c r="D438" s="111" t="s">
        <v>1670</v>
      </c>
    </row>
    <row r="439" spans="1:4">
      <c r="A439" s="111" t="s">
        <v>1532</v>
      </c>
      <c r="B439" s="83" t="s">
        <v>580</v>
      </c>
      <c r="C439" s="86" t="s">
        <v>1533</v>
      </c>
      <c r="D439" s="111" t="s">
        <v>1617</v>
      </c>
    </row>
    <row r="440" spans="1:4">
      <c r="A440" s="82" t="s">
        <v>151</v>
      </c>
      <c r="B440" s="83" t="s">
        <v>580</v>
      </c>
      <c r="C440" s="84" t="s">
        <v>1011</v>
      </c>
      <c r="D440" s="111" t="s">
        <v>1617</v>
      </c>
    </row>
    <row r="441" spans="1:4">
      <c r="A441" s="84" t="s">
        <v>1506</v>
      </c>
      <c r="B441" s="83" t="s">
        <v>580</v>
      </c>
      <c r="C441" s="84" t="s">
        <v>1534</v>
      </c>
      <c r="D441" s="111" t="s">
        <v>1617</v>
      </c>
    </row>
    <row r="442" spans="1:4">
      <c r="A442" s="111" t="s">
        <v>1427</v>
      </c>
      <c r="B442" s="83" t="s">
        <v>1428</v>
      </c>
      <c r="C442" s="84" t="s">
        <v>1429</v>
      </c>
      <c r="D442" s="111" t="s">
        <v>1670</v>
      </c>
    </row>
    <row r="443" spans="1:4">
      <c r="A443" s="82" t="s">
        <v>150</v>
      </c>
      <c r="B443" s="83" t="s">
        <v>581</v>
      </c>
      <c r="C443" s="84" t="s">
        <v>1012</v>
      </c>
      <c r="D443" s="111" t="s">
        <v>1617</v>
      </c>
    </row>
    <row r="444" spans="1:4">
      <c r="A444" s="82" t="s">
        <v>152</v>
      </c>
      <c r="B444" s="83" t="s">
        <v>1505</v>
      </c>
      <c r="C444" s="84" t="s">
        <v>1013</v>
      </c>
      <c r="D444" s="111" t="s">
        <v>1670</v>
      </c>
    </row>
    <row r="445" spans="1:4">
      <c r="A445" s="82" t="s">
        <v>1535</v>
      </c>
      <c r="B445" s="83" t="s">
        <v>1505</v>
      </c>
      <c r="C445" s="84" t="s">
        <v>1536</v>
      </c>
      <c r="D445" s="111" t="s">
        <v>1670</v>
      </c>
    </row>
    <row r="446" spans="1:4">
      <c r="A446" s="111" t="s">
        <v>1490</v>
      </c>
      <c r="B446" s="83" t="s">
        <v>1492</v>
      </c>
      <c r="C446" s="83" t="s">
        <v>1491</v>
      </c>
      <c r="D446" s="111" t="s">
        <v>1617</v>
      </c>
    </row>
    <row r="447" spans="1:4">
      <c r="A447" s="82" t="s">
        <v>421</v>
      </c>
      <c r="B447" s="51" t="s">
        <v>817</v>
      </c>
      <c r="C447" s="84" t="s">
        <v>1280</v>
      </c>
      <c r="D447" s="111" t="s">
        <v>1659</v>
      </c>
    </row>
    <row r="448" spans="1:4">
      <c r="A448" s="82" t="s">
        <v>422</v>
      </c>
      <c r="B448" s="51" t="s">
        <v>818</v>
      </c>
      <c r="C448" s="84" t="s">
        <v>1281</v>
      </c>
      <c r="D448" s="111" t="s">
        <v>1658</v>
      </c>
    </row>
    <row r="449" spans="1:4">
      <c r="A449" s="85" t="s">
        <v>364</v>
      </c>
      <c r="B449" s="51" t="s">
        <v>764</v>
      </c>
      <c r="C449" s="84" t="s">
        <v>1226</v>
      </c>
      <c r="D449" s="111" t="s">
        <v>1658</v>
      </c>
    </row>
    <row r="450" spans="1:4">
      <c r="A450" s="85" t="s">
        <v>365</v>
      </c>
      <c r="B450" s="51" t="s">
        <v>765</v>
      </c>
      <c r="C450" s="84" t="s">
        <v>1227</v>
      </c>
      <c r="D450" s="111" t="s">
        <v>1658</v>
      </c>
    </row>
    <row r="451" spans="1:4">
      <c r="A451" s="82" t="s">
        <v>366</v>
      </c>
      <c r="B451" s="83" t="s">
        <v>766</v>
      </c>
      <c r="C451" s="84" t="s">
        <v>1236</v>
      </c>
      <c r="D451" s="111" t="s">
        <v>1658</v>
      </c>
    </row>
    <row r="452" spans="1:4">
      <c r="A452" s="82" t="s">
        <v>367</v>
      </c>
      <c r="B452" s="83" t="s">
        <v>767</v>
      </c>
      <c r="C452" s="84" t="s">
        <v>1237</v>
      </c>
      <c r="D452" s="111" t="s">
        <v>1658</v>
      </c>
    </row>
    <row r="453" spans="1:4">
      <c r="A453" s="82" t="s">
        <v>368</v>
      </c>
      <c r="B453" s="83" t="s">
        <v>768</v>
      </c>
      <c r="C453" s="84" t="s">
        <v>1238</v>
      </c>
      <c r="D453" s="111" t="s">
        <v>1658</v>
      </c>
    </row>
    <row r="454" spans="1:4">
      <c r="A454" s="85" t="s">
        <v>369</v>
      </c>
      <c r="B454" s="51" t="s">
        <v>769</v>
      </c>
      <c r="C454" s="84" t="s">
        <v>1228</v>
      </c>
      <c r="D454" s="111" t="s">
        <v>1658</v>
      </c>
    </row>
    <row r="455" spans="1:4">
      <c r="A455" s="82" t="s">
        <v>370</v>
      </c>
      <c r="B455" s="83" t="s">
        <v>770</v>
      </c>
      <c r="C455" s="84" t="s">
        <v>1239</v>
      </c>
      <c r="D455" s="111" t="s">
        <v>1658</v>
      </c>
    </row>
    <row r="456" spans="1:4">
      <c r="A456" s="82" t="s">
        <v>371</v>
      </c>
      <c r="B456" s="83" t="s">
        <v>771</v>
      </c>
      <c r="C456" s="84" t="s">
        <v>1240</v>
      </c>
      <c r="D456" s="111" t="s">
        <v>1658</v>
      </c>
    </row>
    <row r="457" spans="1:4">
      <c r="A457" s="82" t="s">
        <v>372</v>
      </c>
      <c r="B457" s="83" t="s">
        <v>772</v>
      </c>
      <c r="C457" s="84" t="s">
        <v>1241</v>
      </c>
      <c r="D457" s="111" t="s">
        <v>1658</v>
      </c>
    </row>
    <row r="458" spans="1:4">
      <c r="A458" s="82" t="s">
        <v>373</v>
      </c>
      <c r="B458" s="83" t="s">
        <v>773</v>
      </c>
      <c r="C458" s="84" t="s">
        <v>1242</v>
      </c>
      <c r="D458" s="111" t="s">
        <v>1658</v>
      </c>
    </row>
    <row r="459" spans="1:4">
      <c r="A459" s="82" t="s">
        <v>374</v>
      </c>
      <c r="B459" s="83" t="s">
        <v>773</v>
      </c>
      <c r="C459" s="84" t="s">
        <v>1243</v>
      </c>
      <c r="D459" s="111" t="s">
        <v>1658</v>
      </c>
    </row>
    <row r="460" spans="1:4">
      <c r="A460" s="82" t="s">
        <v>375</v>
      </c>
      <c r="B460" s="83" t="s">
        <v>774</v>
      </c>
      <c r="C460" s="84" t="s">
        <v>1244</v>
      </c>
      <c r="D460" s="111" t="s">
        <v>1658</v>
      </c>
    </row>
    <row r="461" spans="1:4">
      <c r="A461" s="82" t="s">
        <v>376</v>
      </c>
      <c r="B461" s="83" t="s">
        <v>775</v>
      </c>
      <c r="C461" s="84" t="s">
        <v>1245</v>
      </c>
      <c r="D461" s="111" t="s">
        <v>1658</v>
      </c>
    </row>
    <row r="462" spans="1:4">
      <c r="A462" s="82" t="s">
        <v>377</v>
      </c>
      <c r="B462" s="83" t="s">
        <v>776</v>
      </c>
      <c r="C462" s="84" t="s">
        <v>1246</v>
      </c>
      <c r="D462" s="111" t="s">
        <v>1658</v>
      </c>
    </row>
    <row r="463" spans="1:4">
      <c r="A463" s="82" t="s">
        <v>378</v>
      </c>
      <c r="B463" s="83" t="s">
        <v>777</v>
      </c>
      <c r="C463" s="84" t="s">
        <v>1247</v>
      </c>
      <c r="D463" s="111" t="s">
        <v>1658</v>
      </c>
    </row>
    <row r="464" spans="1:4">
      <c r="A464" s="82" t="s">
        <v>379</v>
      </c>
      <c r="B464" s="83" t="s">
        <v>778</v>
      </c>
      <c r="C464" s="84" t="s">
        <v>1248</v>
      </c>
      <c r="D464" s="111" t="s">
        <v>1658</v>
      </c>
    </row>
    <row r="465" spans="1:4">
      <c r="A465" s="82" t="s">
        <v>380</v>
      </c>
      <c r="B465" s="83" t="s">
        <v>778</v>
      </c>
      <c r="C465" s="84" t="s">
        <v>1249</v>
      </c>
      <c r="D465" s="111" t="s">
        <v>1658</v>
      </c>
    </row>
    <row r="466" spans="1:4">
      <c r="A466" s="82" t="s">
        <v>381</v>
      </c>
      <c r="B466" s="83" t="s">
        <v>778</v>
      </c>
      <c r="C466" s="84" t="s">
        <v>1250</v>
      </c>
      <c r="D466" s="111" t="s">
        <v>1658</v>
      </c>
    </row>
    <row r="467" spans="1:4">
      <c r="A467" s="82" t="s">
        <v>382</v>
      </c>
      <c r="B467" s="83" t="s">
        <v>779</v>
      </c>
      <c r="C467" s="84" t="s">
        <v>1251</v>
      </c>
      <c r="D467" s="111" t="s">
        <v>1658</v>
      </c>
    </row>
    <row r="468" spans="1:4">
      <c r="A468" s="82" t="s">
        <v>383</v>
      </c>
      <c r="B468" s="83" t="s">
        <v>780</v>
      </c>
      <c r="C468" s="84" t="s">
        <v>1252</v>
      </c>
      <c r="D468" s="111" t="s">
        <v>1658</v>
      </c>
    </row>
    <row r="469" spans="1:4">
      <c r="A469" s="82" t="s">
        <v>384</v>
      </c>
      <c r="B469" s="83" t="s">
        <v>781</v>
      </c>
      <c r="C469" s="84" t="s">
        <v>1253</v>
      </c>
      <c r="D469" s="111" t="s">
        <v>1658</v>
      </c>
    </row>
    <row r="470" spans="1:4">
      <c r="A470" s="85" t="s">
        <v>385</v>
      </c>
      <c r="B470" s="51" t="s">
        <v>782</v>
      </c>
      <c r="C470" s="84" t="s">
        <v>1229</v>
      </c>
      <c r="D470" s="111" t="s">
        <v>1658</v>
      </c>
    </row>
    <row r="471" spans="1:4">
      <c r="A471" s="85" t="s">
        <v>386</v>
      </c>
      <c r="B471" s="51" t="s">
        <v>783</v>
      </c>
      <c r="C471" s="84" t="s">
        <v>1230</v>
      </c>
      <c r="D471" s="111" t="s">
        <v>1658</v>
      </c>
    </row>
    <row r="472" spans="1:4">
      <c r="A472" s="82" t="s">
        <v>387</v>
      </c>
      <c r="B472" s="83" t="s">
        <v>784</v>
      </c>
      <c r="C472" s="84" t="s">
        <v>1254</v>
      </c>
      <c r="D472" s="111" t="s">
        <v>1658</v>
      </c>
    </row>
    <row r="473" spans="1:4">
      <c r="A473" s="82" t="s">
        <v>431</v>
      </c>
      <c r="B473" s="51" t="s">
        <v>827</v>
      </c>
      <c r="C473" s="84" t="s">
        <v>1288</v>
      </c>
      <c r="D473" s="111" t="s">
        <v>1659</v>
      </c>
    </row>
    <row r="474" spans="1:4">
      <c r="A474" s="82" t="s">
        <v>432</v>
      </c>
      <c r="B474" s="51" t="s">
        <v>828</v>
      </c>
      <c r="C474" s="84" t="s">
        <v>1289</v>
      </c>
      <c r="D474" s="111" t="s">
        <v>1659</v>
      </c>
    </row>
    <row r="475" spans="1:4">
      <c r="A475" s="85" t="s">
        <v>391</v>
      </c>
      <c r="B475" s="51" t="s">
        <v>805</v>
      </c>
      <c r="C475" s="84" t="s">
        <v>1231</v>
      </c>
      <c r="D475" s="111" t="s">
        <v>1656</v>
      </c>
    </row>
    <row r="476" spans="1:4">
      <c r="A476" s="85" t="s">
        <v>392</v>
      </c>
      <c r="B476" s="51" t="s">
        <v>806</v>
      </c>
      <c r="C476" s="84" t="s">
        <v>1232</v>
      </c>
      <c r="D476" s="111" t="s">
        <v>1656</v>
      </c>
    </row>
    <row r="477" spans="1:4">
      <c r="A477" s="111" t="s">
        <v>1430</v>
      </c>
      <c r="B477" s="83" t="s">
        <v>1431</v>
      </c>
      <c r="C477" s="84" t="s">
        <v>1432</v>
      </c>
      <c r="D477" s="111" t="s">
        <v>1671</v>
      </c>
    </row>
    <row r="478" spans="1:4">
      <c r="A478" s="82" t="s">
        <v>397</v>
      </c>
      <c r="B478" s="51" t="s">
        <v>791</v>
      </c>
      <c r="C478" s="84" t="s">
        <v>1267</v>
      </c>
      <c r="D478" s="111" t="s">
        <v>1671</v>
      </c>
    </row>
    <row r="479" spans="1:4">
      <c r="A479" s="82" t="s">
        <v>398</v>
      </c>
      <c r="B479" s="83" t="s">
        <v>792</v>
      </c>
      <c r="C479" s="84" t="s">
        <v>1268</v>
      </c>
      <c r="D479" s="111" t="s">
        <v>1671</v>
      </c>
    </row>
    <row r="480" spans="1:4">
      <c r="A480" s="85" t="s">
        <v>399</v>
      </c>
      <c r="B480" s="51" t="s">
        <v>793</v>
      </c>
      <c r="C480" s="84" t="s">
        <v>1258</v>
      </c>
      <c r="D480" s="111" t="s">
        <v>1671</v>
      </c>
    </row>
    <row r="481" spans="1:4">
      <c r="A481" s="82" t="s">
        <v>400</v>
      </c>
      <c r="B481" s="83" t="s">
        <v>794</v>
      </c>
      <c r="C481" s="84" t="s">
        <v>1269</v>
      </c>
      <c r="D481" s="111" t="s">
        <v>1671</v>
      </c>
    </row>
    <row r="482" spans="1:4">
      <c r="A482" s="85" t="s">
        <v>401</v>
      </c>
      <c r="B482" s="51" t="s">
        <v>795</v>
      </c>
      <c r="C482" s="84" t="s">
        <v>1259</v>
      </c>
      <c r="D482" s="111" t="s">
        <v>1671</v>
      </c>
    </row>
    <row r="483" spans="1:4">
      <c r="A483" s="82" t="s">
        <v>402</v>
      </c>
      <c r="B483" s="51" t="s">
        <v>796</v>
      </c>
      <c r="C483" s="84" t="s">
        <v>1270</v>
      </c>
      <c r="D483" s="111" t="s">
        <v>1671</v>
      </c>
    </row>
    <row r="484" spans="1:4">
      <c r="A484" s="85" t="s">
        <v>394</v>
      </c>
      <c r="B484" s="51" t="s">
        <v>788</v>
      </c>
      <c r="C484" s="84" t="s">
        <v>1260</v>
      </c>
      <c r="D484" s="111" t="s">
        <v>1671</v>
      </c>
    </row>
    <row r="485" spans="1:4">
      <c r="A485" s="85" t="s">
        <v>396</v>
      </c>
      <c r="B485" s="51" t="s">
        <v>790</v>
      </c>
      <c r="C485" s="84" t="s">
        <v>1261</v>
      </c>
      <c r="D485" s="111" t="s">
        <v>1671</v>
      </c>
    </row>
    <row r="486" spans="1:4">
      <c r="A486" s="85" t="s">
        <v>395</v>
      </c>
      <c r="B486" s="51" t="s">
        <v>789</v>
      </c>
      <c r="C486" s="84" t="s">
        <v>1262</v>
      </c>
      <c r="D486" s="111" t="s">
        <v>1671</v>
      </c>
    </row>
    <row r="487" spans="1:4">
      <c r="A487" s="85" t="s">
        <v>403</v>
      </c>
      <c r="B487" s="51" t="s">
        <v>797</v>
      </c>
      <c r="C487" s="84" t="s">
        <v>1263</v>
      </c>
      <c r="D487" s="111" t="s">
        <v>1671</v>
      </c>
    </row>
    <row r="488" spans="1:4">
      <c r="A488" s="82" t="s">
        <v>404</v>
      </c>
      <c r="B488" s="51" t="s">
        <v>798</v>
      </c>
      <c r="C488" s="84" t="s">
        <v>1271</v>
      </c>
      <c r="D488" s="111" t="s">
        <v>1671</v>
      </c>
    </row>
    <row r="489" spans="1:4">
      <c r="A489" s="82" t="s">
        <v>405</v>
      </c>
      <c r="B489" s="51" t="s">
        <v>799</v>
      </c>
      <c r="C489" s="84" t="s">
        <v>1272</v>
      </c>
      <c r="D489" s="111" t="s">
        <v>1671</v>
      </c>
    </row>
    <row r="490" spans="1:4">
      <c r="A490" s="82" t="s">
        <v>406</v>
      </c>
      <c r="B490" s="51" t="s">
        <v>800</v>
      </c>
      <c r="C490" s="84" t="s">
        <v>1273</v>
      </c>
      <c r="D490" s="111" t="s">
        <v>1671</v>
      </c>
    </row>
    <row r="491" spans="1:4">
      <c r="A491" s="82" t="s">
        <v>407</v>
      </c>
      <c r="B491" s="51" t="s">
        <v>801</v>
      </c>
      <c r="C491" s="84" t="s">
        <v>1274</v>
      </c>
      <c r="D491" s="111" t="s">
        <v>1671</v>
      </c>
    </row>
    <row r="492" spans="1:4">
      <c r="A492" s="85" t="s">
        <v>408</v>
      </c>
      <c r="B492" s="51" t="s">
        <v>802</v>
      </c>
      <c r="C492" s="84" t="s">
        <v>1264</v>
      </c>
      <c r="D492" s="111" t="s">
        <v>1671</v>
      </c>
    </row>
    <row r="493" spans="1:4">
      <c r="A493" s="82" t="s">
        <v>409</v>
      </c>
      <c r="B493" s="51" t="s">
        <v>803</v>
      </c>
      <c r="C493" s="86" t="s">
        <v>1275</v>
      </c>
      <c r="D493" s="111" t="s">
        <v>1671</v>
      </c>
    </row>
    <row r="494" spans="1:4">
      <c r="A494" s="85" t="s">
        <v>410</v>
      </c>
      <c r="B494" s="51" t="s">
        <v>804</v>
      </c>
      <c r="C494" s="84" t="s">
        <v>1265</v>
      </c>
      <c r="D494" s="111" t="s">
        <v>1671</v>
      </c>
    </row>
    <row r="495" spans="1:4">
      <c r="A495" s="111" t="s">
        <v>1537</v>
      </c>
      <c r="B495" s="51" t="s">
        <v>1538</v>
      </c>
      <c r="C495" s="86" t="s">
        <v>1539</v>
      </c>
      <c r="D495" s="111" t="s">
        <v>1671</v>
      </c>
    </row>
    <row r="496" spans="1:4">
      <c r="A496" s="82" t="s">
        <v>411</v>
      </c>
      <c r="B496" s="51" t="s">
        <v>809</v>
      </c>
      <c r="C496" s="84" t="s">
        <v>1277</v>
      </c>
      <c r="D496" s="111" t="s">
        <v>1656</v>
      </c>
    </row>
    <row r="497" spans="1:4">
      <c r="A497" s="85" t="s">
        <v>412</v>
      </c>
      <c r="B497" s="51" t="s">
        <v>810</v>
      </c>
      <c r="C497" s="84" t="s">
        <v>1266</v>
      </c>
      <c r="D497" s="111" t="s">
        <v>1656</v>
      </c>
    </row>
    <row r="498" spans="1:4">
      <c r="A498" s="82" t="s">
        <v>74</v>
      </c>
      <c r="B498" s="83" t="s">
        <v>525</v>
      </c>
      <c r="C498" s="84" t="s">
        <v>970</v>
      </c>
      <c r="D498" s="111" t="s">
        <v>1672</v>
      </c>
    </row>
    <row r="499" spans="1:4">
      <c r="A499" s="85" t="s">
        <v>420</v>
      </c>
      <c r="B499" s="51" t="s">
        <v>816</v>
      </c>
      <c r="C499" s="84" t="s">
        <v>861</v>
      </c>
      <c r="D499" s="111" t="s">
        <v>1660</v>
      </c>
    </row>
    <row r="500" spans="1:4">
      <c r="A500" s="82" t="s">
        <v>75</v>
      </c>
      <c r="B500" s="83" t="s">
        <v>526</v>
      </c>
      <c r="C500" s="84" t="s">
        <v>971</v>
      </c>
      <c r="D500" s="111" t="s">
        <v>1672</v>
      </c>
    </row>
    <row r="501" spans="1:4">
      <c r="A501" s="111" t="s">
        <v>1433</v>
      </c>
      <c r="B501" s="83" t="s">
        <v>1434</v>
      </c>
      <c r="C501" s="84" t="s">
        <v>1435</v>
      </c>
      <c r="D501" s="111" t="s">
        <v>1672</v>
      </c>
    </row>
    <row r="502" spans="1:4">
      <c r="A502" s="85" t="s">
        <v>76</v>
      </c>
      <c r="B502" s="51" t="s">
        <v>526</v>
      </c>
      <c r="C502" s="84" t="s">
        <v>903</v>
      </c>
      <c r="D502" s="111" t="s">
        <v>1672</v>
      </c>
    </row>
    <row r="503" spans="1:4">
      <c r="A503" s="111" t="s">
        <v>1436</v>
      </c>
      <c r="B503" s="51" t="s">
        <v>526</v>
      </c>
      <c r="C503" s="84" t="s">
        <v>1437</v>
      </c>
      <c r="D503" s="111" t="s">
        <v>1672</v>
      </c>
    </row>
    <row r="504" spans="1:4">
      <c r="A504" s="111" t="s">
        <v>1438</v>
      </c>
      <c r="B504" s="83" t="s">
        <v>1434</v>
      </c>
      <c r="C504" s="84" t="s">
        <v>1439</v>
      </c>
      <c r="D504" s="111" t="s">
        <v>1672</v>
      </c>
    </row>
    <row r="505" spans="1:4">
      <c r="A505" s="85" t="s">
        <v>77</v>
      </c>
      <c r="B505" s="51" t="s">
        <v>527</v>
      </c>
      <c r="C505" s="84" t="s">
        <v>904</v>
      </c>
      <c r="D505" s="111" t="s">
        <v>1672</v>
      </c>
    </row>
    <row r="506" spans="1:4">
      <c r="A506" s="85" t="s">
        <v>78</v>
      </c>
      <c r="B506" s="51" t="s">
        <v>528</v>
      </c>
      <c r="C506" s="84" t="s">
        <v>905</v>
      </c>
      <c r="D506" s="111" t="s">
        <v>1672</v>
      </c>
    </row>
    <row r="507" spans="1:4">
      <c r="A507" s="49" t="s">
        <v>1555</v>
      </c>
      <c r="B507" s="83" t="s">
        <v>529</v>
      </c>
      <c r="C507" s="86" t="s">
        <v>1556</v>
      </c>
      <c r="D507" s="111" t="s">
        <v>1672</v>
      </c>
    </row>
    <row r="508" spans="1:4">
      <c r="A508" s="111" t="s">
        <v>1540</v>
      </c>
      <c r="B508" s="83" t="s">
        <v>529</v>
      </c>
      <c r="C508" s="112" t="s">
        <v>1541</v>
      </c>
      <c r="D508" s="111" t="s">
        <v>1672</v>
      </c>
    </row>
    <row r="509" spans="1:4">
      <c r="A509" s="82" t="s">
        <v>79</v>
      </c>
      <c r="B509" s="83" t="s">
        <v>529</v>
      </c>
      <c r="C509" s="84" t="s">
        <v>972</v>
      </c>
      <c r="D509" s="111" t="s">
        <v>1672</v>
      </c>
    </row>
    <row r="510" spans="1:4">
      <c r="A510" s="82" t="s">
        <v>80</v>
      </c>
      <c r="B510" s="83" t="s">
        <v>530</v>
      </c>
      <c r="C510" s="84" t="s">
        <v>973</v>
      </c>
      <c r="D510" s="111" t="s">
        <v>1672</v>
      </c>
    </row>
    <row r="511" spans="1:4">
      <c r="A511" s="111" t="s">
        <v>1542</v>
      </c>
      <c r="B511" s="51" t="s">
        <v>1543</v>
      </c>
      <c r="C511" s="112" t="s">
        <v>1544</v>
      </c>
      <c r="D511" s="111" t="s">
        <v>1672</v>
      </c>
    </row>
    <row r="512" spans="1:4">
      <c r="A512" s="114" t="s">
        <v>1475</v>
      </c>
      <c r="B512" s="83" t="s">
        <v>1477</v>
      </c>
      <c r="C512" s="84" t="s">
        <v>1476</v>
      </c>
      <c r="D512" s="111" t="s">
        <v>1672</v>
      </c>
    </row>
    <row r="513" spans="1:4">
      <c r="A513" s="82" t="s">
        <v>81</v>
      </c>
      <c r="B513" s="83" t="s">
        <v>531</v>
      </c>
      <c r="C513" s="84" t="s">
        <v>974</v>
      </c>
      <c r="D513" s="111" t="s">
        <v>1672</v>
      </c>
    </row>
    <row r="514" spans="1:4">
      <c r="A514" s="82" t="s">
        <v>82</v>
      </c>
      <c r="B514" s="83" t="s">
        <v>532</v>
      </c>
      <c r="C514" s="84" t="s">
        <v>975</v>
      </c>
      <c r="D514" s="111" t="s">
        <v>1672</v>
      </c>
    </row>
    <row r="515" spans="1:4">
      <c r="A515" s="85" t="s">
        <v>83</v>
      </c>
      <c r="B515" s="51" t="s">
        <v>533</v>
      </c>
      <c r="C515" s="84" t="s">
        <v>906</v>
      </c>
      <c r="D515" s="111" t="s">
        <v>1672</v>
      </c>
    </row>
    <row r="516" spans="1:4">
      <c r="A516" s="85" t="s">
        <v>1440</v>
      </c>
      <c r="B516" s="83" t="s">
        <v>533</v>
      </c>
      <c r="C516" s="84" t="s">
        <v>1503</v>
      </c>
      <c r="D516" s="111" t="s">
        <v>1672</v>
      </c>
    </row>
    <row r="517" spans="1:4">
      <c r="A517" s="82" t="s">
        <v>84</v>
      </c>
      <c r="B517" s="83" t="s">
        <v>525</v>
      </c>
      <c r="C517" s="84" t="s">
        <v>976</v>
      </c>
      <c r="D517" s="111" t="s">
        <v>1672</v>
      </c>
    </row>
    <row r="518" spans="1:4">
      <c r="A518" s="82" t="s">
        <v>85</v>
      </c>
      <c r="B518" s="83" t="s">
        <v>525</v>
      </c>
      <c r="C518" s="84" t="s">
        <v>977</v>
      </c>
      <c r="D518" s="111" t="s">
        <v>1672</v>
      </c>
    </row>
    <row r="519" spans="1:4">
      <c r="A519" s="111" t="s">
        <v>1441</v>
      </c>
      <c r="B519" s="83" t="s">
        <v>534</v>
      </c>
      <c r="C519" s="84" t="s">
        <v>1442</v>
      </c>
      <c r="D519" s="111" t="s">
        <v>1672</v>
      </c>
    </row>
    <row r="520" spans="1:4">
      <c r="A520" s="111" t="s">
        <v>1443</v>
      </c>
      <c r="B520" s="51" t="s">
        <v>535</v>
      </c>
      <c r="C520" s="84" t="s">
        <v>1444</v>
      </c>
      <c r="D520" s="111" t="s">
        <v>1672</v>
      </c>
    </row>
    <row r="521" spans="1:4">
      <c r="A521" s="82" t="s">
        <v>86</v>
      </c>
      <c r="B521" s="83" t="s">
        <v>534</v>
      </c>
      <c r="C521" s="84" t="s">
        <v>978</v>
      </c>
      <c r="D521" s="111" t="s">
        <v>1672</v>
      </c>
    </row>
    <row r="522" spans="1:4">
      <c r="A522" s="85" t="s">
        <v>87</v>
      </c>
      <c r="B522" s="51" t="s">
        <v>535</v>
      </c>
      <c r="C522" s="84" t="s">
        <v>907</v>
      </c>
      <c r="D522" s="111" t="s">
        <v>1672</v>
      </c>
    </row>
    <row r="523" spans="1:4">
      <c r="A523" s="85" t="s">
        <v>1445</v>
      </c>
      <c r="B523" s="83" t="s">
        <v>535</v>
      </c>
      <c r="C523" s="84" t="s">
        <v>1504</v>
      </c>
      <c r="D523" s="111" t="s">
        <v>1672</v>
      </c>
    </row>
    <row r="524" spans="1:4">
      <c r="A524" s="85" t="s">
        <v>1545</v>
      </c>
      <c r="B524" s="51" t="s">
        <v>536</v>
      </c>
      <c r="C524" s="84" t="s">
        <v>1546</v>
      </c>
      <c r="D524" s="111" t="s">
        <v>1672</v>
      </c>
    </row>
    <row r="525" spans="1:4">
      <c r="A525" s="85" t="s">
        <v>88</v>
      </c>
      <c r="B525" s="51" t="s">
        <v>536</v>
      </c>
      <c r="C525" s="84" t="s">
        <v>908</v>
      </c>
      <c r="D525" s="111" t="s">
        <v>1672</v>
      </c>
    </row>
    <row r="526" spans="1:4">
      <c r="A526" s="111" t="s">
        <v>1446</v>
      </c>
      <c r="B526" s="83" t="s">
        <v>537</v>
      </c>
      <c r="C526" s="84" t="s">
        <v>1447</v>
      </c>
      <c r="D526" s="111" t="s">
        <v>1672</v>
      </c>
    </row>
    <row r="527" spans="1:4">
      <c r="A527" s="82" t="s">
        <v>89</v>
      </c>
      <c r="B527" s="83" t="s">
        <v>537</v>
      </c>
      <c r="C527" s="84" t="s">
        <v>979</v>
      </c>
      <c r="D527" s="111" t="s">
        <v>1672</v>
      </c>
    </row>
    <row r="528" spans="1:4">
      <c r="A528" s="111" t="s">
        <v>1448</v>
      </c>
      <c r="B528" s="51" t="s">
        <v>538</v>
      </c>
      <c r="C528" s="84" t="s">
        <v>1449</v>
      </c>
      <c r="D528" s="111" t="s">
        <v>1672</v>
      </c>
    </row>
    <row r="529" spans="1:4">
      <c r="A529" s="85" t="s">
        <v>90</v>
      </c>
      <c r="B529" s="51" t="s">
        <v>538</v>
      </c>
      <c r="C529" s="84" t="s">
        <v>909</v>
      </c>
      <c r="D529" s="111" t="s">
        <v>1672</v>
      </c>
    </row>
    <row r="530" spans="1:4">
      <c r="A530" s="85" t="s">
        <v>91</v>
      </c>
      <c r="B530" s="51" t="s">
        <v>539</v>
      </c>
      <c r="C530" s="84" t="s">
        <v>910</v>
      </c>
      <c r="D530" s="111" t="s">
        <v>1672</v>
      </c>
    </row>
    <row r="531" spans="1:4">
      <c r="A531" s="111" t="s">
        <v>1450</v>
      </c>
      <c r="B531" s="51" t="s">
        <v>539</v>
      </c>
      <c r="C531" s="84" t="s">
        <v>1451</v>
      </c>
      <c r="D531" s="111" t="s">
        <v>1672</v>
      </c>
    </row>
    <row r="532" spans="1:4">
      <c r="A532" s="111" t="s">
        <v>1452</v>
      </c>
      <c r="B532" s="83" t="s">
        <v>1453</v>
      </c>
      <c r="C532" s="84" t="s">
        <v>1478</v>
      </c>
      <c r="D532" s="111" t="s">
        <v>1672</v>
      </c>
    </row>
    <row r="533" spans="1:4">
      <c r="A533" s="85" t="s">
        <v>92</v>
      </c>
      <c r="B533" s="51" t="s">
        <v>540</v>
      </c>
      <c r="C533" s="84" t="s">
        <v>911</v>
      </c>
      <c r="D533" s="111" t="s">
        <v>1672</v>
      </c>
    </row>
    <row r="534" spans="1:4">
      <c r="A534" s="111" t="s">
        <v>1454</v>
      </c>
      <c r="B534" s="83" t="s">
        <v>540</v>
      </c>
      <c r="C534" s="84" t="s">
        <v>1479</v>
      </c>
      <c r="D534" s="111" t="s">
        <v>1672</v>
      </c>
    </row>
    <row r="535" spans="1:4">
      <c r="A535" s="85" t="s">
        <v>93</v>
      </c>
      <c r="B535" s="51" t="s">
        <v>541</v>
      </c>
      <c r="C535" s="84" t="s">
        <v>912</v>
      </c>
      <c r="D535" s="111" t="s">
        <v>1672</v>
      </c>
    </row>
    <row r="536" spans="1:4">
      <c r="A536" s="85" t="s">
        <v>94</v>
      </c>
      <c r="B536" s="51" t="s">
        <v>913</v>
      </c>
      <c r="C536" s="84" t="s">
        <v>914</v>
      </c>
      <c r="D536" s="111" t="s">
        <v>1672</v>
      </c>
    </row>
    <row r="537" spans="1:4">
      <c r="A537" s="111" t="s">
        <v>1455</v>
      </c>
      <c r="B537" s="83" t="s">
        <v>1456</v>
      </c>
      <c r="C537" s="84" t="s">
        <v>1457</v>
      </c>
      <c r="D537" s="111" t="s">
        <v>1672</v>
      </c>
    </row>
    <row r="538" spans="1:4">
      <c r="A538" s="82" t="s">
        <v>95</v>
      </c>
      <c r="B538" s="83" t="s">
        <v>526</v>
      </c>
      <c r="C538" s="84" t="s">
        <v>980</v>
      </c>
      <c r="D538" s="111" t="s">
        <v>1672</v>
      </c>
    </row>
    <row r="539" spans="1:4">
      <c r="A539" s="82" t="s">
        <v>96</v>
      </c>
      <c r="B539" s="83" t="s">
        <v>542</v>
      </c>
      <c r="C539" s="84" t="s">
        <v>981</v>
      </c>
      <c r="D539" s="111" t="s">
        <v>1672</v>
      </c>
    </row>
    <row r="540" spans="1:4">
      <c r="A540" s="111" t="s">
        <v>1458</v>
      </c>
      <c r="B540" s="83" t="s">
        <v>531</v>
      </c>
      <c r="C540" s="84" t="s">
        <v>1459</v>
      </c>
      <c r="D540" s="111" t="s">
        <v>1672</v>
      </c>
    </row>
    <row r="541" spans="1:4">
      <c r="A541" s="82" t="s">
        <v>97</v>
      </c>
      <c r="B541" s="83" t="s">
        <v>538</v>
      </c>
      <c r="C541" s="84" t="s">
        <v>982</v>
      </c>
      <c r="D541" s="111" t="s">
        <v>1672</v>
      </c>
    </row>
    <row r="542" spans="1:4">
      <c r="A542" s="111" t="s">
        <v>1460</v>
      </c>
      <c r="B542" s="83" t="s">
        <v>1461</v>
      </c>
      <c r="C542" s="86" t="s">
        <v>1462</v>
      </c>
      <c r="D542" s="111" t="s">
        <v>1672</v>
      </c>
    </row>
    <row r="543" spans="1:4">
      <c r="A543" s="82" t="s">
        <v>98</v>
      </c>
      <c r="B543" s="83" t="s">
        <v>543</v>
      </c>
      <c r="C543" s="84" t="s">
        <v>983</v>
      </c>
      <c r="D543" s="111" t="s">
        <v>1672</v>
      </c>
    </row>
    <row r="544" spans="1:4">
      <c r="A544" s="111" t="s">
        <v>1463</v>
      </c>
      <c r="B544" s="51" t="s">
        <v>546</v>
      </c>
      <c r="C544" s="84" t="s">
        <v>1464</v>
      </c>
      <c r="D544" s="111" t="s">
        <v>1673</v>
      </c>
    </row>
    <row r="545" spans="1:4">
      <c r="A545" s="85" t="s">
        <v>1315</v>
      </c>
      <c r="B545" s="51" t="s">
        <v>1320</v>
      </c>
      <c r="C545" s="86" t="s">
        <v>1319</v>
      </c>
      <c r="D545" s="111" t="s">
        <v>1673</v>
      </c>
    </row>
    <row r="546" spans="1:4">
      <c r="A546" s="82" t="s">
        <v>103</v>
      </c>
      <c r="B546" s="83" t="s">
        <v>544</v>
      </c>
      <c r="C546" s="84" t="s">
        <v>984</v>
      </c>
      <c r="D546" s="111" t="s">
        <v>1673</v>
      </c>
    </row>
    <row r="547" spans="1:4">
      <c r="A547" s="85" t="s">
        <v>104</v>
      </c>
      <c r="B547" s="51" t="s">
        <v>546</v>
      </c>
      <c r="C547" s="84" t="s">
        <v>915</v>
      </c>
      <c r="D547" s="111" t="s">
        <v>1673</v>
      </c>
    </row>
    <row r="548" spans="1:4">
      <c r="A548" s="111" t="s">
        <v>1465</v>
      </c>
      <c r="B548" s="51" t="s">
        <v>1466</v>
      </c>
      <c r="C548" s="84" t="s">
        <v>1467</v>
      </c>
      <c r="D548" s="111" t="s">
        <v>1673</v>
      </c>
    </row>
    <row r="549" spans="1:4">
      <c r="A549" s="85" t="s">
        <v>100</v>
      </c>
      <c r="B549" s="51" t="s">
        <v>544</v>
      </c>
      <c r="C549" s="84" t="s">
        <v>916</v>
      </c>
      <c r="D549" s="111" t="s">
        <v>1673</v>
      </c>
    </row>
    <row r="550" spans="1:4">
      <c r="A550" s="113" t="s">
        <v>1343</v>
      </c>
      <c r="B550" s="51" t="s">
        <v>1355</v>
      </c>
      <c r="C550" s="112" t="s">
        <v>1356</v>
      </c>
      <c r="D550" s="111" t="s">
        <v>1673</v>
      </c>
    </row>
    <row r="551" spans="1:4">
      <c r="A551" s="85" t="s">
        <v>101</v>
      </c>
      <c r="B551" s="51" t="s">
        <v>544</v>
      </c>
      <c r="C551" s="84" t="s">
        <v>917</v>
      </c>
      <c r="D551" s="111" t="s">
        <v>1673</v>
      </c>
    </row>
    <row r="552" spans="1:4">
      <c r="A552" s="85" t="s">
        <v>105</v>
      </c>
      <c r="B552" s="51" t="s">
        <v>547</v>
      </c>
      <c r="C552" s="84" t="s">
        <v>918</v>
      </c>
      <c r="D552" s="111" t="s">
        <v>1673</v>
      </c>
    </row>
    <row r="553" spans="1:4">
      <c r="A553" s="85" t="s">
        <v>919</v>
      </c>
      <c r="B553" s="51" t="s">
        <v>920</v>
      </c>
      <c r="C553" s="84" t="s">
        <v>921</v>
      </c>
      <c r="D553" s="111" t="s">
        <v>1673</v>
      </c>
    </row>
    <row r="554" spans="1:4">
      <c r="A554" s="85" t="s">
        <v>106</v>
      </c>
      <c r="B554" s="51" t="s">
        <v>548</v>
      </c>
      <c r="C554" s="84" t="s">
        <v>922</v>
      </c>
      <c r="D554" s="111" t="s">
        <v>1673</v>
      </c>
    </row>
    <row r="555" spans="1:4">
      <c r="A555" s="85" t="s">
        <v>107</v>
      </c>
      <c r="B555" s="51" t="s">
        <v>549</v>
      </c>
      <c r="C555" s="84" t="s">
        <v>923</v>
      </c>
      <c r="D555" s="111" t="s">
        <v>1673</v>
      </c>
    </row>
    <row r="556" spans="1:4">
      <c r="A556" s="85" t="s">
        <v>108</v>
      </c>
      <c r="B556" s="51" t="s">
        <v>550</v>
      </c>
      <c r="C556" s="84" t="s">
        <v>924</v>
      </c>
      <c r="D556" s="111" t="s">
        <v>1673</v>
      </c>
    </row>
    <row r="557" spans="1:4">
      <c r="A557" s="82" t="s">
        <v>472</v>
      </c>
      <c r="B557" s="83" t="s">
        <v>550</v>
      </c>
      <c r="C557" s="84" t="s">
        <v>985</v>
      </c>
      <c r="D557" s="111" t="s">
        <v>1673</v>
      </c>
    </row>
    <row r="558" spans="1:4">
      <c r="A558" s="85" t="s">
        <v>1312</v>
      </c>
      <c r="B558" s="51" t="s">
        <v>1313</v>
      </c>
      <c r="C558" s="84" t="s">
        <v>1314</v>
      </c>
      <c r="D558" s="111" t="s">
        <v>1673</v>
      </c>
    </row>
    <row r="559" spans="1:4">
      <c r="A559" s="85" t="s">
        <v>109</v>
      </c>
      <c r="B559" s="51" t="s">
        <v>551</v>
      </c>
      <c r="C559" s="84" t="s">
        <v>925</v>
      </c>
      <c r="D559" s="111" t="s">
        <v>1673</v>
      </c>
    </row>
    <row r="560" spans="1:4">
      <c r="A560" s="111" t="s">
        <v>1468</v>
      </c>
      <c r="B560" s="51" t="s">
        <v>545</v>
      </c>
      <c r="C560" s="84" t="s">
        <v>1469</v>
      </c>
      <c r="D560" s="111" t="s">
        <v>1673</v>
      </c>
    </row>
    <row r="561" spans="1:4">
      <c r="A561" s="85" t="s">
        <v>102</v>
      </c>
      <c r="B561" s="51" t="s">
        <v>545</v>
      </c>
      <c r="C561" s="84" t="s">
        <v>926</v>
      </c>
      <c r="D561" s="111" t="s">
        <v>1673</v>
      </c>
    </row>
    <row r="562" spans="1:4">
      <c r="A562" s="111" t="s">
        <v>1470</v>
      </c>
      <c r="B562" s="51" t="s">
        <v>1471</v>
      </c>
      <c r="C562" s="84" t="s">
        <v>1472</v>
      </c>
      <c r="D562" s="111" t="s">
        <v>1673</v>
      </c>
    </row>
    <row r="563" spans="1:4">
      <c r="A563" s="111" t="s">
        <v>1473</v>
      </c>
      <c r="B563" s="51" t="s">
        <v>548</v>
      </c>
      <c r="C563" s="84" t="s">
        <v>1474</v>
      </c>
      <c r="D563" s="111" t="s">
        <v>1673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A88294F0-711F-4753-983D-11C33EF265BE}"/>
    <hyperlink ref="C2" r:id="rId2" xr:uid="{1DCCDDF7-7D37-47C8-AB1B-30D516EF2642}"/>
    <hyperlink ref="B3" r:id="rId3" xr:uid="{53ABBFC6-C28F-4857-9630-FAA947B88119}"/>
    <hyperlink ref="B4" r:id="rId4" xr:uid="{2BD7012F-B846-4453-BEFA-47337A7D7952}"/>
    <hyperlink ref="B5" r:id="rId5" xr:uid="{17BEBE18-BB0F-4DB2-BBD2-9EBBADD9DC04}"/>
    <hyperlink ref="B6" r:id="rId6" xr:uid="{8934794D-804F-49D6-AB6E-9B4A780B0DF8}"/>
    <hyperlink ref="B7" r:id="rId7" xr:uid="{2881D5EB-A321-45AC-978F-16F98ABB8F99}"/>
    <hyperlink ref="B8" r:id="rId8" xr:uid="{4434DFE3-FD1B-4A5A-A210-7EB994696DC8}"/>
    <hyperlink ref="B9" r:id="rId9" xr:uid="{474B684B-169E-4CBE-86C8-BDE76430A107}"/>
    <hyperlink ref="B10" r:id="rId10" xr:uid="{D80062D7-9FA3-4087-A41F-46526DE7F4AB}"/>
    <hyperlink ref="B11" r:id="rId11" xr:uid="{DF578E06-FCD5-4194-9D11-6C90897B602F}"/>
    <hyperlink ref="B12" r:id="rId12" xr:uid="{31E22581-FD4F-4D7A-B2BF-A25B39EEE922}"/>
    <hyperlink ref="B13" r:id="rId13" xr:uid="{3D93119C-D3D7-4F4D-9459-D47781FD3C31}"/>
    <hyperlink ref="B14" r:id="rId14" xr:uid="{D5692075-7DC9-4D65-A23C-2F098B5249F5}"/>
    <hyperlink ref="B15" r:id="rId15" xr:uid="{011EEE5D-CE34-4C32-BD88-356CDEBC2680}"/>
    <hyperlink ref="B16" r:id="rId16" xr:uid="{6211BFB7-7D27-4ADD-9E7B-CEF970DF221E}"/>
    <hyperlink ref="B17" r:id="rId17" xr:uid="{5A38DF43-5CF6-4073-8CBC-0345783E5938}"/>
    <hyperlink ref="B18" r:id="rId18" xr:uid="{EA179554-4C46-41B3-92CC-1249D4447A5C}"/>
    <hyperlink ref="B19" r:id="rId19" xr:uid="{FEF66033-C36D-4D6D-8B5A-605FAB095923}"/>
    <hyperlink ref="B20" r:id="rId20" xr:uid="{197887E3-7441-495D-9197-58166F56C2F2}"/>
    <hyperlink ref="B21" r:id="rId21" xr:uid="{9B636938-8AE2-4FB3-B724-C67128326ACF}"/>
    <hyperlink ref="B22" r:id="rId22" xr:uid="{590EE07C-C7A9-4073-B05B-91A005098FE3}"/>
    <hyperlink ref="B23" r:id="rId23" xr:uid="{349FEAEB-EB75-4174-A877-7E2E709D8921}"/>
    <hyperlink ref="B24" r:id="rId24" xr:uid="{6682397A-8938-4A0C-ACE8-9737C14E69DA}"/>
    <hyperlink ref="B25" r:id="rId25" xr:uid="{459A7CBA-AC47-4F2A-B480-6EFC2BC280DC}"/>
    <hyperlink ref="B26" r:id="rId26" xr:uid="{6AB4CC3A-DD02-4492-98C9-B6886FB77206}"/>
    <hyperlink ref="B27" r:id="rId27" location="/Tabs=section-spareparts/" xr:uid="{F941FE0C-4EFA-44FD-A033-CF3573CF19C4}"/>
    <hyperlink ref="B28" r:id="rId28" xr:uid="{38989675-36D7-43B9-BD25-3DBF2100F936}"/>
    <hyperlink ref="B29" r:id="rId29" xr:uid="{E2E168CC-EE25-443A-BF74-57E0A25C71B6}"/>
    <hyperlink ref="B30" r:id="rId30" xr:uid="{C38CEA92-F739-4AFB-98EB-2C56707244D0}"/>
    <hyperlink ref="B31" r:id="rId31" xr:uid="{2DD78DB4-3332-4960-AC4C-53AD5224D718}"/>
    <hyperlink ref="B32" r:id="rId32" xr:uid="{53DCC1C2-0648-4D56-A75B-56194774BE87}"/>
    <hyperlink ref="B33" r:id="rId33" xr:uid="{8A5BE837-DF72-449E-8C51-BBFECAD60369}"/>
    <hyperlink ref="B34" r:id="rId34" xr:uid="{8719B09C-88F9-4468-A72A-4B830AFBD7D5}"/>
    <hyperlink ref="B35" r:id="rId35" xr:uid="{FF05F086-FB14-486A-9529-660A7006D45B}"/>
    <hyperlink ref="B36" r:id="rId36" xr:uid="{7291D26C-6A63-4CE9-839A-682C5B6A8461}"/>
    <hyperlink ref="B37" r:id="rId37" xr:uid="{B8A0901D-701A-43F7-B019-CC5A27541B4D}"/>
    <hyperlink ref="B38" r:id="rId38" xr:uid="{E4D6C70A-FCA4-411B-A10A-0E419C5DC743}"/>
    <hyperlink ref="B39" r:id="rId39" xr:uid="{BC749993-D04B-4D8E-82A9-0E11591628BB}"/>
    <hyperlink ref="B40" r:id="rId40" xr:uid="{BCD96C1F-1CD0-4250-92C2-885A61970FB1}"/>
    <hyperlink ref="B41" r:id="rId41" xr:uid="{62ED297A-DFD6-4885-9BB2-DCDEF37E17EE}"/>
    <hyperlink ref="B54" r:id="rId42" xr:uid="{A1AB82FA-BDE6-42EC-833F-1D2FEF34D13D}"/>
    <hyperlink ref="B55" r:id="rId43" xr:uid="{2FABBE31-D20C-410B-969A-AC1ED3717930}"/>
    <hyperlink ref="B56" r:id="rId44" xr:uid="{BBAA0E7A-46E0-4A19-A253-31D4758AD07F}"/>
    <hyperlink ref="B57" r:id="rId45" xr:uid="{86EE830C-2C57-4B2F-913F-7438C040B735}"/>
    <hyperlink ref="B58" r:id="rId46" xr:uid="{06B93723-6A3D-4849-9F9F-ECE188D50219}"/>
    <hyperlink ref="B59" r:id="rId47" xr:uid="{EC172582-C65A-4F7B-86E9-8BB55812E7B2}"/>
    <hyperlink ref="B60" r:id="rId48" xr:uid="{99552C90-268A-4D37-B2EC-4B17A245AD2C}"/>
    <hyperlink ref="B61" r:id="rId49" xr:uid="{BADA9675-A86E-4A90-A17E-C55C74851B78}"/>
    <hyperlink ref="B62" r:id="rId50" location="/Tabs=section-spareparts/" xr:uid="{6A17F2B1-8EDC-4678-BA90-E3359716EDFC}"/>
    <hyperlink ref="B63" r:id="rId51" xr:uid="{40A44F0D-8A0C-45F9-894C-735D1A6D4E39}"/>
    <hyperlink ref="B64" r:id="rId52" xr:uid="{BAE75DFA-565F-40D4-8440-BBC0A6816B8C}"/>
    <hyperlink ref="B65" r:id="rId53" xr:uid="{070095F4-AA68-4C90-9A21-63B3F929B87C}"/>
    <hyperlink ref="B66" r:id="rId54" xr:uid="{35B85215-31E6-4DEB-9A34-2B3D9B0E8C50}"/>
    <hyperlink ref="B67" r:id="rId55" xr:uid="{2FE9B961-F120-488F-83D8-FF2761ABD115}"/>
    <hyperlink ref="B68" r:id="rId56" xr:uid="{2F2AC81C-0EC7-4EEF-8949-32E4192E23DF}"/>
    <hyperlink ref="B69" r:id="rId57" xr:uid="{A5FEABC0-E10D-44C0-8D7F-2258896098CF}"/>
    <hyperlink ref="B70" r:id="rId58" xr:uid="{C12EFE65-38A6-4D24-861C-15D60BA99F11}"/>
    <hyperlink ref="B71" r:id="rId59" xr:uid="{45958741-C0B5-4685-968E-5AE314A9195D}"/>
    <hyperlink ref="B72" r:id="rId60" xr:uid="{80A83AAF-9A94-4405-971B-A11F9A94E937}"/>
    <hyperlink ref="B73" r:id="rId61" xr:uid="{5142A994-477D-453E-ACE9-0C65D1340A0F}"/>
    <hyperlink ref="B74" r:id="rId62" xr:uid="{24E08B61-55CF-4515-AB5F-67C83F880C15}"/>
    <hyperlink ref="B75" r:id="rId63" xr:uid="{47E6AEBF-7100-44AE-9A05-02AE555CA368}"/>
    <hyperlink ref="B76" r:id="rId64" xr:uid="{52E9E690-7A2A-440F-ACEB-38A3D0828B88}"/>
    <hyperlink ref="B77" r:id="rId65" xr:uid="{D18E8FB3-3E85-4B56-AD57-0E8EEBAF8CD5}"/>
    <hyperlink ref="B78" r:id="rId66" xr:uid="{6616E97B-FBA7-4514-BF17-79637078A3D2}"/>
    <hyperlink ref="B79" r:id="rId67" xr:uid="{3E6769D7-D360-48F0-87D9-063378A6FB6A}"/>
    <hyperlink ref="B80" r:id="rId68" xr:uid="{716CFA6C-2400-4FBE-B15A-7E749FC374B2}"/>
    <hyperlink ref="C80" r:id="rId69" xr:uid="{F863ACAB-DA1A-45A6-98EB-859E4EF410DC}"/>
    <hyperlink ref="B81" r:id="rId70" xr:uid="{A777540F-5B46-4523-A184-8ABFEDE45010}"/>
    <hyperlink ref="B82" r:id="rId71" xr:uid="{897A8749-9826-4D88-BFA6-0143B9987B52}"/>
    <hyperlink ref="B83" r:id="rId72" xr:uid="{341AE9F4-F313-4D63-ABF2-541E55C2D65D}"/>
    <hyperlink ref="B84" r:id="rId73" xr:uid="{5A1A391A-718F-4C08-B006-7DACA541B09F}"/>
    <hyperlink ref="B85" r:id="rId74" xr:uid="{B2BEFF31-E5B3-4069-A64B-80EE52763C35}"/>
    <hyperlink ref="B86" r:id="rId75" xr:uid="{0FCB7974-F642-4E3F-AD03-B1C6F297747C}"/>
    <hyperlink ref="B87" r:id="rId76" xr:uid="{BE0AFA6E-3758-4702-AE54-8C604FF3DAA2}"/>
    <hyperlink ref="B88" r:id="rId77" xr:uid="{ABC190E4-F309-4999-8CC5-3CC32BEAE5D9}"/>
    <hyperlink ref="C88" r:id="rId78" xr:uid="{B7D2E893-DC6A-4E87-B44E-8D01E41A37C8}"/>
    <hyperlink ref="B90" r:id="rId79" xr:uid="{E4D121BA-5B07-4D24-8231-0B7DF81A734A}"/>
    <hyperlink ref="B91" r:id="rId80" xr:uid="{4BE2AC4D-C704-4C98-981C-E48D06A6E8FD}"/>
    <hyperlink ref="B92" r:id="rId81" xr:uid="{F53FB415-7DF2-43AA-9C0E-858D40A6DD0D}"/>
    <hyperlink ref="B93" r:id="rId82" xr:uid="{3B7FB50A-F7A5-499D-9C55-F5E50A98C3FD}"/>
    <hyperlink ref="B94" r:id="rId83" xr:uid="{C9272F8A-08B2-4563-AFA7-7E7F2925F93B}"/>
    <hyperlink ref="B95" r:id="rId84" xr:uid="{04EF0429-5A09-47EB-A695-BB5B2D16FFAC}"/>
    <hyperlink ref="B96" r:id="rId85" xr:uid="{F5A365A6-72C5-422C-A502-883656A61FFA}"/>
    <hyperlink ref="B98" r:id="rId86" xr:uid="{0081E591-E14B-4D71-A32F-AB99C4168526}"/>
    <hyperlink ref="B99" r:id="rId87" xr:uid="{A4AD5764-77DF-4D15-BC53-29EB10B30608}"/>
    <hyperlink ref="C99" r:id="rId88" xr:uid="{F5FB3A96-2B79-4479-8B3B-1B3F2C991D09}"/>
    <hyperlink ref="B100" r:id="rId89" xr:uid="{7B254B70-4B77-4D03-AD14-667637F4C1B2}"/>
    <hyperlink ref="B101" r:id="rId90" xr:uid="{F374CFF4-596B-464A-8AD7-62D2A02A0F8A}"/>
    <hyperlink ref="B102" r:id="rId91" xr:uid="{BA75BFB0-6E76-4FDA-A2FB-9E78E0698B45}"/>
    <hyperlink ref="B103" r:id="rId92" xr:uid="{695B4958-8354-4D59-8914-8854FDDA82DE}"/>
    <hyperlink ref="B104" r:id="rId93" xr:uid="{20A4FC01-7656-474C-9A4F-686A936BB5A2}"/>
    <hyperlink ref="B105" r:id="rId94" xr:uid="{47041233-7466-4599-9CA4-1FEAA4B7D3CD}"/>
    <hyperlink ref="B106" r:id="rId95" xr:uid="{4C02F9FE-2832-41B6-A499-52926E293681}"/>
    <hyperlink ref="B107" r:id="rId96" xr:uid="{91ADD6F0-5884-4E95-BBC7-1EF0C7CAEEC7}"/>
    <hyperlink ref="B108" r:id="rId97" xr:uid="{9949466F-A7C5-4B35-AC82-5DBF88A1944C}"/>
    <hyperlink ref="B109" r:id="rId98" xr:uid="{1CEFA38B-8C91-48C8-AEAB-5DC75052E74E}"/>
    <hyperlink ref="B110" r:id="rId99" xr:uid="{6009E04F-6A0B-477E-B0C5-058A8EB3EF3F}"/>
    <hyperlink ref="B111" r:id="rId100" xr:uid="{607C9333-773A-4ECD-8EE0-AA00122BBEF7}"/>
    <hyperlink ref="B112" r:id="rId101" xr:uid="{47D4CDD5-FB6D-4E90-8500-F20548223F50}"/>
    <hyperlink ref="B113" r:id="rId102" xr:uid="{B3BEAA94-69E8-464A-945B-8A386273EC3C}"/>
    <hyperlink ref="B114" r:id="rId103" xr:uid="{B7489727-70F5-464C-8F09-A363FAEF405A}"/>
    <hyperlink ref="B115" r:id="rId104" xr:uid="{209CEDB8-0FE8-4BA9-A0CE-879CF2F594AA}"/>
    <hyperlink ref="B116" r:id="rId105" xr:uid="{432D1067-FBE2-40D6-86F0-DE6E8A372810}"/>
    <hyperlink ref="B117" r:id="rId106" xr:uid="{F83A0F23-4700-4C1C-953D-AEA3138810B8}"/>
    <hyperlink ref="B118" r:id="rId107" xr:uid="{996795FC-F4BB-4241-984B-B6516E0506B5}"/>
    <hyperlink ref="B119" r:id="rId108" xr:uid="{3E51375A-8734-40FA-B81C-67FAC3663ED2}"/>
    <hyperlink ref="B120" r:id="rId109" xr:uid="{742463B1-2C81-48B8-870C-F221222A0B19}"/>
    <hyperlink ref="B121" r:id="rId110" xr:uid="{9CCDC41D-BB3E-4CBE-B528-D9BED00FA815}"/>
    <hyperlink ref="B122" r:id="rId111" xr:uid="{E7039F78-1C08-4637-B989-F3154DA23ED1}"/>
    <hyperlink ref="B123" r:id="rId112" xr:uid="{C52BA100-7A54-4188-8459-45BB5CC5190F}"/>
    <hyperlink ref="B124" r:id="rId113" xr:uid="{217900A5-ADDB-4549-A342-B61B519236D1}"/>
    <hyperlink ref="B125" r:id="rId114" xr:uid="{DC91388C-74C1-45E1-AC5B-07A8AB6EE692}"/>
    <hyperlink ref="B126" r:id="rId115" xr:uid="{4CCC0691-5DDE-4209-AEC6-D97AB3D8CEE4}"/>
    <hyperlink ref="B127" r:id="rId116" xr:uid="{764D8BD2-58D0-4574-89CB-BECA8E953E17}"/>
    <hyperlink ref="B128" r:id="rId117" xr:uid="{8E21D42D-F683-4ABD-BBF2-5D8C14C1D08B}"/>
    <hyperlink ref="B129" r:id="rId118" xr:uid="{D718FF5F-3FCF-40CF-BF18-F91CF6461942}"/>
    <hyperlink ref="B130" r:id="rId119" xr:uid="{3FB27911-CA4A-4A27-9024-19533CD59B30}"/>
    <hyperlink ref="B131" r:id="rId120" xr:uid="{268D3388-5066-4DAB-9F3F-7C8DAF7CC8F5}"/>
    <hyperlink ref="B132" r:id="rId121" xr:uid="{756C82D6-3D02-4356-8A65-DE69CFCDAFD8}"/>
    <hyperlink ref="B133" r:id="rId122" xr:uid="{9211F1AC-22DE-4242-9E4E-80E288EF627A}"/>
    <hyperlink ref="B134" r:id="rId123" xr:uid="{654BE178-F2FF-4881-9240-DC16BAA4593D}"/>
    <hyperlink ref="B135" r:id="rId124" xr:uid="{C44F0344-38AC-4A12-B2D3-64FF97A8865F}"/>
    <hyperlink ref="B136" r:id="rId125" xr:uid="{A6D81515-A6BC-4C61-967F-5686165A037E}"/>
    <hyperlink ref="B137" r:id="rId126" xr:uid="{B39AD5AD-20A5-4AA9-90A2-0191F200F234}"/>
    <hyperlink ref="B138" r:id="rId127" xr:uid="{B7DA799D-C87B-4A00-8CAD-0F32F9E99059}"/>
    <hyperlink ref="B139" r:id="rId128" xr:uid="{6609490A-B554-4E77-B030-986048A38AFD}"/>
    <hyperlink ref="B140" r:id="rId129" xr:uid="{4735C1C3-83A5-4D22-BBF0-83079E9CA223}"/>
    <hyperlink ref="B141" r:id="rId130" xr:uid="{DE88F6FA-C1C6-4450-B0C5-0BB92A089A47}"/>
    <hyperlink ref="B142" r:id="rId131" xr:uid="{C3AD668A-08E9-46FF-B5A0-738EA96356BA}"/>
    <hyperlink ref="B143" r:id="rId132" xr:uid="{A1FC68BA-734A-454B-B33F-912E7F7A23AD}"/>
    <hyperlink ref="B144" r:id="rId133" xr:uid="{B3304C92-C1A5-45D8-B5B4-DE8F1E217AF3}"/>
    <hyperlink ref="B145" r:id="rId134" xr:uid="{13D092B5-1DDC-458C-A82C-1B1BB19AEBA1}"/>
    <hyperlink ref="B146" r:id="rId135" xr:uid="{C49EA628-91E0-462B-9F42-4FDC79D6C652}"/>
    <hyperlink ref="B147" r:id="rId136" xr:uid="{D92C37AA-BB8F-4677-BD59-C51673A346CB}"/>
    <hyperlink ref="B148" r:id="rId137" xr:uid="{DD9D707B-E27F-4049-B2A3-B6F61108B492}"/>
    <hyperlink ref="B149" r:id="rId138" xr:uid="{4F050E24-7DE8-4C35-B8EE-DDDB0C221092}"/>
    <hyperlink ref="B150" r:id="rId139" xr:uid="{C5750BD8-802E-4BA6-889B-24232E812D42}"/>
    <hyperlink ref="B151" r:id="rId140" xr:uid="{38115612-4BF4-4DBD-8A58-FBBAC6A7ACC9}"/>
    <hyperlink ref="B152" r:id="rId141" xr:uid="{5F250882-2402-476F-9DE7-42BAA4C8C684}"/>
    <hyperlink ref="B153" r:id="rId142" xr:uid="{17C6E174-6DF1-4F3E-BF39-C03D751C733E}"/>
    <hyperlink ref="C153" r:id="rId143" xr:uid="{537792CE-70CC-4A3A-95AF-D18394822D29}"/>
    <hyperlink ref="B154" r:id="rId144" xr:uid="{9A8A33AA-5A64-4908-8845-2DDFCE7A196B}"/>
    <hyperlink ref="B155" r:id="rId145" xr:uid="{42A0633A-BC38-4141-A1E6-AEAC3DCE42D3}"/>
    <hyperlink ref="B156" r:id="rId146" xr:uid="{D490EF3A-2880-4D34-9ED8-2F3923E2A840}"/>
    <hyperlink ref="B157" r:id="rId147" xr:uid="{0885BC5F-CD71-4CE1-A421-EDB6C5C33851}"/>
    <hyperlink ref="B158" r:id="rId148" xr:uid="{7972D660-935C-40FE-89B7-895DD464B5EC}"/>
    <hyperlink ref="B159" r:id="rId149" xr:uid="{02953B40-4C74-4D83-AFB5-3347F1CC77A8}"/>
    <hyperlink ref="B160" r:id="rId150" xr:uid="{77FA2465-7E25-4224-A784-8123878CF013}"/>
    <hyperlink ref="C160" r:id="rId151" xr:uid="{835074E9-06CA-4B1E-8A56-EE1176AF7D36}"/>
    <hyperlink ref="B161" r:id="rId152" xr:uid="{08B7BB11-D782-4BA1-85FE-EDB76BB1B9E1}"/>
    <hyperlink ref="B162" r:id="rId153" xr:uid="{3869D136-0B51-4AB2-8EB8-1978AAF74384}"/>
    <hyperlink ref="B163" r:id="rId154" xr:uid="{2F478EA3-6F2C-4AAE-8B32-936690453B4E}"/>
    <hyperlink ref="B164" r:id="rId155" xr:uid="{133AD1E2-E07F-423E-8503-3D8A797EC1F4}"/>
    <hyperlink ref="B165" r:id="rId156" xr:uid="{0EED00A6-CF37-497A-A72C-DEFD57C4FA8E}"/>
    <hyperlink ref="B166" r:id="rId157" xr:uid="{EBFF506F-52A0-467A-956D-97FD5A968E2C}"/>
    <hyperlink ref="B167" r:id="rId158" xr:uid="{F82F199B-F114-4D33-8017-2E18A000314F}"/>
    <hyperlink ref="B168" r:id="rId159" xr:uid="{C4BAA140-82D2-417B-93A7-1F5070F1C81C}"/>
    <hyperlink ref="B169" r:id="rId160" xr:uid="{BA761DEB-8339-44D5-8839-819A5F80C198}"/>
    <hyperlink ref="B171" r:id="rId161" xr:uid="{7171F5D7-3EF3-4E2F-8E61-413EEFA5D804}"/>
    <hyperlink ref="B172" r:id="rId162" xr:uid="{0D07E959-AF26-4A1D-8414-0AB063BAFF83}"/>
    <hyperlink ref="B173" r:id="rId163" xr:uid="{25BFC0CF-2A27-4AAE-AC85-D06C0FCB75F6}"/>
    <hyperlink ref="B174" r:id="rId164" xr:uid="{0B87A652-BDAE-428A-B399-A7365988310E}"/>
    <hyperlink ref="B175" r:id="rId165" xr:uid="{688C913A-98E8-44DD-A8BB-1E2A0C5BD9DE}"/>
    <hyperlink ref="B176" r:id="rId166" xr:uid="{4B1EFD11-AFBA-4FB9-800D-3AC528E9E4C3}"/>
    <hyperlink ref="B177" r:id="rId167" xr:uid="{9090B2E9-14E2-4B21-A8D0-88E204CD163C}"/>
    <hyperlink ref="B178" r:id="rId168" xr:uid="{124D12FE-BEB2-48DB-9362-BDD0D13596B0}"/>
    <hyperlink ref="B179" r:id="rId169" xr:uid="{191A788F-5AA6-4854-8BEA-E439F86ACE6F}"/>
    <hyperlink ref="B180" r:id="rId170" xr:uid="{F34B2C2C-AED8-4AB8-9A9E-10DAD5C9E7DF}"/>
    <hyperlink ref="B181" r:id="rId171" xr:uid="{5BEF1F2F-972F-4593-BAE7-ADAB981FFC26}"/>
    <hyperlink ref="B182" r:id="rId172" xr:uid="{E9B9518B-A6E1-40EB-9EB5-DABA17A71FD3}"/>
    <hyperlink ref="B183" r:id="rId173" xr:uid="{E4213D59-8AA7-44C7-85C1-95981A57253B}"/>
    <hyperlink ref="B184" r:id="rId174" xr:uid="{422A9633-4727-4408-8F35-3CD06CDB5EB6}"/>
    <hyperlink ref="B185" r:id="rId175" xr:uid="{0873699F-CF38-4598-A601-2342803BD0B9}"/>
    <hyperlink ref="B186" r:id="rId176" xr:uid="{11EDD132-7744-4D42-B6F8-DC9363FB6C76}"/>
    <hyperlink ref="B187" r:id="rId177" xr:uid="{8787561A-34BC-4883-B7EF-601DED185A82}"/>
    <hyperlink ref="B188" r:id="rId178" xr:uid="{D0C0BDCB-212A-4D73-A5CB-E509A1A1E72C}"/>
    <hyperlink ref="B189" r:id="rId179" xr:uid="{2299C19E-53DF-4ADF-9A50-4B959693D7DE}"/>
    <hyperlink ref="B190" r:id="rId180" xr:uid="{AB803131-891D-48E6-91F0-80C9EE23E587}"/>
    <hyperlink ref="B191" r:id="rId181" xr:uid="{6F569942-C384-4877-8B3F-D3093C5A2425}"/>
    <hyperlink ref="B192" r:id="rId182" xr:uid="{EBC72B12-D82C-4755-B3D0-016962DB3645}"/>
    <hyperlink ref="B193" r:id="rId183" xr:uid="{0DBF5DEF-E539-40CF-909D-0253089F7129}"/>
    <hyperlink ref="B194" r:id="rId184" xr:uid="{0C96CA4A-6EC0-4163-8A1A-5AC4F0C8F640}"/>
    <hyperlink ref="B195" r:id="rId185" xr:uid="{4A1F4471-68FB-40C0-BD6C-33064BD1ED7B}"/>
    <hyperlink ref="B196" r:id="rId186" xr:uid="{774455C0-DC9D-4870-AECF-BF6183C14CCB}"/>
    <hyperlink ref="B197" r:id="rId187" xr:uid="{D05E92F9-6888-4038-A657-EF3A4720B2AC}"/>
    <hyperlink ref="B198" r:id="rId188" xr:uid="{AB193A7C-7A2D-4A29-BD60-FAF770465D63}"/>
    <hyperlink ref="B199" r:id="rId189" xr:uid="{89A8DC59-6C72-403A-95D5-C1C25F7D745F}"/>
    <hyperlink ref="B200" r:id="rId190" xr:uid="{6DBB2B53-AE6C-4EE8-8296-9DEDFED8AAC6}"/>
    <hyperlink ref="B201" r:id="rId191" xr:uid="{2B290644-4CF8-4DD2-88CB-5EAD0023DD1A}"/>
    <hyperlink ref="B202" r:id="rId192" xr:uid="{C0DF966F-4832-4641-BAD6-45CBF62C6987}"/>
    <hyperlink ref="B203" r:id="rId193" xr:uid="{ACEC261A-E480-41AD-A5F0-A1CA049A7FAA}"/>
    <hyperlink ref="B204" r:id="rId194" xr:uid="{87B008B1-94F6-4ADB-BA29-4E3CC670F0B4}"/>
    <hyperlink ref="C204" r:id="rId195" xr:uid="{80A9A68F-D980-4448-940A-F6118F5A529E}"/>
    <hyperlink ref="B205" r:id="rId196" xr:uid="{D4A9BF68-6CF3-4500-889B-316F10731130}"/>
    <hyperlink ref="C205" r:id="rId197" xr:uid="{72FB12B3-EE08-4960-8103-4D493DED90DC}"/>
    <hyperlink ref="B206" r:id="rId198" xr:uid="{70D588A2-DBBC-4C94-9FAB-F481665B0CB2}"/>
    <hyperlink ref="B207" r:id="rId199" xr:uid="{51F3853A-DA73-4E58-85AC-39E38297066D}"/>
    <hyperlink ref="B208" r:id="rId200" xr:uid="{CB3B4D74-1715-45B7-BBC2-5F82C5D0A6AF}"/>
    <hyperlink ref="B209" r:id="rId201" xr:uid="{807698F8-28C1-4105-9ECC-2EDD9325E20E}"/>
    <hyperlink ref="B210" r:id="rId202" xr:uid="{0F1D61AA-302B-40F7-8C34-FFE1219CE527}"/>
    <hyperlink ref="B211" r:id="rId203" xr:uid="{8FD21AF4-18C9-49AB-9D1D-506B903765D6}"/>
    <hyperlink ref="B212" r:id="rId204" xr:uid="{19BC785B-9FB9-46E1-9492-19FF6A266A2E}"/>
    <hyperlink ref="B213" r:id="rId205" xr:uid="{56341B81-B6F5-49BF-8535-F2BF41F6971D}"/>
    <hyperlink ref="B214" r:id="rId206" xr:uid="{6419A0A2-EE02-472D-A6F6-B53A60FC73DF}"/>
    <hyperlink ref="B215" r:id="rId207" xr:uid="{2F18678D-2E53-4E82-A8CF-BE4C02E9B68F}"/>
    <hyperlink ref="B216" r:id="rId208" xr:uid="{18FA3631-D13D-4A86-A1E3-617F9F84D679}"/>
    <hyperlink ref="B217" r:id="rId209" xr:uid="{3C52317E-03AE-41B1-8451-CEE7080A25E7}"/>
    <hyperlink ref="B218" r:id="rId210" xr:uid="{61970EE1-B5BA-47D6-BEFE-47E52BD9992A}"/>
    <hyperlink ref="B219" r:id="rId211" xr:uid="{46B749CF-D842-4E57-9E2B-76834D8FC48B}"/>
    <hyperlink ref="B220" r:id="rId212" xr:uid="{249AC508-013F-4AE1-9921-49EE096F4C47}"/>
    <hyperlink ref="B221" r:id="rId213" xr:uid="{730909D1-DD05-4203-98DF-644132506868}"/>
    <hyperlink ref="B222" r:id="rId214" xr:uid="{B62318A0-378C-486D-B9C4-AACC161E650C}"/>
    <hyperlink ref="C222" r:id="rId215" xr:uid="{0F265DE0-E0B0-4378-8527-046D0499C6B1}"/>
    <hyperlink ref="B223" r:id="rId216" xr:uid="{B2C947CB-1641-42ED-B056-13E06A23060F}"/>
    <hyperlink ref="B224" r:id="rId217" xr:uid="{9344ED03-E65E-4DBE-B617-9F6B96B1B9AF}"/>
    <hyperlink ref="B225" r:id="rId218" xr:uid="{16ECD5D3-D481-4942-B8FE-75F6E67FC2BF}"/>
    <hyperlink ref="B226" r:id="rId219" xr:uid="{9D9D2EEE-260C-4638-B1E0-E546BD97CCFB}"/>
    <hyperlink ref="B227" r:id="rId220" xr:uid="{4F02CF40-C6CF-433C-9830-8E7570486626}"/>
    <hyperlink ref="B228" r:id="rId221" xr:uid="{B22F195D-E485-4DE0-900C-A60F63A8E0D0}"/>
    <hyperlink ref="B229" r:id="rId222" xr:uid="{B4C56AE0-5B9A-4583-832D-E1884684379D}"/>
    <hyperlink ref="B230" r:id="rId223" xr:uid="{12CFA4FA-5A1A-43B2-B466-D5EF57ACFEF1}"/>
    <hyperlink ref="B231" r:id="rId224" xr:uid="{4CE06F70-E4F7-4CA4-A1D8-2054DAAC8CE8}"/>
    <hyperlink ref="B232" r:id="rId225" xr:uid="{B9C9C94A-EC04-4477-B2FD-1FAC0B3270E2}"/>
    <hyperlink ref="B234" r:id="rId226" xr:uid="{030611F3-330D-42C5-8AD0-12BE6C673EB2}"/>
    <hyperlink ref="C234" r:id="rId227" xr:uid="{8899C966-8D2C-474B-8473-A67BB1C4103C}"/>
    <hyperlink ref="B235" r:id="rId228" xr:uid="{77DFF876-BE66-43B8-9A50-CF2B52B4B68C}"/>
    <hyperlink ref="B236" r:id="rId229" xr:uid="{05A1DB29-D4D6-4B27-B73D-75ABC736F03C}"/>
    <hyperlink ref="B237" r:id="rId230" xr:uid="{0220BB1A-73B4-40A4-BF94-B2113B5B4662}"/>
    <hyperlink ref="B238" r:id="rId231" xr:uid="{0E13E708-84FA-47F7-AD0B-C3F7C15FFB62}"/>
    <hyperlink ref="B239" r:id="rId232" xr:uid="{7B68C096-0895-48F4-BF12-FEB1ED750CA8}"/>
    <hyperlink ref="B240" r:id="rId233" xr:uid="{CCE7B824-3F58-42B0-8720-BCD7DD4888D9}"/>
    <hyperlink ref="B241" r:id="rId234" xr:uid="{DD3EA1DF-E7C5-48B8-A8A4-682C2496AA90}"/>
    <hyperlink ref="B242" r:id="rId235" xr:uid="{29D69B95-5DF7-4391-956A-D4FD6747781B}"/>
    <hyperlink ref="B243" r:id="rId236" xr:uid="{03E6A4DF-49A5-4E13-ACB4-C60668015D36}"/>
    <hyperlink ref="B244" r:id="rId237" xr:uid="{1B8D9316-42B9-4755-9B8A-A37BCB59A9EE}"/>
    <hyperlink ref="B245" r:id="rId238" xr:uid="{EF3A173E-EA69-4801-AE74-A95562821790}"/>
    <hyperlink ref="B246" r:id="rId239" xr:uid="{C88DD256-63E4-4BCD-A3ED-AA8A8F61B8CC}"/>
    <hyperlink ref="B247" r:id="rId240" xr:uid="{60B90B46-D011-4305-A458-7CA922EE41E3}"/>
    <hyperlink ref="B248" r:id="rId241" xr:uid="{C24D82EA-DE6B-4C28-AEA2-FD6A60329AE4}"/>
    <hyperlink ref="B249" r:id="rId242" xr:uid="{5F42F282-B91F-4326-9099-BC338ADA7F16}"/>
    <hyperlink ref="B250" r:id="rId243" xr:uid="{4B70ABB7-3644-42FB-9374-C46756C986B7}"/>
    <hyperlink ref="B251" r:id="rId244" xr:uid="{FDF9177F-FA2C-4D84-A2F8-813C39BF91E3}"/>
    <hyperlink ref="B252" r:id="rId245" xr:uid="{38C49E32-0C6A-4874-8A01-E7053ED3CBE4}"/>
    <hyperlink ref="B253" r:id="rId246" xr:uid="{AC0D5C7D-D463-4752-BDFF-33823FFD3CF1}"/>
    <hyperlink ref="B254" r:id="rId247" xr:uid="{15BB9667-169C-4DB2-BFAD-2328CECD2057}"/>
    <hyperlink ref="B255" r:id="rId248" xr:uid="{61F752A6-E118-4877-8A6D-1173266E9888}"/>
    <hyperlink ref="B256" r:id="rId249" xr:uid="{968B1091-E3DD-40F4-BAD6-9995665686B6}"/>
    <hyperlink ref="B257" r:id="rId250" xr:uid="{E40300D6-7627-4FBD-B519-8AE1F59BAB4C}"/>
    <hyperlink ref="B258" r:id="rId251" xr:uid="{D0BFAE67-9B41-4A0C-A257-D9442FA4DDB0}"/>
    <hyperlink ref="B259" r:id="rId252" xr:uid="{61FA6F07-C58C-4F51-8B3E-CA7F1939C2C3}"/>
    <hyperlink ref="B260" r:id="rId253" xr:uid="{A55C92D3-1F94-4F52-9D75-762EC921C59F}"/>
    <hyperlink ref="B261" r:id="rId254" xr:uid="{2D8659B4-2AF6-487E-B143-5070D03B0C08}"/>
    <hyperlink ref="B262" r:id="rId255" xr:uid="{C7E7C337-2132-4A13-A6AE-378BBD5DEC74}"/>
    <hyperlink ref="B263" r:id="rId256" xr:uid="{C3EA886A-760E-4A39-B0E7-EF3B2A1D9867}"/>
    <hyperlink ref="B264" r:id="rId257" xr:uid="{319D2F0A-DAC3-410F-9A73-E41AF29A6B09}"/>
    <hyperlink ref="B266" r:id="rId258" xr:uid="{F58E4D7D-5BEA-4939-ADB4-B8B2885DE0FC}"/>
    <hyperlink ref="B267" r:id="rId259" xr:uid="{05D1D3FE-7A45-44E3-B831-14D3B4082D3E}"/>
    <hyperlink ref="B268" r:id="rId260" xr:uid="{AB53599C-3367-4660-8A53-3E45D8B291AF}"/>
    <hyperlink ref="B269" r:id="rId261" xr:uid="{A4625030-8844-4CD4-8E2D-07301A922A25}"/>
    <hyperlink ref="B270" r:id="rId262" xr:uid="{7AD86123-EC30-4EC4-BAD7-5E52469C06A6}"/>
    <hyperlink ref="B271" r:id="rId263" xr:uid="{86A33BD9-F7EC-4249-8654-91A6AF820155}"/>
    <hyperlink ref="B272" r:id="rId264" xr:uid="{883C980D-BD6D-480C-8600-A14EDB64ED1F}"/>
    <hyperlink ref="B273" r:id="rId265" xr:uid="{2DC73B92-7344-4609-AF23-A20B39A606A7}"/>
    <hyperlink ref="B274" r:id="rId266" xr:uid="{79A7C031-4D0B-40D1-8013-88D4A062DBB2}"/>
    <hyperlink ref="B275" r:id="rId267" xr:uid="{DD0B4DA0-CCF6-48FC-B4F0-E8C1DA3FE5B8}"/>
    <hyperlink ref="B276" r:id="rId268" xr:uid="{76A8D342-C1AD-446A-BB3B-99A1CE0C9102}"/>
    <hyperlink ref="B277" r:id="rId269" xr:uid="{1B10CC4E-3AD0-4F96-A942-C8A3109F85DE}"/>
    <hyperlink ref="B278" r:id="rId270" xr:uid="{DA32A64E-AC06-4D43-B4AC-D1536258C061}"/>
    <hyperlink ref="B279" r:id="rId271" xr:uid="{9870CD34-E101-43D4-9F2D-4392939F9C9D}"/>
    <hyperlink ref="B280" r:id="rId272" xr:uid="{B4C49B94-2D4E-47F7-9F66-108A0099D143}"/>
    <hyperlink ref="B281" r:id="rId273" xr:uid="{FA274D47-4A39-4076-9CF6-02FB2D0276DE}"/>
    <hyperlink ref="B282" r:id="rId274" xr:uid="{872BDE5F-BA71-4DDA-BF78-1A8F208FED53}"/>
    <hyperlink ref="B283" r:id="rId275" xr:uid="{0001C146-573E-42D1-935A-1BFE345C41BE}"/>
    <hyperlink ref="B284" r:id="rId276" xr:uid="{001B69B2-0A3F-4DA1-8110-9C526F29B6A3}"/>
    <hyperlink ref="B285" r:id="rId277" xr:uid="{780CFCF1-F9C5-4112-8412-1F0F0A974B29}"/>
    <hyperlink ref="B286" r:id="rId278" xr:uid="{5000D438-E82D-4CB1-A979-85A715B89C9E}"/>
    <hyperlink ref="B287" r:id="rId279" xr:uid="{63EE58B5-D3E2-4AC1-AD7A-CD482F0B001F}"/>
    <hyperlink ref="B288" r:id="rId280" xr:uid="{2AEF7C56-72CE-4BE6-A31F-BD6BBBA2C00B}"/>
    <hyperlink ref="B289" r:id="rId281" xr:uid="{D3C13560-4DAE-4BB3-BD76-B4E286709C64}"/>
    <hyperlink ref="B290" r:id="rId282" xr:uid="{8E83C622-5241-4088-AC9F-F09D4C26C21D}"/>
    <hyperlink ref="B291" r:id="rId283" xr:uid="{E3A523DC-6567-45DD-9CAD-9566B71A4D89}"/>
    <hyperlink ref="B292" r:id="rId284" xr:uid="{7D323DBC-E115-41E1-8FEE-1F02137737A5}"/>
    <hyperlink ref="B293" r:id="rId285" xr:uid="{146BF21B-D7AD-42E7-B8AF-0F63F176590C}"/>
    <hyperlink ref="B294" r:id="rId286" xr:uid="{F3C76EE5-4030-41B9-B33F-935F11046189}"/>
    <hyperlink ref="B295" r:id="rId287" xr:uid="{CB54C8DD-59BE-4747-84F1-1F375FD930AD}"/>
    <hyperlink ref="B296" r:id="rId288" xr:uid="{B10ACF40-8CDA-4DB1-8476-AB69F848F203}"/>
    <hyperlink ref="B297" r:id="rId289" xr:uid="{EE815B90-6EA6-4438-AE58-1C9BAF4C5AA7}"/>
    <hyperlink ref="B298" r:id="rId290" xr:uid="{035E5F0B-5191-4FA1-8E1C-0BBB5E599372}"/>
    <hyperlink ref="B299" r:id="rId291" xr:uid="{64C51FFC-9495-442B-85E2-F2FC31C5FE04}"/>
    <hyperlink ref="B300" r:id="rId292" xr:uid="{06A8DF20-4952-492E-AAA6-BF9FB3E8E1B7}"/>
    <hyperlink ref="B301" r:id="rId293" xr:uid="{F5947321-B228-4986-8875-D80D860F5C01}"/>
    <hyperlink ref="B302" r:id="rId294" xr:uid="{C29851FA-3E39-4F75-BB27-40AE78B584AC}"/>
    <hyperlink ref="B303" r:id="rId295" xr:uid="{D29CA22A-A614-4D4D-92E7-BA20C89F3D6C}"/>
    <hyperlink ref="B304" r:id="rId296" xr:uid="{8F089ECC-E146-438E-9EE9-FFCB5E1E4040}"/>
    <hyperlink ref="B305" r:id="rId297" xr:uid="{5344613F-EB87-42F9-AD3B-20B8A9DA14CB}"/>
    <hyperlink ref="B306" r:id="rId298" xr:uid="{B3753FB9-15E1-4ACA-846A-EEE4976FF9F0}"/>
    <hyperlink ref="B307" r:id="rId299" xr:uid="{95C44E3A-FD0F-4BA6-A3B9-EA2C6F23C8C3}"/>
    <hyperlink ref="B308" r:id="rId300" xr:uid="{F2D064A5-06CD-42C3-9CBF-615C0CFD14D7}"/>
    <hyperlink ref="B309" r:id="rId301" xr:uid="{5F8E13DF-73C6-43BF-B45B-05DB55B4B402}"/>
    <hyperlink ref="B310" r:id="rId302" xr:uid="{155165D9-700D-4E29-8B8A-A373EA4E3B72}"/>
    <hyperlink ref="B311" r:id="rId303" xr:uid="{2D7CDA41-3235-4C4E-95C5-380495AC6587}"/>
    <hyperlink ref="C311" r:id="rId304" xr:uid="{0240FCC2-AA8E-44AF-B5E1-BDB888009F1E}"/>
    <hyperlink ref="B312" r:id="rId305" xr:uid="{7455D330-9867-4E17-909D-88AE5A3BE964}"/>
    <hyperlink ref="B313" r:id="rId306" xr:uid="{6EADC82D-8158-47E0-931E-27DD79313BAA}"/>
    <hyperlink ref="B314" r:id="rId307" xr:uid="{4B6C7314-FE50-4872-B1DA-7F940EA97E22}"/>
    <hyperlink ref="B315" r:id="rId308" xr:uid="{E6F7D80A-2C2A-4C11-A2AF-5299AFBA2106}"/>
    <hyperlink ref="B316" r:id="rId309" xr:uid="{BAC0A92A-1B11-4F70-A01F-087BF7E3933B}"/>
    <hyperlink ref="B317" r:id="rId310" xr:uid="{A2B62EF2-2199-439C-8C8D-E189109019C6}"/>
    <hyperlink ref="B318" r:id="rId311" xr:uid="{4895824C-1804-4286-89BB-0ECE6CF13FDB}"/>
    <hyperlink ref="B319" r:id="rId312" xr:uid="{B4522B75-6CBB-4502-81B5-1EE8CCBFFCD9}"/>
    <hyperlink ref="B320" r:id="rId313" xr:uid="{4CC3FAC2-2F86-4BE1-B374-0FD0ABF7F2E3}"/>
    <hyperlink ref="B321" r:id="rId314" xr:uid="{90813C49-FA17-4B49-AACB-7ACEC34AAAC8}"/>
    <hyperlink ref="B322" r:id="rId315" xr:uid="{E140F92F-7463-49D0-8F4E-DB5EF9B12069}"/>
    <hyperlink ref="B323" r:id="rId316" xr:uid="{C5310608-C80B-4932-AB14-8DCB60F9D9D8}"/>
    <hyperlink ref="B324" r:id="rId317" xr:uid="{3C7936B7-A75E-472B-B6FE-FED6DDC14DAF}"/>
    <hyperlink ref="B325" r:id="rId318" xr:uid="{7FCE28EF-E2F9-4A30-A181-D39CA695B5A7}"/>
    <hyperlink ref="B326" r:id="rId319" xr:uid="{4276B32C-93A9-449A-91DF-551198CAF483}"/>
    <hyperlink ref="B327" r:id="rId320" xr:uid="{1E5F8888-1514-488D-806E-B85139DE8242}"/>
    <hyperlink ref="B328" r:id="rId321" xr:uid="{D5A858E4-13AD-4D3A-A4A5-E33D99636268}"/>
    <hyperlink ref="B329" r:id="rId322" xr:uid="{3440F014-0BCF-49E8-B0A4-AEEE86627124}"/>
    <hyperlink ref="B330" r:id="rId323" xr:uid="{530AC7A2-29FF-4862-959E-951692072563}"/>
    <hyperlink ref="B331" r:id="rId324" xr:uid="{36EE9EA1-EDBD-4773-9E83-B51BB4B0E2A7}"/>
    <hyperlink ref="B332" r:id="rId325" xr:uid="{326EEB56-8657-442F-AA36-949C8798AF90}"/>
    <hyperlink ref="B333" r:id="rId326" xr:uid="{AF2B39CA-7333-4776-9A3C-656B2F168C64}"/>
    <hyperlink ref="B334" r:id="rId327" xr:uid="{6FBC5CF6-0770-40E5-A450-5AFC6D329E71}"/>
    <hyperlink ref="B335" r:id="rId328" xr:uid="{C63E264F-F6B6-4D0E-A3D7-666D57BA8E41}"/>
    <hyperlink ref="B336" r:id="rId329" xr:uid="{3A62C8F1-4E2D-4643-93A6-83B822C730B9}"/>
    <hyperlink ref="B337" r:id="rId330" xr:uid="{E272061D-43FA-4479-AF52-33843BF71CA6}"/>
    <hyperlink ref="B338" r:id="rId331" xr:uid="{F21B15C2-54F9-4C3E-BD51-BE17C08B364B}"/>
    <hyperlink ref="B339" r:id="rId332" xr:uid="{0871EB70-5ABD-499F-B932-98ADA5EF09BC}"/>
    <hyperlink ref="B340" r:id="rId333" xr:uid="{458A0822-B7AA-4D74-A18D-19D1AA1F2023}"/>
    <hyperlink ref="B341" r:id="rId334" xr:uid="{21C4DAD4-DD77-4216-BAD7-7CA2CEDE40A3}"/>
    <hyperlink ref="B342" r:id="rId335" xr:uid="{C59E554E-661F-420A-B9C5-A5DB100924EB}"/>
    <hyperlink ref="B343" r:id="rId336" xr:uid="{00D58BB7-3048-44F8-9A37-09B9CDC3BB0B}"/>
    <hyperlink ref="B344" r:id="rId337" xr:uid="{1C736284-99A7-4C2E-903F-C5A188FF3358}"/>
    <hyperlink ref="B346" r:id="rId338" xr:uid="{04F1C66B-FCA8-4A7E-A913-01EA64B813F9}"/>
    <hyperlink ref="B347" r:id="rId339" xr:uid="{8BAD02ED-BC12-4593-B66E-E78A4EC42B2A}"/>
    <hyperlink ref="B348" r:id="rId340" xr:uid="{C02CC17A-124D-422E-8AD8-93F2D55786AD}"/>
    <hyperlink ref="B349" r:id="rId341" xr:uid="{B59CDADA-8921-45D6-9887-CB5567B6069E}"/>
    <hyperlink ref="B350" r:id="rId342" xr:uid="{029E1342-6289-42AD-AAEB-E15C6BAF6B48}"/>
    <hyperlink ref="B351" r:id="rId343" xr:uid="{8BF43C1C-BFDF-4474-9D5F-243BF1D6FC86}"/>
    <hyperlink ref="B352" r:id="rId344" xr:uid="{FD4B44C3-9D50-4A89-B95D-88B5F974B5F6}"/>
    <hyperlink ref="B353" r:id="rId345" xr:uid="{C0BB620E-4639-4F42-B179-0148465F2DBE}"/>
    <hyperlink ref="B354" r:id="rId346" xr:uid="{DFD16AA5-B279-47A2-B481-627A340CE1F6}"/>
    <hyperlink ref="B355" r:id="rId347" xr:uid="{CCA24CE3-3160-4ADB-972D-A6840D0CCF5B}"/>
    <hyperlink ref="B356" r:id="rId348" xr:uid="{186B0A4D-D7AF-436A-8A1E-9FCA048E8FCB}"/>
    <hyperlink ref="B357" r:id="rId349" xr:uid="{84B65C21-3447-40E0-B602-DB116AE55BED}"/>
    <hyperlink ref="B358" r:id="rId350" xr:uid="{BCAA7725-2A2D-486D-AD4E-91CD1F0E0D19}"/>
    <hyperlink ref="B359" r:id="rId351" xr:uid="{9B0EDAF6-CFE0-4B3C-B963-9CDFDCF2F515}"/>
    <hyperlink ref="B360" r:id="rId352" xr:uid="{94BCBA07-3C1B-4F78-A327-F42DCABACE37}"/>
    <hyperlink ref="B361" r:id="rId353" xr:uid="{EF324A27-9D58-4FBF-B889-019ADDB008C9}"/>
    <hyperlink ref="B362" r:id="rId354" xr:uid="{BBF0A229-910F-46E0-81AB-46EC4C44BBFA}"/>
    <hyperlink ref="B363" r:id="rId355" xr:uid="{F9DCB8D0-0167-4520-A0D9-8B94A8F721AB}"/>
    <hyperlink ref="B364" r:id="rId356" xr:uid="{7700401F-92C7-47AB-B840-F0720A784110}"/>
    <hyperlink ref="B365" r:id="rId357" xr:uid="{A2DB167A-A463-4A50-89EA-7D7EBF7AA8B1}"/>
    <hyperlink ref="B366" r:id="rId358" xr:uid="{184147EB-67E1-4048-8211-CDABC95BED73}"/>
    <hyperlink ref="B367" r:id="rId359" xr:uid="{AB1C77AA-25D4-4126-BD3D-D8E111C6F6B4}"/>
    <hyperlink ref="B368" r:id="rId360" xr:uid="{0F65655D-6309-4D7B-B7E8-7AFF374D5058}"/>
    <hyperlink ref="B369" r:id="rId361" xr:uid="{E87BF542-1A34-4E99-98EE-C68E94267FE3}"/>
    <hyperlink ref="B370" r:id="rId362" xr:uid="{E5D29815-2D81-47CB-8116-E5F4894CF60E}"/>
    <hyperlink ref="B371" r:id="rId363" xr:uid="{30FC1078-6DFE-4839-9F78-6E9F45BE573F}"/>
    <hyperlink ref="B372" r:id="rId364" xr:uid="{5F683875-1E7E-4EF8-BD8A-595C347F0962}"/>
    <hyperlink ref="B373" r:id="rId365" xr:uid="{F92B53C4-532F-4FC7-BBF0-3A6BE28BA599}"/>
    <hyperlink ref="B374" r:id="rId366" xr:uid="{6F691E63-8B36-4CB9-9827-1C0C58662D1A}"/>
    <hyperlink ref="B375" r:id="rId367" xr:uid="{F45ACA9C-06B5-41BC-89A1-3E83B16D49C9}"/>
    <hyperlink ref="B376" r:id="rId368" xr:uid="{76D7AAB6-86EE-4B51-9077-9E82660A5F43}"/>
    <hyperlink ref="B377" r:id="rId369" xr:uid="{ECDC512A-01B0-441B-8569-78289DFE25D7}"/>
    <hyperlink ref="B378" r:id="rId370" xr:uid="{8EEF3751-AD5D-44BC-A6CA-DC701BE36D4B}"/>
    <hyperlink ref="B379" r:id="rId371" xr:uid="{8A27106F-3914-4569-BC72-E4F26F0B33E6}"/>
    <hyperlink ref="B384" r:id="rId372" display="Philips 65&quot; 4K Ambilight LED TV (65PUS8548/62)" xr:uid="{7952327E-D4F0-40ED-9B8E-57C3D660CD67}"/>
    <hyperlink ref="C384" r:id="rId373" xr:uid="{BF7FD05F-522A-49B0-A082-73B798A87F87}"/>
    <hyperlink ref="B386" r:id="rId374" xr:uid="{7AD8E0F1-E230-4249-B335-2F9F769A3625}"/>
    <hyperlink ref="B387" r:id="rId375" xr:uid="{3EBF2652-BAE6-49B9-BCEE-2358226F229B}"/>
    <hyperlink ref="B388" r:id="rId376" xr:uid="{BF434AAE-6801-45BF-AE07-97B806796DC3}"/>
    <hyperlink ref="C388" r:id="rId377" xr:uid="{AC9F50ED-C9BE-4B0D-8989-4EFF9C4D27C6}"/>
    <hyperlink ref="B389" r:id="rId378" xr:uid="{990F72B8-E6FC-40C7-9F1D-7175FB2F28EC}"/>
    <hyperlink ref="B390" r:id="rId379" xr:uid="{1EDFC812-0954-4033-9582-47E226036E9D}"/>
    <hyperlink ref="B391" r:id="rId380" xr:uid="{547E529C-9F5D-48CF-8A80-7B33CEEB6A32}"/>
    <hyperlink ref="B392" r:id="rId381" xr:uid="{87C9E258-B603-485E-8A50-804B3618E14D}"/>
    <hyperlink ref="B393" r:id="rId382" xr:uid="{17BFA3FE-3573-498F-955B-30E32F2C58D5}"/>
    <hyperlink ref="B394" r:id="rId383" xr:uid="{814D478E-FBF7-41EE-B0FC-6FE173DBDD6B}"/>
    <hyperlink ref="B395" r:id="rId384" xr:uid="{A07291AB-F1C1-44EB-B7C0-910C11640CA7}"/>
    <hyperlink ref="B396" r:id="rId385" xr:uid="{EF490CB2-FAD5-4B2B-8DD0-B5F3ED2E232C}"/>
    <hyperlink ref="B397" r:id="rId386" xr:uid="{E9940EE0-5652-4958-B2E9-66769ABB1AC1}"/>
    <hyperlink ref="B398" r:id="rId387" xr:uid="{5A50EAE9-8615-4234-91B7-1380F942BBE2}"/>
    <hyperlink ref="B399" r:id="rId388" xr:uid="{EB82A5A6-E656-40F8-A24A-BB54A67C57F6}"/>
    <hyperlink ref="B400" r:id="rId389" xr:uid="{74B5CE49-EAAF-4733-831D-758840D11AD1}"/>
    <hyperlink ref="B401" r:id="rId390" xr:uid="{48F5C105-CE41-471E-9697-C01F8B8B2C08}"/>
    <hyperlink ref="B402" r:id="rId391" xr:uid="{45F55DFA-B9AD-49C6-ADA5-DBA3315FA806}"/>
    <hyperlink ref="B403" r:id="rId392" xr:uid="{E68D0070-D41E-40AC-82A1-FEDF76751C32}"/>
    <hyperlink ref="B404" r:id="rId393" xr:uid="{C140E9CE-F151-4A29-8A56-F802462B9223}"/>
    <hyperlink ref="B405" r:id="rId394" xr:uid="{0E490AA8-4758-4070-A46A-3C239240209D}"/>
    <hyperlink ref="B406" r:id="rId395" xr:uid="{B0661029-D33C-48E1-895E-13249129F789}"/>
    <hyperlink ref="B407" r:id="rId396" xr:uid="{01367AF0-A699-4B75-8EA0-6D295678B42E}"/>
    <hyperlink ref="B408" r:id="rId397" xr:uid="{CFBC6ABE-E9E0-425B-AF7D-3CAC67D53C37}"/>
    <hyperlink ref="B409" r:id="rId398" xr:uid="{4CB8B836-C192-4D6E-A354-C4D972AC7908}"/>
    <hyperlink ref="B410" r:id="rId399" xr:uid="{58C850F4-C559-4D81-9AF9-87418E6E5ABB}"/>
    <hyperlink ref="B411" r:id="rId400" xr:uid="{AE194092-2AE5-4DD8-9309-B5618E8BE102}"/>
    <hyperlink ref="B412" r:id="rId401" xr:uid="{EF842AF7-C3CC-4A75-8C20-A2E35839A9D6}"/>
    <hyperlink ref="B413" r:id="rId402" xr:uid="{0EA3437C-A255-4316-BA00-4681C14E8F27}"/>
    <hyperlink ref="B414" r:id="rId403" xr:uid="{EC80EA34-10E4-4667-A7A2-799AB909F74F}"/>
    <hyperlink ref="B415" r:id="rId404" xr:uid="{B134E808-67EF-4491-A90F-01CA45D6741C}"/>
    <hyperlink ref="B416" r:id="rId405" xr:uid="{8C97D494-F7E1-4DCC-A97D-47FBCE609A76}"/>
    <hyperlink ref="B417" r:id="rId406" xr:uid="{1C49AD4E-81C9-4DD8-9E9F-B5D2A289B2BF}"/>
    <hyperlink ref="B418" r:id="rId407" xr:uid="{2C884B47-C037-45FE-87F4-7DAA9C570FF2}"/>
    <hyperlink ref="C418" r:id="rId408" xr:uid="{4C50AEBC-5B52-4E0E-A52D-1A895EC24266}"/>
    <hyperlink ref="B419" r:id="rId409" xr:uid="{2C105D7A-68A8-46AB-970A-627FD7425C16}"/>
    <hyperlink ref="C419" r:id="rId410" xr:uid="{435F61A1-79C7-4BE2-90A6-527631154B8D}"/>
    <hyperlink ref="B420" r:id="rId411" xr:uid="{8B17C106-4399-4424-BF4C-7684DBA129CC}"/>
    <hyperlink ref="B421" r:id="rId412" xr:uid="{970934E1-87CF-4DFF-AFDE-D76762EBE679}"/>
    <hyperlink ref="B422" r:id="rId413" xr:uid="{F5572DD4-0D9E-4932-9AFA-768672EC94A4}"/>
    <hyperlink ref="B423" r:id="rId414" xr:uid="{D02CFFA2-D8FE-40A8-949F-1C42C64857A6}"/>
    <hyperlink ref="B424" r:id="rId415" xr:uid="{D506419B-E3AA-4049-B582-23F415E527C6}"/>
    <hyperlink ref="B425" r:id="rId416" xr:uid="{EC111C56-84DB-41D3-A09C-85DC67B6B59B}"/>
    <hyperlink ref="B426" r:id="rId417" xr:uid="{A7FB6954-7BC2-45DE-8744-9856D3C0BC9F}"/>
    <hyperlink ref="B427" r:id="rId418" xr:uid="{01387686-2FCC-4A26-AC4E-A2FE9899772F}"/>
    <hyperlink ref="B428" r:id="rId419" xr:uid="{392E25C1-448F-44B7-8C8B-5E91242174D3}"/>
    <hyperlink ref="B429" r:id="rId420" xr:uid="{A1935E72-9858-4EBB-B7A2-47BD4F51C514}"/>
    <hyperlink ref="B430" r:id="rId421" xr:uid="{658ABD05-6782-4703-AC9B-2686470225C9}"/>
    <hyperlink ref="B431" r:id="rId422" xr:uid="{9251A1E1-4E73-4A16-A5BF-6AEAA02A8536}"/>
    <hyperlink ref="B432" r:id="rId423" xr:uid="{11A3C9D6-61F5-4DD0-B2BB-FA131560076F}"/>
    <hyperlink ref="B433" r:id="rId424" xr:uid="{A972B334-054C-4322-B453-C4DD313DBE83}"/>
    <hyperlink ref="B434" r:id="rId425" xr:uid="{FDC6ABA6-318B-404C-9623-4376F931A9C0}"/>
    <hyperlink ref="B435" r:id="rId426" xr:uid="{6AE96C90-D3B5-4738-86A3-201B4AEF7F89}"/>
    <hyperlink ref="B436" r:id="rId427" xr:uid="{BADA88D3-8133-4D44-859D-2D1409D03872}"/>
    <hyperlink ref="B437" r:id="rId428" xr:uid="{274DE849-30C7-4E56-AC88-930ADC353E2C}"/>
    <hyperlink ref="B439" r:id="rId429" xr:uid="{DE537D9D-A640-4AAA-B7B7-3D91EB68A977}"/>
    <hyperlink ref="C439" r:id="rId430" xr:uid="{B3C8FA49-F114-4A8D-8F92-E7AA8BF6E337}"/>
    <hyperlink ref="B440" r:id="rId431" xr:uid="{293308F5-23E5-4B9C-86EC-41EE8B41D684}"/>
    <hyperlink ref="B442" r:id="rId432" xr:uid="{60BEF15C-1788-4ED7-989E-6C0F80866309}"/>
    <hyperlink ref="B443" r:id="rId433" xr:uid="{F32C5DDA-7BD3-4B72-BCB1-F4372C0E9E6B}"/>
    <hyperlink ref="B444" r:id="rId434" xr:uid="{56565C63-27AD-4035-80D1-B3D28E2A803E}"/>
    <hyperlink ref="B446" r:id="rId435" xr:uid="{7840D2DD-F423-49B5-89FE-0771AE5F072F}"/>
    <hyperlink ref="C446" r:id="rId436" xr:uid="{87AF62E4-91CF-4195-8D06-BA1CC29A070D}"/>
    <hyperlink ref="B447" r:id="rId437" xr:uid="{CAE5D665-8757-4967-BE6A-BC7C311E9A9D}"/>
    <hyperlink ref="B448" r:id="rId438" xr:uid="{507F2487-0CD4-4554-9C71-332F71E2F6DF}"/>
    <hyperlink ref="B449" r:id="rId439" xr:uid="{006AC95A-2CEB-457B-B5C9-D00A75478EF0}"/>
    <hyperlink ref="B450" r:id="rId440" xr:uid="{75D1A536-D70C-4627-8FB2-FE5F3E23BE34}"/>
    <hyperlink ref="B451" r:id="rId441" xr:uid="{3BBA81F1-31CC-469F-B6A9-C9FE80FAD6B1}"/>
    <hyperlink ref="B452" r:id="rId442" xr:uid="{25F2FBFF-1A62-41F8-B4BA-F552A4D15771}"/>
    <hyperlink ref="B453" r:id="rId443" xr:uid="{EF340F29-236F-45AC-870C-664B5956EFC4}"/>
    <hyperlink ref="B454" r:id="rId444" xr:uid="{34F41E46-F362-4C59-88B9-1492DC5BA566}"/>
    <hyperlink ref="B455" r:id="rId445" xr:uid="{4CF615BA-5E97-4E5F-95DF-0FE5E663B7FB}"/>
    <hyperlink ref="B456" r:id="rId446" xr:uid="{4ABB7E8F-D5FC-4744-8706-E8275475033C}"/>
    <hyperlink ref="B457" r:id="rId447" xr:uid="{BC6DE717-69BF-411D-9C73-D182D01D627A}"/>
    <hyperlink ref="B458" r:id="rId448" xr:uid="{F1D5AD7F-E9CC-4075-B2E8-09DC23C9DC5C}"/>
    <hyperlink ref="B459" r:id="rId449" xr:uid="{F3C946A1-ABA6-4390-B75A-D04380C3C0AD}"/>
    <hyperlink ref="B460" r:id="rId450" xr:uid="{AF6EDDCB-1C1D-48C3-8F43-05B386EBB675}"/>
    <hyperlink ref="B461" r:id="rId451" xr:uid="{D17C51BF-D7AE-4009-8DB6-F9F510472AB6}"/>
    <hyperlink ref="B462" r:id="rId452" xr:uid="{689C8B32-1ED2-41CE-8DC8-2F596AD8B309}"/>
    <hyperlink ref="B463" r:id="rId453" xr:uid="{1B342659-AFAA-4831-B1F1-2D4B5F08D672}"/>
    <hyperlink ref="B464" r:id="rId454" xr:uid="{56948CAE-C1AE-4265-87ED-A9FF59ADB3B6}"/>
    <hyperlink ref="B465" r:id="rId455" xr:uid="{37AA6540-374C-42DB-AA14-86ACDBA100B2}"/>
    <hyperlink ref="B466" r:id="rId456" xr:uid="{7088CE58-F2B1-47A5-894A-9EF3AA071F51}"/>
    <hyperlink ref="B467" r:id="rId457" xr:uid="{A71F03D5-49FF-46D0-8DC4-A073AEC0103B}"/>
    <hyperlink ref="B468" r:id="rId458" xr:uid="{43CB3E90-D142-4EEF-962C-E825BD7F93E3}"/>
    <hyperlink ref="B469" r:id="rId459" xr:uid="{FDF6DBD7-D80B-4367-8D42-99C39E56BC56}"/>
    <hyperlink ref="B470" r:id="rId460" xr:uid="{73170A9D-2141-45ED-85FD-C458586DF5C4}"/>
    <hyperlink ref="B471" r:id="rId461" xr:uid="{7E9A7A65-BC8B-41C3-8BE4-563E1602EB1F}"/>
    <hyperlink ref="B472" r:id="rId462" xr:uid="{29618648-FC63-4F5B-8C38-5ED6EC0921DD}"/>
    <hyperlink ref="B473" r:id="rId463" xr:uid="{7089851A-E53F-4725-B8A3-6039EDDCC58D}"/>
    <hyperlink ref="B474" r:id="rId464" xr:uid="{733F8B3F-C1BC-49AC-9A84-E34F138F6A5D}"/>
    <hyperlink ref="B475" r:id="rId465" xr:uid="{58A7D195-80C9-4F77-BF41-BCC5A8B7C528}"/>
    <hyperlink ref="B476" r:id="rId466" xr:uid="{FE6B08EB-139B-4249-B32A-EACC572C5B96}"/>
    <hyperlink ref="B477" r:id="rId467" xr:uid="{B4ECD094-3F81-403B-BC00-C1F3CD71FBF2}"/>
    <hyperlink ref="B478" r:id="rId468" xr:uid="{1BEE19A8-3D0A-4D89-9521-4800E804039B}"/>
    <hyperlink ref="B479" r:id="rId469" xr:uid="{AA3A1757-DD04-4523-950A-08605B32E0BF}"/>
    <hyperlink ref="B480" r:id="rId470" xr:uid="{E0FA3B26-DAD7-4661-BE67-7C6C7B3626EB}"/>
    <hyperlink ref="B481" r:id="rId471" xr:uid="{E27D1A8B-74C2-4E6F-A3B9-01C2563EC065}"/>
    <hyperlink ref="B482" r:id="rId472" xr:uid="{8FF12615-9E97-439C-B134-9137A5A1BAAE}"/>
    <hyperlink ref="B483" r:id="rId473" xr:uid="{50C6C8A9-6CAB-4A29-8EB8-54FC9482AC55}"/>
    <hyperlink ref="B484" r:id="rId474" xr:uid="{43B32174-B1EB-4850-8EE8-8FF0353231F2}"/>
    <hyperlink ref="B485" r:id="rId475" xr:uid="{369F3925-CC9A-407D-B517-AAD18E25543C}"/>
    <hyperlink ref="B486" r:id="rId476" xr:uid="{B18C0947-029A-45CC-A830-4E69B8FC09A1}"/>
    <hyperlink ref="B487" r:id="rId477" xr:uid="{7262B61A-BD8D-4B39-88E7-33C189A085BF}"/>
    <hyperlink ref="B488" r:id="rId478" xr:uid="{F55D3F2C-CAAD-4143-9BB1-FBD31530440C}"/>
    <hyperlink ref="B489" r:id="rId479" xr:uid="{D0CFB7C5-5E32-4422-A2E5-83274D93DBD8}"/>
    <hyperlink ref="B490" r:id="rId480" xr:uid="{2EDB2E85-75EA-493A-BA03-41BBDBD684A4}"/>
    <hyperlink ref="B491" r:id="rId481" xr:uid="{BA1F66D4-4BD5-4B3A-BD32-93271AAB8935}"/>
    <hyperlink ref="B492" r:id="rId482" xr:uid="{158A0BAD-730B-4DF6-A3E2-6B1BEB4DDE46}"/>
    <hyperlink ref="B493" r:id="rId483" xr:uid="{BE4D78C5-066C-4C6A-9401-CA51F9DE2D02}"/>
    <hyperlink ref="C493" r:id="rId484" xr:uid="{3245F5DA-6BF6-47CB-ACE6-EAD2D76161F4}"/>
    <hyperlink ref="B494" r:id="rId485" xr:uid="{38F1808C-B606-45A6-8E03-A06445F1398A}"/>
    <hyperlink ref="B495" r:id="rId486" xr:uid="{0C0C4E76-706E-4E87-9D4C-D6C1AF290870}"/>
    <hyperlink ref="C495" r:id="rId487" xr:uid="{19BE7BB6-B172-4571-AD11-96FD1219986E}"/>
    <hyperlink ref="B496" r:id="rId488" xr:uid="{2613C029-8854-4E14-8A3A-FE09AD91DD37}"/>
    <hyperlink ref="B497" r:id="rId489" xr:uid="{7FE9C210-C387-40AC-BEF0-CE6C2A150D92}"/>
    <hyperlink ref="B498" r:id="rId490" xr:uid="{5145A29A-03B8-48C0-A981-CA9D4A10EF57}"/>
    <hyperlink ref="B499" r:id="rId491" xr:uid="{59296035-FE04-47B9-9655-FF36E1F0AA59}"/>
    <hyperlink ref="B500" r:id="rId492" xr:uid="{620046E7-285F-4421-A229-2806D795F13E}"/>
    <hyperlink ref="B501" r:id="rId493" xr:uid="{699F7928-90D2-49FD-B13A-FDE76833954D}"/>
    <hyperlink ref="B502" r:id="rId494" xr:uid="{6E13D316-6845-4EA4-93B8-8B82428B9AD9}"/>
    <hyperlink ref="B503" r:id="rId495" xr:uid="{0052A5C8-5293-40F4-86B7-5D211749A823}"/>
    <hyperlink ref="B504" r:id="rId496" xr:uid="{158BBBED-7682-4565-A0D1-97F92AE7E87E}"/>
    <hyperlink ref="B505" r:id="rId497" xr:uid="{BF6BA712-8AE9-4B69-9717-DF254FC8D7DC}"/>
    <hyperlink ref="B506" r:id="rId498" xr:uid="{04A71653-9C3B-4D99-A17C-5B2E1DDEFD40}"/>
    <hyperlink ref="B508" r:id="rId499" xr:uid="{61F4868E-8DDF-4416-ADA2-88B78EE017B7}"/>
    <hyperlink ref="B509" r:id="rId500" xr:uid="{8F9EC5AB-C0A9-4C73-AA17-F208F3CE6922}"/>
    <hyperlink ref="B510" r:id="rId501" xr:uid="{FDBF0CD7-7E15-4056-89EE-310C02AFA934}"/>
    <hyperlink ref="B511" r:id="rId502" xr:uid="{1A996724-C35D-4058-94A3-3F017DFB2623}"/>
    <hyperlink ref="B512" r:id="rId503" xr:uid="{BE3B929B-055D-41CC-AFAF-4C04888CD7E4}"/>
    <hyperlink ref="B513" r:id="rId504" xr:uid="{BD5AA687-FAA1-4C97-9DD5-B89AC703D23A}"/>
    <hyperlink ref="B514" r:id="rId505" xr:uid="{F564EA4A-73E0-4324-A5F5-20B2250575BB}"/>
    <hyperlink ref="B515" r:id="rId506" xr:uid="{1FA7D45E-300B-4454-A30D-BD13B70EF535}"/>
    <hyperlink ref="B516" r:id="rId507" xr:uid="{E01ED07C-4BAA-4709-A14C-64CCDFCE3882}"/>
    <hyperlink ref="B517" r:id="rId508" xr:uid="{03ED5090-786F-4318-AA3A-ACE75F068174}"/>
    <hyperlink ref="B518" r:id="rId509" xr:uid="{4827DE97-A593-47A3-805F-F1341F97DB36}"/>
    <hyperlink ref="B519" r:id="rId510" xr:uid="{AC6A01B8-8265-483A-B143-D6FAD9B4ACBC}"/>
    <hyperlink ref="B520" r:id="rId511" xr:uid="{631E7691-D333-4880-BF29-09DC3277D6F6}"/>
    <hyperlink ref="B521" r:id="rId512" xr:uid="{AC780F8B-603C-4449-998F-AEC324120840}"/>
    <hyperlink ref="B522" r:id="rId513" xr:uid="{6D02D087-1436-4770-863D-CE7C517505D2}"/>
    <hyperlink ref="B523" r:id="rId514" xr:uid="{11823800-FF15-4E76-B344-DF2154805B9A}"/>
    <hyperlink ref="B525" r:id="rId515" xr:uid="{BF825E9E-67FD-4CC3-B63B-C73E073CA887}"/>
    <hyperlink ref="B526" r:id="rId516" xr:uid="{8A71A73E-CF0E-4A73-A693-94F3DB9C1BEC}"/>
    <hyperlink ref="B527" r:id="rId517" xr:uid="{9E50302F-00A2-47DE-A0B5-32D57BF2AE2C}"/>
    <hyperlink ref="B528" r:id="rId518" xr:uid="{477C5CA0-F970-4F6B-9D40-0E38EED0C088}"/>
    <hyperlink ref="B529" r:id="rId519" xr:uid="{9E99D38D-5F7F-49A2-AAD6-CAA878124AAB}"/>
    <hyperlink ref="B530" r:id="rId520" xr:uid="{4630D3F1-0322-4330-8223-521251F7E73B}"/>
    <hyperlink ref="B531" r:id="rId521" xr:uid="{D7D412CE-6834-4D2C-A9A0-9BB73E0908CC}"/>
    <hyperlink ref="B532" r:id="rId522" xr:uid="{53A84C3A-89EF-4077-981B-657CC473B0F5}"/>
    <hyperlink ref="B533" r:id="rId523" xr:uid="{A96A3A8F-EB12-4F86-8485-E87A449D9CE9}"/>
    <hyperlink ref="B534" r:id="rId524" xr:uid="{23814040-C69C-496E-BF4B-D4999B92869B}"/>
    <hyperlink ref="B535" r:id="rId525" xr:uid="{FDC5F0EC-1D66-4D6A-8DDC-94D3C256042D}"/>
    <hyperlink ref="B536" r:id="rId526" xr:uid="{4D9C427B-0AAD-444C-9221-67100D27397F}"/>
    <hyperlink ref="B537" r:id="rId527" xr:uid="{D680ECAF-D359-49CD-AC7F-5EA65559094F}"/>
    <hyperlink ref="B538" r:id="rId528" xr:uid="{F041B075-C9D4-416C-920B-4FB07E5F6F89}"/>
    <hyperlink ref="B539" r:id="rId529" xr:uid="{E6FEA5AA-D992-4799-A644-3322CB165F0F}"/>
    <hyperlink ref="B540" r:id="rId530" xr:uid="{0158E96E-87EB-40BB-BFD3-4069DE6C76C8}"/>
    <hyperlink ref="B541" r:id="rId531" xr:uid="{B23D9427-C5BF-40C3-943F-4AB6802C74F5}"/>
    <hyperlink ref="B542" r:id="rId532" xr:uid="{7D85163E-C170-441C-9848-5F016D623B3C}"/>
    <hyperlink ref="C542" r:id="rId533" xr:uid="{96A9F3E3-FCA1-49A6-99DD-88A36CF27863}"/>
    <hyperlink ref="B543" r:id="rId534" xr:uid="{274A1FE2-B93F-42FC-9684-B89B45259EB7}"/>
    <hyperlink ref="B544" r:id="rId535" xr:uid="{DB87AB21-39EA-4C28-8373-8921BE4E1C36}"/>
    <hyperlink ref="B545" r:id="rId536" xr:uid="{43D4648E-88F0-43C3-8DA2-68B55C9C2C5C}"/>
    <hyperlink ref="C545" r:id="rId537" xr:uid="{39AD2592-3C69-4EA4-AD5C-2EBE48B5EA44}"/>
    <hyperlink ref="B546" r:id="rId538" xr:uid="{48B11796-FF83-43E9-AE44-19B498A843CE}"/>
    <hyperlink ref="B547" r:id="rId539" xr:uid="{78D93899-B12E-4628-B8F9-05AA0BF46B43}"/>
    <hyperlink ref="B548" r:id="rId540" xr:uid="{0A918C87-64A7-469C-9542-55AA461DA71D}"/>
    <hyperlink ref="B549" r:id="rId541" xr:uid="{565BC989-35A3-4A4B-94FC-56A46B65D2B8}"/>
    <hyperlink ref="B550" r:id="rId542" xr:uid="{286BCBDE-56FA-491C-A30B-EC1AF046486E}"/>
    <hyperlink ref="B551" r:id="rId543" xr:uid="{A87B0DFF-E616-4ADC-B931-99146BE830B9}"/>
    <hyperlink ref="B552" r:id="rId544" xr:uid="{2D34B3BF-3041-44B2-967E-D34E584B67AB}"/>
    <hyperlink ref="B553" r:id="rId545" xr:uid="{0A2442B6-183C-4619-A6BE-4619E1D1B9C8}"/>
    <hyperlink ref="B554" r:id="rId546" xr:uid="{6D9E742F-F482-49F4-BDE1-408F3F90ECCE}"/>
    <hyperlink ref="B555" r:id="rId547" xr:uid="{3C38D9FC-DC5A-41BA-85D1-5F461D1CBBF0}"/>
    <hyperlink ref="B556" r:id="rId548" xr:uid="{FFAD438B-AB54-49DC-BEEA-312B7B88CA26}"/>
    <hyperlink ref="B557" r:id="rId549" xr:uid="{573080CF-B01F-433C-8C5D-787EC7D4CC36}"/>
    <hyperlink ref="C558" r:id="rId550" xr:uid="{7DBEEB74-83D1-4EB8-98B0-C5B177F84641}"/>
    <hyperlink ref="B559" r:id="rId551" xr:uid="{F0218EFD-5357-44E6-B728-591699ACDD6F}"/>
    <hyperlink ref="B560" r:id="rId552" xr:uid="{73F18EDA-9C00-4F70-A06B-1FFA5E35180D}"/>
    <hyperlink ref="B561" r:id="rId553" xr:uid="{8ADAFDD3-B141-461C-84C1-DADE30725DC5}"/>
    <hyperlink ref="B562" r:id="rId554" xr:uid="{164B9154-3775-4C6C-9751-BE3E1A59A7D4}"/>
    <hyperlink ref="B563" r:id="rId555" xr:uid="{B4A86597-ABD8-48C0-AEA2-F9887291BE01}"/>
    <hyperlink ref="B97" r:id="rId556" xr:uid="{B181C4BB-7C01-4BDE-9197-8AC2372B8F1C}"/>
    <hyperlink ref="B441" r:id="rId557" xr:uid="{DBA74393-29BD-4B36-B635-4F173D4FFAAF}"/>
    <hyperlink ref="B170" r:id="rId558" xr:uid="{1BCFC9AE-8017-4EB5-8C0E-17F816CA3B0E}"/>
    <hyperlink ref="B524" r:id="rId559" xr:uid="{B2E48E42-B0DE-4C43-B1C4-1F7ADC7A731E}"/>
    <hyperlink ref="B345" r:id="rId560" xr:uid="{5D8202FD-E61C-43F4-B89A-EF1B41B2FBB6}"/>
    <hyperlink ref="B445" r:id="rId561" xr:uid="{82E9C2CE-61B3-4206-BDDB-06D60486A134}"/>
    <hyperlink ref="B507" r:id="rId562" xr:uid="{6C898DA4-261F-43E0-9865-02B9ADEABCDE}"/>
    <hyperlink ref="C507" r:id="rId563" xr:uid="{1386D0D9-E252-42A7-BFDB-09A1BACB6C74}"/>
    <hyperlink ref="B265" r:id="rId564" display="iQ500 Üstten Donduruculu Kulplu Buzdolabı, 75cm, Inox" xr:uid="{7F9400B9-B84E-431E-A31D-180DB939FAC8}"/>
    <hyperlink ref="B438" r:id="rId565" xr:uid="{B6CB2625-4D32-4F24-85A1-872630246F59}"/>
    <hyperlink ref="B89" r:id="rId566" display="iQ300 İndüksiyonlu Ocak, 90cm, Çerçeveli, Siyah" xr:uid="{C4101553-F755-427D-A881-CDC2BC8DDFAB}"/>
    <hyperlink ref="C438" r:id="rId567" xr:uid="{8DCEC0E2-176A-42F5-A6B6-E6EE8ECB7F93}"/>
    <hyperlink ref="B380" r:id="rId568" display="Philips 50&quot; 4K Ambilight LED TV" xr:uid="{B45D1906-A7C2-4D4E-8CF4-6223F2C4471F}"/>
    <hyperlink ref="C380" r:id="rId569" xr:uid="{875E79EF-3FDE-426E-AE5E-DA00C77C4FAC}"/>
    <hyperlink ref="B381" r:id="rId570" display="Philips 50&quot; 4K Ambilight LED TV" xr:uid="{67C6AD8B-5426-4713-82BA-910512082B5E}"/>
    <hyperlink ref="B382" r:id="rId571" display="Philips 50&quot; 4K Ambilight LED TV (Android)" xr:uid="{8CBB574D-6176-4930-98D2-85850E26C11A}"/>
    <hyperlink ref="C382" r:id="rId572" xr:uid="{78AF9313-81AA-442E-B41C-30D91DBE722F}"/>
    <hyperlink ref="B383" r:id="rId573" display="Philips 55&quot; 4K Ambilight LED TV (Android)" xr:uid="{8FB8A8A8-82F1-49B3-93FB-71C9F9159EB8}"/>
    <hyperlink ref="C383" r:id="rId574" xr:uid="{7463B35B-3980-4994-912C-6CCB599B5B18}"/>
    <hyperlink ref="B385" r:id="rId575" xr:uid="{1024EB2A-C74B-4E83-95DB-69B33C9C734D}"/>
    <hyperlink ref="B53" r:id="rId576" xr:uid="{B8243C59-A17B-46FE-ABE5-F6445ACF0659}"/>
    <hyperlink ref="B52" r:id="rId577" xr:uid="{7D86AF3A-5313-4627-9816-C8E45DC9F1B0}"/>
    <hyperlink ref="B51" r:id="rId578" xr:uid="{BFE29161-5506-4DE5-9757-2DD053A192FF}"/>
    <hyperlink ref="B50" r:id="rId579" xr:uid="{E2E5F3EB-E8F1-489E-84FE-CF45ED16231F}"/>
    <hyperlink ref="B49" r:id="rId580" xr:uid="{5B8DEC3E-22F5-4F06-AAF4-3840B339D716}"/>
    <hyperlink ref="B48" r:id="rId581" xr:uid="{A354F9E5-FE47-43EC-B1D4-E047FA7331C3}"/>
    <hyperlink ref="B47" r:id="rId582" xr:uid="{654C9B99-5BC0-49C9-8E24-934AA3CF01CB}"/>
    <hyperlink ref="B46" r:id="rId583" xr:uid="{CF9299E5-0906-418D-973E-C91625CD1B51}"/>
    <hyperlink ref="B45" r:id="rId584" xr:uid="{659EFAF5-F957-4C1F-976F-A5E7015BA68F}"/>
    <hyperlink ref="B44" r:id="rId585" xr:uid="{1D8C4838-E8ED-4D86-87A9-27EC933D6275}"/>
    <hyperlink ref="B43" r:id="rId586" xr:uid="{93BF014B-10EE-4794-AF85-E3B52D132F5E}"/>
    <hyperlink ref="B42" r:id="rId587" xr:uid="{C3B03791-5447-46F9-936E-68BCF43DA226}"/>
    <hyperlink ref="B233" r:id="rId588" xr:uid="{09BD6CAE-C655-49B4-A1B6-14DB7F41B3E6}"/>
  </hyperlinks>
  <pageMargins left="0.7" right="0.7" top="0.75" bottom="0.75" header="0.3" footer="0.3"/>
  <pageSetup paperSize="9" orientation="portrait" verticalDpi="0" r:id="rId5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2026-06-03T06:48:31Z</dcterms:modified>
</cp:coreProperties>
</file>